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pada 2024-2025/Ranking Kobiet - szpada/"/>
    </mc:Choice>
  </mc:AlternateContent>
  <xr:revisionPtr revIDLastSave="2253" documentId="8_{0F30A1D5-6AB1-408C-A32C-C3051CEBD443}" xr6:coauthVersionLast="47" xr6:coauthVersionMax="47" xr10:uidLastSave="{0150665F-F8E8-4968-9A7C-C47F214709A1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8" r:id="rId8"/>
    <sheet name="PEW1" sheetId="24" r:id="rId9"/>
    <sheet name="PEW2" sheetId="23" r:id="rId10"/>
    <sheet name="PEW3" sheetId="32" r:id="rId11"/>
    <sheet name="PEW4" sheetId="22" r:id="rId12"/>
    <sheet name="PEW5" sheetId="33" r:id="rId13"/>
    <sheet name="PEW6" sheetId="34" r:id="rId14"/>
    <sheet name="PEW7" sheetId="35" r:id="rId15"/>
    <sheet name="PS" sheetId="36" r:id="rId16"/>
    <sheet name="IMEW" sheetId="20" r:id="rId17"/>
  </sheets>
  <definedNames>
    <definedName name="_xlnm._FilterDatabase" localSheetId="7" hidden="1">Kadra!$A$5:$AI$5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8" l="1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AF23" i="28"/>
  <c r="AG23" i="28" s="1"/>
  <c r="AF22" i="28"/>
  <c r="AG22" i="28" s="1"/>
  <c r="AF21" i="28"/>
  <c r="AG21" i="28" s="1"/>
  <c r="AG20" i="28"/>
  <c r="AF20" i="28"/>
  <c r="AF19" i="28"/>
  <c r="AG19" i="28" s="1"/>
  <c r="AF18" i="28"/>
  <c r="AG18" i="28" s="1"/>
  <c r="AF17" i="28"/>
  <c r="AG17" i="28" s="1"/>
  <c r="AG16" i="28"/>
  <c r="AF16" i="28"/>
  <c r="AF15" i="28"/>
  <c r="AG15" i="28" s="1"/>
  <c r="AF14" i="28"/>
  <c r="AG14" i="28" s="1"/>
  <c r="AF13" i="28"/>
  <c r="AG13" i="28" s="1"/>
  <c r="AG12" i="28"/>
  <c r="AF12" i="28"/>
  <c r="AF11" i="28"/>
  <c r="AG11" i="28" s="1"/>
  <c r="AF10" i="28"/>
  <c r="AG10" i="28" s="1"/>
  <c r="AF9" i="28"/>
  <c r="AG9" i="28" s="1"/>
  <c r="AF8" i="28"/>
  <c r="AG8" i="28" s="1"/>
  <c r="AF7" i="28"/>
  <c r="AG7" i="28" s="1"/>
  <c r="AF6" i="28"/>
  <c r="AG6" i="28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M302" i="36"/>
  <c r="J302" i="36"/>
  <c r="K302" i="36" s="1"/>
  <c r="I302" i="36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M298" i="36"/>
  <c r="J298" i="36"/>
  <c r="K298" i="36" s="1"/>
  <c r="I298" i="36"/>
  <c r="M297" i="36"/>
  <c r="J297" i="36"/>
  <c r="K297" i="36" s="1"/>
  <c r="I297" i="36"/>
  <c r="J296" i="36"/>
  <c r="K296" i="36" s="1"/>
  <c r="I296" i="36"/>
  <c r="M296" i="36" s="1"/>
  <c r="J295" i="36"/>
  <c r="K295" i="36" s="1"/>
  <c r="I295" i="36"/>
  <c r="M295" i="36" s="1"/>
  <c r="M294" i="36"/>
  <c r="J294" i="36"/>
  <c r="K294" i="36" s="1"/>
  <c r="I294" i="36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M290" i="36"/>
  <c r="J290" i="36"/>
  <c r="K290" i="36" s="1"/>
  <c r="I290" i="36"/>
  <c r="M289" i="36"/>
  <c r="J289" i="36"/>
  <c r="K289" i="36" s="1"/>
  <c r="I289" i="36"/>
  <c r="J288" i="36"/>
  <c r="K288" i="36" s="1"/>
  <c r="I288" i="36"/>
  <c r="M288" i="36" s="1"/>
  <c r="J287" i="36"/>
  <c r="K287" i="36" s="1"/>
  <c r="I287" i="36"/>
  <c r="M287" i="36" s="1"/>
  <c r="M286" i="36"/>
  <c r="J286" i="36"/>
  <c r="K286" i="36" s="1"/>
  <c r="I286" i="36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M282" i="36"/>
  <c r="J282" i="36"/>
  <c r="K282" i="36" s="1"/>
  <c r="I282" i="36"/>
  <c r="M281" i="36"/>
  <c r="J281" i="36"/>
  <c r="K281" i="36" s="1"/>
  <c r="I281" i="36"/>
  <c r="J280" i="36"/>
  <c r="K280" i="36" s="1"/>
  <c r="I280" i="36"/>
  <c r="M280" i="36" s="1"/>
  <c r="J279" i="36"/>
  <c r="K279" i="36" s="1"/>
  <c r="I279" i="36"/>
  <c r="M279" i="36" s="1"/>
  <c r="M278" i="36"/>
  <c r="J278" i="36"/>
  <c r="K278" i="36" s="1"/>
  <c r="I278" i="36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M274" i="36"/>
  <c r="J274" i="36"/>
  <c r="K274" i="36" s="1"/>
  <c r="I274" i="36"/>
  <c r="M273" i="36"/>
  <c r="J273" i="36"/>
  <c r="K273" i="36" s="1"/>
  <c r="I273" i="36"/>
  <c r="J272" i="36"/>
  <c r="K272" i="36" s="1"/>
  <c r="I272" i="36"/>
  <c r="M272" i="36" s="1"/>
  <c r="J271" i="36"/>
  <c r="K271" i="36" s="1"/>
  <c r="I271" i="36"/>
  <c r="M271" i="36" s="1"/>
  <c r="M270" i="36"/>
  <c r="J270" i="36"/>
  <c r="K270" i="36" s="1"/>
  <c r="I270" i="36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M266" i="36"/>
  <c r="J266" i="36"/>
  <c r="K266" i="36" s="1"/>
  <c r="I266" i="36"/>
  <c r="M265" i="36"/>
  <c r="J265" i="36"/>
  <c r="K265" i="36" s="1"/>
  <c r="I265" i="36"/>
  <c r="J264" i="36"/>
  <c r="K264" i="36" s="1"/>
  <c r="I264" i="36"/>
  <c r="M264" i="36" s="1"/>
  <c r="J263" i="36"/>
  <c r="K263" i="36" s="1"/>
  <c r="I263" i="36"/>
  <c r="M263" i="36" s="1"/>
  <c r="M262" i="36"/>
  <c r="J262" i="36"/>
  <c r="K262" i="36" s="1"/>
  <c r="I262" i="36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M258" i="36"/>
  <c r="J258" i="36"/>
  <c r="K258" i="36" s="1"/>
  <c r="I258" i="36"/>
  <c r="M257" i="36"/>
  <c r="J257" i="36"/>
  <c r="K257" i="36" s="1"/>
  <c r="I257" i="36"/>
  <c r="J256" i="36"/>
  <c r="K256" i="36" s="1"/>
  <c r="I256" i="36"/>
  <c r="M256" i="36" s="1"/>
  <c r="J255" i="36"/>
  <c r="K255" i="36" s="1"/>
  <c r="I255" i="36"/>
  <c r="M255" i="36" s="1"/>
  <c r="M254" i="36"/>
  <c r="J254" i="36"/>
  <c r="K254" i="36" s="1"/>
  <c r="I254" i="36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M250" i="36"/>
  <c r="J250" i="36"/>
  <c r="K250" i="36" s="1"/>
  <c r="I250" i="36"/>
  <c r="M249" i="36"/>
  <c r="J249" i="36"/>
  <c r="K249" i="36" s="1"/>
  <c r="I249" i="36"/>
  <c r="J248" i="36"/>
  <c r="K248" i="36" s="1"/>
  <c r="I248" i="36"/>
  <c r="M248" i="36" s="1"/>
  <c r="J247" i="36"/>
  <c r="K247" i="36" s="1"/>
  <c r="I247" i="36"/>
  <c r="M247" i="36" s="1"/>
  <c r="M246" i="36"/>
  <c r="J246" i="36"/>
  <c r="K246" i="36" s="1"/>
  <c r="I246" i="36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M242" i="36"/>
  <c r="J242" i="36"/>
  <c r="K242" i="36" s="1"/>
  <c r="I242" i="36"/>
  <c r="M241" i="36"/>
  <c r="J241" i="36"/>
  <c r="K241" i="36" s="1"/>
  <c r="I241" i="36"/>
  <c r="J240" i="36"/>
  <c r="K240" i="36" s="1"/>
  <c r="I240" i="36"/>
  <c r="M240" i="36" s="1"/>
  <c r="J239" i="36"/>
  <c r="K239" i="36" s="1"/>
  <c r="I239" i="36"/>
  <c r="M239" i="36" s="1"/>
  <c r="M238" i="36"/>
  <c r="J238" i="36"/>
  <c r="K238" i="36" s="1"/>
  <c r="I238" i="36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M234" i="36"/>
  <c r="J234" i="36"/>
  <c r="K234" i="36" s="1"/>
  <c r="I234" i="36"/>
  <c r="M233" i="36"/>
  <c r="J233" i="36"/>
  <c r="K233" i="36" s="1"/>
  <c r="I233" i="36"/>
  <c r="J232" i="36"/>
  <c r="K232" i="36" s="1"/>
  <c r="I232" i="36"/>
  <c r="M232" i="36" s="1"/>
  <c r="J231" i="36"/>
  <c r="K231" i="36" s="1"/>
  <c r="I231" i="36"/>
  <c r="M231" i="36" s="1"/>
  <c r="M230" i="36"/>
  <c r="J230" i="36"/>
  <c r="K230" i="36" s="1"/>
  <c r="I230" i="36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M226" i="36"/>
  <c r="J226" i="36"/>
  <c r="K226" i="36" s="1"/>
  <c r="I226" i="36"/>
  <c r="M225" i="36"/>
  <c r="J225" i="36"/>
  <c r="K225" i="36" s="1"/>
  <c r="I225" i="36"/>
  <c r="J224" i="36"/>
  <c r="K224" i="36" s="1"/>
  <c r="I224" i="36"/>
  <c r="M224" i="36" s="1"/>
  <c r="J223" i="36"/>
  <c r="K223" i="36" s="1"/>
  <c r="I223" i="36"/>
  <c r="M223" i="36" s="1"/>
  <c r="M222" i="36"/>
  <c r="J222" i="36"/>
  <c r="K222" i="36" s="1"/>
  <c r="I222" i="36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M218" i="36"/>
  <c r="J218" i="36"/>
  <c r="K218" i="36" s="1"/>
  <c r="I218" i="36"/>
  <c r="M217" i="36"/>
  <c r="J217" i="36"/>
  <c r="K217" i="36" s="1"/>
  <c r="I217" i="36"/>
  <c r="J216" i="36"/>
  <c r="K216" i="36" s="1"/>
  <c r="I216" i="36"/>
  <c r="M216" i="36" s="1"/>
  <c r="J215" i="36"/>
  <c r="K215" i="36" s="1"/>
  <c r="I215" i="36"/>
  <c r="M215" i="36" s="1"/>
  <c r="M214" i="36"/>
  <c r="J214" i="36"/>
  <c r="K214" i="36" s="1"/>
  <c r="I214" i="36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M210" i="36"/>
  <c r="J210" i="36"/>
  <c r="K210" i="36" s="1"/>
  <c r="I210" i="36"/>
  <c r="M209" i="36"/>
  <c r="J209" i="36"/>
  <c r="K209" i="36" s="1"/>
  <c r="I209" i="36"/>
  <c r="J208" i="36"/>
  <c r="K208" i="36" s="1"/>
  <c r="I208" i="36"/>
  <c r="M208" i="36" s="1"/>
  <c r="M207" i="36"/>
  <c r="J207" i="36"/>
  <c r="K207" i="36" s="1"/>
  <c r="I207" i="36"/>
  <c r="M206" i="36"/>
  <c r="J206" i="36"/>
  <c r="K206" i="36" s="1"/>
  <c r="I206" i="36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M202" i="36"/>
  <c r="J202" i="36"/>
  <c r="K202" i="36" s="1"/>
  <c r="I202" i="36"/>
  <c r="M201" i="36"/>
  <c r="J201" i="36"/>
  <c r="K201" i="36" s="1"/>
  <c r="I201" i="36"/>
  <c r="J200" i="36"/>
  <c r="K200" i="36" s="1"/>
  <c r="I200" i="36"/>
  <c r="M200" i="36" s="1"/>
  <c r="J199" i="36"/>
  <c r="K199" i="36" s="1"/>
  <c r="I199" i="36"/>
  <c r="M199" i="36" s="1"/>
  <c r="M198" i="36"/>
  <c r="J198" i="36"/>
  <c r="K198" i="36" s="1"/>
  <c r="I198" i="36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M194" i="36"/>
  <c r="J194" i="36"/>
  <c r="K194" i="36" s="1"/>
  <c r="I194" i="36"/>
  <c r="M193" i="36"/>
  <c r="J193" i="36"/>
  <c r="K193" i="36" s="1"/>
  <c r="I193" i="36"/>
  <c r="M192" i="36"/>
  <c r="J192" i="36"/>
  <c r="K192" i="36" s="1"/>
  <c r="I192" i="36"/>
  <c r="J191" i="36"/>
  <c r="K191" i="36" s="1"/>
  <c r="I191" i="36"/>
  <c r="M191" i="36" s="1"/>
  <c r="M190" i="36"/>
  <c r="J190" i="36"/>
  <c r="K190" i="36" s="1"/>
  <c r="I190" i="36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M186" i="36"/>
  <c r="J186" i="36"/>
  <c r="K186" i="36" s="1"/>
  <c r="I186" i="36"/>
  <c r="M185" i="36"/>
  <c r="J185" i="36"/>
  <c r="K185" i="36" s="1"/>
  <c r="I185" i="36"/>
  <c r="M184" i="36"/>
  <c r="J184" i="36"/>
  <c r="K184" i="36" s="1"/>
  <c r="I184" i="36"/>
  <c r="M183" i="36"/>
  <c r="J183" i="36"/>
  <c r="K183" i="36" s="1"/>
  <c r="I183" i="36"/>
  <c r="M182" i="36"/>
  <c r="J182" i="36"/>
  <c r="K182" i="36" s="1"/>
  <c r="I182" i="36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M178" i="36"/>
  <c r="J178" i="36"/>
  <c r="K178" i="36" s="1"/>
  <c r="I178" i="36"/>
  <c r="M177" i="36"/>
  <c r="J177" i="36"/>
  <c r="K177" i="36" s="1"/>
  <c r="I177" i="36"/>
  <c r="M176" i="36"/>
  <c r="J176" i="36"/>
  <c r="K176" i="36" s="1"/>
  <c r="I176" i="36"/>
  <c r="J175" i="36"/>
  <c r="K175" i="36" s="1"/>
  <c r="I175" i="36"/>
  <c r="M175" i="36" s="1"/>
  <c r="M174" i="36"/>
  <c r="J174" i="36"/>
  <c r="K174" i="36" s="1"/>
  <c r="I174" i="36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M170" i="36"/>
  <c r="J170" i="36"/>
  <c r="K170" i="36" s="1"/>
  <c r="I170" i="36"/>
  <c r="M169" i="36"/>
  <c r="J169" i="36"/>
  <c r="K169" i="36" s="1"/>
  <c r="I169" i="36"/>
  <c r="M168" i="36"/>
  <c r="J168" i="36"/>
  <c r="K168" i="36" s="1"/>
  <c r="I168" i="36"/>
  <c r="M167" i="36"/>
  <c r="J167" i="36"/>
  <c r="K167" i="36" s="1"/>
  <c r="I167" i="36"/>
  <c r="M166" i="36"/>
  <c r="J166" i="36"/>
  <c r="K166" i="36" s="1"/>
  <c r="I166" i="36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M162" i="36"/>
  <c r="J162" i="36"/>
  <c r="K162" i="36" s="1"/>
  <c r="I162" i="36"/>
  <c r="M161" i="36"/>
  <c r="J161" i="36"/>
  <c r="K161" i="36" s="1"/>
  <c r="I161" i="36"/>
  <c r="M160" i="36"/>
  <c r="J160" i="36"/>
  <c r="K160" i="36" s="1"/>
  <c r="I160" i="36"/>
  <c r="M159" i="36"/>
  <c r="J159" i="36"/>
  <c r="K159" i="36" s="1"/>
  <c r="I159" i="36"/>
  <c r="M158" i="36"/>
  <c r="J158" i="36"/>
  <c r="K158" i="36" s="1"/>
  <c r="I158" i="36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M154" i="36"/>
  <c r="J154" i="36"/>
  <c r="K154" i="36" s="1"/>
  <c r="I154" i="36"/>
  <c r="M153" i="36"/>
  <c r="J153" i="36"/>
  <c r="K153" i="36" s="1"/>
  <c r="I153" i="36"/>
  <c r="M152" i="36"/>
  <c r="J152" i="36"/>
  <c r="K152" i="36" s="1"/>
  <c r="I152" i="36"/>
  <c r="J151" i="36"/>
  <c r="K151" i="36" s="1"/>
  <c r="I151" i="36"/>
  <c r="M151" i="36" s="1"/>
  <c r="M150" i="36"/>
  <c r="J150" i="36"/>
  <c r="K150" i="36" s="1"/>
  <c r="I150" i="36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M146" i="36"/>
  <c r="J146" i="36"/>
  <c r="K146" i="36" s="1"/>
  <c r="I146" i="36"/>
  <c r="M145" i="36"/>
  <c r="J145" i="36"/>
  <c r="K145" i="36" s="1"/>
  <c r="I145" i="36"/>
  <c r="M144" i="36"/>
  <c r="J144" i="36"/>
  <c r="K144" i="36" s="1"/>
  <c r="I144" i="36"/>
  <c r="M143" i="36"/>
  <c r="J143" i="36"/>
  <c r="K143" i="36" s="1"/>
  <c r="I143" i="36"/>
  <c r="M142" i="36"/>
  <c r="J142" i="36"/>
  <c r="K142" i="36" s="1"/>
  <c r="I142" i="36"/>
  <c r="J141" i="36"/>
  <c r="K141" i="36" s="1"/>
  <c r="I141" i="36"/>
  <c r="M141" i="36" s="1"/>
  <c r="J140" i="36"/>
  <c r="K140" i="36" s="1"/>
  <c r="I140" i="36"/>
  <c r="M140" i="36" s="1"/>
  <c r="A140" i="36" s="1"/>
  <c r="B140" i="36"/>
  <c r="M139" i="36"/>
  <c r="J139" i="36"/>
  <c r="K139" i="36" s="1"/>
  <c r="I139" i="36"/>
  <c r="B139" i="36"/>
  <c r="A139" i="36"/>
  <c r="M138" i="36"/>
  <c r="A138" i="36" s="1"/>
  <c r="J138" i="36"/>
  <c r="K138" i="36" s="1"/>
  <c r="I138" i="36"/>
  <c r="B138" i="36"/>
  <c r="J137" i="36"/>
  <c r="K137" i="36" s="1"/>
  <c r="I137" i="36"/>
  <c r="M137" i="36" s="1"/>
  <c r="A137" i="36" s="1"/>
  <c r="B137" i="36"/>
  <c r="M136" i="36"/>
  <c r="J136" i="36"/>
  <c r="K136" i="36" s="1"/>
  <c r="I136" i="36"/>
  <c r="B136" i="36"/>
  <c r="A136" i="36"/>
  <c r="M135" i="36"/>
  <c r="A135" i="36" s="1"/>
  <c r="K135" i="36"/>
  <c r="J135" i="36"/>
  <c r="I135" i="36"/>
  <c r="B135" i="36"/>
  <c r="M134" i="36"/>
  <c r="A134" i="36" s="1"/>
  <c r="K134" i="36"/>
  <c r="J134" i="36"/>
  <c r="I134" i="36"/>
  <c r="B134" i="36"/>
  <c r="M133" i="36"/>
  <c r="A133" i="36" s="1"/>
  <c r="J133" i="36"/>
  <c r="K133" i="36" s="1"/>
  <c r="I133" i="36"/>
  <c r="B133" i="36"/>
  <c r="M132" i="36"/>
  <c r="J132" i="36"/>
  <c r="K132" i="36" s="1"/>
  <c r="I132" i="36"/>
  <c r="B132" i="36"/>
  <c r="A132" i="36"/>
  <c r="M131" i="36"/>
  <c r="A131" i="36" s="1"/>
  <c r="K131" i="36"/>
  <c r="J131" i="36"/>
  <c r="I131" i="36"/>
  <c r="B131" i="36"/>
  <c r="M130" i="36"/>
  <c r="A130" i="36" s="1"/>
  <c r="K130" i="36"/>
  <c r="J130" i="36"/>
  <c r="I130" i="36"/>
  <c r="B130" i="36"/>
  <c r="J129" i="36"/>
  <c r="K129" i="36" s="1"/>
  <c r="I129" i="36"/>
  <c r="M129" i="36" s="1"/>
  <c r="A129" i="36" s="1"/>
  <c r="B129" i="36"/>
  <c r="M128" i="36"/>
  <c r="J128" i="36"/>
  <c r="K128" i="36" s="1"/>
  <c r="I128" i="36"/>
  <c r="B128" i="36"/>
  <c r="A128" i="36"/>
  <c r="J127" i="36"/>
  <c r="K127" i="36" s="1"/>
  <c r="I127" i="36"/>
  <c r="M127" i="36" s="1"/>
  <c r="A127" i="36" s="1"/>
  <c r="B127" i="36"/>
  <c r="M126" i="36"/>
  <c r="A126" i="36" s="1"/>
  <c r="K126" i="36"/>
  <c r="J126" i="36"/>
  <c r="I126" i="36"/>
  <c r="B126" i="36"/>
  <c r="J125" i="36"/>
  <c r="K125" i="36" s="1"/>
  <c r="I125" i="36"/>
  <c r="M125" i="36" s="1"/>
  <c r="A125" i="36" s="1"/>
  <c r="B125" i="36"/>
  <c r="M124" i="36"/>
  <c r="K124" i="36"/>
  <c r="J124" i="36"/>
  <c r="I124" i="36"/>
  <c r="B124" i="36"/>
  <c r="A124" i="36"/>
  <c r="J123" i="36"/>
  <c r="K123" i="36" s="1"/>
  <c r="I123" i="36"/>
  <c r="M123" i="36" s="1"/>
  <c r="A123" i="36" s="1"/>
  <c r="B123" i="36"/>
  <c r="M122" i="36"/>
  <c r="K122" i="36"/>
  <c r="J122" i="36"/>
  <c r="I122" i="36"/>
  <c r="B122" i="36"/>
  <c r="A122" i="36"/>
  <c r="M121" i="36"/>
  <c r="A121" i="36" s="1"/>
  <c r="J121" i="36"/>
  <c r="K121" i="36" s="1"/>
  <c r="I121" i="36"/>
  <c r="B121" i="36"/>
  <c r="M120" i="36"/>
  <c r="K120" i="36"/>
  <c r="J120" i="36"/>
  <c r="I120" i="36"/>
  <c r="B120" i="36"/>
  <c r="A120" i="36"/>
  <c r="J119" i="36"/>
  <c r="K119" i="36" s="1"/>
  <c r="I119" i="36"/>
  <c r="M119" i="36" s="1"/>
  <c r="A119" i="36" s="1"/>
  <c r="B119" i="36"/>
  <c r="M118" i="36"/>
  <c r="A118" i="36" s="1"/>
  <c r="K118" i="36"/>
  <c r="J118" i="36"/>
  <c r="I118" i="36"/>
  <c r="B118" i="36"/>
  <c r="J117" i="36"/>
  <c r="K117" i="36" s="1"/>
  <c r="I117" i="36"/>
  <c r="M117" i="36" s="1"/>
  <c r="A117" i="36" s="1"/>
  <c r="B117" i="36"/>
  <c r="M116" i="36"/>
  <c r="K116" i="36"/>
  <c r="J116" i="36"/>
  <c r="I116" i="36"/>
  <c r="B116" i="36"/>
  <c r="A116" i="36"/>
  <c r="J115" i="36"/>
  <c r="K115" i="36" s="1"/>
  <c r="I115" i="36"/>
  <c r="M115" i="36" s="1"/>
  <c r="A115" i="36" s="1"/>
  <c r="B115" i="36"/>
  <c r="M114" i="36"/>
  <c r="A114" i="36" s="1"/>
  <c r="K114" i="36"/>
  <c r="J114" i="36"/>
  <c r="I114" i="36"/>
  <c r="B114" i="36"/>
  <c r="J113" i="36"/>
  <c r="K113" i="36" s="1"/>
  <c r="I113" i="36"/>
  <c r="M113" i="36" s="1"/>
  <c r="A113" i="36" s="1"/>
  <c r="B113" i="36"/>
  <c r="M112" i="36"/>
  <c r="J112" i="36"/>
  <c r="K112" i="36" s="1"/>
  <c r="I112" i="36"/>
  <c r="B112" i="36"/>
  <c r="A112" i="36"/>
  <c r="J111" i="36"/>
  <c r="K111" i="36" s="1"/>
  <c r="I111" i="36"/>
  <c r="M111" i="36" s="1"/>
  <c r="A111" i="36" s="1"/>
  <c r="B111" i="36"/>
  <c r="M110" i="36"/>
  <c r="K110" i="36"/>
  <c r="J110" i="36"/>
  <c r="I110" i="36"/>
  <c r="B110" i="36"/>
  <c r="A110" i="36"/>
  <c r="M109" i="36"/>
  <c r="A109" i="36" s="1"/>
  <c r="J109" i="36"/>
  <c r="K109" i="36" s="1"/>
  <c r="I109" i="36"/>
  <c r="B109" i="36"/>
  <c r="M108" i="36"/>
  <c r="J108" i="36"/>
  <c r="K108" i="36" s="1"/>
  <c r="I108" i="36"/>
  <c r="B108" i="36"/>
  <c r="A108" i="36"/>
  <c r="J107" i="36"/>
  <c r="K107" i="36" s="1"/>
  <c r="I107" i="36"/>
  <c r="M107" i="36" s="1"/>
  <c r="A107" i="36" s="1"/>
  <c r="B107" i="36"/>
  <c r="M106" i="36"/>
  <c r="A106" i="36" s="1"/>
  <c r="K106" i="36"/>
  <c r="J106" i="36"/>
  <c r="I106" i="36"/>
  <c r="B106" i="36"/>
  <c r="J105" i="36"/>
  <c r="K105" i="36" s="1"/>
  <c r="I105" i="36"/>
  <c r="M105" i="36" s="1"/>
  <c r="A105" i="36" s="1"/>
  <c r="B105" i="36"/>
  <c r="M104" i="36"/>
  <c r="J104" i="36"/>
  <c r="K104" i="36" s="1"/>
  <c r="I104" i="36"/>
  <c r="B104" i="36"/>
  <c r="A104" i="36"/>
  <c r="J103" i="36"/>
  <c r="K103" i="36" s="1"/>
  <c r="I103" i="36"/>
  <c r="M103" i="36" s="1"/>
  <c r="A103" i="36" s="1"/>
  <c r="B103" i="36"/>
  <c r="M102" i="36"/>
  <c r="A102" i="36" s="1"/>
  <c r="K102" i="36"/>
  <c r="J102" i="36"/>
  <c r="I102" i="36"/>
  <c r="B102" i="36"/>
  <c r="M101" i="36"/>
  <c r="A101" i="36" s="1"/>
  <c r="J101" i="36"/>
  <c r="K101" i="36" s="1"/>
  <c r="I101" i="36"/>
  <c r="B101" i="36"/>
  <c r="M100" i="36"/>
  <c r="J100" i="36"/>
  <c r="K100" i="36" s="1"/>
  <c r="I100" i="36"/>
  <c r="B100" i="36"/>
  <c r="A100" i="36"/>
  <c r="J99" i="36"/>
  <c r="K99" i="36" s="1"/>
  <c r="I99" i="36"/>
  <c r="M99" i="36" s="1"/>
  <c r="A99" i="36" s="1"/>
  <c r="B99" i="36"/>
  <c r="M98" i="36"/>
  <c r="K98" i="36"/>
  <c r="J98" i="36"/>
  <c r="I98" i="36"/>
  <c r="B98" i="36"/>
  <c r="A98" i="36"/>
  <c r="M97" i="36"/>
  <c r="A97" i="36" s="1"/>
  <c r="J97" i="36"/>
  <c r="K97" i="36" s="1"/>
  <c r="I97" i="36"/>
  <c r="B97" i="36"/>
  <c r="M96" i="36"/>
  <c r="J96" i="36"/>
  <c r="K96" i="36" s="1"/>
  <c r="I96" i="36"/>
  <c r="B96" i="36"/>
  <c r="A96" i="36"/>
  <c r="J95" i="36"/>
  <c r="K95" i="36" s="1"/>
  <c r="I95" i="36"/>
  <c r="M95" i="36" s="1"/>
  <c r="A95" i="36" s="1"/>
  <c r="B95" i="36"/>
  <c r="M94" i="36"/>
  <c r="A94" i="36" s="1"/>
  <c r="K94" i="36"/>
  <c r="J94" i="36"/>
  <c r="I94" i="36"/>
  <c r="B94" i="36"/>
  <c r="J93" i="36"/>
  <c r="K93" i="36" s="1"/>
  <c r="I93" i="36"/>
  <c r="M93" i="36" s="1"/>
  <c r="A93" i="36" s="1"/>
  <c r="B93" i="36"/>
  <c r="M92" i="36"/>
  <c r="K92" i="36"/>
  <c r="J92" i="36"/>
  <c r="I92" i="36"/>
  <c r="B92" i="36"/>
  <c r="A92" i="36"/>
  <c r="J91" i="36"/>
  <c r="K91" i="36" s="1"/>
  <c r="I91" i="36"/>
  <c r="M91" i="36" s="1"/>
  <c r="A91" i="36" s="1"/>
  <c r="B91" i="36"/>
  <c r="M90" i="36"/>
  <c r="K90" i="36"/>
  <c r="J90" i="36"/>
  <c r="I90" i="36"/>
  <c r="B90" i="36"/>
  <c r="A90" i="36"/>
  <c r="M89" i="36"/>
  <c r="A89" i="36" s="1"/>
  <c r="J89" i="36"/>
  <c r="K89" i="36" s="1"/>
  <c r="I89" i="36"/>
  <c r="B89" i="36"/>
  <c r="M88" i="36"/>
  <c r="K88" i="36"/>
  <c r="J88" i="36"/>
  <c r="I88" i="36"/>
  <c r="B88" i="36"/>
  <c r="A88" i="36"/>
  <c r="J87" i="36"/>
  <c r="K87" i="36" s="1"/>
  <c r="I87" i="36"/>
  <c r="M87" i="36" s="1"/>
  <c r="A87" i="36" s="1"/>
  <c r="B87" i="36"/>
  <c r="M86" i="36"/>
  <c r="A86" i="36" s="1"/>
  <c r="K86" i="36"/>
  <c r="J86" i="36"/>
  <c r="I86" i="36"/>
  <c r="B86" i="36"/>
  <c r="J85" i="36"/>
  <c r="K85" i="36" s="1"/>
  <c r="I85" i="36"/>
  <c r="M85" i="36" s="1"/>
  <c r="A85" i="36" s="1"/>
  <c r="B85" i="36"/>
  <c r="M84" i="36"/>
  <c r="K84" i="36"/>
  <c r="J84" i="36"/>
  <c r="I84" i="36"/>
  <c r="B84" i="36"/>
  <c r="A84" i="36"/>
  <c r="J83" i="36"/>
  <c r="K83" i="36" s="1"/>
  <c r="I83" i="36"/>
  <c r="M83" i="36" s="1"/>
  <c r="A83" i="36" s="1"/>
  <c r="B83" i="36"/>
  <c r="M82" i="36"/>
  <c r="A82" i="36" s="1"/>
  <c r="K82" i="36"/>
  <c r="J82" i="36"/>
  <c r="I82" i="36"/>
  <c r="B82" i="36"/>
  <c r="M81" i="36"/>
  <c r="A81" i="36" s="1"/>
  <c r="J81" i="36"/>
  <c r="K81" i="36" s="1"/>
  <c r="I81" i="36"/>
  <c r="B81" i="36"/>
  <c r="M80" i="36"/>
  <c r="J80" i="36"/>
  <c r="K80" i="36" s="1"/>
  <c r="I80" i="36"/>
  <c r="B80" i="36"/>
  <c r="A80" i="36"/>
  <c r="M79" i="36"/>
  <c r="A79" i="36" s="1"/>
  <c r="J79" i="36"/>
  <c r="K79" i="36" s="1"/>
  <c r="I79" i="36"/>
  <c r="B79" i="36"/>
  <c r="M78" i="36"/>
  <c r="A78" i="36" s="1"/>
  <c r="J78" i="36"/>
  <c r="K78" i="36" s="1"/>
  <c r="I78" i="36"/>
  <c r="B78" i="36"/>
  <c r="J77" i="36"/>
  <c r="K77" i="36" s="1"/>
  <c r="I77" i="36"/>
  <c r="M77" i="36" s="1"/>
  <c r="A77" i="36" s="1"/>
  <c r="B77" i="36"/>
  <c r="M76" i="36"/>
  <c r="A76" i="36" s="1"/>
  <c r="K76" i="36"/>
  <c r="J76" i="36"/>
  <c r="I76" i="36"/>
  <c r="B76" i="36"/>
  <c r="J75" i="36"/>
  <c r="K75" i="36" s="1"/>
  <c r="I75" i="36"/>
  <c r="M75" i="36" s="1"/>
  <c r="A75" i="36" s="1"/>
  <c r="B75" i="36"/>
  <c r="M74" i="36"/>
  <c r="A74" i="36" s="1"/>
  <c r="K74" i="36"/>
  <c r="J74" i="36"/>
  <c r="I74" i="36"/>
  <c r="B74" i="36"/>
  <c r="M73" i="36"/>
  <c r="A73" i="36" s="1"/>
  <c r="J73" i="36"/>
  <c r="K73" i="36" s="1"/>
  <c r="I73" i="36"/>
  <c r="B73" i="36"/>
  <c r="M72" i="36"/>
  <c r="J72" i="36"/>
  <c r="K72" i="36" s="1"/>
  <c r="I72" i="36"/>
  <c r="B72" i="36"/>
  <c r="A72" i="36"/>
  <c r="M71" i="36"/>
  <c r="A71" i="36" s="1"/>
  <c r="J71" i="36"/>
  <c r="K71" i="36" s="1"/>
  <c r="I71" i="36"/>
  <c r="B71" i="36"/>
  <c r="M70" i="36"/>
  <c r="A70" i="36" s="1"/>
  <c r="J70" i="36"/>
  <c r="K70" i="36" s="1"/>
  <c r="I70" i="36"/>
  <c r="B70" i="36"/>
  <c r="J69" i="36"/>
  <c r="K69" i="36" s="1"/>
  <c r="I69" i="36"/>
  <c r="M69" i="36" s="1"/>
  <c r="A69" i="36" s="1"/>
  <c r="B69" i="36"/>
  <c r="M68" i="36"/>
  <c r="A68" i="36" s="1"/>
  <c r="K68" i="36"/>
  <c r="J68" i="36"/>
  <c r="I68" i="36"/>
  <c r="B68" i="36"/>
  <c r="J67" i="36"/>
  <c r="K67" i="36" s="1"/>
  <c r="I67" i="36"/>
  <c r="M67" i="36" s="1"/>
  <c r="A67" i="36" s="1"/>
  <c r="B67" i="36"/>
  <c r="M66" i="36"/>
  <c r="A66" i="36" s="1"/>
  <c r="K66" i="36"/>
  <c r="J66" i="36"/>
  <c r="I66" i="36"/>
  <c r="B66" i="36"/>
  <c r="M65" i="36"/>
  <c r="A65" i="36" s="1"/>
  <c r="J65" i="36"/>
  <c r="K65" i="36" s="1"/>
  <c r="I65" i="36"/>
  <c r="B65" i="36"/>
  <c r="M64" i="36"/>
  <c r="J64" i="36"/>
  <c r="K64" i="36" s="1"/>
  <c r="I64" i="36"/>
  <c r="B64" i="36"/>
  <c r="A64" i="36"/>
  <c r="M63" i="36"/>
  <c r="A63" i="36" s="1"/>
  <c r="J63" i="36"/>
  <c r="K63" i="36" s="1"/>
  <c r="I63" i="36"/>
  <c r="B63" i="36"/>
  <c r="M62" i="36"/>
  <c r="A62" i="36" s="1"/>
  <c r="J62" i="36"/>
  <c r="K62" i="36" s="1"/>
  <c r="I62" i="36"/>
  <c r="B62" i="36"/>
  <c r="J61" i="36"/>
  <c r="K61" i="36" s="1"/>
  <c r="I61" i="36"/>
  <c r="M61" i="36" s="1"/>
  <c r="A61" i="36" s="1"/>
  <c r="B61" i="36"/>
  <c r="M60" i="36"/>
  <c r="A60" i="36" s="1"/>
  <c r="K60" i="36"/>
  <c r="J60" i="36"/>
  <c r="I60" i="36"/>
  <c r="B60" i="36"/>
  <c r="J59" i="36"/>
  <c r="K59" i="36" s="1"/>
  <c r="I59" i="36"/>
  <c r="M59" i="36" s="1"/>
  <c r="A59" i="36" s="1"/>
  <c r="B59" i="36"/>
  <c r="M58" i="36"/>
  <c r="A58" i="36" s="1"/>
  <c r="K58" i="36"/>
  <c r="J58" i="36"/>
  <c r="I58" i="36"/>
  <c r="B58" i="36"/>
  <c r="M57" i="36"/>
  <c r="A57" i="36" s="1"/>
  <c r="J57" i="36"/>
  <c r="K57" i="36" s="1"/>
  <c r="I57" i="36"/>
  <c r="B57" i="36"/>
  <c r="M56" i="36"/>
  <c r="J56" i="36"/>
  <c r="K56" i="36" s="1"/>
  <c r="I56" i="36"/>
  <c r="B56" i="36"/>
  <c r="A56" i="36"/>
  <c r="M55" i="36"/>
  <c r="A55" i="36" s="1"/>
  <c r="J55" i="36"/>
  <c r="K55" i="36" s="1"/>
  <c r="I55" i="36"/>
  <c r="B55" i="36"/>
  <c r="M54" i="36"/>
  <c r="A54" i="36" s="1"/>
  <c r="J54" i="36"/>
  <c r="K54" i="36" s="1"/>
  <c r="I54" i="36"/>
  <c r="B54" i="36"/>
  <c r="J53" i="36"/>
  <c r="K53" i="36" s="1"/>
  <c r="I53" i="36"/>
  <c r="M53" i="36" s="1"/>
  <c r="A53" i="36" s="1"/>
  <c r="B53" i="36"/>
  <c r="M52" i="36"/>
  <c r="A52" i="36" s="1"/>
  <c r="K52" i="36"/>
  <c r="J52" i="36"/>
  <c r="I52" i="36"/>
  <c r="B52" i="36"/>
  <c r="J51" i="36"/>
  <c r="K51" i="36" s="1"/>
  <c r="I51" i="36"/>
  <c r="M51" i="36" s="1"/>
  <c r="A51" i="36" s="1"/>
  <c r="B51" i="36"/>
  <c r="M50" i="36"/>
  <c r="A50" i="36" s="1"/>
  <c r="K50" i="36"/>
  <c r="J50" i="36"/>
  <c r="I50" i="36"/>
  <c r="B50" i="36"/>
  <c r="M49" i="36"/>
  <c r="A49" i="36" s="1"/>
  <c r="J49" i="36"/>
  <c r="K49" i="36" s="1"/>
  <c r="I49" i="36"/>
  <c r="B49" i="36"/>
  <c r="M48" i="36"/>
  <c r="J48" i="36"/>
  <c r="K48" i="36" s="1"/>
  <c r="I48" i="36"/>
  <c r="B48" i="36"/>
  <c r="A48" i="36"/>
  <c r="M47" i="36"/>
  <c r="A47" i="36" s="1"/>
  <c r="J47" i="36"/>
  <c r="K47" i="36" s="1"/>
  <c r="I47" i="36"/>
  <c r="B47" i="36"/>
  <c r="M46" i="36"/>
  <c r="A46" i="36" s="1"/>
  <c r="J46" i="36"/>
  <c r="K46" i="36" s="1"/>
  <c r="I46" i="36"/>
  <c r="B46" i="36"/>
  <c r="J45" i="36"/>
  <c r="K45" i="36" s="1"/>
  <c r="I45" i="36"/>
  <c r="M45" i="36" s="1"/>
  <c r="A45" i="36" s="1"/>
  <c r="B45" i="36"/>
  <c r="M44" i="36"/>
  <c r="A44" i="36" s="1"/>
  <c r="K44" i="36"/>
  <c r="J44" i="36"/>
  <c r="I44" i="36"/>
  <c r="B44" i="36"/>
  <c r="J43" i="36"/>
  <c r="K43" i="36" s="1"/>
  <c r="I43" i="36"/>
  <c r="M43" i="36" s="1"/>
  <c r="A43" i="36" s="1"/>
  <c r="B43" i="36"/>
  <c r="M42" i="36"/>
  <c r="A42" i="36" s="1"/>
  <c r="K42" i="36"/>
  <c r="J42" i="36"/>
  <c r="I42" i="36"/>
  <c r="B42" i="36"/>
  <c r="M41" i="36"/>
  <c r="A41" i="36" s="1"/>
  <c r="J41" i="36"/>
  <c r="K41" i="36" s="1"/>
  <c r="I41" i="36"/>
  <c r="B41" i="36"/>
  <c r="M40" i="36"/>
  <c r="J40" i="36"/>
  <c r="K40" i="36" s="1"/>
  <c r="I40" i="36"/>
  <c r="B40" i="36"/>
  <c r="A40" i="36"/>
  <c r="M39" i="36"/>
  <c r="A39" i="36" s="1"/>
  <c r="J39" i="36"/>
  <c r="K39" i="36" s="1"/>
  <c r="I39" i="36"/>
  <c r="B39" i="36"/>
  <c r="M38" i="36"/>
  <c r="A38" i="36" s="1"/>
  <c r="J38" i="36"/>
  <c r="K38" i="36" s="1"/>
  <c r="I38" i="36"/>
  <c r="B38" i="36"/>
  <c r="J37" i="36"/>
  <c r="K37" i="36" s="1"/>
  <c r="I37" i="36"/>
  <c r="M37" i="36" s="1"/>
  <c r="A37" i="36" s="1"/>
  <c r="B37" i="36"/>
  <c r="M36" i="36"/>
  <c r="A36" i="36" s="1"/>
  <c r="K36" i="36"/>
  <c r="J36" i="36"/>
  <c r="I36" i="36"/>
  <c r="B36" i="36"/>
  <c r="J35" i="36"/>
  <c r="K35" i="36" s="1"/>
  <c r="I35" i="36"/>
  <c r="M35" i="36" s="1"/>
  <c r="A35" i="36" s="1"/>
  <c r="B35" i="36"/>
  <c r="M34" i="36"/>
  <c r="A34" i="36" s="1"/>
  <c r="K34" i="36"/>
  <c r="J34" i="36"/>
  <c r="I34" i="36"/>
  <c r="B34" i="36"/>
  <c r="M33" i="36"/>
  <c r="A33" i="36" s="1"/>
  <c r="J33" i="36"/>
  <c r="K33" i="36" s="1"/>
  <c r="I33" i="36"/>
  <c r="B33" i="36"/>
  <c r="M32" i="36"/>
  <c r="J32" i="36"/>
  <c r="K32" i="36" s="1"/>
  <c r="I32" i="36"/>
  <c r="B32" i="36"/>
  <c r="A32" i="36"/>
  <c r="M31" i="36"/>
  <c r="A31" i="36" s="1"/>
  <c r="J31" i="36"/>
  <c r="K31" i="36" s="1"/>
  <c r="I31" i="36"/>
  <c r="B31" i="36"/>
  <c r="M30" i="36"/>
  <c r="A30" i="36" s="1"/>
  <c r="J30" i="36"/>
  <c r="K30" i="36" s="1"/>
  <c r="I30" i="36"/>
  <c r="B30" i="36"/>
  <c r="J29" i="36"/>
  <c r="K29" i="36" s="1"/>
  <c r="I29" i="36"/>
  <c r="M29" i="36" s="1"/>
  <c r="A29" i="36" s="1"/>
  <c r="B29" i="36"/>
  <c r="M28" i="36"/>
  <c r="A28" i="36" s="1"/>
  <c r="K28" i="36"/>
  <c r="J28" i="36"/>
  <c r="I28" i="36"/>
  <c r="B28" i="36"/>
  <c r="J27" i="36"/>
  <c r="K27" i="36" s="1"/>
  <c r="I27" i="36"/>
  <c r="M27" i="36" s="1"/>
  <c r="A27" i="36" s="1"/>
  <c r="B27" i="36"/>
  <c r="M26" i="36"/>
  <c r="A26" i="36" s="1"/>
  <c r="K26" i="36"/>
  <c r="J26" i="36"/>
  <c r="I26" i="36"/>
  <c r="B26" i="36"/>
  <c r="M25" i="36"/>
  <c r="A25" i="36" s="1"/>
  <c r="J25" i="36"/>
  <c r="K25" i="36" s="1"/>
  <c r="I25" i="36"/>
  <c r="B25" i="36"/>
  <c r="M24" i="36"/>
  <c r="J24" i="36"/>
  <c r="K24" i="36" s="1"/>
  <c r="I24" i="36"/>
  <c r="B24" i="36"/>
  <c r="A24" i="36"/>
  <c r="M23" i="36"/>
  <c r="A23" i="36" s="1"/>
  <c r="J23" i="36"/>
  <c r="K23" i="36" s="1"/>
  <c r="I23" i="36"/>
  <c r="B23" i="36"/>
  <c r="J22" i="36"/>
  <c r="K22" i="36" s="1"/>
  <c r="I22" i="36"/>
  <c r="M22" i="36" s="1"/>
  <c r="A22" i="36" s="1"/>
  <c r="B22" i="36"/>
  <c r="J21" i="36"/>
  <c r="K21" i="36" s="1"/>
  <c r="I21" i="36"/>
  <c r="M21" i="36" s="1"/>
  <c r="A21" i="36" s="1"/>
  <c r="B21" i="36"/>
  <c r="M20" i="36"/>
  <c r="A20" i="36" s="1"/>
  <c r="K20" i="36"/>
  <c r="J20" i="36"/>
  <c r="I20" i="36"/>
  <c r="B20" i="36"/>
  <c r="J19" i="36"/>
  <c r="K19" i="36" s="1"/>
  <c r="I19" i="36"/>
  <c r="M19" i="36" s="1"/>
  <c r="A19" i="36" s="1"/>
  <c r="B19" i="36"/>
  <c r="J18" i="36"/>
  <c r="K18" i="36" s="1"/>
  <c r="I18" i="36"/>
  <c r="M18" i="36" s="1"/>
  <c r="A18" i="36" s="1"/>
  <c r="B18" i="36"/>
  <c r="M17" i="36"/>
  <c r="A17" i="36" s="1"/>
  <c r="J17" i="36"/>
  <c r="K17" i="36" s="1"/>
  <c r="I17" i="36"/>
  <c r="B17" i="36"/>
  <c r="M16" i="36"/>
  <c r="A16" i="36" s="1"/>
  <c r="K16" i="36"/>
  <c r="J16" i="36"/>
  <c r="I16" i="36"/>
  <c r="B16" i="36"/>
  <c r="J15" i="36"/>
  <c r="K15" i="36" s="1"/>
  <c r="I15" i="36"/>
  <c r="M15" i="36" s="1"/>
  <c r="A15" i="36" s="1"/>
  <c r="B15" i="36"/>
  <c r="AI14" i="36"/>
  <c r="K14" i="36"/>
  <c r="J14" i="36"/>
  <c r="I14" i="36"/>
  <c r="M14" i="36" s="1"/>
  <c r="A14" i="36" s="1"/>
  <c r="B14" i="36"/>
  <c r="AI13" i="36"/>
  <c r="AI16" i="36" s="1"/>
  <c r="J13" i="36"/>
  <c r="K13" i="36" s="1"/>
  <c r="I13" i="36"/>
  <c r="M13" i="36" s="1"/>
  <c r="A13" i="36" s="1"/>
  <c r="B13" i="36"/>
  <c r="AI12" i="36"/>
  <c r="M12" i="36"/>
  <c r="A12" i="36" s="1"/>
  <c r="K12" i="36"/>
  <c r="J12" i="36"/>
  <c r="I12" i="36"/>
  <c r="B12" i="36"/>
  <c r="M11" i="36"/>
  <c r="A11" i="36" s="1"/>
  <c r="J11" i="36"/>
  <c r="K11" i="36" s="1"/>
  <c r="I11" i="36"/>
  <c r="B11" i="36"/>
  <c r="M10" i="36"/>
  <c r="K10" i="36"/>
  <c r="J10" i="36"/>
  <c r="I10" i="36"/>
  <c r="B10" i="36"/>
  <c r="A10" i="36"/>
  <c r="M9" i="36"/>
  <c r="J9" i="36"/>
  <c r="K9" i="36" s="1"/>
  <c r="I9" i="36"/>
  <c r="B9" i="36"/>
  <c r="A9" i="36"/>
  <c r="M8" i="36"/>
  <c r="A8" i="36" s="1"/>
  <c r="J8" i="36"/>
  <c r="K8" i="36" s="1"/>
  <c r="I8" i="36"/>
  <c r="B8" i="36"/>
  <c r="M7" i="36"/>
  <c r="A7" i="36" s="1"/>
  <c r="L7" i="36"/>
  <c r="K7" i="36"/>
  <c r="J7" i="36"/>
  <c r="I7" i="36"/>
  <c r="B7" i="36"/>
  <c r="L6" i="36"/>
  <c r="K6" i="36"/>
  <c r="J6" i="36"/>
  <c r="I6" i="36"/>
  <c r="M6" i="36" s="1"/>
  <c r="A6" i="36" s="1"/>
  <c r="B6" i="36"/>
  <c r="K2" i="36"/>
  <c r="L8" i="36" s="1"/>
  <c r="B11" i="19"/>
  <c r="B10" i="19"/>
  <c r="B9" i="19"/>
  <c r="B8" i="19"/>
  <c r="B7" i="19"/>
  <c r="B6" i="19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6" i="31"/>
  <c r="B7" i="31"/>
  <c r="B8" i="31"/>
  <c r="B9" i="31"/>
  <c r="B10" i="31"/>
  <c r="J6" i="31"/>
  <c r="B13" i="30"/>
  <c r="B12" i="30"/>
  <c r="B11" i="30"/>
  <c r="B10" i="30"/>
  <c r="B9" i="30"/>
  <c r="B8" i="30"/>
  <c r="B7" i="30"/>
  <c r="B6" i="30"/>
  <c r="V23" i="28"/>
  <c r="W23" i="28" s="1"/>
  <c r="V22" i="28"/>
  <c r="W22" i="28" s="1"/>
  <c r="V21" i="28"/>
  <c r="W21" i="28" s="1"/>
  <c r="V20" i="28"/>
  <c r="W20" i="28" s="1"/>
  <c r="V19" i="28"/>
  <c r="W19" i="28" s="1"/>
  <c r="V18" i="28"/>
  <c r="W18" i="28" s="1"/>
  <c r="V17" i="28"/>
  <c r="W17" i="28" s="1"/>
  <c r="V16" i="28"/>
  <c r="W16" i="28" s="1"/>
  <c r="V15" i="28"/>
  <c r="W15" i="28" s="1"/>
  <c r="V14" i="28"/>
  <c r="W14" i="28" s="1"/>
  <c r="V11" i="28"/>
  <c r="W11" i="28" s="1"/>
  <c r="V9" i="28"/>
  <c r="W9" i="28" s="1"/>
  <c r="V13" i="28"/>
  <c r="W13" i="28" s="1"/>
  <c r="V12" i="28"/>
  <c r="W12" i="28" s="1"/>
  <c r="V10" i="28"/>
  <c r="W10" i="28" s="1"/>
  <c r="V8" i="28"/>
  <c r="W8" i="28" s="1"/>
  <c r="V7" i="28"/>
  <c r="W7" i="28" s="1"/>
  <c r="V6" i="28"/>
  <c r="W6" i="28" s="1"/>
  <c r="X23" i="28"/>
  <c r="Y23" i="28" s="1"/>
  <c r="X22" i="28"/>
  <c r="Y22" i="28" s="1"/>
  <c r="X21" i="28"/>
  <c r="Y21" i="28" s="1"/>
  <c r="X20" i="28"/>
  <c r="Y20" i="28" s="1"/>
  <c r="X19" i="28"/>
  <c r="Y19" i="28" s="1"/>
  <c r="X18" i="28"/>
  <c r="Y18" i="28" s="1"/>
  <c r="X17" i="28"/>
  <c r="Y17" i="28" s="1"/>
  <c r="X16" i="28"/>
  <c r="Y16" i="28" s="1"/>
  <c r="X15" i="28"/>
  <c r="Y15" i="28" s="1"/>
  <c r="X14" i="28"/>
  <c r="Y14" i="28" s="1"/>
  <c r="X11" i="28"/>
  <c r="Y11" i="28" s="1"/>
  <c r="X9" i="28"/>
  <c r="Y9" i="28" s="1"/>
  <c r="X13" i="28"/>
  <c r="Y13" i="28" s="1"/>
  <c r="X12" i="28"/>
  <c r="Y12" i="28" s="1"/>
  <c r="X10" i="28"/>
  <c r="Y10" i="28" s="1"/>
  <c r="X8" i="28"/>
  <c r="Y8" i="28" s="1"/>
  <c r="X7" i="28"/>
  <c r="Y7" i="28" s="1"/>
  <c r="X6" i="28"/>
  <c r="Y6" i="28" s="1"/>
  <c r="B12" i="29"/>
  <c r="B11" i="29"/>
  <c r="B10" i="29"/>
  <c r="B9" i="29"/>
  <c r="B8" i="29"/>
  <c r="B7" i="29"/>
  <c r="B6" i="29"/>
  <c r="B11" i="18"/>
  <c r="B10" i="18"/>
  <c r="B9" i="18"/>
  <c r="B8" i="18"/>
  <c r="B7" i="18"/>
  <c r="B6" i="18"/>
  <c r="J6" i="18"/>
  <c r="B13" i="17"/>
  <c r="B12" i="17"/>
  <c r="B11" i="17"/>
  <c r="B10" i="17"/>
  <c r="B9" i="17"/>
  <c r="B8" i="17"/>
  <c r="B7" i="17"/>
  <c r="B6" i="17"/>
  <c r="B16" i="17"/>
  <c r="B15" i="17"/>
  <c r="B14" i="17"/>
  <c r="L9" i="36" l="1"/>
  <c r="AH23" i="28" a="1"/>
  <c r="AH23" i="28" s="1"/>
  <c r="AH22" i="28" a="1"/>
  <c r="AH22" i="28" s="1"/>
  <c r="AH21" i="28" a="1"/>
  <c r="AH21" i="28" s="1"/>
  <c r="AH20" i="28" a="1"/>
  <c r="AH20" i="28" s="1"/>
  <c r="AH19" i="28" a="1"/>
  <c r="AH19" i="28" s="1"/>
  <c r="AH18" i="28" a="1"/>
  <c r="AH18" i="28" s="1"/>
  <c r="AH17" i="28" a="1"/>
  <c r="AH17" i="28" s="1"/>
  <c r="AH16" i="28" a="1"/>
  <c r="AH16" i="28" s="1"/>
  <c r="AH15" i="28" a="1"/>
  <c r="AH15" i="28" s="1"/>
  <c r="AH11" i="28" a="1"/>
  <c r="AH11" i="28" s="1"/>
  <c r="AH10" i="28" a="1"/>
  <c r="AH10" i="28" s="1"/>
  <c r="AH13" i="28" a="1"/>
  <c r="AH13" i="28" s="1"/>
  <c r="AH9" i="28" a="1"/>
  <c r="AH9" i="28" s="1"/>
  <c r="AH12" i="28" a="1"/>
  <c r="AH12" i="28" s="1"/>
  <c r="AH14" i="28" a="1"/>
  <c r="AH14" i="28" s="1"/>
  <c r="AH8" i="28" a="1"/>
  <c r="AH8" i="28" s="1"/>
  <c r="AH6" i="28" a="1"/>
  <c r="AH6" i="28" s="1"/>
  <c r="B11" i="31"/>
  <c r="M12" i="28"/>
  <c r="M15" i="13"/>
  <c r="M7" i="28"/>
  <c r="M17" i="28"/>
  <c r="O17" i="28"/>
  <c r="AD23" i="28"/>
  <c r="AD22" i="28"/>
  <c r="AD21" i="28"/>
  <c r="AD20" i="28"/>
  <c r="AD19" i="28"/>
  <c r="AD18" i="28"/>
  <c r="AD9" i="28"/>
  <c r="AD10" i="28"/>
  <c r="AB23" i="28"/>
  <c r="AB22" i="28"/>
  <c r="AB21" i="28"/>
  <c r="AC21" i="28" s="1"/>
  <c r="AB20" i="28"/>
  <c r="AC20" i="28" s="1"/>
  <c r="AB19" i="28"/>
  <c r="AB18" i="28"/>
  <c r="AB17" i="28"/>
  <c r="AB16" i="28"/>
  <c r="AB15" i="28"/>
  <c r="AB11" i="28"/>
  <c r="AB8" i="28"/>
  <c r="AC8" i="28" s="1"/>
  <c r="AB13" i="28"/>
  <c r="AC13" i="28" s="1"/>
  <c r="AB9" i="28"/>
  <c r="AB12" i="28"/>
  <c r="AB14" i="28"/>
  <c r="AB10" i="28"/>
  <c r="AB6" i="28"/>
  <c r="AB7" i="28"/>
  <c r="Z23" i="28"/>
  <c r="AA23" i="28" s="1"/>
  <c r="Z22" i="28"/>
  <c r="AA22" i="28" s="1"/>
  <c r="Z21" i="28"/>
  <c r="AA21" i="28" s="1"/>
  <c r="Z20" i="28"/>
  <c r="AA20" i="28" s="1"/>
  <c r="Z19" i="28"/>
  <c r="AA19" i="28" s="1"/>
  <c r="Z18" i="28"/>
  <c r="AA18" i="28" s="1"/>
  <c r="Z17" i="28"/>
  <c r="AA17" i="28" s="1"/>
  <c r="Z16" i="28"/>
  <c r="AA16" i="28" s="1"/>
  <c r="Z15" i="28"/>
  <c r="AA15" i="28" s="1"/>
  <c r="Z11" i="28"/>
  <c r="AA11" i="28" s="1"/>
  <c r="Z8" i="28"/>
  <c r="AA8" i="28" s="1"/>
  <c r="Z13" i="28"/>
  <c r="AA13" i="28" s="1"/>
  <c r="Z9" i="28"/>
  <c r="AA9" i="28" s="1"/>
  <c r="Z12" i="28"/>
  <c r="AA12" i="28" s="1"/>
  <c r="Z14" i="28"/>
  <c r="AA14" i="28" s="1"/>
  <c r="Z10" i="28"/>
  <c r="AA10" i="28" s="1"/>
  <c r="Z6" i="28"/>
  <c r="AA6" i="28" s="1"/>
  <c r="Z7" i="28"/>
  <c r="AA7" i="28" s="1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K300" i="35"/>
  <c r="J300" i="35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K290" i="35"/>
  <c r="J290" i="35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K270" i="35"/>
  <c r="J270" i="35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K254" i="35"/>
  <c r="J254" i="35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K226" i="35"/>
  <c r="J226" i="35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K206" i="35"/>
  <c r="J206" i="35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K186" i="35"/>
  <c r="J186" i="35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K170" i="35"/>
  <c r="J170" i="35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K142" i="35"/>
  <c r="J142" i="35"/>
  <c r="I142" i="35"/>
  <c r="M142" i="35" s="1"/>
  <c r="J141" i="35"/>
  <c r="K141" i="35" s="1"/>
  <c r="I141" i="35"/>
  <c r="M141" i="35" s="1"/>
  <c r="J140" i="35"/>
  <c r="K140" i="35" s="1"/>
  <c r="I140" i="35"/>
  <c r="M140" i="35" s="1"/>
  <c r="A140" i="35" s="1"/>
  <c r="B140" i="35"/>
  <c r="K139" i="35"/>
  <c r="J139" i="35"/>
  <c r="I139" i="35"/>
  <c r="M139" i="35" s="1"/>
  <c r="A139" i="35" s="1"/>
  <c r="B139" i="35"/>
  <c r="J138" i="35"/>
  <c r="K138" i="35" s="1"/>
  <c r="I138" i="35"/>
  <c r="M138" i="35" s="1"/>
  <c r="A138" i="35" s="1"/>
  <c r="B138" i="35"/>
  <c r="J137" i="35"/>
  <c r="K137" i="35" s="1"/>
  <c r="I137" i="35"/>
  <c r="M137" i="35" s="1"/>
  <c r="A137" i="35" s="1"/>
  <c r="B137" i="35"/>
  <c r="J136" i="35"/>
  <c r="K136" i="35" s="1"/>
  <c r="I136" i="35"/>
  <c r="M136" i="35" s="1"/>
  <c r="A136" i="35" s="1"/>
  <c r="B136" i="35"/>
  <c r="J135" i="35"/>
  <c r="K135" i="35" s="1"/>
  <c r="I135" i="35"/>
  <c r="M135" i="35" s="1"/>
  <c r="A135" i="35" s="1"/>
  <c r="B135" i="35"/>
  <c r="J134" i="35"/>
  <c r="K134" i="35" s="1"/>
  <c r="I134" i="35"/>
  <c r="M134" i="35" s="1"/>
  <c r="A134" i="35" s="1"/>
  <c r="B134" i="35"/>
  <c r="J133" i="35"/>
  <c r="K133" i="35" s="1"/>
  <c r="I133" i="35"/>
  <c r="M133" i="35" s="1"/>
  <c r="A133" i="35" s="1"/>
  <c r="B133" i="35"/>
  <c r="J132" i="35"/>
  <c r="K132" i="35" s="1"/>
  <c r="I132" i="35"/>
  <c r="M132" i="35" s="1"/>
  <c r="A132" i="35" s="1"/>
  <c r="B132" i="35"/>
  <c r="J131" i="35"/>
  <c r="K131" i="35" s="1"/>
  <c r="I131" i="35"/>
  <c r="M131" i="35" s="1"/>
  <c r="A131" i="35" s="1"/>
  <c r="B131" i="35"/>
  <c r="M130" i="35"/>
  <c r="A130" i="35" s="1"/>
  <c r="J130" i="35"/>
  <c r="K130" i="35" s="1"/>
  <c r="I130" i="35"/>
  <c r="B130" i="35"/>
  <c r="J129" i="35"/>
  <c r="K129" i="35" s="1"/>
  <c r="I129" i="35"/>
  <c r="M129" i="35" s="1"/>
  <c r="A129" i="35" s="1"/>
  <c r="B129" i="35"/>
  <c r="J128" i="35"/>
  <c r="K128" i="35" s="1"/>
  <c r="I128" i="35"/>
  <c r="M128" i="35" s="1"/>
  <c r="A128" i="35" s="1"/>
  <c r="B128" i="35"/>
  <c r="J127" i="35"/>
  <c r="K127" i="35" s="1"/>
  <c r="I127" i="35"/>
  <c r="M127" i="35" s="1"/>
  <c r="A127" i="35" s="1"/>
  <c r="B127" i="35"/>
  <c r="J126" i="35"/>
  <c r="K126" i="35" s="1"/>
  <c r="I126" i="35"/>
  <c r="M126" i="35" s="1"/>
  <c r="A126" i="35" s="1"/>
  <c r="B126" i="35"/>
  <c r="J125" i="35"/>
  <c r="K125" i="35" s="1"/>
  <c r="I125" i="35"/>
  <c r="M125" i="35" s="1"/>
  <c r="A125" i="35" s="1"/>
  <c r="B125" i="35"/>
  <c r="J124" i="35"/>
  <c r="K124" i="35" s="1"/>
  <c r="I124" i="35"/>
  <c r="M124" i="35" s="1"/>
  <c r="A124" i="35" s="1"/>
  <c r="B124" i="35"/>
  <c r="J123" i="35"/>
  <c r="K123" i="35" s="1"/>
  <c r="I123" i="35"/>
  <c r="M123" i="35" s="1"/>
  <c r="A123" i="35" s="1"/>
  <c r="B123" i="35"/>
  <c r="J122" i="35"/>
  <c r="K122" i="35" s="1"/>
  <c r="I122" i="35"/>
  <c r="M122" i="35" s="1"/>
  <c r="A122" i="35" s="1"/>
  <c r="B122" i="35"/>
  <c r="J121" i="35"/>
  <c r="K121" i="35" s="1"/>
  <c r="I121" i="35"/>
  <c r="M121" i="35" s="1"/>
  <c r="A121" i="35" s="1"/>
  <c r="B121" i="35"/>
  <c r="M120" i="35"/>
  <c r="A120" i="35" s="1"/>
  <c r="J120" i="35"/>
  <c r="K120" i="35" s="1"/>
  <c r="I120" i="35"/>
  <c r="B120" i="35"/>
  <c r="J119" i="35"/>
  <c r="K119" i="35" s="1"/>
  <c r="I119" i="35"/>
  <c r="M119" i="35" s="1"/>
  <c r="A119" i="35" s="1"/>
  <c r="B119" i="35"/>
  <c r="M118" i="35"/>
  <c r="A118" i="35" s="1"/>
  <c r="J118" i="35"/>
  <c r="K118" i="35" s="1"/>
  <c r="I118" i="35"/>
  <c r="B118" i="35"/>
  <c r="J117" i="35"/>
  <c r="K117" i="35" s="1"/>
  <c r="I117" i="35"/>
  <c r="M117" i="35" s="1"/>
  <c r="A117" i="35" s="1"/>
  <c r="B117" i="35"/>
  <c r="J116" i="35"/>
  <c r="K116" i="35" s="1"/>
  <c r="I116" i="35"/>
  <c r="M116" i="35" s="1"/>
  <c r="A116" i="35" s="1"/>
  <c r="B116" i="35"/>
  <c r="J115" i="35"/>
  <c r="K115" i="35" s="1"/>
  <c r="I115" i="35"/>
  <c r="M115" i="35" s="1"/>
  <c r="A115" i="35" s="1"/>
  <c r="B115" i="35"/>
  <c r="M114" i="35"/>
  <c r="A114" i="35" s="1"/>
  <c r="J114" i="35"/>
  <c r="K114" i="35" s="1"/>
  <c r="I114" i="35"/>
  <c r="B114" i="35"/>
  <c r="J113" i="35"/>
  <c r="K113" i="35" s="1"/>
  <c r="I113" i="35"/>
  <c r="M113" i="35" s="1"/>
  <c r="A113" i="35" s="1"/>
  <c r="B113" i="35"/>
  <c r="M112" i="35"/>
  <c r="A112" i="35" s="1"/>
  <c r="J112" i="35"/>
  <c r="K112" i="35" s="1"/>
  <c r="I112" i="35"/>
  <c r="B112" i="35"/>
  <c r="J111" i="35"/>
  <c r="K111" i="35" s="1"/>
  <c r="I111" i="35"/>
  <c r="M111" i="35" s="1"/>
  <c r="A111" i="35" s="1"/>
  <c r="B111" i="35"/>
  <c r="J110" i="35"/>
  <c r="K110" i="35" s="1"/>
  <c r="I110" i="35"/>
  <c r="M110" i="35" s="1"/>
  <c r="A110" i="35" s="1"/>
  <c r="B110" i="35"/>
  <c r="J109" i="35"/>
  <c r="K109" i="35" s="1"/>
  <c r="I109" i="35"/>
  <c r="M109" i="35" s="1"/>
  <c r="A109" i="35" s="1"/>
  <c r="B109" i="35"/>
  <c r="J108" i="35"/>
  <c r="K108" i="35" s="1"/>
  <c r="I108" i="35"/>
  <c r="M108" i="35" s="1"/>
  <c r="A108" i="35" s="1"/>
  <c r="B108" i="35"/>
  <c r="J107" i="35"/>
  <c r="K107" i="35" s="1"/>
  <c r="I107" i="35"/>
  <c r="M107" i="35" s="1"/>
  <c r="A107" i="35" s="1"/>
  <c r="B107" i="35"/>
  <c r="J106" i="35"/>
  <c r="K106" i="35" s="1"/>
  <c r="I106" i="35"/>
  <c r="M106" i="35" s="1"/>
  <c r="A106" i="35" s="1"/>
  <c r="B106" i="35"/>
  <c r="J105" i="35"/>
  <c r="K105" i="35" s="1"/>
  <c r="I105" i="35"/>
  <c r="M105" i="35" s="1"/>
  <c r="A105" i="35" s="1"/>
  <c r="B105" i="35"/>
  <c r="M104" i="35"/>
  <c r="A104" i="35" s="1"/>
  <c r="J104" i="35"/>
  <c r="K104" i="35" s="1"/>
  <c r="I104" i="35"/>
  <c r="B104" i="35"/>
  <c r="J103" i="35"/>
  <c r="K103" i="35" s="1"/>
  <c r="I103" i="35"/>
  <c r="M103" i="35" s="1"/>
  <c r="A103" i="35" s="1"/>
  <c r="B103" i="35"/>
  <c r="M102" i="35"/>
  <c r="A102" i="35" s="1"/>
  <c r="J102" i="35"/>
  <c r="K102" i="35" s="1"/>
  <c r="I102" i="35"/>
  <c r="B102" i="35"/>
  <c r="J101" i="35"/>
  <c r="K101" i="35" s="1"/>
  <c r="I101" i="35"/>
  <c r="M101" i="35" s="1"/>
  <c r="A101" i="35" s="1"/>
  <c r="B101" i="35"/>
  <c r="J100" i="35"/>
  <c r="K100" i="35" s="1"/>
  <c r="I100" i="35"/>
  <c r="M100" i="35" s="1"/>
  <c r="A100" i="35" s="1"/>
  <c r="B100" i="35"/>
  <c r="J99" i="35"/>
  <c r="K99" i="35" s="1"/>
  <c r="I99" i="35"/>
  <c r="M99" i="35" s="1"/>
  <c r="A99" i="35" s="1"/>
  <c r="B99" i="35"/>
  <c r="M98" i="35"/>
  <c r="A98" i="35" s="1"/>
  <c r="J98" i="35"/>
  <c r="K98" i="35" s="1"/>
  <c r="I98" i="35"/>
  <c r="B98" i="35"/>
  <c r="J97" i="35"/>
  <c r="K97" i="35" s="1"/>
  <c r="I97" i="35"/>
  <c r="M97" i="35" s="1"/>
  <c r="A97" i="35" s="1"/>
  <c r="B97" i="35"/>
  <c r="M96" i="35"/>
  <c r="A96" i="35" s="1"/>
  <c r="J96" i="35"/>
  <c r="K96" i="35" s="1"/>
  <c r="I96" i="35"/>
  <c r="B96" i="35"/>
  <c r="J95" i="35"/>
  <c r="K95" i="35" s="1"/>
  <c r="I95" i="35"/>
  <c r="M95" i="35" s="1"/>
  <c r="A95" i="35" s="1"/>
  <c r="B95" i="35"/>
  <c r="J94" i="35"/>
  <c r="K94" i="35" s="1"/>
  <c r="I94" i="35"/>
  <c r="M94" i="35" s="1"/>
  <c r="A94" i="35" s="1"/>
  <c r="B94" i="35"/>
  <c r="J93" i="35"/>
  <c r="K93" i="35" s="1"/>
  <c r="I93" i="35"/>
  <c r="M93" i="35" s="1"/>
  <c r="A93" i="35" s="1"/>
  <c r="B93" i="35"/>
  <c r="J92" i="35"/>
  <c r="K92" i="35" s="1"/>
  <c r="I92" i="35"/>
  <c r="M92" i="35" s="1"/>
  <c r="A92" i="35" s="1"/>
  <c r="B92" i="35"/>
  <c r="J91" i="35"/>
  <c r="K91" i="35" s="1"/>
  <c r="I91" i="35"/>
  <c r="M91" i="35" s="1"/>
  <c r="A91" i="35" s="1"/>
  <c r="B91" i="35"/>
  <c r="J90" i="35"/>
  <c r="K90" i="35" s="1"/>
  <c r="I90" i="35"/>
  <c r="M90" i="35" s="1"/>
  <c r="A90" i="35" s="1"/>
  <c r="B90" i="35"/>
  <c r="J89" i="35"/>
  <c r="K89" i="35" s="1"/>
  <c r="I89" i="35"/>
  <c r="M89" i="35" s="1"/>
  <c r="A89" i="35" s="1"/>
  <c r="B89" i="35"/>
  <c r="M88" i="35"/>
  <c r="A88" i="35" s="1"/>
  <c r="J88" i="35"/>
  <c r="K88" i="35" s="1"/>
  <c r="I88" i="35"/>
  <c r="B88" i="35"/>
  <c r="J87" i="35"/>
  <c r="K87" i="35" s="1"/>
  <c r="I87" i="35"/>
  <c r="M87" i="35" s="1"/>
  <c r="A87" i="35" s="1"/>
  <c r="B87" i="35"/>
  <c r="M86" i="35"/>
  <c r="A86" i="35" s="1"/>
  <c r="J86" i="35"/>
  <c r="K86" i="35" s="1"/>
  <c r="I86" i="35"/>
  <c r="B86" i="35"/>
  <c r="J85" i="35"/>
  <c r="K85" i="35" s="1"/>
  <c r="I85" i="35"/>
  <c r="M85" i="35" s="1"/>
  <c r="A85" i="35" s="1"/>
  <c r="B85" i="35"/>
  <c r="J84" i="35"/>
  <c r="K84" i="35" s="1"/>
  <c r="I84" i="35"/>
  <c r="M84" i="35" s="1"/>
  <c r="A84" i="35" s="1"/>
  <c r="B84" i="35"/>
  <c r="J83" i="35"/>
  <c r="K83" i="35" s="1"/>
  <c r="I83" i="35"/>
  <c r="M83" i="35" s="1"/>
  <c r="A83" i="35" s="1"/>
  <c r="B83" i="35"/>
  <c r="M82" i="35"/>
  <c r="A82" i="35" s="1"/>
  <c r="J82" i="35"/>
  <c r="K82" i="35" s="1"/>
  <c r="I82" i="35"/>
  <c r="B82" i="35"/>
  <c r="J81" i="35"/>
  <c r="K81" i="35" s="1"/>
  <c r="I81" i="35"/>
  <c r="M81" i="35" s="1"/>
  <c r="A81" i="35" s="1"/>
  <c r="B81" i="35"/>
  <c r="M80" i="35"/>
  <c r="A80" i="35" s="1"/>
  <c r="J80" i="35"/>
  <c r="K80" i="35" s="1"/>
  <c r="I80" i="35"/>
  <c r="B80" i="35"/>
  <c r="J79" i="35"/>
  <c r="K79" i="35" s="1"/>
  <c r="I79" i="35"/>
  <c r="M79" i="35" s="1"/>
  <c r="A79" i="35" s="1"/>
  <c r="B79" i="35"/>
  <c r="J78" i="35"/>
  <c r="K78" i="35" s="1"/>
  <c r="I78" i="35"/>
  <c r="M78" i="35" s="1"/>
  <c r="A78" i="35" s="1"/>
  <c r="B78" i="35"/>
  <c r="J77" i="35"/>
  <c r="K77" i="35" s="1"/>
  <c r="I77" i="35"/>
  <c r="M77" i="35" s="1"/>
  <c r="A77" i="35" s="1"/>
  <c r="B77" i="35"/>
  <c r="J76" i="35"/>
  <c r="K76" i="35" s="1"/>
  <c r="I76" i="35"/>
  <c r="M76" i="35" s="1"/>
  <c r="A76" i="35" s="1"/>
  <c r="B76" i="35"/>
  <c r="J75" i="35"/>
  <c r="K75" i="35" s="1"/>
  <c r="I75" i="35"/>
  <c r="M75" i="35" s="1"/>
  <c r="A75" i="35" s="1"/>
  <c r="B75" i="35"/>
  <c r="J74" i="35"/>
  <c r="K74" i="35" s="1"/>
  <c r="I74" i="35"/>
  <c r="M74" i="35" s="1"/>
  <c r="A74" i="35" s="1"/>
  <c r="B74" i="35"/>
  <c r="J73" i="35"/>
  <c r="K73" i="35" s="1"/>
  <c r="I73" i="35"/>
  <c r="M73" i="35" s="1"/>
  <c r="A73" i="35" s="1"/>
  <c r="B73" i="35"/>
  <c r="M72" i="35"/>
  <c r="A72" i="35" s="1"/>
  <c r="J72" i="35"/>
  <c r="K72" i="35" s="1"/>
  <c r="I72" i="35"/>
  <c r="B72" i="35"/>
  <c r="J71" i="35"/>
  <c r="K71" i="35" s="1"/>
  <c r="I71" i="35"/>
  <c r="M71" i="35" s="1"/>
  <c r="A71" i="35" s="1"/>
  <c r="B71" i="35"/>
  <c r="M70" i="35"/>
  <c r="A70" i="35" s="1"/>
  <c r="J70" i="35"/>
  <c r="K70" i="35" s="1"/>
  <c r="I70" i="35"/>
  <c r="B70" i="35"/>
  <c r="J69" i="35"/>
  <c r="K69" i="35" s="1"/>
  <c r="I69" i="35"/>
  <c r="M69" i="35" s="1"/>
  <c r="A69" i="35" s="1"/>
  <c r="B69" i="35"/>
  <c r="J68" i="35"/>
  <c r="K68" i="35" s="1"/>
  <c r="I68" i="35"/>
  <c r="M68" i="35" s="1"/>
  <c r="A68" i="35" s="1"/>
  <c r="B68" i="35"/>
  <c r="J67" i="35"/>
  <c r="K67" i="35" s="1"/>
  <c r="I67" i="35"/>
  <c r="M67" i="35" s="1"/>
  <c r="A67" i="35" s="1"/>
  <c r="B67" i="35"/>
  <c r="M66" i="35"/>
  <c r="A66" i="35" s="1"/>
  <c r="J66" i="35"/>
  <c r="K66" i="35" s="1"/>
  <c r="I66" i="35"/>
  <c r="B66" i="35"/>
  <c r="J65" i="35"/>
  <c r="K65" i="35" s="1"/>
  <c r="I65" i="35"/>
  <c r="M65" i="35" s="1"/>
  <c r="A65" i="35" s="1"/>
  <c r="B65" i="35"/>
  <c r="M64" i="35"/>
  <c r="A64" i="35" s="1"/>
  <c r="J64" i="35"/>
  <c r="K64" i="35" s="1"/>
  <c r="I64" i="35"/>
  <c r="B64" i="35"/>
  <c r="J63" i="35"/>
  <c r="K63" i="35" s="1"/>
  <c r="I63" i="35"/>
  <c r="M63" i="35" s="1"/>
  <c r="A63" i="35" s="1"/>
  <c r="B63" i="35"/>
  <c r="J62" i="35"/>
  <c r="K62" i="35" s="1"/>
  <c r="I62" i="35"/>
  <c r="M62" i="35" s="1"/>
  <c r="A62" i="35" s="1"/>
  <c r="B62" i="35"/>
  <c r="J61" i="35"/>
  <c r="K61" i="35" s="1"/>
  <c r="I61" i="35"/>
  <c r="M61" i="35" s="1"/>
  <c r="A61" i="35" s="1"/>
  <c r="B61" i="35"/>
  <c r="J60" i="35"/>
  <c r="K60" i="35" s="1"/>
  <c r="I60" i="35"/>
  <c r="M60" i="35" s="1"/>
  <c r="A60" i="35" s="1"/>
  <c r="B60" i="35"/>
  <c r="J59" i="35"/>
  <c r="K59" i="35" s="1"/>
  <c r="I59" i="35"/>
  <c r="M59" i="35" s="1"/>
  <c r="A59" i="35" s="1"/>
  <c r="B59" i="35"/>
  <c r="J58" i="35"/>
  <c r="K58" i="35" s="1"/>
  <c r="I58" i="35"/>
  <c r="M58" i="35" s="1"/>
  <c r="A58" i="35" s="1"/>
  <c r="B58" i="35"/>
  <c r="J57" i="35"/>
  <c r="K57" i="35" s="1"/>
  <c r="I57" i="35"/>
  <c r="M57" i="35" s="1"/>
  <c r="A57" i="35" s="1"/>
  <c r="B57" i="35"/>
  <c r="M56" i="35"/>
  <c r="A56" i="35" s="1"/>
  <c r="J56" i="35"/>
  <c r="K56" i="35" s="1"/>
  <c r="I56" i="35"/>
  <c r="B56" i="35"/>
  <c r="J55" i="35"/>
  <c r="K55" i="35" s="1"/>
  <c r="I55" i="35"/>
  <c r="M55" i="35" s="1"/>
  <c r="A55" i="35" s="1"/>
  <c r="B55" i="35"/>
  <c r="M54" i="35"/>
  <c r="A54" i="35" s="1"/>
  <c r="J54" i="35"/>
  <c r="K54" i="35" s="1"/>
  <c r="I54" i="35"/>
  <c r="B54" i="35"/>
  <c r="J53" i="35"/>
  <c r="K53" i="35" s="1"/>
  <c r="I53" i="35"/>
  <c r="M53" i="35" s="1"/>
  <c r="A53" i="35" s="1"/>
  <c r="B53" i="35"/>
  <c r="J52" i="35"/>
  <c r="K52" i="35" s="1"/>
  <c r="I52" i="35"/>
  <c r="M52" i="35" s="1"/>
  <c r="A52" i="35" s="1"/>
  <c r="B52" i="35"/>
  <c r="J51" i="35"/>
  <c r="K51" i="35" s="1"/>
  <c r="I51" i="35"/>
  <c r="M51" i="35" s="1"/>
  <c r="A51" i="35" s="1"/>
  <c r="B51" i="35"/>
  <c r="M50" i="35"/>
  <c r="A50" i="35" s="1"/>
  <c r="J50" i="35"/>
  <c r="K50" i="35" s="1"/>
  <c r="I50" i="35"/>
  <c r="B50" i="35"/>
  <c r="J49" i="35"/>
  <c r="K49" i="35" s="1"/>
  <c r="I49" i="35"/>
  <c r="M49" i="35" s="1"/>
  <c r="A49" i="35" s="1"/>
  <c r="B49" i="35"/>
  <c r="M48" i="35"/>
  <c r="A48" i="35" s="1"/>
  <c r="J48" i="35"/>
  <c r="K48" i="35" s="1"/>
  <c r="I48" i="35"/>
  <c r="B48" i="35"/>
  <c r="J47" i="35"/>
  <c r="K47" i="35" s="1"/>
  <c r="I47" i="35"/>
  <c r="M47" i="35" s="1"/>
  <c r="A47" i="35" s="1"/>
  <c r="B47" i="35"/>
  <c r="J46" i="35"/>
  <c r="K46" i="35" s="1"/>
  <c r="I46" i="35"/>
  <c r="M46" i="35" s="1"/>
  <c r="A46" i="35" s="1"/>
  <c r="B46" i="35"/>
  <c r="J45" i="35"/>
  <c r="K45" i="35" s="1"/>
  <c r="I45" i="35"/>
  <c r="M45" i="35" s="1"/>
  <c r="A45" i="35" s="1"/>
  <c r="B45" i="35"/>
  <c r="J44" i="35"/>
  <c r="K44" i="35" s="1"/>
  <c r="I44" i="35"/>
  <c r="M44" i="35" s="1"/>
  <c r="A44" i="35" s="1"/>
  <c r="B44" i="35"/>
  <c r="J43" i="35"/>
  <c r="K43" i="35" s="1"/>
  <c r="I43" i="35"/>
  <c r="M43" i="35" s="1"/>
  <c r="A43" i="35" s="1"/>
  <c r="B43" i="35"/>
  <c r="J42" i="35"/>
  <c r="K42" i="35" s="1"/>
  <c r="I42" i="35"/>
  <c r="M42" i="35" s="1"/>
  <c r="A42" i="35" s="1"/>
  <c r="B42" i="35"/>
  <c r="J41" i="35"/>
  <c r="K41" i="35" s="1"/>
  <c r="I41" i="35"/>
  <c r="M41" i="35" s="1"/>
  <c r="A41" i="35" s="1"/>
  <c r="B41" i="35"/>
  <c r="M40" i="35"/>
  <c r="A40" i="35" s="1"/>
  <c r="J40" i="35"/>
  <c r="K40" i="35" s="1"/>
  <c r="I40" i="35"/>
  <c r="B40" i="35"/>
  <c r="J39" i="35"/>
  <c r="K39" i="35" s="1"/>
  <c r="I39" i="35"/>
  <c r="M39" i="35" s="1"/>
  <c r="A39" i="35" s="1"/>
  <c r="B39" i="35"/>
  <c r="M38" i="35"/>
  <c r="A38" i="35" s="1"/>
  <c r="J38" i="35"/>
  <c r="K38" i="35" s="1"/>
  <c r="I38" i="35"/>
  <c r="B38" i="35"/>
  <c r="J37" i="35"/>
  <c r="K37" i="35" s="1"/>
  <c r="I37" i="35"/>
  <c r="M37" i="35" s="1"/>
  <c r="A37" i="35" s="1"/>
  <c r="B37" i="35"/>
  <c r="J36" i="35"/>
  <c r="K36" i="35" s="1"/>
  <c r="I36" i="35"/>
  <c r="M36" i="35" s="1"/>
  <c r="A36" i="35" s="1"/>
  <c r="B36" i="35"/>
  <c r="J35" i="35"/>
  <c r="K35" i="35" s="1"/>
  <c r="I35" i="35"/>
  <c r="M35" i="35" s="1"/>
  <c r="A35" i="35" s="1"/>
  <c r="B35" i="35"/>
  <c r="M34" i="35"/>
  <c r="A34" i="35" s="1"/>
  <c r="J34" i="35"/>
  <c r="K34" i="35" s="1"/>
  <c r="I34" i="35"/>
  <c r="B34" i="35"/>
  <c r="J33" i="35"/>
  <c r="K33" i="35" s="1"/>
  <c r="I33" i="35"/>
  <c r="M33" i="35" s="1"/>
  <c r="A33" i="35" s="1"/>
  <c r="B33" i="35"/>
  <c r="M32" i="35"/>
  <c r="A32" i="35" s="1"/>
  <c r="J32" i="35"/>
  <c r="K32" i="35" s="1"/>
  <c r="I32" i="35"/>
  <c r="B32" i="35"/>
  <c r="J31" i="35"/>
  <c r="K31" i="35" s="1"/>
  <c r="I31" i="35"/>
  <c r="M31" i="35" s="1"/>
  <c r="A31" i="35" s="1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J27" i="35"/>
  <c r="K27" i="35" s="1"/>
  <c r="I27" i="35"/>
  <c r="M27" i="35" s="1"/>
  <c r="A27" i="35" s="1"/>
  <c r="B27" i="35"/>
  <c r="J26" i="35"/>
  <c r="K26" i="35" s="1"/>
  <c r="I26" i="35"/>
  <c r="M26" i="35" s="1"/>
  <c r="A26" i="35" s="1"/>
  <c r="B26" i="35"/>
  <c r="J25" i="35"/>
  <c r="K25" i="35" s="1"/>
  <c r="I25" i="35"/>
  <c r="M25" i="35" s="1"/>
  <c r="A25" i="35" s="1"/>
  <c r="B25" i="35"/>
  <c r="M24" i="35"/>
  <c r="A24" i="35" s="1"/>
  <c r="J24" i="35"/>
  <c r="K24" i="35" s="1"/>
  <c r="I24" i="35"/>
  <c r="B24" i="35"/>
  <c r="J23" i="35"/>
  <c r="K23" i="35" s="1"/>
  <c r="I23" i="35"/>
  <c r="M23" i="35" s="1"/>
  <c r="A23" i="35" s="1"/>
  <c r="B23" i="35"/>
  <c r="M22" i="35"/>
  <c r="A22" i="35" s="1"/>
  <c r="J22" i="35"/>
  <c r="K22" i="35" s="1"/>
  <c r="I22" i="35"/>
  <c r="B22" i="35"/>
  <c r="J21" i="35"/>
  <c r="K21" i="35" s="1"/>
  <c r="I21" i="35"/>
  <c r="M21" i="35" s="1"/>
  <c r="A21" i="35" s="1"/>
  <c r="B21" i="35"/>
  <c r="J20" i="35"/>
  <c r="K20" i="35" s="1"/>
  <c r="I20" i="35"/>
  <c r="M20" i="35" s="1"/>
  <c r="A20" i="35" s="1"/>
  <c r="B20" i="35"/>
  <c r="J19" i="35"/>
  <c r="K19" i="35" s="1"/>
  <c r="I19" i="35"/>
  <c r="M19" i="35" s="1"/>
  <c r="A19" i="35" s="1"/>
  <c r="B19" i="35"/>
  <c r="M18" i="35"/>
  <c r="A18" i="35" s="1"/>
  <c r="J18" i="35"/>
  <c r="K18" i="35" s="1"/>
  <c r="I18" i="35"/>
  <c r="B18" i="35"/>
  <c r="J17" i="35"/>
  <c r="K17" i="35" s="1"/>
  <c r="I17" i="35"/>
  <c r="M17" i="35" s="1"/>
  <c r="A17" i="35" s="1"/>
  <c r="B17" i="35"/>
  <c r="AD14" i="28" s="1"/>
  <c r="J16" i="35"/>
  <c r="K16" i="35" s="1"/>
  <c r="I16" i="35"/>
  <c r="B16" i="35"/>
  <c r="J15" i="35"/>
  <c r="K15" i="35" s="1"/>
  <c r="I15" i="35"/>
  <c r="B15" i="35"/>
  <c r="AI14" i="35"/>
  <c r="J14" i="35"/>
  <c r="K14" i="35" s="1"/>
  <c r="I14" i="35"/>
  <c r="M14" i="35" s="1"/>
  <c r="A14" i="35" s="1"/>
  <c r="B14" i="35"/>
  <c r="AD12" i="28" s="1"/>
  <c r="AI13" i="35"/>
  <c r="AI16" i="35" s="1"/>
  <c r="J13" i="35"/>
  <c r="K13" i="35" s="1"/>
  <c r="I13" i="35"/>
  <c r="B13" i="35"/>
  <c r="AD7" i="28" s="1"/>
  <c r="AI12" i="35"/>
  <c r="M12" i="35"/>
  <c r="A12" i="35" s="1"/>
  <c r="J12" i="35"/>
  <c r="K12" i="35" s="1"/>
  <c r="I12" i="35"/>
  <c r="B12" i="35"/>
  <c r="J11" i="35"/>
  <c r="K11" i="35" s="1"/>
  <c r="M11" i="35" s="1"/>
  <c r="A11" i="35" s="1"/>
  <c r="I11" i="35"/>
  <c r="B11" i="35"/>
  <c r="J10" i="35"/>
  <c r="K10" i="35" s="1"/>
  <c r="I10" i="35"/>
  <c r="M10" i="35" s="1"/>
  <c r="A10" i="35" s="1"/>
  <c r="B10" i="35"/>
  <c r="J9" i="35"/>
  <c r="K9" i="35" s="1"/>
  <c r="M9" i="35" s="1"/>
  <c r="A9" i="35" s="1"/>
  <c r="I9" i="35"/>
  <c r="B9" i="35"/>
  <c r="AD8" i="28" s="1"/>
  <c r="J8" i="35"/>
  <c r="K8" i="35" s="1"/>
  <c r="I8" i="35"/>
  <c r="B8" i="35"/>
  <c r="AD6" i="28" s="1"/>
  <c r="K7" i="35"/>
  <c r="J7" i="35"/>
  <c r="I7" i="35"/>
  <c r="B7" i="35"/>
  <c r="J6" i="35"/>
  <c r="K6" i="35" s="1"/>
  <c r="I6" i="35"/>
  <c r="B6" i="35"/>
  <c r="AD11" i="28" s="1"/>
  <c r="K2" i="35"/>
  <c r="L9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J305" i="34"/>
  <c r="K305" i="34" s="1"/>
  <c r="I305" i="34"/>
  <c r="M305" i="34" s="1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M301" i="34"/>
  <c r="J301" i="34"/>
  <c r="K301" i="34" s="1"/>
  <c r="I301" i="34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M294" i="34"/>
  <c r="J294" i="34"/>
  <c r="K294" i="34" s="1"/>
  <c r="I294" i="34"/>
  <c r="J293" i="34"/>
  <c r="K293" i="34" s="1"/>
  <c r="I293" i="34"/>
  <c r="M293" i="34" s="1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J287" i="34"/>
  <c r="K287" i="34" s="1"/>
  <c r="I287" i="34"/>
  <c r="M287" i="34" s="1"/>
  <c r="M286" i="34"/>
  <c r="J286" i="34"/>
  <c r="K286" i="34" s="1"/>
  <c r="I286" i="34"/>
  <c r="M285" i="34"/>
  <c r="J285" i="34"/>
  <c r="K285" i="34" s="1"/>
  <c r="I285" i="34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M255" i="34"/>
  <c r="J255" i="34"/>
  <c r="K255" i="34" s="1"/>
  <c r="I255" i="34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J247" i="34"/>
  <c r="K247" i="34" s="1"/>
  <c r="I247" i="34"/>
  <c r="M247" i="34" s="1"/>
  <c r="M246" i="34"/>
  <c r="J246" i="34"/>
  <c r="K246" i="34" s="1"/>
  <c r="I246" i="34"/>
  <c r="J245" i="34"/>
  <c r="K245" i="34" s="1"/>
  <c r="I245" i="34"/>
  <c r="M245" i="34" s="1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M239" i="34"/>
  <c r="J239" i="34"/>
  <c r="K239" i="34" s="1"/>
  <c r="I239" i="34"/>
  <c r="J238" i="34"/>
  <c r="K238" i="34" s="1"/>
  <c r="I238" i="34"/>
  <c r="M238" i="34" s="1"/>
  <c r="M237" i="34"/>
  <c r="J237" i="34"/>
  <c r="K237" i="34" s="1"/>
  <c r="I237" i="34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M233" i="34"/>
  <c r="J233" i="34"/>
  <c r="K233" i="34" s="1"/>
  <c r="I233" i="34"/>
  <c r="J232" i="34"/>
  <c r="K232" i="34" s="1"/>
  <c r="I232" i="34"/>
  <c r="M232" i="34" s="1"/>
  <c r="M231" i="34"/>
  <c r="J231" i="34"/>
  <c r="K231" i="34" s="1"/>
  <c r="I231" i="34"/>
  <c r="M230" i="34"/>
  <c r="J230" i="34"/>
  <c r="K230" i="34" s="1"/>
  <c r="I230" i="34"/>
  <c r="J229" i="34"/>
  <c r="K229" i="34" s="1"/>
  <c r="I229" i="34"/>
  <c r="M229" i="34" s="1"/>
  <c r="J228" i="34"/>
  <c r="K228" i="34" s="1"/>
  <c r="I228" i="34"/>
  <c r="M228" i="34" s="1"/>
  <c r="M227" i="34"/>
  <c r="J227" i="34"/>
  <c r="K227" i="34" s="1"/>
  <c r="I227" i="34"/>
  <c r="J226" i="34"/>
  <c r="K226" i="34" s="1"/>
  <c r="I226" i="34"/>
  <c r="M226" i="34" s="1"/>
  <c r="M225" i="34"/>
  <c r="J225" i="34"/>
  <c r="K225" i="34" s="1"/>
  <c r="I225" i="34"/>
  <c r="J224" i="34"/>
  <c r="K224" i="34" s="1"/>
  <c r="I224" i="34"/>
  <c r="M224" i="34" s="1"/>
  <c r="J223" i="34"/>
  <c r="K223" i="34" s="1"/>
  <c r="I223" i="34"/>
  <c r="M223" i="34" s="1"/>
  <c r="M222" i="34"/>
  <c r="J222" i="34"/>
  <c r="K222" i="34" s="1"/>
  <c r="I222" i="34"/>
  <c r="M221" i="34"/>
  <c r="J221" i="34"/>
  <c r="K221" i="34" s="1"/>
  <c r="I221" i="34"/>
  <c r="J220" i="34"/>
  <c r="K220" i="34" s="1"/>
  <c r="I220" i="34"/>
  <c r="M220" i="34" s="1"/>
  <c r="M219" i="34"/>
  <c r="J219" i="34"/>
  <c r="K219" i="34" s="1"/>
  <c r="I219" i="34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M214" i="34"/>
  <c r="J214" i="34"/>
  <c r="K214" i="34" s="1"/>
  <c r="I214" i="34"/>
  <c r="J213" i="34"/>
  <c r="K213" i="34" s="1"/>
  <c r="I213" i="34"/>
  <c r="M213" i="34" s="1"/>
  <c r="J212" i="34"/>
  <c r="K212" i="34" s="1"/>
  <c r="I212" i="34"/>
  <c r="M212" i="34" s="1"/>
  <c r="M211" i="34"/>
  <c r="J211" i="34"/>
  <c r="K211" i="34" s="1"/>
  <c r="I211" i="34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M205" i="34"/>
  <c r="J205" i="34"/>
  <c r="K205" i="34" s="1"/>
  <c r="I205" i="34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M198" i="34"/>
  <c r="J198" i="34"/>
  <c r="K198" i="34" s="1"/>
  <c r="I198" i="34"/>
  <c r="J197" i="34"/>
  <c r="K197" i="34" s="1"/>
  <c r="I197" i="34"/>
  <c r="M197" i="34" s="1"/>
  <c r="J196" i="34"/>
  <c r="K196" i="34" s="1"/>
  <c r="I196" i="34"/>
  <c r="M196" i="34" s="1"/>
  <c r="M195" i="34"/>
  <c r="J195" i="34"/>
  <c r="K195" i="34" s="1"/>
  <c r="I195" i="34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M181" i="34"/>
  <c r="J181" i="34"/>
  <c r="K181" i="34" s="1"/>
  <c r="I181" i="34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M174" i="34"/>
  <c r="J174" i="34"/>
  <c r="K174" i="34" s="1"/>
  <c r="I174" i="34"/>
  <c r="J173" i="34"/>
  <c r="K173" i="34" s="1"/>
  <c r="I173" i="34"/>
  <c r="M173" i="34" s="1"/>
  <c r="J172" i="34"/>
  <c r="K172" i="34" s="1"/>
  <c r="I172" i="34"/>
  <c r="M172" i="34" s="1"/>
  <c r="M171" i="34"/>
  <c r="J171" i="34"/>
  <c r="K171" i="34" s="1"/>
  <c r="I171" i="34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M165" i="34"/>
  <c r="J165" i="34"/>
  <c r="K165" i="34" s="1"/>
  <c r="I165" i="34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M158" i="34"/>
  <c r="J158" i="34"/>
  <c r="K158" i="34" s="1"/>
  <c r="I158" i="34"/>
  <c r="M157" i="34"/>
  <c r="J157" i="34"/>
  <c r="K157" i="34" s="1"/>
  <c r="I157" i="34"/>
  <c r="J156" i="34"/>
  <c r="K156" i="34" s="1"/>
  <c r="I156" i="34"/>
  <c r="M156" i="34" s="1"/>
  <c r="M155" i="34"/>
  <c r="J155" i="34"/>
  <c r="K155" i="34" s="1"/>
  <c r="I155" i="34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K151" i="34"/>
  <c r="J151" i="34"/>
  <c r="I151" i="34"/>
  <c r="M151" i="34" s="1"/>
  <c r="J150" i="34"/>
  <c r="K150" i="34" s="1"/>
  <c r="I150" i="34"/>
  <c r="M150" i="34" s="1"/>
  <c r="J149" i="34"/>
  <c r="K149" i="34" s="1"/>
  <c r="I149" i="34"/>
  <c r="M149" i="34" s="1"/>
  <c r="M148" i="34"/>
  <c r="J148" i="34"/>
  <c r="K148" i="34" s="1"/>
  <c r="I148" i="34"/>
  <c r="J147" i="34"/>
  <c r="K147" i="34" s="1"/>
  <c r="I147" i="34"/>
  <c r="M147" i="34" s="1"/>
  <c r="J146" i="34"/>
  <c r="K146" i="34" s="1"/>
  <c r="I146" i="34"/>
  <c r="M146" i="34" s="1"/>
  <c r="K145" i="34"/>
  <c r="J145" i="34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M139" i="34"/>
  <c r="J139" i="34"/>
  <c r="K139" i="34" s="1"/>
  <c r="I139" i="34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K135" i="34"/>
  <c r="J135" i="34"/>
  <c r="I135" i="34"/>
  <c r="M135" i="34" s="1"/>
  <c r="J134" i="34"/>
  <c r="K134" i="34" s="1"/>
  <c r="I134" i="34"/>
  <c r="M134" i="34" s="1"/>
  <c r="K133" i="34"/>
  <c r="J133" i="34"/>
  <c r="I133" i="34"/>
  <c r="M133" i="34" s="1"/>
  <c r="J132" i="34"/>
  <c r="K132" i="34" s="1"/>
  <c r="I132" i="34"/>
  <c r="M132" i="34" s="1"/>
  <c r="J131" i="34"/>
  <c r="K131" i="34" s="1"/>
  <c r="I131" i="34"/>
  <c r="M131" i="34" s="1"/>
  <c r="M130" i="34"/>
  <c r="J130" i="34"/>
  <c r="K130" i="34" s="1"/>
  <c r="I130" i="34"/>
  <c r="J129" i="34"/>
  <c r="K129" i="34" s="1"/>
  <c r="I129" i="34"/>
  <c r="M129" i="34" s="1"/>
  <c r="M128" i="34"/>
  <c r="J128" i="34"/>
  <c r="K128" i="34" s="1"/>
  <c r="I128" i="34"/>
  <c r="K127" i="34"/>
  <c r="J127" i="34"/>
  <c r="I127" i="34"/>
  <c r="M127" i="34" s="1"/>
  <c r="J126" i="34"/>
  <c r="K126" i="34" s="1"/>
  <c r="I126" i="34"/>
  <c r="M126" i="34" s="1"/>
  <c r="K125" i="34"/>
  <c r="J125" i="34"/>
  <c r="I125" i="34"/>
  <c r="M125" i="34" s="1"/>
  <c r="J124" i="34"/>
  <c r="K124" i="34" s="1"/>
  <c r="I124" i="34"/>
  <c r="M124" i="34" s="1"/>
  <c r="J123" i="34"/>
  <c r="K123" i="34" s="1"/>
  <c r="I123" i="34"/>
  <c r="M123" i="34" s="1"/>
  <c r="M122" i="34"/>
  <c r="J122" i="34"/>
  <c r="K122" i="34" s="1"/>
  <c r="I122" i="34"/>
  <c r="J121" i="34"/>
  <c r="K121" i="34" s="1"/>
  <c r="I121" i="34"/>
  <c r="M121" i="34" s="1"/>
  <c r="J120" i="34"/>
  <c r="K120" i="34" s="1"/>
  <c r="I120" i="34"/>
  <c r="M120" i="34" s="1"/>
  <c r="J119" i="34"/>
  <c r="K119" i="34" s="1"/>
  <c r="I119" i="34"/>
  <c r="M119" i="34" s="1"/>
  <c r="J118" i="34"/>
  <c r="K118" i="34" s="1"/>
  <c r="I118" i="34"/>
  <c r="M118" i="34" s="1"/>
  <c r="J117" i="34"/>
  <c r="K117" i="34" s="1"/>
  <c r="I117" i="34"/>
  <c r="M117" i="34" s="1"/>
  <c r="M116" i="34"/>
  <c r="J116" i="34"/>
  <c r="K116" i="34" s="1"/>
  <c r="I116" i="34"/>
  <c r="J115" i="34"/>
  <c r="K115" i="34" s="1"/>
  <c r="I115" i="34"/>
  <c r="M115" i="34" s="1"/>
  <c r="J114" i="34"/>
  <c r="K114" i="34" s="1"/>
  <c r="I114" i="34"/>
  <c r="M114" i="34" s="1"/>
  <c r="J113" i="34"/>
  <c r="K113" i="34" s="1"/>
  <c r="I113" i="34"/>
  <c r="M113" i="34" s="1"/>
  <c r="M112" i="34"/>
  <c r="J112" i="34"/>
  <c r="K112" i="34" s="1"/>
  <c r="I112" i="34"/>
  <c r="J111" i="34"/>
  <c r="K111" i="34" s="1"/>
  <c r="I111" i="34"/>
  <c r="M111" i="34" s="1"/>
  <c r="M110" i="34"/>
  <c r="J110" i="34"/>
  <c r="K110" i="34" s="1"/>
  <c r="I110" i="34"/>
  <c r="J109" i="34"/>
  <c r="K109" i="34" s="1"/>
  <c r="I109" i="34"/>
  <c r="M109" i="34" s="1"/>
  <c r="J108" i="34"/>
  <c r="K108" i="34" s="1"/>
  <c r="I108" i="34"/>
  <c r="M108" i="34" s="1"/>
  <c r="J107" i="34"/>
  <c r="K107" i="34" s="1"/>
  <c r="I107" i="34"/>
  <c r="M107" i="34" s="1"/>
  <c r="M106" i="34"/>
  <c r="J106" i="34"/>
  <c r="K106" i="34" s="1"/>
  <c r="I106" i="34"/>
  <c r="J105" i="34"/>
  <c r="K105" i="34" s="1"/>
  <c r="I105" i="34"/>
  <c r="M105" i="34" s="1"/>
  <c r="J104" i="34"/>
  <c r="K104" i="34" s="1"/>
  <c r="I104" i="34"/>
  <c r="M104" i="34" s="1"/>
  <c r="J103" i="34"/>
  <c r="K103" i="34" s="1"/>
  <c r="I103" i="34"/>
  <c r="M103" i="34" s="1"/>
  <c r="J102" i="34"/>
  <c r="K102" i="34" s="1"/>
  <c r="I102" i="34"/>
  <c r="M102" i="34" s="1"/>
  <c r="J101" i="34"/>
  <c r="K101" i="34" s="1"/>
  <c r="I101" i="34"/>
  <c r="M101" i="34" s="1"/>
  <c r="M100" i="34"/>
  <c r="J100" i="34"/>
  <c r="K100" i="34" s="1"/>
  <c r="I100" i="34"/>
  <c r="J99" i="34"/>
  <c r="K99" i="34" s="1"/>
  <c r="I99" i="34"/>
  <c r="M99" i="34" s="1"/>
  <c r="J98" i="34"/>
  <c r="K98" i="34" s="1"/>
  <c r="I98" i="34"/>
  <c r="M98" i="34" s="1"/>
  <c r="J97" i="34"/>
  <c r="K97" i="34" s="1"/>
  <c r="I97" i="34"/>
  <c r="M97" i="34" s="1"/>
  <c r="M96" i="34"/>
  <c r="J96" i="34"/>
  <c r="K96" i="34" s="1"/>
  <c r="I96" i="34"/>
  <c r="J95" i="34"/>
  <c r="K95" i="34" s="1"/>
  <c r="I95" i="34"/>
  <c r="M95" i="34" s="1"/>
  <c r="M94" i="34"/>
  <c r="J94" i="34"/>
  <c r="K94" i="34" s="1"/>
  <c r="I94" i="34"/>
  <c r="J93" i="34"/>
  <c r="K93" i="34" s="1"/>
  <c r="I93" i="34"/>
  <c r="M93" i="34" s="1"/>
  <c r="J92" i="34"/>
  <c r="K92" i="34" s="1"/>
  <c r="I92" i="34"/>
  <c r="M92" i="34" s="1"/>
  <c r="J91" i="34"/>
  <c r="K91" i="34" s="1"/>
  <c r="I91" i="34"/>
  <c r="M91" i="34" s="1"/>
  <c r="M90" i="34"/>
  <c r="J90" i="34"/>
  <c r="K90" i="34" s="1"/>
  <c r="I90" i="34"/>
  <c r="J89" i="34"/>
  <c r="K89" i="34" s="1"/>
  <c r="I89" i="34"/>
  <c r="M89" i="34" s="1"/>
  <c r="J88" i="34"/>
  <c r="K88" i="34" s="1"/>
  <c r="I88" i="34"/>
  <c r="M88" i="34" s="1"/>
  <c r="J87" i="34"/>
  <c r="K87" i="34" s="1"/>
  <c r="I87" i="34"/>
  <c r="M87" i="34" s="1"/>
  <c r="J86" i="34"/>
  <c r="K86" i="34" s="1"/>
  <c r="I86" i="34"/>
  <c r="M86" i="34" s="1"/>
  <c r="J85" i="34"/>
  <c r="K85" i="34" s="1"/>
  <c r="I85" i="34"/>
  <c r="M85" i="34" s="1"/>
  <c r="M84" i="34"/>
  <c r="J84" i="34"/>
  <c r="K84" i="34" s="1"/>
  <c r="I84" i="34"/>
  <c r="J83" i="34"/>
  <c r="K83" i="34" s="1"/>
  <c r="I83" i="34"/>
  <c r="M83" i="34" s="1"/>
  <c r="J82" i="34"/>
  <c r="K82" i="34" s="1"/>
  <c r="I82" i="34"/>
  <c r="M82" i="34" s="1"/>
  <c r="J81" i="34"/>
  <c r="K81" i="34" s="1"/>
  <c r="I81" i="34"/>
  <c r="M81" i="34" s="1"/>
  <c r="M80" i="34"/>
  <c r="J80" i="34"/>
  <c r="K80" i="34" s="1"/>
  <c r="I80" i="34"/>
  <c r="J79" i="34"/>
  <c r="K79" i="34" s="1"/>
  <c r="I79" i="34"/>
  <c r="M79" i="34" s="1"/>
  <c r="M78" i="34"/>
  <c r="J78" i="34"/>
  <c r="K78" i="34" s="1"/>
  <c r="I78" i="34"/>
  <c r="J77" i="34"/>
  <c r="K77" i="34" s="1"/>
  <c r="I77" i="34"/>
  <c r="M77" i="34" s="1"/>
  <c r="J76" i="34"/>
  <c r="K76" i="34" s="1"/>
  <c r="I76" i="34"/>
  <c r="M76" i="34" s="1"/>
  <c r="J75" i="34"/>
  <c r="K75" i="34" s="1"/>
  <c r="I75" i="34"/>
  <c r="M75" i="34" s="1"/>
  <c r="M74" i="34"/>
  <c r="J74" i="34"/>
  <c r="K74" i="34" s="1"/>
  <c r="I74" i="34"/>
  <c r="J73" i="34"/>
  <c r="K73" i="34" s="1"/>
  <c r="I73" i="34"/>
  <c r="M73" i="34" s="1"/>
  <c r="J72" i="34"/>
  <c r="K72" i="34" s="1"/>
  <c r="I72" i="34"/>
  <c r="M72" i="34" s="1"/>
  <c r="J71" i="34"/>
  <c r="K71" i="34" s="1"/>
  <c r="I71" i="34"/>
  <c r="M71" i="34" s="1"/>
  <c r="J70" i="34"/>
  <c r="K70" i="34" s="1"/>
  <c r="I70" i="34"/>
  <c r="M70" i="34" s="1"/>
  <c r="J69" i="34"/>
  <c r="K69" i="34" s="1"/>
  <c r="I69" i="34"/>
  <c r="M69" i="34" s="1"/>
  <c r="M68" i="34"/>
  <c r="J68" i="34"/>
  <c r="K68" i="34" s="1"/>
  <c r="I68" i="34"/>
  <c r="J67" i="34"/>
  <c r="K67" i="34" s="1"/>
  <c r="I67" i="34"/>
  <c r="M67" i="34" s="1"/>
  <c r="J66" i="34"/>
  <c r="K66" i="34" s="1"/>
  <c r="I66" i="34"/>
  <c r="M66" i="34" s="1"/>
  <c r="J65" i="34"/>
  <c r="K65" i="34" s="1"/>
  <c r="I65" i="34"/>
  <c r="M65" i="34" s="1"/>
  <c r="B65" i="34"/>
  <c r="J64" i="34"/>
  <c r="K64" i="34" s="1"/>
  <c r="I64" i="34"/>
  <c r="M64" i="34" s="1"/>
  <c r="B64" i="34"/>
  <c r="M63" i="34"/>
  <c r="J63" i="34"/>
  <c r="K63" i="34" s="1"/>
  <c r="I63" i="34"/>
  <c r="B63" i="34"/>
  <c r="J62" i="34"/>
  <c r="K62" i="34" s="1"/>
  <c r="I62" i="34"/>
  <c r="M62" i="34" s="1"/>
  <c r="B62" i="34"/>
  <c r="J61" i="34"/>
  <c r="K61" i="34" s="1"/>
  <c r="I61" i="34"/>
  <c r="M61" i="34" s="1"/>
  <c r="B61" i="34"/>
  <c r="K60" i="34"/>
  <c r="J60" i="34"/>
  <c r="I60" i="34"/>
  <c r="M60" i="34" s="1"/>
  <c r="B60" i="34"/>
  <c r="M59" i="34"/>
  <c r="J59" i="34"/>
  <c r="K59" i="34" s="1"/>
  <c r="I59" i="34"/>
  <c r="B59" i="34"/>
  <c r="J58" i="34"/>
  <c r="K58" i="34" s="1"/>
  <c r="I58" i="34"/>
  <c r="M58" i="34" s="1"/>
  <c r="B58" i="34"/>
  <c r="J57" i="34"/>
  <c r="K57" i="34" s="1"/>
  <c r="I57" i="34"/>
  <c r="M57" i="34" s="1"/>
  <c r="B57" i="34"/>
  <c r="K56" i="34"/>
  <c r="J56" i="34"/>
  <c r="I56" i="34"/>
  <c r="M56" i="34" s="1"/>
  <c r="B56" i="34"/>
  <c r="J55" i="34"/>
  <c r="K55" i="34" s="1"/>
  <c r="I55" i="34"/>
  <c r="M55" i="34" s="1"/>
  <c r="B55" i="34"/>
  <c r="J54" i="34"/>
  <c r="K54" i="34" s="1"/>
  <c r="I54" i="34"/>
  <c r="M54" i="34" s="1"/>
  <c r="B54" i="34"/>
  <c r="J53" i="34"/>
  <c r="K53" i="34" s="1"/>
  <c r="I53" i="34"/>
  <c r="M53" i="34" s="1"/>
  <c r="B53" i="34"/>
  <c r="K52" i="34"/>
  <c r="J52" i="34"/>
  <c r="I52" i="34"/>
  <c r="M52" i="34" s="1"/>
  <c r="B52" i="34"/>
  <c r="J51" i="34"/>
  <c r="K51" i="34" s="1"/>
  <c r="I51" i="34"/>
  <c r="M51" i="34" s="1"/>
  <c r="B51" i="34"/>
  <c r="K50" i="34"/>
  <c r="J50" i="34"/>
  <c r="I50" i="34"/>
  <c r="M50" i="34" s="1"/>
  <c r="B50" i="34"/>
  <c r="J49" i="34"/>
  <c r="K49" i="34" s="1"/>
  <c r="I49" i="34"/>
  <c r="M49" i="34" s="1"/>
  <c r="B49" i="34"/>
  <c r="J48" i="34"/>
  <c r="K48" i="34" s="1"/>
  <c r="I48" i="34"/>
  <c r="M48" i="34" s="1"/>
  <c r="B48" i="34"/>
  <c r="J47" i="34"/>
  <c r="K47" i="34" s="1"/>
  <c r="I47" i="34"/>
  <c r="M47" i="34" s="1"/>
  <c r="B47" i="34"/>
  <c r="T46" i="34"/>
  <c r="R46" i="34"/>
  <c r="U46" i="34" s="1"/>
  <c r="J46" i="34"/>
  <c r="K46" i="34" s="1"/>
  <c r="I46" i="34"/>
  <c r="M46" i="34" s="1"/>
  <c r="B46" i="34"/>
  <c r="J45" i="34"/>
  <c r="K45" i="34" s="1"/>
  <c r="I45" i="34"/>
  <c r="M45" i="34" s="1"/>
  <c r="B45" i="34"/>
  <c r="M44" i="34"/>
  <c r="J44" i="34"/>
  <c r="K44" i="34" s="1"/>
  <c r="I44" i="34"/>
  <c r="B44" i="34"/>
  <c r="J43" i="34"/>
  <c r="K43" i="34" s="1"/>
  <c r="I43" i="34"/>
  <c r="M43" i="34" s="1"/>
  <c r="B43" i="34"/>
  <c r="M42" i="34"/>
  <c r="J42" i="34"/>
  <c r="K42" i="34" s="1"/>
  <c r="I42" i="34"/>
  <c r="B42" i="34"/>
  <c r="J41" i="34"/>
  <c r="K41" i="34" s="1"/>
  <c r="I41" i="34"/>
  <c r="M41" i="34" s="1"/>
  <c r="B41" i="34"/>
  <c r="J40" i="34"/>
  <c r="K40" i="34" s="1"/>
  <c r="I40" i="34"/>
  <c r="M40" i="34" s="1"/>
  <c r="B40" i="34"/>
  <c r="J39" i="34"/>
  <c r="K39" i="34" s="1"/>
  <c r="I39" i="34"/>
  <c r="M39" i="34" s="1"/>
  <c r="B39" i="34"/>
  <c r="M38" i="34"/>
  <c r="J38" i="34"/>
  <c r="K38" i="34" s="1"/>
  <c r="I38" i="34"/>
  <c r="B38" i="34"/>
  <c r="J37" i="34"/>
  <c r="K37" i="34" s="1"/>
  <c r="I37" i="34"/>
  <c r="M37" i="34" s="1"/>
  <c r="A37" i="34" s="1"/>
  <c r="B37" i="34"/>
  <c r="J36" i="34"/>
  <c r="K36" i="34" s="1"/>
  <c r="I36" i="34"/>
  <c r="M36" i="34" s="1"/>
  <c r="A36" i="34" s="1"/>
  <c r="B36" i="34"/>
  <c r="J35" i="34"/>
  <c r="K35" i="34" s="1"/>
  <c r="I35" i="34"/>
  <c r="M35" i="34" s="1"/>
  <c r="A35" i="34" s="1"/>
  <c r="B35" i="34"/>
  <c r="J34" i="34"/>
  <c r="K34" i="34" s="1"/>
  <c r="I34" i="34"/>
  <c r="M34" i="34" s="1"/>
  <c r="A34" i="34" s="1"/>
  <c r="B34" i="34"/>
  <c r="J33" i="34"/>
  <c r="K33" i="34" s="1"/>
  <c r="I33" i="34"/>
  <c r="M33" i="34" s="1"/>
  <c r="A33" i="34" s="1"/>
  <c r="B33" i="34"/>
  <c r="M32" i="34"/>
  <c r="A32" i="34" s="1"/>
  <c r="J32" i="34"/>
  <c r="K32" i="34" s="1"/>
  <c r="I32" i="34"/>
  <c r="B32" i="34"/>
  <c r="J31" i="34"/>
  <c r="K31" i="34" s="1"/>
  <c r="I31" i="34"/>
  <c r="M31" i="34" s="1"/>
  <c r="A31" i="34" s="1"/>
  <c r="B31" i="34"/>
  <c r="K30" i="34"/>
  <c r="J30" i="34"/>
  <c r="I30" i="34"/>
  <c r="M30" i="34" s="1"/>
  <c r="A30" i="34" s="1"/>
  <c r="B30" i="34"/>
  <c r="J29" i="34"/>
  <c r="K29" i="34" s="1"/>
  <c r="I29" i="34"/>
  <c r="M29" i="34" s="1"/>
  <c r="A29" i="34" s="1"/>
  <c r="B29" i="34"/>
  <c r="M28" i="34"/>
  <c r="K28" i="34"/>
  <c r="J28" i="34"/>
  <c r="I28" i="34"/>
  <c r="B28" i="34"/>
  <c r="A28" i="34"/>
  <c r="J27" i="34"/>
  <c r="K27" i="34" s="1"/>
  <c r="I27" i="34"/>
  <c r="M27" i="34" s="1"/>
  <c r="A27" i="34" s="1"/>
  <c r="B27" i="34"/>
  <c r="J26" i="34"/>
  <c r="K26" i="34" s="1"/>
  <c r="I26" i="34"/>
  <c r="M26" i="34" s="1"/>
  <c r="A26" i="34" s="1"/>
  <c r="B26" i="34"/>
  <c r="J25" i="34"/>
  <c r="K25" i="34" s="1"/>
  <c r="I25" i="34"/>
  <c r="M25" i="34" s="1"/>
  <c r="A25" i="34" s="1"/>
  <c r="B25" i="34"/>
  <c r="M24" i="34"/>
  <c r="J24" i="34"/>
  <c r="K24" i="34" s="1"/>
  <c r="I24" i="34"/>
  <c r="A24" i="34"/>
  <c r="J23" i="34"/>
  <c r="K23" i="34" s="1"/>
  <c r="I23" i="34"/>
  <c r="K22" i="34"/>
  <c r="J22" i="34"/>
  <c r="I22" i="34"/>
  <c r="J21" i="34"/>
  <c r="K21" i="34" s="1"/>
  <c r="I21" i="34"/>
  <c r="M21" i="34" s="1"/>
  <c r="A21" i="34" s="1"/>
  <c r="K20" i="34"/>
  <c r="M20" i="34" s="1"/>
  <c r="A20" i="34" s="1"/>
  <c r="J20" i="34"/>
  <c r="I20" i="34"/>
  <c r="K19" i="34"/>
  <c r="J19" i="34"/>
  <c r="I19" i="34"/>
  <c r="M19" i="34" s="1"/>
  <c r="A19" i="34" s="1"/>
  <c r="J18" i="34"/>
  <c r="K18" i="34" s="1"/>
  <c r="I18" i="34"/>
  <c r="J17" i="34"/>
  <c r="K17" i="34" s="1"/>
  <c r="I17" i="34"/>
  <c r="J16" i="34"/>
  <c r="K16" i="34" s="1"/>
  <c r="I16" i="34"/>
  <c r="M15" i="34"/>
  <c r="A15" i="34" s="1"/>
  <c r="J15" i="34"/>
  <c r="K15" i="34" s="1"/>
  <c r="I15" i="34"/>
  <c r="AI14" i="34"/>
  <c r="K14" i="34"/>
  <c r="J14" i="34"/>
  <c r="I14" i="34"/>
  <c r="M14" i="34" s="1"/>
  <c r="A14" i="34" s="1"/>
  <c r="AI13" i="34"/>
  <c r="AI16" i="34" s="1"/>
  <c r="M13" i="34"/>
  <c r="A13" i="34" s="1"/>
  <c r="J13" i="34"/>
  <c r="K13" i="34" s="1"/>
  <c r="I13" i="34"/>
  <c r="AI12" i="34"/>
  <c r="J12" i="34"/>
  <c r="K12" i="34" s="1"/>
  <c r="I12" i="34"/>
  <c r="J11" i="34"/>
  <c r="K11" i="34" s="1"/>
  <c r="I11" i="34"/>
  <c r="M11" i="34" s="1"/>
  <c r="A11" i="34" s="1"/>
  <c r="K10" i="34"/>
  <c r="M10" i="34" s="1"/>
  <c r="A10" i="34" s="1"/>
  <c r="J10" i="34"/>
  <c r="I10" i="34"/>
  <c r="J9" i="34"/>
  <c r="K9" i="34" s="1"/>
  <c r="I9" i="34"/>
  <c r="J8" i="34"/>
  <c r="K8" i="34" s="1"/>
  <c r="I8" i="34"/>
  <c r="M8" i="34" s="1"/>
  <c r="A8" i="34" s="1"/>
  <c r="L7" i="34"/>
  <c r="M7" i="34" s="1"/>
  <c r="A7" i="34" s="1"/>
  <c r="J7" i="34"/>
  <c r="K7" i="34" s="1"/>
  <c r="I7" i="34"/>
  <c r="J6" i="34"/>
  <c r="K6" i="34" s="1"/>
  <c r="I6" i="34"/>
  <c r="K2" i="34"/>
  <c r="L8" i="34" s="1"/>
  <c r="J374" i="33"/>
  <c r="J373" i="33"/>
  <c r="J372" i="33"/>
  <c r="J371" i="33"/>
  <c r="J370" i="33"/>
  <c r="J369" i="33"/>
  <c r="J368" i="33"/>
  <c r="J367" i="33"/>
  <c r="J366" i="33"/>
  <c r="J365" i="33"/>
  <c r="J364" i="33"/>
  <c r="J363" i="33"/>
  <c r="J362" i="33"/>
  <c r="J361" i="33"/>
  <c r="J360" i="33"/>
  <c r="J359" i="33"/>
  <c r="J358" i="33"/>
  <c r="J357" i="33"/>
  <c r="J356" i="33"/>
  <c r="J355" i="33"/>
  <c r="J354" i="33"/>
  <c r="J353" i="33"/>
  <c r="J352" i="33"/>
  <c r="J351" i="33"/>
  <c r="J350" i="33"/>
  <c r="J349" i="33"/>
  <c r="J348" i="33"/>
  <c r="J347" i="33"/>
  <c r="J346" i="33"/>
  <c r="J345" i="33"/>
  <c r="J344" i="33"/>
  <c r="J343" i="33"/>
  <c r="J342" i="33"/>
  <c r="J341" i="33"/>
  <c r="J340" i="33"/>
  <c r="J339" i="33"/>
  <c r="J338" i="33"/>
  <c r="J337" i="33"/>
  <c r="J336" i="33"/>
  <c r="J335" i="33"/>
  <c r="J334" i="33"/>
  <c r="J333" i="33"/>
  <c r="J332" i="33"/>
  <c r="J331" i="33"/>
  <c r="J330" i="33"/>
  <c r="J329" i="33"/>
  <c r="J328" i="33"/>
  <c r="J327" i="33"/>
  <c r="J326" i="33"/>
  <c r="J325" i="33"/>
  <c r="J324" i="33"/>
  <c r="J323" i="33"/>
  <c r="J322" i="33"/>
  <c r="J321" i="33"/>
  <c r="J320" i="33"/>
  <c r="J319" i="33"/>
  <c r="J318" i="33"/>
  <c r="J317" i="33"/>
  <c r="J316" i="33"/>
  <c r="J315" i="33"/>
  <c r="J314" i="33"/>
  <c r="J313" i="33"/>
  <c r="J312" i="33"/>
  <c r="J311" i="33"/>
  <c r="J310" i="33"/>
  <c r="J309" i="33"/>
  <c r="J308" i="33"/>
  <c r="J307" i="33"/>
  <c r="J306" i="33"/>
  <c r="M305" i="33"/>
  <c r="J305" i="33"/>
  <c r="K305" i="33" s="1"/>
  <c r="I305" i="33"/>
  <c r="J304" i="33"/>
  <c r="K304" i="33" s="1"/>
  <c r="I304" i="33"/>
  <c r="M304" i="33" s="1"/>
  <c r="M303" i="33"/>
  <c r="J303" i="33"/>
  <c r="K303" i="33" s="1"/>
  <c r="I303" i="33"/>
  <c r="J302" i="33"/>
  <c r="K302" i="33" s="1"/>
  <c r="I302" i="33"/>
  <c r="M302" i="33" s="1"/>
  <c r="M301" i="33"/>
  <c r="J301" i="33"/>
  <c r="K301" i="33" s="1"/>
  <c r="I301" i="33"/>
  <c r="J300" i="33"/>
  <c r="K300" i="33" s="1"/>
  <c r="I300" i="33"/>
  <c r="M300" i="33" s="1"/>
  <c r="M299" i="33"/>
  <c r="J299" i="33"/>
  <c r="K299" i="33" s="1"/>
  <c r="I299" i="33"/>
  <c r="J298" i="33"/>
  <c r="K298" i="33" s="1"/>
  <c r="I298" i="33"/>
  <c r="M298" i="33" s="1"/>
  <c r="M297" i="33"/>
  <c r="J297" i="33"/>
  <c r="K297" i="33" s="1"/>
  <c r="I297" i="33"/>
  <c r="J296" i="33"/>
  <c r="K296" i="33" s="1"/>
  <c r="I296" i="33"/>
  <c r="M296" i="33" s="1"/>
  <c r="M295" i="33"/>
  <c r="J295" i="33"/>
  <c r="K295" i="33" s="1"/>
  <c r="I295" i="33"/>
  <c r="J294" i="33"/>
  <c r="K294" i="33" s="1"/>
  <c r="I294" i="33"/>
  <c r="M294" i="33" s="1"/>
  <c r="M293" i="33"/>
  <c r="J293" i="33"/>
  <c r="K293" i="33" s="1"/>
  <c r="I293" i="33"/>
  <c r="J292" i="33"/>
  <c r="K292" i="33" s="1"/>
  <c r="I292" i="33"/>
  <c r="M292" i="33" s="1"/>
  <c r="M291" i="33"/>
  <c r="J291" i="33"/>
  <c r="K291" i="33" s="1"/>
  <c r="I291" i="33"/>
  <c r="J290" i="33"/>
  <c r="K290" i="33" s="1"/>
  <c r="I290" i="33"/>
  <c r="M290" i="33" s="1"/>
  <c r="M289" i="33"/>
  <c r="J289" i="33"/>
  <c r="K289" i="33" s="1"/>
  <c r="I289" i="33"/>
  <c r="J288" i="33"/>
  <c r="K288" i="33" s="1"/>
  <c r="I288" i="33"/>
  <c r="M288" i="33" s="1"/>
  <c r="M287" i="33"/>
  <c r="J287" i="33"/>
  <c r="K287" i="33" s="1"/>
  <c r="I287" i="33"/>
  <c r="J286" i="33"/>
  <c r="K286" i="33" s="1"/>
  <c r="I286" i="33"/>
  <c r="M286" i="33" s="1"/>
  <c r="M285" i="33"/>
  <c r="J285" i="33"/>
  <c r="K285" i="33" s="1"/>
  <c r="I285" i="33"/>
  <c r="J284" i="33"/>
  <c r="K284" i="33" s="1"/>
  <c r="I284" i="33"/>
  <c r="M284" i="33" s="1"/>
  <c r="M283" i="33"/>
  <c r="J283" i="33"/>
  <c r="K283" i="33" s="1"/>
  <c r="I283" i="33"/>
  <c r="J282" i="33"/>
  <c r="K282" i="33" s="1"/>
  <c r="I282" i="33"/>
  <c r="M282" i="33" s="1"/>
  <c r="M281" i="33"/>
  <c r="J281" i="33"/>
  <c r="K281" i="33" s="1"/>
  <c r="I281" i="33"/>
  <c r="J280" i="33"/>
  <c r="K280" i="33" s="1"/>
  <c r="I280" i="33"/>
  <c r="M280" i="33" s="1"/>
  <c r="M279" i="33"/>
  <c r="J279" i="33"/>
  <c r="K279" i="33" s="1"/>
  <c r="I279" i="33"/>
  <c r="J278" i="33"/>
  <c r="K278" i="33" s="1"/>
  <c r="I278" i="33"/>
  <c r="M278" i="33" s="1"/>
  <c r="M277" i="33"/>
  <c r="J277" i="33"/>
  <c r="K277" i="33" s="1"/>
  <c r="I277" i="33"/>
  <c r="J276" i="33"/>
  <c r="K276" i="33" s="1"/>
  <c r="I276" i="33"/>
  <c r="M276" i="33" s="1"/>
  <c r="M275" i="33"/>
  <c r="J275" i="33"/>
  <c r="K275" i="33" s="1"/>
  <c r="I275" i="33"/>
  <c r="J274" i="33"/>
  <c r="K274" i="33" s="1"/>
  <c r="I274" i="33"/>
  <c r="M274" i="33" s="1"/>
  <c r="M273" i="33"/>
  <c r="J273" i="33"/>
  <c r="K273" i="33" s="1"/>
  <c r="I273" i="33"/>
  <c r="J272" i="33"/>
  <c r="K272" i="33" s="1"/>
  <c r="I272" i="33"/>
  <c r="M272" i="33" s="1"/>
  <c r="M271" i="33"/>
  <c r="J271" i="33"/>
  <c r="K271" i="33" s="1"/>
  <c r="I271" i="33"/>
  <c r="J270" i="33"/>
  <c r="K270" i="33" s="1"/>
  <c r="I270" i="33"/>
  <c r="M270" i="33" s="1"/>
  <c r="M269" i="33"/>
  <c r="J269" i="33"/>
  <c r="K269" i="33" s="1"/>
  <c r="I269" i="33"/>
  <c r="J268" i="33"/>
  <c r="K268" i="33" s="1"/>
  <c r="I268" i="33"/>
  <c r="M268" i="33" s="1"/>
  <c r="M267" i="33"/>
  <c r="J267" i="33"/>
  <c r="K267" i="33" s="1"/>
  <c r="I267" i="33"/>
  <c r="J266" i="33"/>
  <c r="K266" i="33" s="1"/>
  <c r="I266" i="33"/>
  <c r="M266" i="33" s="1"/>
  <c r="M265" i="33"/>
  <c r="J265" i="33"/>
  <c r="K265" i="33" s="1"/>
  <c r="I265" i="33"/>
  <c r="J264" i="33"/>
  <c r="K264" i="33" s="1"/>
  <c r="I264" i="33"/>
  <c r="M264" i="33" s="1"/>
  <c r="M263" i="33"/>
  <c r="J263" i="33"/>
  <c r="K263" i="33" s="1"/>
  <c r="I263" i="33"/>
  <c r="J262" i="33"/>
  <c r="K262" i="33" s="1"/>
  <c r="I262" i="33"/>
  <c r="M262" i="33" s="1"/>
  <c r="M261" i="33"/>
  <c r="J261" i="33"/>
  <c r="K261" i="33" s="1"/>
  <c r="I261" i="33"/>
  <c r="J260" i="33"/>
  <c r="K260" i="33" s="1"/>
  <c r="I260" i="33"/>
  <c r="M260" i="33" s="1"/>
  <c r="M259" i="33"/>
  <c r="J259" i="33"/>
  <c r="K259" i="33" s="1"/>
  <c r="I259" i="33"/>
  <c r="J258" i="33"/>
  <c r="K258" i="33" s="1"/>
  <c r="I258" i="33"/>
  <c r="M258" i="33" s="1"/>
  <c r="M257" i="33"/>
  <c r="J257" i="33"/>
  <c r="K257" i="33" s="1"/>
  <c r="I257" i="33"/>
  <c r="J256" i="33"/>
  <c r="K256" i="33" s="1"/>
  <c r="I256" i="33"/>
  <c r="M256" i="33" s="1"/>
  <c r="M255" i="33"/>
  <c r="J255" i="33"/>
  <c r="K255" i="33" s="1"/>
  <c r="I255" i="33"/>
  <c r="J254" i="33"/>
  <c r="K254" i="33" s="1"/>
  <c r="I254" i="33"/>
  <c r="M254" i="33" s="1"/>
  <c r="M253" i="33"/>
  <c r="J253" i="33"/>
  <c r="K253" i="33" s="1"/>
  <c r="I253" i="33"/>
  <c r="J252" i="33"/>
  <c r="K252" i="33" s="1"/>
  <c r="I252" i="33"/>
  <c r="M252" i="33" s="1"/>
  <c r="M251" i="33"/>
  <c r="J251" i="33"/>
  <c r="K251" i="33" s="1"/>
  <c r="I251" i="33"/>
  <c r="J250" i="33"/>
  <c r="K250" i="33" s="1"/>
  <c r="I250" i="33"/>
  <c r="M250" i="33" s="1"/>
  <c r="M249" i="33"/>
  <c r="J249" i="33"/>
  <c r="K249" i="33" s="1"/>
  <c r="I249" i="33"/>
  <c r="J248" i="33"/>
  <c r="K248" i="33" s="1"/>
  <c r="I248" i="33"/>
  <c r="M248" i="33" s="1"/>
  <c r="M247" i="33"/>
  <c r="J247" i="33"/>
  <c r="K247" i="33" s="1"/>
  <c r="I247" i="33"/>
  <c r="J246" i="33"/>
  <c r="K246" i="33" s="1"/>
  <c r="I246" i="33"/>
  <c r="M246" i="33" s="1"/>
  <c r="M245" i="33"/>
  <c r="J245" i="33"/>
  <c r="K245" i="33" s="1"/>
  <c r="I245" i="33"/>
  <c r="J244" i="33"/>
  <c r="K244" i="33" s="1"/>
  <c r="I244" i="33"/>
  <c r="M244" i="33" s="1"/>
  <c r="M243" i="33"/>
  <c r="J243" i="33"/>
  <c r="K243" i="33" s="1"/>
  <c r="I243" i="33"/>
  <c r="J242" i="33"/>
  <c r="K242" i="33" s="1"/>
  <c r="I242" i="33"/>
  <c r="M242" i="33" s="1"/>
  <c r="M241" i="33"/>
  <c r="J241" i="33"/>
  <c r="K241" i="33" s="1"/>
  <c r="I241" i="33"/>
  <c r="J240" i="33"/>
  <c r="K240" i="33" s="1"/>
  <c r="I240" i="33"/>
  <c r="M240" i="33" s="1"/>
  <c r="M239" i="33"/>
  <c r="J239" i="33"/>
  <c r="K239" i="33" s="1"/>
  <c r="I239" i="33"/>
  <c r="J238" i="33"/>
  <c r="K238" i="33" s="1"/>
  <c r="I238" i="33"/>
  <c r="M238" i="33" s="1"/>
  <c r="M237" i="33"/>
  <c r="J237" i="33"/>
  <c r="K237" i="33" s="1"/>
  <c r="I237" i="33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M231" i="33"/>
  <c r="J231" i="33"/>
  <c r="K231" i="33" s="1"/>
  <c r="I231" i="33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M221" i="33"/>
  <c r="J221" i="33"/>
  <c r="K221" i="33" s="1"/>
  <c r="I221" i="33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M215" i="33"/>
  <c r="J215" i="33"/>
  <c r="K215" i="33" s="1"/>
  <c r="I215" i="33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M205" i="33"/>
  <c r="J205" i="33"/>
  <c r="K205" i="33" s="1"/>
  <c r="I205" i="33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M199" i="33"/>
  <c r="J199" i="33"/>
  <c r="K199" i="33" s="1"/>
  <c r="I199" i="33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M189" i="33"/>
  <c r="J189" i="33"/>
  <c r="K189" i="33" s="1"/>
  <c r="I189" i="33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M183" i="33"/>
  <c r="J183" i="33"/>
  <c r="K183" i="33" s="1"/>
  <c r="I183" i="33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M173" i="33"/>
  <c r="J173" i="33"/>
  <c r="K173" i="33" s="1"/>
  <c r="I173" i="33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M167" i="33"/>
  <c r="J167" i="33"/>
  <c r="K167" i="33" s="1"/>
  <c r="I167" i="33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M157" i="33"/>
  <c r="J157" i="33"/>
  <c r="K157" i="33" s="1"/>
  <c r="I157" i="33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M151" i="33"/>
  <c r="J151" i="33"/>
  <c r="K151" i="33" s="1"/>
  <c r="I151" i="33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M141" i="33"/>
  <c r="J141" i="33"/>
  <c r="K141" i="33" s="1"/>
  <c r="I141" i="33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K136" i="33"/>
  <c r="J136" i="33"/>
  <c r="I136" i="33"/>
  <c r="M136" i="33" s="1"/>
  <c r="J135" i="33"/>
  <c r="K135" i="33" s="1"/>
  <c r="I135" i="33"/>
  <c r="M135" i="33" s="1"/>
  <c r="K134" i="33"/>
  <c r="J134" i="33"/>
  <c r="I134" i="33"/>
  <c r="M134" i="33" s="1"/>
  <c r="J133" i="33"/>
  <c r="K133" i="33" s="1"/>
  <c r="I133" i="33"/>
  <c r="M133" i="33" s="1"/>
  <c r="K132" i="33"/>
  <c r="J132" i="33"/>
  <c r="I132" i="33"/>
  <c r="M132" i="33" s="1"/>
  <c r="J131" i="33"/>
  <c r="K131" i="33" s="1"/>
  <c r="I131" i="33"/>
  <c r="M131" i="33" s="1"/>
  <c r="J130" i="33"/>
  <c r="K130" i="33" s="1"/>
  <c r="I130" i="33"/>
  <c r="M130" i="33" s="1"/>
  <c r="J129" i="33"/>
  <c r="K129" i="33" s="1"/>
  <c r="I129" i="33"/>
  <c r="M129" i="33" s="1"/>
  <c r="J128" i="33"/>
  <c r="K128" i="33" s="1"/>
  <c r="I128" i="33"/>
  <c r="M128" i="33" s="1"/>
  <c r="J127" i="33"/>
  <c r="K127" i="33" s="1"/>
  <c r="I127" i="33"/>
  <c r="M127" i="33" s="1"/>
  <c r="J126" i="33"/>
  <c r="K126" i="33" s="1"/>
  <c r="I126" i="33"/>
  <c r="M126" i="33" s="1"/>
  <c r="J125" i="33"/>
  <c r="K125" i="33" s="1"/>
  <c r="I125" i="33"/>
  <c r="M125" i="33" s="1"/>
  <c r="J124" i="33"/>
  <c r="K124" i="33" s="1"/>
  <c r="I124" i="33"/>
  <c r="M124" i="33" s="1"/>
  <c r="J123" i="33"/>
  <c r="K123" i="33" s="1"/>
  <c r="I123" i="33"/>
  <c r="M123" i="33" s="1"/>
  <c r="J122" i="33"/>
  <c r="K122" i="33" s="1"/>
  <c r="I122" i="33"/>
  <c r="M122" i="33" s="1"/>
  <c r="J121" i="33"/>
  <c r="K121" i="33" s="1"/>
  <c r="I121" i="33"/>
  <c r="M121" i="33" s="1"/>
  <c r="J120" i="33"/>
  <c r="K120" i="33" s="1"/>
  <c r="I120" i="33"/>
  <c r="M120" i="33" s="1"/>
  <c r="J119" i="33"/>
  <c r="K119" i="33" s="1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J115" i="33"/>
  <c r="K115" i="33" s="1"/>
  <c r="I115" i="33"/>
  <c r="M115" i="33" s="1"/>
  <c r="J114" i="33"/>
  <c r="K114" i="33" s="1"/>
  <c r="I114" i="33"/>
  <c r="M114" i="33" s="1"/>
  <c r="J113" i="33"/>
  <c r="K113" i="33" s="1"/>
  <c r="I113" i="33"/>
  <c r="M113" i="33" s="1"/>
  <c r="J112" i="33"/>
  <c r="K112" i="33" s="1"/>
  <c r="I112" i="33"/>
  <c r="M112" i="33" s="1"/>
  <c r="J111" i="33"/>
  <c r="K111" i="33" s="1"/>
  <c r="I111" i="33"/>
  <c r="M111" i="33" s="1"/>
  <c r="J110" i="33"/>
  <c r="K110" i="33" s="1"/>
  <c r="I110" i="33"/>
  <c r="M110" i="33" s="1"/>
  <c r="J109" i="33"/>
  <c r="K109" i="33" s="1"/>
  <c r="I109" i="33"/>
  <c r="M109" i="33" s="1"/>
  <c r="J108" i="33"/>
  <c r="K108" i="33" s="1"/>
  <c r="I108" i="33"/>
  <c r="M108" i="33" s="1"/>
  <c r="J107" i="33"/>
  <c r="K107" i="33" s="1"/>
  <c r="I107" i="33"/>
  <c r="M107" i="33" s="1"/>
  <c r="J106" i="33"/>
  <c r="K106" i="33" s="1"/>
  <c r="I106" i="33"/>
  <c r="M106" i="33" s="1"/>
  <c r="J105" i="33"/>
  <c r="K105" i="33" s="1"/>
  <c r="I105" i="33"/>
  <c r="M105" i="33" s="1"/>
  <c r="J104" i="33"/>
  <c r="K104" i="33" s="1"/>
  <c r="I104" i="33"/>
  <c r="M104" i="33" s="1"/>
  <c r="J103" i="33"/>
  <c r="K103" i="33" s="1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J99" i="33"/>
  <c r="K99" i="33" s="1"/>
  <c r="I99" i="33"/>
  <c r="M99" i="33" s="1"/>
  <c r="J98" i="33"/>
  <c r="K98" i="33" s="1"/>
  <c r="I98" i="33"/>
  <c r="M98" i="33" s="1"/>
  <c r="J97" i="33"/>
  <c r="K97" i="33" s="1"/>
  <c r="I97" i="33"/>
  <c r="M97" i="33" s="1"/>
  <c r="J96" i="33"/>
  <c r="K96" i="33" s="1"/>
  <c r="I96" i="33"/>
  <c r="M96" i="33" s="1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J87" i="33"/>
  <c r="K87" i="33" s="1"/>
  <c r="I87" i="33"/>
  <c r="M87" i="33" s="1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J83" i="33"/>
  <c r="K83" i="33" s="1"/>
  <c r="I83" i="33"/>
  <c r="M83" i="33" s="1"/>
  <c r="J82" i="33"/>
  <c r="K82" i="33" s="1"/>
  <c r="I82" i="33"/>
  <c r="M82" i="33" s="1"/>
  <c r="J81" i="33"/>
  <c r="K81" i="33" s="1"/>
  <c r="I81" i="33"/>
  <c r="M81" i="33" s="1"/>
  <c r="J80" i="33"/>
  <c r="K80" i="33" s="1"/>
  <c r="I80" i="33"/>
  <c r="M80" i="33" s="1"/>
  <c r="J79" i="33"/>
  <c r="K79" i="33" s="1"/>
  <c r="I79" i="33"/>
  <c r="M79" i="33" s="1"/>
  <c r="J78" i="33"/>
  <c r="K78" i="33" s="1"/>
  <c r="I78" i="33"/>
  <c r="M78" i="33" s="1"/>
  <c r="J77" i="33"/>
  <c r="K77" i="33" s="1"/>
  <c r="I77" i="33"/>
  <c r="M77" i="33" s="1"/>
  <c r="J76" i="33"/>
  <c r="K76" i="33" s="1"/>
  <c r="I76" i="33"/>
  <c r="M76" i="33" s="1"/>
  <c r="J75" i="33"/>
  <c r="K75" i="33" s="1"/>
  <c r="I75" i="33"/>
  <c r="M75" i="33" s="1"/>
  <c r="J74" i="33"/>
  <c r="K74" i="33" s="1"/>
  <c r="I74" i="33"/>
  <c r="M74" i="33" s="1"/>
  <c r="J73" i="33"/>
  <c r="K73" i="33" s="1"/>
  <c r="I73" i="33"/>
  <c r="M73" i="33" s="1"/>
  <c r="J72" i="33"/>
  <c r="K72" i="33" s="1"/>
  <c r="I72" i="33"/>
  <c r="M72" i="33" s="1"/>
  <c r="J71" i="33"/>
  <c r="K71" i="33" s="1"/>
  <c r="I71" i="33"/>
  <c r="M71" i="33" s="1"/>
  <c r="J70" i="33"/>
  <c r="K70" i="33" s="1"/>
  <c r="I70" i="33"/>
  <c r="M70" i="33" s="1"/>
  <c r="J69" i="33"/>
  <c r="K69" i="33" s="1"/>
  <c r="I69" i="33"/>
  <c r="M69" i="33" s="1"/>
  <c r="J68" i="33"/>
  <c r="K68" i="33" s="1"/>
  <c r="I68" i="33"/>
  <c r="M68" i="33" s="1"/>
  <c r="J67" i="33"/>
  <c r="K67" i="33" s="1"/>
  <c r="I67" i="33"/>
  <c r="M67" i="33" s="1"/>
  <c r="J66" i="33"/>
  <c r="K66" i="33" s="1"/>
  <c r="I66" i="33"/>
  <c r="M66" i="33" s="1"/>
  <c r="J65" i="33"/>
  <c r="K65" i="33" s="1"/>
  <c r="I65" i="33"/>
  <c r="M65" i="33" s="1"/>
  <c r="B65" i="33"/>
  <c r="M64" i="33"/>
  <c r="J64" i="33"/>
  <c r="K64" i="33" s="1"/>
  <c r="I64" i="33"/>
  <c r="B64" i="33"/>
  <c r="M63" i="33"/>
  <c r="K63" i="33"/>
  <c r="J63" i="33"/>
  <c r="I63" i="33"/>
  <c r="B63" i="33"/>
  <c r="M62" i="33"/>
  <c r="J62" i="33"/>
  <c r="K62" i="33" s="1"/>
  <c r="I62" i="33"/>
  <c r="B62" i="33"/>
  <c r="J61" i="33"/>
  <c r="K61" i="33" s="1"/>
  <c r="I61" i="33"/>
  <c r="M61" i="33" s="1"/>
  <c r="B61" i="33"/>
  <c r="K60" i="33"/>
  <c r="J60" i="33"/>
  <c r="I60" i="33"/>
  <c r="M60" i="33" s="1"/>
  <c r="B60" i="33"/>
  <c r="M59" i="33"/>
  <c r="K59" i="33"/>
  <c r="J59" i="33"/>
  <c r="I59" i="33"/>
  <c r="B59" i="33"/>
  <c r="J58" i="33"/>
  <c r="K58" i="33" s="1"/>
  <c r="I58" i="33"/>
  <c r="M58" i="33" s="1"/>
  <c r="B58" i="33"/>
  <c r="J57" i="33"/>
  <c r="K57" i="33" s="1"/>
  <c r="I57" i="33"/>
  <c r="M57" i="33" s="1"/>
  <c r="B57" i="33"/>
  <c r="M56" i="33"/>
  <c r="J56" i="33"/>
  <c r="K56" i="33" s="1"/>
  <c r="I56" i="33"/>
  <c r="B56" i="33"/>
  <c r="M55" i="33"/>
  <c r="K55" i="33"/>
  <c r="J55" i="33"/>
  <c r="I55" i="33"/>
  <c r="B55" i="33"/>
  <c r="M54" i="33"/>
  <c r="J54" i="33"/>
  <c r="K54" i="33" s="1"/>
  <c r="I54" i="33"/>
  <c r="B54" i="33"/>
  <c r="J53" i="33"/>
  <c r="K53" i="33" s="1"/>
  <c r="I53" i="33"/>
  <c r="M53" i="33" s="1"/>
  <c r="B53" i="33"/>
  <c r="K52" i="33"/>
  <c r="J52" i="33"/>
  <c r="I52" i="33"/>
  <c r="M52" i="33" s="1"/>
  <c r="B52" i="33"/>
  <c r="M51" i="33"/>
  <c r="K51" i="33"/>
  <c r="J51" i="33"/>
  <c r="I51" i="33"/>
  <c r="B51" i="33"/>
  <c r="J50" i="33"/>
  <c r="K50" i="33" s="1"/>
  <c r="I50" i="33"/>
  <c r="M50" i="33" s="1"/>
  <c r="B50" i="33"/>
  <c r="J49" i="33"/>
  <c r="K49" i="33" s="1"/>
  <c r="I49" i="33"/>
  <c r="M49" i="33" s="1"/>
  <c r="B49" i="33"/>
  <c r="M48" i="33"/>
  <c r="J48" i="33"/>
  <c r="K48" i="33" s="1"/>
  <c r="I48" i="33"/>
  <c r="B48" i="33"/>
  <c r="M47" i="33"/>
  <c r="K47" i="33"/>
  <c r="J47" i="33"/>
  <c r="I47" i="33"/>
  <c r="B47" i="33"/>
  <c r="U46" i="33"/>
  <c r="T46" i="33"/>
  <c r="R46" i="33"/>
  <c r="M46" i="33"/>
  <c r="K46" i="33"/>
  <c r="J46" i="33"/>
  <c r="I46" i="33"/>
  <c r="B46" i="33"/>
  <c r="M45" i="33"/>
  <c r="J45" i="33"/>
  <c r="K45" i="33" s="1"/>
  <c r="I45" i="33"/>
  <c r="B45" i="33"/>
  <c r="J44" i="33"/>
  <c r="K44" i="33" s="1"/>
  <c r="I44" i="33"/>
  <c r="M44" i="33" s="1"/>
  <c r="B44" i="33"/>
  <c r="K43" i="33"/>
  <c r="J43" i="33"/>
  <c r="I43" i="33"/>
  <c r="M43" i="33" s="1"/>
  <c r="B43" i="33"/>
  <c r="M42" i="33"/>
  <c r="K42" i="33"/>
  <c r="J42" i="33"/>
  <c r="I42" i="33"/>
  <c r="B42" i="33"/>
  <c r="J41" i="33"/>
  <c r="K41" i="33" s="1"/>
  <c r="I41" i="33"/>
  <c r="M41" i="33" s="1"/>
  <c r="B41" i="33"/>
  <c r="J40" i="33"/>
  <c r="K40" i="33" s="1"/>
  <c r="I40" i="33"/>
  <c r="M40" i="33" s="1"/>
  <c r="B40" i="33"/>
  <c r="M39" i="33"/>
  <c r="J39" i="33"/>
  <c r="K39" i="33" s="1"/>
  <c r="I39" i="33"/>
  <c r="B39" i="33"/>
  <c r="M38" i="33"/>
  <c r="K38" i="33"/>
  <c r="J38" i="33"/>
  <c r="I38" i="33"/>
  <c r="B38" i="33"/>
  <c r="M37" i="33"/>
  <c r="A37" i="33" s="1"/>
  <c r="K37" i="33"/>
  <c r="J37" i="33"/>
  <c r="I37" i="33"/>
  <c r="B37" i="33"/>
  <c r="M36" i="33"/>
  <c r="J36" i="33"/>
  <c r="K36" i="33" s="1"/>
  <c r="I36" i="33"/>
  <c r="B36" i="33"/>
  <c r="A36" i="33"/>
  <c r="J35" i="33"/>
  <c r="K35" i="33" s="1"/>
  <c r="I35" i="33"/>
  <c r="M35" i="33" s="1"/>
  <c r="A35" i="33" s="1"/>
  <c r="B35" i="33"/>
  <c r="K34" i="33"/>
  <c r="J34" i="33"/>
  <c r="I34" i="33"/>
  <c r="M34" i="33" s="1"/>
  <c r="A34" i="33" s="1"/>
  <c r="B34" i="33"/>
  <c r="M33" i="33"/>
  <c r="A33" i="33" s="1"/>
  <c r="J33" i="33"/>
  <c r="K33" i="33" s="1"/>
  <c r="I33" i="33"/>
  <c r="B33" i="33"/>
  <c r="M32" i="33"/>
  <c r="J32" i="33"/>
  <c r="K32" i="33" s="1"/>
  <c r="I32" i="33"/>
  <c r="B32" i="33"/>
  <c r="A32" i="33"/>
  <c r="J31" i="33"/>
  <c r="K31" i="33" s="1"/>
  <c r="I31" i="33"/>
  <c r="M31" i="33" s="1"/>
  <c r="A31" i="33" s="1"/>
  <c r="B31" i="33"/>
  <c r="K30" i="33"/>
  <c r="J30" i="33"/>
  <c r="I30" i="33"/>
  <c r="M30" i="33" s="1"/>
  <c r="A30" i="33" s="1"/>
  <c r="B30" i="33"/>
  <c r="M29" i="33"/>
  <c r="A29" i="33" s="1"/>
  <c r="J29" i="33"/>
  <c r="K29" i="33" s="1"/>
  <c r="I29" i="33"/>
  <c r="B29" i="33"/>
  <c r="M28" i="33"/>
  <c r="J28" i="33"/>
  <c r="K28" i="33" s="1"/>
  <c r="I28" i="33"/>
  <c r="B28" i="33"/>
  <c r="A28" i="33"/>
  <c r="J27" i="33"/>
  <c r="K27" i="33" s="1"/>
  <c r="I27" i="33"/>
  <c r="M27" i="33" s="1"/>
  <c r="A27" i="33" s="1"/>
  <c r="B27" i="33"/>
  <c r="M26" i="33"/>
  <c r="K26" i="33"/>
  <c r="J26" i="33"/>
  <c r="I26" i="33"/>
  <c r="B26" i="33"/>
  <c r="A26" i="33"/>
  <c r="M25" i="33"/>
  <c r="A25" i="33" s="1"/>
  <c r="J25" i="33"/>
  <c r="K25" i="33" s="1"/>
  <c r="I25" i="33"/>
  <c r="B25" i="33"/>
  <c r="M24" i="33"/>
  <c r="J24" i="33"/>
  <c r="K24" i="33" s="1"/>
  <c r="I24" i="33"/>
  <c r="B24" i="33"/>
  <c r="A24" i="33"/>
  <c r="J23" i="33"/>
  <c r="K23" i="33" s="1"/>
  <c r="I23" i="33"/>
  <c r="M23" i="33" s="1"/>
  <c r="A23" i="33" s="1"/>
  <c r="B23" i="33"/>
  <c r="M22" i="33"/>
  <c r="K22" i="33"/>
  <c r="J22" i="33"/>
  <c r="I22" i="33"/>
  <c r="B22" i="33"/>
  <c r="A22" i="33"/>
  <c r="M21" i="33"/>
  <c r="A21" i="33" s="1"/>
  <c r="J21" i="33"/>
  <c r="K21" i="33" s="1"/>
  <c r="I21" i="33"/>
  <c r="B21" i="33"/>
  <c r="M20" i="33"/>
  <c r="J20" i="33"/>
  <c r="K20" i="33" s="1"/>
  <c r="I20" i="33"/>
  <c r="B20" i="33"/>
  <c r="A20" i="33"/>
  <c r="J19" i="33"/>
  <c r="K19" i="33" s="1"/>
  <c r="I19" i="33"/>
  <c r="M19" i="33" s="1"/>
  <c r="A19" i="33" s="1"/>
  <c r="B19" i="33"/>
  <c r="M18" i="33"/>
  <c r="K18" i="33"/>
  <c r="J18" i="33"/>
  <c r="I18" i="33"/>
  <c r="B18" i="33"/>
  <c r="A18" i="33"/>
  <c r="M17" i="33"/>
  <c r="A17" i="33" s="1"/>
  <c r="J17" i="33"/>
  <c r="K17" i="33" s="1"/>
  <c r="I17" i="33"/>
  <c r="B17" i="33"/>
  <c r="M16" i="33"/>
  <c r="A16" i="33" s="1"/>
  <c r="K16" i="33"/>
  <c r="J16" i="33"/>
  <c r="I16" i="33"/>
  <c r="B16" i="33"/>
  <c r="J15" i="33"/>
  <c r="K15" i="33" s="1"/>
  <c r="I15" i="33"/>
  <c r="M15" i="33" s="1"/>
  <c r="A15" i="33" s="1"/>
  <c r="B15" i="33"/>
  <c r="AI14" i="33"/>
  <c r="AI16" i="33" s="1"/>
  <c r="J14" i="33"/>
  <c r="K14" i="33" s="1"/>
  <c r="I14" i="33"/>
  <c r="M14" i="33" s="1"/>
  <c r="A14" i="33" s="1"/>
  <c r="B14" i="33"/>
  <c r="AI13" i="33"/>
  <c r="M13" i="33"/>
  <c r="K13" i="33"/>
  <c r="J13" i="33"/>
  <c r="I13" i="33"/>
  <c r="B13" i="33"/>
  <c r="A13" i="33"/>
  <c r="AI12" i="33"/>
  <c r="M12" i="33"/>
  <c r="K12" i="33"/>
  <c r="J12" i="33"/>
  <c r="I12" i="33"/>
  <c r="B12" i="33"/>
  <c r="A12" i="33"/>
  <c r="M11" i="33"/>
  <c r="A11" i="33" s="1"/>
  <c r="J11" i="33"/>
  <c r="K11" i="33" s="1"/>
  <c r="I11" i="33"/>
  <c r="B11" i="33"/>
  <c r="M10" i="33"/>
  <c r="J10" i="33"/>
  <c r="K10" i="33" s="1"/>
  <c r="I10" i="33"/>
  <c r="B10" i="33"/>
  <c r="A10" i="33"/>
  <c r="J9" i="33"/>
  <c r="K9" i="33" s="1"/>
  <c r="I9" i="33"/>
  <c r="M9" i="33" s="1"/>
  <c r="A9" i="33" s="1"/>
  <c r="B9" i="33"/>
  <c r="J8" i="33"/>
  <c r="K8" i="33" s="1"/>
  <c r="I8" i="33"/>
  <c r="M8" i="33" s="1"/>
  <c r="A8" i="33" s="1"/>
  <c r="B8" i="33"/>
  <c r="K7" i="33"/>
  <c r="J7" i="33"/>
  <c r="I7" i="33"/>
  <c r="M7" i="33" s="1"/>
  <c r="A7" i="33" s="1"/>
  <c r="B7" i="33"/>
  <c r="K6" i="33"/>
  <c r="J6" i="33"/>
  <c r="I6" i="33"/>
  <c r="M6" i="33" s="1"/>
  <c r="A6" i="33" s="1"/>
  <c r="B6" i="33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M134" i="32"/>
  <c r="J134" i="32"/>
  <c r="K134" i="32" s="1"/>
  <c r="I134" i="32"/>
  <c r="J133" i="32"/>
  <c r="K133" i="32" s="1"/>
  <c r="I133" i="32"/>
  <c r="M133" i="32" s="1"/>
  <c r="M132" i="32"/>
  <c r="J132" i="32"/>
  <c r="K132" i="32" s="1"/>
  <c r="I132" i="32"/>
  <c r="J131" i="32"/>
  <c r="K131" i="32" s="1"/>
  <c r="I131" i="32"/>
  <c r="M131" i="32" s="1"/>
  <c r="M130" i="32"/>
  <c r="J130" i="32"/>
  <c r="K130" i="32" s="1"/>
  <c r="I130" i="32"/>
  <c r="J129" i="32"/>
  <c r="K129" i="32" s="1"/>
  <c r="I129" i="32"/>
  <c r="M129" i="32" s="1"/>
  <c r="M128" i="32"/>
  <c r="J128" i="32"/>
  <c r="K128" i="32" s="1"/>
  <c r="I128" i="32"/>
  <c r="J127" i="32"/>
  <c r="K127" i="32" s="1"/>
  <c r="I127" i="32"/>
  <c r="M127" i="32" s="1"/>
  <c r="M126" i="32"/>
  <c r="J126" i="32"/>
  <c r="K126" i="32" s="1"/>
  <c r="I126" i="32"/>
  <c r="J125" i="32"/>
  <c r="K125" i="32" s="1"/>
  <c r="I125" i="32"/>
  <c r="M125" i="32" s="1"/>
  <c r="M124" i="32"/>
  <c r="J124" i="32"/>
  <c r="K124" i="32" s="1"/>
  <c r="I124" i="32"/>
  <c r="J123" i="32"/>
  <c r="K123" i="32" s="1"/>
  <c r="I123" i="32"/>
  <c r="M123" i="32" s="1"/>
  <c r="M122" i="32"/>
  <c r="J122" i="32"/>
  <c r="K122" i="32" s="1"/>
  <c r="I122" i="32"/>
  <c r="J121" i="32"/>
  <c r="K121" i="32" s="1"/>
  <c r="I121" i="32"/>
  <c r="M121" i="32" s="1"/>
  <c r="M120" i="32"/>
  <c r="J120" i="32"/>
  <c r="K120" i="32" s="1"/>
  <c r="I120" i="32"/>
  <c r="J119" i="32"/>
  <c r="K119" i="32" s="1"/>
  <c r="I119" i="32"/>
  <c r="M119" i="32" s="1"/>
  <c r="M118" i="32"/>
  <c r="J118" i="32"/>
  <c r="K118" i="32" s="1"/>
  <c r="I118" i="32"/>
  <c r="J117" i="32"/>
  <c r="K117" i="32" s="1"/>
  <c r="I117" i="32"/>
  <c r="M117" i="32" s="1"/>
  <c r="M116" i="32"/>
  <c r="J116" i="32"/>
  <c r="K116" i="32" s="1"/>
  <c r="I116" i="32"/>
  <c r="J115" i="32"/>
  <c r="K115" i="32" s="1"/>
  <c r="I115" i="32"/>
  <c r="M115" i="32" s="1"/>
  <c r="M114" i="32"/>
  <c r="J114" i="32"/>
  <c r="K114" i="32" s="1"/>
  <c r="I114" i="32"/>
  <c r="J113" i="32"/>
  <c r="K113" i="32" s="1"/>
  <c r="I113" i="32"/>
  <c r="M113" i="32" s="1"/>
  <c r="M112" i="32"/>
  <c r="J112" i="32"/>
  <c r="K112" i="32" s="1"/>
  <c r="I112" i="32"/>
  <c r="J111" i="32"/>
  <c r="K111" i="32" s="1"/>
  <c r="I111" i="32"/>
  <c r="M111" i="32" s="1"/>
  <c r="M110" i="32"/>
  <c r="J110" i="32"/>
  <c r="K110" i="32" s="1"/>
  <c r="I110" i="32"/>
  <c r="J109" i="32"/>
  <c r="K109" i="32" s="1"/>
  <c r="I109" i="32"/>
  <c r="M109" i="32" s="1"/>
  <c r="M108" i="32"/>
  <c r="J108" i="32"/>
  <c r="K108" i="32" s="1"/>
  <c r="I108" i="32"/>
  <c r="J107" i="32"/>
  <c r="K107" i="32" s="1"/>
  <c r="I107" i="32"/>
  <c r="M107" i="32" s="1"/>
  <c r="M106" i="32"/>
  <c r="J106" i="32"/>
  <c r="K106" i="32" s="1"/>
  <c r="I106" i="32"/>
  <c r="J105" i="32"/>
  <c r="K105" i="32" s="1"/>
  <c r="I105" i="32"/>
  <c r="M105" i="32" s="1"/>
  <c r="M104" i="32"/>
  <c r="J104" i="32"/>
  <c r="K104" i="32" s="1"/>
  <c r="I104" i="32"/>
  <c r="J103" i="32"/>
  <c r="K103" i="32" s="1"/>
  <c r="I103" i="32"/>
  <c r="M103" i="32" s="1"/>
  <c r="M102" i="32"/>
  <c r="J102" i="32"/>
  <c r="K102" i="32" s="1"/>
  <c r="I102" i="32"/>
  <c r="J101" i="32"/>
  <c r="K101" i="32" s="1"/>
  <c r="I101" i="32"/>
  <c r="M101" i="32" s="1"/>
  <c r="M100" i="32"/>
  <c r="J100" i="32"/>
  <c r="K100" i="32" s="1"/>
  <c r="I100" i="32"/>
  <c r="J99" i="32"/>
  <c r="K99" i="32" s="1"/>
  <c r="I99" i="32"/>
  <c r="M99" i="32" s="1"/>
  <c r="M98" i="32"/>
  <c r="J98" i="32"/>
  <c r="K98" i="32" s="1"/>
  <c r="I98" i="32"/>
  <c r="J97" i="32"/>
  <c r="K97" i="32" s="1"/>
  <c r="I97" i="32"/>
  <c r="M97" i="32" s="1"/>
  <c r="M96" i="32"/>
  <c r="J96" i="32"/>
  <c r="K96" i="32" s="1"/>
  <c r="I96" i="32"/>
  <c r="J95" i="32"/>
  <c r="K95" i="32" s="1"/>
  <c r="I95" i="32"/>
  <c r="M95" i="32" s="1"/>
  <c r="M94" i="32"/>
  <c r="J94" i="32"/>
  <c r="K94" i="32" s="1"/>
  <c r="I94" i="32"/>
  <c r="J93" i="32"/>
  <c r="K93" i="32" s="1"/>
  <c r="I93" i="32"/>
  <c r="M93" i="32" s="1"/>
  <c r="M92" i="32"/>
  <c r="J92" i="32"/>
  <c r="K92" i="32" s="1"/>
  <c r="I92" i="32"/>
  <c r="J91" i="32"/>
  <c r="K91" i="32" s="1"/>
  <c r="I91" i="32"/>
  <c r="M91" i="32" s="1"/>
  <c r="M90" i="32"/>
  <c r="J90" i="32"/>
  <c r="K90" i="32" s="1"/>
  <c r="I90" i="32"/>
  <c r="J89" i="32"/>
  <c r="K89" i="32" s="1"/>
  <c r="I89" i="32"/>
  <c r="M89" i="32" s="1"/>
  <c r="M88" i="32"/>
  <c r="J88" i="32"/>
  <c r="K88" i="32" s="1"/>
  <c r="I88" i="32"/>
  <c r="J87" i="32"/>
  <c r="K87" i="32" s="1"/>
  <c r="I87" i="32"/>
  <c r="M87" i="32" s="1"/>
  <c r="M86" i="32"/>
  <c r="J86" i="32"/>
  <c r="K86" i="32" s="1"/>
  <c r="I86" i="32"/>
  <c r="J85" i="32"/>
  <c r="K85" i="32" s="1"/>
  <c r="I85" i="32"/>
  <c r="M85" i="32" s="1"/>
  <c r="M84" i="32"/>
  <c r="J84" i="32"/>
  <c r="K84" i="32" s="1"/>
  <c r="I84" i="32"/>
  <c r="J83" i="32"/>
  <c r="K83" i="32" s="1"/>
  <c r="I83" i="32"/>
  <c r="M83" i="32" s="1"/>
  <c r="M82" i="32"/>
  <c r="J82" i="32"/>
  <c r="K82" i="32" s="1"/>
  <c r="I82" i="32"/>
  <c r="J81" i="32"/>
  <c r="K81" i="32" s="1"/>
  <c r="I81" i="32"/>
  <c r="M81" i="32" s="1"/>
  <c r="M80" i="32"/>
  <c r="J80" i="32"/>
  <c r="K80" i="32" s="1"/>
  <c r="I80" i="32"/>
  <c r="J79" i="32"/>
  <c r="K79" i="32" s="1"/>
  <c r="I79" i="32"/>
  <c r="M79" i="32" s="1"/>
  <c r="A79" i="32" s="1"/>
  <c r="K78" i="32"/>
  <c r="J78" i="32"/>
  <c r="I78" i="32"/>
  <c r="M78" i="32" s="1"/>
  <c r="A78" i="32" s="1"/>
  <c r="M77" i="32"/>
  <c r="A77" i="32" s="1"/>
  <c r="K77" i="32"/>
  <c r="J77" i="32"/>
  <c r="I77" i="32"/>
  <c r="K76" i="32"/>
  <c r="J76" i="32"/>
  <c r="I76" i="32"/>
  <c r="M76" i="32" s="1"/>
  <c r="A76" i="32" s="1"/>
  <c r="M75" i="32"/>
  <c r="J75" i="32"/>
  <c r="K75" i="32" s="1"/>
  <c r="I75" i="32"/>
  <c r="A75" i="32"/>
  <c r="J74" i="32"/>
  <c r="K74" i="32" s="1"/>
  <c r="I74" i="32"/>
  <c r="M74" i="32" s="1"/>
  <c r="A74" i="32" s="1"/>
  <c r="M73" i="32"/>
  <c r="J73" i="32"/>
  <c r="K73" i="32" s="1"/>
  <c r="I73" i="32"/>
  <c r="A73" i="32"/>
  <c r="M72" i="32"/>
  <c r="A72" i="32" s="1"/>
  <c r="K72" i="32"/>
  <c r="J72" i="32"/>
  <c r="I72" i="32"/>
  <c r="J71" i="32"/>
  <c r="K71" i="32" s="1"/>
  <c r="I71" i="32"/>
  <c r="M71" i="32" s="1"/>
  <c r="A71" i="32" s="1"/>
  <c r="K70" i="32"/>
  <c r="J70" i="32"/>
  <c r="I70" i="32"/>
  <c r="M70" i="32" s="1"/>
  <c r="A70" i="32" s="1"/>
  <c r="M69" i="32"/>
  <c r="A69" i="32" s="1"/>
  <c r="K69" i="32"/>
  <c r="J69" i="32"/>
  <c r="I69" i="32"/>
  <c r="K68" i="32"/>
  <c r="J68" i="32"/>
  <c r="I68" i="32"/>
  <c r="M68" i="32" s="1"/>
  <c r="A68" i="32" s="1"/>
  <c r="M67" i="32"/>
  <c r="J67" i="32"/>
  <c r="K67" i="32" s="1"/>
  <c r="I67" i="32"/>
  <c r="A67" i="32"/>
  <c r="J66" i="32"/>
  <c r="K66" i="32" s="1"/>
  <c r="I66" i="32"/>
  <c r="M66" i="32" s="1"/>
  <c r="A66" i="32" s="1"/>
  <c r="M65" i="32"/>
  <c r="J65" i="32"/>
  <c r="K65" i="32" s="1"/>
  <c r="I65" i="32"/>
  <c r="B65" i="32"/>
  <c r="A65" i="32"/>
  <c r="M64" i="32"/>
  <c r="A64" i="32" s="1"/>
  <c r="J64" i="32"/>
  <c r="K64" i="32" s="1"/>
  <c r="I64" i="32"/>
  <c r="B64" i="32"/>
  <c r="M63" i="32"/>
  <c r="A63" i="32" s="1"/>
  <c r="K63" i="32"/>
  <c r="J63" i="32"/>
  <c r="I63" i="32"/>
  <c r="B63" i="32"/>
  <c r="J62" i="32"/>
  <c r="K62" i="32" s="1"/>
  <c r="I62" i="32"/>
  <c r="M62" i="32" s="1"/>
  <c r="A62" i="32" s="1"/>
  <c r="B62" i="32"/>
  <c r="M61" i="32"/>
  <c r="J61" i="32"/>
  <c r="K61" i="32" s="1"/>
  <c r="I61" i="32"/>
  <c r="B61" i="32"/>
  <c r="A61" i="32"/>
  <c r="M60" i="32"/>
  <c r="A60" i="32" s="1"/>
  <c r="J60" i="32"/>
  <c r="K60" i="32" s="1"/>
  <c r="I60" i="32"/>
  <c r="B60" i="32"/>
  <c r="M59" i="32"/>
  <c r="A59" i="32" s="1"/>
  <c r="K59" i="32"/>
  <c r="J59" i="32"/>
  <c r="I59" i="32"/>
  <c r="B59" i="32"/>
  <c r="J58" i="32"/>
  <c r="K58" i="32" s="1"/>
  <c r="I58" i="32"/>
  <c r="M58" i="32" s="1"/>
  <c r="A58" i="32" s="1"/>
  <c r="B58" i="32"/>
  <c r="M57" i="32"/>
  <c r="J57" i="32"/>
  <c r="K57" i="32" s="1"/>
  <c r="I57" i="32"/>
  <c r="B57" i="32"/>
  <c r="A57" i="32"/>
  <c r="M56" i="32"/>
  <c r="A56" i="32" s="1"/>
  <c r="J56" i="32"/>
  <c r="K56" i="32" s="1"/>
  <c r="I56" i="32"/>
  <c r="B56" i="32"/>
  <c r="M55" i="32"/>
  <c r="A55" i="32" s="1"/>
  <c r="K55" i="32"/>
  <c r="J55" i="32"/>
  <c r="I55" i="32"/>
  <c r="B55" i="32"/>
  <c r="J54" i="32"/>
  <c r="K54" i="32" s="1"/>
  <c r="I54" i="32"/>
  <c r="M54" i="32" s="1"/>
  <c r="A54" i="32" s="1"/>
  <c r="B54" i="32"/>
  <c r="M53" i="32"/>
  <c r="J53" i="32"/>
  <c r="K53" i="32" s="1"/>
  <c r="I53" i="32"/>
  <c r="B53" i="32"/>
  <c r="A53" i="32"/>
  <c r="M52" i="32"/>
  <c r="A52" i="32" s="1"/>
  <c r="J52" i="32"/>
  <c r="K52" i="32" s="1"/>
  <c r="I52" i="32"/>
  <c r="B52" i="32"/>
  <c r="M51" i="32"/>
  <c r="A51" i="32" s="1"/>
  <c r="K51" i="32"/>
  <c r="J51" i="32"/>
  <c r="I51" i="32"/>
  <c r="B51" i="32"/>
  <c r="J50" i="32"/>
  <c r="K50" i="32" s="1"/>
  <c r="I50" i="32"/>
  <c r="M50" i="32" s="1"/>
  <c r="A50" i="32" s="1"/>
  <c r="B50" i="32"/>
  <c r="M49" i="32"/>
  <c r="J49" i="32"/>
  <c r="K49" i="32" s="1"/>
  <c r="I49" i="32"/>
  <c r="B49" i="32"/>
  <c r="A49" i="32"/>
  <c r="M48" i="32"/>
  <c r="A48" i="32" s="1"/>
  <c r="J48" i="32"/>
  <c r="K48" i="32" s="1"/>
  <c r="I48" i="32"/>
  <c r="B48" i="32"/>
  <c r="M47" i="32"/>
  <c r="A47" i="32" s="1"/>
  <c r="K47" i="32"/>
  <c r="J47" i="32"/>
  <c r="I47" i="32"/>
  <c r="B47" i="32"/>
  <c r="T46" i="32"/>
  <c r="R46" i="32"/>
  <c r="U46" i="32" s="1"/>
  <c r="M46" i="32"/>
  <c r="A46" i="32" s="1"/>
  <c r="K46" i="32"/>
  <c r="J46" i="32"/>
  <c r="I46" i="32"/>
  <c r="B46" i="32"/>
  <c r="J45" i="32"/>
  <c r="K45" i="32" s="1"/>
  <c r="I45" i="32"/>
  <c r="M45" i="32" s="1"/>
  <c r="A45" i="32" s="1"/>
  <c r="B45" i="32"/>
  <c r="K44" i="32"/>
  <c r="J44" i="32"/>
  <c r="I44" i="32"/>
  <c r="M44" i="32" s="1"/>
  <c r="A44" i="32" s="1"/>
  <c r="B44" i="32"/>
  <c r="K43" i="32"/>
  <c r="J43" i="32"/>
  <c r="I43" i="32"/>
  <c r="M43" i="32" s="1"/>
  <c r="A43" i="32" s="1"/>
  <c r="B43" i="32"/>
  <c r="M42" i="32"/>
  <c r="A42" i="32" s="1"/>
  <c r="K42" i="32"/>
  <c r="J42" i="32"/>
  <c r="I42" i="32"/>
  <c r="B42" i="32"/>
  <c r="J41" i="32"/>
  <c r="K41" i="32" s="1"/>
  <c r="I41" i="32"/>
  <c r="M41" i="32" s="1"/>
  <c r="A41" i="32" s="1"/>
  <c r="B41" i="32"/>
  <c r="K40" i="32"/>
  <c r="J40" i="32"/>
  <c r="I40" i="32"/>
  <c r="M40" i="32" s="1"/>
  <c r="A40" i="32" s="1"/>
  <c r="B40" i="32"/>
  <c r="K39" i="32"/>
  <c r="J39" i="32"/>
  <c r="I39" i="32"/>
  <c r="M39" i="32" s="1"/>
  <c r="A39" i="32" s="1"/>
  <c r="B39" i="32"/>
  <c r="M38" i="32"/>
  <c r="A38" i="32" s="1"/>
  <c r="K38" i="32"/>
  <c r="J38" i="32"/>
  <c r="I38" i="32"/>
  <c r="B38" i="32"/>
  <c r="J37" i="32"/>
  <c r="K37" i="32" s="1"/>
  <c r="I37" i="32"/>
  <c r="M37" i="32" s="1"/>
  <c r="A37" i="32" s="1"/>
  <c r="B37" i="32"/>
  <c r="K36" i="32"/>
  <c r="J36" i="32"/>
  <c r="I36" i="32"/>
  <c r="M36" i="32" s="1"/>
  <c r="A36" i="32" s="1"/>
  <c r="B36" i="32"/>
  <c r="K35" i="32"/>
  <c r="J35" i="32"/>
  <c r="I35" i="32"/>
  <c r="M35" i="32" s="1"/>
  <c r="A35" i="32" s="1"/>
  <c r="B35" i="32"/>
  <c r="M34" i="32"/>
  <c r="A34" i="32" s="1"/>
  <c r="K34" i="32"/>
  <c r="J34" i="32"/>
  <c r="I34" i="32"/>
  <c r="B34" i="32"/>
  <c r="J33" i="32"/>
  <c r="K33" i="32" s="1"/>
  <c r="I33" i="32"/>
  <c r="M33" i="32" s="1"/>
  <c r="A33" i="32" s="1"/>
  <c r="B33" i="32"/>
  <c r="K32" i="32"/>
  <c r="J32" i="32"/>
  <c r="I32" i="32"/>
  <c r="M32" i="32" s="1"/>
  <c r="A32" i="32" s="1"/>
  <c r="B32" i="32"/>
  <c r="K31" i="32"/>
  <c r="J31" i="32"/>
  <c r="I31" i="32"/>
  <c r="M31" i="32" s="1"/>
  <c r="A31" i="32" s="1"/>
  <c r="B31" i="32"/>
  <c r="M30" i="32"/>
  <c r="A30" i="32" s="1"/>
  <c r="K30" i="32"/>
  <c r="J30" i="32"/>
  <c r="I30" i="32"/>
  <c r="B30" i="32"/>
  <c r="J29" i="32"/>
  <c r="K29" i="32" s="1"/>
  <c r="I29" i="32"/>
  <c r="M29" i="32" s="1"/>
  <c r="A29" i="32" s="1"/>
  <c r="B29" i="32"/>
  <c r="K28" i="32"/>
  <c r="J28" i="32"/>
  <c r="I28" i="32"/>
  <c r="M28" i="32" s="1"/>
  <c r="A28" i="32" s="1"/>
  <c r="B28" i="32"/>
  <c r="K27" i="32"/>
  <c r="J27" i="32"/>
  <c r="I27" i="32"/>
  <c r="M27" i="32" s="1"/>
  <c r="A27" i="32" s="1"/>
  <c r="B27" i="32"/>
  <c r="M26" i="32"/>
  <c r="A26" i="32" s="1"/>
  <c r="K26" i="32"/>
  <c r="J26" i="32"/>
  <c r="I26" i="32"/>
  <c r="B26" i="32"/>
  <c r="J25" i="32"/>
  <c r="K25" i="32" s="1"/>
  <c r="I25" i="32"/>
  <c r="M25" i="32" s="1"/>
  <c r="A25" i="32" s="1"/>
  <c r="B25" i="32"/>
  <c r="K24" i="32"/>
  <c r="J24" i="32"/>
  <c r="I24" i="32"/>
  <c r="M24" i="32" s="1"/>
  <c r="A24" i="32" s="1"/>
  <c r="B24" i="32"/>
  <c r="K23" i="32"/>
  <c r="J23" i="32"/>
  <c r="I23" i="32"/>
  <c r="M23" i="32" s="1"/>
  <c r="A23" i="32" s="1"/>
  <c r="B23" i="32"/>
  <c r="M22" i="32"/>
  <c r="A22" i="32" s="1"/>
  <c r="K22" i="32"/>
  <c r="J22" i="32"/>
  <c r="I22" i="32"/>
  <c r="B22" i="32"/>
  <c r="J21" i="32"/>
  <c r="K21" i="32" s="1"/>
  <c r="I21" i="32"/>
  <c r="M21" i="32" s="1"/>
  <c r="A21" i="32" s="1"/>
  <c r="B21" i="32"/>
  <c r="K20" i="32"/>
  <c r="J20" i="32"/>
  <c r="I20" i="32"/>
  <c r="M20" i="32" s="1"/>
  <c r="A20" i="32" s="1"/>
  <c r="B20" i="32"/>
  <c r="K19" i="32"/>
  <c r="J19" i="32"/>
  <c r="I19" i="32"/>
  <c r="M19" i="32" s="1"/>
  <c r="A19" i="32" s="1"/>
  <c r="B19" i="32"/>
  <c r="M18" i="32"/>
  <c r="A18" i="32" s="1"/>
  <c r="K18" i="32"/>
  <c r="J18" i="32"/>
  <c r="I18" i="32"/>
  <c r="B18" i="32"/>
  <c r="J17" i="32"/>
  <c r="K17" i="32" s="1"/>
  <c r="I17" i="32"/>
  <c r="M17" i="32" s="1"/>
  <c r="A17" i="32" s="1"/>
  <c r="B17" i="32"/>
  <c r="J16" i="32"/>
  <c r="K16" i="32" s="1"/>
  <c r="I16" i="32"/>
  <c r="M16" i="32" s="1"/>
  <c r="A16" i="32" s="1"/>
  <c r="B16" i="32"/>
  <c r="M15" i="32"/>
  <c r="J15" i="32"/>
  <c r="K15" i="32" s="1"/>
  <c r="I15" i="32"/>
  <c r="B15" i="32"/>
  <c r="A15" i="32"/>
  <c r="AI14" i="32"/>
  <c r="K14" i="32"/>
  <c r="J14" i="32"/>
  <c r="I14" i="32"/>
  <c r="M14" i="32" s="1"/>
  <c r="A14" i="32" s="1"/>
  <c r="B14" i="32"/>
  <c r="AI13" i="32"/>
  <c r="M13" i="32"/>
  <c r="A13" i="32" s="1"/>
  <c r="J13" i="32"/>
  <c r="K13" i="32" s="1"/>
  <c r="I13" i="32"/>
  <c r="B13" i="32"/>
  <c r="AI12" i="32"/>
  <c r="AI16" i="32" s="1"/>
  <c r="M12" i="32"/>
  <c r="A12" i="32" s="1"/>
  <c r="K12" i="32"/>
  <c r="J12" i="32"/>
  <c r="I12" i="32"/>
  <c r="B12" i="32"/>
  <c r="J11" i="32"/>
  <c r="K11" i="32" s="1"/>
  <c r="I11" i="32"/>
  <c r="M11" i="32" s="1"/>
  <c r="A11" i="32" s="1"/>
  <c r="B11" i="32"/>
  <c r="K10" i="32"/>
  <c r="J10" i="32"/>
  <c r="I10" i="32"/>
  <c r="M10" i="32" s="1"/>
  <c r="A10" i="32" s="1"/>
  <c r="B10" i="32"/>
  <c r="L9" i="32"/>
  <c r="J9" i="32"/>
  <c r="K9" i="32" s="1"/>
  <c r="I9" i="32"/>
  <c r="M9" i="32" s="1"/>
  <c r="A9" i="32" s="1"/>
  <c r="B9" i="32"/>
  <c r="K8" i="32"/>
  <c r="J8" i="32"/>
  <c r="I8" i="32"/>
  <c r="M8" i="32" s="1"/>
  <c r="A8" i="32" s="1"/>
  <c r="B8" i="32"/>
  <c r="M7" i="32"/>
  <c r="A7" i="32" s="1"/>
  <c r="L7" i="32"/>
  <c r="J7" i="32"/>
  <c r="K7" i="32" s="1"/>
  <c r="I7" i="32"/>
  <c r="B7" i="32"/>
  <c r="M6" i="32"/>
  <c r="A6" i="32" s="1"/>
  <c r="L6" i="32"/>
  <c r="K6" i="32"/>
  <c r="J6" i="32"/>
  <c r="I6" i="32"/>
  <c r="B6" i="32"/>
  <c r="K2" i="32"/>
  <c r="L8" i="32" s="1"/>
  <c r="M23" i="28"/>
  <c r="K23" i="28"/>
  <c r="I23" i="28"/>
  <c r="M22" i="28"/>
  <c r="K22" i="28"/>
  <c r="I22" i="28"/>
  <c r="M21" i="28"/>
  <c r="K21" i="28"/>
  <c r="I21" i="28"/>
  <c r="M20" i="28"/>
  <c r="K20" i="28"/>
  <c r="I20" i="28"/>
  <c r="M19" i="28"/>
  <c r="K19" i="28"/>
  <c r="I19" i="28"/>
  <c r="M18" i="28"/>
  <c r="K18" i="28"/>
  <c r="I18" i="28"/>
  <c r="K17" i="28"/>
  <c r="M16" i="28"/>
  <c r="K16" i="28"/>
  <c r="M15" i="28"/>
  <c r="K15" i="28"/>
  <c r="M11" i="28"/>
  <c r="K11" i="28"/>
  <c r="M8" i="28"/>
  <c r="K8" i="28"/>
  <c r="M13" i="28"/>
  <c r="K13" i="28"/>
  <c r="I13" i="28"/>
  <c r="M9" i="28"/>
  <c r="K9" i="28"/>
  <c r="I9" i="28"/>
  <c r="K12" i="28"/>
  <c r="I12" i="28"/>
  <c r="M14" i="28"/>
  <c r="K14" i="28"/>
  <c r="I14" i="28"/>
  <c r="M10" i="28"/>
  <c r="K10" i="28"/>
  <c r="I10" i="28"/>
  <c r="M6" i="28"/>
  <c r="K6" i="28"/>
  <c r="I6" i="28"/>
  <c r="K7" i="28"/>
  <c r="I7" i="28"/>
  <c r="M21" i="13"/>
  <c r="M20" i="13"/>
  <c r="M19" i="13"/>
  <c r="M18" i="13"/>
  <c r="M17" i="13"/>
  <c r="M13" i="13"/>
  <c r="M11" i="13"/>
  <c r="M14" i="13"/>
  <c r="M8" i="13"/>
  <c r="M10" i="13"/>
  <c r="M12" i="13"/>
  <c r="M9" i="13"/>
  <c r="M16" i="13"/>
  <c r="M6" i="13"/>
  <c r="K21" i="13"/>
  <c r="K20" i="13"/>
  <c r="K19" i="13"/>
  <c r="K18" i="13"/>
  <c r="K17" i="13"/>
  <c r="K13" i="13"/>
  <c r="K11" i="13"/>
  <c r="K14" i="13"/>
  <c r="K8" i="13"/>
  <c r="K15" i="13"/>
  <c r="K10" i="13"/>
  <c r="K12" i="13"/>
  <c r="K9" i="13"/>
  <c r="K16" i="13"/>
  <c r="K6" i="13"/>
  <c r="K7" i="13"/>
  <c r="I21" i="13"/>
  <c r="I20" i="13"/>
  <c r="I19" i="13"/>
  <c r="I18" i="13"/>
  <c r="I17" i="13"/>
  <c r="I13" i="13"/>
  <c r="I15" i="13"/>
  <c r="I10" i="13"/>
  <c r="I12" i="13"/>
  <c r="I9" i="13"/>
  <c r="I16" i="13"/>
  <c r="I6" i="13"/>
  <c r="I7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K284" i="31"/>
  <c r="J284" i="3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K204" i="31"/>
  <c r="J204" i="3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J129" i="31"/>
  <c r="K129" i="31" s="1"/>
  <c r="I129" i="31"/>
  <c r="M129" i="31" s="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J119" i="31"/>
  <c r="K119" i="31" s="1"/>
  <c r="I119" i="31"/>
  <c r="M119" i="31" s="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J103" i="31"/>
  <c r="K103" i="31" s="1"/>
  <c r="I103" i="31"/>
  <c r="M103" i="31" s="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J87" i="31"/>
  <c r="K87" i="31" s="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J17" i="31"/>
  <c r="K17" i="31" s="1"/>
  <c r="I17" i="31"/>
  <c r="M17" i="31" s="1"/>
  <c r="A17" i="31" s="1"/>
  <c r="B17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AI16" i="31" s="1"/>
  <c r="J13" i="31"/>
  <c r="K13" i="31" s="1"/>
  <c r="I13" i="31"/>
  <c r="M13" i="31" s="1"/>
  <c r="A13" i="31" s="1"/>
  <c r="B13" i="31"/>
  <c r="AI12" i="31"/>
  <c r="J12" i="31"/>
  <c r="K12" i="31" s="1"/>
  <c r="I12" i="31"/>
  <c r="M12" i="31" s="1"/>
  <c r="A12" i="31" s="1"/>
  <c r="B12" i="31"/>
  <c r="J11" i="31"/>
  <c r="K11" i="31" s="1"/>
  <c r="I11" i="31"/>
  <c r="M11" i="31" s="1"/>
  <c r="A11" i="31" s="1"/>
  <c r="J10" i="31"/>
  <c r="K10" i="31" s="1"/>
  <c r="I10" i="31"/>
  <c r="M10" i="31" s="1"/>
  <c r="A10" i="31" s="1"/>
  <c r="J9" i="31"/>
  <c r="K9" i="31" s="1"/>
  <c r="I9" i="31"/>
  <c r="J8" i="31"/>
  <c r="K8" i="31" s="1"/>
  <c r="I8" i="31"/>
  <c r="J7" i="31"/>
  <c r="K7" i="31" s="1"/>
  <c r="I7" i="31"/>
  <c r="K6" i="31"/>
  <c r="I6" i="3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K252" i="30"/>
  <c r="J252" i="30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K103" i="30"/>
  <c r="J103" i="30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M65" i="30"/>
  <c r="K65" i="30"/>
  <c r="J65" i="30"/>
  <c r="I65" i="30"/>
  <c r="B65" i="30"/>
  <c r="J64" i="30"/>
  <c r="K64" i="30" s="1"/>
  <c r="I64" i="30"/>
  <c r="M64" i="30" s="1"/>
  <c r="B64" i="30"/>
  <c r="M63" i="30"/>
  <c r="K63" i="30"/>
  <c r="J63" i="30"/>
  <c r="I63" i="30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AI16" i="30" s="1"/>
  <c r="J13" i="30"/>
  <c r="K13" i="30" s="1"/>
  <c r="I13" i="30"/>
  <c r="M13" i="30" s="1"/>
  <c r="A13" i="30" s="1"/>
  <c r="AI12" i="30"/>
  <c r="J12" i="30"/>
  <c r="K12" i="30" s="1"/>
  <c r="I12" i="30"/>
  <c r="M12" i="30" s="1"/>
  <c r="A12" i="30" s="1"/>
  <c r="J11" i="30"/>
  <c r="K11" i="30" s="1"/>
  <c r="I11" i="30"/>
  <c r="M11" i="30" s="1"/>
  <c r="A11" i="30" s="1"/>
  <c r="J10" i="30"/>
  <c r="K10" i="30" s="1"/>
  <c r="I10" i="30"/>
  <c r="J9" i="30"/>
  <c r="K9" i="30" s="1"/>
  <c r="I9" i="30"/>
  <c r="K8" i="30"/>
  <c r="I8" i="30"/>
  <c r="K7" i="30"/>
  <c r="I7" i="30"/>
  <c r="K6" i="30"/>
  <c r="I6" i="30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M289" i="29"/>
  <c r="J289" i="29"/>
  <c r="K289" i="29" s="1"/>
  <c r="I289" i="29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M267" i="29"/>
  <c r="J267" i="29"/>
  <c r="K267" i="29" s="1"/>
  <c r="I267" i="29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M245" i="29"/>
  <c r="J245" i="29"/>
  <c r="K245" i="29" s="1"/>
  <c r="I245" i="29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M241" i="29"/>
  <c r="J241" i="29"/>
  <c r="K241" i="29" s="1"/>
  <c r="I241" i="29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M223" i="29"/>
  <c r="J223" i="29"/>
  <c r="K223" i="29" s="1"/>
  <c r="I223" i="29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M181" i="29"/>
  <c r="J181" i="29"/>
  <c r="K181" i="29" s="1"/>
  <c r="I181" i="29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M159" i="29"/>
  <c r="J159" i="29"/>
  <c r="K159" i="29" s="1"/>
  <c r="I159" i="29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M155" i="29"/>
  <c r="J155" i="29"/>
  <c r="K155" i="29" s="1"/>
  <c r="I155" i="29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M124" i="29"/>
  <c r="J124" i="29"/>
  <c r="K124" i="29" s="1"/>
  <c r="I124" i="29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M120" i="29"/>
  <c r="J120" i="29"/>
  <c r="K120" i="29" s="1"/>
  <c r="I120" i="29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M110" i="29"/>
  <c r="J110" i="29"/>
  <c r="K110" i="29" s="1"/>
  <c r="I110" i="29"/>
  <c r="J109" i="29"/>
  <c r="K109" i="29" s="1"/>
  <c r="I109" i="29"/>
  <c r="M109" i="29" s="1"/>
  <c r="M108" i="29"/>
  <c r="J108" i="29"/>
  <c r="K108" i="29" s="1"/>
  <c r="I108" i="29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K90" i="29"/>
  <c r="J90" i="29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K78" i="29"/>
  <c r="J78" i="29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M51" i="29"/>
  <c r="J51" i="29"/>
  <c r="K51" i="29" s="1"/>
  <c r="I51" i="29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K46" i="29"/>
  <c r="J46" i="29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M42" i="29"/>
  <c r="J42" i="29"/>
  <c r="K42" i="29" s="1"/>
  <c r="I42" i="29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K38" i="29"/>
  <c r="J38" i="29"/>
  <c r="I38" i="29"/>
  <c r="M38" i="29" s="1"/>
  <c r="B38" i="29"/>
  <c r="J37" i="29"/>
  <c r="K37" i="29" s="1"/>
  <c r="I37" i="29"/>
  <c r="M37" i="29" s="1"/>
  <c r="A37" i="29" s="1"/>
  <c r="B37" i="29"/>
  <c r="M36" i="29"/>
  <c r="A36" i="29" s="1"/>
  <c r="K36" i="29"/>
  <c r="J36" i="29"/>
  <c r="I36" i="29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M19" i="29"/>
  <c r="A19" i="29" s="1"/>
  <c r="J19" i="29"/>
  <c r="K19" i="29" s="1"/>
  <c r="I19" i="29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AI16" i="29"/>
  <c r="J16" i="29"/>
  <c r="K16" i="29" s="1"/>
  <c r="I16" i="29"/>
  <c r="M16" i="29" s="1"/>
  <c r="A16" i="29" s="1"/>
  <c r="B16" i="29"/>
  <c r="K15" i="29"/>
  <c r="J15" i="29"/>
  <c r="I15" i="29"/>
  <c r="M15" i="29" s="1"/>
  <c r="A15" i="29" s="1"/>
  <c r="B15" i="29"/>
  <c r="AI14" i="29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A13" i="29" s="1"/>
  <c r="B13" i="29"/>
  <c r="AI12" i="29"/>
  <c r="J12" i="29"/>
  <c r="K12" i="29" s="1"/>
  <c r="I12" i="29"/>
  <c r="M12" i="29" s="1"/>
  <c r="A12" i="29" s="1"/>
  <c r="J11" i="29"/>
  <c r="K11" i="29" s="1"/>
  <c r="I11" i="29"/>
  <c r="J10" i="29"/>
  <c r="K10" i="29" s="1"/>
  <c r="I10" i="29"/>
  <c r="J9" i="29"/>
  <c r="K9" i="29" s="1"/>
  <c r="I9" i="29"/>
  <c r="M9" i="29" s="1"/>
  <c r="A9" i="29" s="1"/>
  <c r="J8" i="29"/>
  <c r="K8" i="29" s="1"/>
  <c r="I8" i="29"/>
  <c r="J7" i="29"/>
  <c r="K7" i="29" s="1"/>
  <c r="I7" i="29"/>
  <c r="J6" i="29"/>
  <c r="K6" i="29" s="1"/>
  <c r="I6" i="29"/>
  <c r="I16" i="28"/>
  <c r="K2" i="29"/>
  <c r="L6" i="29" s="1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AH7" i="28" s="1" a="1"/>
  <c r="AH7" i="28" s="1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I6" i="19"/>
  <c r="I6" i="18"/>
  <c r="I6" i="17"/>
  <c r="J9" i="20"/>
  <c r="K9" i="20" s="1"/>
  <c r="I9" i="20"/>
  <c r="J9" i="22"/>
  <c r="K9" i="22" s="1"/>
  <c r="I9" i="22"/>
  <c r="B9" i="22"/>
  <c r="J9" i="23"/>
  <c r="K9" i="23" s="1"/>
  <c r="I9" i="23"/>
  <c r="B9" i="23"/>
  <c r="J9" i="24"/>
  <c r="K9" i="24" s="1"/>
  <c r="I9" i="24"/>
  <c r="B9" i="24"/>
  <c r="J250" i="20"/>
  <c r="K250" i="20" s="1"/>
  <c r="I250" i="20"/>
  <c r="B250" i="20"/>
  <c r="J249" i="20"/>
  <c r="K249" i="20" s="1"/>
  <c r="I249" i="20"/>
  <c r="B249" i="20"/>
  <c r="J248" i="20"/>
  <c r="K248" i="20" s="1"/>
  <c r="I248" i="20"/>
  <c r="B248" i="20"/>
  <c r="J247" i="20"/>
  <c r="K247" i="20" s="1"/>
  <c r="I247" i="20"/>
  <c r="N247" i="20" s="1"/>
  <c r="A247" i="20" s="1"/>
  <c r="B247" i="20"/>
  <c r="J246" i="20"/>
  <c r="K246" i="20" s="1"/>
  <c r="I246" i="20"/>
  <c r="B246" i="20"/>
  <c r="J245" i="20"/>
  <c r="K245" i="20" s="1"/>
  <c r="I245" i="20"/>
  <c r="B245" i="20"/>
  <c r="J244" i="20"/>
  <c r="K244" i="20" s="1"/>
  <c r="I244" i="20"/>
  <c r="B244" i="20"/>
  <c r="J243" i="20"/>
  <c r="K243" i="20" s="1"/>
  <c r="I243" i="20"/>
  <c r="B243" i="20"/>
  <c r="J242" i="20"/>
  <c r="K242" i="20" s="1"/>
  <c r="I242" i="20"/>
  <c r="B242" i="20"/>
  <c r="J241" i="20"/>
  <c r="K241" i="20" s="1"/>
  <c r="I241" i="20"/>
  <c r="M241" i="20" s="1"/>
  <c r="N241" i="20" s="1"/>
  <c r="A241" i="20" s="1"/>
  <c r="B241" i="20"/>
  <c r="J240" i="20"/>
  <c r="K240" i="20" s="1"/>
  <c r="I240" i="20"/>
  <c r="B240" i="20"/>
  <c r="J239" i="20"/>
  <c r="K239" i="20" s="1"/>
  <c r="I239" i="20"/>
  <c r="N239" i="20" s="1"/>
  <c r="A239" i="20" s="1"/>
  <c r="B239" i="20"/>
  <c r="J238" i="20"/>
  <c r="K238" i="20" s="1"/>
  <c r="I238" i="20"/>
  <c r="M238" i="20" s="1"/>
  <c r="N238" i="20" s="1"/>
  <c r="A238" i="20" s="1"/>
  <c r="B238" i="20"/>
  <c r="J237" i="20"/>
  <c r="K237" i="20" s="1"/>
  <c r="I237" i="20"/>
  <c r="B237" i="20"/>
  <c r="J236" i="20"/>
  <c r="K236" i="20" s="1"/>
  <c r="I236" i="20"/>
  <c r="B236" i="20"/>
  <c r="J235" i="20"/>
  <c r="K235" i="20" s="1"/>
  <c r="I235" i="20"/>
  <c r="B235" i="20"/>
  <c r="J234" i="20"/>
  <c r="K234" i="20" s="1"/>
  <c r="I234" i="20"/>
  <c r="B234" i="20"/>
  <c r="J233" i="20"/>
  <c r="K233" i="20" s="1"/>
  <c r="I233" i="20"/>
  <c r="M233" i="20" s="1"/>
  <c r="B233" i="20"/>
  <c r="J232" i="20"/>
  <c r="K232" i="20" s="1"/>
  <c r="I232" i="20"/>
  <c r="B232" i="20"/>
  <c r="J231" i="20"/>
  <c r="K231" i="20" s="1"/>
  <c r="I231" i="20"/>
  <c r="B231" i="20"/>
  <c r="J230" i="20"/>
  <c r="K230" i="20" s="1"/>
  <c r="I230" i="20"/>
  <c r="B230" i="20"/>
  <c r="J229" i="20"/>
  <c r="K229" i="20" s="1"/>
  <c r="I229" i="20"/>
  <c r="B229" i="20"/>
  <c r="J228" i="20"/>
  <c r="K228" i="20" s="1"/>
  <c r="I228" i="20"/>
  <c r="B228" i="20"/>
  <c r="J227" i="20"/>
  <c r="K227" i="20" s="1"/>
  <c r="I227" i="20"/>
  <c r="B227" i="20"/>
  <c r="J226" i="20"/>
  <c r="K226" i="20" s="1"/>
  <c r="I226" i="20"/>
  <c r="B226" i="20"/>
  <c r="J225" i="20"/>
  <c r="K225" i="20" s="1"/>
  <c r="I225" i="20"/>
  <c r="M225" i="20" s="1"/>
  <c r="B225" i="20"/>
  <c r="J224" i="20"/>
  <c r="K224" i="20" s="1"/>
  <c r="I224" i="20"/>
  <c r="B224" i="20"/>
  <c r="J223" i="20"/>
  <c r="K223" i="20" s="1"/>
  <c r="I223" i="20"/>
  <c r="B223" i="20"/>
  <c r="J222" i="20"/>
  <c r="K222" i="20" s="1"/>
  <c r="I222" i="20"/>
  <c r="B222" i="20"/>
  <c r="J221" i="20"/>
  <c r="K221" i="20" s="1"/>
  <c r="I221" i="20"/>
  <c r="B221" i="20"/>
  <c r="J220" i="20"/>
  <c r="K220" i="20" s="1"/>
  <c r="I220" i="20"/>
  <c r="B220" i="20"/>
  <c r="J219" i="20"/>
  <c r="K219" i="20" s="1"/>
  <c r="I219" i="20"/>
  <c r="B219" i="20"/>
  <c r="J218" i="20"/>
  <c r="K218" i="20" s="1"/>
  <c r="I218" i="20"/>
  <c r="B218" i="20"/>
  <c r="J217" i="20"/>
  <c r="K217" i="20" s="1"/>
  <c r="I217" i="20"/>
  <c r="B217" i="20"/>
  <c r="J216" i="20"/>
  <c r="K216" i="20" s="1"/>
  <c r="I216" i="20"/>
  <c r="M216" i="20" s="1"/>
  <c r="N216" i="20" s="1"/>
  <c r="A216" i="20" s="1"/>
  <c r="B216" i="20"/>
  <c r="J215" i="20"/>
  <c r="K215" i="20" s="1"/>
  <c r="I215" i="20"/>
  <c r="B215" i="20"/>
  <c r="J214" i="20"/>
  <c r="K214" i="20" s="1"/>
  <c r="I214" i="20"/>
  <c r="B214" i="20"/>
  <c r="J213" i="20"/>
  <c r="K213" i="20" s="1"/>
  <c r="I213" i="20"/>
  <c r="M213" i="20" s="1"/>
  <c r="B213" i="20"/>
  <c r="J212" i="20"/>
  <c r="K212" i="20" s="1"/>
  <c r="I212" i="20"/>
  <c r="B212" i="20"/>
  <c r="J211" i="20"/>
  <c r="K211" i="20" s="1"/>
  <c r="I211" i="20"/>
  <c r="B211" i="20"/>
  <c r="J210" i="20"/>
  <c r="K210" i="20" s="1"/>
  <c r="I210" i="20"/>
  <c r="B210" i="20"/>
  <c r="J209" i="20"/>
  <c r="K209" i="20" s="1"/>
  <c r="I209" i="20"/>
  <c r="M209" i="20" s="1"/>
  <c r="N209" i="20" s="1"/>
  <c r="B209" i="20"/>
  <c r="A209" i="20"/>
  <c r="J208" i="20"/>
  <c r="K208" i="20" s="1"/>
  <c r="I208" i="20"/>
  <c r="M208" i="20" s="1"/>
  <c r="N208" i="20" s="1"/>
  <c r="A208" i="20" s="1"/>
  <c r="B208" i="20"/>
  <c r="J207" i="20"/>
  <c r="K207" i="20" s="1"/>
  <c r="I207" i="20"/>
  <c r="B207" i="20"/>
  <c r="J206" i="20"/>
  <c r="K206" i="20" s="1"/>
  <c r="I206" i="20"/>
  <c r="B206" i="20"/>
  <c r="J205" i="20"/>
  <c r="K205" i="20" s="1"/>
  <c r="I205" i="20"/>
  <c r="B205" i="20"/>
  <c r="J204" i="20"/>
  <c r="K204" i="20" s="1"/>
  <c r="I204" i="20"/>
  <c r="B204" i="20"/>
  <c r="J203" i="20"/>
  <c r="K203" i="20" s="1"/>
  <c r="I203" i="20"/>
  <c r="B203" i="20"/>
  <c r="J202" i="20"/>
  <c r="K202" i="20" s="1"/>
  <c r="I202" i="20"/>
  <c r="B202" i="20"/>
  <c r="J201" i="20"/>
  <c r="K201" i="20" s="1"/>
  <c r="I201" i="20"/>
  <c r="M201" i="20" s="1"/>
  <c r="N201" i="20" s="1"/>
  <c r="A201" i="20" s="1"/>
  <c r="B201" i="20"/>
  <c r="J200" i="20"/>
  <c r="K200" i="20" s="1"/>
  <c r="I200" i="20"/>
  <c r="B200" i="20"/>
  <c r="J199" i="20"/>
  <c r="K199" i="20" s="1"/>
  <c r="I199" i="20"/>
  <c r="M199" i="20" s="1"/>
  <c r="N199" i="20" s="1"/>
  <c r="A199" i="20" s="1"/>
  <c r="B199" i="20"/>
  <c r="J198" i="20"/>
  <c r="K198" i="20" s="1"/>
  <c r="I198" i="20"/>
  <c r="B198" i="20"/>
  <c r="J197" i="20"/>
  <c r="K197" i="20" s="1"/>
  <c r="I197" i="20"/>
  <c r="B197" i="20"/>
  <c r="J196" i="20"/>
  <c r="K196" i="20" s="1"/>
  <c r="I196" i="20"/>
  <c r="B196" i="20"/>
  <c r="J195" i="20"/>
  <c r="K195" i="20" s="1"/>
  <c r="I195" i="20"/>
  <c r="B195" i="20"/>
  <c r="J194" i="20"/>
  <c r="K194" i="20" s="1"/>
  <c r="I194" i="20"/>
  <c r="B194" i="20"/>
  <c r="J193" i="20"/>
  <c r="K193" i="20" s="1"/>
  <c r="I193" i="20"/>
  <c r="M193" i="20" s="1"/>
  <c r="N193" i="20" s="1"/>
  <c r="A193" i="20" s="1"/>
  <c r="B193" i="20"/>
  <c r="J192" i="20"/>
  <c r="K192" i="20" s="1"/>
  <c r="I192" i="20"/>
  <c r="N192" i="20" s="1"/>
  <c r="A192" i="20" s="1"/>
  <c r="B192" i="20"/>
  <c r="J191" i="20"/>
  <c r="K191" i="20" s="1"/>
  <c r="I191" i="20"/>
  <c r="M191" i="20" s="1"/>
  <c r="N191" i="20" s="1"/>
  <c r="A191" i="20" s="1"/>
  <c r="B191" i="20"/>
  <c r="J190" i="20"/>
  <c r="K190" i="20" s="1"/>
  <c r="I190" i="20"/>
  <c r="B190" i="20"/>
  <c r="J189" i="20"/>
  <c r="K189" i="20" s="1"/>
  <c r="I189" i="20"/>
  <c r="B189" i="20"/>
  <c r="J188" i="20"/>
  <c r="K188" i="20" s="1"/>
  <c r="I188" i="20"/>
  <c r="B188" i="20"/>
  <c r="J187" i="20"/>
  <c r="K187" i="20" s="1"/>
  <c r="I187" i="20"/>
  <c r="B187" i="20"/>
  <c r="J186" i="20"/>
  <c r="K186" i="20" s="1"/>
  <c r="I186" i="20"/>
  <c r="B186" i="20"/>
  <c r="J185" i="20"/>
  <c r="K185" i="20" s="1"/>
  <c r="I185" i="20"/>
  <c r="M185" i="20" s="1"/>
  <c r="N185" i="20" s="1"/>
  <c r="A185" i="20" s="1"/>
  <c r="B185" i="20"/>
  <c r="J184" i="20"/>
  <c r="K184" i="20" s="1"/>
  <c r="I184" i="20"/>
  <c r="B184" i="20"/>
  <c r="J183" i="20"/>
  <c r="K183" i="20" s="1"/>
  <c r="I183" i="20"/>
  <c r="B183" i="20"/>
  <c r="J182" i="20"/>
  <c r="K182" i="20" s="1"/>
  <c r="I182" i="20"/>
  <c r="M182" i="20" s="1"/>
  <c r="N182" i="20" s="1"/>
  <c r="A182" i="20" s="1"/>
  <c r="B182" i="20"/>
  <c r="J181" i="20"/>
  <c r="K181" i="20" s="1"/>
  <c r="I181" i="20"/>
  <c r="B181" i="20"/>
  <c r="J180" i="20"/>
  <c r="K180" i="20" s="1"/>
  <c r="I180" i="20"/>
  <c r="B180" i="20"/>
  <c r="J179" i="20"/>
  <c r="K179" i="20" s="1"/>
  <c r="I179" i="20"/>
  <c r="B179" i="20"/>
  <c r="J178" i="20"/>
  <c r="K178" i="20" s="1"/>
  <c r="I178" i="20"/>
  <c r="B178" i="20"/>
  <c r="J177" i="20"/>
  <c r="K177" i="20" s="1"/>
  <c r="I177" i="20"/>
  <c r="M177" i="20" s="1"/>
  <c r="N177" i="20" s="1"/>
  <c r="A177" i="20" s="1"/>
  <c r="B177" i="20"/>
  <c r="J176" i="20"/>
  <c r="K176" i="20" s="1"/>
  <c r="I176" i="20"/>
  <c r="B176" i="20"/>
  <c r="J175" i="20"/>
  <c r="K175" i="20" s="1"/>
  <c r="I175" i="20"/>
  <c r="B175" i="20"/>
  <c r="J174" i="20"/>
  <c r="K174" i="20" s="1"/>
  <c r="I174" i="20"/>
  <c r="B174" i="20"/>
  <c r="J173" i="20"/>
  <c r="K173" i="20" s="1"/>
  <c r="I173" i="20"/>
  <c r="M173" i="20" s="1"/>
  <c r="B173" i="20"/>
  <c r="J172" i="20"/>
  <c r="K172" i="20" s="1"/>
  <c r="I172" i="20"/>
  <c r="B172" i="20"/>
  <c r="J171" i="20"/>
  <c r="K171" i="20" s="1"/>
  <c r="I171" i="20"/>
  <c r="B171" i="20"/>
  <c r="J170" i="20"/>
  <c r="K170" i="20" s="1"/>
  <c r="I170" i="20"/>
  <c r="B170" i="20"/>
  <c r="J169" i="20"/>
  <c r="K169" i="20" s="1"/>
  <c r="I169" i="20"/>
  <c r="M169" i="20" s="1"/>
  <c r="B169" i="20"/>
  <c r="J168" i="20"/>
  <c r="K168" i="20" s="1"/>
  <c r="I168" i="20"/>
  <c r="B168" i="20"/>
  <c r="J167" i="20"/>
  <c r="K167" i="20" s="1"/>
  <c r="I167" i="20"/>
  <c r="B167" i="20"/>
  <c r="J166" i="20"/>
  <c r="K166" i="20" s="1"/>
  <c r="I166" i="20"/>
  <c r="B166" i="20"/>
  <c r="J165" i="20"/>
  <c r="K165" i="20" s="1"/>
  <c r="I165" i="20"/>
  <c r="B165" i="20"/>
  <c r="J164" i="20"/>
  <c r="K164" i="20" s="1"/>
  <c r="I164" i="20"/>
  <c r="B164" i="20"/>
  <c r="J163" i="20"/>
  <c r="K163" i="20" s="1"/>
  <c r="I163" i="20"/>
  <c r="B163" i="20"/>
  <c r="J162" i="20"/>
  <c r="K162" i="20" s="1"/>
  <c r="I162" i="20"/>
  <c r="B162" i="20"/>
  <c r="J161" i="20"/>
  <c r="K161" i="20" s="1"/>
  <c r="I161" i="20"/>
  <c r="B161" i="20"/>
  <c r="J160" i="20"/>
  <c r="K160" i="20" s="1"/>
  <c r="I160" i="20"/>
  <c r="B160" i="20"/>
  <c r="J159" i="20"/>
  <c r="K159" i="20" s="1"/>
  <c r="I159" i="20"/>
  <c r="B159" i="20"/>
  <c r="J158" i="20"/>
  <c r="K158" i="20" s="1"/>
  <c r="I158" i="20"/>
  <c r="B158" i="20"/>
  <c r="J157" i="20"/>
  <c r="K157" i="20" s="1"/>
  <c r="I157" i="20"/>
  <c r="B157" i="20"/>
  <c r="J156" i="20"/>
  <c r="K156" i="20" s="1"/>
  <c r="I156" i="20"/>
  <c r="B156" i="20"/>
  <c r="J155" i="20"/>
  <c r="K155" i="20" s="1"/>
  <c r="I155" i="20"/>
  <c r="B155" i="20"/>
  <c r="J154" i="20"/>
  <c r="K154" i="20" s="1"/>
  <c r="I154" i="20"/>
  <c r="B154" i="20"/>
  <c r="J153" i="20"/>
  <c r="K153" i="20" s="1"/>
  <c r="I153" i="20"/>
  <c r="M153" i="20" s="1"/>
  <c r="B153" i="20"/>
  <c r="J152" i="20"/>
  <c r="K152" i="20" s="1"/>
  <c r="I152" i="20"/>
  <c r="M152" i="20" s="1"/>
  <c r="N152" i="20" s="1"/>
  <c r="A152" i="20" s="1"/>
  <c r="B152" i="20"/>
  <c r="J151" i="20"/>
  <c r="K151" i="20" s="1"/>
  <c r="I151" i="20"/>
  <c r="B151" i="20"/>
  <c r="J150" i="20"/>
  <c r="K150" i="20" s="1"/>
  <c r="I150" i="20"/>
  <c r="B150" i="20"/>
  <c r="J149" i="20"/>
  <c r="K149" i="20" s="1"/>
  <c r="I149" i="20"/>
  <c r="M149" i="20" s="1"/>
  <c r="B149" i="20"/>
  <c r="J148" i="20"/>
  <c r="K148" i="20" s="1"/>
  <c r="I148" i="20"/>
  <c r="B148" i="20"/>
  <c r="J147" i="20"/>
  <c r="K147" i="20" s="1"/>
  <c r="I147" i="20"/>
  <c r="B147" i="20"/>
  <c r="J146" i="20"/>
  <c r="K146" i="20" s="1"/>
  <c r="I146" i="20"/>
  <c r="M146" i="20" s="1"/>
  <c r="B146" i="20"/>
  <c r="J145" i="20"/>
  <c r="K145" i="20" s="1"/>
  <c r="I145" i="20"/>
  <c r="B145" i="20"/>
  <c r="J144" i="20"/>
  <c r="K144" i="20" s="1"/>
  <c r="I144" i="20"/>
  <c r="B144" i="20"/>
  <c r="J143" i="20"/>
  <c r="K143" i="20" s="1"/>
  <c r="I143" i="20"/>
  <c r="M143" i="20" s="1"/>
  <c r="B143" i="20"/>
  <c r="J142" i="20"/>
  <c r="K142" i="20" s="1"/>
  <c r="I142" i="20"/>
  <c r="M142" i="20" s="1"/>
  <c r="N142" i="20" s="1"/>
  <c r="A142" i="20" s="1"/>
  <c r="B142" i="20"/>
  <c r="J141" i="20"/>
  <c r="K141" i="20" s="1"/>
  <c r="I141" i="20"/>
  <c r="B141" i="20"/>
  <c r="J140" i="20"/>
  <c r="K140" i="20" s="1"/>
  <c r="I140" i="20"/>
  <c r="B140" i="20"/>
  <c r="J139" i="20"/>
  <c r="K139" i="20" s="1"/>
  <c r="I139" i="20"/>
  <c r="M139" i="20" s="1"/>
  <c r="B139" i="20"/>
  <c r="J138" i="20"/>
  <c r="K138" i="20" s="1"/>
  <c r="I138" i="20"/>
  <c r="B138" i="20"/>
  <c r="J137" i="20"/>
  <c r="K137" i="20" s="1"/>
  <c r="I137" i="20"/>
  <c r="B137" i="20"/>
  <c r="J136" i="20"/>
  <c r="K136" i="20" s="1"/>
  <c r="I136" i="20"/>
  <c r="M136" i="20" s="1"/>
  <c r="N136" i="20" s="1"/>
  <c r="A136" i="20" s="1"/>
  <c r="B136" i="20"/>
  <c r="J135" i="20"/>
  <c r="K135" i="20" s="1"/>
  <c r="I135" i="20"/>
  <c r="B135" i="20"/>
  <c r="J134" i="20"/>
  <c r="K134" i="20" s="1"/>
  <c r="I134" i="20"/>
  <c r="B134" i="20"/>
  <c r="J133" i="20"/>
  <c r="K133" i="20" s="1"/>
  <c r="I133" i="20"/>
  <c r="B133" i="20"/>
  <c r="J132" i="20"/>
  <c r="K132" i="20" s="1"/>
  <c r="I132" i="20"/>
  <c r="B132" i="20"/>
  <c r="J131" i="20"/>
  <c r="K131" i="20" s="1"/>
  <c r="I131" i="20"/>
  <c r="B131" i="20"/>
  <c r="J130" i="20"/>
  <c r="K130" i="20" s="1"/>
  <c r="I130" i="20"/>
  <c r="M130" i="20" s="1"/>
  <c r="B130" i="20"/>
  <c r="J129" i="20"/>
  <c r="K129" i="20" s="1"/>
  <c r="I129" i="20"/>
  <c r="B129" i="20"/>
  <c r="J128" i="20"/>
  <c r="K128" i="20" s="1"/>
  <c r="I128" i="20"/>
  <c r="B128" i="20"/>
  <c r="J127" i="20"/>
  <c r="K127" i="20" s="1"/>
  <c r="I127" i="20"/>
  <c r="M127" i="20" s="1"/>
  <c r="B127" i="20"/>
  <c r="J126" i="20"/>
  <c r="K126" i="20" s="1"/>
  <c r="I126" i="20"/>
  <c r="B126" i="20"/>
  <c r="J125" i="20"/>
  <c r="K125" i="20" s="1"/>
  <c r="I125" i="20"/>
  <c r="B125" i="20"/>
  <c r="J124" i="20"/>
  <c r="K124" i="20" s="1"/>
  <c r="I124" i="20"/>
  <c r="B124" i="20"/>
  <c r="J123" i="20"/>
  <c r="K123" i="20" s="1"/>
  <c r="I123" i="20"/>
  <c r="B123" i="20"/>
  <c r="J122" i="20"/>
  <c r="K122" i="20" s="1"/>
  <c r="I122" i="20"/>
  <c r="B122" i="20"/>
  <c r="J121" i="20"/>
  <c r="K121" i="20" s="1"/>
  <c r="I121" i="20"/>
  <c r="B121" i="20"/>
  <c r="J120" i="20"/>
  <c r="K120" i="20" s="1"/>
  <c r="I120" i="20"/>
  <c r="M120" i="20" s="1"/>
  <c r="N120" i="20" s="1"/>
  <c r="A120" i="20" s="1"/>
  <c r="B120" i="20"/>
  <c r="J119" i="20"/>
  <c r="K119" i="20" s="1"/>
  <c r="I119" i="20"/>
  <c r="B119" i="20"/>
  <c r="J118" i="20"/>
  <c r="K118" i="20" s="1"/>
  <c r="I118" i="20"/>
  <c r="B118" i="20"/>
  <c r="J117" i="20"/>
  <c r="K117" i="20" s="1"/>
  <c r="I117" i="20"/>
  <c r="B117" i="20"/>
  <c r="J116" i="20"/>
  <c r="K116" i="20" s="1"/>
  <c r="I116" i="20"/>
  <c r="B116" i="20"/>
  <c r="J115" i="20"/>
  <c r="K115" i="20" s="1"/>
  <c r="I115" i="20"/>
  <c r="B115" i="20"/>
  <c r="J114" i="20"/>
  <c r="K114" i="20" s="1"/>
  <c r="I114" i="20"/>
  <c r="B114" i="20"/>
  <c r="J113" i="20"/>
  <c r="K113" i="20" s="1"/>
  <c r="I113" i="20"/>
  <c r="B113" i="20"/>
  <c r="J112" i="20"/>
  <c r="K112" i="20" s="1"/>
  <c r="I112" i="20"/>
  <c r="J111" i="20"/>
  <c r="K111" i="20" s="1"/>
  <c r="I111" i="20"/>
  <c r="B111" i="20"/>
  <c r="J110" i="20"/>
  <c r="K110" i="20" s="1"/>
  <c r="I110" i="20"/>
  <c r="J109" i="20"/>
  <c r="K109" i="20" s="1"/>
  <c r="I109" i="20"/>
  <c r="J108" i="20"/>
  <c r="K108" i="20" s="1"/>
  <c r="I108" i="20"/>
  <c r="J107" i="20"/>
  <c r="K107" i="20" s="1"/>
  <c r="I107" i="20"/>
  <c r="J106" i="20"/>
  <c r="K106" i="20" s="1"/>
  <c r="I106" i="20"/>
  <c r="J105" i="20"/>
  <c r="K105" i="20" s="1"/>
  <c r="I105" i="20"/>
  <c r="J104" i="20"/>
  <c r="K104" i="20" s="1"/>
  <c r="I104" i="20"/>
  <c r="J103" i="20"/>
  <c r="K103" i="20" s="1"/>
  <c r="I103" i="20"/>
  <c r="M103" i="20" s="1"/>
  <c r="N103" i="20" s="1"/>
  <c r="A103" i="20" s="1"/>
  <c r="J102" i="20"/>
  <c r="K102" i="20" s="1"/>
  <c r="I102" i="20"/>
  <c r="J101" i="20"/>
  <c r="K101" i="20" s="1"/>
  <c r="I101" i="20"/>
  <c r="J100" i="20"/>
  <c r="K100" i="20" s="1"/>
  <c r="I100" i="20"/>
  <c r="J99" i="20"/>
  <c r="K99" i="20" s="1"/>
  <c r="I99" i="20"/>
  <c r="J98" i="20"/>
  <c r="K98" i="20" s="1"/>
  <c r="I98" i="20"/>
  <c r="J97" i="20"/>
  <c r="K97" i="20" s="1"/>
  <c r="I97" i="20"/>
  <c r="M97" i="20" s="1"/>
  <c r="N97" i="20" s="1"/>
  <c r="A97" i="20" s="1"/>
  <c r="J96" i="20"/>
  <c r="K96" i="20" s="1"/>
  <c r="I96" i="20"/>
  <c r="J95" i="20"/>
  <c r="K95" i="20" s="1"/>
  <c r="I95" i="20"/>
  <c r="M95" i="20" s="1"/>
  <c r="J94" i="20"/>
  <c r="K94" i="20" s="1"/>
  <c r="I94" i="20"/>
  <c r="J93" i="20"/>
  <c r="K93" i="20" s="1"/>
  <c r="I93" i="20"/>
  <c r="J92" i="20"/>
  <c r="K92" i="20" s="1"/>
  <c r="I92" i="20"/>
  <c r="J91" i="20"/>
  <c r="K91" i="20" s="1"/>
  <c r="I91" i="20"/>
  <c r="J90" i="20"/>
  <c r="K90" i="20" s="1"/>
  <c r="I90" i="20"/>
  <c r="J89" i="20"/>
  <c r="K89" i="20" s="1"/>
  <c r="I89" i="20"/>
  <c r="M89" i="20" s="1"/>
  <c r="J88" i="20"/>
  <c r="K88" i="20" s="1"/>
  <c r="I88" i="20"/>
  <c r="J87" i="20"/>
  <c r="K87" i="20" s="1"/>
  <c r="I87" i="20"/>
  <c r="J86" i="20"/>
  <c r="K86" i="20" s="1"/>
  <c r="I86" i="20"/>
  <c r="J85" i="20"/>
  <c r="K85" i="20" s="1"/>
  <c r="I85" i="20"/>
  <c r="J84" i="20"/>
  <c r="K84" i="20" s="1"/>
  <c r="I84" i="20"/>
  <c r="J83" i="20"/>
  <c r="K83" i="20" s="1"/>
  <c r="I83" i="20"/>
  <c r="J82" i="20"/>
  <c r="K82" i="20" s="1"/>
  <c r="I82" i="20"/>
  <c r="J81" i="20"/>
  <c r="K81" i="20" s="1"/>
  <c r="I81" i="20"/>
  <c r="J80" i="20"/>
  <c r="K80" i="20" s="1"/>
  <c r="I80" i="20"/>
  <c r="J79" i="20"/>
  <c r="K79" i="20" s="1"/>
  <c r="I79" i="20"/>
  <c r="J78" i="20"/>
  <c r="K78" i="20" s="1"/>
  <c r="I78" i="20"/>
  <c r="M78" i="20" s="1"/>
  <c r="N78" i="20" s="1"/>
  <c r="A78" i="20" s="1"/>
  <c r="J77" i="20"/>
  <c r="K77" i="20" s="1"/>
  <c r="I77" i="20"/>
  <c r="J76" i="20"/>
  <c r="K76" i="20" s="1"/>
  <c r="I76" i="20"/>
  <c r="J75" i="20"/>
  <c r="K75" i="20" s="1"/>
  <c r="I75" i="20"/>
  <c r="J74" i="20"/>
  <c r="K74" i="20" s="1"/>
  <c r="I74" i="20"/>
  <c r="J73" i="20"/>
  <c r="K73" i="20" s="1"/>
  <c r="I73" i="20"/>
  <c r="J72" i="20"/>
  <c r="K72" i="20" s="1"/>
  <c r="I72" i="20"/>
  <c r="J71" i="20"/>
  <c r="K71" i="20" s="1"/>
  <c r="I71" i="20"/>
  <c r="J70" i="20"/>
  <c r="K70" i="20" s="1"/>
  <c r="I70" i="20"/>
  <c r="J69" i="20"/>
  <c r="K69" i="20" s="1"/>
  <c r="I69" i="20"/>
  <c r="J68" i="20"/>
  <c r="K68" i="20" s="1"/>
  <c r="I68" i="20"/>
  <c r="J67" i="20"/>
  <c r="K67" i="20" s="1"/>
  <c r="I67" i="20"/>
  <c r="J66" i="20"/>
  <c r="K66" i="20" s="1"/>
  <c r="I66" i="20"/>
  <c r="J65" i="20"/>
  <c r="K65" i="20" s="1"/>
  <c r="I65" i="20"/>
  <c r="J64" i="20"/>
  <c r="K64" i="20" s="1"/>
  <c r="I64" i="20"/>
  <c r="J63" i="20"/>
  <c r="K63" i="20" s="1"/>
  <c r="I63" i="20"/>
  <c r="J62" i="20"/>
  <c r="K62" i="20" s="1"/>
  <c r="I62" i="20"/>
  <c r="M62" i="20" s="1"/>
  <c r="N62" i="20" s="1"/>
  <c r="A62" i="20" s="1"/>
  <c r="J61" i="20"/>
  <c r="K61" i="20" s="1"/>
  <c r="I61" i="20"/>
  <c r="J60" i="20"/>
  <c r="K60" i="20" s="1"/>
  <c r="I60" i="20"/>
  <c r="J59" i="20"/>
  <c r="K59" i="20" s="1"/>
  <c r="I59" i="20"/>
  <c r="J58" i="20"/>
  <c r="K58" i="20" s="1"/>
  <c r="I58" i="20"/>
  <c r="J57" i="20"/>
  <c r="K57" i="20" s="1"/>
  <c r="I57" i="20"/>
  <c r="J56" i="20"/>
  <c r="K56" i="20" s="1"/>
  <c r="I56" i="20"/>
  <c r="J55" i="20"/>
  <c r="K55" i="20" s="1"/>
  <c r="I55" i="20"/>
  <c r="J54" i="20"/>
  <c r="K54" i="20" s="1"/>
  <c r="I54" i="20"/>
  <c r="J53" i="20"/>
  <c r="K53" i="20" s="1"/>
  <c r="I53" i="20"/>
  <c r="J52" i="20"/>
  <c r="K52" i="20" s="1"/>
  <c r="I52" i="20"/>
  <c r="J51" i="20"/>
  <c r="K51" i="20" s="1"/>
  <c r="I51" i="20"/>
  <c r="J50" i="20"/>
  <c r="K50" i="20" s="1"/>
  <c r="I50" i="20"/>
  <c r="J49" i="20"/>
  <c r="K49" i="20" s="1"/>
  <c r="I49" i="20"/>
  <c r="J48" i="20"/>
  <c r="K48" i="20" s="1"/>
  <c r="I48" i="20"/>
  <c r="J47" i="20"/>
  <c r="K47" i="20" s="1"/>
  <c r="I47" i="20"/>
  <c r="J46" i="20"/>
  <c r="K46" i="20" s="1"/>
  <c r="I46" i="20"/>
  <c r="J45" i="20"/>
  <c r="K45" i="20" s="1"/>
  <c r="I45" i="20"/>
  <c r="J44" i="20"/>
  <c r="K44" i="20" s="1"/>
  <c r="I44" i="20"/>
  <c r="J43" i="20"/>
  <c r="K43" i="20" s="1"/>
  <c r="I43" i="20"/>
  <c r="J42" i="20"/>
  <c r="K42" i="20" s="1"/>
  <c r="I42" i="20"/>
  <c r="J41" i="20"/>
  <c r="K41" i="20" s="1"/>
  <c r="I41" i="20"/>
  <c r="J40" i="20"/>
  <c r="K40" i="20" s="1"/>
  <c r="I40" i="20"/>
  <c r="J39" i="20"/>
  <c r="K39" i="20" s="1"/>
  <c r="I39" i="20"/>
  <c r="J38" i="20"/>
  <c r="K38" i="20" s="1"/>
  <c r="I38" i="20"/>
  <c r="M38" i="20" s="1"/>
  <c r="N38" i="20" s="1"/>
  <c r="A38" i="20" s="1"/>
  <c r="J37" i="20"/>
  <c r="K37" i="20" s="1"/>
  <c r="I37" i="20"/>
  <c r="T23" i="28"/>
  <c r="R23" i="28"/>
  <c r="T22" i="28"/>
  <c r="R22" i="28"/>
  <c r="T21" i="28"/>
  <c r="R21" i="28"/>
  <c r="T20" i="28"/>
  <c r="R20" i="28"/>
  <c r="T19" i="28"/>
  <c r="R19" i="28"/>
  <c r="T18" i="28"/>
  <c r="R18" i="28"/>
  <c r="T14" i="28"/>
  <c r="R14" i="28"/>
  <c r="T9" i="28"/>
  <c r="R9" i="28"/>
  <c r="T12" i="28"/>
  <c r="R12" i="28"/>
  <c r="T10" i="28"/>
  <c r="R10" i="28"/>
  <c r="T7" i="28"/>
  <c r="T6" i="28"/>
  <c r="O23" i="28"/>
  <c r="G23" i="28"/>
  <c r="E23" i="28"/>
  <c r="O22" i="28"/>
  <c r="G22" i="28"/>
  <c r="E22" i="28"/>
  <c r="O21" i="28"/>
  <c r="G21" i="28"/>
  <c r="E21" i="28"/>
  <c r="O20" i="28"/>
  <c r="G20" i="28"/>
  <c r="E20" i="28"/>
  <c r="O19" i="28"/>
  <c r="G19" i="28"/>
  <c r="E19" i="28"/>
  <c r="O18" i="28"/>
  <c r="G18" i="28"/>
  <c r="E18" i="28"/>
  <c r="O11" i="28"/>
  <c r="O8" i="28"/>
  <c r="G8" i="28"/>
  <c r="O14" i="28"/>
  <c r="G14" i="28"/>
  <c r="E14" i="28"/>
  <c r="O9" i="28"/>
  <c r="G9" i="28"/>
  <c r="E9" i="28"/>
  <c r="G13" i="28"/>
  <c r="E13" i="28"/>
  <c r="O12" i="28"/>
  <c r="G12" i="28"/>
  <c r="E12" i="28"/>
  <c r="O10" i="28"/>
  <c r="G10" i="28"/>
  <c r="E10" i="28"/>
  <c r="O7" i="28"/>
  <c r="G7" i="28"/>
  <c r="O6" i="28"/>
  <c r="G6" i="28"/>
  <c r="A23" i="28"/>
  <c r="A22" i="28"/>
  <c r="A21" i="28"/>
  <c r="A20" i="28"/>
  <c r="A19" i="28"/>
  <c r="A18" i="28"/>
  <c r="A17" i="28"/>
  <c r="A16" i="28"/>
  <c r="A15" i="28"/>
  <c r="A11" i="28"/>
  <c r="A8" i="28"/>
  <c r="A14" i="28"/>
  <c r="A9" i="28"/>
  <c r="A13" i="28"/>
  <c r="A12" i="28"/>
  <c r="A10" i="28"/>
  <c r="A7" i="28"/>
  <c r="A6" i="28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M292" i="24"/>
  <c r="J292" i="24"/>
  <c r="K292" i="24" s="1"/>
  <c r="I292" i="24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M248" i="24"/>
  <c r="J248" i="24"/>
  <c r="K248" i="24" s="1"/>
  <c r="I248" i="24"/>
  <c r="J247" i="24"/>
  <c r="K247" i="24" s="1"/>
  <c r="I247" i="24"/>
  <c r="M247" i="24" s="1"/>
  <c r="K246" i="24"/>
  <c r="J246" i="24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K239" i="24"/>
  <c r="J239" i="24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K218" i="24"/>
  <c r="J218" i="24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K204" i="24"/>
  <c r="J204" i="24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K172" i="24"/>
  <c r="J172" i="24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K166" i="24"/>
  <c r="J166" i="24"/>
  <c r="I166" i="24"/>
  <c r="M166" i="24" s="1"/>
  <c r="K165" i="24"/>
  <c r="J165" i="24"/>
  <c r="I165" i="24"/>
  <c r="M165" i="24" s="1"/>
  <c r="J164" i="24"/>
  <c r="K164" i="24" s="1"/>
  <c r="I164" i="24"/>
  <c r="M164" i="24" s="1"/>
  <c r="J163" i="24"/>
  <c r="K163" i="24" s="1"/>
  <c r="I163" i="24"/>
  <c r="M163" i="24" s="1"/>
  <c r="K162" i="24"/>
  <c r="J162" i="24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K154" i="24"/>
  <c r="J154" i="24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J139" i="24"/>
  <c r="K139" i="24" s="1"/>
  <c r="I139" i="24"/>
  <c r="M139" i="24" s="1"/>
  <c r="J138" i="24"/>
  <c r="K138" i="24" s="1"/>
  <c r="I138" i="24"/>
  <c r="M138" i="24" s="1"/>
  <c r="J137" i="24"/>
  <c r="K137" i="24" s="1"/>
  <c r="I137" i="24"/>
  <c r="M137" i="24" s="1"/>
  <c r="J136" i="24"/>
  <c r="K136" i="24" s="1"/>
  <c r="I136" i="24"/>
  <c r="M136" i="24" s="1"/>
  <c r="K135" i="24"/>
  <c r="J135" i="24"/>
  <c r="I135" i="24"/>
  <c r="M135" i="24" s="1"/>
  <c r="J134" i="24"/>
  <c r="K134" i="24" s="1"/>
  <c r="I134" i="24"/>
  <c r="M134" i="24" s="1"/>
  <c r="J133" i="24"/>
  <c r="K133" i="24" s="1"/>
  <c r="I133" i="24"/>
  <c r="M133" i="24" s="1"/>
  <c r="J132" i="24"/>
  <c r="K132" i="24" s="1"/>
  <c r="I132" i="24"/>
  <c r="M132" i="24" s="1"/>
  <c r="J131" i="24"/>
  <c r="K131" i="24" s="1"/>
  <c r="I131" i="24"/>
  <c r="M131" i="24" s="1"/>
  <c r="J130" i="24"/>
  <c r="K130" i="24" s="1"/>
  <c r="I130" i="24"/>
  <c r="M130" i="24" s="1"/>
  <c r="J129" i="24"/>
  <c r="K129" i="24" s="1"/>
  <c r="I129" i="24"/>
  <c r="M129" i="24" s="1"/>
  <c r="J128" i="24"/>
  <c r="K128" i="24" s="1"/>
  <c r="I128" i="24"/>
  <c r="M128" i="24" s="1"/>
  <c r="J127" i="24"/>
  <c r="K127" i="24" s="1"/>
  <c r="I127" i="24"/>
  <c r="M127" i="24" s="1"/>
  <c r="J126" i="24"/>
  <c r="K126" i="24" s="1"/>
  <c r="I126" i="24"/>
  <c r="M126" i="24" s="1"/>
  <c r="J125" i="24"/>
  <c r="K125" i="24" s="1"/>
  <c r="I125" i="24"/>
  <c r="M125" i="24" s="1"/>
  <c r="J124" i="24"/>
  <c r="K124" i="24" s="1"/>
  <c r="I124" i="24"/>
  <c r="M124" i="24" s="1"/>
  <c r="J123" i="24"/>
  <c r="K123" i="24" s="1"/>
  <c r="I123" i="24"/>
  <c r="M123" i="24" s="1"/>
  <c r="J122" i="24"/>
  <c r="K122" i="24" s="1"/>
  <c r="I122" i="24"/>
  <c r="M122" i="24" s="1"/>
  <c r="J121" i="24"/>
  <c r="K121" i="24" s="1"/>
  <c r="I121" i="24"/>
  <c r="M121" i="24" s="1"/>
  <c r="J120" i="24"/>
  <c r="K120" i="24" s="1"/>
  <c r="I120" i="24"/>
  <c r="M120" i="24" s="1"/>
  <c r="J119" i="24"/>
  <c r="K119" i="24" s="1"/>
  <c r="I119" i="24"/>
  <c r="M119" i="24" s="1"/>
  <c r="J118" i="24"/>
  <c r="K118" i="24" s="1"/>
  <c r="I118" i="24"/>
  <c r="M118" i="24" s="1"/>
  <c r="J117" i="24"/>
  <c r="K117" i="24" s="1"/>
  <c r="I117" i="24"/>
  <c r="M117" i="24" s="1"/>
  <c r="J116" i="24"/>
  <c r="K116" i="24" s="1"/>
  <c r="I116" i="24"/>
  <c r="M116" i="24" s="1"/>
  <c r="J115" i="24"/>
  <c r="K115" i="24" s="1"/>
  <c r="I115" i="24"/>
  <c r="M115" i="24" s="1"/>
  <c r="J114" i="24"/>
  <c r="K114" i="24" s="1"/>
  <c r="I114" i="24"/>
  <c r="M114" i="24" s="1"/>
  <c r="J113" i="24"/>
  <c r="K113" i="24" s="1"/>
  <c r="I113" i="24"/>
  <c r="M113" i="24" s="1"/>
  <c r="J112" i="24"/>
  <c r="K112" i="24" s="1"/>
  <c r="I112" i="24"/>
  <c r="M112" i="24" s="1"/>
  <c r="K111" i="24"/>
  <c r="J111" i="24"/>
  <c r="I111" i="24"/>
  <c r="M111" i="24" s="1"/>
  <c r="J110" i="24"/>
  <c r="K110" i="24" s="1"/>
  <c r="I110" i="24"/>
  <c r="M110" i="24" s="1"/>
  <c r="J109" i="24"/>
  <c r="K109" i="24" s="1"/>
  <c r="I109" i="24"/>
  <c r="M109" i="24" s="1"/>
  <c r="J108" i="24"/>
  <c r="K108" i="24" s="1"/>
  <c r="I108" i="24"/>
  <c r="M108" i="24" s="1"/>
  <c r="J107" i="24"/>
  <c r="K107" i="24" s="1"/>
  <c r="I107" i="24"/>
  <c r="M107" i="24" s="1"/>
  <c r="J106" i="24"/>
  <c r="K106" i="24" s="1"/>
  <c r="I106" i="24"/>
  <c r="M106" i="24" s="1"/>
  <c r="J105" i="24"/>
  <c r="K105" i="24" s="1"/>
  <c r="I105" i="24"/>
  <c r="M105" i="24" s="1"/>
  <c r="J104" i="24"/>
  <c r="K104" i="24" s="1"/>
  <c r="I104" i="24"/>
  <c r="M104" i="24" s="1"/>
  <c r="J103" i="24"/>
  <c r="K103" i="24" s="1"/>
  <c r="I103" i="24"/>
  <c r="M103" i="24" s="1"/>
  <c r="J102" i="24"/>
  <c r="K102" i="24" s="1"/>
  <c r="I102" i="24"/>
  <c r="M102" i="24" s="1"/>
  <c r="J101" i="24"/>
  <c r="K101" i="24" s="1"/>
  <c r="I101" i="24"/>
  <c r="M101" i="24" s="1"/>
  <c r="J100" i="24"/>
  <c r="K100" i="24" s="1"/>
  <c r="I100" i="24"/>
  <c r="M100" i="24" s="1"/>
  <c r="J99" i="24"/>
  <c r="K99" i="24" s="1"/>
  <c r="I99" i="24"/>
  <c r="M99" i="24" s="1"/>
  <c r="J98" i="24"/>
  <c r="K98" i="24" s="1"/>
  <c r="I98" i="24"/>
  <c r="M98" i="24" s="1"/>
  <c r="J97" i="24"/>
  <c r="K97" i="24" s="1"/>
  <c r="I97" i="24"/>
  <c r="M97" i="24" s="1"/>
  <c r="J96" i="24"/>
  <c r="K96" i="24" s="1"/>
  <c r="I96" i="24"/>
  <c r="M96" i="24" s="1"/>
  <c r="J95" i="24"/>
  <c r="K95" i="24" s="1"/>
  <c r="I95" i="24"/>
  <c r="M95" i="24" s="1"/>
  <c r="J94" i="24"/>
  <c r="K94" i="24" s="1"/>
  <c r="I94" i="24"/>
  <c r="M94" i="24" s="1"/>
  <c r="J93" i="24"/>
  <c r="K93" i="24" s="1"/>
  <c r="I93" i="24"/>
  <c r="M93" i="24" s="1"/>
  <c r="J92" i="24"/>
  <c r="K92" i="24" s="1"/>
  <c r="I92" i="24"/>
  <c r="M92" i="24" s="1"/>
  <c r="J91" i="24"/>
  <c r="K91" i="24" s="1"/>
  <c r="I91" i="24"/>
  <c r="M91" i="24" s="1"/>
  <c r="M90" i="24"/>
  <c r="J90" i="24"/>
  <c r="K90" i="24" s="1"/>
  <c r="I90" i="24"/>
  <c r="J89" i="24"/>
  <c r="K89" i="24" s="1"/>
  <c r="I89" i="24"/>
  <c r="M89" i="24" s="1"/>
  <c r="J88" i="24"/>
  <c r="K88" i="24" s="1"/>
  <c r="I88" i="24"/>
  <c r="M88" i="24" s="1"/>
  <c r="J87" i="24"/>
  <c r="K87" i="24" s="1"/>
  <c r="I87" i="24"/>
  <c r="M87" i="24" s="1"/>
  <c r="J86" i="24"/>
  <c r="K86" i="24" s="1"/>
  <c r="I86" i="24"/>
  <c r="M86" i="24" s="1"/>
  <c r="J85" i="24"/>
  <c r="K85" i="24" s="1"/>
  <c r="I85" i="24"/>
  <c r="M85" i="24" s="1"/>
  <c r="J84" i="24"/>
  <c r="K84" i="24" s="1"/>
  <c r="I84" i="24"/>
  <c r="M84" i="24" s="1"/>
  <c r="J83" i="24"/>
  <c r="K83" i="24" s="1"/>
  <c r="I83" i="24"/>
  <c r="M83" i="24" s="1"/>
  <c r="J82" i="24"/>
  <c r="K82" i="24" s="1"/>
  <c r="I82" i="24"/>
  <c r="M82" i="24" s="1"/>
  <c r="J81" i="24"/>
  <c r="K81" i="24" s="1"/>
  <c r="I81" i="24"/>
  <c r="M81" i="24" s="1"/>
  <c r="J80" i="24"/>
  <c r="K80" i="24" s="1"/>
  <c r="I80" i="24"/>
  <c r="M80" i="24" s="1"/>
  <c r="J79" i="24"/>
  <c r="K79" i="24" s="1"/>
  <c r="I79" i="24"/>
  <c r="M79" i="24" s="1"/>
  <c r="J78" i="24"/>
  <c r="K78" i="24" s="1"/>
  <c r="I78" i="24"/>
  <c r="M78" i="24" s="1"/>
  <c r="J77" i="24"/>
  <c r="K77" i="24" s="1"/>
  <c r="I77" i="24"/>
  <c r="M77" i="24" s="1"/>
  <c r="J76" i="24"/>
  <c r="K76" i="24" s="1"/>
  <c r="I76" i="24"/>
  <c r="M76" i="24" s="1"/>
  <c r="J75" i="24"/>
  <c r="K75" i="24" s="1"/>
  <c r="I75" i="24"/>
  <c r="M75" i="24" s="1"/>
  <c r="M74" i="24"/>
  <c r="J74" i="24"/>
  <c r="K74" i="24" s="1"/>
  <c r="I74" i="24"/>
  <c r="J73" i="24"/>
  <c r="K73" i="24" s="1"/>
  <c r="I73" i="24"/>
  <c r="M73" i="24" s="1"/>
  <c r="J72" i="24"/>
  <c r="K72" i="24" s="1"/>
  <c r="I72" i="24"/>
  <c r="M72" i="24" s="1"/>
  <c r="K71" i="24"/>
  <c r="J71" i="24"/>
  <c r="I71" i="24"/>
  <c r="M71" i="24" s="1"/>
  <c r="J70" i="24"/>
  <c r="K70" i="24" s="1"/>
  <c r="I70" i="24"/>
  <c r="M70" i="24" s="1"/>
  <c r="J69" i="24"/>
  <c r="K69" i="24" s="1"/>
  <c r="I69" i="24"/>
  <c r="M69" i="24" s="1"/>
  <c r="J68" i="24"/>
  <c r="K68" i="24" s="1"/>
  <c r="I68" i="24"/>
  <c r="M68" i="24" s="1"/>
  <c r="J67" i="24"/>
  <c r="K67" i="24" s="1"/>
  <c r="I67" i="24"/>
  <c r="M67" i="24" s="1"/>
  <c r="J66" i="24"/>
  <c r="K66" i="24" s="1"/>
  <c r="I66" i="24"/>
  <c r="M66" i="24" s="1"/>
  <c r="J65" i="24"/>
  <c r="K65" i="24" s="1"/>
  <c r="I65" i="24"/>
  <c r="M65" i="24" s="1"/>
  <c r="B65" i="24"/>
  <c r="J64" i="24"/>
  <c r="K64" i="24" s="1"/>
  <c r="I64" i="24"/>
  <c r="M64" i="24" s="1"/>
  <c r="B64" i="24"/>
  <c r="J63" i="24"/>
  <c r="K63" i="24" s="1"/>
  <c r="I63" i="24"/>
  <c r="M63" i="24" s="1"/>
  <c r="B63" i="24"/>
  <c r="J62" i="24"/>
  <c r="K62" i="24" s="1"/>
  <c r="I62" i="24"/>
  <c r="M62" i="24" s="1"/>
  <c r="B62" i="24"/>
  <c r="J61" i="24"/>
  <c r="K61" i="24" s="1"/>
  <c r="I61" i="24"/>
  <c r="M61" i="24" s="1"/>
  <c r="B61" i="24"/>
  <c r="J60" i="24"/>
  <c r="K60" i="24" s="1"/>
  <c r="I60" i="24"/>
  <c r="M60" i="24" s="1"/>
  <c r="B60" i="24"/>
  <c r="J59" i="24"/>
  <c r="K59" i="24" s="1"/>
  <c r="I59" i="24"/>
  <c r="M59" i="24" s="1"/>
  <c r="B59" i="24"/>
  <c r="J58" i="24"/>
  <c r="K58" i="24" s="1"/>
  <c r="I58" i="24"/>
  <c r="M58" i="24" s="1"/>
  <c r="B58" i="24"/>
  <c r="J57" i="24"/>
  <c r="K57" i="24" s="1"/>
  <c r="I57" i="24"/>
  <c r="M57" i="24" s="1"/>
  <c r="B57" i="24"/>
  <c r="J56" i="24"/>
  <c r="K56" i="24" s="1"/>
  <c r="I56" i="24"/>
  <c r="M56" i="24" s="1"/>
  <c r="B56" i="24"/>
  <c r="J55" i="24"/>
  <c r="K55" i="24" s="1"/>
  <c r="I55" i="24"/>
  <c r="M55" i="24" s="1"/>
  <c r="B55" i="24"/>
  <c r="J54" i="24"/>
  <c r="K54" i="24" s="1"/>
  <c r="I54" i="24"/>
  <c r="M54" i="24" s="1"/>
  <c r="B54" i="24"/>
  <c r="J53" i="24"/>
  <c r="K53" i="24" s="1"/>
  <c r="I53" i="24"/>
  <c r="M53" i="24" s="1"/>
  <c r="B53" i="24"/>
  <c r="M52" i="24"/>
  <c r="J52" i="24"/>
  <c r="K52" i="24" s="1"/>
  <c r="I52" i="24"/>
  <c r="B52" i="24"/>
  <c r="J51" i="24"/>
  <c r="K51" i="24" s="1"/>
  <c r="I51" i="24"/>
  <c r="M51" i="24" s="1"/>
  <c r="B51" i="24"/>
  <c r="M50" i="24"/>
  <c r="J50" i="24"/>
  <c r="K50" i="24" s="1"/>
  <c r="I50" i="24"/>
  <c r="B50" i="24"/>
  <c r="J49" i="24"/>
  <c r="K49" i="24" s="1"/>
  <c r="I49" i="24"/>
  <c r="M49" i="24" s="1"/>
  <c r="B49" i="24"/>
  <c r="J48" i="24"/>
  <c r="K48" i="24" s="1"/>
  <c r="I48" i="24"/>
  <c r="M48" i="24" s="1"/>
  <c r="B48" i="24"/>
  <c r="J47" i="24"/>
  <c r="K47" i="24" s="1"/>
  <c r="I47" i="24"/>
  <c r="M47" i="24" s="1"/>
  <c r="B47" i="24"/>
  <c r="T46" i="24"/>
  <c r="R46" i="24"/>
  <c r="U46" i="24" s="1"/>
  <c r="J46" i="24"/>
  <c r="K46" i="24" s="1"/>
  <c r="I46" i="24"/>
  <c r="M46" i="24" s="1"/>
  <c r="B46" i="24"/>
  <c r="J45" i="24"/>
  <c r="K45" i="24" s="1"/>
  <c r="I45" i="24"/>
  <c r="M45" i="24" s="1"/>
  <c r="B45" i="24"/>
  <c r="J44" i="24"/>
  <c r="K44" i="24" s="1"/>
  <c r="I44" i="24"/>
  <c r="M44" i="24" s="1"/>
  <c r="B44" i="24"/>
  <c r="K43" i="24"/>
  <c r="J43" i="24"/>
  <c r="I43" i="24"/>
  <c r="M43" i="24" s="1"/>
  <c r="B43" i="24"/>
  <c r="K42" i="24"/>
  <c r="J42" i="24"/>
  <c r="I42" i="24"/>
  <c r="M42" i="24" s="1"/>
  <c r="B42" i="24"/>
  <c r="J41" i="24"/>
  <c r="K41" i="24" s="1"/>
  <c r="I41" i="24"/>
  <c r="M41" i="24" s="1"/>
  <c r="B41" i="24"/>
  <c r="J40" i="24"/>
  <c r="K40" i="24" s="1"/>
  <c r="I40" i="24"/>
  <c r="M40" i="24" s="1"/>
  <c r="B40" i="24"/>
  <c r="J39" i="24"/>
  <c r="K39" i="24" s="1"/>
  <c r="I39" i="24"/>
  <c r="M39" i="24" s="1"/>
  <c r="B39" i="24"/>
  <c r="J38" i="24"/>
  <c r="K38" i="24" s="1"/>
  <c r="I38" i="24"/>
  <c r="M38" i="24" s="1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A36" i="24" s="1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A30" i="24" s="1"/>
  <c r="B30" i="24"/>
  <c r="J29" i="24"/>
  <c r="K29" i="24" s="1"/>
  <c r="I29" i="24"/>
  <c r="M29" i="24" s="1"/>
  <c r="A29" i="24" s="1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K26" i="24"/>
  <c r="J26" i="24"/>
  <c r="I26" i="24"/>
  <c r="M26" i="24" s="1"/>
  <c r="A26" i="24" s="1"/>
  <c r="B26" i="24"/>
  <c r="J25" i="24"/>
  <c r="K25" i="24" s="1"/>
  <c r="I25" i="24"/>
  <c r="M25" i="24" s="1"/>
  <c r="A25" i="24" s="1"/>
  <c r="B25" i="24"/>
  <c r="J24" i="24"/>
  <c r="K24" i="24" s="1"/>
  <c r="I24" i="24"/>
  <c r="B24" i="24"/>
  <c r="J23" i="24"/>
  <c r="K23" i="24" s="1"/>
  <c r="I23" i="24"/>
  <c r="B23" i="24"/>
  <c r="J22" i="24"/>
  <c r="K22" i="24" s="1"/>
  <c r="I22" i="24"/>
  <c r="M22" i="24" s="1"/>
  <c r="A22" i="24" s="1"/>
  <c r="B22" i="24"/>
  <c r="J21" i="24"/>
  <c r="K21" i="24" s="1"/>
  <c r="I21" i="24"/>
  <c r="B21" i="24"/>
  <c r="J20" i="24"/>
  <c r="K20" i="24" s="1"/>
  <c r="I20" i="24"/>
  <c r="B20" i="24"/>
  <c r="J19" i="24"/>
  <c r="K19" i="24" s="1"/>
  <c r="I19" i="24"/>
  <c r="B19" i="24"/>
  <c r="R13" i="28" s="1"/>
  <c r="J18" i="24"/>
  <c r="K18" i="24" s="1"/>
  <c r="I18" i="24"/>
  <c r="M18" i="24" s="1"/>
  <c r="A18" i="24" s="1"/>
  <c r="B18" i="24"/>
  <c r="J17" i="24"/>
  <c r="K17" i="24" s="1"/>
  <c r="M17" i="24" s="1"/>
  <c r="A17" i="24" s="1"/>
  <c r="I17" i="24"/>
  <c r="B17" i="24"/>
  <c r="J16" i="24"/>
  <c r="K16" i="24" s="1"/>
  <c r="I16" i="24"/>
  <c r="B16" i="24"/>
  <c r="J15" i="24"/>
  <c r="K15" i="24" s="1"/>
  <c r="I15" i="24"/>
  <c r="B15" i="24"/>
  <c r="AI14" i="24"/>
  <c r="J14" i="24"/>
  <c r="K14" i="24" s="1"/>
  <c r="I14" i="24"/>
  <c r="B14" i="24"/>
  <c r="R7" i="28" s="1"/>
  <c r="AI13" i="24"/>
  <c r="K13" i="24"/>
  <c r="M13" i="24" s="1"/>
  <c r="A13" i="24" s="1"/>
  <c r="J13" i="24"/>
  <c r="I13" i="24"/>
  <c r="B13" i="24"/>
  <c r="AI12" i="24"/>
  <c r="J12" i="24"/>
  <c r="K12" i="24" s="1"/>
  <c r="I12" i="24"/>
  <c r="B12" i="24"/>
  <c r="J11" i="24"/>
  <c r="K11" i="24" s="1"/>
  <c r="I11" i="24"/>
  <c r="B11" i="24"/>
  <c r="J10" i="24"/>
  <c r="K10" i="24" s="1"/>
  <c r="I10" i="24"/>
  <c r="B10" i="24"/>
  <c r="J8" i="24"/>
  <c r="K8" i="24" s="1"/>
  <c r="I8" i="24"/>
  <c r="B8" i="24"/>
  <c r="R6" i="28" s="1"/>
  <c r="J7" i="24"/>
  <c r="K7" i="24" s="1"/>
  <c r="I7" i="24"/>
  <c r="B7" i="24"/>
  <c r="J6" i="24"/>
  <c r="K6" i="24" s="1"/>
  <c r="I6" i="24"/>
  <c r="B6" i="24"/>
  <c r="K2" i="24"/>
  <c r="L8" i="24" s="1"/>
  <c r="J305" i="23"/>
  <c r="K305" i="23" s="1"/>
  <c r="I305" i="23"/>
  <c r="M305" i="23" s="1"/>
  <c r="J304" i="23"/>
  <c r="K304" i="23" s="1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M292" i="23"/>
  <c r="J292" i="23"/>
  <c r="K292" i="23" s="1"/>
  <c r="I292" i="23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J282" i="23"/>
  <c r="K282" i="23" s="1"/>
  <c r="I282" i="23"/>
  <c r="M282" i="23" s="1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J272" i="23"/>
  <c r="K272" i="23" s="1"/>
  <c r="I272" i="23"/>
  <c r="M272" i="23" s="1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K262" i="23"/>
  <c r="J262" i="23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K252" i="23"/>
  <c r="J252" i="23"/>
  <c r="I252" i="23"/>
  <c r="M252" i="23" s="1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K246" i="23"/>
  <c r="J246" i="23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J240" i="23"/>
  <c r="K240" i="23" s="1"/>
  <c r="I240" i="23"/>
  <c r="M240" i="23" s="1"/>
  <c r="J239" i="23"/>
  <c r="K239" i="23" s="1"/>
  <c r="I239" i="23"/>
  <c r="M239" i="23" s="1"/>
  <c r="J238" i="23"/>
  <c r="K238" i="23" s="1"/>
  <c r="I238" i="23"/>
  <c r="M238" i="23" s="1"/>
  <c r="J237" i="23"/>
  <c r="K237" i="23" s="1"/>
  <c r="I237" i="23"/>
  <c r="M237" i="23" s="1"/>
  <c r="K236" i="23"/>
  <c r="J236" i="23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J223" i="23"/>
  <c r="K223" i="23" s="1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J208" i="23"/>
  <c r="K208" i="23" s="1"/>
  <c r="I208" i="23"/>
  <c r="M208" i="23" s="1"/>
  <c r="K207" i="23"/>
  <c r="J207" i="23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K198" i="23"/>
  <c r="J198" i="23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K188" i="23"/>
  <c r="J188" i="23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J164" i="23"/>
  <c r="K164" i="23" s="1"/>
  <c r="I164" i="23"/>
  <c r="M164" i="23" s="1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M72" i="23"/>
  <c r="J72" i="23"/>
  <c r="K72" i="23" s="1"/>
  <c r="I72" i="23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J63" i="23"/>
  <c r="K63" i="23" s="1"/>
  <c r="I63" i="23"/>
  <c r="M63" i="23" s="1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K58" i="23"/>
  <c r="J58" i="23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J51" i="23"/>
  <c r="K51" i="23" s="1"/>
  <c r="I51" i="23"/>
  <c r="M51" i="23" s="1"/>
  <c r="B51" i="23"/>
  <c r="J50" i="23"/>
  <c r="K50" i="23" s="1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J47" i="23"/>
  <c r="K47" i="23" s="1"/>
  <c r="I47" i="23"/>
  <c r="M47" i="23" s="1"/>
  <c r="B47" i="23"/>
  <c r="T46" i="23"/>
  <c r="R46" i="23"/>
  <c r="U46" i="23" s="1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M42" i="23"/>
  <c r="J42" i="23"/>
  <c r="K42" i="23" s="1"/>
  <c r="I42" i="23"/>
  <c r="B42" i="23"/>
  <c r="J41" i="23"/>
  <c r="K41" i="23" s="1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J38" i="23"/>
  <c r="K38" i="23" s="1"/>
  <c r="I38" i="23"/>
  <c r="M38" i="23" s="1"/>
  <c r="B38" i="23"/>
  <c r="J37" i="23"/>
  <c r="K37" i="23" s="1"/>
  <c r="I37" i="23"/>
  <c r="M37" i="23" s="1"/>
  <c r="A37" i="23" s="1"/>
  <c r="B37" i="23"/>
  <c r="J36" i="23"/>
  <c r="K36" i="23" s="1"/>
  <c r="I36" i="23"/>
  <c r="M36" i="23" s="1"/>
  <c r="A36" i="23" s="1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A33" i="23" s="1"/>
  <c r="B33" i="23"/>
  <c r="J32" i="23"/>
  <c r="K32" i="23" s="1"/>
  <c r="I32" i="23"/>
  <c r="B32" i="23"/>
  <c r="J31" i="23"/>
  <c r="K31" i="23" s="1"/>
  <c r="I31" i="23"/>
  <c r="B31" i="23"/>
  <c r="J30" i="23"/>
  <c r="K30" i="23" s="1"/>
  <c r="I30" i="23"/>
  <c r="M30" i="23" s="1"/>
  <c r="A30" i="23" s="1"/>
  <c r="B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J25" i="23"/>
  <c r="K25" i="23" s="1"/>
  <c r="I25" i="23"/>
  <c r="B25" i="23"/>
  <c r="J24" i="23"/>
  <c r="K24" i="23" s="1"/>
  <c r="I24" i="23"/>
  <c r="B24" i="23"/>
  <c r="J23" i="23"/>
  <c r="K23" i="23" s="1"/>
  <c r="I23" i="23"/>
  <c r="B23" i="23"/>
  <c r="J22" i="23"/>
  <c r="K22" i="23" s="1"/>
  <c r="I22" i="23"/>
  <c r="B22" i="23"/>
  <c r="J21" i="23"/>
  <c r="K21" i="23" s="1"/>
  <c r="I21" i="23"/>
  <c r="B21" i="23"/>
  <c r="J20" i="23"/>
  <c r="K20" i="23" s="1"/>
  <c r="I20" i="23"/>
  <c r="M20" i="23" s="1"/>
  <c r="A20" i="23" s="1"/>
  <c r="B20" i="23"/>
  <c r="J19" i="23"/>
  <c r="K19" i="23" s="1"/>
  <c r="I19" i="23"/>
  <c r="B19" i="23"/>
  <c r="J18" i="23"/>
  <c r="K18" i="23" s="1"/>
  <c r="I18" i="23"/>
  <c r="M18" i="23" s="1"/>
  <c r="A18" i="23" s="1"/>
  <c r="B18" i="23"/>
  <c r="J17" i="23"/>
  <c r="K17" i="23" s="1"/>
  <c r="I17" i="23"/>
  <c r="B17" i="23"/>
  <c r="J16" i="23"/>
  <c r="K16" i="23" s="1"/>
  <c r="I16" i="23"/>
  <c r="M16" i="23" s="1"/>
  <c r="A16" i="23" s="1"/>
  <c r="B16" i="23"/>
  <c r="J15" i="23"/>
  <c r="K15" i="23" s="1"/>
  <c r="I15" i="23"/>
  <c r="B15" i="23"/>
  <c r="AI14" i="23"/>
  <c r="J14" i="23"/>
  <c r="K14" i="23" s="1"/>
  <c r="I14" i="23"/>
  <c r="B14" i="23"/>
  <c r="AI13" i="23"/>
  <c r="J13" i="23"/>
  <c r="K13" i="23" s="1"/>
  <c r="I13" i="23"/>
  <c r="B13" i="23"/>
  <c r="T13" i="28" s="1"/>
  <c r="AI12" i="23"/>
  <c r="J12" i="23"/>
  <c r="K12" i="23" s="1"/>
  <c r="I12" i="23"/>
  <c r="B12" i="23"/>
  <c r="J11" i="23"/>
  <c r="K11" i="23" s="1"/>
  <c r="I11" i="23"/>
  <c r="B11" i="23"/>
  <c r="J10" i="23"/>
  <c r="K10" i="23" s="1"/>
  <c r="I10" i="23"/>
  <c r="B10" i="23"/>
  <c r="J8" i="23"/>
  <c r="K8" i="23" s="1"/>
  <c r="I8" i="23"/>
  <c r="B8" i="23"/>
  <c r="J7" i="23"/>
  <c r="K7" i="23" s="1"/>
  <c r="I7" i="23"/>
  <c r="B7" i="23"/>
  <c r="L6" i="23"/>
  <c r="J6" i="23"/>
  <c r="K6" i="23" s="1"/>
  <c r="I6" i="23"/>
  <c r="B6" i="23"/>
  <c r="T16" i="28" s="1"/>
  <c r="K2" i="23"/>
  <c r="L7" i="23" s="1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A79" i="22" s="1"/>
  <c r="J78" i="22"/>
  <c r="K78" i="22" s="1"/>
  <c r="I78" i="22"/>
  <c r="M78" i="22" s="1"/>
  <c r="A78" i="22" s="1"/>
  <c r="J77" i="22"/>
  <c r="K77" i="22" s="1"/>
  <c r="I77" i="22"/>
  <c r="M77" i="22" s="1"/>
  <c r="A77" i="22" s="1"/>
  <c r="J76" i="22"/>
  <c r="K76" i="22" s="1"/>
  <c r="I76" i="22"/>
  <c r="M76" i="22" s="1"/>
  <c r="A76" i="22" s="1"/>
  <c r="J75" i="22"/>
  <c r="K75" i="22" s="1"/>
  <c r="I75" i="22"/>
  <c r="M75" i="22" s="1"/>
  <c r="A75" i="22" s="1"/>
  <c r="J74" i="22"/>
  <c r="K74" i="22" s="1"/>
  <c r="I74" i="22"/>
  <c r="M74" i="22" s="1"/>
  <c r="A74" i="22" s="1"/>
  <c r="J73" i="22"/>
  <c r="K73" i="22" s="1"/>
  <c r="I73" i="22"/>
  <c r="M73" i="22" s="1"/>
  <c r="A73" i="22" s="1"/>
  <c r="J72" i="22"/>
  <c r="K72" i="22" s="1"/>
  <c r="I72" i="22"/>
  <c r="M72" i="22" s="1"/>
  <c r="A72" i="22" s="1"/>
  <c r="J71" i="22"/>
  <c r="K71" i="22" s="1"/>
  <c r="I71" i="22"/>
  <c r="M71" i="22" s="1"/>
  <c r="A71" i="22" s="1"/>
  <c r="J70" i="22"/>
  <c r="K70" i="22" s="1"/>
  <c r="I70" i="22"/>
  <c r="M70" i="22" s="1"/>
  <c r="A70" i="22" s="1"/>
  <c r="J69" i="22"/>
  <c r="K69" i="22" s="1"/>
  <c r="I69" i="22"/>
  <c r="M69" i="22" s="1"/>
  <c r="A69" i="22" s="1"/>
  <c r="J68" i="22"/>
  <c r="K68" i="22" s="1"/>
  <c r="I68" i="22"/>
  <c r="M68" i="22" s="1"/>
  <c r="A68" i="22" s="1"/>
  <c r="J67" i="22"/>
  <c r="K67" i="22" s="1"/>
  <c r="I67" i="22"/>
  <c r="M67" i="22" s="1"/>
  <c r="A67" i="22" s="1"/>
  <c r="J66" i="22"/>
  <c r="K66" i="22" s="1"/>
  <c r="I66" i="22"/>
  <c r="M66" i="22" s="1"/>
  <c r="A66" i="22" s="1"/>
  <c r="J65" i="22"/>
  <c r="K65" i="22" s="1"/>
  <c r="I65" i="22"/>
  <c r="M65" i="22" s="1"/>
  <c r="A65" i="22" s="1"/>
  <c r="B65" i="22"/>
  <c r="J64" i="22"/>
  <c r="K64" i="22" s="1"/>
  <c r="I64" i="22"/>
  <c r="M64" i="22" s="1"/>
  <c r="A64" i="22" s="1"/>
  <c r="B64" i="22"/>
  <c r="J63" i="22"/>
  <c r="K63" i="22" s="1"/>
  <c r="I63" i="22"/>
  <c r="M63" i="22" s="1"/>
  <c r="A63" i="22" s="1"/>
  <c r="B63" i="22"/>
  <c r="J62" i="22"/>
  <c r="K62" i="22" s="1"/>
  <c r="I62" i="22"/>
  <c r="M62" i="22" s="1"/>
  <c r="A62" i="22" s="1"/>
  <c r="B62" i="22"/>
  <c r="J61" i="22"/>
  <c r="K61" i="22" s="1"/>
  <c r="I61" i="22"/>
  <c r="M61" i="22" s="1"/>
  <c r="A61" i="22" s="1"/>
  <c r="B61" i="22"/>
  <c r="J60" i="22"/>
  <c r="K60" i="22" s="1"/>
  <c r="I60" i="22"/>
  <c r="M60" i="22" s="1"/>
  <c r="A60" i="22" s="1"/>
  <c r="B60" i="22"/>
  <c r="J59" i="22"/>
  <c r="K59" i="22" s="1"/>
  <c r="I59" i="22"/>
  <c r="M59" i="22" s="1"/>
  <c r="A59" i="22" s="1"/>
  <c r="B59" i="22"/>
  <c r="J58" i="22"/>
  <c r="K58" i="22" s="1"/>
  <c r="I58" i="22"/>
  <c r="M58" i="22" s="1"/>
  <c r="A58" i="22" s="1"/>
  <c r="B58" i="22"/>
  <c r="J57" i="22"/>
  <c r="K57" i="22" s="1"/>
  <c r="I57" i="22"/>
  <c r="M57" i="22" s="1"/>
  <c r="A57" i="22" s="1"/>
  <c r="B57" i="22"/>
  <c r="J56" i="22"/>
  <c r="K56" i="22" s="1"/>
  <c r="I56" i="22"/>
  <c r="M56" i="22" s="1"/>
  <c r="A56" i="22" s="1"/>
  <c r="B56" i="22"/>
  <c r="J55" i="22"/>
  <c r="K55" i="22" s="1"/>
  <c r="I55" i="22"/>
  <c r="M55" i="22" s="1"/>
  <c r="A55" i="22" s="1"/>
  <c r="B55" i="22"/>
  <c r="J54" i="22"/>
  <c r="K54" i="22" s="1"/>
  <c r="I54" i="22"/>
  <c r="M54" i="22" s="1"/>
  <c r="A54" i="22" s="1"/>
  <c r="B54" i="22"/>
  <c r="J53" i="22"/>
  <c r="K53" i="22" s="1"/>
  <c r="I53" i="22"/>
  <c r="M53" i="22" s="1"/>
  <c r="A53" i="22" s="1"/>
  <c r="B53" i="22"/>
  <c r="J52" i="22"/>
  <c r="K52" i="22" s="1"/>
  <c r="I52" i="22"/>
  <c r="M52" i="22" s="1"/>
  <c r="A52" i="22" s="1"/>
  <c r="B52" i="22"/>
  <c r="J51" i="22"/>
  <c r="K51" i="22" s="1"/>
  <c r="I51" i="22"/>
  <c r="M51" i="22" s="1"/>
  <c r="A51" i="22" s="1"/>
  <c r="B51" i="22"/>
  <c r="J50" i="22"/>
  <c r="K50" i="22" s="1"/>
  <c r="I50" i="22"/>
  <c r="M50" i="22" s="1"/>
  <c r="A50" i="22" s="1"/>
  <c r="B50" i="22"/>
  <c r="J49" i="22"/>
  <c r="K49" i="22" s="1"/>
  <c r="I49" i="22"/>
  <c r="M49" i="22" s="1"/>
  <c r="A49" i="22" s="1"/>
  <c r="B49" i="22"/>
  <c r="J48" i="22"/>
  <c r="K48" i="22" s="1"/>
  <c r="I48" i="22"/>
  <c r="M48" i="22" s="1"/>
  <c r="A48" i="22" s="1"/>
  <c r="B48" i="22"/>
  <c r="J47" i="22"/>
  <c r="K47" i="22" s="1"/>
  <c r="I47" i="22"/>
  <c r="M47" i="22" s="1"/>
  <c r="A47" i="22" s="1"/>
  <c r="B47" i="22"/>
  <c r="T46" i="22"/>
  <c r="R46" i="22"/>
  <c r="U46" i="22" s="1"/>
  <c r="J46" i="22"/>
  <c r="K46" i="22" s="1"/>
  <c r="I46" i="22"/>
  <c r="M46" i="22" s="1"/>
  <c r="A46" i="22" s="1"/>
  <c r="B46" i="22"/>
  <c r="J45" i="22"/>
  <c r="K45" i="22" s="1"/>
  <c r="I45" i="22"/>
  <c r="M45" i="22" s="1"/>
  <c r="A45" i="22" s="1"/>
  <c r="B45" i="22"/>
  <c r="J44" i="22"/>
  <c r="K44" i="22" s="1"/>
  <c r="I44" i="22"/>
  <c r="M44" i="22" s="1"/>
  <c r="A44" i="22" s="1"/>
  <c r="B44" i="22"/>
  <c r="J43" i="22"/>
  <c r="K43" i="22" s="1"/>
  <c r="I43" i="22"/>
  <c r="M43" i="22" s="1"/>
  <c r="A43" i="22" s="1"/>
  <c r="B43" i="22"/>
  <c r="J42" i="22"/>
  <c r="K42" i="22" s="1"/>
  <c r="I42" i="22"/>
  <c r="M42" i="22" s="1"/>
  <c r="A42" i="22" s="1"/>
  <c r="B42" i="22"/>
  <c r="J41" i="22"/>
  <c r="K41" i="22" s="1"/>
  <c r="I41" i="22"/>
  <c r="M41" i="22" s="1"/>
  <c r="A41" i="22" s="1"/>
  <c r="B41" i="22"/>
  <c r="J40" i="22"/>
  <c r="K40" i="22" s="1"/>
  <c r="I40" i="22"/>
  <c r="M40" i="22" s="1"/>
  <c r="A40" i="22" s="1"/>
  <c r="B40" i="22"/>
  <c r="J39" i="22"/>
  <c r="K39" i="22" s="1"/>
  <c r="I39" i="22"/>
  <c r="M39" i="22" s="1"/>
  <c r="A39" i="22" s="1"/>
  <c r="B39" i="22"/>
  <c r="J38" i="22"/>
  <c r="K38" i="22" s="1"/>
  <c r="I38" i="22"/>
  <c r="M38" i="22" s="1"/>
  <c r="A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B36" i="22"/>
  <c r="A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B18" i="22"/>
  <c r="J17" i="22"/>
  <c r="K17" i="22" s="1"/>
  <c r="I17" i="22"/>
  <c r="B17" i="22"/>
  <c r="J16" i="22"/>
  <c r="K16" i="22" s="1"/>
  <c r="I16" i="22"/>
  <c r="B16" i="22"/>
  <c r="J15" i="22"/>
  <c r="K15" i="22" s="1"/>
  <c r="I15" i="22"/>
  <c r="B15" i="22"/>
  <c r="AI14" i="22"/>
  <c r="J14" i="22"/>
  <c r="K14" i="22" s="1"/>
  <c r="I14" i="22"/>
  <c r="B14" i="22"/>
  <c r="AI13" i="22"/>
  <c r="J13" i="22"/>
  <c r="K13" i="22" s="1"/>
  <c r="I13" i="22"/>
  <c r="B13" i="22"/>
  <c r="AI12" i="22"/>
  <c r="J12" i="22"/>
  <c r="K12" i="22" s="1"/>
  <c r="I12" i="22"/>
  <c r="B12" i="22"/>
  <c r="J11" i="22"/>
  <c r="K11" i="22" s="1"/>
  <c r="I11" i="22"/>
  <c r="B11" i="22"/>
  <c r="J10" i="22"/>
  <c r="K10" i="22" s="1"/>
  <c r="I10" i="22"/>
  <c r="B10" i="22"/>
  <c r="J8" i="22"/>
  <c r="K8" i="22" s="1"/>
  <c r="I8" i="22"/>
  <c r="B8" i="22"/>
  <c r="J7" i="22"/>
  <c r="K7" i="22" s="1"/>
  <c r="I7" i="22"/>
  <c r="B7" i="22"/>
  <c r="J6" i="22"/>
  <c r="K6" i="22" s="1"/>
  <c r="I6" i="22"/>
  <c r="B6" i="22"/>
  <c r="K2" i="22"/>
  <c r="L9" i="22" s="1"/>
  <c r="J305" i="20"/>
  <c r="K305" i="20" s="1"/>
  <c r="I305" i="20"/>
  <c r="J304" i="20"/>
  <c r="K304" i="20" s="1"/>
  <c r="I304" i="20"/>
  <c r="N304" i="20" s="1"/>
  <c r="A304" i="20" s="1"/>
  <c r="J303" i="20"/>
  <c r="K303" i="20" s="1"/>
  <c r="I303" i="20"/>
  <c r="M303" i="20" s="1"/>
  <c r="J302" i="20"/>
  <c r="K302" i="20" s="1"/>
  <c r="I302" i="20"/>
  <c r="N302" i="20" s="1"/>
  <c r="A302" i="20" s="1"/>
  <c r="J301" i="20"/>
  <c r="K301" i="20" s="1"/>
  <c r="I301" i="20"/>
  <c r="J300" i="20"/>
  <c r="K300" i="20" s="1"/>
  <c r="I300" i="20"/>
  <c r="J299" i="20"/>
  <c r="K299" i="20" s="1"/>
  <c r="I299" i="20"/>
  <c r="J298" i="20"/>
  <c r="K298" i="20" s="1"/>
  <c r="I298" i="20"/>
  <c r="J297" i="20"/>
  <c r="K297" i="20" s="1"/>
  <c r="I297" i="20"/>
  <c r="J296" i="20"/>
  <c r="K296" i="20" s="1"/>
  <c r="I296" i="20"/>
  <c r="M296" i="20" s="1"/>
  <c r="J295" i="20"/>
  <c r="K295" i="20" s="1"/>
  <c r="I295" i="20"/>
  <c r="N295" i="20" s="1"/>
  <c r="A295" i="20" s="1"/>
  <c r="J294" i="20"/>
  <c r="K294" i="20" s="1"/>
  <c r="I294" i="20"/>
  <c r="J293" i="20"/>
  <c r="K293" i="20" s="1"/>
  <c r="I293" i="20"/>
  <c r="J292" i="20"/>
  <c r="K292" i="20" s="1"/>
  <c r="I292" i="20"/>
  <c r="N292" i="20" s="1"/>
  <c r="A292" i="20" s="1"/>
  <c r="J291" i="20"/>
  <c r="K291" i="20" s="1"/>
  <c r="I291" i="20"/>
  <c r="N291" i="20" s="1"/>
  <c r="A291" i="20" s="1"/>
  <c r="J290" i="20"/>
  <c r="K290" i="20" s="1"/>
  <c r="I290" i="20"/>
  <c r="J289" i="20"/>
  <c r="K289" i="20" s="1"/>
  <c r="I289" i="20"/>
  <c r="J288" i="20"/>
  <c r="K288" i="20" s="1"/>
  <c r="I288" i="20"/>
  <c r="N288" i="20" s="1"/>
  <c r="A288" i="20"/>
  <c r="J287" i="20"/>
  <c r="K287" i="20" s="1"/>
  <c r="I287" i="20"/>
  <c r="M287" i="20" s="1"/>
  <c r="J286" i="20"/>
  <c r="K286" i="20" s="1"/>
  <c r="I286" i="20"/>
  <c r="N286" i="20" s="1"/>
  <c r="A286" i="20" s="1"/>
  <c r="J285" i="20"/>
  <c r="K285" i="20" s="1"/>
  <c r="I285" i="20"/>
  <c r="J284" i="20"/>
  <c r="K284" i="20" s="1"/>
  <c r="I284" i="20"/>
  <c r="J283" i="20"/>
  <c r="K283" i="20" s="1"/>
  <c r="I283" i="20"/>
  <c r="J282" i="20"/>
  <c r="K282" i="20" s="1"/>
  <c r="I282" i="20"/>
  <c r="J281" i="20"/>
  <c r="K281" i="20" s="1"/>
  <c r="I281" i="20"/>
  <c r="J280" i="20"/>
  <c r="K280" i="20" s="1"/>
  <c r="I280" i="20"/>
  <c r="J279" i="20"/>
  <c r="K279" i="20" s="1"/>
  <c r="I279" i="20"/>
  <c r="J278" i="20"/>
  <c r="K278" i="20" s="1"/>
  <c r="I278" i="20"/>
  <c r="J277" i="20"/>
  <c r="K277" i="20" s="1"/>
  <c r="I277" i="20"/>
  <c r="J276" i="20"/>
  <c r="K276" i="20" s="1"/>
  <c r="I276" i="20"/>
  <c r="J275" i="20"/>
  <c r="K275" i="20" s="1"/>
  <c r="I275" i="20"/>
  <c r="J274" i="20"/>
  <c r="K274" i="20" s="1"/>
  <c r="I274" i="20"/>
  <c r="J273" i="20"/>
  <c r="K273" i="20" s="1"/>
  <c r="I273" i="20"/>
  <c r="J272" i="20"/>
  <c r="K272" i="20" s="1"/>
  <c r="I272" i="20"/>
  <c r="J271" i="20"/>
  <c r="K271" i="20" s="1"/>
  <c r="I271" i="20"/>
  <c r="J270" i="20"/>
  <c r="K270" i="20" s="1"/>
  <c r="I270" i="20"/>
  <c r="J269" i="20"/>
  <c r="K269" i="20" s="1"/>
  <c r="I269" i="20"/>
  <c r="J268" i="20"/>
  <c r="K268" i="20" s="1"/>
  <c r="I268" i="20"/>
  <c r="J267" i="20"/>
  <c r="K267" i="20" s="1"/>
  <c r="I267" i="20"/>
  <c r="J266" i="20"/>
  <c r="K266" i="20" s="1"/>
  <c r="I266" i="20"/>
  <c r="J265" i="20"/>
  <c r="K265" i="20" s="1"/>
  <c r="I265" i="20"/>
  <c r="J264" i="20"/>
  <c r="K264" i="20" s="1"/>
  <c r="I264" i="20"/>
  <c r="J263" i="20"/>
  <c r="K263" i="20" s="1"/>
  <c r="I263" i="20"/>
  <c r="J262" i="20"/>
  <c r="K262" i="20" s="1"/>
  <c r="I262" i="20"/>
  <c r="J261" i="20"/>
  <c r="K261" i="20" s="1"/>
  <c r="I261" i="20"/>
  <c r="J260" i="20"/>
  <c r="K260" i="20" s="1"/>
  <c r="I260" i="20"/>
  <c r="N260" i="20" s="1"/>
  <c r="A260" i="20" s="1"/>
  <c r="J259" i="20"/>
  <c r="K259" i="20" s="1"/>
  <c r="I259" i="20"/>
  <c r="N259" i="20" s="1"/>
  <c r="A259" i="20" s="1"/>
  <c r="J258" i="20"/>
  <c r="K258" i="20" s="1"/>
  <c r="I258" i="20"/>
  <c r="J257" i="20"/>
  <c r="K257" i="20" s="1"/>
  <c r="I257" i="20"/>
  <c r="J256" i="20"/>
  <c r="K256" i="20" s="1"/>
  <c r="I256" i="20"/>
  <c r="J255" i="20"/>
  <c r="K255" i="20" s="1"/>
  <c r="I255" i="20"/>
  <c r="J254" i="20"/>
  <c r="K254" i="20" s="1"/>
  <c r="I254" i="20"/>
  <c r="J253" i="20"/>
  <c r="K253" i="20" s="1"/>
  <c r="I253" i="20"/>
  <c r="J252" i="20"/>
  <c r="K252" i="20" s="1"/>
  <c r="I252" i="20"/>
  <c r="J251" i="20"/>
  <c r="K251" i="20" s="1"/>
  <c r="I251" i="20"/>
  <c r="J36" i="20"/>
  <c r="K36" i="20" s="1"/>
  <c r="I36" i="20"/>
  <c r="J35" i="20"/>
  <c r="K35" i="20" s="1"/>
  <c r="I35" i="20"/>
  <c r="J34" i="20"/>
  <c r="K34" i="20" s="1"/>
  <c r="I34" i="20"/>
  <c r="J33" i="20"/>
  <c r="K33" i="20" s="1"/>
  <c r="I33" i="20"/>
  <c r="J32" i="20"/>
  <c r="K32" i="20" s="1"/>
  <c r="I32" i="20"/>
  <c r="J31" i="20"/>
  <c r="K31" i="20" s="1"/>
  <c r="I31" i="20"/>
  <c r="J30" i="20"/>
  <c r="K30" i="20" s="1"/>
  <c r="I30" i="20"/>
  <c r="J29" i="20"/>
  <c r="K29" i="20" s="1"/>
  <c r="I29" i="20"/>
  <c r="J28" i="20"/>
  <c r="K28" i="20" s="1"/>
  <c r="I28" i="20"/>
  <c r="J27" i="20"/>
  <c r="K27" i="20" s="1"/>
  <c r="I27" i="20"/>
  <c r="J26" i="20"/>
  <c r="K26" i="20" s="1"/>
  <c r="I26" i="20"/>
  <c r="J25" i="20"/>
  <c r="K25" i="20" s="1"/>
  <c r="I25" i="20"/>
  <c r="J24" i="20"/>
  <c r="K24" i="20" s="1"/>
  <c r="I24" i="20"/>
  <c r="J23" i="20"/>
  <c r="K23" i="20" s="1"/>
  <c r="I23" i="20"/>
  <c r="J22" i="20"/>
  <c r="K22" i="20" s="1"/>
  <c r="I22" i="20"/>
  <c r="J21" i="20"/>
  <c r="K21" i="20" s="1"/>
  <c r="I21" i="20"/>
  <c r="J20" i="20"/>
  <c r="K20" i="20" s="1"/>
  <c r="I20" i="20"/>
  <c r="J19" i="20"/>
  <c r="K19" i="20" s="1"/>
  <c r="I19" i="20"/>
  <c r="J18" i="20"/>
  <c r="K18" i="20" s="1"/>
  <c r="I18" i="20"/>
  <c r="J17" i="20"/>
  <c r="K17" i="20" s="1"/>
  <c r="I17" i="20"/>
  <c r="AJ16" i="20"/>
  <c r="J16" i="20"/>
  <c r="K16" i="20" s="1"/>
  <c r="I16" i="20"/>
  <c r="J15" i="20"/>
  <c r="K15" i="20" s="1"/>
  <c r="I15" i="20"/>
  <c r="AJ14" i="20"/>
  <c r="J14" i="20"/>
  <c r="K14" i="20" s="1"/>
  <c r="I14" i="20"/>
  <c r="AJ13" i="20"/>
  <c r="J13" i="20"/>
  <c r="K13" i="20" s="1"/>
  <c r="I13" i="20"/>
  <c r="AJ12" i="20"/>
  <c r="J12" i="20"/>
  <c r="K12" i="20" s="1"/>
  <c r="I12" i="20"/>
  <c r="J11" i="20"/>
  <c r="K11" i="20" s="1"/>
  <c r="I11" i="20"/>
  <c r="J10" i="20"/>
  <c r="K10" i="20" s="1"/>
  <c r="I10" i="20"/>
  <c r="J8" i="20"/>
  <c r="K8" i="20" s="1"/>
  <c r="I8" i="20"/>
  <c r="J7" i="20"/>
  <c r="K7" i="20" s="1"/>
  <c r="I7" i="20"/>
  <c r="J6" i="20"/>
  <c r="K6" i="20" s="1"/>
  <c r="I6" i="20"/>
  <c r="K2" i="20"/>
  <c r="O6" i="13"/>
  <c r="O7" i="13"/>
  <c r="O10" i="13"/>
  <c r="O12" i="13"/>
  <c r="O9" i="13"/>
  <c r="O8" i="13"/>
  <c r="O11" i="13"/>
  <c r="O13" i="13"/>
  <c r="O17" i="13"/>
  <c r="O18" i="13"/>
  <c r="O19" i="13"/>
  <c r="O20" i="13"/>
  <c r="O21" i="13"/>
  <c r="G6" i="13"/>
  <c r="G15" i="13"/>
  <c r="G10" i="13"/>
  <c r="G13" i="13"/>
  <c r="G17" i="13"/>
  <c r="G18" i="13"/>
  <c r="G19" i="13"/>
  <c r="G20" i="13"/>
  <c r="G21" i="13"/>
  <c r="E15" i="13"/>
  <c r="E13" i="13"/>
  <c r="E17" i="13"/>
  <c r="E18" i="13"/>
  <c r="E19" i="13"/>
  <c r="E20" i="13"/>
  <c r="E21" i="13"/>
  <c r="E8" i="28"/>
  <c r="E10" i="13"/>
  <c r="E7" i="13"/>
  <c r="E6" i="28"/>
  <c r="J305" i="17"/>
  <c r="J304" i="17"/>
  <c r="K304" i="17" s="1"/>
  <c r="J303" i="17"/>
  <c r="K303" i="17" s="1"/>
  <c r="J302" i="17"/>
  <c r="K302" i="17" s="1"/>
  <c r="J301" i="17"/>
  <c r="K301" i="17" s="1"/>
  <c r="J300" i="17"/>
  <c r="J299" i="17"/>
  <c r="J298" i="17"/>
  <c r="J297" i="17"/>
  <c r="J296" i="17"/>
  <c r="K296" i="17" s="1"/>
  <c r="J295" i="17"/>
  <c r="K295" i="17" s="1"/>
  <c r="J294" i="17"/>
  <c r="K294" i="17" s="1"/>
  <c r="J293" i="17"/>
  <c r="K293" i="17" s="1"/>
  <c r="J292" i="17"/>
  <c r="J291" i="17"/>
  <c r="J290" i="17"/>
  <c r="K290" i="17" s="1"/>
  <c r="J289" i="17"/>
  <c r="J288" i="17"/>
  <c r="J287" i="17"/>
  <c r="K287" i="17" s="1"/>
  <c r="J286" i="17"/>
  <c r="K286" i="17" s="1"/>
  <c r="J285" i="17"/>
  <c r="K285" i="17" s="1"/>
  <c r="J284" i="17"/>
  <c r="J283" i="17"/>
  <c r="J282" i="17"/>
  <c r="K282" i="17" s="1"/>
  <c r="J281" i="17"/>
  <c r="K281" i="17" s="1"/>
  <c r="J280" i="17"/>
  <c r="K280" i="17" s="1"/>
  <c r="J279" i="17"/>
  <c r="K279" i="17" s="1"/>
  <c r="J278" i="17"/>
  <c r="K278" i="17" s="1"/>
  <c r="J277" i="17"/>
  <c r="K277" i="17" s="1"/>
  <c r="J276" i="17"/>
  <c r="J275" i="17"/>
  <c r="J274" i="17"/>
  <c r="K274" i="17" s="1"/>
  <c r="J273" i="17"/>
  <c r="K273" i="17" s="1"/>
  <c r="J272" i="17"/>
  <c r="K272" i="17" s="1"/>
  <c r="J271" i="17"/>
  <c r="K271" i="17" s="1"/>
  <c r="J270" i="17"/>
  <c r="K270" i="17" s="1"/>
  <c r="J269" i="17"/>
  <c r="K269" i="17" s="1"/>
  <c r="J268" i="17"/>
  <c r="J267" i="17"/>
  <c r="J266" i="17"/>
  <c r="J265" i="17"/>
  <c r="J264" i="17"/>
  <c r="J263" i="17"/>
  <c r="K263" i="17" s="1"/>
  <c r="J262" i="17"/>
  <c r="K262" i="17" s="1"/>
  <c r="J261" i="17"/>
  <c r="K261" i="17" s="1"/>
  <c r="J260" i="17"/>
  <c r="J259" i="17"/>
  <c r="J258" i="17"/>
  <c r="J257" i="17"/>
  <c r="J256" i="17"/>
  <c r="K256" i="17" s="1"/>
  <c r="J255" i="17"/>
  <c r="K255" i="17" s="1"/>
  <c r="J254" i="17"/>
  <c r="K254" i="17" s="1"/>
  <c r="J253" i="17"/>
  <c r="K253" i="17" s="1"/>
  <c r="J252" i="17"/>
  <c r="J251" i="17"/>
  <c r="J250" i="17"/>
  <c r="J249" i="17"/>
  <c r="K249" i="17" s="1"/>
  <c r="J248" i="17"/>
  <c r="J247" i="17"/>
  <c r="K247" i="17" s="1"/>
  <c r="J246" i="17"/>
  <c r="K246" i="17" s="1"/>
  <c r="J245" i="17"/>
  <c r="K245" i="17" s="1"/>
  <c r="J244" i="17"/>
  <c r="J243" i="17"/>
  <c r="J242" i="17"/>
  <c r="K242" i="17" s="1"/>
  <c r="J241" i="17"/>
  <c r="J240" i="17"/>
  <c r="J239" i="17"/>
  <c r="K239" i="17" s="1"/>
  <c r="J238" i="17"/>
  <c r="K238" i="17" s="1"/>
  <c r="J237" i="17"/>
  <c r="K237" i="17" s="1"/>
  <c r="J236" i="17"/>
  <c r="J235" i="17"/>
  <c r="J234" i="17"/>
  <c r="J233" i="17"/>
  <c r="K233" i="17" s="1"/>
  <c r="J232" i="17"/>
  <c r="K232" i="17" s="1"/>
  <c r="J231" i="17"/>
  <c r="K231" i="17" s="1"/>
  <c r="J230" i="17"/>
  <c r="K230" i="17" s="1"/>
  <c r="J229" i="17"/>
  <c r="K229" i="17" s="1"/>
  <c r="J228" i="17"/>
  <c r="J227" i="17"/>
  <c r="J226" i="17"/>
  <c r="J225" i="17"/>
  <c r="J224" i="17"/>
  <c r="J223" i="17"/>
  <c r="K223" i="17" s="1"/>
  <c r="J222" i="17"/>
  <c r="K222" i="17" s="1"/>
  <c r="J221" i="17"/>
  <c r="K221" i="17" s="1"/>
  <c r="J220" i="17"/>
  <c r="J219" i="17"/>
  <c r="J218" i="17"/>
  <c r="K218" i="17" s="1"/>
  <c r="J217" i="17"/>
  <c r="K217" i="17" s="1"/>
  <c r="J216" i="17"/>
  <c r="K216" i="17" s="1"/>
  <c r="J215" i="17"/>
  <c r="K215" i="17" s="1"/>
  <c r="J214" i="17"/>
  <c r="K214" i="17" s="1"/>
  <c r="J213" i="17"/>
  <c r="K213" i="17" s="1"/>
  <c r="J212" i="17"/>
  <c r="J211" i="17"/>
  <c r="J210" i="17"/>
  <c r="K210" i="17" s="1"/>
  <c r="J209" i="17"/>
  <c r="J208" i="17"/>
  <c r="J207" i="17"/>
  <c r="K207" i="17" s="1"/>
  <c r="J206" i="17"/>
  <c r="K206" i="17" s="1"/>
  <c r="J205" i="17"/>
  <c r="K205" i="17" s="1"/>
  <c r="J204" i="17"/>
  <c r="J203" i="17"/>
  <c r="J202" i="17"/>
  <c r="K202" i="17" s="1"/>
  <c r="J201" i="17"/>
  <c r="J200" i="17"/>
  <c r="K200" i="17" s="1"/>
  <c r="J199" i="17"/>
  <c r="K199" i="17" s="1"/>
  <c r="J198" i="17"/>
  <c r="K198" i="17" s="1"/>
  <c r="J197" i="17"/>
  <c r="K197" i="17" s="1"/>
  <c r="J196" i="17"/>
  <c r="J195" i="17"/>
  <c r="J194" i="17"/>
  <c r="J193" i="17"/>
  <c r="K193" i="17" s="1"/>
  <c r="J192" i="17"/>
  <c r="J191" i="17"/>
  <c r="K191" i="17" s="1"/>
  <c r="J190" i="17"/>
  <c r="K190" i="17" s="1"/>
  <c r="J189" i="17"/>
  <c r="K189" i="17" s="1"/>
  <c r="J188" i="17"/>
  <c r="J187" i="17"/>
  <c r="J186" i="17"/>
  <c r="J185" i="17"/>
  <c r="K185" i="17" s="1"/>
  <c r="J184" i="17"/>
  <c r="J183" i="17"/>
  <c r="K183" i="17" s="1"/>
  <c r="J182" i="17"/>
  <c r="K182" i="17" s="1"/>
  <c r="J181" i="17"/>
  <c r="K181" i="17" s="1"/>
  <c r="J180" i="17"/>
  <c r="J179" i="17"/>
  <c r="J178" i="17"/>
  <c r="K178" i="17" s="1"/>
  <c r="J177" i="17"/>
  <c r="K177" i="17" s="1"/>
  <c r="J176" i="17"/>
  <c r="K176" i="17" s="1"/>
  <c r="J175" i="17"/>
  <c r="K175" i="17" s="1"/>
  <c r="J174" i="17"/>
  <c r="K174" i="17" s="1"/>
  <c r="J173" i="17"/>
  <c r="K173" i="17" s="1"/>
  <c r="J172" i="17"/>
  <c r="J171" i="17"/>
  <c r="J170" i="17"/>
  <c r="J169" i="17"/>
  <c r="K169" i="17" s="1"/>
  <c r="J168" i="17"/>
  <c r="J167" i="17"/>
  <c r="K167" i="17" s="1"/>
  <c r="J166" i="17"/>
  <c r="K166" i="17" s="1"/>
  <c r="J165" i="17"/>
  <c r="K165" i="17" s="1"/>
  <c r="J164" i="17"/>
  <c r="J163" i="17"/>
  <c r="J162" i="17"/>
  <c r="K162" i="17" s="1"/>
  <c r="J161" i="17"/>
  <c r="J160" i="17"/>
  <c r="K160" i="17" s="1"/>
  <c r="J159" i="17"/>
  <c r="K159" i="17" s="1"/>
  <c r="J158" i="17"/>
  <c r="K158" i="17" s="1"/>
  <c r="J157" i="17"/>
  <c r="K157" i="17" s="1"/>
  <c r="J156" i="17"/>
  <c r="J155" i="17"/>
  <c r="J154" i="17"/>
  <c r="J153" i="17"/>
  <c r="K153" i="17" s="1"/>
  <c r="J152" i="17"/>
  <c r="K152" i="17" s="1"/>
  <c r="J151" i="17"/>
  <c r="K151" i="17" s="1"/>
  <c r="J150" i="17"/>
  <c r="K150" i="17" s="1"/>
  <c r="J149" i="17"/>
  <c r="K149" i="17" s="1"/>
  <c r="J148" i="17"/>
  <c r="J147" i="17"/>
  <c r="J146" i="17"/>
  <c r="J145" i="17"/>
  <c r="J144" i="17"/>
  <c r="J143" i="17"/>
  <c r="K143" i="17" s="1"/>
  <c r="J142" i="17"/>
  <c r="K142" i="17" s="1"/>
  <c r="J141" i="17"/>
  <c r="K141" i="17" s="1"/>
  <c r="J140" i="17"/>
  <c r="J139" i="17"/>
  <c r="J138" i="17"/>
  <c r="K138" i="17" s="1"/>
  <c r="J137" i="17"/>
  <c r="K137" i="17" s="1"/>
  <c r="J136" i="17"/>
  <c r="K136" i="17" s="1"/>
  <c r="J135" i="17"/>
  <c r="K135" i="17" s="1"/>
  <c r="J134" i="17"/>
  <c r="K134" i="17" s="1"/>
  <c r="J133" i="17"/>
  <c r="K133" i="17" s="1"/>
  <c r="J132" i="17"/>
  <c r="J131" i="17"/>
  <c r="J130" i="17"/>
  <c r="J129" i="17"/>
  <c r="J128" i="17"/>
  <c r="J127" i="17"/>
  <c r="K127" i="17" s="1"/>
  <c r="J126" i="17"/>
  <c r="K126" i="17" s="1"/>
  <c r="J125" i="17"/>
  <c r="K125" i="17" s="1"/>
  <c r="J124" i="17"/>
  <c r="J123" i="17"/>
  <c r="J122" i="17"/>
  <c r="K122" i="17" s="1"/>
  <c r="J121" i="17"/>
  <c r="K121" i="17" s="1"/>
  <c r="J120" i="17"/>
  <c r="K120" i="17" s="1"/>
  <c r="J119" i="17"/>
  <c r="K119" i="17" s="1"/>
  <c r="J118" i="17"/>
  <c r="K118" i="17" s="1"/>
  <c r="J117" i="17"/>
  <c r="K117" i="17" s="1"/>
  <c r="J116" i="17"/>
  <c r="J115" i="17"/>
  <c r="J114" i="17"/>
  <c r="K114" i="17" s="1"/>
  <c r="J113" i="17"/>
  <c r="J112" i="17"/>
  <c r="J111" i="17"/>
  <c r="K111" i="17" s="1"/>
  <c r="J110" i="17"/>
  <c r="K110" i="17" s="1"/>
  <c r="J109" i="17"/>
  <c r="K109" i="17" s="1"/>
  <c r="J108" i="17"/>
  <c r="J107" i="17"/>
  <c r="J106" i="17"/>
  <c r="J105" i="17"/>
  <c r="K105" i="17" s="1"/>
  <c r="J104" i="17"/>
  <c r="K104" i="17" s="1"/>
  <c r="J103" i="17"/>
  <c r="K103" i="17" s="1"/>
  <c r="J102" i="17"/>
  <c r="K102" i="17" s="1"/>
  <c r="J101" i="17"/>
  <c r="K101" i="17" s="1"/>
  <c r="J100" i="17"/>
  <c r="J99" i="17"/>
  <c r="J98" i="17"/>
  <c r="K98" i="17" s="1"/>
  <c r="J97" i="17"/>
  <c r="J96" i="17"/>
  <c r="J95" i="17"/>
  <c r="K95" i="17" s="1"/>
  <c r="J94" i="17"/>
  <c r="K94" i="17" s="1"/>
  <c r="J93" i="17"/>
  <c r="K93" i="17" s="1"/>
  <c r="J92" i="17"/>
  <c r="J91" i="17"/>
  <c r="J90" i="17"/>
  <c r="J89" i="17"/>
  <c r="K89" i="17" s="1"/>
  <c r="J88" i="17"/>
  <c r="K88" i="17" s="1"/>
  <c r="J87" i="17"/>
  <c r="K87" i="17" s="1"/>
  <c r="J86" i="17"/>
  <c r="K86" i="17" s="1"/>
  <c r="J85" i="17"/>
  <c r="K85" i="17" s="1"/>
  <c r="J84" i="17"/>
  <c r="J83" i="17"/>
  <c r="J82" i="17"/>
  <c r="K82" i="17" s="1"/>
  <c r="J81" i="17"/>
  <c r="J80" i="17"/>
  <c r="J79" i="17"/>
  <c r="K79" i="17" s="1"/>
  <c r="J78" i="17"/>
  <c r="K78" i="17" s="1"/>
  <c r="J77" i="17"/>
  <c r="K77" i="17" s="1"/>
  <c r="J76" i="17"/>
  <c r="J75" i="17"/>
  <c r="J74" i="17"/>
  <c r="K74" i="17" s="1"/>
  <c r="J73" i="17"/>
  <c r="J72" i="17"/>
  <c r="K72" i="17" s="1"/>
  <c r="J71" i="17"/>
  <c r="K71" i="17" s="1"/>
  <c r="J70" i="17"/>
  <c r="K70" i="17" s="1"/>
  <c r="J69" i="17"/>
  <c r="K69" i="17" s="1"/>
  <c r="J68" i="17"/>
  <c r="J67" i="17"/>
  <c r="J66" i="17"/>
  <c r="K66" i="17" s="1"/>
  <c r="J65" i="17"/>
  <c r="J64" i="17"/>
  <c r="J63" i="17"/>
  <c r="K63" i="17" s="1"/>
  <c r="J62" i="17"/>
  <c r="K62" i="17" s="1"/>
  <c r="J61" i="17"/>
  <c r="K61" i="17" s="1"/>
  <c r="J60" i="17"/>
  <c r="J59" i="17"/>
  <c r="J58" i="17"/>
  <c r="J57" i="17"/>
  <c r="J56" i="17"/>
  <c r="K56" i="17" s="1"/>
  <c r="J55" i="17"/>
  <c r="K55" i="17" s="1"/>
  <c r="J54" i="17"/>
  <c r="K54" i="17" s="1"/>
  <c r="J53" i="17"/>
  <c r="K53" i="17" s="1"/>
  <c r="J52" i="17"/>
  <c r="J51" i="17"/>
  <c r="J50" i="17"/>
  <c r="K50" i="17" s="1"/>
  <c r="J49" i="17"/>
  <c r="K49" i="17" s="1"/>
  <c r="J48" i="17"/>
  <c r="J47" i="17"/>
  <c r="K47" i="17" s="1"/>
  <c r="J46" i="17"/>
  <c r="K46" i="17" s="1"/>
  <c r="J45" i="17"/>
  <c r="K45" i="17" s="1"/>
  <c r="J44" i="17"/>
  <c r="J43" i="17"/>
  <c r="J42" i="17"/>
  <c r="K42" i="17" s="1"/>
  <c r="J41" i="17"/>
  <c r="K41" i="17" s="1"/>
  <c r="J40" i="17"/>
  <c r="K40" i="17" s="1"/>
  <c r="J39" i="17"/>
  <c r="K39" i="17" s="1"/>
  <c r="J38" i="17"/>
  <c r="K38" i="17" s="1"/>
  <c r="J37" i="17"/>
  <c r="K37" i="17" s="1"/>
  <c r="J36" i="17"/>
  <c r="J35" i="17"/>
  <c r="J34" i="17"/>
  <c r="J33" i="17"/>
  <c r="J32" i="17"/>
  <c r="K32" i="17" s="1"/>
  <c r="J31" i="17"/>
  <c r="K31" i="17" s="1"/>
  <c r="J30" i="17"/>
  <c r="K30" i="17" s="1"/>
  <c r="J29" i="17"/>
  <c r="K29" i="17" s="1"/>
  <c r="J28" i="17"/>
  <c r="J27" i="17"/>
  <c r="J26" i="17"/>
  <c r="K26" i="17" s="1"/>
  <c r="J25" i="17"/>
  <c r="K25" i="17" s="1"/>
  <c r="J24" i="17"/>
  <c r="K24" i="17" s="1"/>
  <c r="J23" i="17"/>
  <c r="K23" i="17" s="1"/>
  <c r="J22" i="17"/>
  <c r="K22" i="17" s="1"/>
  <c r="J21" i="17"/>
  <c r="K21" i="17" s="1"/>
  <c r="J20" i="17"/>
  <c r="J19" i="17"/>
  <c r="J18" i="17"/>
  <c r="J17" i="17"/>
  <c r="J16" i="17"/>
  <c r="J15" i="17"/>
  <c r="K15" i="17" s="1"/>
  <c r="J14" i="17"/>
  <c r="K14" i="17" s="1"/>
  <c r="J13" i="17"/>
  <c r="K13" i="17" s="1"/>
  <c r="J12" i="17"/>
  <c r="J11" i="17"/>
  <c r="J10" i="17"/>
  <c r="J9" i="17"/>
  <c r="J8" i="17"/>
  <c r="J7" i="17"/>
  <c r="J6" i="17"/>
  <c r="K6" i="17" s="1"/>
  <c r="J305" i="19"/>
  <c r="J304" i="19"/>
  <c r="J303" i="19"/>
  <c r="J302" i="19"/>
  <c r="K302" i="19" s="1"/>
  <c r="J301" i="19"/>
  <c r="J300" i="19"/>
  <c r="J299" i="19"/>
  <c r="K299" i="19" s="1"/>
  <c r="J298" i="19"/>
  <c r="J297" i="19"/>
  <c r="K297" i="19" s="1"/>
  <c r="J296" i="19"/>
  <c r="J295" i="19"/>
  <c r="J294" i="19"/>
  <c r="K294" i="19" s="1"/>
  <c r="J293" i="19"/>
  <c r="J292" i="19"/>
  <c r="J291" i="19"/>
  <c r="K291" i="19" s="1"/>
  <c r="J290" i="19"/>
  <c r="K290" i="19" s="1"/>
  <c r="J289" i="19"/>
  <c r="K289" i="19" s="1"/>
  <c r="J288" i="19"/>
  <c r="J287" i="19"/>
  <c r="K287" i="19" s="1"/>
  <c r="J286" i="19"/>
  <c r="K286" i="19" s="1"/>
  <c r="J285" i="19"/>
  <c r="J284" i="19"/>
  <c r="J283" i="19"/>
  <c r="K283" i="19" s="1"/>
  <c r="J282" i="19"/>
  <c r="K282" i="19" s="1"/>
  <c r="J281" i="19"/>
  <c r="K281" i="19" s="1"/>
  <c r="J280" i="19"/>
  <c r="J279" i="19"/>
  <c r="K279" i="19" s="1"/>
  <c r="J278" i="19"/>
  <c r="J277" i="19"/>
  <c r="J276" i="19"/>
  <c r="J275" i="19"/>
  <c r="K275" i="19" s="1"/>
  <c r="J274" i="19"/>
  <c r="K274" i="19" s="1"/>
  <c r="J273" i="19"/>
  <c r="K273" i="19" s="1"/>
  <c r="J272" i="19"/>
  <c r="J271" i="19"/>
  <c r="K271" i="19" s="1"/>
  <c r="J270" i="19"/>
  <c r="K270" i="19" s="1"/>
  <c r="J269" i="19"/>
  <c r="J268" i="19"/>
  <c r="J267" i="19"/>
  <c r="K267" i="19" s="1"/>
  <c r="J266" i="19"/>
  <c r="K266" i="19" s="1"/>
  <c r="J265" i="19"/>
  <c r="K265" i="19" s="1"/>
  <c r="J264" i="19"/>
  <c r="J263" i="19"/>
  <c r="K263" i="19" s="1"/>
  <c r="J262" i="19"/>
  <c r="K262" i="19" s="1"/>
  <c r="J261" i="19"/>
  <c r="J260" i="19"/>
  <c r="J259" i="19"/>
  <c r="K259" i="19" s="1"/>
  <c r="J258" i="19"/>
  <c r="K258" i="19" s="1"/>
  <c r="J257" i="19"/>
  <c r="K257" i="19" s="1"/>
  <c r="J256" i="19"/>
  <c r="J255" i="19"/>
  <c r="J254" i="19"/>
  <c r="K254" i="19" s="1"/>
  <c r="J253" i="19"/>
  <c r="J252" i="19"/>
  <c r="J251" i="19"/>
  <c r="J250" i="19"/>
  <c r="K250" i="19" s="1"/>
  <c r="J249" i="19"/>
  <c r="J248" i="19"/>
  <c r="J247" i="19"/>
  <c r="K247" i="19" s="1"/>
  <c r="J246" i="19"/>
  <c r="J245" i="19"/>
  <c r="J244" i="19"/>
  <c r="J243" i="19"/>
  <c r="K243" i="19" s="1"/>
  <c r="J242" i="19"/>
  <c r="K242" i="19" s="1"/>
  <c r="J241" i="19"/>
  <c r="K241" i="19" s="1"/>
  <c r="J240" i="19"/>
  <c r="J239" i="19"/>
  <c r="K239" i="19" s="1"/>
  <c r="J238" i="19"/>
  <c r="K238" i="19" s="1"/>
  <c r="J237" i="19"/>
  <c r="J236" i="19"/>
  <c r="J235" i="19"/>
  <c r="J234" i="19"/>
  <c r="K234" i="19" s="1"/>
  <c r="J233" i="19"/>
  <c r="K233" i="19" s="1"/>
  <c r="J232" i="19"/>
  <c r="J231" i="19"/>
  <c r="K231" i="19" s="1"/>
  <c r="J230" i="19"/>
  <c r="J229" i="19"/>
  <c r="J228" i="19"/>
  <c r="J227" i="19"/>
  <c r="K227" i="19" s="1"/>
  <c r="J226" i="19"/>
  <c r="K226" i="19" s="1"/>
  <c r="J225" i="19"/>
  <c r="K225" i="19" s="1"/>
  <c r="J224" i="19"/>
  <c r="J223" i="19"/>
  <c r="K223" i="19" s="1"/>
  <c r="J222" i="19"/>
  <c r="K222" i="19" s="1"/>
  <c r="J221" i="19"/>
  <c r="J220" i="19"/>
  <c r="J219" i="19"/>
  <c r="K219" i="19" s="1"/>
  <c r="J218" i="19"/>
  <c r="J217" i="19"/>
  <c r="K217" i="19" s="1"/>
  <c r="J216" i="19"/>
  <c r="J215" i="19"/>
  <c r="J214" i="19"/>
  <c r="K214" i="19" s="1"/>
  <c r="J213" i="19"/>
  <c r="J212" i="19"/>
  <c r="J211" i="19"/>
  <c r="K211" i="19" s="1"/>
  <c r="J210" i="19"/>
  <c r="K210" i="19" s="1"/>
  <c r="J209" i="19"/>
  <c r="K209" i="19" s="1"/>
  <c r="J208" i="19"/>
  <c r="J207" i="19"/>
  <c r="K207" i="19" s="1"/>
  <c r="J206" i="19"/>
  <c r="K206" i="19" s="1"/>
  <c r="J205" i="19"/>
  <c r="J204" i="19"/>
  <c r="J203" i="19"/>
  <c r="J202" i="19"/>
  <c r="K202" i="19" s="1"/>
  <c r="J201" i="19"/>
  <c r="K201" i="19" s="1"/>
  <c r="J200" i="19"/>
  <c r="J199" i="19"/>
  <c r="K199" i="19" s="1"/>
  <c r="J198" i="19"/>
  <c r="K198" i="19" s="1"/>
  <c r="J197" i="19"/>
  <c r="J196" i="19"/>
  <c r="J195" i="19"/>
  <c r="K195" i="19" s="1"/>
  <c r="J194" i="19"/>
  <c r="J193" i="19"/>
  <c r="K193" i="19" s="1"/>
  <c r="J192" i="19"/>
  <c r="J191" i="19"/>
  <c r="K191" i="19" s="1"/>
  <c r="J190" i="19"/>
  <c r="K190" i="19" s="1"/>
  <c r="J189" i="19"/>
  <c r="J188" i="19"/>
  <c r="J187" i="19"/>
  <c r="K187" i="19" s="1"/>
  <c r="J186" i="19"/>
  <c r="K186" i="19" s="1"/>
  <c r="J185" i="19"/>
  <c r="K185" i="19" s="1"/>
  <c r="J184" i="19"/>
  <c r="J183" i="19"/>
  <c r="K183" i="19" s="1"/>
  <c r="J182" i="19"/>
  <c r="K182" i="19" s="1"/>
  <c r="J181" i="19"/>
  <c r="J180" i="19"/>
  <c r="J179" i="19"/>
  <c r="K179" i="19" s="1"/>
  <c r="J178" i="19"/>
  <c r="K178" i="19" s="1"/>
  <c r="J177" i="19"/>
  <c r="K177" i="19" s="1"/>
  <c r="J176" i="19"/>
  <c r="J175" i="19"/>
  <c r="K175" i="19" s="1"/>
  <c r="J174" i="19"/>
  <c r="K174" i="19" s="1"/>
  <c r="J173" i="19"/>
  <c r="J172" i="19"/>
  <c r="J171" i="19"/>
  <c r="J170" i="19"/>
  <c r="K170" i="19" s="1"/>
  <c r="J169" i="19"/>
  <c r="K169" i="19" s="1"/>
  <c r="J168" i="19"/>
  <c r="J167" i="19"/>
  <c r="J166" i="19"/>
  <c r="K166" i="19" s="1"/>
  <c r="J165" i="19"/>
  <c r="J164" i="19"/>
  <c r="J163" i="19"/>
  <c r="K163" i="19" s="1"/>
  <c r="J162" i="19"/>
  <c r="K162" i="19" s="1"/>
  <c r="J161" i="19"/>
  <c r="K161" i="19" s="1"/>
  <c r="J160" i="19"/>
  <c r="J159" i="19"/>
  <c r="K159" i="19" s="1"/>
  <c r="J158" i="19"/>
  <c r="K158" i="19" s="1"/>
  <c r="J157" i="19"/>
  <c r="J156" i="19"/>
  <c r="J155" i="19"/>
  <c r="K155" i="19" s="1"/>
  <c r="J154" i="19"/>
  <c r="K154" i="19" s="1"/>
  <c r="J153" i="19"/>
  <c r="K153" i="19" s="1"/>
  <c r="J152" i="19"/>
  <c r="J151" i="19"/>
  <c r="J150" i="19"/>
  <c r="K150" i="19" s="1"/>
  <c r="J149" i="19"/>
  <c r="J148" i="19"/>
  <c r="J147" i="19"/>
  <c r="K147" i="19" s="1"/>
  <c r="J146" i="19"/>
  <c r="J145" i="19"/>
  <c r="K145" i="19" s="1"/>
  <c r="J144" i="19"/>
  <c r="J143" i="19"/>
  <c r="K143" i="19" s="1"/>
  <c r="J142" i="19"/>
  <c r="K142" i="19" s="1"/>
  <c r="J141" i="19"/>
  <c r="J140" i="19"/>
  <c r="J139" i="19"/>
  <c r="K139" i="19" s="1"/>
  <c r="J138" i="19"/>
  <c r="K138" i="19" s="1"/>
  <c r="J137" i="19"/>
  <c r="J136" i="19"/>
  <c r="J135" i="19"/>
  <c r="K135" i="19" s="1"/>
  <c r="J134" i="19"/>
  <c r="K134" i="19" s="1"/>
  <c r="J133" i="19"/>
  <c r="J132" i="19"/>
  <c r="J131" i="19"/>
  <c r="J130" i="19"/>
  <c r="K130" i="19" s="1"/>
  <c r="J129" i="19"/>
  <c r="K129" i="19" s="1"/>
  <c r="J128" i="19"/>
  <c r="J127" i="19"/>
  <c r="K127" i="19" s="1"/>
  <c r="J126" i="19"/>
  <c r="J125" i="19"/>
  <c r="J124" i="19"/>
  <c r="J123" i="19"/>
  <c r="K123" i="19" s="1"/>
  <c r="J122" i="19"/>
  <c r="K122" i="19" s="1"/>
  <c r="J121" i="19"/>
  <c r="K121" i="19" s="1"/>
  <c r="J120" i="19"/>
  <c r="J119" i="19"/>
  <c r="K119" i="19" s="1"/>
  <c r="J118" i="19"/>
  <c r="K118" i="19" s="1"/>
  <c r="J117" i="19"/>
  <c r="J116" i="19"/>
  <c r="J115" i="19"/>
  <c r="K115" i="19" s="1"/>
  <c r="J114" i="19"/>
  <c r="K114" i="19" s="1"/>
  <c r="J113" i="19"/>
  <c r="J112" i="19"/>
  <c r="J111" i="19"/>
  <c r="J110" i="19"/>
  <c r="K110" i="19" s="1"/>
  <c r="J109" i="19"/>
  <c r="J108" i="19"/>
  <c r="J107" i="19"/>
  <c r="K107" i="19" s="1"/>
  <c r="J106" i="19"/>
  <c r="K106" i="19" s="1"/>
  <c r="J105" i="19"/>
  <c r="K105" i="19" s="1"/>
  <c r="J104" i="19"/>
  <c r="J103" i="19"/>
  <c r="K103" i="19" s="1"/>
  <c r="J102" i="19"/>
  <c r="K102" i="19" s="1"/>
  <c r="J101" i="19"/>
  <c r="J100" i="19"/>
  <c r="J99" i="19"/>
  <c r="J98" i="19"/>
  <c r="K98" i="19" s="1"/>
  <c r="J97" i="19"/>
  <c r="K97" i="19" s="1"/>
  <c r="J96" i="19"/>
  <c r="J95" i="19"/>
  <c r="J94" i="19"/>
  <c r="K94" i="19" s="1"/>
  <c r="J93" i="19"/>
  <c r="J92" i="19"/>
  <c r="J91" i="19"/>
  <c r="J90" i="19"/>
  <c r="K90" i="19" s="1"/>
  <c r="J89" i="19"/>
  <c r="K89" i="19" s="1"/>
  <c r="J88" i="19"/>
  <c r="J87" i="19"/>
  <c r="K87" i="19" s="1"/>
  <c r="J86" i="19"/>
  <c r="K86" i="19" s="1"/>
  <c r="J85" i="19"/>
  <c r="J84" i="19"/>
  <c r="J83" i="19"/>
  <c r="J82" i="19"/>
  <c r="J81" i="19"/>
  <c r="K81" i="19" s="1"/>
  <c r="J80" i="19"/>
  <c r="J79" i="19"/>
  <c r="K79" i="19" s="1"/>
  <c r="J78" i="19"/>
  <c r="K78" i="19" s="1"/>
  <c r="J77" i="19"/>
  <c r="J76" i="19"/>
  <c r="J75" i="19"/>
  <c r="K75" i="19" s="1"/>
  <c r="J74" i="19"/>
  <c r="K74" i="19" s="1"/>
  <c r="J73" i="19"/>
  <c r="K73" i="19" s="1"/>
  <c r="J72" i="19"/>
  <c r="J71" i="19"/>
  <c r="K71" i="19" s="1"/>
  <c r="J70" i="19"/>
  <c r="K70" i="19" s="1"/>
  <c r="J69" i="19"/>
  <c r="J68" i="19"/>
  <c r="J67" i="19"/>
  <c r="K67" i="19" s="1"/>
  <c r="J66" i="19"/>
  <c r="K66" i="19" s="1"/>
  <c r="J65" i="19"/>
  <c r="K65" i="19" s="1"/>
  <c r="J64" i="19"/>
  <c r="J63" i="19"/>
  <c r="K63" i="19" s="1"/>
  <c r="J62" i="19"/>
  <c r="K62" i="19" s="1"/>
  <c r="J61" i="19"/>
  <c r="J60" i="19"/>
  <c r="J59" i="19"/>
  <c r="J58" i="19"/>
  <c r="K58" i="19" s="1"/>
  <c r="J57" i="19"/>
  <c r="K57" i="19" s="1"/>
  <c r="J56" i="19"/>
  <c r="J55" i="19"/>
  <c r="K55" i="19" s="1"/>
  <c r="J54" i="19"/>
  <c r="K54" i="19" s="1"/>
  <c r="J53" i="19"/>
  <c r="J52" i="19"/>
  <c r="K52" i="19" s="1"/>
  <c r="J51" i="19"/>
  <c r="K51" i="19" s="1"/>
  <c r="J50" i="19"/>
  <c r="K50" i="19" s="1"/>
  <c r="J49" i="19"/>
  <c r="K49" i="19" s="1"/>
  <c r="J48" i="19"/>
  <c r="J47" i="19"/>
  <c r="K47" i="19" s="1"/>
  <c r="J46" i="19"/>
  <c r="K46" i="19" s="1"/>
  <c r="J45" i="19"/>
  <c r="J44" i="19"/>
  <c r="J43" i="19"/>
  <c r="K43" i="19" s="1"/>
  <c r="J42" i="19"/>
  <c r="K42" i="19" s="1"/>
  <c r="J41" i="19"/>
  <c r="J40" i="19"/>
  <c r="J39" i="19"/>
  <c r="K39" i="19" s="1"/>
  <c r="J38" i="19"/>
  <c r="K38" i="19" s="1"/>
  <c r="J37" i="19"/>
  <c r="J36" i="19"/>
  <c r="K36" i="19" s="1"/>
  <c r="J35" i="19"/>
  <c r="K35" i="19" s="1"/>
  <c r="J34" i="19"/>
  <c r="K34" i="19" s="1"/>
  <c r="J33" i="19"/>
  <c r="K33" i="19" s="1"/>
  <c r="J32" i="19"/>
  <c r="J31" i="19"/>
  <c r="K31" i="19" s="1"/>
  <c r="J30" i="19"/>
  <c r="K30" i="19" s="1"/>
  <c r="J29" i="19"/>
  <c r="J28" i="19"/>
  <c r="K28" i="19" s="1"/>
  <c r="J27" i="19"/>
  <c r="K27" i="19" s="1"/>
  <c r="J26" i="19"/>
  <c r="K26" i="19" s="1"/>
  <c r="J25" i="19"/>
  <c r="K25" i="19" s="1"/>
  <c r="J24" i="19"/>
  <c r="J23" i="19"/>
  <c r="J22" i="19"/>
  <c r="K22" i="19" s="1"/>
  <c r="J21" i="19"/>
  <c r="J20" i="19"/>
  <c r="K20" i="19" s="1"/>
  <c r="J19" i="19"/>
  <c r="K19" i="19" s="1"/>
  <c r="J18" i="19"/>
  <c r="K18" i="19" s="1"/>
  <c r="J17" i="19"/>
  <c r="K17" i="19" s="1"/>
  <c r="J16" i="19"/>
  <c r="J15" i="19"/>
  <c r="K15" i="19" s="1"/>
  <c r="J14" i="19"/>
  <c r="J13" i="19"/>
  <c r="J12" i="19"/>
  <c r="K12" i="19" s="1"/>
  <c r="J11" i="19"/>
  <c r="K11" i="19" s="1"/>
  <c r="J10" i="19"/>
  <c r="K10" i="19" s="1"/>
  <c r="J9" i="19"/>
  <c r="K9" i="19" s="1"/>
  <c r="K44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12" i="19"/>
  <c r="K215" i="19"/>
  <c r="K220" i="19"/>
  <c r="K228" i="19"/>
  <c r="K236" i="19"/>
  <c r="K244" i="19"/>
  <c r="K252" i="19"/>
  <c r="K255" i="19"/>
  <c r="K260" i="19"/>
  <c r="K268" i="19"/>
  <c r="K276" i="19"/>
  <c r="K284" i="19"/>
  <c r="K292" i="19"/>
  <c r="K295" i="19"/>
  <c r="K303" i="19"/>
  <c r="K298" i="19"/>
  <c r="K218" i="19"/>
  <c r="K146" i="19"/>
  <c r="K82" i="19"/>
  <c r="J305" i="18"/>
  <c r="K305" i="18" s="1"/>
  <c r="J304" i="18"/>
  <c r="J303" i="18"/>
  <c r="K303" i="18" s="1"/>
  <c r="J302" i="18"/>
  <c r="K302" i="18" s="1"/>
  <c r="J301" i="18"/>
  <c r="K301" i="18" s="1"/>
  <c r="J300" i="18"/>
  <c r="J299" i="18"/>
  <c r="J298" i="18"/>
  <c r="J297" i="18"/>
  <c r="K297" i="18" s="1"/>
  <c r="J296" i="18"/>
  <c r="J295" i="18"/>
  <c r="K295" i="18" s="1"/>
  <c r="J294" i="18"/>
  <c r="K294" i="18" s="1"/>
  <c r="J293" i="18"/>
  <c r="K293" i="18" s="1"/>
  <c r="J292" i="18"/>
  <c r="J291" i="18"/>
  <c r="J290" i="18"/>
  <c r="J289" i="18"/>
  <c r="J288" i="18"/>
  <c r="J287" i="18"/>
  <c r="K287" i="18" s="1"/>
  <c r="J286" i="18"/>
  <c r="K286" i="18" s="1"/>
  <c r="J285" i="18"/>
  <c r="K285" i="18" s="1"/>
  <c r="J284" i="18"/>
  <c r="J283" i="18"/>
  <c r="J282" i="18"/>
  <c r="J281" i="18"/>
  <c r="K281" i="18" s="1"/>
  <c r="J280" i="18"/>
  <c r="J279" i="18"/>
  <c r="K279" i="18" s="1"/>
  <c r="J278" i="18"/>
  <c r="K278" i="18" s="1"/>
  <c r="J277" i="18"/>
  <c r="K277" i="18" s="1"/>
  <c r="J276" i="18"/>
  <c r="J275" i="18"/>
  <c r="J274" i="18"/>
  <c r="J273" i="18"/>
  <c r="K273" i="18" s="1"/>
  <c r="J272" i="18"/>
  <c r="J271" i="18"/>
  <c r="K271" i="18" s="1"/>
  <c r="J270" i="18"/>
  <c r="K270" i="18" s="1"/>
  <c r="J269" i="18"/>
  <c r="K269" i="18" s="1"/>
  <c r="J268" i="18"/>
  <c r="J267" i="18"/>
  <c r="J266" i="18"/>
  <c r="J265" i="18"/>
  <c r="K265" i="18" s="1"/>
  <c r="J264" i="18"/>
  <c r="J263" i="18"/>
  <c r="K263" i="18" s="1"/>
  <c r="J262" i="18"/>
  <c r="K262" i="18" s="1"/>
  <c r="J261" i="18"/>
  <c r="K261" i="18" s="1"/>
  <c r="J260" i="18"/>
  <c r="J259" i="18"/>
  <c r="J258" i="18"/>
  <c r="J257" i="18"/>
  <c r="J256" i="18"/>
  <c r="J255" i="18"/>
  <c r="K255" i="18" s="1"/>
  <c r="J254" i="18"/>
  <c r="K254" i="18" s="1"/>
  <c r="J253" i="18"/>
  <c r="K253" i="18" s="1"/>
  <c r="J252" i="18"/>
  <c r="J251" i="18"/>
  <c r="J250" i="18"/>
  <c r="J249" i="18"/>
  <c r="K249" i="18" s="1"/>
  <c r="J248" i="18"/>
  <c r="J247" i="18"/>
  <c r="K247" i="18" s="1"/>
  <c r="J246" i="18"/>
  <c r="K246" i="18" s="1"/>
  <c r="J245" i="18"/>
  <c r="K245" i="18" s="1"/>
  <c r="J244" i="18"/>
  <c r="J243" i="18"/>
  <c r="J242" i="18"/>
  <c r="J241" i="18"/>
  <c r="K241" i="18" s="1"/>
  <c r="J240" i="18"/>
  <c r="J239" i="18"/>
  <c r="K239" i="18" s="1"/>
  <c r="J238" i="18"/>
  <c r="K238" i="18" s="1"/>
  <c r="J237" i="18"/>
  <c r="K237" i="18" s="1"/>
  <c r="J236" i="18"/>
  <c r="J235" i="18"/>
  <c r="J234" i="18"/>
  <c r="J233" i="18"/>
  <c r="K233" i="18" s="1"/>
  <c r="J232" i="18"/>
  <c r="J231" i="18"/>
  <c r="K231" i="18" s="1"/>
  <c r="J230" i="18"/>
  <c r="K230" i="18" s="1"/>
  <c r="J229" i="18"/>
  <c r="K229" i="18" s="1"/>
  <c r="J228" i="18"/>
  <c r="J227" i="18"/>
  <c r="J226" i="18"/>
  <c r="J225" i="18"/>
  <c r="K225" i="18" s="1"/>
  <c r="J224" i="18"/>
  <c r="J223" i="18"/>
  <c r="K223" i="18" s="1"/>
  <c r="J222" i="18"/>
  <c r="K222" i="18" s="1"/>
  <c r="J221" i="18"/>
  <c r="K221" i="18" s="1"/>
  <c r="J220" i="18"/>
  <c r="J219" i="18"/>
  <c r="J218" i="18"/>
  <c r="J217" i="18"/>
  <c r="K217" i="18" s="1"/>
  <c r="J216" i="18"/>
  <c r="J215" i="18"/>
  <c r="K215" i="18" s="1"/>
  <c r="J214" i="18"/>
  <c r="K214" i="18" s="1"/>
  <c r="J213" i="18"/>
  <c r="K213" i="18" s="1"/>
  <c r="J212" i="18"/>
  <c r="J211" i="18"/>
  <c r="J210" i="18"/>
  <c r="J209" i="18"/>
  <c r="K209" i="18" s="1"/>
  <c r="J208" i="18"/>
  <c r="J207" i="18"/>
  <c r="K207" i="18" s="1"/>
  <c r="J206" i="18"/>
  <c r="K206" i="18" s="1"/>
  <c r="J205" i="18"/>
  <c r="K205" i="18" s="1"/>
  <c r="J204" i="18"/>
  <c r="J203" i="18"/>
  <c r="J202" i="18"/>
  <c r="J201" i="18"/>
  <c r="K201" i="18" s="1"/>
  <c r="J200" i="18"/>
  <c r="J199" i="18"/>
  <c r="K199" i="18" s="1"/>
  <c r="J198" i="18"/>
  <c r="K198" i="18" s="1"/>
  <c r="J197" i="18"/>
  <c r="K197" i="18" s="1"/>
  <c r="J196" i="18"/>
  <c r="J195" i="18"/>
  <c r="J194" i="18"/>
  <c r="J193" i="18"/>
  <c r="K193" i="18" s="1"/>
  <c r="J192" i="18"/>
  <c r="J191" i="18"/>
  <c r="K191" i="18" s="1"/>
  <c r="J190" i="18"/>
  <c r="K190" i="18" s="1"/>
  <c r="J189" i="18"/>
  <c r="K189" i="18" s="1"/>
  <c r="J188" i="18"/>
  <c r="J187" i="18"/>
  <c r="J186" i="18"/>
  <c r="J185" i="18"/>
  <c r="K185" i="18" s="1"/>
  <c r="J184" i="18"/>
  <c r="J183" i="18"/>
  <c r="K183" i="18" s="1"/>
  <c r="J182" i="18"/>
  <c r="K182" i="18" s="1"/>
  <c r="J181" i="18"/>
  <c r="J180" i="18"/>
  <c r="J179" i="18"/>
  <c r="J178" i="18"/>
  <c r="J177" i="18"/>
  <c r="K177" i="18" s="1"/>
  <c r="J176" i="18"/>
  <c r="J175" i="18"/>
  <c r="K175" i="18" s="1"/>
  <c r="J174" i="18"/>
  <c r="K174" i="18" s="1"/>
  <c r="J173" i="18"/>
  <c r="K173" i="18" s="1"/>
  <c r="J172" i="18"/>
  <c r="J171" i="18"/>
  <c r="J170" i="18"/>
  <c r="J169" i="18"/>
  <c r="K169" i="18" s="1"/>
  <c r="J168" i="18"/>
  <c r="J167" i="18"/>
  <c r="K167" i="18" s="1"/>
  <c r="J166" i="18"/>
  <c r="K166" i="18" s="1"/>
  <c r="J165" i="18"/>
  <c r="K165" i="18" s="1"/>
  <c r="J164" i="18"/>
  <c r="J163" i="18"/>
  <c r="J162" i="18"/>
  <c r="J161" i="18"/>
  <c r="J160" i="18"/>
  <c r="J159" i="18"/>
  <c r="K159" i="18" s="1"/>
  <c r="J158" i="18"/>
  <c r="K158" i="18" s="1"/>
  <c r="J157" i="18"/>
  <c r="K157" i="18" s="1"/>
  <c r="J156" i="18"/>
  <c r="J155" i="18"/>
  <c r="J154" i="18"/>
  <c r="J153" i="18"/>
  <c r="K153" i="18" s="1"/>
  <c r="J152" i="18"/>
  <c r="J151" i="18"/>
  <c r="K151" i="18" s="1"/>
  <c r="J150" i="18"/>
  <c r="K150" i="18" s="1"/>
  <c r="J149" i="18"/>
  <c r="K149" i="18" s="1"/>
  <c r="J148" i="18"/>
  <c r="J147" i="18"/>
  <c r="J146" i="18"/>
  <c r="J145" i="18"/>
  <c r="K145" i="18" s="1"/>
  <c r="J144" i="18"/>
  <c r="J143" i="18"/>
  <c r="K143" i="18" s="1"/>
  <c r="J142" i="18"/>
  <c r="K142" i="18" s="1"/>
  <c r="J141" i="18"/>
  <c r="J140" i="18"/>
  <c r="J139" i="18"/>
  <c r="J138" i="18"/>
  <c r="J137" i="18"/>
  <c r="J136" i="18"/>
  <c r="J135" i="18"/>
  <c r="K135" i="18" s="1"/>
  <c r="J134" i="18"/>
  <c r="K134" i="18" s="1"/>
  <c r="J133" i="18"/>
  <c r="K133" i="18" s="1"/>
  <c r="J132" i="18"/>
  <c r="J131" i="18"/>
  <c r="J130" i="18"/>
  <c r="J129" i="18"/>
  <c r="K129" i="18" s="1"/>
  <c r="J128" i="18"/>
  <c r="J127" i="18"/>
  <c r="K127" i="18" s="1"/>
  <c r="J126" i="18"/>
  <c r="K126" i="18" s="1"/>
  <c r="J125" i="18"/>
  <c r="K125" i="18" s="1"/>
  <c r="J124" i="18"/>
  <c r="J123" i="18"/>
  <c r="J122" i="18"/>
  <c r="J121" i="18"/>
  <c r="K121" i="18" s="1"/>
  <c r="J120" i="18"/>
  <c r="J119" i="18"/>
  <c r="K119" i="18" s="1"/>
  <c r="J118" i="18"/>
  <c r="K118" i="18" s="1"/>
  <c r="J117" i="18"/>
  <c r="K117" i="18" s="1"/>
  <c r="J116" i="18"/>
  <c r="J115" i="18"/>
  <c r="J114" i="18"/>
  <c r="J113" i="18"/>
  <c r="J112" i="18"/>
  <c r="J111" i="18"/>
  <c r="K111" i="18" s="1"/>
  <c r="J110" i="18"/>
  <c r="K110" i="18" s="1"/>
  <c r="J109" i="18"/>
  <c r="K109" i="18" s="1"/>
  <c r="J108" i="18"/>
  <c r="J107" i="18"/>
  <c r="J106" i="18"/>
  <c r="J105" i="18"/>
  <c r="K105" i="18" s="1"/>
  <c r="J104" i="18"/>
  <c r="J103" i="18"/>
  <c r="K103" i="18" s="1"/>
  <c r="J102" i="18"/>
  <c r="K102" i="18" s="1"/>
  <c r="J101" i="18"/>
  <c r="K101" i="18" s="1"/>
  <c r="J100" i="18"/>
  <c r="J99" i="18"/>
  <c r="J98" i="18"/>
  <c r="J97" i="18"/>
  <c r="J96" i="18"/>
  <c r="J95" i="18"/>
  <c r="K95" i="18" s="1"/>
  <c r="J94" i="18"/>
  <c r="J93" i="18"/>
  <c r="K93" i="18" s="1"/>
  <c r="J92" i="18"/>
  <c r="J91" i="18"/>
  <c r="J90" i="18"/>
  <c r="J89" i="18"/>
  <c r="K89" i="18" s="1"/>
  <c r="J88" i="18"/>
  <c r="J87" i="18"/>
  <c r="J86" i="18"/>
  <c r="K86" i="18" s="1"/>
  <c r="J85" i="18"/>
  <c r="K85" i="18" s="1"/>
  <c r="J84" i="18"/>
  <c r="J83" i="18"/>
  <c r="J82" i="18"/>
  <c r="J81" i="18"/>
  <c r="K81" i="18" s="1"/>
  <c r="J80" i="18"/>
  <c r="J79" i="18"/>
  <c r="K79" i="18" s="1"/>
  <c r="J78" i="18"/>
  <c r="K78" i="18" s="1"/>
  <c r="J77" i="18"/>
  <c r="K77" i="18" s="1"/>
  <c r="J76" i="18"/>
  <c r="J75" i="18"/>
  <c r="J74" i="18"/>
  <c r="J73" i="18"/>
  <c r="J72" i="18"/>
  <c r="J71" i="18"/>
  <c r="K71" i="18" s="1"/>
  <c r="J70" i="18"/>
  <c r="K70" i="18" s="1"/>
  <c r="J69" i="18"/>
  <c r="K69" i="18" s="1"/>
  <c r="J68" i="18"/>
  <c r="J67" i="18"/>
  <c r="J66" i="18"/>
  <c r="J65" i="18"/>
  <c r="K65" i="18" s="1"/>
  <c r="J64" i="18"/>
  <c r="J63" i="18"/>
  <c r="K63" i="18" s="1"/>
  <c r="J62" i="18"/>
  <c r="K62" i="18" s="1"/>
  <c r="J61" i="18"/>
  <c r="K61" i="18" s="1"/>
  <c r="J60" i="18"/>
  <c r="J59" i="18"/>
  <c r="J58" i="18"/>
  <c r="J57" i="18"/>
  <c r="J56" i="18"/>
  <c r="J55" i="18"/>
  <c r="K55" i="18" s="1"/>
  <c r="J54" i="18"/>
  <c r="K54" i="18" s="1"/>
  <c r="J53" i="18"/>
  <c r="K53" i="18" s="1"/>
  <c r="J52" i="18"/>
  <c r="J51" i="18"/>
  <c r="J50" i="18"/>
  <c r="J49" i="18"/>
  <c r="K49" i="18" s="1"/>
  <c r="J48" i="18"/>
  <c r="J47" i="18"/>
  <c r="K47" i="18" s="1"/>
  <c r="J46" i="18"/>
  <c r="K46" i="18" s="1"/>
  <c r="J45" i="18"/>
  <c r="K45" i="18" s="1"/>
  <c r="J44" i="18"/>
  <c r="J43" i="18"/>
  <c r="J42" i="18"/>
  <c r="J41" i="18"/>
  <c r="K41" i="18" s="1"/>
  <c r="J40" i="18"/>
  <c r="J39" i="18"/>
  <c r="K39" i="18" s="1"/>
  <c r="J38" i="18"/>
  <c r="K38" i="18" s="1"/>
  <c r="J37" i="18"/>
  <c r="J36" i="18"/>
  <c r="J35" i="18"/>
  <c r="J34" i="18"/>
  <c r="J33" i="18"/>
  <c r="J32" i="18"/>
  <c r="J31" i="18"/>
  <c r="K31" i="18" s="1"/>
  <c r="J30" i="18"/>
  <c r="K30" i="18" s="1"/>
  <c r="J29" i="18"/>
  <c r="K29" i="18" s="1"/>
  <c r="J28" i="18"/>
  <c r="J27" i="18"/>
  <c r="J26" i="18"/>
  <c r="J25" i="18"/>
  <c r="K25" i="18" s="1"/>
  <c r="J24" i="18"/>
  <c r="J23" i="18"/>
  <c r="K23" i="18" s="1"/>
  <c r="J22" i="18"/>
  <c r="K22" i="18" s="1"/>
  <c r="J21" i="18"/>
  <c r="K21" i="18" s="1"/>
  <c r="J20" i="18"/>
  <c r="J19" i="18"/>
  <c r="J18" i="18"/>
  <c r="J17" i="18"/>
  <c r="J16" i="18"/>
  <c r="J15" i="18"/>
  <c r="K15" i="18" s="1"/>
  <c r="J14" i="18"/>
  <c r="K14" i="18" s="1"/>
  <c r="J13" i="18"/>
  <c r="K13" i="18" s="1"/>
  <c r="J12" i="18"/>
  <c r="J11" i="18"/>
  <c r="J10" i="18"/>
  <c r="J9" i="18"/>
  <c r="K9" i="18" s="1"/>
  <c r="J8" i="18"/>
  <c r="J7" i="18"/>
  <c r="K7" i="18" s="1"/>
  <c r="K94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34" i="17"/>
  <c r="K58" i="17"/>
  <c r="K90" i="17"/>
  <c r="K106" i="17"/>
  <c r="K130" i="17"/>
  <c r="K146" i="17"/>
  <c r="K154" i="17"/>
  <c r="K161" i="17"/>
  <c r="K186" i="17"/>
  <c r="K194" i="17"/>
  <c r="K201" i="17"/>
  <c r="K209" i="17"/>
  <c r="K226" i="17"/>
  <c r="K241" i="17"/>
  <c r="K250" i="17"/>
  <c r="K257" i="17"/>
  <c r="K258" i="17"/>
  <c r="K266" i="17"/>
  <c r="K297" i="17"/>
  <c r="K298" i="17"/>
  <c r="K234" i="17"/>
  <c r="K170" i="17"/>
  <c r="K6" i="19"/>
  <c r="A21" i="13"/>
  <c r="A20" i="13"/>
  <c r="A19" i="13"/>
  <c r="A18" i="13"/>
  <c r="A17" i="13"/>
  <c r="A13" i="13"/>
  <c r="A11" i="13"/>
  <c r="A10" i="13"/>
  <c r="A14" i="13"/>
  <c r="A8" i="13"/>
  <c r="A7" i="13"/>
  <c r="A16" i="13"/>
  <c r="A15" i="13"/>
  <c r="A6" i="13"/>
  <c r="A9" i="13"/>
  <c r="A12" i="13"/>
  <c r="K305" i="19"/>
  <c r="I305" i="19"/>
  <c r="K304" i="19"/>
  <c r="I304" i="19"/>
  <c r="I303" i="19"/>
  <c r="I302" i="19"/>
  <c r="K301" i="19"/>
  <c r="I301" i="19"/>
  <c r="K300" i="19"/>
  <c r="I300" i="19"/>
  <c r="I299" i="19"/>
  <c r="I298" i="19"/>
  <c r="I297" i="19"/>
  <c r="K296" i="19"/>
  <c r="I296" i="19"/>
  <c r="I295" i="19"/>
  <c r="I294" i="19"/>
  <c r="K293" i="19"/>
  <c r="I293" i="19"/>
  <c r="I292" i="19"/>
  <c r="I291" i="19"/>
  <c r="I290" i="19"/>
  <c r="I289" i="19"/>
  <c r="K288" i="19"/>
  <c r="I288" i="19"/>
  <c r="I287" i="19"/>
  <c r="I286" i="19"/>
  <c r="K285" i="19"/>
  <c r="I285" i="19"/>
  <c r="I284" i="19"/>
  <c r="I283" i="19"/>
  <c r="I282" i="19"/>
  <c r="I281" i="19"/>
  <c r="K280" i="19"/>
  <c r="I280" i="19"/>
  <c r="I279" i="19"/>
  <c r="K278" i="19"/>
  <c r="I278" i="19"/>
  <c r="K277" i="19"/>
  <c r="I277" i="19"/>
  <c r="I276" i="19"/>
  <c r="I275" i="19"/>
  <c r="I274" i="19"/>
  <c r="I273" i="19"/>
  <c r="K272" i="19"/>
  <c r="I272" i="19"/>
  <c r="I271" i="19"/>
  <c r="I270" i="19"/>
  <c r="K269" i="19"/>
  <c r="I269" i="19"/>
  <c r="I268" i="19"/>
  <c r="I267" i="19"/>
  <c r="I266" i="19"/>
  <c r="I265" i="19"/>
  <c r="K264" i="19"/>
  <c r="I264" i="19"/>
  <c r="I263" i="19"/>
  <c r="I262" i="19"/>
  <c r="K261" i="19"/>
  <c r="I261" i="19"/>
  <c r="I260" i="19"/>
  <c r="I259" i="19"/>
  <c r="I258" i="19"/>
  <c r="I257" i="19"/>
  <c r="K256" i="19"/>
  <c r="I256" i="19"/>
  <c r="I255" i="19"/>
  <c r="I254" i="19"/>
  <c r="K253" i="19"/>
  <c r="I253" i="19"/>
  <c r="I252" i="19"/>
  <c r="K251" i="19"/>
  <c r="I251" i="19"/>
  <c r="I250" i="19"/>
  <c r="K249" i="19"/>
  <c r="I249" i="19"/>
  <c r="K248" i="19"/>
  <c r="I248" i="19"/>
  <c r="I247" i="19"/>
  <c r="K246" i="19"/>
  <c r="I246" i="19"/>
  <c r="K245" i="19"/>
  <c r="I245" i="19"/>
  <c r="I244" i="19"/>
  <c r="I243" i="19"/>
  <c r="I242" i="19"/>
  <c r="I241" i="19"/>
  <c r="K240" i="19"/>
  <c r="I240" i="19"/>
  <c r="I239" i="19"/>
  <c r="I238" i="19"/>
  <c r="K237" i="19"/>
  <c r="I237" i="19"/>
  <c r="I236" i="19"/>
  <c r="K235" i="19"/>
  <c r="I235" i="19"/>
  <c r="I234" i="19"/>
  <c r="I233" i="19"/>
  <c r="K232" i="19"/>
  <c r="I232" i="19"/>
  <c r="I231" i="19"/>
  <c r="K230" i="19"/>
  <c r="I230" i="19"/>
  <c r="K229" i="19"/>
  <c r="I229" i="19"/>
  <c r="I228" i="19"/>
  <c r="I227" i="19"/>
  <c r="I226" i="19"/>
  <c r="I225" i="19"/>
  <c r="K224" i="19"/>
  <c r="I224" i="19"/>
  <c r="I223" i="19"/>
  <c r="I222" i="19"/>
  <c r="K221" i="19"/>
  <c r="I221" i="19"/>
  <c r="I220" i="19"/>
  <c r="I219" i="19"/>
  <c r="I218" i="19"/>
  <c r="I217" i="19"/>
  <c r="K216" i="19"/>
  <c r="I216" i="19"/>
  <c r="I215" i="19"/>
  <c r="I214" i="19"/>
  <c r="K213" i="19"/>
  <c r="I213" i="19"/>
  <c r="I212" i="19"/>
  <c r="I211" i="19"/>
  <c r="I210" i="19"/>
  <c r="I209" i="19"/>
  <c r="K208" i="19"/>
  <c r="I208" i="19"/>
  <c r="I207" i="19"/>
  <c r="I206" i="19"/>
  <c r="K205" i="19"/>
  <c r="I205" i="19"/>
  <c r="I204" i="19"/>
  <c r="K203" i="19"/>
  <c r="I203" i="19"/>
  <c r="I202" i="19"/>
  <c r="I201" i="19"/>
  <c r="K200" i="19"/>
  <c r="I200" i="19"/>
  <c r="I199" i="19"/>
  <c r="I198" i="19"/>
  <c r="K197" i="19"/>
  <c r="I197" i="19"/>
  <c r="I196" i="19"/>
  <c r="I195" i="19"/>
  <c r="K194" i="19"/>
  <c r="I194" i="19"/>
  <c r="I193" i="19"/>
  <c r="K192" i="19"/>
  <c r="I192" i="19"/>
  <c r="I191" i="19"/>
  <c r="I190" i="19"/>
  <c r="K189" i="19"/>
  <c r="I189" i="19"/>
  <c r="I188" i="19"/>
  <c r="I187" i="19"/>
  <c r="I186" i="19"/>
  <c r="I185" i="19"/>
  <c r="K184" i="19"/>
  <c r="I184" i="19"/>
  <c r="I183" i="19"/>
  <c r="I182" i="19"/>
  <c r="K181" i="19"/>
  <c r="I181" i="19"/>
  <c r="K180" i="19"/>
  <c r="I180" i="19"/>
  <c r="I179" i="19"/>
  <c r="I178" i="19"/>
  <c r="I177" i="19"/>
  <c r="K176" i="19"/>
  <c r="I176" i="19"/>
  <c r="I175" i="19"/>
  <c r="I174" i="19"/>
  <c r="K173" i="19"/>
  <c r="I173" i="19"/>
  <c r="K172" i="19"/>
  <c r="I172" i="19"/>
  <c r="K171" i="19"/>
  <c r="I171" i="19"/>
  <c r="I170" i="19"/>
  <c r="I169" i="19"/>
  <c r="K168" i="19"/>
  <c r="I168" i="19"/>
  <c r="K167" i="19"/>
  <c r="I167" i="19"/>
  <c r="I166" i="19"/>
  <c r="K165" i="19"/>
  <c r="I165" i="19"/>
  <c r="I164" i="19"/>
  <c r="I163" i="19"/>
  <c r="I162" i="19"/>
  <c r="I161" i="19"/>
  <c r="K160" i="19"/>
  <c r="I160" i="19"/>
  <c r="I159" i="19"/>
  <c r="I158" i="19"/>
  <c r="K157" i="19"/>
  <c r="I157" i="19"/>
  <c r="I156" i="19"/>
  <c r="I155" i="19"/>
  <c r="I154" i="19"/>
  <c r="I153" i="19"/>
  <c r="K152" i="19"/>
  <c r="I152" i="19"/>
  <c r="K151" i="19"/>
  <c r="I151" i="19"/>
  <c r="I150" i="19"/>
  <c r="K149" i="19"/>
  <c r="I149" i="19"/>
  <c r="I148" i="19"/>
  <c r="I147" i="19"/>
  <c r="I146" i="19"/>
  <c r="I145" i="19"/>
  <c r="K144" i="19"/>
  <c r="I144" i="19"/>
  <c r="I143" i="19"/>
  <c r="I142" i="19"/>
  <c r="K141" i="19"/>
  <c r="I141" i="19"/>
  <c r="I140" i="19"/>
  <c r="I139" i="19"/>
  <c r="I138" i="19"/>
  <c r="K137" i="19"/>
  <c r="I137" i="19"/>
  <c r="K136" i="19"/>
  <c r="I136" i="19"/>
  <c r="I135" i="19"/>
  <c r="I134" i="19"/>
  <c r="K133" i="19"/>
  <c r="I133" i="19"/>
  <c r="I132" i="19"/>
  <c r="K131" i="19"/>
  <c r="I131" i="19"/>
  <c r="I130" i="19"/>
  <c r="I129" i="19"/>
  <c r="K128" i="19"/>
  <c r="I128" i="19"/>
  <c r="I127" i="19"/>
  <c r="K126" i="19"/>
  <c r="I126" i="19"/>
  <c r="K125" i="19"/>
  <c r="I125" i="19"/>
  <c r="I124" i="19"/>
  <c r="I123" i="19"/>
  <c r="I122" i="19"/>
  <c r="I121" i="19"/>
  <c r="K120" i="19"/>
  <c r="I120" i="19"/>
  <c r="I119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I110" i="19"/>
  <c r="K109" i="19"/>
  <c r="I109" i="19"/>
  <c r="I108" i="19"/>
  <c r="I107" i="19"/>
  <c r="I106" i="19"/>
  <c r="I105" i="19"/>
  <c r="K104" i="19"/>
  <c r="I104" i="19"/>
  <c r="I103" i="19"/>
  <c r="I102" i="19"/>
  <c r="K101" i="19"/>
  <c r="I101" i="19"/>
  <c r="I100" i="19"/>
  <c r="K99" i="19"/>
  <c r="I99" i="19"/>
  <c r="I98" i="19"/>
  <c r="I97" i="19"/>
  <c r="K96" i="19"/>
  <c r="I96" i="19"/>
  <c r="K95" i="19"/>
  <c r="I95" i="19"/>
  <c r="I94" i="19"/>
  <c r="K93" i="19"/>
  <c r="I93" i="19"/>
  <c r="I92" i="19"/>
  <c r="K91" i="19"/>
  <c r="I91" i="19"/>
  <c r="I90" i="19"/>
  <c r="I89" i="19"/>
  <c r="K88" i="19"/>
  <c r="I88" i="19"/>
  <c r="I87" i="19"/>
  <c r="I86" i="19"/>
  <c r="K85" i="19"/>
  <c r="I85" i="19"/>
  <c r="I84" i="19"/>
  <c r="K83" i="19"/>
  <c r="I83" i="19"/>
  <c r="I82" i="19"/>
  <c r="I81" i="19"/>
  <c r="K80" i="19"/>
  <c r="I80" i="19"/>
  <c r="I79" i="19"/>
  <c r="I78" i="19"/>
  <c r="K77" i="19"/>
  <c r="I77" i="19"/>
  <c r="I76" i="19"/>
  <c r="I75" i="19"/>
  <c r="I74" i="19"/>
  <c r="I73" i="19"/>
  <c r="K72" i="19"/>
  <c r="I72" i="19"/>
  <c r="I71" i="19"/>
  <c r="I70" i="19"/>
  <c r="K69" i="19"/>
  <c r="I69" i="19"/>
  <c r="I68" i="19"/>
  <c r="I67" i="19"/>
  <c r="I66" i="19"/>
  <c r="I65" i="19"/>
  <c r="B65" i="19"/>
  <c r="K64" i="19"/>
  <c r="I64" i="19"/>
  <c r="B64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I57" i="19"/>
  <c r="B57" i="19"/>
  <c r="K56" i="19"/>
  <c r="I56" i="19"/>
  <c r="B56" i="19"/>
  <c r="I55" i="19"/>
  <c r="B55" i="19"/>
  <c r="I54" i="19"/>
  <c r="B54" i="19"/>
  <c r="K53" i="19"/>
  <c r="I53" i="19"/>
  <c r="B53" i="19"/>
  <c r="I52" i="19"/>
  <c r="B52" i="19"/>
  <c r="I51" i="19"/>
  <c r="B51" i="19"/>
  <c r="I50" i="19"/>
  <c r="B50" i="19"/>
  <c r="I49" i="19"/>
  <c r="B49" i="19"/>
  <c r="K48" i="19"/>
  <c r="I48" i="19"/>
  <c r="B48" i="19"/>
  <c r="I47" i="19"/>
  <c r="B47" i="19"/>
  <c r="U46" i="19"/>
  <c r="S46" i="19"/>
  <c r="V46" i="19" s="1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I39" i="19"/>
  <c r="B39" i="19"/>
  <c r="I38" i="19"/>
  <c r="B38" i="19"/>
  <c r="K37" i="19"/>
  <c r="I37" i="19"/>
  <c r="B37" i="19"/>
  <c r="I36" i="19"/>
  <c r="B36" i="19"/>
  <c r="I35" i="19"/>
  <c r="B35" i="19"/>
  <c r="I34" i="19"/>
  <c r="B34" i="19"/>
  <c r="I33" i="19"/>
  <c r="B33" i="19"/>
  <c r="K32" i="19"/>
  <c r="I32" i="19"/>
  <c r="B32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I20" i="19"/>
  <c r="B20" i="19"/>
  <c r="I19" i="19"/>
  <c r="B19" i="19"/>
  <c r="I18" i="19"/>
  <c r="B18" i="19"/>
  <c r="I17" i="19"/>
  <c r="B17" i="19"/>
  <c r="K16" i="19"/>
  <c r="I16" i="19"/>
  <c r="B16" i="19"/>
  <c r="I15" i="19"/>
  <c r="B15" i="19"/>
  <c r="AJ14" i="19"/>
  <c r="K14" i="19"/>
  <c r="I14" i="19"/>
  <c r="B14" i="19"/>
  <c r="AJ13" i="19"/>
  <c r="K13" i="19"/>
  <c r="I13" i="19"/>
  <c r="B13" i="19"/>
  <c r="AJ12" i="19"/>
  <c r="I12" i="19"/>
  <c r="B12" i="19"/>
  <c r="I11" i="19"/>
  <c r="I10" i="19"/>
  <c r="I9" i="19"/>
  <c r="K8" i="19"/>
  <c r="I8" i="19"/>
  <c r="K7" i="19"/>
  <c r="I7" i="19"/>
  <c r="L2" i="19"/>
  <c r="K2" i="19"/>
  <c r="I305" i="18"/>
  <c r="M305" i="18" s="1"/>
  <c r="K304" i="18"/>
  <c r="I304" i="18"/>
  <c r="M304" i="18" s="1"/>
  <c r="I303" i="18"/>
  <c r="M303" i="18" s="1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I295" i="18"/>
  <c r="M295" i="18" s="1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I287" i="18"/>
  <c r="M287" i="18" s="1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I281" i="18"/>
  <c r="M281" i="18" s="1"/>
  <c r="K280" i="18"/>
  <c r="I280" i="18"/>
  <c r="M280" i="18" s="1"/>
  <c r="I279" i="18"/>
  <c r="M279" i="18" s="1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I273" i="18"/>
  <c r="M273" i="18" s="1"/>
  <c r="K272" i="18"/>
  <c r="I272" i="18"/>
  <c r="M272" i="18" s="1"/>
  <c r="I271" i="18"/>
  <c r="M271" i="18" s="1"/>
  <c r="I270" i="18"/>
  <c r="M270" i="18" s="1"/>
  <c r="I269" i="18"/>
  <c r="M269" i="18" s="1"/>
  <c r="K268" i="18"/>
  <c r="I268" i="18"/>
  <c r="M268" i="18" s="1"/>
  <c r="K267" i="18"/>
  <c r="I267" i="18"/>
  <c r="M267" i="18" s="1"/>
  <c r="I266" i="18"/>
  <c r="M266" i="18" s="1"/>
  <c r="I265" i="18"/>
  <c r="M265" i="18" s="1"/>
  <c r="K264" i="18"/>
  <c r="I264" i="18"/>
  <c r="M264" i="18" s="1"/>
  <c r="I263" i="18"/>
  <c r="M263" i="18" s="1"/>
  <c r="I262" i="18"/>
  <c r="M262" i="18" s="1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I255" i="18"/>
  <c r="M255" i="18" s="1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I249" i="18"/>
  <c r="M249" i="18" s="1"/>
  <c r="K248" i="18"/>
  <c r="I248" i="18"/>
  <c r="M248" i="18" s="1"/>
  <c r="I247" i="18"/>
  <c r="M247" i="18" s="1"/>
  <c r="I246" i="18"/>
  <c r="M246" i="18" s="1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I239" i="18"/>
  <c r="M239" i="18" s="1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I233" i="18"/>
  <c r="M233" i="18" s="1"/>
  <c r="K232" i="18"/>
  <c r="I232" i="18"/>
  <c r="M232" i="18" s="1"/>
  <c r="I231" i="18"/>
  <c r="M231" i="18" s="1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I225" i="18"/>
  <c r="M225" i="18" s="1"/>
  <c r="K224" i="18"/>
  <c r="I224" i="18"/>
  <c r="M224" i="18" s="1"/>
  <c r="I223" i="18"/>
  <c r="M223" i="18" s="1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I215" i="18"/>
  <c r="M215" i="18" s="1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I209" i="18"/>
  <c r="M209" i="18" s="1"/>
  <c r="K208" i="18"/>
  <c r="I208" i="18"/>
  <c r="M208" i="18" s="1"/>
  <c r="I207" i="18"/>
  <c r="M207" i="18" s="1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I201" i="18"/>
  <c r="M201" i="18" s="1"/>
  <c r="K200" i="18"/>
  <c r="I200" i="18"/>
  <c r="M200" i="18" s="1"/>
  <c r="I199" i="18"/>
  <c r="M199" i="18" s="1"/>
  <c r="I198" i="18"/>
  <c r="M198" i="18" s="1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I193" i="18"/>
  <c r="M193" i="18" s="1"/>
  <c r="K192" i="18"/>
  <c r="I192" i="18"/>
  <c r="M192" i="18" s="1"/>
  <c r="I191" i="18"/>
  <c r="M191" i="18" s="1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I185" i="18"/>
  <c r="M185" i="18" s="1"/>
  <c r="K184" i="18"/>
  <c r="I184" i="18"/>
  <c r="M184" i="18" s="1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I177" i="18"/>
  <c r="M177" i="18" s="1"/>
  <c r="K176" i="18"/>
  <c r="I176" i="18"/>
  <c r="M176" i="18" s="1"/>
  <c r="I175" i="18"/>
  <c r="M175" i="18" s="1"/>
  <c r="I174" i="18"/>
  <c r="M174" i="18" s="1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I169" i="18"/>
  <c r="M169" i="18" s="1"/>
  <c r="K168" i="18"/>
  <c r="I168" i="18"/>
  <c r="M168" i="18" s="1"/>
  <c r="I167" i="18"/>
  <c r="M167" i="18" s="1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I159" i="18"/>
  <c r="M159" i="18" s="1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I153" i="18"/>
  <c r="M153" i="18" s="1"/>
  <c r="K152" i="18"/>
  <c r="I152" i="18"/>
  <c r="M152" i="18" s="1"/>
  <c r="I151" i="18"/>
  <c r="M151" i="18" s="1"/>
  <c r="I150" i="18"/>
  <c r="M150" i="18" s="1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I145" i="18"/>
  <c r="M145" i="18" s="1"/>
  <c r="K144" i="18"/>
  <c r="I144" i="18"/>
  <c r="M144" i="18" s="1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I135" i="18"/>
  <c r="M135" i="18" s="1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I129" i="18"/>
  <c r="M129" i="18" s="1"/>
  <c r="K128" i="18"/>
  <c r="I128" i="18"/>
  <c r="M128" i="18" s="1"/>
  <c r="I127" i="18"/>
  <c r="M127" i="18" s="1"/>
  <c r="I126" i="18"/>
  <c r="M126" i="18" s="1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I121" i="18"/>
  <c r="M121" i="18" s="1"/>
  <c r="K120" i="18"/>
  <c r="I120" i="18"/>
  <c r="M120" i="18" s="1"/>
  <c r="I119" i="18"/>
  <c r="M119" i="18" s="1"/>
  <c r="I118" i="18"/>
  <c r="M118" i="18" s="1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I105" i="18"/>
  <c r="M105" i="18" s="1"/>
  <c r="K104" i="18"/>
  <c r="I104" i="18"/>
  <c r="M104" i="18" s="1"/>
  <c r="I103" i="18"/>
  <c r="M103" i="18" s="1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I81" i="18"/>
  <c r="M81" i="18" s="1"/>
  <c r="K80" i="18"/>
  <c r="I80" i="18"/>
  <c r="M80" i="18" s="1"/>
  <c r="I79" i="18"/>
  <c r="M79" i="18" s="1"/>
  <c r="I78" i="18"/>
  <c r="M78" i="18" s="1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I71" i="18"/>
  <c r="M71" i="18" s="1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I63" i="18"/>
  <c r="M63" i="18" s="1"/>
  <c r="B63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I47" i="18"/>
  <c r="M47" i="18" s="1"/>
  <c r="B47" i="18"/>
  <c r="T46" i="18"/>
  <c r="U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I25" i="18"/>
  <c r="B25" i="18"/>
  <c r="K24" i="18"/>
  <c r="I24" i="18"/>
  <c r="B24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B17" i="18"/>
  <c r="K16" i="18"/>
  <c r="I16" i="18"/>
  <c r="B16" i="18"/>
  <c r="I15" i="18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G15" i="28" s="1"/>
  <c r="K11" i="18"/>
  <c r="I11" i="18"/>
  <c r="M11" i="18" s="1"/>
  <c r="I10" i="18"/>
  <c r="I9" i="18"/>
  <c r="K8" i="18"/>
  <c r="I8" i="18"/>
  <c r="I7" i="18"/>
  <c r="K6" i="18"/>
  <c r="K2" i="18"/>
  <c r="K305" i="17"/>
  <c r="I305" i="17"/>
  <c r="M305" i="17" s="1"/>
  <c r="I304" i="17"/>
  <c r="M304" i="17" s="1"/>
  <c r="I303" i="17"/>
  <c r="M303" i="17" s="1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I296" i="17"/>
  <c r="M296" i="17" s="1"/>
  <c r="I295" i="17"/>
  <c r="M295" i="17" s="1"/>
  <c r="I294" i="17"/>
  <c r="M294" i="17" s="1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I287" i="17"/>
  <c r="M287" i="17" s="1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I280" i="17"/>
  <c r="M280" i="17" s="1"/>
  <c r="I279" i="17"/>
  <c r="M279" i="17" s="1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I272" i="17"/>
  <c r="M272" i="17" s="1"/>
  <c r="I271" i="17"/>
  <c r="M271" i="17" s="1"/>
  <c r="I270" i="17"/>
  <c r="M270" i="17" s="1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I263" i="17"/>
  <c r="M263" i="17" s="1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I256" i="17"/>
  <c r="M256" i="17" s="1"/>
  <c r="I255" i="17"/>
  <c r="M255" i="17" s="1"/>
  <c r="I254" i="17"/>
  <c r="M254" i="17" s="1"/>
  <c r="I253" i="17"/>
  <c r="M253" i="17" s="1"/>
  <c r="K252" i="17"/>
  <c r="I252" i="17"/>
  <c r="M252" i="17" s="1"/>
  <c r="K251" i="17"/>
  <c r="I251" i="17"/>
  <c r="M251" i="17" s="1"/>
  <c r="I250" i="17"/>
  <c r="M250" i="17" s="1"/>
  <c r="I249" i="17"/>
  <c r="M249" i="17" s="1"/>
  <c r="K248" i="17"/>
  <c r="I248" i="17"/>
  <c r="M248" i="17" s="1"/>
  <c r="I247" i="17"/>
  <c r="M247" i="17" s="1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I239" i="17"/>
  <c r="M239" i="17" s="1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I232" i="17"/>
  <c r="M232" i="17" s="1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I223" i="17"/>
  <c r="M223" i="17" s="1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I216" i="17"/>
  <c r="M216" i="17" s="1"/>
  <c r="I215" i="17"/>
  <c r="M215" i="17" s="1"/>
  <c r="I214" i="17"/>
  <c r="M214" i="17" s="1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I207" i="17"/>
  <c r="M207" i="17" s="1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I200" i="17"/>
  <c r="M200" i="17" s="1"/>
  <c r="I199" i="17"/>
  <c r="M199" i="17" s="1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I191" i="17"/>
  <c r="M191" i="17" s="1"/>
  <c r="I190" i="17"/>
  <c r="M190" i="17" s="1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I176" i="17"/>
  <c r="M176" i="17" s="1"/>
  <c r="I175" i="17"/>
  <c r="M175" i="17" s="1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I160" i="17"/>
  <c r="M160" i="17" s="1"/>
  <c r="I159" i="17"/>
  <c r="M159" i="17" s="1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I153" i="17"/>
  <c r="M153" i="17" s="1"/>
  <c r="I152" i="17"/>
  <c r="M152" i="17" s="1"/>
  <c r="I151" i="17"/>
  <c r="M151" i="17" s="1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I137" i="17"/>
  <c r="M137" i="17" s="1"/>
  <c r="I136" i="17"/>
  <c r="M136" i="17" s="1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I121" i="17"/>
  <c r="M121" i="17" s="1"/>
  <c r="I120" i="17"/>
  <c r="M120" i="17" s="1"/>
  <c r="I119" i="17"/>
  <c r="M119" i="17" s="1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I111" i="17"/>
  <c r="M111" i="17" s="1"/>
  <c r="I110" i="17"/>
  <c r="M110" i="17" s="1"/>
  <c r="I109" i="17"/>
  <c r="M109" i="17" s="1"/>
  <c r="K108" i="17"/>
  <c r="I108" i="17"/>
  <c r="M108" i="17" s="1"/>
  <c r="K107" i="17"/>
  <c r="I107" i="17"/>
  <c r="M107" i="17" s="1"/>
  <c r="I106" i="17"/>
  <c r="M106" i="17" s="1"/>
  <c r="I105" i="17"/>
  <c r="M105" i="17" s="1"/>
  <c r="I104" i="17"/>
  <c r="M104" i="17" s="1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I89" i="17"/>
  <c r="M89" i="17" s="1"/>
  <c r="I88" i="17"/>
  <c r="M88" i="17" s="1"/>
  <c r="I87" i="17"/>
  <c r="M87" i="17" s="1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I79" i="17"/>
  <c r="M79" i="17" s="1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I72" i="17"/>
  <c r="M72" i="17" s="1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I56" i="17"/>
  <c r="M56" i="17" s="1"/>
  <c r="B56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I40" i="17"/>
  <c r="M40" i="17" s="1"/>
  <c r="B40" i="17"/>
  <c r="I39" i="17"/>
  <c r="M39" i="17" s="1"/>
  <c r="B39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I32" i="17"/>
  <c r="B32" i="17"/>
  <c r="I31" i="17"/>
  <c r="B31" i="17"/>
  <c r="I30" i="17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I24" i="17"/>
  <c r="B24" i="17"/>
  <c r="I23" i="17"/>
  <c r="B23" i="17"/>
  <c r="I22" i="17"/>
  <c r="B22" i="17"/>
  <c r="I21" i="17"/>
  <c r="B21" i="17"/>
  <c r="K20" i="17"/>
  <c r="I20" i="17"/>
  <c r="M20" i="17" s="1"/>
  <c r="A20" i="17" s="1"/>
  <c r="B20" i="17"/>
  <c r="K19" i="17"/>
  <c r="I19" i="17"/>
  <c r="B19" i="17"/>
  <c r="I18" i="17"/>
  <c r="B18" i="17"/>
  <c r="K17" i="17"/>
  <c r="I17" i="17"/>
  <c r="B17" i="17"/>
  <c r="K16" i="17"/>
  <c r="I16" i="17"/>
  <c r="I15" i="17"/>
  <c r="M15" i="17" s="1"/>
  <c r="A15" i="17" s="1"/>
  <c r="AI14" i="17"/>
  <c r="I14" i="17"/>
  <c r="M14" i="17" s="1"/>
  <c r="A14" i="17" s="1"/>
  <c r="AI13" i="17"/>
  <c r="I13" i="17"/>
  <c r="AI12" i="17"/>
  <c r="K12" i="17"/>
  <c r="I12" i="17"/>
  <c r="M12" i="17" s="1"/>
  <c r="A12" i="17" s="1"/>
  <c r="K11" i="17"/>
  <c r="I11" i="17"/>
  <c r="I10" i="17"/>
  <c r="K9" i="17"/>
  <c r="I9" i="17"/>
  <c r="M9" i="17" s="1"/>
  <c r="A9" i="17" s="1"/>
  <c r="K8" i="17"/>
  <c r="I8" i="17"/>
  <c r="K7" i="17"/>
  <c r="I7" i="17"/>
  <c r="K2" i="17"/>
  <c r="M39" i="20" l="1"/>
  <c r="M75" i="20"/>
  <c r="N75" i="20" s="1"/>
  <c r="A75" i="20" s="1"/>
  <c r="AI19" i="28"/>
  <c r="AI16" i="28"/>
  <c r="AI18" i="28"/>
  <c r="AI12" i="28"/>
  <c r="AI10" i="28"/>
  <c r="AI8" i="28"/>
  <c r="AI14" i="28"/>
  <c r="AI11" i="28"/>
  <c r="M45" i="20"/>
  <c r="N45" i="20" s="1"/>
  <c r="A45" i="20" s="1"/>
  <c r="M53" i="20"/>
  <c r="N53" i="20" s="1"/>
  <c r="A53" i="20" s="1"/>
  <c r="M61" i="20"/>
  <c r="N61" i="20" s="1"/>
  <c r="A61" i="20" s="1"/>
  <c r="AI15" i="28"/>
  <c r="AI23" i="28"/>
  <c r="O13" i="28"/>
  <c r="O15" i="13"/>
  <c r="O14" i="13"/>
  <c r="O15" i="28"/>
  <c r="O16" i="13"/>
  <c r="O16" i="28"/>
  <c r="AD13" i="28"/>
  <c r="AD15" i="28"/>
  <c r="AD17" i="28"/>
  <c r="M16" i="34"/>
  <c r="A16" i="34" s="1"/>
  <c r="L9" i="34"/>
  <c r="M9" i="34" s="1"/>
  <c r="A9" i="34" s="1"/>
  <c r="M12" i="34"/>
  <c r="A12" i="34" s="1"/>
  <c r="AC11" i="28"/>
  <c r="AC22" i="28"/>
  <c r="AC6" i="28"/>
  <c r="AC15" i="28"/>
  <c r="AC23" i="28"/>
  <c r="M22" i="34"/>
  <c r="A22" i="34" s="1"/>
  <c r="AC10" i="28"/>
  <c r="AC16" i="28"/>
  <c r="L6" i="34"/>
  <c r="M6" i="34" s="1"/>
  <c r="A6" i="34" s="1"/>
  <c r="M17" i="34"/>
  <c r="A17" i="34" s="1"/>
  <c r="AC14" i="28"/>
  <c r="AC17" i="28"/>
  <c r="AC12" i="28"/>
  <c r="AC18" i="28"/>
  <c r="M18" i="34"/>
  <c r="A18" i="34" s="1"/>
  <c r="AC7" i="28" s="1"/>
  <c r="M23" i="34"/>
  <c r="A23" i="34" s="1"/>
  <c r="AC9" i="28"/>
  <c r="AC19" i="28"/>
  <c r="M9" i="31"/>
  <c r="A9" i="31" s="1"/>
  <c r="M8" i="30"/>
  <c r="A8" i="30" s="1"/>
  <c r="M10" i="30"/>
  <c r="A10" i="30" s="1"/>
  <c r="M6" i="29"/>
  <c r="A6" i="29" s="1"/>
  <c r="M10" i="29"/>
  <c r="A10" i="29" s="1"/>
  <c r="J16" i="28"/>
  <c r="M11" i="29"/>
  <c r="A11" i="29" s="1"/>
  <c r="M24" i="23"/>
  <c r="A24" i="23" s="1"/>
  <c r="M32" i="23"/>
  <c r="A32" i="23" s="1"/>
  <c r="M23" i="23"/>
  <c r="A23" i="23" s="1"/>
  <c r="M25" i="23"/>
  <c r="A25" i="23" s="1"/>
  <c r="M21" i="23"/>
  <c r="A21" i="23" s="1"/>
  <c r="M31" i="23"/>
  <c r="A31" i="23" s="1"/>
  <c r="M9" i="18"/>
  <c r="A9" i="18" s="1"/>
  <c r="G11" i="28"/>
  <c r="H11" i="28" s="1"/>
  <c r="G16" i="28"/>
  <c r="H16" i="28" s="1"/>
  <c r="M10" i="18"/>
  <c r="A10" i="18" s="1"/>
  <c r="G17" i="28"/>
  <c r="H17" i="28" s="1"/>
  <c r="M10" i="17"/>
  <c r="M14" i="24"/>
  <c r="A14" i="24" s="1"/>
  <c r="M19" i="24"/>
  <c r="A19" i="24" s="1"/>
  <c r="M23" i="24"/>
  <c r="A23" i="24" s="1"/>
  <c r="M21" i="24"/>
  <c r="A21" i="24" s="1"/>
  <c r="M24" i="24"/>
  <c r="A24" i="24" s="1"/>
  <c r="M16" i="35"/>
  <c r="A16" i="35" s="1"/>
  <c r="AD16" i="28"/>
  <c r="L6" i="35"/>
  <c r="M15" i="35"/>
  <c r="A15" i="35" s="1"/>
  <c r="L8" i="35"/>
  <c r="M6" i="35"/>
  <c r="A6" i="35" s="1"/>
  <c r="AE11" i="28" s="1"/>
  <c r="M13" i="35"/>
  <c r="A13" i="35" s="1"/>
  <c r="M8" i="35"/>
  <c r="A8" i="35" s="1"/>
  <c r="M6" i="31"/>
  <c r="A6" i="31" s="1"/>
  <c r="M7" i="13"/>
  <c r="N7" i="13" s="1"/>
  <c r="N17" i="13"/>
  <c r="N20" i="13"/>
  <c r="N10" i="28"/>
  <c r="N13" i="13"/>
  <c r="N7" i="28"/>
  <c r="M9" i="30"/>
  <c r="L7" i="30"/>
  <c r="M7" i="30" s="1"/>
  <c r="M12" i="22"/>
  <c r="A12" i="22" s="1"/>
  <c r="M14" i="22"/>
  <c r="A14" i="22" s="1"/>
  <c r="M15" i="22"/>
  <c r="A15" i="22" s="1"/>
  <c r="M18" i="22"/>
  <c r="A18" i="22" s="1"/>
  <c r="M9" i="22"/>
  <c r="A9" i="22" s="1"/>
  <c r="I8" i="13"/>
  <c r="J8" i="13" s="1"/>
  <c r="J21" i="13"/>
  <c r="J9" i="28"/>
  <c r="J19" i="28"/>
  <c r="I14" i="13"/>
  <c r="J14" i="13" s="1"/>
  <c r="I11" i="28"/>
  <c r="J11" i="28" s="1"/>
  <c r="J22" i="28"/>
  <c r="J6" i="13"/>
  <c r="I11" i="13"/>
  <c r="J11" i="13" s="1"/>
  <c r="J14" i="28"/>
  <c r="I17" i="28"/>
  <c r="J17" i="28" s="1"/>
  <c r="J16" i="13"/>
  <c r="J13" i="13"/>
  <c r="J13" i="28"/>
  <c r="J20" i="28"/>
  <c r="J9" i="13"/>
  <c r="J17" i="13"/>
  <c r="J6" i="28"/>
  <c r="I15" i="28"/>
  <c r="J15" i="28" s="1"/>
  <c r="J23" i="28"/>
  <c r="M7" i="29"/>
  <c r="A7" i="29" s="1"/>
  <c r="J12" i="13"/>
  <c r="J18" i="13"/>
  <c r="J12" i="28"/>
  <c r="J18" i="28"/>
  <c r="J10" i="13"/>
  <c r="J19" i="13"/>
  <c r="I8" i="28"/>
  <c r="J21" i="28"/>
  <c r="J15" i="13"/>
  <c r="J20" i="13"/>
  <c r="J10" i="28"/>
  <c r="L8" i="23"/>
  <c r="M8" i="23" s="1"/>
  <c r="A8" i="23" s="1"/>
  <c r="M14" i="23"/>
  <c r="A14" i="23" s="1"/>
  <c r="T8" i="28"/>
  <c r="M19" i="23"/>
  <c r="A19" i="23" s="1"/>
  <c r="T11" i="28"/>
  <c r="M13" i="23"/>
  <c r="A13" i="23" s="1"/>
  <c r="M17" i="23"/>
  <c r="A17" i="23" s="1"/>
  <c r="M15" i="23"/>
  <c r="A15" i="23" s="1"/>
  <c r="M22" i="23"/>
  <c r="A22" i="23" s="1"/>
  <c r="H20" i="28"/>
  <c r="H12" i="28"/>
  <c r="H8" i="28"/>
  <c r="H18" i="28"/>
  <c r="H21" i="28"/>
  <c r="L7" i="35"/>
  <c r="M7" i="35" s="1"/>
  <c r="A7" i="35" s="1"/>
  <c r="L9" i="33"/>
  <c r="L8" i="33"/>
  <c r="L7" i="33"/>
  <c r="L7" i="22"/>
  <c r="M7" i="22" s="1"/>
  <c r="A7" i="22" s="1"/>
  <c r="M13" i="22"/>
  <c r="A13" i="22" s="1"/>
  <c r="L6" i="22"/>
  <c r="L8" i="22"/>
  <c r="M8" i="22" s="1"/>
  <c r="A8" i="22" s="1"/>
  <c r="M12" i="23"/>
  <c r="A12" i="23" s="1"/>
  <c r="L9" i="23"/>
  <c r="M9" i="23" s="1"/>
  <c r="A9" i="23" s="1"/>
  <c r="M15" i="24"/>
  <c r="A15" i="24" s="1"/>
  <c r="R8" i="28"/>
  <c r="L9" i="24"/>
  <c r="M9" i="24" s="1"/>
  <c r="A9" i="24" s="1"/>
  <c r="L8" i="31"/>
  <c r="M8" i="31" s="1"/>
  <c r="A8" i="31" s="1"/>
  <c r="L7" i="31"/>
  <c r="M7" i="31" s="1"/>
  <c r="A7" i="31" s="1"/>
  <c r="N19" i="13" s="1"/>
  <c r="L6" i="30"/>
  <c r="M6" i="30" s="1"/>
  <c r="L8" i="29"/>
  <c r="M8" i="29" s="1"/>
  <c r="A8" i="29" s="1"/>
  <c r="J7" i="13" s="1"/>
  <c r="L7" i="29"/>
  <c r="E16" i="28"/>
  <c r="E11" i="28"/>
  <c r="E7" i="28"/>
  <c r="F12" i="28"/>
  <c r="E15" i="28"/>
  <c r="E17" i="28"/>
  <c r="L6" i="20"/>
  <c r="L9" i="20"/>
  <c r="M9" i="20" s="1"/>
  <c r="N9" i="20" s="1"/>
  <c r="A9" i="20" s="1"/>
  <c r="L8" i="20"/>
  <c r="M8" i="20" s="1"/>
  <c r="N8" i="20" s="1"/>
  <c r="A8" i="20" s="1"/>
  <c r="M20" i="20"/>
  <c r="N20" i="20" s="1"/>
  <c r="A20" i="20" s="1"/>
  <c r="M21" i="20"/>
  <c r="N21" i="20" s="1"/>
  <c r="A21" i="20" s="1"/>
  <c r="M23" i="20"/>
  <c r="N23" i="20" s="1"/>
  <c r="A23" i="20" s="1"/>
  <c r="M30" i="20"/>
  <c r="N30" i="20" s="1"/>
  <c r="A30" i="20" s="1"/>
  <c r="N251" i="20"/>
  <c r="A251" i="20" s="1"/>
  <c r="M251" i="20"/>
  <c r="N255" i="20"/>
  <c r="A255" i="20" s="1"/>
  <c r="M255" i="20"/>
  <c r="M263" i="20"/>
  <c r="N263" i="20"/>
  <c r="A263" i="20" s="1"/>
  <c r="N264" i="20"/>
  <c r="A264" i="20" s="1"/>
  <c r="M264" i="20"/>
  <c r="M271" i="20"/>
  <c r="N271" i="20"/>
  <c r="A271" i="20" s="1"/>
  <c r="N276" i="20"/>
  <c r="A276" i="20" s="1"/>
  <c r="M276" i="20"/>
  <c r="N279" i="20"/>
  <c r="A279" i="20" s="1"/>
  <c r="M279" i="20"/>
  <c r="N283" i="20"/>
  <c r="A283" i="20" s="1"/>
  <c r="M283" i="20"/>
  <c r="N284" i="20"/>
  <c r="A284" i="20" s="1"/>
  <c r="M284" i="20"/>
  <c r="M299" i="20"/>
  <c r="N299" i="20"/>
  <c r="A299" i="20" s="1"/>
  <c r="M43" i="20"/>
  <c r="N43" i="20" s="1"/>
  <c r="A43" i="20" s="1"/>
  <c r="M44" i="20"/>
  <c r="N44" i="20" s="1"/>
  <c r="A44" i="20" s="1"/>
  <c r="M50" i="20"/>
  <c r="M54" i="20"/>
  <c r="N54" i="20" s="1"/>
  <c r="A54" i="20" s="1"/>
  <c r="M60" i="20"/>
  <c r="N60" i="20" s="1"/>
  <c r="A60" i="20" s="1"/>
  <c r="M68" i="20"/>
  <c r="N68" i="20" s="1"/>
  <c r="A68" i="20" s="1"/>
  <c r="M69" i="20"/>
  <c r="N69" i="20" s="1"/>
  <c r="A69" i="20" s="1"/>
  <c r="M70" i="20"/>
  <c r="N70" i="20" s="1"/>
  <c r="A70" i="20" s="1"/>
  <c r="M74" i="20"/>
  <c r="N74" i="20" s="1"/>
  <c r="A74" i="20" s="1"/>
  <c r="M77" i="20"/>
  <c r="N77" i="20" s="1"/>
  <c r="A77" i="20" s="1"/>
  <c r="M86" i="20"/>
  <c r="N86" i="20" s="1"/>
  <c r="A86" i="20" s="1"/>
  <c r="M88" i="20"/>
  <c r="N88" i="20" s="1"/>
  <c r="A88" i="20" s="1"/>
  <c r="M94" i="20"/>
  <c r="N94" i="20" s="1"/>
  <c r="A94" i="20" s="1"/>
  <c r="M102" i="20"/>
  <c r="N102" i="20" s="1"/>
  <c r="A102" i="20" s="1"/>
  <c r="M104" i="20"/>
  <c r="N104" i="20" s="1"/>
  <c r="A104" i="20" s="1"/>
  <c r="M110" i="20"/>
  <c r="N110" i="20" s="1"/>
  <c r="A110" i="20" s="1"/>
  <c r="M111" i="20"/>
  <c r="N111" i="20"/>
  <c r="A111" i="20" s="1"/>
  <c r="M118" i="20"/>
  <c r="N118" i="20" s="1"/>
  <c r="A118" i="20" s="1"/>
  <c r="M128" i="20"/>
  <c r="N128" i="20" s="1"/>
  <c r="A128" i="20" s="1"/>
  <c r="M133" i="20"/>
  <c r="M150" i="20"/>
  <c r="N150" i="20" s="1"/>
  <c r="A150" i="20" s="1"/>
  <c r="M157" i="20"/>
  <c r="M159" i="20"/>
  <c r="N159" i="20" s="1"/>
  <c r="A159" i="20" s="1"/>
  <c r="M161" i="20"/>
  <c r="N161" i="20"/>
  <c r="A161" i="20" s="1"/>
  <c r="M165" i="20"/>
  <c r="M166" i="20"/>
  <c r="N166" i="20" s="1"/>
  <c r="A166" i="20" s="1"/>
  <c r="M167" i="20"/>
  <c r="N167" i="20" s="1"/>
  <c r="A167" i="20" s="1"/>
  <c r="N174" i="20"/>
  <c r="A174" i="20" s="1"/>
  <c r="M174" i="20"/>
  <c r="M175" i="20"/>
  <c r="N175" i="20"/>
  <c r="A175" i="20" s="1"/>
  <c r="N183" i="20"/>
  <c r="A183" i="20" s="1"/>
  <c r="M183" i="20"/>
  <c r="M198" i="20"/>
  <c r="N198" i="20" s="1"/>
  <c r="A198" i="20" s="1"/>
  <c r="N200" i="20"/>
  <c r="A200" i="20" s="1"/>
  <c r="M200" i="20"/>
  <c r="M206" i="20"/>
  <c r="N206" i="20" s="1"/>
  <c r="A206" i="20" s="1"/>
  <c r="M207" i="20"/>
  <c r="N207" i="20" s="1"/>
  <c r="A207" i="20" s="1"/>
  <c r="M215" i="20"/>
  <c r="N215" i="20" s="1"/>
  <c r="A215" i="20" s="1"/>
  <c r="M217" i="20"/>
  <c r="N217" i="20"/>
  <c r="A217" i="20" s="1"/>
  <c r="M221" i="20"/>
  <c r="M223" i="20"/>
  <c r="N223" i="20" s="1"/>
  <c r="A223" i="20" s="1"/>
  <c r="M229" i="20"/>
  <c r="N230" i="20"/>
  <c r="A230" i="20" s="1"/>
  <c r="M230" i="20"/>
  <c r="M231" i="20"/>
  <c r="N231" i="20" s="1"/>
  <c r="A231" i="20" s="1"/>
  <c r="M232" i="20"/>
  <c r="N232" i="20" s="1"/>
  <c r="A232" i="20" s="1"/>
  <c r="M246" i="20"/>
  <c r="N246" i="20" s="1"/>
  <c r="A246" i="20" s="1"/>
  <c r="T15" i="28"/>
  <c r="T17" i="28"/>
  <c r="S22" i="28"/>
  <c r="R17" i="28"/>
  <c r="M87" i="20"/>
  <c r="N87" i="20" s="1"/>
  <c r="A87" i="20" s="1"/>
  <c r="M224" i="20"/>
  <c r="N224" i="20" s="1"/>
  <c r="A224" i="20" s="1"/>
  <c r="M168" i="20"/>
  <c r="N168" i="20" s="1"/>
  <c r="A168" i="20" s="1"/>
  <c r="M222" i="20"/>
  <c r="N222" i="20" s="1"/>
  <c r="A222" i="20" s="1"/>
  <c r="M71" i="20"/>
  <c r="M134" i="20"/>
  <c r="N134" i="20" s="1"/>
  <c r="A134" i="20" s="1"/>
  <c r="M114" i="20"/>
  <c r="M67" i="20"/>
  <c r="N67" i="20" s="1"/>
  <c r="A67" i="20" s="1"/>
  <c r="M76" i="20"/>
  <c r="N76" i="20" s="1"/>
  <c r="A76" i="20" s="1"/>
  <c r="M112" i="20"/>
  <c r="N112" i="20" s="1"/>
  <c r="M117" i="20"/>
  <c r="N153" i="20"/>
  <c r="A153" i="20" s="1"/>
  <c r="M160" i="20"/>
  <c r="N160" i="20" s="1"/>
  <c r="A160" i="20" s="1"/>
  <c r="M184" i="20"/>
  <c r="N184" i="20" s="1"/>
  <c r="A184" i="20" s="1"/>
  <c r="M214" i="20"/>
  <c r="N214" i="20" s="1"/>
  <c r="A214" i="20" s="1"/>
  <c r="N233" i="20"/>
  <c r="A233" i="20" s="1"/>
  <c r="M239" i="20"/>
  <c r="M247" i="20"/>
  <c r="M125" i="20"/>
  <c r="M240" i="20"/>
  <c r="N240" i="20" s="1"/>
  <c r="A240" i="20" s="1"/>
  <c r="M82" i="20"/>
  <c r="N82" i="20" s="1"/>
  <c r="A82" i="20" s="1"/>
  <c r="M96" i="20"/>
  <c r="N96" i="20" s="1"/>
  <c r="A96" i="20" s="1"/>
  <c r="M192" i="20"/>
  <c r="M176" i="20"/>
  <c r="N176" i="20" s="1"/>
  <c r="A176" i="20" s="1"/>
  <c r="M37" i="20"/>
  <c r="N37" i="20" s="1"/>
  <c r="A37" i="20" s="1"/>
  <c r="N39" i="20"/>
  <c r="A39" i="20" s="1"/>
  <c r="M52" i="20"/>
  <c r="N52" i="20" s="1"/>
  <c r="A52" i="20" s="1"/>
  <c r="M63" i="20"/>
  <c r="M126" i="20"/>
  <c r="N126" i="20" s="1"/>
  <c r="A126" i="20" s="1"/>
  <c r="M158" i="20"/>
  <c r="N158" i="20" s="1"/>
  <c r="A158" i="20" s="1"/>
  <c r="N225" i="20"/>
  <c r="A225" i="20" s="1"/>
  <c r="M55" i="20"/>
  <c r="N55" i="20" s="1"/>
  <c r="A55" i="20" s="1"/>
  <c r="M46" i="20"/>
  <c r="N46" i="20" s="1"/>
  <c r="A46" i="20" s="1"/>
  <c r="M84" i="20"/>
  <c r="N84" i="20" s="1"/>
  <c r="A84" i="20" s="1"/>
  <c r="M144" i="20"/>
  <c r="N144" i="20" s="1"/>
  <c r="A144" i="20" s="1"/>
  <c r="M190" i="20"/>
  <c r="N190" i="20" s="1"/>
  <c r="A190" i="20" s="1"/>
  <c r="M248" i="20"/>
  <c r="N248" i="20" s="1"/>
  <c r="A248" i="20" s="1"/>
  <c r="M98" i="20"/>
  <c r="N89" i="20"/>
  <c r="A89" i="20" s="1"/>
  <c r="AI13" i="28" s="1"/>
  <c r="M101" i="20"/>
  <c r="M79" i="20"/>
  <c r="N169" i="20"/>
  <c r="A169" i="20" s="1"/>
  <c r="M47" i="20"/>
  <c r="N47" i="20" s="1"/>
  <c r="A47" i="20" s="1"/>
  <c r="M66" i="20"/>
  <c r="N66" i="20" s="1"/>
  <c r="A66" i="20" s="1"/>
  <c r="M64" i="20"/>
  <c r="N64" i="20" s="1"/>
  <c r="A64" i="20" s="1"/>
  <c r="N151" i="20"/>
  <c r="A151" i="20" s="1"/>
  <c r="M59" i="20"/>
  <c r="N59" i="20" s="1"/>
  <c r="A59" i="20" s="1"/>
  <c r="M93" i="20"/>
  <c r="M100" i="20"/>
  <c r="N100" i="20" s="1"/>
  <c r="A100" i="20" s="1"/>
  <c r="M115" i="20"/>
  <c r="N115" i="20"/>
  <c r="A115" i="20" s="1"/>
  <c r="N141" i="20"/>
  <c r="A141" i="20" s="1"/>
  <c r="N154" i="20"/>
  <c r="A154" i="20" s="1"/>
  <c r="M154" i="20"/>
  <c r="M171" i="20"/>
  <c r="N171" i="20" s="1"/>
  <c r="A171" i="20" s="1"/>
  <c r="M187" i="20"/>
  <c r="N187" i="20" s="1"/>
  <c r="A187" i="20" s="1"/>
  <c r="M212" i="20"/>
  <c r="N212" i="20" s="1"/>
  <c r="A212" i="20" s="1"/>
  <c r="N227" i="20"/>
  <c r="A227" i="20" s="1"/>
  <c r="M227" i="20"/>
  <c r="M40" i="20"/>
  <c r="N40" i="20" s="1"/>
  <c r="A40" i="20" s="1"/>
  <c r="M73" i="20"/>
  <c r="N73" i="20" s="1"/>
  <c r="A73" i="20" s="1"/>
  <c r="M124" i="20"/>
  <c r="N124" i="20" s="1"/>
  <c r="A124" i="20" s="1"/>
  <c r="M129" i="20"/>
  <c r="N129" i="20" s="1"/>
  <c r="A129" i="20" s="1"/>
  <c r="M148" i="20"/>
  <c r="N148" i="20" s="1"/>
  <c r="A148" i="20" s="1"/>
  <c r="M151" i="20"/>
  <c r="M164" i="20"/>
  <c r="N164" i="20" s="1"/>
  <c r="A164" i="20" s="1"/>
  <c r="N237" i="20"/>
  <c r="A237" i="20" s="1"/>
  <c r="M49" i="20"/>
  <c r="N49" i="20" s="1"/>
  <c r="A49" i="20" s="1"/>
  <c r="N71" i="20"/>
  <c r="A71" i="20" s="1"/>
  <c r="M80" i="20"/>
  <c r="N80" i="20" s="1"/>
  <c r="A80" i="20" s="1"/>
  <c r="M85" i="20"/>
  <c r="N85" i="20" s="1"/>
  <c r="A85" i="20" s="1"/>
  <c r="M107" i="20"/>
  <c r="N107" i="20" s="1"/>
  <c r="A107" i="20" s="1"/>
  <c r="M122" i="20"/>
  <c r="N122" i="20" s="1"/>
  <c r="A122" i="20" s="1"/>
  <c r="N139" i="20"/>
  <c r="A139" i="20" s="1"/>
  <c r="M194" i="20"/>
  <c r="N194" i="20" s="1"/>
  <c r="A194" i="20" s="1"/>
  <c r="M210" i="20"/>
  <c r="N210" i="20" s="1"/>
  <c r="A210" i="20" s="1"/>
  <c r="N235" i="20"/>
  <c r="A235" i="20" s="1"/>
  <c r="M235" i="20"/>
  <c r="M249" i="20"/>
  <c r="N249" i="20" s="1"/>
  <c r="A249" i="20" s="1"/>
  <c r="M56" i="20"/>
  <c r="N56" i="20" s="1"/>
  <c r="A56" i="20" s="1"/>
  <c r="M92" i="20"/>
  <c r="N92" i="20" s="1"/>
  <c r="A92" i="20" s="1"/>
  <c r="M119" i="20"/>
  <c r="N119" i="20" s="1"/>
  <c r="A119" i="20" s="1"/>
  <c r="N127" i="20"/>
  <c r="A127" i="20" s="1"/>
  <c r="M131" i="20"/>
  <c r="N131" i="20"/>
  <c r="A131" i="20" s="1"/>
  <c r="M141" i="20"/>
  <c r="M162" i="20"/>
  <c r="N162" i="20" s="1"/>
  <c r="A162" i="20" s="1"/>
  <c r="M220" i="20"/>
  <c r="N220" i="20" s="1"/>
  <c r="A220" i="20" s="1"/>
  <c r="M228" i="20"/>
  <c r="N228" i="20" s="1"/>
  <c r="A228" i="20" s="1"/>
  <c r="M42" i="20"/>
  <c r="N42" i="20" s="1"/>
  <c r="A42" i="20" s="1"/>
  <c r="M65" i="20"/>
  <c r="N65" i="20" s="1"/>
  <c r="A65" i="20" s="1"/>
  <c r="M90" i="20"/>
  <c r="N90" i="20" s="1"/>
  <c r="A90" i="20" s="1"/>
  <c r="N140" i="20"/>
  <c r="A140" i="20" s="1"/>
  <c r="M140" i="20"/>
  <c r="M145" i="20"/>
  <c r="N145" i="20" s="1"/>
  <c r="A145" i="20" s="1"/>
  <c r="N181" i="20"/>
  <c r="A181" i="20" s="1"/>
  <c r="M181" i="20"/>
  <c r="M237" i="20"/>
  <c r="M41" i="20"/>
  <c r="N41" i="20" s="1"/>
  <c r="A41" i="20" s="1"/>
  <c r="N63" i="20"/>
  <c r="A63" i="20" s="1"/>
  <c r="M72" i="20"/>
  <c r="N72" i="20" s="1"/>
  <c r="A72" i="20" s="1"/>
  <c r="N95" i="20"/>
  <c r="A95" i="20" s="1"/>
  <c r="M99" i="20"/>
  <c r="N99" i="20"/>
  <c r="A99" i="20" s="1"/>
  <c r="M109" i="20"/>
  <c r="N109" i="20" s="1"/>
  <c r="A109" i="20" s="1"/>
  <c r="M123" i="20"/>
  <c r="N123" i="20" s="1"/>
  <c r="A123" i="20" s="1"/>
  <c r="N125" i="20"/>
  <c r="A125" i="20" s="1"/>
  <c r="M138" i="20"/>
  <c r="N138" i="20" s="1"/>
  <c r="A138" i="20" s="1"/>
  <c r="N179" i="20"/>
  <c r="A179" i="20" s="1"/>
  <c r="M179" i="20"/>
  <c r="M197" i="20"/>
  <c r="N197" i="20" s="1"/>
  <c r="A197" i="20" s="1"/>
  <c r="N204" i="20"/>
  <c r="A204" i="20" s="1"/>
  <c r="M204" i="20"/>
  <c r="M218" i="20"/>
  <c r="N218" i="20" s="1"/>
  <c r="A218" i="20" s="1"/>
  <c r="N116" i="20"/>
  <c r="A116" i="20" s="1"/>
  <c r="M116" i="20"/>
  <c r="M48" i="20"/>
  <c r="N48" i="20" s="1"/>
  <c r="A48" i="20" s="1"/>
  <c r="N50" i="20"/>
  <c r="A50" i="20" s="1"/>
  <c r="AI7" i="28" s="1"/>
  <c r="M51" i="20"/>
  <c r="N51" i="20" s="1"/>
  <c r="A51" i="20" s="1"/>
  <c r="M58" i="20"/>
  <c r="N58" i="20" s="1"/>
  <c r="A58" i="20" s="1"/>
  <c r="M81" i="20"/>
  <c r="N81" i="20" s="1"/>
  <c r="A81" i="20" s="1"/>
  <c r="M108" i="20"/>
  <c r="N108" i="20" s="1"/>
  <c r="A108" i="20" s="1"/>
  <c r="M113" i="20"/>
  <c r="N113" i="20" s="1"/>
  <c r="A113" i="20" s="1"/>
  <c r="N132" i="20"/>
  <c r="A132" i="20" s="1"/>
  <c r="M132" i="20"/>
  <c r="M135" i="20"/>
  <c r="N135" i="20" s="1"/>
  <c r="A135" i="20" s="1"/>
  <c r="N143" i="20"/>
  <c r="A143" i="20" s="1"/>
  <c r="M147" i="20"/>
  <c r="N147" i="20" s="1"/>
  <c r="A147" i="20" s="1"/>
  <c r="M156" i="20"/>
  <c r="N156" i="20" s="1"/>
  <c r="A156" i="20" s="1"/>
  <c r="N163" i="20"/>
  <c r="A163" i="20" s="1"/>
  <c r="M163" i="20"/>
  <c r="M202" i="20"/>
  <c r="N202" i="20" s="1"/>
  <c r="A202" i="20" s="1"/>
  <c r="M245" i="20"/>
  <c r="N245" i="20" s="1"/>
  <c r="A245" i="20" s="1"/>
  <c r="M57" i="20"/>
  <c r="N57" i="20" s="1"/>
  <c r="A57" i="20" s="1"/>
  <c r="N79" i="20"/>
  <c r="A79" i="20" s="1"/>
  <c r="M91" i="20"/>
  <c r="N91" i="20" s="1"/>
  <c r="A91" i="20" s="1"/>
  <c r="N93" i="20"/>
  <c r="A93" i="20" s="1"/>
  <c r="M106" i="20"/>
  <c r="N106" i="20" s="1"/>
  <c r="A106" i="20" s="1"/>
  <c r="N173" i="20"/>
  <c r="A173" i="20" s="1"/>
  <c r="M189" i="20"/>
  <c r="N189" i="20" s="1"/>
  <c r="A189" i="20" s="1"/>
  <c r="N243" i="20"/>
  <c r="A243" i="20" s="1"/>
  <c r="M243" i="20"/>
  <c r="N101" i="20"/>
  <c r="A101" i="20" s="1"/>
  <c r="M105" i="20"/>
  <c r="N105" i="20" s="1"/>
  <c r="A105" i="20" s="1"/>
  <c r="N117" i="20"/>
  <c r="A117" i="20" s="1"/>
  <c r="M121" i="20"/>
  <c r="N121" i="20" s="1"/>
  <c r="A121" i="20" s="1"/>
  <c r="N133" i="20"/>
  <c r="A133" i="20" s="1"/>
  <c r="M137" i="20"/>
  <c r="N137" i="20" s="1"/>
  <c r="A137" i="20" s="1"/>
  <c r="N149" i="20"/>
  <c r="A149" i="20" s="1"/>
  <c r="M170" i="20"/>
  <c r="N170" i="20" s="1"/>
  <c r="A170" i="20" s="1"/>
  <c r="N180" i="20"/>
  <c r="A180" i="20" s="1"/>
  <c r="M180" i="20"/>
  <c r="M203" i="20"/>
  <c r="N203" i="20" s="1"/>
  <c r="A203" i="20" s="1"/>
  <c r="N213" i="20"/>
  <c r="A213" i="20" s="1"/>
  <c r="M234" i="20"/>
  <c r="N234" i="20" s="1"/>
  <c r="A234" i="20" s="1"/>
  <c r="N244" i="20"/>
  <c r="A244" i="20" s="1"/>
  <c r="M244" i="20"/>
  <c r="N157" i="20"/>
  <c r="A157" i="20" s="1"/>
  <c r="M178" i="20"/>
  <c r="N178" i="20" s="1"/>
  <c r="A178" i="20" s="1"/>
  <c r="N188" i="20"/>
  <c r="A188" i="20" s="1"/>
  <c r="M188" i="20"/>
  <c r="M211" i="20"/>
  <c r="N211" i="20" s="1"/>
  <c r="A211" i="20" s="1"/>
  <c r="N221" i="20"/>
  <c r="A221" i="20" s="1"/>
  <c r="M242" i="20"/>
  <c r="N242" i="20" s="1"/>
  <c r="A242" i="20" s="1"/>
  <c r="M250" i="20"/>
  <c r="N250" i="20" s="1"/>
  <c r="A250" i="20" s="1"/>
  <c r="M172" i="20"/>
  <c r="N172" i="20" s="1"/>
  <c r="A172" i="20" s="1"/>
  <c r="N195" i="20"/>
  <c r="A195" i="20" s="1"/>
  <c r="M195" i="20"/>
  <c r="M226" i="20"/>
  <c r="N226" i="20" s="1"/>
  <c r="A226" i="20" s="1"/>
  <c r="N236" i="20"/>
  <c r="A236" i="20" s="1"/>
  <c r="M236" i="20"/>
  <c r="M83" i="20"/>
  <c r="N83" i="20" s="1"/>
  <c r="A83" i="20" s="1"/>
  <c r="N98" i="20"/>
  <c r="A98" i="20" s="1"/>
  <c r="N114" i="20"/>
  <c r="A114" i="20" s="1"/>
  <c r="N130" i="20"/>
  <c r="A130" i="20" s="1"/>
  <c r="N146" i="20"/>
  <c r="A146" i="20" s="1"/>
  <c r="M155" i="20"/>
  <c r="N155" i="20" s="1"/>
  <c r="A155" i="20" s="1"/>
  <c r="N165" i="20"/>
  <c r="A165" i="20" s="1"/>
  <c r="M186" i="20"/>
  <c r="N186" i="20" s="1"/>
  <c r="A186" i="20" s="1"/>
  <c r="M196" i="20"/>
  <c r="N196" i="20" s="1"/>
  <c r="A196" i="20" s="1"/>
  <c r="M205" i="20"/>
  <c r="N205" i="20" s="1"/>
  <c r="A205" i="20" s="1"/>
  <c r="M219" i="20"/>
  <c r="N219" i="20" s="1"/>
  <c r="A219" i="20" s="1"/>
  <c r="N229" i="20"/>
  <c r="A229" i="20" s="1"/>
  <c r="N266" i="20"/>
  <c r="A266" i="20" s="1"/>
  <c r="M266" i="20"/>
  <c r="N270" i="20"/>
  <c r="A270" i="20" s="1"/>
  <c r="M270" i="20"/>
  <c r="M22" i="20"/>
  <c r="N22" i="20" s="1"/>
  <c r="A22" i="20" s="1"/>
  <c r="M10" i="20"/>
  <c r="N10" i="20" s="1"/>
  <c r="A10" i="20" s="1"/>
  <c r="M29" i="20"/>
  <c r="N29" i="20" s="1"/>
  <c r="A29" i="20" s="1"/>
  <c r="N267" i="20"/>
  <c r="A267" i="20" s="1"/>
  <c r="M267" i="20"/>
  <c r="N298" i="20"/>
  <c r="A298" i="20" s="1"/>
  <c r="M298" i="20"/>
  <c r="N280" i="20"/>
  <c r="A280" i="20" s="1"/>
  <c r="M280" i="20"/>
  <c r="M292" i="20"/>
  <c r="M295" i="20"/>
  <c r="M14" i="20"/>
  <c r="N14" i="20" s="1"/>
  <c r="A14" i="20" s="1"/>
  <c r="N275" i="20"/>
  <c r="A275" i="20" s="1"/>
  <c r="M275" i="20"/>
  <c r="L7" i="20"/>
  <c r="M7" i="20" s="1"/>
  <c r="N7" i="20" s="1"/>
  <c r="A7" i="20" s="1"/>
  <c r="M11" i="20"/>
  <c r="N11" i="20" s="1"/>
  <c r="A11" i="20" s="1"/>
  <c r="M32" i="20"/>
  <c r="N32" i="20" s="1"/>
  <c r="A32" i="20" s="1"/>
  <c r="N256" i="20"/>
  <c r="A256" i="20" s="1"/>
  <c r="M256" i="20"/>
  <c r="M259" i="20"/>
  <c r="N272" i="20"/>
  <c r="A272" i="20" s="1"/>
  <c r="M272" i="20"/>
  <c r="M6" i="20"/>
  <c r="N6" i="20" s="1"/>
  <c r="A6" i="20" s="1"/>
  <c r="M28" i="20"/>
  <c r="N28" i="20" s="1"/>
  <c r="A28" i="20" s="1"/>
  <c r="N254" i="20"/>
  <c r="A254" i="20" s="1"/>
  <c r="M254" i="20"/>
  <c r="N282" i="20"/>
  <c r="A282" i="20" s="1"/>
  <c r="M282" i="20"/>
  <c r="N287" i="20"/>
  <c r="A287" i="20" s="1"/>
  <c r="N300" i="20"/>
  <c r="A300" i="20" s="1"/>
  <c r="M300" i="20"/>
  <c r="N303" i="20"/>
  <c r="A303" i="20" s="1"/>
  <c r="M15" i="20"/>
  <c r="N15" i="20" s="1"/>
  <c r="A15" i="20" s="1"/>
  <c r="N252" i="20"/>
  <c r="A252" i="20" s="1"/>
  <c r="M252" i="20"/>
  <c r="M12" i="20"/>
  <c r="M260" i="20"/>
  <c r="M288" i="20"/>
  <c r="M304" i="20"/>
  <c r="M31" i="20"/>
  <c r="N31" i="20" s="1"/>
  <c r="A31" i="20" s="1"/>
  <c r="N268" i="20"/>
  <c r="A268" i="20" s="1"/>
  <c r="M268" i="20"/>
  <c r="M286" i="20"/>
  <c r="M291" i="20"/>
  <c r="N296" i="20"/>
  <c r="A296" i="20" s="1"/>
  <c r="M302" i="20"/>
  <c r="M13" i="20"/>
  <c r="M24" i="20"/>
  <c r="N24" i="20" s="1"/>
  <c r="A24" i="20" s="1"/>
  <c r="S18" i="28"/>
  <c r="S21" i="28"/>
  <c r="M12" i="24"/>
  <c r="A12" i="24" s="1"/>
  <c r="S14" i="28"/>
  <c r="M16" i="24"/>
  <c r="A16" i="24" s="1"/>
  <c r="R11" i="28"/>
  <c r="S11" i="28" s="1"/>
  <c r="S19" i="28"/>
  <c r="M8" i="24"/>
  <c r="A8" i="24" s="1"/>
  <c r="S12" i="28"/>
  <c r="R15" i="28"/>
  <c r="S15" i="28" s="1"/>
  <c r="L7" i="24"/>
  <c r="M7" i="24" s="1"/>
  <c r="A7" i="24" s="1"/>
  <c r="L6" i="24"/>
  <c r="M6" i="24" s="1"/>
  <c r="A6" i="24" s="1"/>
  <c r="S7" i="28" s="1"/>
  <c r="S6" i="28"/>
  <c r="R16" i="28"/>
  <c r="S16" i="28" s="1"/>
  <c r="M11" i="24"/>
  <c r="A11" i="24" s="1"/>
  <c r="S13" i="28"/>
  <c r="S20" i="28"/>
  <c r="AI16" i="24"/>
  <c r="M10" i="24"/>
  <c r="A10" i="24" s="1"/>
  <c r="M20" i="24"/>
  <c r="A20" i="24" s="1"/>
  <c r="M6" i="23"/>
  <c r="A6" i="23" s="1"/>
  <c r="U6" i="28" s="1"/>
  <c r="AI16" i="23"/>
  <c r="M7" i="23"/>
  <c r="A7" i="23" s="1"/>
  <c r="M11" i="23"/>
  <c r="A11" i="23" s="1"/>
  <c r="M10" i="23"/>
  <c r="A10" i="23" s="1"/>
  <c r="AI16" i="22"/>
  <c r="M17" i="22"/>
  <c r="A17" i="22" s="1"/>
  <c r="M6" i="22"/>
  <c r="A6" i="22" s="1"/>
  <c r="M10" i="22"/>
  <c r="A10" i="22" s="1"/>
  <c r="M11" i="22"/>
  <c r="A11" i="22" s="1"/>
  <c r="M16" i="22"/>
  <c r="A16" i="22" s="1"/>
  <c r="N258" i="20"/>
  <c r="A258" i="20" s="1"/>
  <c r="M258" i="20"/>
  <c r="M17" i="20"/>
  <c r="N17" i="20" s="1"/>
  <c r="A17" i="20" s="1"/>
  <c r="N274" i="20"/>
  <c r="A274" i="20" s="1"/>
  <c r="M274" i="20"/>
  <c r="M35" i="20"/>
  <c r="N35" i="20"/>
  <c r="A35" i="20" s="1"/>
  <c r="N13" i="20"/>
  <c r="A13" i="20" s="1"/>
  <c r="M33" i="20"/>
  <c r="N33" i="20" s="1"/>
  <c r="A33" i="20" s="1"/>
  <c r="N294" i="20"/>
  <c r="A294" i="20" s="1"/>
  <c r="M294" i="20"/>
  <c r="M34" i="20"/>
  <c r="N34" i="20" s="1"/>
  <c r="A34" i="20" s="1"/>
  <c r="N278" i="20"/>
  <c r="A278" i="20" s="1"/>
  <c r="M278" i="20"/>
  <c r="M25" i="20"/>
  <c r="N25" i="20" s="1"/>
  <c r="A25" i="20" s="1"/>
  <c r="N12" i="20"/>
  <c r="A12" i="20" s="1"/>
  <c r="M16" i="20"/>
  <c r="N16" i="20" s="1"/>
  <c r="A16" i="20" s="1"/>
  <c r="N290" i="20"/>
  <c r="A290" i="20" s="1"/>
  <c r="M290" i="20"/>
  <c r="M26" i="20"/>
  <c r="N26" i="20" s="1"/>
  <c r="A26" i="20" s="1"/>
  <c r="M19" i="20"/>
  <c r="N19" i="20" s="1"/>
  <c r="A19" i="20" s="1"/>
  <c r="M27" i="20"/>
  <c r="N27" i="20" s="1"/>
  <c r="A27" i="20" s="1"/>
  <c r="M36" i="20"/>
  <c r="N36" i="20" s="1"/>
  <c r="A36" i="20" s="1"/>
  <c r="M18" i="20"/>
  <c r="N18" i="20" s="1"/>
  <c r="A18" i="20" s="1"/>
  <c r="N262" i="20"/>
  <c r="A262" i="20" s="1"/>
  <c r="M262" i="20"/>
  <c r="N277" i="20"/>
  <c r="A277" i="20" s="1"/>
  <c r="M277" i="20"/>
  <c r="N281" i="20"/>
  <c r="A281" i="20" s="1"/>
  <c r="M281" i="20"/>
  <c r="N293" i="20"/>
  <c r="A293" i="20" s="1"/>
  <c r="M293" i="20"/>
  <c r="N297" i="20"/>
  <c r="A297" i="20" s="1"/>
  <c r="M297" i="20"/>
  <c r="N253" i="20"/>
  <c r="A253" i="20" s="1"/>
  <c r="M253" i="20"/>
  <c r="N261" i="20"/>
  <c r="A261" i="20" s="1"/>
  <c r="M261" i="20"/>
  <c r="N265" i="20"/>
  <c r="A265" i="20" s="1"/>
  <c r="M265" i="20"/>
  <c r="N269" i="20"/>
  <c r="A269" i="20" s="1"/>
  <c r="M269" i="20"/>
  <c r="N285" i="20"/>
  <c r="A285" i="20" s="1"/>
  <c r="M285" i="20"/>
  <c r="N301" i="20"/>
  <c r="A301" i="20" s="1"/>
  <c r="M301" i="20"/>
  <c r="N257" i="20"/>
  <c r="A257" i="20" s="1"/>
  <c r="M257" i="20"/>
  <c r="N273" i="20"/>
  <c r="A273" i="20" s="1"/>
  <c r="M273" i="20"/>
  <c r="N289" i="20"/>
  <c r="A289" i="20" s="1"/>
  <c r="M289" i="20"/>
  <c r="N305" i="20"/>
  <c r="A305" i="20" s="1"/>
  <c r="M305" i="20"/>
  <c r="G7" i="13"/>
  <c r="G12" i="13"/>
  <c r="G9" i="13"/>
  <c r="G16" i="13"/>
  <c r="G8" i="13"/>
  <c r="G14" i="13"/>
  <c r="G11" i="13"/>
  <c r="M11" i="17"/>
  <c r="A11" i="17" s="1"/>
  <c r="M13" i="17"/>
  <c r="A13" i="17" s="1"/>
  <c r="AI16" i="17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M9" i="19"/>
  <c r="N9" i="19" s="1"/>
  <c r="A9" i="19" s="1"/>
  <c r="N10" i="19"/>
  <c r="A10" i="19" s="1"/>
  <c r="M10" i="19"/>
  <c r="N11" i="19"/>
  <c r="A11" i="19" s="1"/>
  <c r="M11" i="19"/>
  <c r="N12" i="19"/>
  <c r="A12" i="19" s="1"/>
  <c r="M12" i="19"/>
  <c r="N13" i="19"/>
  <c r="M13" i="19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A60" i="19" s="1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A76" i="19" s="1"/>
  <c r="M76" i="19"/>
  <c r="N77" i="19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M82" i="19"/>
  <c r="N83" i="19"/>
  <c r="A83" i="19" s="1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A88" i="19" s="1"/>
  <c r="M88" i="19"/>
  <c r="N89" i="19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M101" i="19"/>
  <c r="N102" i="19"/>
  <c r="A102" i="19" s="1"/>
  <c r="M102" i="19"/>
  <c r="N103" i="19"/>
  <c r="A103" i="19" s="1"/>
  <c r="M103" i="19"/>
  <c r="N104" i="19"/>
  <c r="M104" i="19"/>
  <c r="N105" i="19"/>
  <c r="A105" i="19" s="1"/>
  <c r="M105" i="19"/>
  <c r="N106" i="19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A112" i="19" s="1"/>
  <c r="M112" i="19"/>
  <c r="N113" i="19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A144" i="19" s="1"/>
  <c r="M144" i="19"/>
  <c r="N145" i="19"/>
  <c r="A145" i="19" s="1"/>
  <c r="M145" i="19"/>
  <c r="N146" i="19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A224" i="19" s="1"/>
  <c r="M224" i="19"/>
  <c r="N225" i="19"/>
  <c r="M225" i="19"/>
  <c r="N226" i="19"/>
  <c r="A226" i="19" s="1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A236" i="19" s="1"/>
  <c r="M236" i="19"/>
  <c r="N237" i="19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E6" i="13"/>
  <c r="E12" i="13"/>
  <c r="F12" i="13" s="1"/>
  <c r="E9" i="13"/>
  <c r="E16" i="13"/>
  <c r="E8" i="13"/>
  <c r="E14" i="13"/>
  <c r="E11" i="13"/>
  <c r="A19" i="18"/>
  <c r="A34" i="18"/>
  <c r="A26" i="18"/>
  <c r="A35" i="18"/>
  <c r="A11" i="18"/>
  <c r="H13" i="28" s="1"/>
  <c r="A10" i="17"/>
  <c r="L8" i="17"/>
  <c r="M8" i="17" s="1"/>
  <c r="A8" i="17" s="1"/>
  <c r="L6" i="17"/>
  <c r="L7" i="17"/>
  <c r="M7" i="17" s="1"/>
  <c r="A7" i="17" s="1"/>
  <c r="A86" i="19"/>
  <c r="A13" i="19"/>
  <c r="A77" i="19"/>
  <c r="A21" i="19"/>
  <c r="L7" i="19"/>
  <c r="M7" i="19" s="1"/>
  <c r="N7" i="19" s="1"/>
  <c r="A7" i="19" s="1"/>
  <c r="L8" i="19"/>
  <c r="L6" i="19"/>
  <c r="M6" i="19" s="1"/>
  <c r="N6" i="19" s="1"/>
  <c r="A6" i="19" s="1"/>
  <c r="L6" i="18"/>
  <c r="L7" i="18"/>
  <c r="M7" i="18" s="1"/>
  <c r="A7" i="18" s="1"/>
  <c r="A35" i="19"/>
  <c r="A65" i="19"/>
  <c r="L8" i="18"/>
  <c r="AJ16" i="19"/>
  <c r="A33" i="19"/>
  <c r="A71" i="19"/>
  <c r="A59" i="19"/>
  <c r="A62" i="19"/>
  <c r="A82" i="19"/>
  <c r="A205" i="19"/>
  <c r="A297" i="19"/>
  <c r="A25" i="19"/>
  <c r="A94" i="19"/>
  <c r="A113" i="19"/>
  <c r="A89" i="19"/>
  <c r="A104" i="19"/>
  <c r="A118" i="19"/>
  <c r="A167" i="19"/>
  <c r="A74" i="19"/>
  <c r="A55" i="19"/>
  <c r="A40" i="19"/>
  <c r="A70" i="19"/>
  <c r="A110" i="19"/>
  <c r="A225" i="19"/>
  <c r="A45" i="19"/>
  <c r="A101" i="19"/>
  <c r="A106" i="19"/>
  <c r="A146" i="19"/>
  <c r="A157" i="19"/>
  <c r="A143" i="19"/>
  <c r="A237" i="19"/>
  <c r="A181" i="19"/>
  <c r="A54" i="19"/>
  <c r="A274" i="19"/>
  <c r="A228" i="19"/>
  <c r="AI6" i="28" l="1"/>
  <c r="AI21" i="28"/>
  <c r="AI9" i="28"/>
  <c r="AI20" i="28"/>
  <c r="AI17" i="28"/>
  <c r="AI22" i="28"/>
  <c r="P12" i="13"/>
  <c r="AE7" i="28"/>
  <c r="AE18" i="28"/>
  <c r="AE20" i="28"/>
  <c r="AE12" i="28"/>
  <c r="AE13" i="28"/>
  <c r="AE16" i="28"/>
  <c r="AE17" i="28"/>
  <c r="AE21" i="28"/>
  <c r="AE14" i="28"/>
  <c r="AE23" i="28"/>
  <c r="AE22" i="28"/>
  <c r="AE8" i="28"/>
  <c r="AE19" i="28"/>
  <c r="AE15" i="28"/>
  <c r="AE10" i="28"/>
  <c r="AE9" i="28"/>
  <c r="AE6" i="28"/>
  <c r="N11" i="28"/>
  <c r="N12" i="28"/>
  <c r="N14" i="28"/>
  <c r="N16" i="13"/>
  <c r="N14" i="13"/>
  <c r="N17" i="28"/>
  <c r="N9" i="13"/>
  <c r="N21" i="28"/>
  <c r="N23" i="28"/>
  <c r="N22" i="28"/>
  <c r="N9" i="28"/>
  <c r="N21" i="13"/>
  <c r="N16" i="28"/>
  <c r="N11" i="13"/>
  <c r="N8" i="13"/>
  <c r="N18" i="13"/>
  <c r="N6" i="28"/>
  <c r="N6" i="13"/>
  <c r="N20" i="28"/>
  <c r="N12" i="13"/>
  <c r="N10" i="13"/>
  <c r="N15" i="28"/>
  <c r="N18" i="28"/>
  <c r="N8" i="28"/>
  <c r="N19" i="28"/>
  <c r="A6" i="30"/>
  <c r="L6" i="13" s="1"/>
  <c r="A7" i="30"/>
  <c r="L12" i="13"/>
  <c r="A9" i="30"/>
  <c r="J8" i="28"/>
  <c r="J7" i="28"/>
  <c r="H15" i="28"/>
  <c r="H9" i="28"/>
  <c r="H23" i="28"/>
  <c r="H10" i="28"/>
  <c r="H19" i="28"/>
  <c r="H6" i="28"/>
  <c r="H14" i="28"/>
  <c r="H22" i="28"/>
  <c r="S17" i="28"/>
  <c r="N15" i="13"/>
  <c r="N13" i="28"/>
  <c r="P12" i="28"/>
  <c r="L6" i="28"/>
  <c r="U22" i="28"/>
  <c r="U17" i="28"/>
  <c r="U21" i="28"/>
  <c r="U14" i="28"/>
  <c r="U12" i="28"/>
  <c r="U19" i="28"/>
  <c r="U18" i="28"/>
  <c r="U10" i="28"/>
  <c r="U7" i="28"/>
  <c r="U11" i="28"/>
  <c r="U9" i="28"/>
  <c r="U13" i="28"/>
  <c r="U15" i="28"/>
  <c r="U20" i="28"/>
  <c r="U16" i="28"/>
  <c r="U23" i="28"/>
  <c r="U8" i="28"/>
  <c r="S10" i="28"/>
  <c r="S23" i="28"/>
  <c r="S8" i="28"/>
  <c r="S9" i="28"/>
  <c r="F16" i="13"/>
  <c r="F15" i="28"/>
  <c r="F7" i="13"/>
  <c r="F16" i="28"/>
  <c r="F8" i="13"/>
  <c r="F7" i="28"/>
  <c r="P6" i="13"/>
  <c r="P6" i="28"/>
  <c r="H6" i="13"/>
  <c r="H15" i="13"/>
  <c r="H10" i="13"/>
  <c r="H13" i="13"/>
  <c r="H17" i="13"/>
  <c r="H18" i="13"/>
  <c r="H19" i="13"/>
  <c r="H20" i="13"/>
  <c r="H21" i="13"/>
  <c r="H11" i="13"/>
  <c r="H14" i="13"/>
  <c r="H8" i="13"/>
  <c r="H16" i="13"/>
  <c r="H9" i="13"/>
  <c r="H12" i="13"/>
  <c r="M8" i="18"/>
  <c r="A8" i="18" s="1"/>
  <c r="M6" i="18"/>
  <c r="M8" i="19"/>
  <c r="N8" i="19" s="1"/>
  <c r="M6" i="17"/>
  <c r="A6" i="17" s="1"/>
  <c r="F11" i="28" s="1"/>
  <c r="F6" i="13"/>
  <c r="L14" i="13" l="1"/>
  <c r="L14" i="28"/>
  <c r="L22" i="28"/>
  <c r="L20" i="28"/>
  <c r="L9" i="28"/>
  <c r="L8" i="13"/>
  <c r="L18" i="28"/>
  <c r="L9" i="13"/>
  <c r="L10" i="13"/>
  <c r="L21" i="13"/>
  <c r="L15" i="13"/>
  <c r="L11" i="13"/>
  <c r="L17" i="13"/>
  <c r="L19" i="13"/>
  <c r="L10" i="28"/>
  <c r="L15" i="28"/>
  <c r="L13" i="28"/>
  <c r="L12" i="28"/>
  <c r="L11" i="28"/>
  <c r="L21" i="28"/>
  <c r="L16" i="28"/>
  <c r="L17" i="28"/>
  <c r="L23" i="28"/>
  <c r="L19" i="28"/>
  <c r="L16" i="13"/>
  <c r="L13" i="13"/>
  <c r="L18" i="13"/>
  <c r="L20" i="13"/>
  <c r="L8" i="28"/>
  <c r="L7" i="13"/>
  <c r="L7" i="28"/>
  <c r="D12" i="13"/>
  <c r="F11" i="13"/>
  <c r="D6" i="13"/>
  <c r="A8" i="19"/>
  <c r="A6" i="18"/>
  <c r="H7" i="28" s="1"/>
  <c r="F6" i="28"/>
  <c r="F8" i="28"/>
  <c r="F21" i="28"/>
  <c r="F17" i="13"/>
  <c r="F19" i="28"/>
  <c r="F23" i="28"/>
  <c r="F20" i="28"/>
  <c r="F15" i="13"/>
  <c r="F10" i="28"/>
  <c r="F13" i="28"/>
  <c r="F18" i="13"/>
  <c r="F20" i="13"/>
  <c r="F9" i="28"/>
  <c r="F14" i="28"/>
  <c r="F19" i="13"/>
  <c r="F18" i="28"/>
  <c r="F22" i="28"/>
  <c r="F21" i="13"/>
  <c r="F13" i="13"/>
  <c r="F14" i="13"/>
  <c r="F17" i="28"/>
  <c r="F10" i="13"/>
  <c r="F9" i="13"/>
  <c r="P15" i="28" l="1"/>
  <c r="P8" i="28"/>
  <c r="P9" i="28"/>
  <c r="P11" i="13"/>
  <c r="D11" i="13" s="1"/>
  <c r="P20" i="28"/>
  <c r="P16" i="28"/>
  <c r="P7" i="28"/>
  <c r="P18" i="28"/>
  <c r="P13" i="28"/>
  <c r="P22" i="28"/>
  <c r="P7" i="13"/>
  <c r="P14" i="28"/>
  <c r="P10" i="28"/>
  <c r="P9" i="13"/>
  <c r="D9" i="13" s="1"/>
  <c r="P19" i="28"/>
  <c r="P11" i="28"/>
  <c r="P16" i="13"/>
  <c r="D16" i="13" s="1"/>
  <c r="P23" i="28"/>
  <c r="P17" i="28"/>
  <c r="P8" i="13"/>
  <c r="D8" i="13" s="1"/>
  <c r="P21" i="28"/>
  <c r="P14" i="13"/>
  <c r="D14" i="13" s="1"/>
  <c r="P21" i="13"/>
  <c r="D21" i="13" s="1"/>
  <c r="P15" i="13"/>
  <c r="D15" i="13" s="1"/>
  <c r="P19" i="13"/>
  <c r="D19" i="13" s="1"/>
  <c r="P13" i="13"/>
  <c r="D13" i="13" s="1"/>
  <c r="P17" i="13"/>
  <c r="D17" i="13" s="1"/>
  <c r="P18" i="13"/>
  <c r="D18" i="13" s="1"/>
  <c r="P20" i="13"/>
  <c r="D20" i="13" s="1"/>
  <c r="P10" i="13"/>
  <c r="D10" i="13" s="1"/>
  <c r="H7" i="13"/>
  <c r="D7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65738D-CB56-4380-A7DC-E1519A335B34}" keepAlive="1" name="Query - eventResults" description="Connection to the 'eventResults' query in the workbook." type="5" refreshedVersion="0" background="1" saveData="1">
    <dbPr connection="Provider=Microsoft.Mashup.OleDb.1;Data Source=$Workbook$;Location=eventResults;Extended Properties=&quot;&quot;" command="SELECT * FROM [eventResul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<sst xmlns="http://schemas.openxmlformats.org/spreadsheetml/2006/main" count="2390" uniqueCount="154">
  <si>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</si>
  <si>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</si>
  <si>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</si>
  <si>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KOBIETY Kat.2</t>
  </si>
  <si>
    <t>L.P.</t>
  </si>
  <si>
    <t>NAZWISKO Imię</t>
  </si>
  <si>
    <t>KLUB</t>
  </si>
  <si>
    <t>PUNKTY</t>
  </si>
  <si>
    <t>I PP</t>
  </si>
  <si>
    <t>II PP</t>
  </si>
  <si>
    <t>III PP</t>
  </si>
  <si>
    <t>IV PP</t>
  </si>
  <si>
    <t>V PP</t>
  </si>
  <si>
    <t>MPW</t>
  </si>
  <si>
    <t>M</t>
  </si>
  <si>
    <t>P</t>
  </si>
  <si>
    <t>WASILCZUK Beata</t>
  </si>
  <si>
    <t>GANSZCZYK Anna</t>
  </si>
  <si>
    <t>STAŃCZYK Agnieszka</t>
  </si>
  <si>
    <t>SZURLEJ Agata</t>
  </si>
  <si>
    <t>SADOWIŃSKA Adriana</t>
  </si>
  <si>
    <t>ANNA-LISE Mion</t>
  </si>
  <si>
    <t>WALECKA Wanda</t>
  </si>
  <si>
    <t>LASKUS KRYSTYNA</t>
  </si>
  <si>
    <t xml:space="preserve"> </t>
  </si>
  <si>
    <t>Liczba uczestników:</t>
  </si>
  <si>
    <t>GP Punkty</t>
  </si>
  <si>
    <t>Bonus za rundę</t>
  </si>
  <si>
    <t>Bonus za podium</t>
  </si>
  <si>
    <t>miejsce:</t>
  </si>
  <si>
    <t>KONIN</t>
  </si>
  <si>
    <t xml:space="preserve"> data:</t>
  </si>
  <si>
    <t>28.09.2024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</si>
  <si>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</si>
  <si>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</si>
  <si>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</si>
  <si>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</si>
  <si>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</si>
  <si>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</si>
  <si>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</si>
  <si>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</si>
  <si>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</si>
  <si>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</si>
  <si>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</si>
  <si>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</si>
  <si>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IKS AWF Warszawa</t>
  </si>
  <si>
    <t> POL</t>
  </si>
  <si>
    <t>AZS AWF Katowice</t>
  </si>
  <si>
    <t>Brian Boru</t>
  </si>
  <si>
    <t>KS Szpada Wrocław</t>
  </si>
  <si>
    <t>x</t>
  </si>
  <si>
    <t>SPWS</t>
  </si>
  <si>
    <t>N</t>
  </si>
  <si>
    <t>MP</t>
  </si>
  <si>
    <t>MP-1</t>
  </si>
  <si>
    <t>log(x)</t>
  </si>
  <si>
    <t>Log(N)</t>
  </si>
  <si>
    <t>MP - (MP-1)*LOG(x)/LOG(N)</t>
  </si>
  <si>
    <t>points</t>
  </si>
  <si>
    <t> </t>
  </si>
  <si>
    <t>BYTOM</t>
  </si>
  <si>
    <t>26.10.2024</t>
  </si>
  <si>
    <t>IKS WARSZAWA</t>
  </si>
  <si>
    <t>WASILCZUK Beata (2)</t>
  </si>
  <si>
    <t>KKS KRAKÓW</t>
  </si>
  <si>
    <t>STAŃCZYK Agnieszka (2)</t>
  </si>
  <si>
    <t>KS SZPADA WROCŁAW</t>
  </si>
  <si>
    <t>SZURLEJ Agata (2)</t>
  </si>
  <si>
    <t>AZS AWF KATOWICE</t>
  </si>
  <si>
    <t>GANSZCZYK Anna (2)</t>
  </si>
  <si>
    <t>MILOVA Tatiana (3)</t>
  </si>
  <si>
    <t>WALECKA Wanda (2)</t>
  </si>
  <si>
    <t>Mnożnik za podium</t>
  </si>
  <si>
    <t>KRAKÓW</t>
  </si>
  <si>
    <t>30.11.2024</t>
  </si>
  <si>
    <t>IKS AWF WARSZAWA</t>
  </si>
  <si>
    <t>KKS KRAKÓW / TARNOWSKI KLUB SZERMIERCZY</t>
  </si>
  <si>
    <t>AZS AWF KRAKÓW</t>
  </si>
  <si>
    <t>ST. POLSKICH WETERANÓW SZERMIERKI</t>
  </si>
  <si>
    <t>WARSZAWA</t>
  </si>
  <si>
    <t>22.02.2025</t>
  </si>
  <si>
    <t>NAZWISKO</t>
  </si>
  <si>
    <t>RUNDA</t>
  </si>
  <si>
    <t>BONUS</t>
  </si>
  <si>
    <t>WASILCZUK (2) Beata</t>
  </si>
  <si>
    <t>GANSZCZYK (2) Anna</t>
  </si>
  <si>
    <t>SADOWIŃSKA (2) Adriana</t>
  </si>
  <si>
    <t>BORKOWSKA (3) Halina</t>
  </si>
  <si>
    <t>WALECKA (2) Wanda</t>
  </si>
  <si>
    <t>SZCZECIN</t>
  </si>
  <si>
    <t>26.04.2025</t>
  </si>
  <si>
    <t>Podium</t>
  </si>
  <si>
    <t>Współczynnik MPW</t>
  </si>
  <si>
    <t>Punkty MPW</t>
  </si>
  <si>
    <t>MIEJSCE</t>
  </si>
  <si>
    <t>PKTY</t>
  </si>
  <si>
    <t>Klasyfikacja będą podstawą do rekomendacji dla PZSZERM powołań do kadry na międzynarodowe zawody rangi mistrzowskiej.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</si>
  <si>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</si>
  <si>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</si>
  <si>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</si>
  <si>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</si>
  <si>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</si>
  <si>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</si>
  <si>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</si>
  <si>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</si>
  <si>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Budapeszt</t>
  </si>
  <si>
    <t>21.09.2024</t>
  </si>
  <si>
    <t>Madrid</t>
  </si>
  <si>
    <t>16.11.2024</t>
  </si>
  <si>
    <t>Guildford</t>
  </si>
  <si>
    <t>04.01.2024</t>
  </si>
  <si>
    <t>Terni</t>
  </si>
  <si>
    <t>02.02.2025</t>
  </si>
  <si>
    <t>Stockholm (SWE)</t>
  </si>
  <si>
    <t>15.03.2025</t>
  </si>
  <si>
    <t>POL</t>
  </si>
  <si>
    <t>29.03.2025</t>
  </si>
  <si>
    <t>LAISNEY Sandra</t>
  </si>
  <si>
    <t> FRA</t>
  </si>
  <si>
    <t>DE GROOTE Annica</t>
  </si>
  <si>
    <t> SWE</t>
  </si>
  <si>
    <t>KUZMICHOVA Svitlana</t>
  </si>
  <si>
    <t> UKR</t>
  </si>
  <si>
    <t>GRAF Bettina</t>
  </si>
  <si>
    <t> GER</t>
  </si>
  <si>
    <t>GABELLLA Barbara</t>
  </si>
  <si>
    <t> ITA</t>
  </si>
  <si>
    <t>AVANCINI Annalisa</t>
  </si>
  <si>
    <t>BOYKO Maria</t>
  </si>
  <si>
    <t> ISR</t>
  </si>
  <si>
    <t>IGARIENE Asta</t>
  </si>
  <si>
    <t> LTU</t>
  </si>
  <si>
    <t>HORI Catherine</t>
  </si>
  <si>
    <t>PRAHA-TSAREHRADSKA Nadiia</t>
  </si>
  <si>
    <t>BONATO Iliana Diana</t>
  </si>
  <si>
    <t>PARK-BHASIN Ok Kyong</t>
  </si>
  <si>
    <t> NOR</t>
  </si>
  <si>
    <t>LASKUS Krystyna</t>
  </si>
  <si>
    <t>NOVOSELSKA Tetiana</t>
  </si>
  <si>
    <t>CHANIA</t>
  </si>
  <si>
    <t>3.05.2025</t>
  </si>
  <si>
    <t>58k1</t>
  </si>
  <si>
    <t>PABIANICE</t>
  </si>
  <si>
    <t>7.06.2025</t>
  </si>
  <si>
    <t>Płowdiw</t>
  </si>
  <si>
    <t>29.05.2025</t>
  </si>
  <si>
    <t>IKS AZS WARSZAWA</t>
  </si>
  <si>
    <t>SADOWIŃSKA Adriana (2)</t>
  </si>
  <si>
    <t>SOSNOWSKA Aniela (4)</t>
  </si>
  <si>
    <t>Fenix</t>
  </si>
  <si>
    <t>Paryż</t>
  </si>
  <si>
    <t>05-07.07.2025</t>
  </si>
  <si>
    <t>Na sumę punktów w rankingu skłądają się 4 najlepsze wyniki (z 5 możliwych) w turniejach PP Weteranów, wynik z Mistrzostw Polski Weteranów, 3 najlepsze wyniki z PEW i PS w ciągu roku (krocząco) oraz punkty zdobyte w IMEW.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</si>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</sst>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2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299">
    <xf numFmtId="0" fontId="0" fillId="0" borderId="0" xfId="0"/>
    <xf numFmtId="0" fontId="9" fillId="3" borderId="0" xfId="1" applyAlignment="1">
      <alignment horizontal="center" vertical="center" wrapText="1"/>
    </xf>
    <xf numFmtId="0" fontId="0" fillId="4" borderId="0" xfId="0" applyFill="1"/>
    <xf numFmtId="0" fontId="14" fillId="4" borderId="0" xfId="0" applyFont="1" applyFill="1"/>
    <xf numFmtId="0" fontId="13" fillId="4" borderId="0" xfId="0" applyFont="1" applyFill="1"/>
    <xf numFmtId="0" fontId="8" fillId="7" borderId="4" xfId="0" applyFont="1" applyFill="1" applyBorder="1" applyAlignment="1">
      <alignment horizontal="left"/>
    </xf>
    <xf numFmtId="0" fontId="15" fillId="7" borderId="5" xfId="0" applyFont="1" applyFill="1" applyBorder="1" applyAlignment="1">
      <alignment horizontal="center" vertic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7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8" fillId="7" borderId="4" xfId="0" applyFont="1" applyFill="1" applyBorder="1" applyAlignment="1">
      <alignment horizontal="center"/>
    </xf>
    <xf numFmtId="0" fontId="25" fillId="4" borderId="0" xfId="0" applyFont="1" applyFill="1"/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4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164" fontId="4" fillId="7" borderId="0" xfId="4" applyNumberForma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3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1" fontId="4" fillId="0" borderId="0" xfId="4" applyNumberFormat="1" applyAlignment="1">
      <alignment horizontal="center"/>
    </xf>
    <xf numFmtId="0" fontId="4" fillId="0" borderId="0" xfId="4"/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0" fontId="26" fillId="4" borderId="0" xfId="0" applyFont="1" applyFill="1"/>
    <xf numFmtId="2" fontId="16" fillId="7" borderId="4" xfId="0" applyNumberFormat="1" applyFont="1" applyFill="1" applyBorder="1" applyAlignment="1">
      <alignment horizontal="center" vertical="center"/>
    </xf>
    <xf numFmtId="2" fontId="7" fillId="7" borderId="4" xfId="0" applyNumberFormat="1" applyFont="1" applyFill="1" applyBorder="1" applyAlignment="1">
      <alignment horizontal="center" vertical="center"/>
    </xf>
    <xf numFmtId="2" fontId="16" fillId="7" borderId="6" xfId="0" applyNumberFormat="1" applyFont="1" applyFill="1" applyBorder="1" applyAlignment="1">
      <alignment horizontal="center" vertical="center"/>
    </xf>
    <xf numFmtId="2" fontId="28" fillId="7" borderId="4" xfId="0" applyNumberFormat="1" applyFont="1" applyFill="1" applyBorder="1" applyAlignment="1">
      <alignment horizontal="center" vertical="center"/>
    </xf>
    <xf numFmtId="2" fontId="28" fillId="7" borderId="6" xfId="0" applyNumberFormat="1" applyFont="1" applyFill="1" applyBorder="1" applyAlignment="1">
      <alignment horizontal="center" vertical="center"/>
    </xf>
    <xf numFmtId="2" fontId="8" fillId="7" borderId="0" xfId="0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2" fontId="14" fillId="7" borderId="4" xfId="0" applyNumberFormat="1" applyFont="1" applyFill="1" applyBorder="1" applyAlignment="1">
      <alignment horizontal="center" vertical="center"/>
    </xf>
    <xf numFmtId="0" fontId="29" fillId="14" borderId="0" xfId="0" applyFont="1" applyFill="1" applyAlignment="1">
      <alignment horizontal="left" vertical="center"/>
    </xf>
    <xf numFmtId="0" fontId="29" fillId="14" borderId="0" xfId="0" applyFont="1" applyFill="1" applyAlignment="1">
      <alignment horizontal="center" vertical="center"/>
    </xf>
    <xf numFmtId="0" fontId="3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3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30" fillId="14" borderId="0" xfId="0" applyFont="1" applyFill="1"/>
    <xf numFmtId="0" fontId="30" fillId="14" borderId="0" xfId="0" applyFont="1" applyFill="1" applyAlignment="1">
      <alignment horizontal="left" vertical="center"/>
    </xf>
    <xf numFmtId="0" fontId="30" fillId="14" borderId="0" xfId="0" applyFont="1" applyFill="1" applyAlignment="1">
      <alignment horizontal="center" vertical="center"/>
    </xf>
    <xf numFmtId="0" fontId="29" fillId="14" borderId="0" xfId="0" applyFont="1" applyFill="1"/>
    <xf numFmtId="0" fontId="31" fillId="14" borderId="0" xfId="0" applyFont="1" applyFill="1" applyAlignment="1">
      <alignment horizontal="center" vertical="center"/>
    </xf>
    <xf numFmtId="17" fontId="30" fillId="14" borderId="0" xfId="0" applyNumberFormat="1" applyFont="1" applyFill="1" applyAlignment="1">
      <alignment horizontal="center" vertical="center"/>
    </xf>
    <xf numFmtId="0" fontId="10" fillId="8" borderId="0" xfId="8" applyFill="1"/>
    <xf numFmtId="0" fontId="32" fillId="8" borderId="0" xfId="2" applyFont="1" applyFill="1" applyAlignment="1">
      <alignment horizontal="center" vertical="center"/>
    </xf>
    <xf numFmtId="0" fontId="32" fillId="8" borderId="0" xfId="2" applyFont="1" applyFill="1" applyAlignment="1">
      <alignment vertical="center"/>
    </xf>
    <xf numFmtId="0" fontId="32" fillId="8" borderId="0" xfId="2" applyFont="1" applyFill="1"/>
    <xf numFmtId="0" fontId="32" fillId="8" borderId="0" xfId="2" applyFont="1" applyFill="1" applyAlignment="1">
      <alignment horizontal="center"/>
    </xf>
    <xf numFmtId="164" fontId="32" fillId="8" borderId="0" xfId="2" applyNumberFormat="1" applyFont="1" applyFill="1"/>
    <xf numFmtId="0" fontId="8" fillId="5" borderId="0" xfId="0" applyFont="1" applyFill="1"/>
    <xf numFmtId="0" fontId="8" fillId="5" borderId="4" xfId="0" applyFont="1" applyFill="1" applyBorder="1"/>
    <xf numFmtId="0" fontId="29" fillId="14" borderId="0" xfId="0" applyFont="1" applyFill="1" applyAlignment="1">
      <alignment vertical="center"/>
    </xf>
    <xf numFmtId="0" fontId="33" fillId="14" borderId="0" xfId="0" applyFont="1" applyFill="1"/>
    <xf numFmtId="0" fontId="0" fillId="7" borderId="4" xfId="0" applyFill="1" applyBorder="1" applyAlignment="1">
      <alignment horizontal="center"/>
    </xf>
    <xf numFmtId="0" fontId="32" fillId="8" borderId="0" xfId="5" applyFont="1" applyFill="1"/>
    <xf numFmtId="0" fontId="11" fillId="8" borderId="0" xfId="5" applyFont="1" applyFill="1" applyAlignment="1">
      <alignment horizontal="center" vertical="center"/>
    </xf>
    <xf numFmtId="0" fontId="11" fillId="11" borderId="0" xfId="5" applyFont="1" applyFill="1" applyAlignment="1">
      <alignment horizontal="center" vertical="center"/>
    </xf>
    <xf numFmtId="0" fontId="8" fillId="5" borderId="26" xfId="0" applyFont="1" applyFill="1" applyBorder="1"/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/>
    </xf>
    <xf numFmtId="0" fontId="8" fillId="7" borderId="32" xfId="0" applyFont="1" applyFill="1" applyBorder="1" applyAlignment="1">
      <alignment horizontal="center"/>
    </xf>
    <xf numFmtId="0" fontId="8" fillId="7" borderId="32" xfId="0" applyFont="1" applyFill="1" applyBorder="1" applyAlignment="1">
      <alignment horizontal="left"/>
    </xf>
    <xf numFmtId="0" fontId="8" fillId="5" borderId="32" xfId="0" applyFont="1" applyFill="1" applyBorder="1"/>
    <xf numFmtId="0" fontId="27" fillId="2" borderId="29" xfId="0" applyFont="1" applyFill="1" applyBorder="1" applyAlignment="1">
      <alignment horizontal="center" vertical="center" wrapText="1"/>
    </xf>
    <xf numFmtId="0" fontId="27" fillId="2" borderId="30" xfId="0" applyFont="1" applyFill="1" applyBorder="1" applyAlignment="1">
      <alignment horizontal="center" vertical="center" wrapText="1"/>
    </xf>
    <xf numFmtId="0" fontId="12" fillId="12" borderId="29" xfId="3" applyFont="1" applyBorder="1" applyAlignment="1">
      <alignment horizontal="center" vertical="center" wrapText="1"/>
    </xf>
    <xf numFmtId="0" fontId="12" fillId="12" borderId="30" xfId="3" applyFont="1" applyBorder="1" applyAlignment="1">
      <alignment horizontal="center" vertical="center" wrapText="1"/>
    </xf>
    <xf numFmtId="0" fontId="8" fillId="7" borderId="33" xfId="0" applyFont="1" applyFill="1" applyBorder="1" applyAlignment="1">
      <alignment horizontal="left"/>
    </xf>
    <xf numFmtId="0" fontId="11" fillId="8" borderId="0" xfId="2" applyFont="1" applyFill="1" applyAlignment="1">
      <alignment horizontal="center" vertical="center"/>
    </xf>
    <xf numFmtId="0" fontId="11" fillId="11" borderId="0" xfId="2" applyFont="1" applyFill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0" fillId="14" borderId="0" xfId="8" applyFill="1" applyAlignment="1">
      <alignment horizontal="left" vertical="center"/>
    </xf>
    <xf numFmtId="0" fontId="0" fillId="14" borderId="0" xfId="0" applyFill="1" applyAlignment="1">
      <alignment horizontal="left"/>
    </xf>
    <xf numFmtId="0" fontId="27" fillId="2" borderId="27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7" fillId="2" borderId="28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27" fillId="2" borderId="24" xfId="0" applyFont="1" applyFill="1" applyBorder="1" applyAlignment="1">
      <alignment horizontal="center" vertical="center"/>
    </xf>
    <xf numFmtId="0" fontId="27" fillId="2" borderId="25" xfId="0" applyFont="1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 vertical="center" wrapText="1"/>
    </xf>
    <xf numFmtId="0" fontId="0" fillId="13" borderId="19" xfId="0" applyFill="1" applyBorder="1" applyAlignment="1">
      <alignment horizontal="center" vertical="center" wrapText="1"/>
    </xf>
    <xf numFmtId="0" fontId="0" fillId="13" borderId="12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12" fillId="12" borderId="17" xfId="3" applyFont="1" applyBorder="1" applyAlignment="1">
      <alignment horizontal="center" vertical="center"/>
    </xf>
    <xf numFmtId="0" fontId="12" fillId="12" borderId="18" xfId="3" applyFont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0" fontId="1" fillId="8" borderId="0" xfId="9" applyFill="1"/>
    <xf numFmtId="0" fontId="17" fillId="8" borderId="0" xfId="9" applyFont="1" applyFill="1" applyAlignment="1">
      <alignment horizontal="right" vertical="center"/>
    </xf>
    <xf numFmtId="0" fontId="17" fillId="8" borderId="0" xfId="9" applyFont="1" applyFill="1" applyAlignment="1">
      <alignment horizontal="center" vertical="center"/>
    </xf>
    <xf numFmtId="1" fontId="18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0" fillId="10" borderId="0" xfId="9" applyFont="1" applyFill="1" applyAlignment="1">
      <alignment horizontal="center" vertical="center"/>
    </xf>
    <xf numFmtId="0" fontId="20" fillId="10" borderId="0" xfId="9" applyFont="1" applyFill="1" applyAlignment="1">
      <alignment horizontal="center" vertical="center" wrapText="1"/>
    </xf>
    <xf numFmtId="1" fontId="20" fillId="10" borderId="0" xfId="9" applyNumberFormat="1" applyFont="1" applyFill="1" applyAlignment="1">
      <alignment horizontal="center" vertical="center" wrapText="1"/>
    </xf>
    <xf numFmtId="0" fontId="22" fillId="8" borderId="0" xfId="9" applyFont="1" applyFill="1" applyAlignment="1">
      <alignment horizontal="center" vertical="center"/>
    </xf>
    <xf numFmtId="2" fontId="22" fillId="8" borderId="0" xfId="9" applyNumberFormat="1" applyFont="1" applyFill="1" applyAlignment="1">
      <alignment horizontal="center" vertical="center"/>
    </xf>
    <xf numFmtId="164" fontId="22" fillId="8" borderId="0" xfId="9" applyNumberFormat="1" applyFont="1" applyFill="1" applyAlignment="1">
      <alignment horizontal="center" vertical="center"/>
    </xf>
    <xf numFmtId="0" fontId="22" fillId="11" borderId="0" xfId="9" applyFont="1" applyFill="1" applyAlignment="1">
      <alignment horizontal="center" vertical="center"/>
    </xf>
    <xf numFmtId="2" fontId="22" fillId="11" borderId="0" xfId="9" applyNumberFormat="1" applyFont="1" applyFill="1" applyAlignment="1">
      <alignment horizontal="center" vertical="center"/>
    </xf>
    <xf numFmtId="164" fontId="22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3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A0C5B794-07DF-4486-9021-334F7E2E1851}"/>
    <cellStyle name="Normal 2 2" xfId="4" xr:uid="{FDD65B2C-3C60-4129-BDDD-EE0C53F83BBF}"/>
    <cellStyle name="Normal 2 2 2" xfId="5" xr:uid="{A94B3575-75F2-46D1-BBA8-AAE8277010F1}"/>
    <cellStyle name="Normal 2 2 2 2" xfId="6" xr:uid="{D31AFFBC-BAF3-4D04-8E65-E8974D406C0A}"/>
    <cellStyle name="Normal 2 2 2 2 2 2" xfId="9" xr:uid="{042AD359-BFAF-4564-82CD-D3195E5AF59D}"/>
    <cellStyle name="Normal 2 2 2 3" xfId="7" xr:uid="{09855AE9-C8E7-4D56-94FB-124D10C0FD85}"/>
    <cellStyle name="Normalny" xfId="0" builtinId="0"/>
  </cellStyles>
  <dxfs count="2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onedrive.live.com/?id=7038EB1D96BF1AB%21684&amp;cid=07038EB1D96BF1AB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33F5A948D6B7468DB683993AB31F40A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0A7A4E1415FB499FAF50C192DB294D4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F4AFD2C78D9C4FEFA8BC9FFF47DFFF2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C237E2B8C8634417A7F70E8A9644F41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95A177163F134F2689CECDA26D752406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08L2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ef-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timelive.com/events/results/F21C799CBA7E4442914CAA9BC400826B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4fence.it/FIS/Risultati/2025-02-02-01_Terni_(TR)_-_4_Prova_Naz.le_Master_-_EVF_Circuit/index.php?a=SP&amp;s=F&amp;c=7&amp;f=clafina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fencing.ophardt.online/en/search/results/30279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FAAD3A9478B14A08924828AA50E715D0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worldwide.com/en/920969-2024/global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edv2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www.fencingtimelive.com/events/results/4FB275ABB46B48C48DC4BB4A43C48198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7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4" customWidth="1"/>
  </cols>
  <sheetData>
    <row r="1" spans="1:21" ht="14.3" thickBot="1" x14ac:dyDescent="0.3">
      <c r="A1" s="2"/>
      <c r="B1" s="2"/>
      <c r="C1" s="2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1" ht="13.75" customHeight="1" thickTop="1" x14ac:dyDescent="0.25">
      <c r="A2" s="2"/>
      <c r="B2" s="209" t="s">
        <v>0</v>
      </c>
      <c r="C2" s="2"/>
      <c r="D2" s="61" t="s">
        <v>1</v>
      </c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R2" s="228" t="s">
        <v>2</v>
      </c>
      <c r="S2" s="229"/>
      <c r="T2" s="229"/>
      <c r="U2" s="230"/>
    </row>
    <row r="3" spans="1:21" ht="13.6" x14ac:dyDescent="0.25">
      <c r="A3" s="2"/>
      <c r="B3" s="2"/>
      <c r="C3" s="2"/>
      <c r="D3" s="4" t="s">
        <v>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R3" s="231"/>
      <c r="S3" s="232"/>
      <c r="T3" s="232"/>
      <c r="U3" s="233"/>
    </row>
    <row r="4" spans="1:21" ht="24.8" customHeight="1" thickBot="1" x14ac:dyDescent="0.25">
      <c r="A4" s="223" t="s">
        <v>4</v>
      </c>
      <c r="B4" s="225" t="s">
        <v>5</v>
      </c>
      <c r="C4" s="225" t="s">
        <v>6</v>
      </c>
      <c r="D4" s="225" t="s">
        <v>7</v>
      </c>
      <c r="E4" s="237" t="s">
        <v>8</v>
      </c>
      <c r="F4" s="238"/>
      <c r="G4" s="237" t="s">
        <v>9</v>
      </c>
      <c r="H4" s="238"/>
      <c r="I4" s="237" t="s">
        <v>10</v>
      </c>
      <c r="J4" s="238"/>
      <c r="K4" s="237" t="s">
        <v>11</v>
      </c>
      <c r="L4" s="238"/>
      <c r="M4" s="237" t="s">
        <v>12</v>
      </c>
      <c r="N4" s="238"/>
      <c r="O4" s="237" t="s">
        <v>13</v>
      </c>
      <c r="P4" s="238"/>
      <c r="R4" s="234"/>
      <c r="S4" s="235"/>
      <c r="T4" s="235"/>
      <c r="U4" s="236"/>
    </row>
    <row r="5" spans="1:21" ht="18" customHeight="1" thickTop="1" x14ac:dyDescent="0.2">
      <c r="A5" s="224"/>
      <c r="B5" s="226"/>
      <c r="C5" s="226"/>
      <c r="D5" s="227"/>
      <c r="E5" s="210" t="s">
        <v>14</v>
      </c>
      <c r="F5" s="210" t="s">
        <v>15</v>
      </c>
      <c r="G5" s="210" t="s">
        <v>14</v>
      </c>
      <c r="H5" s="211" t="s">
        <v>15</v>
      </c>
      <c r="I5" s="210" t="s">
        <v>14</v>
      </c>
      <c r="J5" s="211" t="s">
        <v>15</v>
      </c>
      <c r="K5" s="210" t="s">
        <v>14</v>
      </c>
      <c r="L5" s="211" t="s">
        <v>15</v>
      </c>
      <c r="M5" s="210" t="s">
        <v>14</v>
      </c>
      <c r="N5" s="211" t="s">
        <v>15</v>
      </c>
      <c r="O5" s="210" t="s">
        <v>14</v>
      </c>
      <c r="P5" s="211" t="s">
        <v>15</v>
      </c>
    </row>
    <row r="6" spans="1:21" ht="14.8" customHeight="1" x14ac:dyDescent="0.25">
      <c r="A6" s="212">
        <f t="shared" ref="A6:A21" si="0">ROW()-5</f>
        <v>1</v>
      </c>
      <c r="B6" s="5" t="s">
        <v>16</v>
      </c>
      <c r="C6" s="60"/>
      <c r="D6" s="112">
        <f t="shared" ref="D6:D21" si="1">SUM(F6,H6,J6,L6,N6,P6)-MIN(F6,H6,J6,L6,N6)</f>
        <v>494.56419320464016</v>
      </c>
      <c r="E6" s="6">
        <f>_xlfn.XLOOKUP($B6,'PP1'!$C$6:$C$101,'PP1'!$B$6:$B$101,"")</f>
        <v>1</v>
      </c>
      <c r="F6" s="104">
        <f>_xlfn.XLOOKUP(E6,'PP1'!$B$6:$B$55,'PP1'!$A$6:$A$55,0)</f>
        <v>95.389783520090276</v>
      </c>
      <c r="G6" s="6">
        <f>_xlfn.XLOOKUP($B6,'PP2'!$C$6:$C$101,'PP2'!$B$6:$B$101,"")</f>
        <v>1</v>
      </c>
      <c r="H6" s="104">
        <f>_xlfn.XLOOKUP(G6,'PP2'!$B$6:$B$55,'PP2'!$A$6:$A$55,0)</f>
        <v>95.389783520090276</v>
      </c>
      <c r="I6" s="6">
        <f>_xlfn.XLOOKUP($B6,'PP3'!$C$6:$C$101,'PP3'!$B$6:$B$101,"")</f>
        <v>1</v>
      </c>
      <c r="J6" s="104">
        <f>_xlfn.XLOOKUP(I6,'PP3'!$B$6:$B$55,'PP3'!$A$6:$A$55,0)</f>
        <v>96.354085335489259</v>
      </c>
      <c r="K6" s="6">
        <f>_xlfn.XLOOKUP($B6,'PP4'!$C$6:$C$101,'PP4'!$B$6:$B$101,"")</f>
        <v>1</v>
      </c>
      <c r="L6" s="104">
        <f>_xlfn.XLOOKUP(K6,'PP4'!$B$6:$B$55,'PP4'!$A$6:$A$55,0)</f>
        <v>94.286609467713788</v>
      </c>
      <c r="M6" s="6" t="str">
        <f>_xlfn.XLOOKUP($B6,'PP5'!$C$6:$C$101,'PP5'!$B$6:$B$101,"")</f>
        <v/>
      </c>
      <c r="N6" s="104">
        <f>_xlfn.XLOOKUP(M6,'PP5'!$B$6:$B$55,'PP5'!$A$6:$A$55,0)</f>
        <v>0</v>
      </c>
      <c r="O6" s="6">
        <f>_xlfn.XLOOKUP(B6,MPW!C$6:C$101,MPW!B$6:B$101,"")</f>
        <v>1</v>
      </c>
      <c r="P6" s="106">
        <f>_xlfn.XLOOKUP(O6,MPW!$B$6:$B$55,MPW!$A$6:$A$55,0)</f>
        <v>113.14393136125655</v>
      </c>
    </row>
    <row r="7" spans="1:21" ht="14.8" customHeight="1" x14ac:dyDescent="0.25">
      <c r="A7" s="212">
        <f t="shared" si="0"/>
        <v>2</v>
      </c>
      <c r="B7" s="5" t="s">
        <v>17</v>
      </c>
      <c r="C7" s="213"/>
      <c r="D7" s="112">
        <f t="shared" si="1"/>
        <v>274.6175475534331</v>
      </c>
      <c r="E7" s="6">
        <f>_xlfn.XLOOKUP($B7,'PP1'!$C$6:$C$101,'PP1'!$B$6:$B$101,"")</f>
        <v>2</v>
      </c>
      <c r="F7" s="104">
        <f>_xlfn.XLOOKUP(E7,'PP1'!$B$6:$B$55,'PP1'!$A$6:$A$55,0)</f>
        <v>59.156704334463925</v>
      </c>
      <c r="G7" s="6">
        <f>_xlfn.XLOOKUP($B7,'PP2'!$C$6:$C$101,'PP2'!$B$6:$B$101,"")</f>
        <v>4</v>
      </c>
      <c r="H7" s="104">
        <f>_xlfn.XLOOKUP(G7,'PP2'!$B$6:$B$55,'PP2'!$A$6:$A$55,0)</f>
        <v>17.793697308807488</v>
      </c>
      <c r="I7" s="6">
        <f>_xlfn.XLOOKUP($B7,'PP3'!$C$6:$C$101,'PP3'!$B$6:$B$101,"")</f>
        <v>3</v>
      </c>
      <c r="J7" s="104">
        <f>_xlfn.XLOOKUP(I7,'PP3'!$B$6:$B$55,'PP3'!$A$6:$A$55,0)</f>
        <v>35.407149332988958</v>
      </c>
      <c r="K7" s="6">
        <f>_xlfn.XLOOKUP($B7,'PP4'!$C$6:$C$101,'PP4'!$B$6:$B$101,"")</f>
        <v>2</v>
      </c>
      <c r="L7" s="104">
        <f>_xlfn.XLOOKUP(K7,'PP4'!$B$6:$B$55,'PP4'!$A$6:$A$55,0)</f>
        <v>55.024406311809194</v>
      </c>
      <c r="M7" s="6">
        <f>_xlfn.XLOOKUP($B7,'PP5'!$C$6:$C$101,'PP5'!$B$6:$B$101,"")</f>
        <v>1</v>
      </c>
      <c r="N7" s="104">
        <f>_xlfn.XLOOKUP(M7,'PP5'!$B$6:$B$55,'PP5'!$A$6:$A$55,0)</f>
        <v>59</v>
      </c>
      <c r="O7" s="6">
        <f>_xlfn.XLOOKUP(B7,MPW!C$6:C$101,MPW!B$6:B$101,"")</f>
        <v>2</v>
      </c>
      <c r="P7" s="106">
        <f>_xlfn.XLOOKUP(O7,MPW!$B$6:$B$55,MPW!$A$6:$A$55,0)</f>
        <v>66.029287574171036</v>
      </c>
    </row>
    <row r="8" spans="1:21" ht="15.8" customHeight="1" x14ac:dyDescent="0.25">
      <c r="A8" s="212">
        <f t="shared" si="0"/>
        <v>3</v>
      </c>
      <c r="B8" s="5" t="s">
        <v>18</v>
      </c>
      <c r="C8" s="213"/>
      <c r="D8" s="112">
        <f t="shared" si="1"/>
        <v>121.10364033696422</v>
      </c>
      <c r="E8" s="6" t="str">
        <f>_xlfn.XLOOKUP($B8,'PP1'!$C$6:$C$101,'PP1'!$B$6:$B$101,"")</f>
        <v/>
      </c>
      <c r="F8" s="104">
        <f>_xlfn.XLOOKUP(E8,'PP1'!$B$6:$B$55,'PP1'!$A$6:$A$55,0)</f>
        <v>0</v>
      </c>
      <c r="G8" s="6">
        <f>_xlfn.XLOOKUP($B8,'PP2'!$C$6:$C$101,'PP2'!$B$6:$B$101,"")</f>
        <v>2</v>
      </c>
      <c r="H8" s="104">
        <f>_xlfn.XLOOKUP(G8,'PP2'!$B$6:$B$55,'PP2'!$A$6:$A$55,0)</f>
        <v>59.156704334463925</v>
      </c>
      <c r="I8" s="6">
        <f>_xlfn.XLOOKUP($B8,'PP3'!$C$6:$C$101,'PP3'!$B$6:$B$101,"")</f>
        <v>2</v>
      </c>
      <c r="J8" s="104">
        <f>_xlfn.XLOOKUP(I8,'PP3'!$B$6:$B$55,'PP3'!$A$6:$A$55,0)</f>
        <v>61.946936002500301</v>
      </c>
      <c r="K8" s="6" t="str">
        <f>_xlfn.XLOOKUP($B8,'PP4'!$C$6:$C$101,'PP4'!$B$6:$B$101,"")</f>
        <v/>
      </c>
      <c r="L8" s="104">
        <f>_xlfn.XLOOKUP(K8,'PP4'!$B$6:$B$55,'PP4'!$A$6:$A$55,0)</f>
        <v>0</v>
      </c>
      <c r="M8" s="6" t="str">
        <f>_xlfn.XLOOKUP($B8,'PP5'!$C$6:$C$101,'PP5'!$B$6:$B$101,"")</f>
        <v/>
      </c>
      <c r="N8" s="104">
        <f>_xlfn.XLOOKUP(M8,'PP5'!$B$6:$B$55,'PP5'!$A$6:$A$55,0)</f>
        <v>0</v>
      </c>
      <c r="O8" s="6" t="str">
        <f>_xlfn.XLOOKUP(B8,MPW!C$6:C$101,MPW!B$6:B$101,"")</f>
        <v/>
      </c>
      <c r="P8" s="106">
        <f>_xlfn.XLOOKUP(O8,MPW!$B$6:$B$55,MPW!$A$6:$A$55,0)</f>
        <v>0</v>
      </c>
    </row>
    <row r="9" spans="1:21" ht="14.8" customHeight="1" x14ac:dyDescent="0.25">
      <c r="A9" s="212">
        <f t="shared" si="0"/>
        <v>4</v>
      </c>
      <c r="B9" s="202" t="s">
        <v>19</v>
      </c>
      <c r="C9" s="213"/>
      <c r="D9" s="112">
        <f t="shared" si="1"/>
        <v>71.564346510039229</v>
      </c>
      <c r="E9" s="6">
        <f>_xlfn.XLOOKUP($B9,'PP1'!$C$6:$C$101,'PP1'!$B$6:$B$101,"")</f>
        <v>4</v>
      </c>
      <c r="F9" s="104">
        <f>_xlfn.XLOOKUP(E9,'PP1'!$B$6:$B$55,'PP1'!$A$6:$A$55,0)</f>
        <v>17.793697308807488</v>
      </c>
      <c r="G9" s="6">
        <f>_xlfn.XLOOKUP($B9,'PP2'!$C$6:$C$101,'PP2'!$B$6:$B$101,"")</f>
        <v>3</v>
      </c>
      <c r="H9" s="104">
        <f>_xlfn.XLOOKUP(G9,'PP2'!$B$6:$B$55,'PP2'!$A$6:$A$55,0)</f>
        <v>31.682224310216817</v>
      </c>
      <c r="I9" s="6">
        <f>_xlfn.XLOOKUP($B9,'PP3'!$C$6:$C$101,'PP3'!$B$6:$B$101,"")</f>
        <v>4</v>
      </c>
      <c r="J9" s="104">
        <f>_xlfn.XLOOKUP(I9,'PP3'!$B$6:$B$55,'PP3'!$A$6:$A$55,0)</f>
        <v>22.088424891014924</v>
      </c>
      <c r="K9" s="6" t="str">
        <f>_xlfn.XLOOKUP($B9,'PP4'!$C$6:$C$101,'PP4'!$B$6:$B$101,"")</f>
        <v/>
      </c>
      <c r="L9" s="104">
        <f>_xlfn.XLOOKUP(K9,'PP4'!$B$6:$B$55,'PP4'!$A$6:$A$55,0)</f>
        <v>0</v>
      </c>
      <c r="M9" s="6" t="str">
        <f>_xlfn.XLOOKUP($B9,'PP5'!$C$6:$C$101,'PP5'!$B$6:$B$101,"")</f>
        <v/>
      </c>
      <c r="N9" s="104">
        <f>_xlfn.XLOOKUP(M9,'PP5'!$B$6:$B$55,'PP5'!$A$6:$A$55,0)</f>
        <v>0</v>
      </c>
      <c r="O9" s="6" t="str">
        <f>_xlfn.XLOOKUP(B9,MPW!C$6:C$101,MPW!B$6:B$101,"")</f>
        <v/>
      </c>
      <c r="P9" s="106">
        <f>_xlfn.XLOOKUP(O9,MPW!$B$6:$B$55,MPW!$A$6:$A$55,0)</f>
        <v>0</v>
      </c>
    </row>
    <row r="10" spans="1:21" ht="14.8" customHeight="1" x14ac:dyDescent="0.25">
      <c r="A10" s="212">
        <f t="shared" si="0"/>
        <v>5</v>
      </c>
      <c r="B10" s="5" t="s">
        <v>20</v>
      </c>
      <c r="C10" s="213"/>
      <c r="D10" s="112">
        <f t="shared" si="1"/>
        <v>63.033392470627355</v>
      </c>
      <c r="E10" s="6" t="str">
        <f>_xlfn.XLOOKUP($B10,'PP1'!$C$6:$C$101,'PP1'!$B$6:$B$101,"")</f>
        <v/>
      </c>
      <c r="F10" s="104">
        <f>_xlfn.XLOOKUP(E10,'PP1'!$B$6:$B$55,'PP1'!$A$6:$A$55,0)</f>
        <v>0</v>
      </c>
      <c r="G10" s="6" t="str">
        <f>_xlfn.XLOOKUP($B10,'PP2'!$C$6:$C$101,'PP2'!$B$6:$B$101,"")</f>
        <v/>
      </c>
      <c r="H10" s="104">
        <f>_xlfn.XLOOKUP(G10,'PP2'!$B$6:$B$55,'PP2'!$A$6:$A$55,0)</f>
        <v>0</v>
      </c>
      <c r="I10" s="6">
        <f>_xlfn.XLOOKUP($B10,'PP3'!$C$6:$C$101,'PP3'!$B$6:$B$101,"")</f>
        <v>5</v>
      </c>
      <c r="J10" s="104">
        <f>_xlfn.XLOOKUP(I10,'PP3'!$B$6:$B$55,'PP3'!$A$6:$A$55,0)</f>
        <v>5.9860243165075602</v>
      </c>
      <c r="K10" s="6">
        <f>_xlfn.XLOOKUP($B10,'PP4'!$C$6:$C$101,'PP4'!$B$6:$B$101,"")</f>
        <v>3</v>
      </c>
      <c r="L10" s="104">
        <f>_xlfn.XLOOKUP(K10,'PP4'!$B$6:$B$55,'PP4'!$A$6:$A$55,0)</f>
        <v>25.930621888236271</v>
      </c>
      <c r="M10" s="6" t="str">
        <f>_xlfn.XLOOKUP($B10,'PP5'!$C$6:$C$101,'PP5'!$B$6:$B$101,"")</f>
        <v/>
      </c>
      <c r="N10" s="104">
        <f>_xlfn.XLOOKUP(M10,'PP5'!$B$6:$B$55,'PP5'!$A$6:$A$55,0)</f>
        <v>0</v>
      </c>
      <c r="O10" s="6">
        <f>_xlfn.XLOOKUP(B10,MPW!C$6:C$101,MPW!B$6:B$101,"")</f>
        <v>3</v>
      </c>
      <c r="P10" s="106">
        <f>_xlfn.XLOOKUP(O10,MPW!$B$6:$B$55,MPW!$A$6:$A$55,0)</f>
        <v>31.116746265883524</v>
      </c>
    </row>
    <row r="11" spans="1:21" ht="14.8" customHeight="1" x14ac:dyDescent="0.25">
      <c r="A11" s="212">
        <f t="shared" si="0"/>
        <v>6</v>
      </c>
      <c r="B11" s="5" t="s">
        <v>21</v>
      </c>
      <c r="C11" s="213"/>
      <c r="D11" s="112">
        <f t="shared" si="1"/>
        <v>31.682224310216817</v>
      </c>
      <c r="E11" s="6">
        <f>_xlfn.XLOOKUP($B11,'PP1'!$C$6:$C$101,'PP1'!$B$6:$B$101,"")</f>
        <v>3</v>
      </c>
      <c r="F11" s="104">
        <f>_xlfn.XLOOKUP(E11,'PP1'!$B$6:$B$55,'PP1'!$A$6:$A$55,0)</f>
        <v>31.682224310216817</v>
      </c>
      <c r="G11" s="6" t="str">
        <f>_xlfn.XLOOKUP($B11,'PP2'!$C$6:$C$101,'PP2'!$B$6:$B$101,"")</f>
        <v/>
      </c>
      <c r="H11" s="104">
        <f>_xlfn.XLOOKUP(G11,'PP2'!$B$6:$B$55,'PP2'!$A$6:$A$55,0)</f>
        <v>0</v>
      </c>
      <c r="I11" s="6" t="str">
        <f>_xlfn.XLOOKUP($B11,'PP3'!$C$6:$C$101,'PP3'!$B$6:$B$101,"")</f>
        <v/>
      </c>
      <c r="J11" s="104">
        <f>_xlfn.XLOOKUP(I11,'PP3'!$B$6:$B$55,'PP3'!$A$6:$A$55,0)</f>
        <v>0</v>
      </c>
      <c r="K11" s="6" t="str">
        <f>_xlfn.XLOOKUP($B11,'PP4'!$C$6:$C$101,'PP4'!$B$6:$B$101,"")</f>
        <v/>
      </c>
      <c r="L11" s="104">
        <f>_xlfn.XLOOKUP(K11,'PP4'!$B$6:$B$55,'PP4'!$A$6:$A$55,0)</f>
        <v>0</v>
      </c>
      <c r="M11" s="6" t="str">
        <f>_xlfn.XLOOKUP($B11,'PP5'!$C$6:$C$101,'PP5'!$B$6:$B$101,"")</f>
        <v/>
      </c>
      <c r="N11" s="104">
        <f>_xlfn.XLOOKUP(M11,'PP5'!$B$6:$B$55,'PP5'!$A$6:$A$55,0)</f>
        <v>0</v>
      </c>
      <c r="O11" s="6" t="str">
        <f>_xlfn.XLOOKUP(B11,MPW!C$6:C$101,MPW!B$6:B$101,"")</f>
        <v/>
      </c>
      <c r="P11" s="106">
        <f>_xlfn.XLOOKUP(O11,MPW!$B$6:$B$55,MPW!$A$6:$A$55,0)</f>
        <v>0</v>
      </c>
    </row>
    <row r="12" spans="1:21" ht="14.8" customHeight="1" x14ac:dyDescent="0.25">
      <c r="A12" s="212">
        <f t="shared" si="0"/>
        <v>7</v>
      </c>
      <c r="B12" s="5" t="s">
        <v>22</v>
      </c>
      <c r="C12" s="213"/>
      <c r="D12" s="112">
        <f t="shared" si="1"/>
        <v>4.2</v>
      </c>
      <c r="E12" s="6">
        <f>_xlfn.XLOOKUP($B12,'PP1'!$C$6:$C$101,'PP1'!$B$6:$B$101,"")</f>
        <v>5</v>
      </c>
      <c r="F12" s="104">
        <f>_xlfn.XLOOKUP(E12,'PP1'!$B$6:$B$55,'PP1'!$A$6:$A$55,0)</f>
        <v>1</v>
      </c>
      <c r="G12" s="6">
        <f>_xlfn.XLOOKUP($B12,'PP2'!$C$6:$C$101,'PP2'!$B$6:$B$101,"")</f>
        <v>5</v>
      </c>
      <c r="H12" s="104">
        <f>_xlfn.XLOOKUP(G12,'PP2'!$B$6:$B$55,'PP2'!$A$6:$A$55,0)</f>
        <v>1</v>
      </c>
      <c r="I12" s="6" t="str">
        <f>_xlfn.XLOOKUP($B12,'PP3'!$C$6:$C$101,'PP3'!$B$6:$B$101,"")</f>
        <v/>
      </c>
      <c r="J12" s="104">
        <f>_xlfn.XLOOKUP(I12,'PP3'!$B$6:$B$55,'PP3'!$A$6:$A$55,0)</f>
        <v>0</v>
      </c>
      <c r="K12" s="6">
        <f>_xlfn.XLOOKUP($B12,'PP4'!$C$6:$C$101,'PP4'!$B$6:$B$101,"")</f>
        <v>4</v>
      </c>
      <c r="L12" s="104">
        <f>_xlfn.XLOOKUP(K12,'PP4'!$B$6:$B$55,'PP4'!$A$6:$A$55,0)</f>
        <v>1</v>
      </c>
      <c r="M12" s="6" t="str">
        <f>_xlfn.XLOOKUP($B12,'PP5'!$C$6:$C$101,'PP5'!$B$6:$B$101,"")</f>
        <v/>
      </c>
      <c r="N12" s="104">
        <f>_xlfn.XLOOKUP(M12,'PP5'!$B$6:$B$55,'PP5'!$A$6:$A$55,0)</f>
        <v>0</v>
      </c>
      <c r="O12" s="6">
        <f>_xlfn.XLOOKUP(B12,MPW!C$6:C$101,MPW!B$6:B$101,"")</f>
        <v>4</v>
      </c>
      <c r="P12" s="106">
        <f>_xlfn.XLOOKUP(O12,MPW!$B$6:$B$55,MPW!$A$6:$A$55,0)</f>
        <v>1.2</v>
      </c>
    </row>
    <row r="13" spans="1:21" ht="14.8" customHeight="1" x14ac:dyDescent="0.25">
      <c r="A13" s="212">
        <f t="shared" si="0"/>
        <v>8</v>
      </c>
      <c r="B13" s="5" t="s">
        <v>23</v>
      </c>
      <c r="C13" s="213"/>
      <c r="D13" s="112">
        <f t="shared" si="1"/>
        <v>1</v>
      </c>
      <c r="E13" s="6" t="str">
        <f>_xlfn.XLOOKUP($B13,'PP1'!$C$6:$C$101,'PP1'!$B$6:$B$101,"")</f>
        <v/>
      </c>
      <c r="F13" s="104">
        <f>_xlfn.XLOOKUP(E13,'PP1'!$B$6:$B$55,'PP1'!$A$6:$A$55,0)</f>
        <v>0</v>
      </c>
      <c r="G13" s="6" t="str">
        <f>_xlfn.XLOOKUP($B13,'PP2'!$C$6:$C$101,'PP2'!$B$6:$B$101,"")</f>
        <v/>
      </c>
      <c r="H13" s="104">
        <f>_xlfn.XLOOKUP(G13,'PP2'!$B$6:$B$55,'PP2'!$A$6:$A$55,0)</f>
        <v>0</v>
      </c>
      <c r="I13" s="6">
        <f>_xlfn.XLOOKUP($B13,'PP3'!$C$6:$C$101,'PP3'!$B$6:$B$101,"")</f>
        <v>6</v>
      </c>
      <c r="J13" s="104">
        <f>_xlfn.XLOOKUP(I13,'PP3'!$B$6:$B$55,'PP3'!$A$6:$A$55,0)</f>
        <v>1</v>
      </c>
      <c r="K13" s="6" t="str">
        <f>_xlfn.XLOOKUP($B13,'PP4'!$C$6:$C$101,'PP4'!$B$6:$B$101,"")</f>
        <v/>
      </c>
      <c r="L13" s="104">
        <f>_xlfn.XLOOKUP(K13,'PP4'!$B$6:$B$55,'PP4'!$A$6:$A$55,0)</f>
        <v>0</v>
      </c>
      <c r="M13" s="6" t="str">
        <f>_xlfn.XLOOKUP($B13,'PP5'!$C$6:$C$101,'PP5'!$B$6:$B$101,"")</f>
        <v/>
      </c>
      <c r="N13" s="104">
        <f>_xlfn.XLOOKUP(M13,'PP5'!$B$6:$B$55,'PP5'!$A$6:$A$55,0)</f>
        <v>0</v>
      </c>
      <c r="O13" s="6" t="str">
        <f>_xlfn.XLOOKUP(B13,MPW!C$6:C$101,MPW!B$6:B$101,"")</f>
        <v/>
      </c>
      <c r="P13" s="106">
        <f>_xlfn.XLOOKUP(O13,MPW!$B$6:$B$55,MPW!$A$6:$A$55,0)</f>
        <v>0</v>
      </c>
    </row>
    <row r="14" spans="1:21" ht="14.8" customHeight="1" x14ac:dyDescent="0.25">
      <c r="A14" s="212">
        <f t="shared" si="0"/>
        <v>9</v>
      </c>
      <c r="B14" s="214"/>
      <c r="C14" s="213"/>
      <c r="D14" s="112">
        <f t="shared" si="1"/>
        <v>0</v>
      </c>
      <c r="E14" s="6" t="str">
        <f>_xlfn.XLOOKUP($B14,'PP1'!$C$6:$C$101,'PP1'!$B$6:$B$101,"")</f>
        <v/>
      </c>
      <c r="F14" s="104">
        <f>_xlfn.XLOOKUP(E14,'PP1'!$B$6:$B$55,'PP1'!$A$6:$A$55,0)</f>
        <v>0</v>
      </c>
      <c r="G14" s="6" t="str">
        <f>_xlfn.XLOOKUP($B14,'PP2'!$C$6:$C$101,'PP2'!$B$6:$B$101,"")</f>
        <v/>
      </c>
      <c r="H14" s="104">
        <f>_xlfn.XLOOKUP(G14,'PP2'!$B$6:$B$55,'PP2'!$A$6:$A$55,0)</f>
        <v>0</v>
      </c>
      <c r="I14" s="6" t="str">
        <f>_xlfn.XLOOKUP($B14,'PP3'!$C$6:$C$101,'PP3'!$B$6:$B$101,"")</f>
        <v/>
      </c>
      <c r="J14" s="104">
        <f>_xlfn.XLOOKUP(I14,'PP3'!$B$6:$B$55,'PP3'!$A$6:$A$55,0)</f>
        <v>0</v>
      </c>
      <c r="K14" s="6" t="str">
        <f>_xlfn.XLOOKUP($B14,'PP4'!$C$6:$C$101,'PP4'!$B$6:$B$101,"")</f>
        <v/>
      </c>
      <c r="L14" s="104">
        <f>_xlfn.XLOOKUP(K14,'PP4'!$B$6:$B$55,'PP4'!$A$6:$A$55,0)</f>
        <v>0</v>
      </c>
      <c r="M14" s="6" t="str">
        <f>_xlfn.XLOOKUP($B14,'PP5'!$C$6:$C$101,'PP5'!$B$6:$B$101,"")</f>
        <v/>
      </c>
      <c r="N14" s="104">
        <f>_xlfn.XLOOKUP(M14,'PP5'!$B$6:$B$55,'PP5'!$A$6:$A$55,0)</f>
        <v>0</v>
      </c>
      <c r="O14" s="6" t="str">
        <f>_xlfn.XLOOKUP(B14,MPW!C$6:C$101,MPW!B$6:B$101,"")</f>
        <v/>
      </c>
      <c r="P14" s="106">
        <f>_xlfn.XLOOKUP(O14,MPW!$B$6:$B$55,MPW!$A$6:$A$55,0)</f>
        <v>0</v>
      </c>
    </row>
    <row r="15" spans="1:21" ht="14.8" customHeight="1" x14ac:dyDescent="0.25">
      <c r="A15" s="212">
        <f t="shared" si="0"/>
        <v>10</v>
      </c>
      <c r="B15" s="5"/>
      <c r="C15" s="213"/>
      <c r="D15" s="112">
        <f t="shared" si="1"/>
        <v>0</v>
      </c>
      <c r="E15" s="6" t="str">
        <f>_xlfn.XLOOKUP($B15,'PP1'!$C$6:$C$101,'PP1'!$B$6:$B$101,"")</f>
        <v/>
      </c>
      <c r="F15" s="104">
        <f>_xlfn.XLOOKUP(E15,'PP1'!$B$6:$B$55,'PP1'!$A$6:$A$55,0)</f>
        <v>0</v>
      </c>
      <c r="G15" s="6" t="str">
        <f>_xlfn.XLOOKUP($B15,'PP2'!$C$6:$C$101,'PP2'!$B$6:$B$101,"")</f>
        <v/>
      </c>
      <c r="H15" s="104">
        <f>_xlfn.XLOOKUP(G15,'PP2'!$B$6:$B$55,'PP2'!$A$6:$A$55,0)</f>
        <v>0</v>
      </c>
      <c r="I15" s="6" t="str">
        <f>_xlfn.XLOOKUP($B15,'PP3'!$C$6:$C$101,'PP3'!$B$6:$B$101,"")</f>
        <v/>
      </c>
      <c r="J15" s="104">
        <f>_xlfn.XLOOKUP(I15,'PP3'!$B$6:$B$55,'PP3'!$A$6:$A$55,0)</f>
        <v>0</v>
      </c>
      <c r="K15" s="6" t="str">
        <f>_xlfn.XLOOKUP($B15,'PP4'!$C$6:$C$101,'PP4'!$B$6:$B$101,"")</f>
        <v/>
      </c>
      <c r="L15" s="104">
        <f>_xlfn.XLOOKUP(K15,'PP4'!$B$6:$B$55,'PP4'!$A$6:$A$55,0)</f>
        <v>0</v>
      </c>
      <c r="M15" s="6" t="str">
        <f>_xlfn.XLOOKUP($B15,'PP5'!$C$6:$C$101,'PP5'!$B$6:$B$101,"")</f>
        <v/>
      </c>
      <c r="N15" s="104">
        <f>_xlfn.XLOOKUP(M15,'PP5'!$B$6:$B$55,'PP5'!$A$6:$A$55,0)</f>
        <v>0</v>
      </c>
      <c r="O15" s="6" t="str">
        <f>_xlfn.XLOOKUP(B15,MPW!C$6:C$101,MPW!B$6:B$101,"")</f>
        <v/>
      </c>
      <c r="P15" s="106">
        <f>_xlfn.XLOOKUP(O15,MPW!$B$6:$B$55,MPW!$A$6:$A$55,0)</f>
        <v>0</v>
      </c>
    </row>
    <row r="16" spans="1:21" ht="14.8" customHeight="1" x14ac:dyDescent="0.25">
      <c r="A16" s="212">
        <f t="shared" si="0"/>
        <v>11</v>
      </c>
      <c r="B16" s="5"/>
      <c r="C16" s="213"/>
      <c r="D16" s="112">
        <f t="shared" si="1"/>
        <v>0</v>
      </c>
      <c r="E16" s="6" t="str">
        <f>_xlfn.XLOOKUP($B16,'PP1'!$C$6:$C$101,'PP1'!$B$6:$B$101,"")</f>
        <v/>
      </c>
      <c r="F16" s="104">
        <f>_xlfn.XLOOKUP(E16,'PP1'!$B$6:$B$55,'PP1'!$A$6:$A$55,0)</f>
        <v>0</v>
      </c>
      <c r="G16" s="6" t="str">
        <f>_xlfn.XLOOKUP($B16,'PP2'!$C$6:$C$101,'PP2'!$B$6:$B$101,"")</f>
        <v/>
      </c>
      <c r="H16" s="104">
        <f>_xlfn.XLOOKUP(G16,'PP2'!$B$6:$B$55,'PP2'!$A$6:$A$55,0)</f>
        <v>0</v>
      </c>
      <c r="I16" s="6" t="str">
        <f>_xlfn.XLOOKUP($B16,'PP3'!$C$6:$C$101,'PP3'!$B$6:$B$101,"")</f>
        <v/>
      </c>
      <c r="J16" s="104">
        <f>_xlfn.XLOOKUP(I16,'PP3'!$B$6:$B$55,'PP3'!$A$6:$A$55,0)</f>
        <v>0</v>
      </c>
      <c r="K16" s="6" t="str">
        <f>_xlfn.XLOOKUP($B16,'PP4'!$C$6:$C$101,'PP4'!$B$6:$B$101,"")</f>
        <v/>
      </c>
      <c r="L16" s="104">
        <f>_xlfn.XLOOKUP(K16,'PP4'!$B$6:$B$55,'PP4'!$A$6:$A$55,0)</f>
        <v>0</v>
      </c>
      <c r="M16" s="6" t="str">
        <f>_xlfn.XLOOKUP($B16,'PP5'!$C$6:$C$101,'PP5'!$B$6:$B$101,"")</f>
        <v/>
      </c>
      <c r="N16" s="104">
        <f>_xlfn.XLOOKUP(M16,'PP5'!$B$6:$B$55,'PP5'!$A$6:$A$55,0)</f>
        <v>0</v>
      </c>
      <c r="O16" s="6" t="str">
        <f>_xlfn.XLOOKUP(B16,MPW!C$6:C$101,MPW!B$6:B$101,"")</f>
        <v/>
      </c>
      <c r="P16" s="106">
        <f>_xlfn.XLOOKUP(O16,MPW!$B$6:$B$55,MPW!$A$6:$A$55,0)</f>
        <v>0</v>
      </c>
    </row>
    <row r="17" spans="1:16" ht="14.8" customHeight="1" x14ac:dyDescent="0.25">
      <c r="A17" s="212">
        <f t="shared" si="0"/>
        <v>12</v>
      </c>
      <c r="B17" s="5" t="s">
        <v>24</v>
      </c>
      <c r="C17" s="213"/>
      <c r="D17" s="112">
        <f t="shared" si="1"/>
        <v>0</v>
      </c>
      <c r="E17" s="6" t="str">
        <f>_xlfn.XLOOKUP($B17,'PP1'!$C$6:$C$101,'PP1'!$B$6:$B$101,"")</f>
        <v/>
      </c>
      <c r="F17" s="104">
        <f>_xlfn.XLOOKUP(E17,'PP1'!$B$6:$B$55,'PP1'!$A$6:$A$55,0)</f>
        <v>0</v>
      </c>
      <c r="G17" s="6" t="str">
        <f>_xlfn.XLOOKUP($B17,'PP2'!$C$6:$C$101,'PP2'!$B$6:$B$101,"")</f>
        <v/>
      </c>
      <c r="H17" s="104">
        <f>_xlfn.XLOOKUP(G17,'PP2'!$B$6:$B$55,'PP2'!$A$6:$A$55,0)</f>
        <v>0</v>
      </c>
      <c r="I17" s="6" t="str">
        <f>_xlfn.XLOOKUP($B17,'PP3'!$C$6:$C$101,'PP3'!$B$6:$B$101,"")</f>
        <v/>
      </c>
      <c r="J17" s="104">
        <f>_xlfn.XLOOKUP(I17,'PP3'!$B$6:$B$55,'PP3'!$A$6:$A$55,0)</f>
        <v>0</v>
      </c>
      <c r="K17" s="6" t="str">
        <f>_xlfn.XLOOKUP($B17,'PP4'!$C$6:$C$101,'PP4'!$B$6:$B$101,"")</f>
        <v/>
      </c>
      <c r="L17" s="104">
        <f>_xlfn.XLOOKUP(K17,'PP4'!$B$6:$B$55,'PP4'!$A$6:$A$55,0)</f>
        <v>0</v>
      </c>
      <c r="M17" s="6" t="str">
        <f>_xlfn.XLOOKUP($B17,'PP5'!$C$6:$C$101,'PP5'!$B$6:$B$101,"")</f>
        <v/>
      </c>
      <c r="N17" s="104">
        <f>_xlfn.XLOOKUP(M17,'PP5'!$B$6:$B$55,'PP5'!$A$6:$A$55,0)</f>
        <v>0</v>
      </c>
      <c r="O17" s="6" t="str">
        <f>_xlfn.XLOOKUP(B17,MPW!C$6:C$101,MPW!B$6:B$101,"")</f>
        <v/>
      </c>
      <c r="P17" s="106">
        <f>_xlfn.XLOOKUP(O17,MPW!$B$6:$B$55,MPW!$A$6:$A$55,0)</f>
        <v>0</v>
      </c>
    </row>
    <row r="18" spans="1:16" ht="14.8" customHeight="1" x14ac:dyDescent="0.25">
      <c r="A18" s="212">
        <f t="shared" si="0"/>
        <v>13</v>
      </c>
      <c r="B18" s="5" t="s">
        <v>24</v>
      </c>
      <c r="C18" s="213"/>
      <c r="D18" s="112">
        <f t="shared" si="1"/>
        <v>0</v>
      </c>
      <c r="E18" s="6" t="str">
        <f>_xlfn.XLOOKUP($B18,'PP1'!$C$6:$C$101,'PP1'!$B$6:$B$101,"")</f>
        <v/>
      </c>
      <c r="F18" s="104">
        <f>_xlfn.XLOOKUP(E18,'PP1'!$B$6:$B$55,'PP1'!$A$6:$A$55,0)</f>
        <v>0</v>
      </c>
      <c r="G18" s="6" t="str">
        <f>_xlfn.XLOOKUP($B18,'PP2'!$C$6:$C$101,'PP2'!$B$6:$B$101,"")</f>
        <v/>
      </c>
      <c r="H18" s="104">
        <f>_xlfn.XLOOKUP(G18,'PP2'!$B$6:$B$55,'PP2'!$A$6:$A$55,0)</f>
        <v>0</v>
      </c>
      <c r="I18" s="6" t="str">
        <f>_xlfn.XLOOKUP($B18,'PP3'!$C$6:$C$101,'PP3'!$B$6:$B$101,"")</f>
        <v/>
      </c>
      <c r="J18" s="104">
        <f>_xlfn.XLOOKUP(I18,'PP3'!$B$6:$B$55,'PP3'!$A$6:$A$55,0)</f>
        <v>0</v>
      </c>
      <c r="K18" s="6" t="str">
        <f>_xlfn.XLOOKUP($B18,'PP4'!$C$6:$C$101,'PP4'!$B$6:$B$101,"")</f>
        <v/>
      </c>
      <c r="L18" s="104">
        <f>_xlfn.XLOOKUP(K18,'PP4'!$B$6:$B$55,'PP4'!$A$6:$A$55,0)</f>
        <v>0</v>
      </c>
      <c r="M18" s="6" t="str">
        <f>_xlfn.XLOOKUP($B18,'PP5'!$C$6:$C$101,'PP5'!$B$6:$B$101,"")</f>
        <v/>
      </c>
      <c r="N18" s="104">
        <f>_xlfn.XLOOKUP(M18,'PP5'!$B$6:$B$55,'PP5'!$A$6:$A$55,0)</f>
        <v>0</v>
      </c>
      <c r="O18" s="6" t="str">
        <f>_xlfn.XLOOKUP(B18,MPW!C$6:C$101,MPW!B$6:B$101,"")</f>
        <v/>
      </c>
      <c r="P18" s="106">
        <f>_xlfn.XLOOKUP(O18,MPW!$B$6:$B$55,MPW!$A$6:$A$55,0)</f>
        <v>0</v>
      </c>
    </row>
    <row r="19" spans="1:16" ht="14.8" customHeight="1" x14ac:dyDescent="0.25">
      <c r="A19" s="212">
        <f t="shared" si="0"/>
        <v>14</v>
      </c>
      <c r="B19" s="5" t="s">
        <v>24</v>
      </c>
      <c r="C19" s="213"/>
      <c r="D19" s="112">
        <f t="shared" si="1"/>
        <v>0</v>
      </c>
      <c r="E19" s="6" t="str">
        <f>_xlfn.XLOOKUP($B19,'PP1'!$C$6:$C$101,'PP1'!$B$6:$B$101,"")</f>
        <v/>
      </c>
      <c r="F19" s="104">
        <f>_xlfn.XLOOKUP(E19,'PP1'!$B$6:$B$55,'PP1'!$A$6:$A$55,0)</f>
        <v>0</v>
      </c>
      <c r="G19" s="6" t="str">
        <f>_xlfn.XLOOKUP($B19,'PP2'!$C$6:$C$101,'PP2'!$B$6:$B$101,"")</f>
        <v/>
      </c>
      <c r="H19" s="104">
        <f>_xlfn.XLOOKUP(G19,'PP2'!$B$6:$B$55,'PP2'!$A$6:$A$55,0)</f>
        <v>0</v>
      </c>
      <c r="I19" s="6" t="str">
        <f>_xlfn.XLOOKUP($B19,'PP3'!$C$6:$C$101,'PP3'!$B$6:$B$101,"")</f>
        <v/>
      </c>
      <c r="J19" s="104">
        <f>_xlfn.XLOOKUP(I19,'PP3'!$B$6:$B$55,'PP3'!$A$6:$A$55,0)</f>
        <v>0</v>
      </c>
      <c r="K19" s="6" t="str">
        <f>_xlfn.XLOOKUP($B19,'PP4'!$C$6:$C$101,'PP4'!$B$6:$B$101,"")</f>
        <v/>
      </c>
      <c r="L19" s="104">
        <f>_xlfn.XLOOKUP(K19,'PP4'!$B$6:$B$55,'PP4'!$A$6:$A$55,0)</f>
        <v>0</v>
      </c>
      <c r="M19" s="6" t="str">
        <f>_xlfn.XLOOKUP($B19,'PP5'!$C$6:$C$101,'PP5'!$B$6:$B$101,"")</f>
        <v/>
      </c>
      <c r="N19" s="104">
        <f>_xlfn.XLOOKUP(M19,'PP5'!$B$6:$B$55,'PP5'!$A$6:$A$55,0)</f>
        <v>0</v>
      </c>
      <c r="O19" s="6" t="str">
        <f>_xlfn.XLOOKUP(B19,MPW!C$6:C$101,MPW!B$6:B$101,"")</f>
        <v/>
      </c>
      <c r="P19" s="106">
        <f>_xlfn.XLOOKUP(O19,MPW!$B$6:$B$55,MPW!$A$6:$A$55,0)</f>
        <v>0</v>
      </c>
    </row>
    <row r="20" spans="1:16" ht="14.8" customHeight="1" x14ac:dyDescent="0.25">
      <c r="A20" s="212">
        <f t="shared" si="0"/>
        <v>15</v>
      </c>
      <c r="B20" s="5" t="s">
        <v>24</v>
      </c>
      <c r="C20" s="213"/>
      <c r="D20" s="112">
        <f t="shared" si="1"/>
        <v>0</v>
      </c>
      <c r="E20" s="6" t="str">
        <f>_xlfn.XLOOKUP($B20,'PP1'!$C$6:$C$101,'PP1'!$B$6:$B$101,"")</f>
        <v/>
      </c>
      <c r="F20" s="104">
        <f>_xlfn.XLOOKUP(E20,'PP1'!$B$6:$B$55,'PP1'!$A$6:$A$55,0)</f>
        <v>0</v>
      </c>
      <c r="G20" s="6" t="str">
        <f>_xlfn.XLOOKUP($B20,'PP2'!$C$6:$C$101,'PP2'!$B$6:$B$101,"")</f>
        <v/>
      </c>
      <c r="H20" s="104">
        <f>_xlfn.XLOOKUP(G20,'PP2'!$B$6:$B$55,'PP2'!$A$6:$A$55,0)</f>
        <v>0</v>
      </c>
      <c r="I20" s="6" t="str">
        <f>_xlfn.XLOOKUP($B20,'PP3'!$C$6:$C$101,'PP3'!$B$6:$B$101,"")</f>
        <v/>
      </c>
      <c r="J20" s="104">
        <f>_xlfn.XLOOKUP(I20,'PP3'!$B$6:$B$55,'PP3'!$A$6:$A$55,0)</f>
        <v>0</v>
      </c>
      <c r="K20" s="6" t="str">
        <f>_xlfn.XLOOKUP($B20,'PP4'!$C$6:$C$101,'PP4'!$B$6:$B$101,"")</f>
        <v/>
      </c>
      <c r="L20" s="104">
        <f>_xlfn.XLOOKUP(K20,'PP4'!$B$6:$B$55,'PP4'!$A$6:$A$55,0)</f>
        <v>0</v>
      </c>
      <c r="M20" s="6" t="str">
        <f>_xlfn.XLOOKUP($B20,'PP5'!$C$6:$C$101,'PP5'!$B$6:$B$101,"")</f>
        <v/>
      </c>
      <c r="N20" s="104">
        <f>_xlfn.XLOOKUP(M20,'PP5'!$B$6:$B$55,'PP5'!$A$6:$A$55,0)</f>
        <v>0</v>
      </c>
      <c r="O20" s="6" t="str">
        <f>_xlfn.XLOOKUP(B20,MPW!C$6:C$101,MPW!B$6:B$101,"")</f>
        <v/>
      </c>
      <c r="P20" s="106">
        <f>_xlfn.XLOOKUP(O20,MPW!$B$6:$B$55,MPW!$A$6:$A$55,0)</f>
        <v>0</v>
      </c>
    </row>
    <row r="21" spans="1:16" ht="14.8" customHeight="1" x14ac:dyDescent="0.25">
      <c r="A21" s="212">
        <f t="shared" si="0"/>
        <v>16</v>
      </c>
      <c r="B21" s="5" t="s">
        <v>24</v>
      </c>
      <c r="C21" s="213"/>
      <c r="D21" s="112">
        <f t="shared" si="1"/>
        <v>0</v>
      </c>
      <c r="E21" s="6" t="str">
        <f>_xlfn.XLOOKUP($B21,'PP1'!$C$6:$C$101,'PP1'!$B$6:$B$101,"")</f>
        <v/>
      </c>
      <c r="F21" s="104">
        <f>_xlfn.XLOOKUP(E21,'PP1'!$B$6:$B$55,'PP1'!$A$6:$A$55,0)</f>
        <v>0</v>
      </c>
      <c r="G21" s="6" t="str">
        <f>_xlfn.XLOOKUP($B21,'PP2'!$C$6:$C$101,'PP2'!$B$6:$B$101,"")</f>
        <v/>
      </c>
      <c r="H21" s="104">
        <f>_xlfn.XLOOKUP(G21,'PP2'!$B$6:$B$55,'PP2'!$A$6:$A$55,0)</f>
        <v>0</v>
      </c>
      <c r="I21" s="6" t="str">
        <f>_xlfn.XLOOKUP($B21,'PP3'!$C$6:$C$101,'PP3'!$B$6:$B$101,"")</f>
        <v/>
      </c>
      <c r="J21" s="104">
        <f>_xlfn.XLOOKUP(I21,'PP3'!$B$6:$B$55,'PP3'!$A$6:$A$55,0)</f>
        <v>0</v>
      </c>
      <c r="K21" s="6" t="str">
        <f>_xlfn.XLOOKUP($B21,'PP4'!$C$6:$C$101,'PP4'!$B$6:$B$101,"")</f>
        <v/>
      </c>
      <c r="L21" s="104">
        <f>_xlfn.XLOOKUP(K21,'PP4'!$B$6:$B$55,'PP4'!$A$6:$A$55,0)</f>
        <v>0</v>
      </c>
      <c r="M21" s="6" t="str">
        <f>_xlfn.XLOOKUP($B21,'PP5'!$C$6:$C$101,'PP5'!$B$6:$B$101,"")</f>
        <v/>
      </c>
      <c r="N21" s="104">
        <f>_xlfn.XLOOKUP(M21,'PP5'!$B$6:$B$55,'PP5'!$A$6:$A$55,0)</f>
        <v>0</v>
      </c>
      <c r="O21" s="6" t="str">
        <f>_xlfn.XLOOKUP(B21,MPW!C$6:C$101,MPW!B$6:B$101,"")</f>
        <v/>
      </c>
      <c r="P21" s="106">
        <f>_xlfn.XLOOKUP(O21,MPW!$B$6:$B$55,MPW!$A$6:$A$55,0)</f>
        <v>0</v>
      </c>
    </row>
    <row r="22" spans="1:1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65.400000000000006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</sheetData>
  <sheetProtection selectLockedCells="1" selectUnlockedCells="1"/>
  <autoFilter ref="A5:P5" xr:uid="{3F920EC5-A26B-4FC3-9667-336334CFD186}">
    <sortState xmlns:xlrd2="http://schemas.microsoft.com/office/spreadsheetml/2017/richdata2" ref="A7:P21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1">
    <cfRule type="cellIs" dxfId="27" priority="5" operator="equal">
      <formula>3</formula>
    </cfRule>
    <cfRule type="cellIs" dxfId="26" priority="6" operator="equal">
      <formula>2</formula>
    </cfRule>
    <cfRule type="cellIs" dxfId="25" priority="7" operator="equal">
      <formula>1</formula>
    </cfRule>
  </conditionalFormatting>
  <conditionalFormatting sqref="D6:P21">
    <cfRule type="cellIs" dxfId="24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J10" sqref="J10"/>
    </sheetView>
  </sheetViews>
  <sheetFormatPr defaultColWidth="8.875" defaultRowHeight="14.3" x14ac:dyDescent="0.25"/>
  <cols>
    <col min="1" max="1" width="8" style="52" customWidth="1"/>
    <col min="2" max="2" width="8.25" style="52" customWidth="1"/>
    <col min="3" max="3" width="34.75" style="52" customWidth="1"/>
    <col min="4" max="4" width="11.25" style="52" customWidth="1"/>
    <col min="5" max="6" width="8.875" style="52"/>
    <col min="7" max="7" width="0.875" style="52" customWidth="1"/>
    <col min="8" max="8" width="8.875" style="54"/>
    <col min="9" max="9" width="11" style="54" customWidth="1"/>
    <col min="10" max="10" width="15.25" style="54" customWidth="1"/>
    <col min="11" max="11" width="8.75" style="54" customWidth="1"/>
    <col min="12" max="12" width="11" style="54" customWidth="1"/>
    <col min="13" max="13" width="12.25" style="55" customWidth="1"/>
    <col min="14" max="15" width="13.875" style="8" customWidth="1"/>
    <col min="16" max="18" width="8.875" style="8"/>
    <col min="19" max="20" width="8.875" style="13"/>
    <col min="21" max="21" width="12.125" style="13" customWidth="1"/>
    <col min="22" max="22" width="27.375" style="13" customWidth="1"/>
    <col min="23" max="38" width="8.875" style="13"/>
    <col min="39" max="16384" width="8.875" style="52"/>
  </cols>
  <sheetData>
    <row r="1" spans="1:36" x14ac:dyDescent="0.25">
      <c r="A1" s="8"/>
      <c r="B1" s="8"/>
      <c r="C1" s="8"/>
      <c r="D1" s="8"/>
      <c r="E1" s="8"/>
      <c r="F1" s="8"/>
      <c r="G1" s="8"/>
      <c r="H1" s="9" t="s">
        <v>25</v>
      </c>
      <c r="I1" s="10" t="s">
        <v>26</v>
      </c>
      <c r="J1" s="10" t="s">
        <v>27</v>
      </c>
      <c r="K1" s="11" t="s">
        <v>28</v>
      </c>
      <c r="L1" s="12"/>
      <c r="M1" s="12"/>
    </row>
    <row r="2" spans="1:36" ht="14.45" customHeight="1" x14ac:dyDescent="0.25">
      <c r="A2" s="8"/>
      <c r="B2" s="14" t="s">
        <v>29</v>
      </c>
      <c r="C2" s="239" t="s">
        <v>30</v>
      </c>
      <c r="D2" s="239"/>
      <c r="E2" s="15"/>
      <c r="F2" s="15"/>
      <c r="G2" s="15"/>
      <c r="H2" s="16">
        <v>5</v>
      </c>
      <c r="I2" s="17">
        <v>50</v>
      </c>
      <c r="J2" s="17">
        <v>10</v>
      </c>
      <c r="K2" s="18">
        <f>3*H2^(1/3)</f>
        <v>5.1299278400300903</v>
      </c>
      <c r="L2" s="12"/>
      <c r="M2" s="12"/>
    </row>
    <row r="3" spans="1:36" ht="14.45" customHeight="1" x14ac:dyDescent="0.25">
      <c r="A3" s="8"/>
      <c r="B3" s="19" t="s">
        <v>31</v>
      </c>
      <c r="C3" s="240" t="s">
        <v>32</v>
      </c>
      <c r="D3" s="240"/>
      <c r="E3" s="20"/>
      <c r="F3" s="20"/>
      <c r="G3" s="20"/>
      <c r="H3" s="12"/>
      <c r="I3" s="12"/>
      <c r="J3" s="21"/>
      <c r="K3" s="12"/>
      <c r="L3" s="12"/>
      <c r="M3" s="12"/>
    </row>
    <row r="4" spans="1:36" ht="10.199999999999999" customHeight="1" x14ac:dyDescent="0.25">
      <c r="A4" s="22"/>
      <c r="B4" s="20"/>
      <c r="C4" s="22"/>
      <c r="D4" s="22"/>
      <c r="E4" s="22"/>
      <c r="F4" s="22"/>
      <c r="G4" s="22"/>
      <c r="H4" s="12"/>
      <c r="I4" s="12"/>
      <c r="J4" s="21"/>
      <c r="K4" s="12"/>
      <c r="L4" s="12"/>
      <c r="M4" s="12"/>
    </row>
    <row r="5" spans="1:36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24" t="s">
        <v>39</v>
      </c>
      <c r="I5" s="25" t="s">
        <v>40</v>
      </c>
      <c r="J5" s="26" t="s">
        <v>41</v>
      </c>
      <c r="K5" s="25" t="s">
        <v>42</v>
      </c>
      <c r="L5" s="25" t="s">
        <v>43</v>
      </c>
      <c r="M5" s="24" t="s">
        <v>44</v>
      </c>
    </row>
    <row r="6" spans="1:36" ht="14.45" customHeight="1" x14ac:dyDescent="0.25">
      <c r="A6" s="27">
        <f>M6</f>
        <v>95.389783520090276</v>
      </c>
      <c r="B6" s="28">
        <f t="shared" ref="B6:B16" si="0">IF(H6&gt;$H$2,"",(ROW()-5))</f>
        <v>1</v>
      </c>
      <c r="C6" s="29" t="s">
        <v>16</v>
      </c>
      <c r="D6" s="29" t="s">
        <v>45</v>
      </c>
      <c r="E6" s="29"/>
      <c r="F6" s="29" t="s">
        <v>46</v>
      </c>
      <c r="G6" s="22"/>
      <c r="H6" s="30">
        <v>1</v>
      </c>
      <c r="I6" s="31">
        <f>IF(H2=1,50,IF(H6&lt;$H$2+1,($I$2-($I$2-1)*(LOG(H6)/LOG($H$2))),""))</f>
        <v>50</v>
      </c>
      <c r="J6" s="30">
        <f>INT(LOG($H$2,2))-ROUNDUP(LOG(H6,2),0)+IF(OR($H$2=1,$H$2=2,$H$2=4,$H$2=8,$H$2=16,$H$2=32,$H$2=64,$H$2=128,$H$2=256),0,1)</f>
        <v>3</v>
      </c>
      <c r="K6" s="30">
        <f t="shared" ref="K6:K69" si="1">J6*$J$2</f>
        <v>30</v>
      </c>
      <c r="L6" s="32">
        <f>3*K2</f>
        <v>15.389783520090271</v>
      </c>
      <c r="M6" s="32">
        <f t="shared" ref="M6:M69" si="2">IF(I6&lt;&gt;"",K6+I6+L6,0)</f>
        <v>95.389783520090276</v>
      </c>
    </row>
    <row r="7" spans="1:36" ht="14.45" customHeight="1" x14ac:dyDescent="0.25">
      <c r="A7" s="33">
        <f t="shared" ref="A7:A37" si="3">M7</f>
        <v>59.156704334463925</v>
      </c>
      <c r="B7" s="34">
        <f t="shared" si="0"/>
        <v>2</v>
      </c>
      <c r="C7" s="35" t="s">
        <v>17</v>
      </c>
      <c r="D7" s="35" t="s">
        <v>47</v>
      </c>
      <c r="E7" s="35"/>
      <c r="F7" s="35" t="s">
        <v>46</v>
      </c>
      <c r="G7" s="22"/>
      <c r="H7" s="36">
        <v>2</v>
      </c>
      <c r="I7" s="37">
        <f t="shared" ref="I7:I69" si="4">IF(H7&lt;$H$2+1,($I$2-($I$2-1)*(LOG(H7)/LOG($H$2))),"")</f>
        <v>28.896848654403744</v>
      </c>
      <c r="J7" s="36">
        <f t="shared" ref="J7:J70" si="5">INT(LOG($H$2,2))-ROUNDUP(LOG(H7,2),0)+IF(OR($H$2=1,$H$2=2,$H$2=4,$H$2=8,$H$2=16,$H$2=32,$H$2=64,$H$2=128,$H$2=256),0,1)</f>
        <v>2</v>
      </c>
      <c r="K7" s="36">
        <f t="shared" si="1"/>
        <v>20</v>
      </c>
      <c r="L7" s="38">
        <f>2*K2</f>
        <v>10.259855680060181</v>
      </c>
      <c r="M7" s="38">
        <f t="shared" si="2"/>
        <v>59.156704334463925</v>
      </c>
    </row>
    <row r="8" spans="1:36" ht="14.45" customHeight="1" x14ac:dyDescent="0.25">
      <c r="A8" s="27">
        <f t="shared" si="3"/>
        <v>31.682224310216817</v>
      </c>
      <c r="B8" s="28">
        <f t="shared" si="0"/>
        <v>3</v>
      </c>
      <c r="C8" s="29" t="s">
        <v>21</v>
      </c>
      <c r="D8" s="29" t="s">
        <v>48</v>
      </c>
      <c r="E8" s="29"/>
      <c r="F8" s="29" t="s">
        <v>46</v>
      </c>
      <c r="G8" s="22"/>
      <c r="H8" s="30">
        <v>3</v>
      </c>
      <c r="I8" s="31">
        <f t="shared" si="4"/>
        <v>16.552296470186725</v>
      </c>
      <c r="J8" s="30">
        <f t="shared" si="5"/>
        <v>1</v>
      </c>
      <c r="K8" s="30">
        <f t="shared" si="1"/>
        <v>10</v>
      </c>
      <c r="L8" s="32">
        <f>K2</f>
        <v>5.1299278400300903</v>
      </c>
      <c r="M8" s="32">
        <f t="shared" si="2"/>
        <v>31.682224310216817</v>
      </c>
    </row>
    <row r="9" spans="1:36" ht="14.45" customHeight="1" x14ac:dyDescent="0.25">
      <c r="A9" s="33">
        <f t="shared" si="3"/>
        <v>17.793697308807488</v>
      </c>
      <c r="B9" s="34">
        <f t="shared" si="0"/>
        <v>4</v>
      </c>
      <c r="C9" s="35" t="s">
        <v>19</v>
      </c>
      <c r="D9" s="35" t="s">
        <v>49</v>
      </c>
      <c r="E9" s="35"/>
      <c r="F9" s="35" t="s">
        <v>46</v>
      </c>
      <c r="G9" s="22"/>
      <c r="H9" s="36">
        <v>4</v>
      </c>
      <c r="I9" s="37">
        <f t="shared" si="4"/>
        <v>7.7936973088074879</v>
      </c>
      <c r="J9" s="36">
        <f t="shared" si="5"/>
        <v>1</v>
      </c>
      <c r="K9" s="36">
        <f t="shared" si="1"/>
        <v>10</v>
      </c>
      <c r="L9" s="38"/>
      <c r="M9" s="38">
        <f t="shared" si="2"/>
        <v>17.793697308807488</v>
      </c>
      <c r="AH9" s="13" t="s">
        <v>50</v>
      </c>
      <c r="AI9" s="13">
        <v>23</v>
      </c>
    </row>
    <row r="10" spans="1:36" ht="14.45" customHeight="1" x14ac:dyDescent="0.25">
      <c r="A10" s="27">
        <f t="shared" si="3"/>
        <v>1</v>
      </c>
      <c r="B10" s="28">
        <f t="shared" si="0"/>
        <v>5</v>
      </c>
      <c r="C10" s="29" t="s">
        <v>22</v>
      </c>
      <c r="D10" s="29" t="s">
        <v>51</v>
      </c>
      <c r="E10" s="29"/>
      <c r="F10" s="29" t="s">
        <v>46</v>
      </c>
      <c r="G10" s="22"/>
      <c r="H10" s="30">
        <v>5</v>
      </c>
      <c r="I10" s="31">
        <f t="shared" si="4"/>
        <v>1</v>
      </c>
      <c r="J10" s="30">
        <f t="shared" si="5"/>
        <v>0</v>
      </c>
      <c r="K10" s="30">
        <f t="shared" si="1"/>
        <v>0</v>
      </c>
      <c r="L10" s="30"/>
      <c r="M10" s="32">
        <f t="shared" si="2"/>
        <v>1</v>
      </c>
      <c r="V10" s="39"/>
      <c r="Z10" s="40"/>
      <c r="AA10" s="40"/>
      <c r="AG10" s="41"/>
      <c r="AH10" s="13" t="s">
        <v>52</v>
      </c>
      <c r="AI10" s="13">
        <v>45</v>
      </c>
    </row>
    <row r="11" spans="1:36" ht="14.45" customHeight="1" x14ac:dyDescent="0.25">
      <c r="A11" s="33">
        <f t="shared" si="3"/>
        <v>0</v>
      </c>
      <c r="B11" s="34" t="str">
        <f t="shared" si="0"/>
        <v/>
      </c>
      <c r="C11" s="35"/>
      <c r="D11" s="35"/>
      <c r="E11" s="35"/>
      <c r="F11" s="35"/>
      <c r="G11" s="22"/>
      <c r="H11" s="36">
        <v>6</v>
      </c>
      <c r="I11" s="37" t="str">
        <f t="shared" si="4"/>
        <v/>
      </c>
      <c r="J11" s="36">
        <f t="shared" si="5"/>
        <v>0</v>
      </c>
      <c r="K11" s="36">
        <f t="shared" si="1"/>
        <v>0</v>
      </c>
      <c r="L11" s="36"/>
      <c r="M11" s="38">
        <f t="shared" si="2"/>
        <v>0</v>
      </c>
      <c r="V11" s="42"/>
      <c r="Z11" s="40"/>
      <c r="AA11" s="40"/>
      <c r="AG11" s="41"/>
      <c r="AH11" s="13" t="s">
        <v>53</v>
      </c>
      <c r="AI11" s="13">
        <v>50</v>
      </c>
    </row>
    <row r="12" spans="1:36" x14ac:dyDescent="0.25">
      <c r="A12" s="27">
        <f t="shared" si="3"/>
        <v>0</v>
      </c>
      <c r="B12" s="28" t="str">
        <f t="shared" si="0"/>
        <v/>
      </c>
      <c r="C12" s="29"/>
      <c r="D12" s="29"/>
      <c r="E12" s="29"/>
      <c r="F12" s="29"/>
      <c r="G12" s="22"/>
      <c r="H12" s="30">
        <v>7</v>
      </c>
      <c r="I12" s="31" t="str">
        <f t="shared" si="4"/>
        <v/>
      </c>
      <c r="J12" s="30">
        <f t="shared" si="5"/>
        <v>0</v>
      </c>
      <c r="K12" s="30">
        <f t="shared" si="1"/>
        <v>0</v>
      </c>
      <c r="L12" s="30"/>
      <c r="M12" s="32">
        <f t="shared" si="2"/>
        <v>0</v>
      </c>
      <c r="X12" s="45"/>
      <c r="Z12" s="40"/>
      <c r="AA12" s="40"/>
      <c r="AG12" s="41"/>
      <c r="AH12" s="13" t="s">
        <v>54</v>
      </c>
      <c r="AI12" s="13">
        <f>AI11-1</f>
        <v>49</v>
      </c>
    </row>
    <row r="13" spans="1:36" ht="14.45" customHeight="1" x14ac:dyDescent="0.25">
      <c r="A13" s="43">
        <f t="shared" si="3"/>
        <v>0</v>
      </c>
      <c r="B13" s="34" t="str">
        <f t="shared" si="0"/>
        <v/>
      </c>
      <c r="C13" s="35"/>
      <c r="D13" s="35"/>
      <c r="E13" s="35"/>
      <c r="F13" s="35"/>
      <c r="G13" s="22"/>
      <c r="H13" s="36">
        <v>8</v>
      </c>
      <c r="I13" s="37" t="str">
        <f t="shared" si="4"/>
        <v/>
      </c>
      <c r="J13" s="36">
        <f t="shared" si="5"/>
        <v>0</v>
      </c>
      <c r="K13" s="36">
        <f t="shared" si="1"/>
        <v>0</v>
      </c>
      <c r="L13" s="36"/>
      <c r="M13" s="38">
        <f t="shared" si="2"/>
        <v>0</v>
      </c>
      <c r="X13" s="39"/>
      <c r="AG13" s="41"/>
      <c r="AH13" s="13" t="s">
        <v>55</v>
      </c>
      <c r="AI13" s="13">
        <f>LOG(AI9)</f>
        <v>1.3617278360175928</v>
      </c>
    </row>
    <row r="14" spans="1:36" x14ac:dyDescent="0.25">
      <c r="A14" s="44">
        <f t="shared" si="3"/>
        <v>0</v>
      </c>
      <c r="B14" s="28" t="str">
        <f t="shared" si="0"/>
        <v/>
      </c>
      <c r="C14" s="29"/>
      <c r="D14" s="29"/>
      <c r="E14" s="29"/>
      <c r="F14" s="29"/>
      <c r="G14" s="22"/>
      <c r="H14" s="30">
        <v>9</v>
      </c>
      <c r="I14" s="31" t="str">
        <f t="shared" si="4"/>
        <v/>
      </c>
      <c r="J14" s="30">
        <f t="shared" si="5"/>
        <v>-1</v>
      </c>
      <c r="K14" s="30">
        <f t="shared" si="1"/>
        <v>-10</v>
      </c>
      <c r="L14" s="30"/>
      <c r="M14" s="32">
        <f t="shared" si="2"/>
        <v>0</v>
      </c>
      <c r="X14" s="45"/>
      <c r="Z14" s="40"/>
      <c r="AA14" s="40"/>
      <c r="AG14" s="41"/>
      <c r="AH14" s="13" t="s">
        <v>56</v>
      </c>
      <c r="AI14" s="13">
        <f>LOG(AI10)</f>
        <v>1.6532125137753437</v>
      </c>
    </row>
    <row r="15" spans="1:36" x14ac:dyDescent="0.25">
      <c r="A15" s="43">
        <f t="shared" si="3"/>
        <v>0</v>
      </c>
      <c r="B15" s="34" t="str">
        <f t="shared" si="0"/>
        <v/>
      </c>
      <c r="C15" s="35"/>
      <c r="D15" s="35"/>
      <c r="E15" s="35"/>
      <c r="F15" s="35"/>
      <c r="G15" s="22"/>
      <c r="H15" s="36">
        <v>10</v>
      </c>
      <c r="I15" s="37" t="str">
        <f t="shared" si="4"/>
        <v/>
      </c>
      <c r="J15" s="36">
        <f t="shared" si="5"/>
        <v>-1</v>
      </c>
      <c r="K15" s="36">
        <f t="shared" si="1"/>
        <v>-10</v>
      </c>
      <c r="L15" s="36"/>
      <c r="M15" s="38">
        <f t="shared" si="2"/>
        <v>0</v>
      </c>
      <c r="X15" s="39"/>
      <c r="Z15" s="40"/>
      <c r="AA15" s="40"/>
    </row>
    <row r="16" spans="1:36" x14ac:dyDescent="0.25">
      <c r="A16" s="44">
        <f t="shared" si="3"/>
        <v>0</v>
      </c>
      <c r="B16" s="28" t="str">
        <f t="shared" si="0"/>
        <v/>
      </c>
      <c r="C16" s="29"/>
      <c r="D16" s="29"/>
      <c r="E16" s="29"/>
      <c r="F16" s="29"/>
      <c r="G16" s="22"/>
      <c r="H16" s="30">
        <v>11</v>
      </c>
      <c r="I16" s="31" t="str">
        <f t="shared" si="4"/>
        <v/>
      </c>
      <c r="J16" s="30">
        <f t="shared" si="5"/>
        <v>-1</v>
      </c>
      <c r="K16" s="30">
        <f t="shared" si="1"/>
        <v>-10</v>
      </c>
      <c r="L16" s="30"/>
      <c r="M16" s="32">
        <f t="shared" si="2"/>
        <v>0</v>
      </c>
      <c r="R16" s="46"/>
      <c r="Z16" s="40"/>
      <c r="AA16" s="40"/>
      <c r="AH16" s="47" t="s">
        <v>57</v>
      </c>
      <c r="AI16" s="13">
        <f>AI11-AI12*AI13/AI14</f>
        <v>9.6393909380186855</v>
      </c>
      <c r="AJ16" s="13" t="s">
        <v>58</v>
      </c>
    </row>
    <row r="17" spans="1:19" x14ac:dyDescent="0.25">
      <c r="A17" s="43">
        <f t="shared" si="3"/>
        <v>0</v>
      </c>
      <c r="B17" s="34" t="str">
        <f t="shared" ref="B17:B65" si="6">IF(H17&gt;$H$2,"",(ROW()-5))</f>
        <v/>
      </c>
      <c r="C17" s="35"/>
      <c r="D17" s="35"/>
      <c r="E17" s="35"/>
      <c r="F17" s="35"/>
      <c r="G17" s="22"/>
      <c r="H17" s="36">
        <v>12</v>
      </c>
      <c r="I17" s="37" t="str">
        <f t="shared" si="4"/>
        <v/>
      </c>
      <c r="J17" s="36">
        <f t="shared" si="5"/>
        <v>-1</v>
      </c>
      <c r="K17" s="36">
        <f t="shared" si="1"/>
        <v>-10</v>
      </c>
      <c r="L17" s="36"/>
      <c r="M17" s="38">
        <f t="shared" si="2"/>
        <v>0</v>
      </c>
    </row>
    <row r="18" spans="1:19" x14ac:dyDescent="0.25">
      <c r="A18" s="44">
        <f t="shared" si="3"/>
        <v>0</v>
      </c>
      <c r="B18" s="28" t="str">
        <f t="shared" si="6"/>
        <v/>
      </c>
      <c r="C18" s="29"/>
      <c r="D18" s="29"/>
      <c r="E18" s="29"/>
      <c r="F18" s="29"/>
      <c r="G18" s="22"/>
      <c r="H18" s="30">
        <v>13</v>
      </c>
      <c r="I18" s="31" t="str">
        <f t="shared" si="4"/>
        <v/>
      </c>
      <c r="J18" s="30">
        <f t="shared" si="5"/>
        <v>-1</v>
      </c>
      <c r="K18" s="30">
        <f t="shared" si="1"/>
        <v>-10</v>
      </c>
      <c r="L18" s="30"/>
      <c r="M18" s="32">
        <f t="shared" si="2"/>
        <v>0</v>
      </c>
    </row>
    <row r="19" spans="1:19" x14ac:dyDescent="0.25">
      <c r="A19" s="43">
        <f t="shared" si="3"/>
        <v>0</v>
      </c>
      <c r="B19" s="34" t="str">
        <f t="shared" si="6"/>
        <v/>
      </c>
      <c r="C19" s="35"/>
      <c r="D19" s="35"/>
      <c r="E19" s="35"/>
      <c r="F19" s="35"/>
      <c r="G19" s="22"/>
      <c r="H19" s="36">
        <v>14</v>
      </c>
      <c r="I19" s="37" t="str">
        <f t="shared" si="4"/>
        <v/>
      </c>
      <c r="J19" s="36">
        <f t="shared" si="5"/>
        <v>-1</v>
      </c>
      <c r="K19" s="36">
        <f t="shared" si="1"/>
        <v>-10</v>
      </c>
      <c r="L19" s="36"/>
      <c r="M19" s="38">
        <f t="shared" si="2"/>
        <v>0</v>
      </c>
    </row>
    <row r="20" spans="1:19" x14ac:dyDescent="0.25">
      <c r="A20" s="44">
        <f t="shared" si="3"/>
        <v>0</v>
      </c>
      <c r="B20" s="28" t="str">
        <f t="shared" si="6"/>
        <v/>
      </c>
      <c r="C20" s="29"/>
      <c r="D20" s="29"/>
      <c r="E20" s="29"/>
      <c r="F20" s="29"/>
      <c r="G20" s="22"/>
      <c r="H20" s="30">
        <v>15</v>
      </c>
      <c r="I20" s="31" t="str">
        <f t="shared" si="4"/>
        <v/>
      </c>
      <c r="J20" s="30">
        <f t="shared" si="5"/>
        <v>-1</v>
      </c>
      <c r="K20" s="30">
        <f t="shared" si="1"/>
        <v>-10</v>
      </c>
      <c r="L20" s="30"/>
      <c r="M20" s="32">
        <f t="shared" si="2"/>
        <v>0</v>
      </c>
      <c r="R20" s="48"/>
      <c r="S20" s="49"/>
    </row>
    <row r="21" spans="1:19" x14ac:dyDescent="0.25">
      <c r="A21" s="43">
        <f t="shared" si="3"/>
        <v>0</v>
      </c>
      <c r="B21" s="34" t="str">
        <f t="shared" si="6"/>
        <v/>
      </c>
      <c r="C21" s="35"/>
      <c r="D21" s="35"/>
      <c r="E21" s="35"/>
      <c r="F21" s="35"/>
      <c r="G21" s="22"/>
      <c r="H21" s="36">
        <v>16</v>
      </c>
      <c r="I21" s="37" t="str">
        <f t="shared" si="4"/>
        <v/>
      </c>
      <c r="J21" s="36">
        <f t="shared" si="5"/>
        <v>-1</v>
      </c>
      <c r="K21" s="36">
        <f t="shared" si="1"/>
        <v>-10</v>
      </c>
      <c r="L21" s="36"/>
      <c r="M21" s="38">
        <f t="shared" si="2"/>
        <v>0</v>
      </c>
    </row>
    <row r="22" spans="1:19" x14ac:dyDescent="0.25">
      <c r="A22" s="44">
        <f t="shared" si="3"/>
        <v>0</v>
      </c>
      <c r="B22" s="28" t="str">
        <f t="shared" si="6"/>
        <v/>
      </c>
      <c r="C22" s="29"/>
      <c r="D22" s="29"/>
      <c r="E22" s="29"/>
      <c r="F22" s="29"/>
      <c r="G22" s="22"/>
      <c r="H22" s="30">
        <v>17</v>
      </c>
      <c r="I22" s="31" t="str">
        <f t="shared" si="4"/>
        <v/>
      </c>
      <c r="J22" s="30">
        <f t="shared" si="5"/>
        <v>-2</v>
      </c>
      <c r="K22" s="30">
        <f t="shared" si="1"/>
        <v>-20</v>
      </c>
      <c r="L22" s="30"/>
      <c r="M22" s="32">
        <f t="shared" si="2"/>
        <v>0</v>
      </c>
    </row>
    <row r="23" spans="1:19" x14ac:dyDescent="0.25">
      <c r="A23" s="43">
        <f t="shared" si="3"/>
        <v>0</v>
      </c>
      <c r="B23" s="34" t="str">
        <f t="shared" si="6"/>
        <v/>
      </c>
      <c r="C23" s="35"/>
      <c r="D23" s="35"/>
      <c r="E23" s="35"/>
      <c r="F23" s="35"/>
      <c r="G23" s="22"/>
      <c r="H23" s="36">
        <v>18</v>
      </c>
      <c r="I23" s="37" t="str">
        <f t="shared" si="4"/>
        <v/>
      </c>
      <c r="J23" s="36">
        <f t="shared" si="5"/>
        <v>-2</v>
      </c>
      <c r="K23" s="36">
        <f t="shared" si="1"/>
        <v>-20</v>
      </c>
      <c r="L23" s="36"/>
      <c r="M23" s="38">
        <f t="shared" si="2"/>
        <v>0</v>
      </c>
    </row>
    <row r="24" spans="1:19" x14ac:dyDescent="0.25">
      <c r="A24" s="44">
        <f t="shared" si="3"/>
        <v>0</v>
      </c>
      <c r="B24" s="28" t="str">
        <f t="shared" si="6"/>
        <v/>
      </c>
      <c r="C24" s="29"/>
      <c r="D24" s="29"/>
      <c r="E24" s="29"/>
      <c r="F24" s="29"/>
      <c r="G24" s="22"/>
      <c r="H24" s="30">
        <v>19</v>
      </c>
      <c r="I24" s="31" t="str">
        <f t="shared" si="4"/>
        <v/>
      </c>
      <c r="J24" s="30">
        <f t="shared" si="5"/>
        <v>-2</v>
      </c>
      <c r="K24" s="30">
        <f t="shared" si="1"/>
        <v>-20</v>
      </c>
      <c r="L24" s="30"/>
      <c r="M24" s="32">
        <f t="shared" si="2"/>
        <v>0</v>
      </c>
      <c r="R24" s="48"/>
      <c r="S24" s="49"/>
    </row>
    <row r="25" spans="1:19" x14ac:dyDescent="0.25">
      <c r="A25" s="43">
        <f t="shared" si="3"/>
        <v>0</v>
      </c>
      <c r="B25" s="34" t="str">
        <f t="shared" si="6"/>
        <v/>
      </c>
      <c r="C25" s="35"/>
      <c r="D25" s="35"/>
      <c r="E25" s="35"/>
      <c r="F25" s="35"/>
      <c r="G25" s="22"/>
      <c r="H25" s="36">
        <v>20</v>
      </c>
      <c r="I25" s="37" t="str">
        <f t="shared" si="4"/>
        <v/>
      </c>
      <c r="J25" s="36">
        <f t="shared" si="5"/>
        <v>-2</v>
      </c>
      <c r="K25" s="36">
        <f t="shared" si="1"/>
        <v>-20</v>
      </c>
      <c r="L25" s="36"/>
      <c r="M25" s="38">
        <f t="shared" si="2"/>
        <v>0</v>
      </c>
    </row>
    <row r="26" spans="1:19" x14ac:dyDescent="0.25">
      <c r="A26" s="44">
        <f t="shared" si="3"/>
        <v>0</v>
      </c>
      <c r="B26" s="28" t="str">
        <f t="shared" si="6"/>
        <v/>
      </c>
      <c r="C26" s="29"/>
      <c r="D26" s="29"/>
      <c r="E26" s="29"/>
      <c r="F26" s="29"/>
      <c r="G26" s="22"/>
      <c r="H26" s="30">
        <v>21</v>
      </c>
      <c r="I26" s="31" t="str">
        <f t="shared" si="4"/>
        <v/>
      </c>
      <c r="J26" s="30">
        <f t="shared" si="5"/>
        <v>-2</v>
      </c>
      <c r="K26" s="30">
        <f t="shared" si="1"/>
        <v>-20</v>
      </c>
      <c r="L26" s="30"/>
      <c r="M26" s="32">
        <f t="shared" si="2"/>
        <v>0</v>
      </c>
    </row>
    <row r="27" spans="1:19" x14ac:dyDescent="0.25">
      <c r="A27" s="43">
        <f t="shared" si="3"/>
        <v>0</v>
      </c>
      <c r="B27" s="34" t="str">
        <f t="shared" si="6"/>
        <v/>
      </c>
      <c r="C27" s="35"/>
      <c r="D27" s="35"/>
      <c r="E27" s="35"/>
      <c r="F27" s="35"/>
      <c r="G27" s="22"/>
      <c r="H27" s="36">
        <v>22</v>
      </c>
      <c r="I27" s="37" t="str">
        <f t="shared" si="4"/>
        <v/>
      </c>
      <c r="J27" s="36">
        <f t="shared" si="5"/>
        <v>-2</v>
      </c>
      <c r="K27" s="36">
        <f t="shared" si="1"/>
        <v>-20</v>
      </c>
      <c r="L27" s="36"/>
      <c r="M27" s="38">
        <f t="shared" si="2"/>
        <v>0</v>
      </c>
    </row>
    <row r="28" spans="1:19" x14ac:dyDescent="0.25">
      <c r="A28" s="44">
        <f t="shared" si="3"/>
        <v>0</v>
      </c>
      <c r="B28" s="28" t="str">
        <f t="shared" si="6"/>
        <v/>
      </c>
      <c r="C28" s="29"/>
      <c r="D28" s="29"/>
      <c r="E28" s="29"/>
      <c r="F28" s="29"/>
      <c r="G28" s="22"/>
      <c r="H28" s="30">
        <v>23</v>
      </c>
      <c r="I28" s="31" t="str">
        <f t="shared" si="4"/>
        <v/>
      </c>
      <c r="J28" s="30">
        <f t="shared" si="5"/>
        <v>-2</v>
      </c>
      <c r="K28" s="30">
        <f t="shared" si="1"/>
        <v>-20</v>
      </c>
      <c r="L28" s="30"/>
      <c r="M28" s="32">
        <f t="shared" si="2"/>
        <v>0</v>
      </c>
      <c r="R28" s="48"/>
      <c r="S28" s="49"/>
    </row>
    <row r="29" spans="1:19" x14ac:dyDescent="0.25">
      <c r="A29" s="43">
        <f t="shared" si="3"/>
        <v>0</v>
      </c>
      <c r="B29" s="34" t="str">
        <f t="shared" si="6"/>
        <v/>
      </c>
      <c r="C29" s="35"/>
      <c r="D29" s="35"/>
      <c r="E29" s="35"/>
      <c r="F29" s="35"/>
      <c r="G29" s="8"/>
      <c r="H29" s="36">
        <v>24</v>
      </c>
      <c r="I29" s="37" t="str">
        <f t="shared" si="4"/>
        <v/>
      </c>
      <c r="J29" s="36">
        <f t="shared" si="5"/>
        <v>-2</v>
      </c>
      <c r="K29" s="36">
        <f t="shared" si="1"/>
        <v>-20</v>
      </c>
      <c r="L29" s="36"/>
      <c r="M29" s="38">
        <f t="shared" si="2"/>
        <v>0</v>
      </c>
    </row>
    <row r="30" spans="1:19" x14ac:dyDescent="0.25">
      <c r="A30" s="44">
        <f t="shared" si="3"/>
        <v>0</v>
      </c>
      <c r="B30" s="28" t="str">
        <f t="shared" si="6"/>
        <v/>
      </c>
      <c r="C30" s="29"/>
      <c r="D30" s="29"/>
      <c r="E30" s="29"/>
      <c r="F30" s="29"/>
      <c r="G30" s="8"/>
      <c r="H30" s="30">
        <v>25</v>
      </c>
      <c r="I30" s="31" t="str">
        <f t="shared" si="4"/>
        <v/>
      </c>
      <c r="J30" s="30">
        <f t="shared" si="5"/>
        <v>-2</v>
      </c>
      <c r="K30" s="30">
        <f t="shared" si="1"/>
        <v>-20</v>
      </c>
      <c r="L30" s="30"/>
      <c r="M30" s="32">
        <f t="shared" si="2"/>
        <v>0</v>
      </c>
    </row>
    <row r="31" spans="1:19" x14ac:dyDescent="0.25">
      <c r="A31" s="43">
        <f t="shared" si="3"/>
        <v>0</v>
      </c>
      <c r="B31" s="34" t="str">
        <f t="shared" si="6"/>
        <v/>
      </c>
      <c r="C31" s="35"/>
      <c r="D31" s="35"/>
      <c r="E31" s="35"/>
      <c r="F31" s="35"/>
      <c r="G31" s="8"/>
      <c r="H31" s="36">
        <v>26</v>
      </c>
      <c r="I31" s="37" t="str">
        <f t="shared" si="4"/>
        <v/>
      </c>
      <c r="J31" s="36">
        <f t="shared" si="5"/>
        <v>-2</v>
      </c>
      <c r="K31" s="36">
        <f t="shared" si="1"/>
        <v>-20</v>
      </c>
      <c r="L31" s="36"/>
      <c r="M31" s="38">
        <f t="shared" si="2"/>
        <v>0</v>
      </c>
    </row>
    <row r="32" spans="1:19" x14ac:dyDescent="0.25">
      <c r="A32" s="44">
        <f t="shared" si="3"/>
        <v>0</v>
      </c>
      <c r="B32" s="28" t="str">
        <f t="shared" si="6"/>
        <v/>
      </c>
      <c r="C32" s="29"/>
      <c r="D32" s="29"/>
      <c r="E32" s="29"/>
      <c r="F32" s="29"/>
      <c r="G32" s="8"/>
      <c r="H32" s="30">
        <v>27</v>
      </c>
      <c r="I32" s="31" t="str">
        <f t="shared" si="4"/>
        <v/>
      </c>
      <c r="J32" s="30">
        <f t="shared" si="5"/>
        <v>-2</v>
      </c>
      <c r="K32" s="30">
        <f t="shared" si="1"/>
        <v>-20</v>
      </c>
      <c r="L32" s="30"/>
      <c r="M32" s="32">
        <f t="shared" si="2"/>
        <v>0</v>
      </c>
      <c r="R32" s="48"/>
      <c r="S32" s="49"/>
    </row>
    <row r="33" spans="1:21" x14ac:dyDescent="0.25">
      <c r="A33" s="43">
        <f t="shared" si="3"/>
        <v>0</v>
      </c>
      <c r="B33" s="34" t="str">
        <f t="shared" si="6"/>
        <v/>
      </c>
      <c r="C33" s="35"/>
      <c r="D33" s="35"/>
      <c r="E33" s="35"/>
      <c r="F33" s="35"/>
      <c r="G33" s="8"/>
      <c r="H33" s="36">
        <v>28</v>
      </c>
      <c r="I33" s="37" t="str">
        <f t="shared" si="4"/>
        <v/>
      </c>
      <c r="J33" s="36">
        <f t="shared" si="5"/>
        <v>-2</v>
      </c>
      <c r="K33" s="36">
        <f t="shared" si="1"/>
        <v>-20</v>
      </c>
      <c r="L33" s="36"/>
      <c r="M33" s="38">
        <f t="shared" si="2"/>
        <v>0</v>
      </c>
    </row>
    <row r="34" spans="1:21" x14ac:dyDescent="0.25">
      <c r="A34" s="44">
        <f t="shared" si="3"/>
        <v>0</v>
      </c>
      <c r="B34" s="28" t="str">
        <f t="shared" si="6"/>
        <v/>
      </c>
      <c r="C34" s="29"/>
      <c r="D34" s="29"/>
      <c r="E34" s="29"/>
      <c r="F34" s="29"/>
      <c r="G34" s="8"/>
      <c r="H34" s="30">
        <v>29</v>
      </c>
      <c r="I34" s="31" t="str">
        <f t="shared" si="4"/>
        <v/>
      </c>
      <c r="J34" s="30">
        <f t="shared" si="5"/>
        <v>-2</v>
      </c>
      <c r="K34" s="30">
        <f t="shared" si="1"/>
        <v>-20</v>
      </c>
      <c r="L34" s="30"/>
      <c r="M34" s="32">
        <f t="shared" si="2"/>
        <v>0</v>
      </c>
    </row>
    <row r="35" spans="1:21" x14ac:dyDescent="0.25">
      <c r="A35" s="43">
        <f t="shared" si="3"/>
        <v>0</v>
      </c>
      <c r="B35" s="34" t="str">
        <f t="shared" si="6"/>
        <v/>
      </c>
      <c r="C35" s="35"/>
      <c r="D35" s="35"/>
      <c r="E35" s="35"/>
      <c r="F35" s="35"/>
      <c r="G35" s="8"/>
      <c r="H35" s="36">
        <v>30</v>
      </c>
      <c r="I35" s="37" t="str">
        <f t="shared" si="4"/>
        <v/>
      </c>
      <c r="J35" s="36">
        <f t="shared" si="5"/>
        <v>-2</v>
      </c>
      <c r="K35" s="36">
        <f t="shared" si="1"/>
        <v>-20</v>
      </c>
      <c r="L35" s="36"/>
      <c r="M35" s="38">
        <f t="shared" si="2"/>
        <v>0</v>
      </c>
    </row>
    <row r="36" spans="1:21" x14ac:dyDescent="0.25">
      <c r="A36" s="44">
        <f t="shared" si="3"/>
        <v>0</v>
      </c>
      <c r="B36" s="28" t="str">
        <f t="shared" si="6"/>
        <v/>
      </c>
      <c r="C36" s="29"/>
      <c r="D36" s="29"/>
      <c r="E36" s="29"/>
      <c r="F36" s="29"/>
      <c r="G36" s="8"/>
      <c r="H36" s="30">
        <v>31</v>
      </c>
      <c r="I36" s="31" t="str">
        <f t="shared" si="4"/>
        <v/>
      </c>
      <c r="J36" s="30">
        <f t="shared" si="5"/>
        <v>-2</v>
      </c>
      <c r="K36" s="30">
        <f t="shared" si="1"/>
        <v>-20</v>
      </c>
      <c r="L36" s="30"/>
      <c r="M36" s="32">
        <f t="shared" si="2"/>
        <v>0</v>
      </c>
      <c r="R36" s="48"/>
      <c r="S36" s="49"/>
    </row>
    <row r="37" spans="1:21" x14ac:dyDescent="0.25">
      <c r="A37" s="43">
        <f t="shared" si="3"/>
        <v>0</v>
      </c>
      <c r="B37" s="34" t="str">
        <f t="shared" si="6"/>
        <v/>
      </c>
      <c r="C37" s="35"/>
      <c r="D37" s="35"/>
      <c r="E37" s="35"/>
      <c r="F37" s="35"/>
      <c r="G37" s="8"/>
      <c r="H37" s="36">
        <v>32</v>
      </c>
      <c r="I37" s="37" t="str">
        <f t="shared" si="4"/>
        <v/>
      </c>
      <c r="J37" s="36">
        <f t="shared" si="5"/>
        <v>-2</v>
      </c>
      <c r="K37" s="36">
        <f t="shared" si="1"/>
        <v>-20</v>
      </c>
      <c r="L37" s="36"/>
      <c r="M37" s="38">
        <f t="shared" si="2"/>
        <v>0</v>
      </c>
    </row>
    <row r="38" spans="1:21" x14ac:dyDescent="0.25">
      <c r="A38" s="44"/>
      <c r="B38" s="28" t="str">
        <f t="shared" si="6"/>
        <v/>
      </c>
      <c r="C38" s="29"/>
      <c r="D38" s="29"/>
      <c r="E38" s="29"/>
      <c r="F38" s="29"/>
      <c r="G38" s="8"/>
      <c r="H38" s="30">
        <v>33</v>
      </c>
      <c r="I38" s="31" t="str">
        <f t="shared" si="4"/>
        <v/>
      </c>
      <c r="J38" s="30">
        <f t="shared" si="5"/>
        <v>-3</v>
      </c>
      <c r="K38" s="30">
        <f t="shared" si="1"/>
        <v>-30</v>
      </c>
      <c r="L38" s="30"/>
      <c r="M38" s="32">
        <f t="shared" si="2"/>
        <v>0</v>
      </c>
    </row>
    <row r="39" spans="1:21" x14ac:dyDescent="0.25">
      <c r="A39" s="43"/>
      <c r="B39" s="34" t="str">
        <f t="shared" si="6"/>
        <v/>
      </c>
      <c r="C39" s="35"/>
      <c r="D39" s="35"/>
      <c r="E39" s="35"/>
      <c r="F39" s="35"/>
      <c r="G39" s="8"/>
      <c r="H39" s="36">
        <v>34</v>
      </c>
      <c r="I39" s="37" t="str">
        <f t="shared" si="4"/>
        <v/>
      </c>
      <c r="J39" s="36">
        <f t="shared" si="5"/>
        <v>-3</v>
      </c>
      <c r="K39" s="36">
        <f t="shared" si="1"/>
        <v>-30</v>
      </c>
      <c r="L39" s="36"/>
      <c r="M39" s="38">
        <f t="shared" si="2"/>
        <v>0</v>
      </c>
    </row>
    <row r="40" spans="1:21" x14ac:dyDescent="0.25">
      <c r="A40" s="44"/>
      <c r="B40" s="28" t="str">
        <f t="shared" si="6"/>
        <v/>
      </c>
      <c r="C40" s="29"/>
      <c r="D40" s="29"/>
      <c r="E40" s="29"/>
      <c r="F40" s="29"/>
      <c r="G40" s="8"/>
      <c r="H40" s="30">
        <v>35</v>
      </c>
      <c r="I40" s="31" t="str">
        <f t="shared" si="4"/>
        <v/>
      </c>
      <c r="J40" s="30">
        <f t="shared" si="5"/>
        <v>-3</v>
      </c>
      <c r="K40" s="30">
        <f t="shared" si="1"/>
        <v>-30</v>
      </c>
      <c r="L40" s="30"/>
      <c r="M40" s="32">
        <f t="shared" si="2"/>
        <v>0</v>
      </c>
    </row>
    <row r="41" spans="1:21" x14ac:dyDescent="0.25">
      <c r="A41" s="43"/>
      <c r="B41" s="34" t="str">
        <f t="shared" si="6"/>
        <v/>
      </c>
      <c r="C41" s="35"/>
      <c r="D41" s="35"/>
      <c r="E41" s="35"/>
      <c r="F41" s="35"/>
      <c r="G41" s="8"/>
      <c r="H41" s="36">
        <v>36</v>
      </c>
      <c r="I41" s="37" t="str">
        <f t="shared" si="4"/>
        <v/>
      </c>
      <c r="J41" s="36">
        <f t="shared" si="5"/>
        <v>-3</v>
      </c>
      <c r="K41" s="36">
        <f t="shared" si="1"/>
        <v>-30</v>
      </c>
      <c r="L41" s="36"/>
      <c r="M41" s="38">
        <f t="shared" si="2"/>
        <v>0</v>
      </c>
      <c r="S41" s="50"/>
    </row>
    <row r="42" spans="1:21" x14ac:dyDescent="0.25">
      <c r="A42" s="44"/>
      <c r="B42" s="28" t="str">
        <f t="shared" si="6"/>
        <v/>
      </c>
      <c r="C42" s="29"/>
      <c r="D42" s="29"/>
      <c r="E42" s="29"/>
      <c r="F42" s="29"/>
      <c r="G42" s="8"/>
      <c r="H42" s="30">
        <v>37</v>
      </c>
      <c r="I42" s="31" t="str">
        <f t="shared" si="4"/>
        <v/>
      </c>
      <c r="J42" s="30">
        <f t="shared" si="5"/>
        <v>-3</v>
      </c>
      <c r="K42" s="30">
        <f t="shared" si="1"/>
        <v>-30</v>
      </c>
      <c r="L42" s="30"/>
      <c r="M42" s="32">
        <f t="shared" si="2"/>
        <v>0</v>
      </c>
    </row>
    <row r="43" spans="1:21" x14ac:dyDescent="0.25">
      <c r="A43" s="43"/>
      <c r="B43" s="34" t="str">
        <f t="shared" si="6"/>
        <v/>
      </c>
      <c r="C43" s="35"/>
      <c r="D43" s="35"/>
      <c r="E43" s="35"/>
      <c r="F43" s="35"/>
      <c r="G43" s="8"/>
      <c r="H43" s="36">
        <v>38</v>
      </c>
      <c r="I43" s="37" t="str">
        <f t="shared" si="4"/>
        <v/>
      </c>
      <c r="J43" s="36">
        <f t="shared" si="5"/>
        <v>-3</v>
      </c>
      <c r="K43" s="36">
        <f t="shared" si="1"/>
        <v>-30</v>
      </c>
      <c r="L43" s="36"/>
      <c r="M43" s="38">
        <f t="shared" si="2"/>
        <v>0</v>
      </c>
    </row>
    <row r="44" spans="1:21" x14ac:dyDescent="0.25">
      <c r="A44" s="44"/>
      <c r="B44" s="28" t="str">
        <f t="shared" si="6"/>
        <v/>
      </c>
      <c r="C44" s="29"/>
      <c r="D44" s="29"/>
      <c r="E44" s="29"/>
      <c r="F44" s="29"/>
      <c r="G44" s="8"/>
      <c r="H44" s="30">
        <v>39</v>
      </c>
      <c r="I44" s="31" t="str">
        <f t="shared" si="4"/>
        <v/>
      </c>
      <c r="J44" s="30">
        <f t="shared" si="5"/>
        <v>-3</v>
      </c>
      <c r="K44" s="30">
        <f t="shared" si="1"/>
        <v>-30</v>
      </c>
      <c r="L44" s="30"/>
      <c r="M44" s="32">
        <f t="shared" si="2"/>
        <v>0</v>
      </c>
    </row>
    <row r="45" spans="1:21" x14ac:dyDescent="0.25">
      <c r="A45" s="43"/>
      <c r="B45" s="34" t="str">
        <f t="shared" si="6"/>
        <v/>
      </c>
      <c r="C45" s="35"/>
      <c r="D45" s="35"/>
      <c r="E45" s="35"/>
      <c r="F45" s="35"/>
      <c r="G45" s="8"/>
      <c r="H45" s="36">
        <v>40</v>
      </c>
      <c r="I45" s="37" t="str">
        <f t="shared" si="4"/>
        <v/>
      </c>
      <c r="J45" s="36">
        <f t="shared" si="5"/>
        <v>-3</v>
      </c>
      <c r="K45" s="36">
        <f t="shared" si="1"/>
        <v>-30</v>
      </c>
      <c r="L45" s="36"/>
      <c r="M45" s="38">
        <f t="shared" si="2"/>
        <v>0</v>
      </c>
    </row>
    <row r="46" spans="1:21" x14ac:dyDescent="0.25">
      <c r="A46" s="44"/>
      <c r="B46" s="28" t="str">
        <f t="shared" si="6"/>
        <v/>
      </c>
      <c r="C46" s="29"/>
      <c r="D46" s="29"/>
      <c r="E46" s="29"/>
      <c r="F46" s="29"/>
      <c r="G46" s="8"/>
      <c r="H46" s="30">
        <v>41</v>
      </c>
      <c r="I46" s="31" t="str">
        <f t="shared" si="4"/>
        <v/>
      </c>
      <c r="J46" s="30">
        <f t="shared" si="5"/>
        <v>-3</v>
      </c>
      <c r="K46" s="30">
        <f t="shared" si="1"/>
        <v>-30</v>
      </c>
      <c r="L46" s="30"/>
      <c r="M46" s="32">
        <f t="shared" si="2"/>
        <v>0</v>
      </c>
      <c r="R46" s="8">
        <f>LOG($H$2,2)</f>
        <v>2.3219280948873622</v>
      </c>
      <c r="T46" s="13">
        <f>LOG(H38,2)</f>
        <v>5.0443941193584534</v>
      </c>
      <c r="U46" s="13">
        <f>R46-T46</f>
        <v>-2.7224660244710912</v>
      </c>
    </row>
    <row r="47" spans="1:21" x14ac:dyDescent="0.25">
      <c r="A47" s="43"/>
      <c r="B47" s="34" t="str">
        <f t="shared" si="6"/>
        <v/>
      </c>
      <c r="C47" s="35"/>
      <c r="D47" s="35"/>
      <c r="E47" s="35"/>
      <c r="F47" s="35"/>
      <c r="G47" s="8"/>
      <c r="H47" s="36">
        <v>42</v>
      </c>
      <c r="I47" s="37" t="str">
        <f t="shared" si="4"/>
        <v/>
      </c>
      <c r="J47" s="36">
        <f t="shared" si="5"/>
        <v>-3</v>
      </c>
      <c r="K47" s="36">
        <f t="shared" si="1"/>
        <v>-30</v>
      </c>
      <c r="L47" s="36"/>
      <c r="M47" s="38">
        <f t="shared" si="2"/>
        <v>0</v>
      </c>
    </row>
    <row r="48" spans="1:21" x14ac:dyDescent="0.25">
      <c r="A48" s="44"/>
      <c r="B48" s="28" t="str">
        <f t="shared" si="6"/>
        <v/>
      </c>
      <c r="C48" s="29"/>
      <c r="D48" s="29"/>
      <c r="E48" s="29"/>
      <c r="F48" s="29"/>
      <c r="G48" s="8"/>
      <c r="H48" s="30">
        <v>43</v>
      </c>
      <c r="I48" s="31" t="str">
        <f t="shared" si="4"/>
        <v/>
      </c>
      <c r="J48" s="30">
        <f t="shared" si="5"/>
        <v>-3</v>
      </c>
      <c r="K48" s="30">
        <f t="shared" si="1"/>
        <v>-30</v>
      </c>
      <c r="L48" s="30"/>
      <c r="M48" s="32">
        <f t="shared" si="2"/>
        <v>0</v>
      </c>
    </row>
    <row r="49" spans="1:13" x14ac:dyDescent="0.25">
      <c r="A49" s="43"/>
      <c r="B49" s="34" t="str">
        <f t="shared" si="6"/>
        <v/>
      </c>
      <c r="C49" s="35"/>
      <c r="D49" s="35"/>
      <c r="E49" s="35"/>
      <c r="F49" s="35"/>
      <c r="G49" s="8"/>
      <c r="H49" s="36">
        <v>44</v>
      </c>
      <c r="I49" s="37" t="str">
        <f t="shared" si="4"/>
        <v/>
      </c>
      <c r="J49" s="36">
        <f t="shared" si="5"/>
        <v>-3</v>
      </c>
      <c r="K49" s="36">
        <f t="shared" si="1"/>
        <v>-30</v>
      </c>
      <c r="L49" s="36"/>
      <c r="M49" s="38">
        <f t="shared" si="2"/>
        <v>0</v>
      </c>
    </row>
    <row r="50" spans="1:13" x14ac:dyDescent="0.25">
      <c r="A50" s="44"/>
      <c r="B50" s="28" t="str">
        <f t="shared" si="6"/>
        <v/>
      </c>
      <c r="C50" s="29"/>
      <c r="D50" s="29"/>
      <c r="E50" s="29"/>
      <c r="F50" s="29"/>
      <c r="G50" s="8"/>
      <c r="H50" s="30">
        <v>45</v>
      </c>
      <c r="I50" s="31" t="str">
        <f t="shared" si="4"/>
        <v/>
      </c>
      <c r="J50" s="30">
        <f t="shared" si="5"/>
        <v>-3</v>
      </c>
      <c r="K50" s="30">
        <f t="shared" si="1"/>
        <v>-30</v>
      </c>
      <c r="L50" s="30"/>
      <c r="M50" s="32">
        <f t="shared" si="2"/>
        <v>0</v>
      </c>
    </row>
    <row r="51" spans="1:13" x14ac:dyDescent="0.25">
      <c r="A51" s="43"/>
      <c r="B51" s="34" t="str">
        <f t="shared" si="6"/>
        <v/>
      </c>
      <c r="C51" s="35"/>
      <c r="D51" s="35"/>
      <c r="E51" s="35"/>
      <c r="F51" s="35"/>
      <c r="G51" s="8"/>
      <c r="H51" s="36">
        <v>46</v>
      </c>
      <c r="I51" s="37" t="str">
        <f t="shared" si="4"/>
        <v/>
      </c>
      <c r="J51" s="36">
        <f t="shared" si="5"/>
        <v>-3</v>
      </c>
      <c r="K51" s="36">
        <f t="shared" si="1"/>
        <v>-30</v>
      </c>
      <c r="L51" s="36"/>
      <c r="M51" s="38">
        <f t="shared" si="2"/>
        <v>0</v>
      </c>
    </row>
    <row r="52" spans="1:13" x14ac:dyDescent="0.25">
      <c r="A52" s="44"/>
      <c r="B52" s="28" t="str">
        <f t="shared" si="6"/>
        <v/>
      </c>
      <c r="C52" s="29"/>
      <c r="D52" s="29"/>
      <c r="E52" s="29"/>
      <c r="F52" s="29"/>
      <c r="G52" s="8"/>
      <c r="H52" s="30">
        <v>47</v>
      </c>
      <c r="I52" s="31" t="str">
        <f t="shared" si="4"/>
        <v/>
      </c>
      <c r="J52" s="30">
        <f t="shared" si="5"/>
        <v>-3</v>
      </c>
      <c r="K52" s="30">
        <f t="shared" si="1"/>
        <v>-30</v>
      </c>
      <c r="L52" s="30"/>
      <c r="M52" s="32">
        <f t="shared" si="2"/>
        <v>0</v>
      </c>
    </row>
    <row r="53" spans="1:13" x14ac:dyDescent="0.25">
      <c r="A53" s="43"/>
      <c r="B53" s="34" t="str">
        <f t="shared" si="6"/>
        <v/>
      </c>
      <c r="C53" s="35"/>
      <c r="D53" s="35"/>
      <c r="E53" s="35"/>
      <c r="F53" s="35"/>
      <c r="G53" s="8"/>
      <c r="H53" s="36">
        <v>48</v>
      </c>
      <c r="I53" s="37" t="str">
        <f t="shared" si="4"/>
        <v/>
      </c>
      <c r="J53" s="36">
        <f t="shared" si="5"/>
        <v>-3</v>
      </c>
      <c r="K53" s="36">
        <f t="shared" si="1"/>
        <v>-30</v>
      </c>
      <c r="L53" s="36"/>
      <c r="M53" s="38">
        <f t="shared" si="2"/>
        <v>0</v>
      </c>
    </row>
    <row r="54" spans="1:13" x14ac:dyDescent="0.25">
      <c r="A54" s="44"/>
      <c r="B54" s="28" t="str">
        <f t="shared" si="6"/>
        <v/>
      </c>
      <c r="C54" s="29"/>
      <c r="D54" s="29"/>
      <c r="E54" s="29"/>
      <c r="F54" s="29"/>
      <c r="G54" s="8"/>
      <c r="H54" s="30">
        <v>49</v>
      </c>
      <c r="I54" s="31" t="str">
        <f t="shared" si="4"/>
        <v/>
      </c>
      <c r="J54" s="30">
        <f t="shared" si="5"/>
        <v>-3</v>
      </c>
      <c r="K54" s="30">
        <f t="shared" si="1"/>
        <v>-30</v>
      </c>
      <c r="L54" s="30"/>
      <c r="M54" s="32">
        <f t="shared" si="2"/>
        <v>0</v>
      </c>
    </row>
    <row r="55" spans="1:13" x14ac:dyDescent="0.25">
      <c r="A55" s="43"/>
      <c r="B55" s="34" t="str">
        <f t="shared" si="6"/>
        <v/>
      </c>
      <c r="C55" s="35"/>
      <c r="D55" s="35"/>
      <c r="E55" s="35"/>
      <c r="F55" s="35"/>
      <c r="G55" s="8"/>
      <c r="H55" s="36">
        <v>50</v>
      </c>
      <c r="I55" s="37" t="str">
        <f t="shared" si="4"/>
        <v/>
      </c>
      <c r="J55" s="36">
        <f t="shared" si="5"/>
        <v>-3</v>
      </c>
      <c r="K55" s="36">
        <f t="shared" si="1"/>
        <v>-30</v>
      </c>
      <c r="L55" s="36"/>
      <c r="M55" s="38">
        <f t="shared" si="2"/>
        <v>0</v>
      </c>
    </row>
    <row r="56" spans="1:13" x14ac:dyDescent="0.25">
      <c r="A56" s="44"/>
      <c r="B56" s="28" t="str">
        <f t="shared" si="6"/>
        <v/>
      </c>
      <c r="C56" s="29"/>
      <c r="D56" s="29"/>
      <c r="E56" s="29"/>
      <c r="F56" s="29"/>
      <c r="G56" s="8"/>
      <c r="H56" s="30">
        <v>51</v>
      </c>
      <c r="I56" s="31" t="str">
        <f t="shared" si="4"/>
        <v/>
      </c>
      <c r="J56" s="30">
        <f t="shared" si="5"/>
        <v>-3</v>
      </c>
      <c r="K56" s="30">
        <f t="shared" si="1"/>
        <v>-30</v>
      </c>
      <c r="L56" s="30"/>
      <c r="M56" s="32">
        <f t="shared" si="2"/>
        <v>0</v>
      </c>
    </row>
    <row r="57" spans="1:13" x14ac:dyDescent="0.25">
      <c r="A57" s="43"/>
      <c r="B57" s="34" t="str">
        <f t="shared" si="6"/>
        <v/>
      </c>
      <c r="C57" s="35"/>
      <c r="D57" s="35"/>
      <c r="E57" s="35"/>
      <c r="F57" s="35"/>
      <c r="G57" s="8"/>
      <c r="H57" s="36">
        <v>52</v>
      </c>
      <c r="I57" s="37" t="str">
        <f t="shared" si="4"/>
        <v/>
      </c>
      <c r="J57" s="36">
        <f t="shared" si="5"/>
        <v>-3</v>
      </c>
      <c r="K57" s="36">
        <f t="shared" si="1"/>
        <v>-30</v>
      </c>
      <c r="L57" s="36"/>
      <c r="M57" s="38">
        <f t="shared" si="2"/>
        <v>0</v>
      </c>
    </row>
    <row r="58" spans="1:13" x14ac:dyDescent="0.25">
      <c r="A58" s="44"/>
      <c r="B58" s="28" t="str">
        <f t="shared" si="6"/>
        <v/>
      </c>
      <c r="C58" s="29"/>
      <c r="D58" s="29"/>
      <c r="E58" s="29"/>
      <c r="F58" s="29"/>
      <c r="G58" s="8"/>
      <c r="H58" s="30">
        <v>53</v>
      </c>
      <c r="I58" s="31" t="str">
        <f t="shared" si="4"/>
        <v/>
      </c>
      <c r="J58" s="30">
        <f t="shared" si="5"/>
        <v>-3</v>
      </c>
      <c r="K58" s="30">
        <f t="shared" si="1"/>
        <v>-30</v>
      </c>
      <c r="L58" s="30"/>
      <c r="M58" s="32">
        <f t="shared" si="2"/>
        <v>0</v>
      </c>
    </row>
    <row r="59" spans="1:13" x14ac:dyDescent="0.25">
      <c r="A59" s="43"/>
      <c r="B59" s="34" t="str">
        <f t="shared" si="6"/>
        <v/>
      </c>
      <c r="C59" s="35"/>
      <c r="D59" s="35"/>
      <c r="E59" s="35"/>
      <c r="F59" s="35"/>
      <c r="G59" s="8"/>
      <c r="H59" s="36">
        <v>54</v>
      </c>
      <c r="I59" s="37" t="str">
        <f t="shared" si="4"/>
        <v/>
      </c>
      <c r="J59" s="36">
        <f t="shared" si="5"/>
        <v>-3</v>
      </c>
      <c r="K59" s="36">
        <f t="shared" si="1"/>
        <v>-30</v>
      </c>
      <c r="L59" s="36"/>
      <c r="M59" s="38">
        <f t="shared" si="2"/>
        <v>0</v>
      </c>
    </row>
    <row r="60" spans="1:13" x14ac:dyDescent="0.25">
      <c r="A60" s="44"/>
      <c r="B60" s="28" t="str">
        <f t="shared" si="6"/>
        <v/>
      </c>
      <c r="C60" s="29"/>
      <c r="D60" s="29"/>
      <c r="E60" s="29"/>
      <c r="F60" s="29"/>
      <c r="G60" s="8"/>
      <c r="H60" s="30">
        <v>55</v>
      </c>
      <c r="I60" s="31" t="str">
        <f t="shared" si="4"/>
        <v/>
      </c>
      <c r="J60" s="30">
        <f t="shared" si="5"/>
        <v>-3</v>
      </c>
      <c r="K60" s="30">
        <f t="shared" si="1"/>
        <v>-30</v>
      </c>
      <c r="L60" s="30"/>
      <c r="M60" s="32">
        <f t="shared" si="2"/>
        <v>0</v>
      </c>
    </row>
    <row r="61" spans="1:13" x14ac:dyDescent="0.25">
      <c r="A61" s="43"/>
      <c r="B61" s="34" t="str">
        <f t="shared" si="6"/>
        <v/>
      </c>
      <c r="C61" s="35"/>
      <c r="D61" s="35"/>
      <c r="E61" s="35"/>
      <c r="F61" s="35"/>
      <c r="G61" s="8"/>
      <c r="H61" s="36">
        <v>56</v>
      </c>
      <c r="I61" s="37" t="str">
        <f t="shared" si="4"/>
        <v/>
      </c>
      <c r="J61" s="36">
        <f t="shared" si="5"/>
        <v>-3</v>
      </c>
      <c r="K61" s="36">
        <f t="shared" si="1"/>
        <v>-30</v>
      </c>
      <c r="L61" s="36"/>
      <c r="M61" s="38">
        <f t="shared" si="2"/>
        <v>0</v>
      </c>
    </row>
    <row r="62" spans="1:13" x14ac:dyDescent="0.25">
      <c r="A62" s="44"/>
      <c r="B62" s="28" t="str">
        <f t="shared" si="6"/>
        <v/>
      </c>
      <c r="C62" s="29"/>
      <c r="D62" s="29"/>
      <c r="E62" s="29"/>
      <c r="F62" s="29"/>
      <c r="G62" s="8"/>
      <c r="H62" s="30">
        <v>57</v>
      </c>
      <c r="I62" s="31" t="str">
        <f t="shared" si="4"/>
        <v/>
      </c>
      <c r="J62" s="30">
        <f t="shared" si="5"/>
        <v>-3</v>
      </c>
      <c r="K62" s="30">
        <f t="shared" si="1"/>
        <v>-30</v>
      </c>
      <c r="L62" s="30"/>
      <c r="M62" s="32">
        <f t="shared" si="2"/>
        <v>0</v>
      </c>
    </row>
    <row r="63" spans="1:13" x14ac:dyDescent="0.25">
      <c r="A63" s="43"/>
      <c r="B63" s="34" t="str">
        <f t="shared" si="6"/>
        <v/>
      </c>
      <c r="C63" s="35"/>
      <c r="D63" s="35"/>
      <c r="E63" s="35"/>
      <c r="F63" s="35"/>
      <c r="G63" s="8"/>
      <c r="H63" s="36">
        <v>58</v>
      </c>
      <c r="I63" s="37" t="str">
        <f t="shared" si="4"/>
        <v/>
      </c>
      <c r="J63" s="36">
        <f t="shared" si="5"/>
        <v>-3</v>
      </c>
      <c r="K63" s="36">
        <f t="shared" si="1"/>
        <v>-30</v>
      </c>
      <c r="L63" s="36"/>
      <c r="M63" s="38">
        <f t="shared" si="2"/>
        <v>0</v>
      </c>
    </row>
    <row r="64" spans="1:13" x14ac:dyDescent="0.25">
      <c r="A64" s="44"/>
      <c r="B64" s="28" t="str">
        <f t="shared" si="6"/>
        <v/>
      </c>
      <c r="C64" s="29"/>
      <c r="D64" s="29"/>
      <c r="E64" s="29"/>
      <c r="F64" s="29"/>
      <c r="G64" s="8"/>
      <c r="H64" s="30">
        <v>59</v>
      </c>
      <c r="I64" s="31" t="str">
        <f t="shared" si="4"/>
        <v/>
      </c>
      <c r="J64" s="30">
        <f t="shared" si="5"/>
        <v>-3</v>
      </c>
      <c r="K64" s="30">
        <f t="shared" si="1"/>
        <v>-30</v>
      </c>
      <c r="L64" s="30"/>
      <c r="M64" s="32">
        <f t="shared" si="2"/>
        <v>0</v>
      </c>
    </row>
    <row r="65" spans="1:13" x14ac:dyDescent="0.25">
      <c r="A65" s="43"/>
      <c r="B65" s="34" t="str">
        <f t="shared" si="6"/>
        <v/>
      </c>
      <c r="C65" s="35"/>
      <c r="D65" s="35"/>
      <c r="E65" s="35"/>
      <c r="F65" s="35"/>
      <c r="G65" s="8"/>
      <c r="H65" s="36">
        <v>60</v>
      </c>
      <c r="I65" s="37" t="str">
        <f t="shared" si="4"/>
        <v/>
      </c>
      <c r="J65" s="36">
        <f t="shared" si="5"/>
        <v>-3</v>
      </c>
      <c r="K65" s="36">
        <f t="shared" si="1"/>
        <v>-30</v>
      </c>
      <c r="L65" s="36"/>
      <c r="M65" s="38">
        <f t="shared" si="2"/>
        <v>0</v>
      </c>
    </row>
    <row r="66" spans="1:13" x14ac:dyDescent="0.25">
      <c r="A66" s="51"/>
      <c r="B66" s="28"/>
      <c r="G66" s="8"/>
      <c r="H66" s="30">
        <v>61</v>
      </c>
      <c r="I66" s="31" t="str">
        <f t="shared" si="4"/>
        <v/>
      </c>
      <c r="J66" s="30">
        <f t="shared" si="5"/>
        <v>-3</v>
      </c>
      <c r="K66" s="30">
        <f t="shared" si="1"/>
        <v>-30</v>
      </c>
      <c r="L66" s="30"/>
      <c r="M66" s="32">
        <f t="shared" si="2"/>
        <v>0</v>
      </c>
    </row>
    <row r="67" spans="1:13" x14ac:dyDescent="0.25">
      <c r="A67" s="51"/>
      <c r="B67" s="34"/>
      <c r="G67" s="8"/>
      <c r="H67" s="30">
        <v>62</v>
      </c>
      <c r="I67" s="31" t="str">
        <f t="shared" si="4"/>
        <v/>
      </c>
      <c r="J67" s="30">
        <f t="shared" si="5"/>
        <v>-3</v>
      </c>
      <c r="K67" s="30">
        <f t="shared" si="1"/>
        <v>-30</v>
      </c>
      <c r="L67" s="30"/>
      <c r="M67" s="32">
        <f t="shared" si="2"/>
        <v>0</v>
      </c>
    </row>
    <row r="68" spans="1:13" x14ac:dyDescent="0.25">
      <c r="A68" s="51"/>
      <c r="B68" s="28"/>
      <c r="G68" s="8"/>
      <c r="H68" s="30">
        <v>63</v>
      </c>
      <c r="I68" s="31" t="str">
        <f t="shared" si="4"/>
        <v/>
      </c>
      <c r="J68" s="30">
        <f t="shared" si="5"/>
        <v>-3</v>
      </c>
      <c r="K68" s="30">
        <f t="shared" si="1"/>
        <v>-30</v>
      </c>
      <c r="L68" s="30"/>
      <c r="M68" s="32">
        <f t="shared" si="2"/>
        <v>0</v>
      </c>
    </row>
    <row r="69" spans="1:13" x14ac:dyDescent="0.25">
      <c r="A69" s="51"/>
      <c r="B69" s="34"/>
      <c r="G69" s="8"/>
      <c r="H69" s="30">
        <v>64</v>
      </c>
      <c r="I69" s="31" t="str">
        <f t="shared" si="4"/>
        <v/>
      </c>
      <c r="J69" s="30">
        <f t="shared" si="5"/>
        <v>-3</v>
      </c>
      <c r="K69" s="30">
        <f t="shared" si="1"/>
        <v>-30</v>
      </c>
      <c r="L69" s="30"/>
      <c r="M69" s="32">
        <f t="shared" si="2"/>
        <v>0</v>
      </c>
    </row>
    <row r="70" spans="1:13" x14ac:dyDescent="0.25">
      <c r="A70" s="51"/>
      <c r="G70" s="8"/>
      <c r="H70" s="30">
        <v>65</v>
      </c>
      <c r="I70" s="31" t="str">
        <f t="shared" ref="I70:I133" si="7">IF(H70&lt;$H$2+1,($I$2-($I$2-1)*(LOG(H70)/LOG($H$2))),"")</f>
        <v/>
      </c>
      <c r="J70" s="30">
        <f t="shared" si="5"/>
        <v>-4</v>
      </c>
      <c r="K70" s="30">
        <f t="shared" ref="K70:K133" si="8">J70*$J$2</f>
        <v>-40</v>
      </c>
      <c r="L70" s="30"/>
      <c r="M70" s="32">
        <f t="shared" ref="M70:M133" si="9">IF(I70&lt;&gt;"",K70+I70+L70,0)</f>
        <v>0</v>
      </c>
    </row>
    <row r="71" spans="1:13" x14ac:dyDescent="0.25">
      <c r="A71" s="51"/>
      <c r="G71" s="8"/>
      <c r="H71" s="30">
        <v>66</v>
      </c>
      <c r="I71" s="31" t="str">
        <f t="shared" si="7"/>
        <v/>
      </c>
      <c r="J71" s="30">
        <f t="shared" ref="J71:J134" si="10">INT(LOG($H$2,2))-ROUNDUP(LOG(H71,2),0)+IF(OR($H$2=1,$H$2=2,$H$2=4,$H$2=8,$H$2=16,$H$2=32,$H$2=64,$H$2=128,$H$2=256),0,1)</f>
        <v>-4</v>
      </c>
      <c r="K71" s="30">
        <f t="shared" si="8"/>
        <v>-40</v>
      </c>
      <c r="L71" s="30"/>
      <c r="M71" s="32">
        <f t="shared" si="9"/>
        <v>0</v>
      </c>
    </row>
    <row r="72" spans="1:13" x14ac:dyDescent="0.25">
      <c r="A72" s="51"/>
      <c r="G72" s="8"/>
      <c r="H72" s="30">
        <v>67</v>
      </c>
      <c r="I72" s="31" t="str">
        <f t="shared" si="7"/>
        <v/>
      </c>
      <c r="J72" s="30">
        <f t="shared" si="10"/>
        <v>-4</v>
      </c>
      <c r="K72" s="30">
        <f t="shared" si="8"/>
        <v>-40</v>
      </c>
      <c r="L72" s="30"/>
      <c r="M72" s="32">
        <f t="shared" si="9"/>
        <v>0</v>
      </c>
    </row>
    <row r="73" spans="1:13" x14ac:dyDescent="0.25">
      <c r="A73" s="51"/>
      <c r="G73" s="8"/>
      <c r="H73" s="30">
        <v>68</v>
      </c>
      <c r="I73" s="31" t="str">
        <f t="shared" si="7"/>
        <v/>
      </c>
      <c r="J73" s="30">
        <f t="shared" si="10"/>
        <v>-4</v>
      </c>
      <c r="K73" s="30">
        <f t="shared" si="8"/>
        <v>-40</v>
      </c>
      <c r="L73" s="30"/>
      <c r="M73" s="32">
        <f t="shared" si="9"/>
        <v>0</v>
      </c>
    </row>
    <row r="74" spans="1:13" x14ac:dyDescent="0.25">
      <c r="A74" s="51"/>
      <c r="G74" s="8"/>
      <c r="H74" s="30">
        <v>69</v>
      </c>
      <c r="I74" s="31" t="str">
        <f t="shared" si="7"/>
        <v/>
      </c>
      <c r="J74" s="30">
        <f t="shared" si="10"/>
        <v>-4</v>
      </c>
      <c r="K74" s="30">
        <f t="shared" si="8"/>
        <v>-40</v>
      </c>
      <c r="L74" s="30"/>
      <c r="M74" s="32">
        <f t="shared" si="9"/>
        <v>0</v>
      </c>
    </row>
    <row r="75" spans="1:13" x14ac:dyDescent="0.25">
      <c r="A75" s="51"/>
      <c r="G75" s="8"/>
      <c r="H75" s="30">
        <v>70</v>
      </c>
      <c r="I75" s="31" t="str">
        <f t="shared" si="7"/>
        <v/>
      </c>
      <c r="J75" s="30">
        <f t="shared" si="10"/>
        <v>-4</v>
      </c>
      <c r="K75" s="30">
        <f t="shared" si="8"/>
        <v>-40</v>
      </c>
      <c r="L75" s="30"/>
      <c r="M75" s="32">
        <f t="shared" si="9"/>
        <v>0</v>
      </c>
    </row>
    <row r="76" spans="1:13" x14ac:dyDescent="0.25">
      <c r="A76" s="51"/>
      <c r="G76" s="8"/>
      <c r="H76" s="30">
        <v>71</v>
      </c>
      <c r="I76" s="31" t="str">
        <f t="shared" si="7"/>
        <v/>
      </c>
      <c r="J76" s="30">
        <f t="shared" si="10"/>
        <v>-4</v>
      </c>
      <c r="K76" s="30">
        <f t="shared" si="8"/>
        <v>-40</v>
      </c>
      <c r="L76" s="30"/>
      <c r="M76" s="32">
        <f t="shared" si="9"/>
        <v>0</v>
      </c>
    </row>
    <row r="77" spans="1:13" x14ac:dyDescent="0.25">
      <c r="A77" s="51"/>
      <c r="G77" s="8"/>
      <c r="H77" s="30">
        <v>72</v>
      </c>
      <c r="I77" s="31" t="str">
        <f t="shared" si="7"/>
        <v/>
      </c>
      <c r="J77" s="30">
        <f t="shared" si="10"/>
        <v>-4</v>
      </c>
      <c r="K77" s="30">
        <f t="shared" si="8"/>
        <v>-40</v>
      </c>
      <c r="L77" s="30"/>
      <c r="M77" s="32">
        <f t="shared" si="9"/>
        <v>0</v>
      </c>
    </row>
    <row r="78" spans="1:13" x14ac:dyDescent="0.25">
      <c r="A78" s="51"/>
      <c r="G78" s="8"/>
      <c r="H78" s="30">
        <v>73</v>
      </c>
      <c r="I78" s="31" t="str">
        <f t="shared" si="7"/>
        <v/>
      </c>
      <c r="J78" s="30">
        <f t="shared" si="10"/>
        <v>-4</v>
      </c>
      <c r="K78" s="30">
        <f t="shared" si="8"/>
        <v>-40</v>
      </c>
      <c r="L78" s="30"/>
      <c r="M78" s="32">
        <f t="shared" si="9"/>
        <v>0</v>
      </c>
    </row>
    <row r="79" spans="1:13" x14ac:dyDescent="0.25">
      <c r="A79" s="51"/>
      <c r="G79" s="8"/>
      <c r="H79" s="30">
        <v>74</v>
      </c>
      <c r="I79" s="31" t="str">
        <f t="shared" si="7"/>
        <v/>
      </c>
      <c r="J79" s="30">
        <f t="shared" si="10"/>
        <v>-4</v>
      </c>
      <c r="K79" s="30">
        <f t="shared" si="8"/>
        <v>-40</v>
      </c>
      <c r="L79" s="30"/>
      <c r="M79" s="32">
        <f t="shared" si="9"/>
        <v>0</v>
      </c>
    </row>
    <row r="80" spans="1:13" x14ac:dyDescent="0.25">
      <c r="A80" s="51"/>
      <c r="G80" s="8"/>
      <c r="H80" s="30">
        <v>75</v>
      </c>
      <c r="I80" s="31" t="str">
        <f t="shared" si="7"/>
        <v/>
      </c>
      <c r="J80" s="30">
        <f t="shared" si="10"/>
        <v>-4</v>
      </c>
      <c r="K80" s="30">
        <f t="shared" si="8"/>
        <v>-40</v>
      </c>
      <c r="L80" s="30"/>
      <c r="M80" s="32">
        <f t="shared" si="9"/>
        <v>0</v>
      </c>
    </row>
    <row r="81" spans="1:13" x14ac:dyDescent="0.25">
      <c r="A81" s="51"/>
      <c r="G81" s="8"/>
      <c r="H81" s="30">
        <v>76</v>
      </c>
      <c r="I81" s="31" t="str">
        <f t="shared" si="7"/>
        <v/>
      </c>
      <c r="J81" s="30">
        <f t="shared" si="10"/>
        <v>-4</v>
      </c>
      <c r="K81" s="30">
        <f t="shared" si="8"/>
        <v>-40</v>
      </c>
      <c r="L81" s="30"/>
      <c r="M81" s="32">
        <f t="shared" si="9"/>
        <v>0</v>
      </c>
    </row>
    <row r="82" spans="1:13" x14ac:dyDescent="0.25">
      <c r="A82" s="51"/>
      <c r="G82" s="8"/>
      <c r="H82" s="30">
        <v>77</v>
      </c>
      <c r="I82" s="31" t="str">
        <f t="shared" si="7"/>
        <v/>
      </c>
      <c r="J82" s="30">
        <f t="shared" si="10"/>
        <v>-4</v>
      </c>
      <c r="K82" s="30">
        <f t="shared" si="8"/>
        <v>-40</v>
      </c>
      <c r="L82" s="30"/>
      <c r="M82" s="32">
        <f t="shared" si="9"/>
        <v>0</v>
      </c>
    </row>
    <row r="83" spans="1:13" x14ac:dyDescent="0.25">
      <c r="A83" s="51"/>
      <c r="G83" s="8"/>
      <c r="H83" s="30">
        <v>78</v>
      </c>
      <c r="I83" s="31" t="str">
        <f t="shared" si="7"/>
        <v/>
      </c>
      <c r="J83" s="30">
        <f t="shared" si="10"/>
        <v>-4</v>
      </c>
      <c r="K83" s="30">
        <f t="shared" si="8"/>
        <v>-40</v>
      </c>
      <c r="L83" s="30"/>
      <c r="M83" s="32">
        <f t="shared" si="9"/>
        <v>0</v>
      </c>
    </row>
    <row r="84" spans="1:13" x14ac:dyDescent="0.25">
      <c r="A84" s="51"/>
      <c r="G84" s="8"/>
      <c r="H84" s="30">
        <v>79</v>
      </c>
      <c r="I84" s="31" t="str">
        <f t="shared" si="7"/>
        <v/>
      </c>
      <c r="J84" s="30">
        <f t="shared" si="10"/>
        <v>-4</v>
      </c>
      <c r="K84" s="30">
        <f t="shared" si="8"/>
        <v>-40</v>
      </c>
      <c r="L84" s="30"/>
      <c r="M84" s="32">
        <f t="shared" si="9"/>
        <v>0</v>
      </c>
    </row>
    <row r="85" spans="1:13" x14ac:dyDescent="0.25">
      <c r="A85" s="51"/>
      <c r="G85" s="8"/>
      <c r="H85" s="30">
        <v>80</v>
      </c>
      <c r="I85" s="31" t="str">
        <f t="shared" si="7"/>
        <v/>
      </c>
      <c r="J85" s="30">
        <f t="shared" si="10"/>
        <v>-4</v>
      </c>
      <c r="K85" s="30">
        <f t="shared" si="8"/>
        <v>-40</v>
      </c>
      <c r="L85" s="30"/>
      <c r="M85" s="32">
        <f t="shared" si="9"/>
        <v>0</v>
      </c>
    </row>
    <row r="86" spans="1:13" x14ac:dyDescent="0.25">
      <c r="A86" s="51"/>
      <c r="G86" s="8"/>
      <c r="H86" s="30">
        <v>81</v>
      </c>
      <c r="I86" s="31" t="str">
        <f t="shared" si="7"/>
        <v/>
      </c>
      <c r="J86" s="30">
        <f t="shared" si="10"/>
        <v>-4</v>
      </c>
      <c r="K86" s="30">
        <f t="shared" si="8"/>
        <v>-40</v>
      </c>
      <c r="L86" s="30"/>
      <c r="M86" s="32">
        <f t="shared" si="9"/>
        <v>0</v>
      </c>
    </row>
    <row r="87" spans="1:13" x14ac:dyDescent="0.25">
      <c r="A87" s="51"/>
      <c r="G87" s="8"/>
      <c r="H87" s="30">
        <v>82</v>
      </c>
      <c r="I87" s="31" t="str">
        <f t="shared" si="7"/>
        <v/>
      </c>
      <c r="J87" s="30">
        <f t="shared" si="10"/>
        <v>-4</v>
      </c>
      <c r="K87" s="30">
        <f t="shared" si="8"/>
        <v>-40</v>
      </c>
      <c r="L87" s="30"/>
      <c r="M87" s="32">
        <f t="shared" si="9"/>
        <v>0</v>
      </c>
    </row>
    <row r="88" spans="1:13" x14ac:dyDescent="0.25">
      <c r="A88" s="51"/>
      <c r="G88" s="8"/>
      <c r="H88" s="30">
        <v>83</v>
      </c>
      <c r="I88" s="31" t="str">
        <f t="shared" si="7"/>
        <v/>
      </c>
      <c r="J88" s="30">
        <f t="shared" si="10"/>
        <v>-4</v>
      </c>
      <c r="K88" s="30">
        <f t="shared" si="8"/>
        <v>-40</v>
      </c>
      <c r="L88" s="30"/>
      <c r="M88" s="32">
        <f t="shared" si="9"/>
        <v>0</v>
      </c>
    </row>
    <row r="89" spans="1:13" x14ac:dyDescent="0.25">
      <c r="A89" s="51"/>
      <c r="G89" s="8"/>
      <c r="H89" s="30">
        <v>84</v>
      </c>
      <c r="I89" s="31" t="str">
        <f t="shared" si="7"/>
        <v/>
      </c>
      <c r="J89" s="30">
        <f t="shared" si="10"/>
        <v>-4</v>
      </c>
      <c r="K89" s="30">
        <f t="shared" si="8"/>
        <v>-40</v>
      </c>
      <c r="L89" s="30"/>
      <c r="M89" s="32">
        <f t="shared" si="9"/>
        <v>0</v>
      </c>
    </row>
    <row r="90" spans="1:13" x14ac:dyDescent="0.25">
      <c r="A90" s="51"/>
      <c r="G90" s="8"/>
      <c r="H90" s="30">
        <v>85</v>
      </c>
      <c r="I90" s="31" t="str">
        <f t="shared" si="7"/>
        <v/>
      </c>
      <c r="J90" s="30">
        <f t="shared" si="10"/>
        <v>-4</v>
      </c>
      <c r="K90" s="30">
        <f t="shared" si="8"/>
        <v>-40</v>
      </c>
      <c r="L90" s="30"/>
      <c r="M90" s="32">
        <f t="shared" si="9"/>
        <v>0</v>
      </c>
    </row>
    <row r="91" spans="1:13" x14ac:dyDescent="0.25">
      <c r="A91" s="51"/>
      <c r="G91" s="8"/>
      <c r="H91" s="30">
        <v>86</v>
      </c>
      <c r="I91" s="31" t="str">
        <f t="shared" si="7"/>
        <v/>
      </c>
      <c r="J91" s="30">
        <f t="shared" si="10"/>
        <v>-4</v>
      </c>
      <c r="K91" s="30">
        <f t="shared" si="8"/>
        <v>-40</v>
      </c>
      <c r="L91" s="30"/>
      <c r="M91" s="32">
        <f t="shared" si="9"/>
        <v>0</v>
      </c>
    </row>
    <row r="92" spans="1:13" x14ac:dyDescent="0.25">
      <c r="A92" s="51"/>
      <c r="G92" s="8"/>
      <c r="H92" s="30">
        <v>87</v>
      </c>
      <c r="I92" s="31" t="str">
        <f t="shared" si="7"/>
        <v/>
      </c>
      <c r="J92" s="30">
        <f t="shared" si="10"/>
        <v>-4</v>
      </c>
      <c r="K92" s="30">
        <f t="shared" si="8"/>
        <v>-40</v>
      </c>
      <c r="L92" s="30"/>
      <c r="M92" s="32">
        <f t="shared" si="9"/>
        <v>0</v>
      </c>
    </row>
    <row r="93" spans="1:13" x14ac:dyDescent="0.25">
      <c r="A93" s="51"/>
      <c r="G93" s="8"/>
      <c r="H93" s="30">
        <v>88</v>
      </c>
      <c r="I93" s="31" t="str">
        <f t="shared" si="7"/>
        <v/>
      </c>
      <c r="J93" s="30">
        <f t="shared" si="10"/>
        <v>-4</v>
      </c>
      <c r="K93" s="30">
        <f t="shared" si="8"/>
        <v>-40</v>
      </c>
      <c r="L93" s="30"/>
      <c r="M93" s="32">
        <f t="shared" si="9"/>
        <v>0</v>
      </c>
    </row>
    <row r="94" spans="1:13" x14ac:dyDescent="0.25">
      <c r="A94" s="51"/>
      <c r="G94" s="8"/>
      <c r="H94" s="30">
        <v>89</v>
      </c>
      <c r="I94" s="31" t="str">
        <f t="shared" si="7"/>
        <v/>
      </c>
      <c r="J94" s="30">
        <f t="shared" si="10"/>
        <v>-4</v>
      </c>
      <c r="K94" s="30">
        <f t="shared" si="8"/>
        <v>-40</v>
      </c>
      <c r="L94" s="30"/>
      <c r="M94" s="32">
        <f t="shared" si="9"/>
        <v>0</v>
      </c>
    </row>
    <row r="95" spans="1:13" x14ac:dyDescent="0.25">
      <c r="A95" s="51"/>
      <c r="G95" s="8"/>
      <c r="H95" s="30">
        <v>90</v>
      </c>
      <c r="I95" s="31" t="str">
        <f t="shared" si="7"/>
        <v/>
      </c>
      <c r="J95" s="30">
        <f t="shared" si="10"/>
        <v>-4</v>
      </c>
      <c r="K95" s="30">
        <f t="shared" si="8"/>
        <v>-40</v>
      </c>
      <c r="L95" s="30"/>
      <c r="M95" s="32">
        <f t="shared" si="9"/>
        <v>0</v>
      </c>
    </row>
    <row r="96" spans="1:13" x14ac:dyDescent="0.25">
      <c r="A96" s="51"/>
      <c r="G96" s="8"/>
      <c r="H96" s="30">
        <v>91</v>
      </c>
      <c r="I96" s="31" t="str">
        <f t="shared" si="7"/>
        <v/>
      </c>
      <c r="J96" s="30">
        <f t="shared" si="10"/>
        <v>-4</v>
      </c>
      <c r="K96" s="30">
        <f t="shared" si="8"/>
        <v>-40</v>
      </c>
      <c r="L96" s="30"/>
      <c r="M96" s="32">
        <f t="shared" si="9"/>
        <v>0</v>
      </c>
    </row>
    <row r="97" spans="1:13" x14ac:dyDescent="0.25">
      <c r="A97" s="51"/>
      <c r="G97" s="8"/>
      <c r="H97" s="30">
        <v>92</v>
      </c>
      <c r="I97" s="31" t="str">
        <f t="shared" si="7"/>
        <v/>
      </c>
      <c r="J97" s="30">
        <f t="shared" si="10"/>
        <v>-4</v>
      </c>
      <c r="K97" s="30">
        <f t="shared" si="8"/>
        <v>-40</v>
      </c>
      <c r="L97" s="30"/>
      <c r="M97" s="32">
        <f t="shared" si="9"/>
        <v>0</v>
      </c>
    </row>
    <row r="98" spans="1:13" x14ac:dyDescent="0.25">
      <c r="A98" s="51"/>
      <c r="G98" s="8"/>
      <c r="H98" s="30">
        <v>93</v>
      </c>
      <c r="I98" s="31" t="str">
        <f t="shared" si="7"/>
        <v/>
      </c>
      <c r="J98" s="30">
        <f t="shared" si="10"/>
        <v>-4</v>
      </c>
      <c r="K98" s="30">
        <f t="shared" si="8"/>
        <v>-40</v>
      </c>
      <c r="L98" s="30"/>
      <c r="M98" s="32">
        <f t="shared" si="9"/>
        <v>0</v>
      </c>
    </row>
    <row r="99" spans="1:13" x14ac:dyDescent="0.25">
      <c r="A99" s="51"/>
      <c r="G99" s="8"/>
      <c r="H99" s="30">
        <v>94</v>
      </c>
      <c r="I99" s="31" t="str">
        <f t="shared" si="7"/>
        <v/>
      </c>
      <c r="J99" s="30">
        <f t="shared" si="10"/>
        <v>-4</v>
      </c>
      <c r="K99" s="30">
        <f t="shared" si="8"/>
        <v>-40</v>
      </c>
      <c r="L99" s="30"/>
      <c r="M99" s="32">
        <f t="shared" si="9"/>
        <v>0</v>
      </c>
    </row>
    <row r="100" spans="1:13" x14ac:dyDescent="0.25">
      <c r="A100" s="51"/>
      <c r="G100" s="8"/>
      <c r="H100" s="30">
        <v>95</v>
      </c>
      <c r="I100" s="31" t="str">
        <f t="shared" si="7"/>
        <v/>
      </c>
      <c r="J100" s="30">
        <f t="shared" si="10"/>
        <v>-4</v>
      </c>
      <c r="K100" s="30">
        <f t="shared" si="8"/>
        <v>-40</v>
      </c>
      <c r="L100" s="30"/>
      <c r="M100" s="32">
        <f t="shared" si="9"/>
        <v>0</v>
      </c>
    </row>
    <row r="101" spans="1:13" x14ac:dyDescent="0.25">
      <c r="A101" s="51"/>
      <c r="G101" s="8"/>
      <c r="H101" s="30">
        <v>96</v>
      </c>
      <c r="I101" s="31" t="str">
        <f t="shared" si="7"/>
        <v/>
      </c>
      <c r="J101" s="30">
        <f t="shared" si="10"/>
        <v>-4</v>
      </c>
      <c r="K101" s="30">
        <f t="shared" si="8"/>
        <v>-40</v>
      </c>
      <c r="L101" s="30"/>
      <c r="M101" s="32">
        <f t="shared" si="9"/>
        <v>0</v>
      </c>
    </row>
    <row r="102" spans="1:13" x14ac:dyDescent="0.25">
      <c r="A102" s="51"/>
      <c r="G102" s="8"/>
      <c r="H102" s="30">
        <v>97</v>
      </c>
      <c r="I102" s="31" t="str">
        <f t="shared" si="7"/>
        <v/>
      </c>
      <c r="J102" s="30">
        <f t="shared" si="10"/>
        <v>-4</v>
      </c>
      <c r="K102" s="30">
        <f t="shared" si="8"/>
        <v>-40</v>
      </c>
      <c r="L102" s="30"/>
      <c r="M102" s="32">
        <f t="shared" si="9"/>
        <v>0</v>
      </c>
    </row>
    <row r="103" spans="1:13" x14ac:dyDescent="0.25">
      <c r="A103" s="51"/>
      <c r="G103" s="8"/>
      <c r="H103" s="30">
        <v>98</v>
      </c>
      <c r="I103" s="31" t="str">
        <f t="shared" si="7"/>
        <v/>
      </c>
      <c r="J103" s="30">
        <f t="shared" si="10"/>
        <v>-4</v>
      </c>
      <c r="K103" s="30">
        <f t="shared" si="8"/>
        <v>-40</v>
      </c>
      <c r="L103" s="30"/>
      <c r="M103" s="32">
        <f t="shared" si="9"/>
        <v>0</v>
      </c>
    </row>
    <row r="104" spans="1:13" x14ac:dyDescent="0.25">
      <c r="A104" s="51"/>
      <c r="G104" s="8"/>
      <c r="H104" s="30">
        <v>99</v>
      </c>
      <c r="I104" s="31" t="str">
        <f t="shared" si="7"/>
        <v/>
      </c>
      <c r="J104" s="30">
        <f t="shared" si="10"/>
        <v>-4</v>
      </c>
      <c r="K104" s="30">
        <f t="shared" si="8"/>
        <v>-40</v>
      </c>
      <c r="L104" s="30"/>
      <c r="M104" s="32">
        <f t="shared" si="9"/>
        <v>0</v>
      </c>
    </row>
    <row r="105" spans="1:13" x14ac:dyDescent="0.25">
      <c r="A105" s="51"/>
      <c r="G105" s="8"/>
      <c r="H105" s="30">
        <v>100</v>
      </c>
      <c r="I105" s="31" t="str">
        <f t="shared" si="7"/>
        <v/>
      </c>
      <c r="J105" s="30">
        <f t="shared" si="10"/>
        <v>-4</v>
      </c>
      <c r="K105" s="30">
        <f t="shared" si="8"/>
        <v>-40</v>
      </c>
      <c r="L105" s="30"/>
      <c r="M105" s="32">
        <f t="shared" si="9"/>
        <v>0</v>
      </c>
    </row>
    <row r="106" spans="1:13" x14ac:dyDescent="0.25">
      <c r="A106" s="51"/>
      <c r="G106" s="8"/>
      <c r="H106" s="30">
        <v>101</v>
      </c>
      <c r="I106" s="31" t="str">
        <f t="shared" si="7"/>
        <v/>
      </c>
      <c r="J106" s="30">
        <f t="shared" si="10"/>
        <v>-4</v>
      </c>
      <c r="K106" s="30">
        <f t="shared" si="8"/>
        <v>-40</v>
      </c>
      <c r="L106" s="30"/>
      <c r="M106" s="32">
        <f t="shared" si="9"/>
        <v>0</v>
      </c>
    </row>
    <row r="107" spans="1:13" x14ac:dyDescent="0.25">
      <c r="A107" s="51"/>
      <c r="G107" s="8"/>
      <c r="H107" s="30">
        <v>102</v>
      </c>
      <c r="I107" s="31" t="str">
        <f t="shared" si="7"/>
        <v/>
      </c>
      <c r="J107" s="30">
        <f t="shared" si="10"/>
        <v>-4</v>
      </c>
      <c r="K107" s="30">
        <f t="shared" si="8"/>
        <v>-40</v>
      </c>
      <c r="L107" s="30"/>
      <c r="M107" s="32">
        <f t="shared" si="9"/>
        <v>0</v>
      </c>
    </row>
    <row r="108" spans="1:13" x14ac:dyDescent="0.25">
      <c r="A108" s="51"/>
      <c r="G108" s="8"/>
      <c r="H108" s="30">
        <v>103</v>
      </c>
      <c r="I108" s="31" t="str">
        <f t="shared" si="7"/>
        <v/>
      </c>
      <c r="J108" s="30">
        <f t="shared" si="10"/>
        <v>-4</v>
      </c>
      <c r="K108" s="30">
        <f t="shared" si="8"/>
        <v>-40</v>
      </c>
      <c r="L108" s="30"/>
      <c r="M108" s="32">
        <f t="shared" si="9"/>
        <v>0</v>
      </c>
    </row>
    <row r="109" spans="1:13" x14ac:dyDescent="0.25">
      <c r="A109" s="51"/>
      <c r="G109" s="8"/>
      <c r="H109" s="30">
        <v>104</v>
      </c>
      <c r="I109" s="31" t="str">
        <f t="shared" si="7"/>
        <v/>
      </c>
      <c r="J109" s="30">
        <f t="shared" si="10"/>
        <v>-4</v>
      </c>
      <c r="K109" s="30">
        <f t="shared" si="8"/>
        <v>-40</v>
      </c>
      <c r="L109" s="30"/>
      <c r="M109" s="32">
        <f t="shared" si="9"/>
        <v>0</v>
      </c>
    </row>
    <row r="110" spans="1:13" x14ac:dyDescent="0.25">
      <c r="A110" s="51"/>
      <c r="G110" s="8"/>
      <c r="H110" s="30">
        <v>105</v>
      </c>
      <c r="I110" s="31" t="str">
        <f t="shared" si="7"/>
        <v/>
      </c>
      <c r="J110" s="30">
        <f t="shared" si="10"/>
        <v>-4</v>
      </c>
      <c r="K110" s="30">
        <f t="shared" si="8"/>
        <v>-40</v>
      </c>
      <c r="L110" s="30"/>
      <c r="M110" s="32">
        <f t="shared" si="9"/>
        <v>0</v>
      </c>
    </row>
    <row r="111" spans="1:13" x14ac:dyDescent="0.25">
      <c r="A111" s="51"/>
      <c r="G111" s="8"/>
      <c r="H111" s="30">
        <v>106</v>
      </c>
      <c r="I111" s="31" t="str">
        <f t="shared" si="7"/>
        <v/>
      </c>
      <c r="J111" s="30">
        <f t="shared" si="10"/>
        <v>-4</v>
      </c>
      <c r="K111" s="30">
        <f t="shared" si="8"/>
        <v>-40</v>
      </c>
      <c r="L111" s="30"/>
      <c r="M111" s="32">
        <f t="shared" si="9"/>
        <v>0</v>
      </c>
    </row>
    <row r="112" spans="1:13" x14ac:dyDescent="0.25">
      <c r="A112" s="51"/>
      <c r="G112" s="8"/>
      <c r="H112" s="30">
        <v>107</v>
      </c>
      <c r="I112" s="31" t="str">
        <f t="shared" si="7"/>
        <v/>
      </c>
      <c r="J112" s="30">
        <f t="shared" si="10"/>
        <v>-4</v>
      </c>
      <c r="K112" s="30">
        <f t="shared" si="8"/>
        <v>-40</v>
      </c>
      <c r="L112" s="30"/>
      <c r="M112" s="32">
        <f t="shared" si="9"/>
        <v>0</v>
      </c>
    </row>
    <row r="113" spans="1:13" x14ac:dyDescent="0.25">
      <c r="A113" s="51"/>
      <c r="G113" s="8"/>
      <c r="H113" s="30">
        <v>108</v>
      </c>
      <c r="I113" s="31" t="str">
        <f t="shared" si="7"/>
        <v/>
      </c>
      <c r="J113" s="30">
        <f t="shared" si="10"/>
        <v>-4</v>
      </c>
      <c r="K113" s="30">
        <f t="shared" si="8"/>
        <v>-40</v>
      </c>
      <c r="L113" s="30"/>
      <c r="M113" s="32">
        <f t="shared" si="9"/>
        <v>0</v>
      </c>
    </row>
    <row r="114" spans="1:13" x14ac:dyDescent="0.25">
      <c r="A114" s="51"/>
      <c r="G114" s="8"/>
      <c r="H114" s="30">
        <v>109</v>
      </c>
      <c r="I114" s="31" t="str">
        <f t="shared" si="7"/>
        <v/>
      </c>
      <c r="J114" s="30">
        <f t="shared" si="10"/>
        <v>-4</v>
      </c>
      <c r="K114" s="30">
        <f t="shared" si="8"/>
        <v>-40</v>
      </c>
      <c r="L114" s="30"/>
      <c r="M114" s="32">
        <f t="shared" si="9"/>
        <v>0</v>
      </c>
    </row>
    <row r="115" spans="1:13" x14ac:dyDescent="0.25">
      <c r="A115" s="51"/>
      <c r="G115" s="8"/>
      <c r="H115" s="30">
        <v>110</v>
      </c>
      <c r="I115" s="31" t="str">
        <f t="shared" si="7"/>
        <v/>
      </c>
      <c r="J115" s="30">
        <f t="shared" si="10"/>
        <v>-4</v>
      </c>
      <c r="K115" s="30">
        <f t="shared" si="8"/>
        <v>-40</v>
      </c>
      <c r="L115" s="30"/>
      <c r="M115" s="32">
        <f t="shared" si="9"/>
        <v>0</v>
      </c>
    </row>
    <row r="116" spans="1:13" x14ac:dyDescent="0.25">
      <c r="A116" s="51"/>
      <c r="G116" s="8"/>
      <c r="H116" s="30">
        <v>111</v>
      </c>
      <c r="I116" s="31" t="str">
        <f t="shared" si="7"/>
        <v/>
      </c>
      <c r="J116" s="30">
        <f t="shared" si="10"/>
        <v>-4</v>
      </c>
      <c r="K116" s="30">
        <f t="shared" si="8"/>
        <v>-40</v>
      </c>
      <c r="L116" s="30"/>
      <c r="M116" s="32">
        <f t="shared" si="9"/>
        <v>0</v>
      </c>
    </row>
    <row r="117" spans="1:13" x14ac:dyDescent="0.25">
      <c r="A117" s="51"/>
      <c r="G117" s="8"/>
      <c r="H117" s="30">
        <v>112</v>
      </c>
      <c r="I117" s="31" t="str">
        <f t="shared" si="7"/>
        <v/>
      </c>
      <c r="J117" s="30">
        <f t="shared" si="10"/>
        <v>-4</v>
      </c>
      <c r="K117" s="30">
        <f t="shared" si="8"/>
        <v>-40</v>
      </c>
      <c r="L117" s="30"/>
      <c r="M117" s="32">
        <f t="shared" si="9"/>
        <v>0</v>
      </c>
    </row>
    <row r="118" spans="1:13" x14ac:dyDescent="0.25">
      <c r="A118" s="51"/>
      <c r="G118" s="8"/>
      <c r="H118" s="30">
        <v>113</v>
      </c>
      <c r="I118" s="31" t="str">
        <f t="shared" si="7"/>
        <v/>
      </c>
      <c r="J118" s="30">
        <f t="shared" si="10"/>
        <v>-4</v>
      </c>
      <c r="K118" s="30">
        <f t="shared" si="8"/>
        <v>-40</v>
      </c>
      <c r="L118" s="30"/>
      <c r="M118" s="32">
        <f t="shared" si="9"/>
        <v>0</v>
      </c>
    </row>
    <row r="119" spans="1:13" x14ac:dyDescent="0.25">
      <c r="A119" s="51"/>
      <c r="G119" s="8"/>
      <c r="H119" s="30">
        <v>114</v>
      </c>
      <c r="I119" s="31" t="str">
        <f t="shared" si="7"/>
        <v/>
      </c>
      <c r="J119" s="30">
        <f t="shared" si="10"/>
        <v>-4</v>
      </c>
      <c r="K119" s="30">
        <f t="shared" si="8"/>
        <v>-40</v>
      </c>
      <c r="L119" s="30"/>
      <c r="M119" s="32">
        <f t="shared" si="9"/>
        <v>0</v>
      </c>
    </row>
    <row r="120" spans="1:13" x14ac:dyDescent="0.25">
      <c r="A120" s="51"/>
      <c r="G120" s="8"/>
      <c r="H120" s="30">
        <v>115</v>
      </c>
      <c r="I120" s="31" t="str">
        <f t="shared" si="7"/>
        <v/>
      </c>
      <c r="J120" s="30">
        <f t="shared" si="10"/>
        <v>-4</v>
      </c>
      <c r="K120" s="30">
        <f t="shared" si="8"/>
        <v>-40</v>
      </c>
      <c r="L120" s="30"/>
      <c r="M120" s="32">
        <f t="shared" si="9"/>
        <v>0</v>
      </c>
    </row>
    <row r="121" spans="1:13" x14ac:dyDescent="0.25">
      <c r="A121" s="51"/>
      <c r="G121" s="8"/>
      <c r="H121" s="30">
        <v>116</v>
      </c>
      <c r="I121" s="31" t="str">
        <f t="shared" si="7"/>
        <v/>
      </c>
      <c r="J121" s="30">
        <f t="shared" si="10"/>
        <v>-4</v>
      </c>
      <c r="K121" s="30">
        <f t="shared" si="8"/>
        <v>-40</v>
      </c>
      <c r="L121" s="30"/>
      <c r="M121" s="32">
        <f t="shared" si="9"/>
        <v>0</v>
      </c>
    </row>
    <row r="122" spans="1:13" x14ac:dyDescent="0.25">
      <c r="A122" s="51"/>
      <c r="G122" s="8"/>
      <c r="H122" s="30">
        <v>117</v>
      </c>
      <c r="I122" s="31" t="str">
        <f t="shared" si="7"/>
        <v/>
      </c>
      <c r="J122" s="30">
        <f t="shared" si="10"/>
        <v>-4</v>
      </c>
      <c r="K122" s="30">
        <f t="shared" si="8"/>
        <v>-40</v>
      </c>
      <c r="L122" s="30"/>
      <c r="M122" s="32">
        <f t="shared" si="9"/>
        <v>0</v>
      </c>
    </row>
    <row r="123" spans="1:13" x14ac:dyDescent="0.25">
      <c r="A123" s="51"/>
      <c r="G123" s="8"/>
      <c r="H123" s="30">
        <v>118</v>
      </c>
      <c r="I123" s="31" t="str">
        <f t="shared" si="7"/>
        <v/>
      </c>
      <c r="J123" s="30">
        <f t="shared" si="10"/>
        <v>-4</v>
      </c>
      <c r="K123" s="30">
        <f t="shared" si="8"/>
        <v>-40</v>
      </c>
      <c r="L123" s="30"/>
      <c r="M123" s="32">
        <f t="shared" si="9"/>
        <v>0</v>
      </c>
    </row>
    <row r="124" spans="1:13" x14ac:dyDescent="0.25">
      <c r="A124" s="51"/>
      <c r="G124" s="8"/>
      <c r="H124" s="30">
        <v>119</v>
      </c>
      <c r="I124" s="31" t="str">
        <f t="shared" si="7"/>
        <v/>
      </c>
      <c r="J124" s="30">
        <f t="shared" si="10"/>
        <v>-4</v>
      </c>
      <c r="K124" s="30">
        <f t="shared" si="8"/>
        <v>-40</v>
      </c>
      <c r="L124" s="30"/>
      <c r="M124" s="32">
        <f t="shared" si="9"/>
        <v>0</v>
      </c>
    </row>
    <row r="125" spans="1:13" x14ac:dyDescent="0.25">
      <c r="A125" s="51"/>
      <c r="G125" s="8"/>
      <c r="H125" s="30">
        <v>120</v>
      </c>
      <c r="I125" s="31" t="str">
        <f t="shared" si="7"/>
        <v/>
      </c>
      <c r="J125" s="30">
        <f t="shared" si="10"/>
        <v>-4</v>
      </c>
      <c r="K125" s="30">
        <f t="shared" si="8"/>
        <v>-40</v>
      </c>
      <c r="L125" s="30"/>
      <c r="M125" s="32">
        <f t="shared" si="9"/>
        <v>0</v>
      </c>
    </row>
    <row r="126" spans="1:13" x14ac:dyDescent="0.25">
      <c r="A126" s="51"/>
      <c r="G126" s="8"/>
      <c r="H126" s="30">
        <v>121</v>
      </c>
      <c r="I126" s="31" t="str">
        <f t="shared" si="7"/>
        <v/>
      </c>
      <c r="J126" s="30">
        <f t="shared" si="10"/>
        <v>-4</v>
      </c>
      <c r="K126" s="30">
        <f t="shared" si="8"/>
        <v>-40</v>
      </c>
      <c r="L126" s="30"/>
      <c r="M126" s="32">
        <f t="shared" si="9"/>
        <v>0</v>
      </c>
    </row>
    <row r="127" spans="1:13" x14ac:dyDescent="0.25">
      <c r="A127" s="51"/>
      <c r="G127" s="8"/>
      <c r="H127" s="30">
        <v>122</v>
      </c>
      <c r="I127" s="31" t="str">
        <f t="shared" si="7"/>
        <v/>
      </c>
      <c r="J127" s="30">
        <f t="shared" si="10"/>
        <v>-4</v>
      </c>
      <c r="K127" s="30">
        <f t="shared" si="8"/>
        <v>-40</v>
      </c>
      <c r="L127" s="30"/>
      <c r="M127" s="32">
        <f t="shared" si="9"/>
        <v>0</v>
      </c>
    </row>
    <row r="128" spans="1:13" x14ac:dyDescent="0.25">
      <c r="A128" s="51"/>
      <c r="G128" s="8"/>
      <c r="H128" s="30">
        <v>123</v>
      </c>
      <c r="I128" s="31" t="str">
        <f t="shared" si="7"/>
        <v/>
      </c>
      <c r="J128" s="30">
        <f t="shared" si="10"/>
        <v>-4</v>
      </c>
      <c r="K128" s="30">
        <f t="shared" si="8"/>
        <v>-40</v>
      </c>
      <c r="L128" s="30"/>
      <c r="M128" s="32">
        <f t="shared" si="9"/>
        <v>0</v>
      </c>
    </row>
    <row r="129" spans="1:13" x14ac:dyDescent="0.25">
      <c r="A129" s="51"/>
      <c r="G129" s="8"/>
      <c r="H129" s="30">
        <v>124</v>
      </c>
      <c r="I129" s="31" t="str">
        <f t="shared" si="7"/>
        <v/>
      </c>
      <c r="J129" s="30">
        <f t="shared" si="10"/>
        <v>-4</v>
      </c>
      <c r="K129" s="30">
        <f t="shared" si="8"/>
        <v>-40</v>
      </c>
      <c r="L129" s="30"/>
      <c r="M129" s="32">
        <f t="shared" si="9"/>
        <v>0</v>
      </c>
    </row>
    <row r="130" spans="1:13" x14ac:dyDescent="0.25">
      <c r="A130" s="51"/>
      <c r="G130" s="8"/>
      <c r="H130" s="30">
        <v>125</v>
      </c>
      <c r="I130" s="31" t="str">
        <f t="shared" si="7"/>
        <v/>
      </c>
      <c r="J130" s="30">
        <f t="shared" si="10"/>
        <v>-4</v>
      </c>
      <c r="K130" s="30">
        <f t="shared" si="8"/>
        <v>-40</v>
      </c>
      <c r="L130" s="30"/>
      <c r="M130" s="32">
        <f t="shared" si="9"/>
        <v>0</v>
      </c>
    </row>
    <row r="131" spans="1:13" x14ac:dyDescent="0.25">
      <c r="A131" s="51"/>
      <c r="G131" s="8"/>
      <c r="H131" s="30">
        <v>126</v>
      </c>
      <c r="I131" s="31" t="str">
        <f t="shared" si="7"/>
        <v/>
      </c>
      <c r="J131" s="30">
        <f t="shared" si="10"/>
        <v>-4</v>
      </c>
      <c r="K131" s="30">
        <f t="shared" si="8"/>
        <v>-40</v>
      </c>
      <c r="L131" s="30"/>
      <c r="M131" s="32">
        <f t="shared" si="9"/>
        <v>0</v>
      </c>
    </row>
    <row r="132" spans="1:13" x14ac:dyDescent="0.25">
      <c r="A132" s="51"/>
      <c r="G132" s="8"/>
      <c r="H132" s="30">
        <v>127</v>
      </c>
      <c r="I132" s="31" t="str">
        <f t="shared" si="7"/>
        <v/>
      </c>
      <c r="J132" s="30">
        <f t="shared" si="10"/>
        <v>-4</v>
      </c>
      <c r="K132" s="30">
        <f t="shared" si="8"/>
        <v>-40</v>
      </c>
      <c r="L132" s="30"/>
      <c r="M132" s="32">
        <f t="shared" si="9"/>
        <v>0</v>
      </c>
    </row>
    <row r="133" spans="1:13" x14ac:dyDescent="0.25">
      <c r="A133" s="51"/>
      <c r="G133" s="8"/>
      <c r="H133" s="30">
        <v>128</v>
      </c>
      <c r="I133" s="31" t="str">
        <f t="shared" si="7"/>
        <v/>
      </c>
      <c r="J133" s="30">
        <f t="shared" si="10"/>
        <v>-4</v>
      </c>
      <c r="K133" s="30">
        <f t="shared" si="8"/>
        <v>-40</v>
      </c>
      <c r="L133" s="30"/>
      <c r="M133" s="32">
        <f t="shared" si="9"/>
        <v>0</v>
      </c>
    </row>
    <row r="134" spans="1:13" x14ac:dyDescent="0.25">
      <c r="A134" s="51"/>
      <c r="G134" s="8"/>
      <c r="H134" s="30">
        <v>129</v>
      </c>
      <c r="I134" s="31" t="str">
        <f t="shared" ref="I134:I197" si="11">IF(H134&lt;$H$2+1,($I$2-($I$2-1)*(LOG(H134)/LOG($H$2))),"")</f>
        <v/>
      </c>
      <c r="J134" s="30">
        <f t="shared" si="10"/>
        <v>-5</v>
      </c>
      <c r="K134" s="30">
        <f t="shared" ref="K134:K197" si="12">J134*$J$2</f>
        <v>-50</v>
      </c>
      <c r="L134" s="30"/>
      <c r="M134" s="32">
        <f t="shared" ref="M134:M197" si="13">IF(I134&lt;&gt;"",K134+I134+L134,0)</f>
        <v>0</v>
      </c>
    </row>
    <row r="135" spans="1:13" x14ac:dyDescent="0.25">
      <c r="A135" s="51"/>
      <c r="G135" s="8"/>
      <c r="H135" s="30">
        <v>130</v>
      </c>
      <c r="I135" s="31" t="str">
        <f t="shared" si="11"/>
        <v/>
      </c>
      <c r="J135" s="30">
        <f t="shared" ref="J135:J198" si="14">INT(LOG($H$2,2))-ROUNDUP(LOG(H135,2),0)+IF(OR($H$2=1,$H$2=2,$H$2=4,$H$2=8,$H$2=16,$H$2=32,$H$2=64,$H$2=128,$H$2=256),0,1)</f>
        <v>-5</v>
      </c>
      <c r="K135" s="30">
        <f t="shared" si="12"/>
        <v>-50</v>
      </c>
      <c r="L135" s="30"/>
      <c r="M135" s="32">
        <f t="shared" si="13"/>
        <v>0</v>
      </c>
    </row>
    <row r="136" spans="1:13" x14ac:dyDescent="0.25">
      <c r="A136" s="51"/>
      <c r="G136" s="8"/>
      <c r="H136" s="30">
        <v>131</v>
      </c>
      <c r="I136" s="31" t="str">
        <f t="shared" si="11"/>
        <v/>
      </c>
      <c r="J136" s="30">
        <f t="shared" si="14"/>
        <v>-5</v>
      </c>
      <c r="K136" s="30">
        <f t="shared" si="12"/>
        <v>-50</v>
      </c>
      <c r="L136" s="30"/>
      <c r="M136" s="32">
        <f t="shared" si="13"/>
        <v>0</v>
      </c>
    </row>
    <row r="137" spans="1:13" x14ac:dyDescent="0.25">
      <c r="A137" s="51"/>
      <c r="G137" s="8"/>
      <c r="H137" s="30">
        <v>132</v>
      </c>
      <c r="I137" s="31" t="str">
        <f t="shared" si="11"/>
        <v/>
      </c>
      <c r="J137" s="30">
        <f t="shared" si="14"/>
        <v>-5</v>
      </c>
      <c r="K137" s="30">
        <f t="shared" si="12"/>
        <v>-50</v>
      </c>
      <c r="L137" s="30"/>
      <c r="M137" s="32">
        <f t="shared" si="13"/>
        <v>0</v>
      </c>
    </row>
    <row r="138" spans="1:13" x14ac:dyDescent="0.25">
      <c r="A138" s="51"/>
      <c r="G138" s="8"/>
      <c r="H138" s="30">
        <v>133</v>
      </c>
      <c r="I138" s="31" t="str">
        <f t="shared" si="11"/>
        <v/>
      </c>
      <c r="J138" s="30">
        <f t="shared" si="14"/>
        <v>-5</v>
      </c>
      <c r="K138" s="30">
        <f t="shared" si="12"/>
        <v>-50</v>
      </c>
      <c r="L138" s="30"/>
      <c r="M138" s="32">
        <f t="shared" si="13"/>
        <v>0</v>
      </c>
    </row>
    <row r="139" spans="1:13" x14ac:dyDescent="0.25">
      <c r="A139" s="51"/>
      <c r="G139" s="8"/>
      <c r="H139" s="30">
        <v>134</v>
      </c>
      <c r="I139" s="31" t="str">
        <f t="shared" si="11"/>
        <v/>
      </c>
      <c r="J139" s="30">
        <f t="shared" si="14"/>
        <v>-5</v>
      </c>
      <c r="K139" s="30">
        <f t="shared" si="12"/>
        <v>-50</v>
      </c>
      <c r="L139" s="30"/>
      <c r="M139" s="32">
        <f t="shared" si="13"/>
        <v>0</v>
      </c>
    </row>
    <row r="140" spans="1:13" x14ac:dyDescent="0.25">
      <c r="A140" s="51"/>
      <c r="G140" s="8"/>
      <c r="H140" s="30">
        <v>135</v>
      </c>
      <c r="I140" s="31" t="str">
        <f t="shared" si="11"/>
        <v/>
      </c>
      <c r="J140" s="30">
        <f t="shared" si="14"/>
        <v>-5</v>
      </c>
      <c r="K140" s="30">
        <f t="shared" si="12"/>
        <v>-50</v>
      </c>
      <c r="L140" s="30"/>
      <c r="M140" s="32">
        <f t="shared" si="13"/>
        <v>0</v>
      </c>
    </row>
    <row r="141" spans="1:13" x14ac:dyDescent="0.25">
      <c r="A141" s="51"/>
      <c r="G141" s="8"/>
      <c r="H141" s="30">
        <v>136</v>
      </c>
      <c r="I141" s="31" t="str">
        <f t="shared" si="11"/>
        <v/>
      </c>
      <c r="J141" s="30">
        <f t="shared" si="14"/>
        <v>-5</v>
      </c>
      <c r="K141" s="30">
        <f t="shared" si="12"/>
        <v>-50</v>
      </c>
      <c r="L141" s="30"/>
      <c r="M141" s="32">
        <f t="shared" si="13"/>
        <v>0</v>
      </c>
    </row>
    <row r="142" spans="1:13" x14ac:dyDescent="0.25">
      <c r="A142" s="51"/>
      <c r="G142" s="8"/>
      <c r="H142" s="30">
        <v>137</v>
      </c>
      <c r="I142" s="31" t="str">
        <f t="shared" si="11"/>
        <v/>
      </c>
      <c r="J142" s="30">
        <f t="shared" si="14"/>
        <v>-5</v>
      </c>
      <c r="K142" s="30">
        <f t="shared" si="12"/>
        <v>-50</v>
      </c>
      <c r="L142" s="30"/>
      <c r="M142" s="32">
        <f t="shared" si="13"/>
        <v>0</v>
      </c>
    </row>
    <row r="143" spans="1:13" x14ac:dyDescent="0.25">
      <c r="A143" s="51"/>
      <c r="G143" s="8"/>
      <c r="H143" s="30">
        <v>138</v>
      </c>
      <c r="I143" s="31" t="str">
        <f t="shared" si="11"/>
        <v/>
      </c>
      <c r="J143" s="30">
        <f t="shared" si="14"/>
        <v>-5</v>
      </c>
      <c r="K143" s="30">
        <f t="shared" si="12"/>
        <v>-50</v>
      </c>
      <c r="L143" s="30"/>
      <c r="M143" s="32">
        <f t="shared" si="13"/>
        <v>0</v>
      </c>
    </row>
    <row r="144" spans="1:13" x14ac:dyDescent="0.25">
      <c r="A144" s="51"/>
      <c r="G144" s="8"/>
      <c r="H144" s="30">
        <v>139</v>
      </c>
      <c r="I144" s="31" t="str">
        <f t="shared" si="11"/>
        <v/>
      </c>
      <c r="J144" s="30">
        <f t="shared" si="14"/>
        <v>-5</v>
      </c>
      <c r="K144" s="30">
        <f t="shared" si="12"/>
        <v>-50</v>
      </c>
      <c r="L144" s="30"/>
      <c r="M144" s="32">
        <f t="shared" si="13"/>
        <v>0</v>
      </c>
    </row>
    <row r="145" spans="1:13" x14ac:dyDescent="0.25">
      <c r="A145" s="51"/>
      <c r="G145" s="8"/>
      <c r="H145" s="30">
        <v>140</v>
      </c>
      <c r="I145" s="31" t="str">
        <f t="shared" si="11"/>
        <v/>
      </c>
      <c r="J145" s="30">
        <f t="shared" si="14"/>
        <v>-5</v>
      </c>
      <c r="K145" s="30">
        <f t="shared" si="12"/>
        <v>-50</v>
      </c>
      <c r="L145" s="30"/>
      <c r="M145" s="32">
        <f t="shared" si="13"/>
        <v>0</v>
      </c>
    </row>
    <row r="146" spans="1:13" x14ac:dyDescent="0.25">
      <c r="A146" s="51"/>
      <c r="G146" s="8"/>
      <c r="H146" s="30">
        <v>141</v>
      </c>
      <c r="I146" s="31" t="str">
        <f t="shared" si="11"/>
        <v/>
      </c>
      <c r="J146" s="30">
        <f t="shared" si="14"/>
        <v>-5</v>
      </c>
      <c r="K146" s="30">
        <f t="shared" si="12"/>
        <v>-50</v>
      </c>
      <c r="L146" s="30"/>
      <c r="M146" s="32">
        <f t="shared" si="13"/>
        <v>0</v>
      </c>
    </row>
    <row r="147" spans="1:13" x14ac:dyDescent="0.25">
      <c r="A147" s="51"/>
      <c r="G147" s="8"/>
      <c r="H147" s="30">
        <v>142</v>
      </c>
      <c r="I147" s="31" t="str">
        <f t="shared" si="11"/>
        <v/>
      </c>
      <c r="J147" s="30">
        <f t="shared" si="14"/>
        <v>-5</v>
      </c>
      <c r="K147" s="30">
        <f t="shared" si="12"/>
        <v>-50</v>
      </c>
      <c r="L147" s="30"/>
      <c r="M147" s="32">
        <f t="shared" si="13"/>
        <v>0</v>
      </c>
    </row>
    <row r="148" spans="1:13" x14ac:dyDescent="0.25">
      <c r="A148" s="51"/>
      <c r="G148" s="8"/>
      <c r="H148" s="30">
        <v>143</v>
      </c>
      <c r="I148" s="31" t="str">
        <f t="shared" si="11"/>
        <v/>
      </c>
      <c r="J148" s="30">
        <f t="shared" si="14"/>
        <v>-5</v>
      </c>
      <c r="K148" s="30">
        <f t="shared" si="12"/>
        <v>-50</v>
      </c>
      <c r="L148" s="30"/>
      <c r="M148" s="32">
        <f t="shared" si="13"/>
        <v>0</v>
      </c>
    </row>
    <row r="149" spans="1:13" x14ac:dyDescent="0.25">
      <c r="A149" s="51"/>
      <c r="G149" s="8"/>
      <c r="H149" s="30">
        <v>144</v>
      </c>
      <c r="I149" s="31" t="str">
        <f t="shared" si="11"/>
        <v/>
      </c>
      <c r="J149" s="30">
        <f t="shared" si="14"/>
        <v>-5</v>
      </c>
      <c r="K149" s="30">
        <f t="shared" si="12"/>
        <v>-50</v>
      </c>
      <c r="L149" s="30"/>
      <c r="M149" s="32">
        <f t="shared" si="13"/>
        <v>0</v>
      </c>
    </row>
    <row r="150" spans="1:13" x14ac:dyDescent="0.25">
      <c r="A150" s="51"/>
      <c r="G150" s="8"/>
      <c r="H150" s="30">
        <v>145</v>
      </c>
      <c r="I150" s="31" t="str">
        <f t="shared" si="11"/>
        <v/>
      </c>
      <c r="J150" s="30">
        <f t="shared" si="14"/>
        <v>-5</v>
      </c>
      <c r="K150" s="30">
        <f t="shared" si="12"/>
        <v>-50</v>
      </c>
      <c r="L150" s="30"/>
      <c r="M150" s="32">
        <f t="shared" si="13"/>
        <v>0</v>
      </c>
    </row>
    <row r="151" spans="1:13" x14ac:dyDescent="0.25">
      <c r="A151" s="51"/>
      <c r="G151" s="8"/>
      <c r="H151" s="30">
        <v>146</v>
      </c>
      <c r="I151" s="31" t="str">
        <f t="shared" si="11"/>
        <v/>
      </c>
      <c r="J151" s="30">
        <f t="shared" si="14"/>
        <v>-5</v>
      </c>
      <c r="K151" s="30">
        <f t="shared" si="12"/>
        <v>-50</v>
      </c>
      <c r="L151" s="30"/>
      <c r="M151" s="32">
        <f t="shared" si="13"/>
        <v>0</v>
      </c>
    </row>
    <row r="152" spans="1:13" x14ac:dyDescent="0.25">
      <c r="A152" s="51"/>
      <c r="G152" s="8"/>
      <c r="H152" s="30">
        <v>147</v>
      </c>
      <c r="I152" s="31" t="str">
        <f t="shared" si="11"/>
        <v/>
      </c>
      <c r="J152" s="30">
        <f t="shared" si="14"/>
        <v>-5</v>
      </c>
      <c r="K152" s="30">
        <f t="shared" si="12"/>
        <v>-50</v>
      </c>
      <c r="L152" s="30"/>
      <c r="M152" s="32">
        <f t="shared" si="13"/>
        <v>0</v>
      </c>
    </row>
    <row r="153" spans="1:13" x14ac:dyDescent="0.25">
      <c r="A153" s="51"/>
      <c r="G153" s="8"/>
      <c r="H153" s="30">
        <v>148</v>
      </c>
      <c r="I153" s="31" t="str">
        <f t="shared" si="11"/>
        <v/>
      </c>
      <c r="J153" s="30">
        <f t="shared" si="14"/>
        <v>-5</v>
      </c>
      <c r="K153" s="30">
        <f t="shared" si="12"/>
        <v>-50</v>
      </c>
      <c r="L153" s="30"/>
      <c r="M153" s="32">
        <f t="shared" si="13"/>
        <v>0</v>
      </c>
    </row>
    <row r="154" spans="1:13" x14ac:dyDescent="0.25">
      <c r="A154" s="51"/>
      <c r="G154" s="8"/>
      <c r="H154" s="30">
        <v>149</v>
      </c>
      <c r="I154" s="31" t="str">
        <f t="shared" si="11"/>
        <v/>
      </c>
      <c r="J154" s="30">
        <f t="shared" si="14"/>
        <v>-5</v>
      </c>
      <c r="K154" s="30">
        <f t="shared" si="12"/>
        <v>-50</v>
      </c>
      <c r="L154" s="30"/>
      <c r="M154" s="32">
        <f t="shared" si="13"/>
        <v>0</v>
      </c>
    </row>
    <row r="155" spans="1:13" x14ac:dyDescent="0.25">
      <c r="A155" s="51"/>
      <c r="G155" s="8"/>
      <c r="H155" s="30">
        <v>150</v>
      </c>
      <c r="I155" s="31" t="str">
        <f t="shared" si="11"/>
        <v/>
      </c>
      <c r="J155" s="30">
        <f t="shared" si="14"/>
        <v>-5</v>
      </c>
      <c r="K155" s="30">
        <f t="shared" si="12"/>
        <v>-50</v>
      </c>
      <c r="L155" s="30"/>
      <c r="M155" s="32">
        <f t="shared" si="13"/>
        <v>0</v>
      </c>
    </row>
    <row r="156" spans="1:13" x14ac:dyDescent="0.25">
      <c r="A156" s="51"/>
      <c r="G156" s="8"/>
      <c r="H156" s="30">
        <v>151</v>
      </c>
      <c r="I156" s="31" t="str">
        <f t="shared" si="11"/>
        <v/>
      </c>
      <c r="J156" s="30">
        <f t="shared" si="14"/>
        <v>-5</v>
      </c>
      <c r="K156" s="30">
        <f t="shared" si="12"/>
        <v>-50</v>
      </c>
      <c r="L156" s="30"/>
      <c r="M156" s="32">
        <f t="shared" si="13"/>
        <v>0</v>
      </c>
    </row>
    <row r="157" spans="1:13" x14ac:dyDescent="0.25">
      <c r="A157" s="51"/>
      <c r="G157" s="8"/>
      <c r="H157" s="30">
        <v>152</v>
      </c>
      <c r="I157" s="31" t="str">
        <f t="shared" si="11"/>
        <v/>
      </c>
      <c r="J157" s="30">
        <f t="shared" si="14"/>
        <v>-5</v>
      </c>
      <c r="K157" s="30">
        <f t="shared" si="12"/>
        <v>-50</v>
      </c>
      <c r="L157" s="30"/>
      <c r="M157" s="32">
        <f t="shared" si="13"/>
        <v>0</v>
      </c>
    </row>
    <row r="158" spans="1:13" x14ac:dyDescent="0.25">
      <c r="A158" s="51"/>
      <c r="G158" s="8"/>
      <c r="H158" s="30">
        <v>153</v>
      </c>
      <c r="I158" s="31" t="str">
        <f t="shared" si="11"/>
        <v/>
      </c>
      <c r="J158" s="30">
        <f t="shared" si="14"/>
        <v>-5</v>
      </c>
      <c r="K158" s="30">
        <f t="shared" si="12"/>
        <v>-50</v>
      </c>
      <c r="L158" s="30"/>
      <c r="M158" s="32">
        <f t="shared" si="13"/>
        <v>0</v>
      </c>
    </row>
    <row r="159" spans="1:13" x14ac:dyDescent="0.25">
      <c r="A159" s="51"/>
      <c r="G159" s="8"/>
      <c r="H159" s="30">
        <v>154</v>
      </c>
      <c r="I159" s="31" t="str">
        <f t="shared" si="11"/>
        <v/>
      </c>
      <c r="J159" s="30">
        <f t="shared" si="14"/>
        <v>-5</v>
      </c>
      <c r="K159" s="30">
        <f t="shared" si="12"/>
        <v>-50</v>
      </c>
      <c r="L159" s="30"/>
      <c r="M159" s="32">
        <f t="shared" si="13"/>
        <v>0</v>
      </c>
    </row>
    <row r="160" spans="1:13" x14ac:dyDescent="0.25">
      <c r="A160" s="51"/>
      <c r="G160" s="8"/>
      <c r="H160" s="30">
        <v>155</v>
      </c>
      <c r="I160" s="31" t="str">
        <f t="shared" si="11"/>
        <v/>
      </c>
      <c r="J160" s="30">
        <f t="shared" si="14"/>
        <v>-5</v>
      </c>
      <c r="K160" s="30">
        <f t="shared" si="12"/>
        <v>-50</v>
      </c>
      <c r="L160" s="30"/>
      <c r="M160" s="32">
        <f t="shared" si="13"/>
        <v>0</v>
      </c>
    </row>
    <row r="161" spans="1:13" x14ac:dyDescent="0.25">
      <c r="A161" s="51"/>
      <c r="G161" s="8"/>
      <c r="H161" s="30">
        <v>156</v>
      </c>
      <c r="I161" s="31" t="str">
        <f t="shared" si="11"/>
        <v/>
      </c>
      <c r="J161" s="30">
        <f t="shared" si="14"/>
        <v>-5</v>
      </c>
      <c r="K161" s="30">
        <f t="shared" si="12"/>
        <v>-50</v>
      </c>
      <c r="L161" s="30"/>
      <c r="M161" s="32">
        <f t="shared" si="13"/>
        <v>0</v>
      </c>
    </row>
    <row r="162" spans="1:13" x14ac:dyDescent="0.25">
      <c r="A162" s="51"/>
      <c r="G162" s="8"/>
      <c r="H162" s="30">
        <v>157</v>
      </c>
      <c r="I162" s="31" t="str">
        <f t="shared" si="11"/>
        <v/>
      </c>
      <c r="J162" s="30">
        <f t="shared" si="14"/>
        <v>-5</v>
      </c>
      <c r="K162" s="30">
        <f t="shared" si="12"/>
        <v>-50</v>
      </c>
      <c r="L162" s="30"/>
      <c r="M162" s="32">
        <f t="shared" si="13"/>
        <v>0</v>
      </c>
    </row>
    <row r="163" spans="1:13" x14ac:dyDescent="0.25">
      <c r="A163" s="51"/>
      <c r="G163" s="8"/>
      <c r="H163" s="30">
        <v>158</v>
      </c>
      <c r="I163" s="31" t="str">
        <f t="shared" si="11"/>
        <v/>
      </c>
      <c r="J163" s="30">
        <f t="shared" si="14"/>
        <v>-5</v>
      </c>
      <c r="K163" s="30">
        <f t="shared" si="12"/>
        <v>-50</v>
      </c>
      <c r="L163" s="30"/>
      <c r="M163" s="32">
        <f t="shared" si="13"/>
        <v>0</v>
      </c>
    </row>
    <row r="164" spans="1:13" x14ac:dyDescent="0.25">
      <c r="A164" s="51"/>
      <c r="G164" s="8"/>
      <c r="H164" s="30">
        <v>159</v>
      </c>
      <c r="I164" s="31" t="str">
        <f t="shared" si="11"/>
        <v/>
      </c>
      <c r="J164" s="30">
        <f t="shared" si="14"/>
        <v>-5</v>
      </c>
      <c r="K164" s="30">
        <f t="shared" si="12"/>
        <v>-50</v>
      </c>
      <c r="L164" s="30"/>
      <c r="M164" s="32">
        <f t="shared" si="13"/>
        <v>0</v>
      </c>
    </row>
    <row r="165" spans="1:13" x14ac:dyDescent="0.25">
      <c r="A165" s="51"/>
      <c r="G165" s="8"/>
      <c r="H165" s="30">
        <v>160</v>
      </c>
      <c r="I165" s="31" t="str">
        <f t="shared" si="11"/>
        <v/>
      </c>
      <c r="J165" s="30">
        <f t="shared" si="14"/>
        <v>-5</v>
      </c>
      <c r="K165" s="30">
        <f t="shared" si="12"/>
        <v>-50</v>
      </c>
      <c r="L165" s="30"/>
      <c r="M165" s="32">
        <f t="shared" si="13"/>
        <v>0</v>
      </c>
    </row>
    <row r="166" spans="1:13" x14ac:dyDescent="0.25">
      <c r="A166" s="51"/>
      <c r="G166" s="8"/>
      <c r="H166" s="30">
        <v>161</v>
      </c>
      <c r="I166" s="31" t="str">
        <f t="shared" si="11"/>
        <v/>
      </c>
      <c r="J166" s="30">
        <f t="shared" si="14"/>
        <v>-5</v>
      </c>
      <c r="K166" s="30">
        <f t="shared" si="12"/>
        <v>-50</v>
      </c>
      <c r="L166" s="30"/>
      <c r="M166" s="32">
        <f t="shared" si="13"/>
        <v>0</v>
      </c>
    </row>
    <row r="167" spans="1:13" x14ac:dyDescent="0.25">
      <c r="A167" s="51"/>
      <c r="G167" s="8"/>
      <c r="H167" s="30">
        <v>162</v>
      </c>
      <c r="I167" s="31" t="str">
        <f t="shared" si="11"/>
        <v/>
      </c>
      <c r="J167" s="30">
        <f t="shared" si="14"/>
        <v>-5</v>
      </c>
      <c r="K167" s="30">
        <f t="shared" si="12"/>
        <v>-50</v>
      </c>
      <c r="L167" s="30"/>
      <c r="M167" s="32">
        <f t="shared" si="13"/>
        <v>0</v>
      </c>
    </row>
    <row r="168" spans="1:13" x14ac:dyDescent="0.25">
      <c r="A168" s="51"/>
      <c r="G168" s="8"/>
      <c r="H168" s="30">
        <v>163</v>
      </c>
      <c r="I168" s="31" t="str">
        <f t="shared" si="11"/>
        <v/>
      </c>
      <c r="J168" s="30">
        <f t="shared" si="14"/>
        <v>-5</v>
      </c>
      <c r="K168" s="30">
        <f t="shared" si="12"/>
        <v>-50</v>
      </c>
      <c r="L168" s="30"/>
      <c r="M168" s="32">
        <f t="shared" si="13"/>
        <v>0</v>
      </c>
    </row>
    <row r="169" spans="1:13" x14ac:dyDescent="0.25">
      <c r="A169" s="51"/>
      <c r="G169" s="8"/>
      <c r="H169" s="30">
        <v>164</v>
      </c>
      <c r="I169" s="31" t="str">
        <f t="shared" si="11"/>
        <v/>
      </c>
      <c r="J169" s="30">
        <f t="shared" si="14"/>
        <v>-5</v>
      </c>
      <c r="K169" s="30">
        <f t="shared" si="12"/>
        <v>-50</v>
      </c>
      <c r="L169" s="30"/>
      <c r="M169" s="32">
        <f t="shared" si="13"/>
        <v>0</v>
      </c>
    </row>
    <row r="170" spans="1:13" x14ac:dyDescent="0.25">
      <c r="A170" s="51"/>
      <c r="G170" s="8"/>
      <c r="H170" s="30">
        <v>165</v>
      </c>
      <c r="I170" s="31" t="str">
        <f t="shared" si="11"/>
        <v/>
      </c>
      <c r="J170" s="30">
        <f t="shared" si="14"/>
        <v>-5</v>
      </c>
      <c r="K170" s="30">
        <f t="shared" si="12"/>
        <v>-50</v>
      </c>
      <c r="L170" s="30"/>
      <c r="M170" s="32">
        <f t="shared" si="13"/>
        <v>0</v>
      </c>
    </row>
    <row r="171" spans="1:13" x14ac:dyDescent="0.25">
      <c r="A171" s="51"/>
      <c r="G171" s="8"/>
      <c r="H171" s="30">
        <v>166</v>
      </c>
      <c r="I171" s="31" t="str">
        <f t="shared" si="11"/>
        <v/>
      </c>
      <c r="J171" s="30">
        <f t="shared" si="14"/>
        <v>-5</v>
      </c>
      <c r="K171" s="30">
        <f t="shared" si="12"/>
        <v>-50</v>
      </c>
      <c r="L171" s="30"/>
      <c r="M171" s="32">
        <f t="shared" si="13"/>
        <v>0</v>
      </c>
    </row>
    <row r="172" spans="1:13" x14ac:dyDescent="0.25">
      <c r="A172" s="51"/>
      <c r="G172" s="8"/>
      <c r="H172" s="30">
        <v>167</v>
      </c>
      <c r="I172" s="31" t="str">
        <f t="shared" si="11"/>
        <v/>
      </c>
      <c r="J172" s="30">
        <f t="shared" si="14"/>
        <v>-5</v>
      </c>
      <c r="K172" s="30">
        <f t="shared" si="12"/>
        <v>-50</v>
      </c>
      <c r="L172" s="30"/>
      <c r="M172" s="32">
        <f t="shared" si="13"/>
        <v>0</v>
      </c>
    </row>
    <row r="173" spans="1:13" x14ac:dyDescent="0.25">
      <c r="A173" s="51"/>
      <c r="G173" s="8"/>
      <c r="H173" s="30">
        <v>168</v>
      </c>
      <c r="I173" s="31" t="str">
        <f t="shared" si="11"/>
        <v/>
      </c>
      <c r="J173" s="30">
        <f t="shared" si="14"/>
        <v>-5</v>
      </c>
      <c r="K173" s="30">
        <f t="shared" si="12"/>
        <v>-50</v>
      </c>
      <c r="L173" s="30"/>
      <c r="M173" s="32">
        <f t="shared" si="13"/>
        <v>0</v>
      </c>
    </row>
    <row r="174" spans="1:13" x14ac:dyDescent="0.25">
      <c r="A174" s="51"/>
      <c r="G174" s="8"/>
      <c r="H174" s="30">
        <v>169</v>
      </c>
      <c r="I174" s="31" t="str">
        <f t="shared" si="11"/>
        <v/>
      </c>
      <c r="J174" s="30">
        <f t="shared" si="14"/>
        <v>-5</v>
      </c>
      <c r="K174" s="30">
        <f t="shared" si="12"/>
        <v>-50</v>
      </c>
      <c r="L174" s="30"/>
      <c r="M174" s="32">
        <f t="shared" si="13"/>
        <v>0</v>
      </c>
    </row>
    <row r="175" spans="1:13" x14ac:dyDescent="0.25">
      <c r="A175" s="51"/>
      <c r="G175" s="8"/>
      <c r="H175" s="30">
        <v>170</v>
      </c>
      <c r="I175" s="31" t="str">
        <f t="shared" si="11"/>
        <v/>
      </c>
      <c r="J175" s="30">
        <f t="shared" si="14"/>
        <v>-5</v>
      </c>
      <c r="K175" s="30">
        <f t="shared" si="12"/>
        <v>-50</v>
      </c>
      <c r="L175" s="30"/>
      <c r="M175" s="32">
        <f t="shared" si="13"/>
        <v>0</v>
      </c>
    </row>
    <row r="176" spans="1:13" x14ac:dyDescent="0.25">
      <c r="A176" s="51"/>
      <c r="G176" s="8"/>
      <c r="H176" s="30">
        <v>171</v>
      </c>
      <c r="I176" s="31" t="str">
        <f t="shared" si="11"/>
        <v/>
      </c>
      <c r="J176" s="30">
        <f t="shared" si="14"/>
        <v>-5</v>
      </c>
      <c r="K176" s="30">
        <f t="shared" si="12"/>
        <v>-50</v>
      </c>
      <c r="L176" s="30"/>
      <c r="M176" s="32">
        <f t="shared" si="13"/>
        <v>0</v>
      </c>
    </row>
    <row r="177" spans="1:13" x14ac:dyDescent="0.25">
      <c r="A177" s="51"/>
      <c r="G177" s="8"/>
      <c r="H177" s="30">
        <v>172</v>
      </c>
      <c r="I177" s="31" t="str">
        <f t="shared" si="11"/>
        <v/>
      </c>
      <c r="J177" s="30">
        <f t="shared" si="14"/>
        <v>-5</v>
      </c>
      <c r="K177" s="30">
        <f t="shared" si="12"/>
        <v>-50</v>
      </c>
      <c r="L177" s="30"/>
      <c r="M177" s="32">
        <f t="shared" si="13"/>
        <v>0</v>
      </c>
    </row>
    <row r="178" spans="1:13" x14ac:dyDescent="0.25">
      <c r="A178" s="51"/>
      <c r="G178" s="8"/>
      <c r="H178" s="30">
        <v>173</v>
      </c>
      <c r="I178" s="31" t="str">
        <f t="shared" si="11"/>
        <v/>
      </c>
      <c r="J178" s="30">
        <f t="shared" si="14"/>
        <v>-5</v>
      </c>
      <c r="K178" s="30">
        <f t="shared" si="12"/>
        <v>-50</v>
      </c>
      <c r="L178" s="30"/>
      <c r="M178" s="32">
        <f t="shared" si="13"/>
        <v>0</v>
      </c>
    </row>
    <row r="179" spans="1:13" x14ac:dyDescent="0.25">
      <c r="A179" s="51"/>
      <c r="G179" s="8"/>
      <c r="H179" s="30">
        <v>174</v>
      </c>
      <c r="I179" s="31" t="str">
        <f t="shared" si="11"/>
        <v/>
      </c>
      <c r="J179" s="30">
        <f t="shared" si="14"/>
        <v>-5</v>
      </c>
      <c r="K179" s="30">
        <f t="shared" si="12"/>
        <v>-50</v>
      </c>
      <c r="L179" s="30"/>
      <c r="M179" s="32">
        <f t="shared" si="13"/>
        <v>0</v>
      </c>
    </row>
    <row r="180" spans="1:13" x14ac:dyDescent="0.25">
      <c r="A180" s="51"/>
      <c r="G180" s="8"/>
      <c r="H180" s="30">
        <v>175</v>
      </c>
      <c r="I180" s="31" t="str">
        <f t="shared" si="11"/>
        <v/>
      </c>
      <c r="J180" s="30">
        <f t="shared" si="14"/>
        <v>-5</v>
      </c>
      <c r="K180" s="30">
        <f t="shared" si="12"/>
        <v>-50</v>
      </c>
      <c r="L180" s="30"/>
      <c r="M180" s="32">
        <f t="shared" si="13"/>
        <v>0</v>
      </c>
    </row>
    <row r="181" spans="1:13" x14ac:dyDescent="0.25">
      <c r="A181" s="51"/>
      <c r="G181" s="8"/>
      <c r="H181" s="30">
        <v>176</v>
      </c>
      <c r="I181" s="31" t="str">
        <f t="shared" si="11"/>
        <v/>
      </c>
      <c r="J181" s="30">
        <f t="shared" si="14"/>
        <v>-5</v>
      </c>
      <c r="K181" s="30">
        <f t="shared" si="12"/>
        <v>-50</v>
      </c>
      <c r="L181" s="30"/>
      <c r="M181" s="32">
        <f t="shared" si="13"/>
        <v>0</v>
      </c>
    </row>
    <row r="182" spans="1:13" x14ac:dyDescent="0.25">
      <c r="A182" s="51"/>
      <c r="G182" s="8"/>
      <c r="H182" s="30">
        <v>177</v>
      </c>
      <c r="I182" s="31" t="str">
        <f t="shared" si="11"/>
        <v/>
      </c>
      <c r="J182" s="30">
        <f t="shared" si="14"/>
        <v>-5</v>
      </c>
      <c r="K182" s="30">
        <f t="shared" si="12"/>
        <v>-50</v>
      </c>
      <c r="L182" s="30"/>
      <c r="M182" s="32">
        <f t="shared" si="13"/>
        <v>0</v>
      </c>
    </row>
    <row r="183" spans="1:13" x14ac:dyDescent="0.25">
      <c r="A183" s="51"/>
      <c r="G183" s="8"/>
      <c r="H183" s="30">
        <v>178</v>
      </c>
      <c r="I183" s="31" t="str">
        <f t="shared" si="11"/>
        <v/>
      </c>
      <c r="J183" s="30">
        <f t="shared" si="14"/>
        <v>-5</v>
      </c>
      <c r="K183" s="30">
        <f t="shared" si="12"/>
        <v>-50</v>
      </c>
      <c r="L183" s="30"/>
      <c r="M183" s="32">
        <f t="shared" si="13"/>
        <v>0</v>
      </c>
    </row>
    <row r="184" spans="1:13" x14ac:dyDescent="0.25">
      <c r="A184" s="51"/>
      <c r="G184" s="8"/>
      <c r="H184" s="30">
        <v>179</v>
      </c>
      <c r="I184" s="31" t="str">
        <f t="shared" si="11"/>
        <v/>
      </c>
      <c r="J184" s="30">
        <f t="shared" si="14"/>
        <v>-5</v>
      </c>
      <c r="K184" s="30">
        <f t="shared" si="12"/>
        <v>-50</v>
      </c>
      <c r="L184" s="30"/>
      <c r="M184" s="32">
        <f t="shared" si="13"/>
        <v>0</v>
      </c>
    </row>
    <row r="185" spans="1:13" x14ac:dyDescent="0.25">
      <c r="A185" s="51"/>
      <c r="G185" s="8"/>
      <c r="H185" s="30">
        <v>180</v>
      </c>
      <c r="I185" s="31" t="str">
        <f t="shared" si="11"/>
        <v/>
      </c>
      <c r="J185" s="30">
        <f t="shared" si="14"/>
        <v>-5</v>
      </c>
      <c r="K185" s="30">
        <f t="shared" si="12"/>
        <v>-50</v>
      </c>
      <c r="L185" s="30"/>
      <c r="M185" s="32">
        <f t="shared" si="13"/>
        <v>0</v>
      </c>
    </row>
    <row r="186" spans="1:13" x14ac:dyDescent="0.25">
      <c r="A186" s="51"/>
      <c r="G186" s="8"/>
      <c r="H186" s="30">
        <v>181</v>
      </c>
      <c r="I186" s="31" t="str">
        <f t="shared" si="11"/>
        <v/>
      </c>
      <c r="J186" s="30">
        <f t="shared" si="14"/>
        <v>-5</v>
      </c>
      <c r="K186" s="30">
        <f t="shared" si="12"/>
        <v>-50</v>
      </c>
      <c r="L186" s="30"/>
      <c r="M186" s="32">
        <f t="shared" si="13"/>
        <v>0</v>
      </c>
    </row>
    <row r="187" spans="1:13" x14ac:dyDescent="0.25">
      <c r="A187" s="51"/>
      <c r="G187" s="8"/>
      <c r="H187" s="30">
        <v>182</v>
      </c>
      <c r="I187" s="31" t="str">
        <f t="shared" si="11"/>
        <v/>
      </c>
      <c r="J187" s="30">
        <f t="shared" si="14"/>
        <v>-5</v>
      </c>
      <c r="K187" s="30">
        <f t="shared" si="12"/>
        <v>-50</v>
      </c>
      <c r="L187" s="30"/>
      <c r="M187" s="32">
        <f t="shared" si="13"/>
        <v>0</v>
      </c>
    </row>
    <row r="188" spans="1:13" x14ac:dyDescent="0.25">
      <c r="A188" s="51"/>
      <c r="G188" s="8"/>
      <c r="H188" s="30">
        <v>183</v>
      </c>
      <c r="I188" s="31" t="str">
        <f t="shared" si="11"/>
        <v/>
      </c>
      <c r="J188" s="30">
        <f t="shared" si="14"/>
        <v>-5</v>
      </c>
      <c r="K188" s="30">
        <f t="shared" si="12"/>
        <v>-50</v>
      </c>
      <c r="L188" s="30"/>
      <c r="M188" s="32">
        <f t="shared" si="13"/>
        <v>0</v>
      </c>
    </row>
    <row r="189" spans="1:13" x14ac:dyDescent="0.25">
      <c r="A189" s="51"/>
      <c r="G189" s="8"/>
      <c r="H189" s="30">
        <v>184</v>
      </c>
      <c r="I189" s="31" t="str">
        <f t="shared" si="11"/>
        <v/>
      </c>
      <c r="J189" s="30">
        <f t="shared" si="14"/>
        <v>-5</v>
      </c>
      <c r="K189" s="30">
        <f t="shared" si="12"/>
        <v>-50</v>
      </c>
      <c r="L189" s="30"/>
      <c r="M189" s="32">
        <f t="shared" si="13"/>
        <v>0</v>
      </c>
    </row>
    <row r="190" spans="1:13" x14ac:dyDescent="0.25">
      <c r="A190" s="51"/>
      <c r="G190" s="8"/>
      <c r="H190" s="30">
        <v>185</v>
      </c>
      <c r="I190" s="31" t="str">
        <f t="shared" si="11"/>
        <v/>
      </c>
      <c r="J190" s="30">
        <f t="shared" si="14"/>
        <v>-5</v>
      </c>
      <c r="K190" s="30">
        <f t="shared" si="12"/>
        <v>-50</v>
      </c>
      <c r="L190" s="30"/>
      <c r="M190" s="32">
        <f t="shared" si="13"/>
        <v>0</v>
      </c>
    </row>
    <row r="191" spans="1:13" x14ac:dyDescent="0.25">
      <c r="A191" s="51"/>
      <c r="G191" s="8"/>
      <c r="H191" s="30">
        <v>186</v>
      </c>
      <c r="I191" s="31" t="str">
        <f t="shared" si="11"/>
        <v/>
      </c>
      <c r="J191" s="30">
        <f t="shared" si="14"/>
        <v>-5</v>
      </c>
      <c r="K191" s="30">
        <f t="shared" si="12"/>
        <v>-50</v>
      </c>
      <c r="L191" s="30"/>
      <c r="M191" s="32">
        <f t="shared" si="13"/>
        <v>0</v>
      </c>
    </row>
    <row r="192" spans="1:13" x14ac:dyDescent="0.25">
      <c r="A192" s="51"/>
      <c r="G192" s="8"/>
      <c r="H192" s="30">
        <v>187</v>
      </c>
      <c r="I192" s="31" t="str">
        <f t="shared" si="11"/>
        <v/>
      </c>
      <c r="J192" s="30">
        <f t="shared" si="14"/>
        <v>-5</v>
      </c>
      <c r="K192" s="30">
        <f t="shared" si="12"/>
        <v>-50</v>
      </c>
      <c r="L192" s="30"/>
      <c r="M192" s="32">
        <f t="shared" si="13"/>
        <v>0</v>
      </c>
    </row>
    <row r="193" spans="1:13" x14ac:dyDescent="0.25">
      <c r="A193" s="51"/>
      <c r="G193" s="8"/>
      <c r="H193" s="30">
        <v>188</v>
      </c>
      <c r="I193" s="31" t="str">
        <f t="shared" si="11"/>
        <v/>
      </c>
      <c r="J193" s="30">
        <f t="shared" si="14"/>
        <v>-5</v>
      </c>
      <c r="K193" s="30">
        <f t="shared" si="12"/>
        <v>-50</v>
      </c>
      <c r="L193" s="30"/>
      <c r="M193" s="32">
        <f t="shared" si="13"/>
        <v>0</v>
      </c>
    </row>
    <row r="194" spans="1:13" x14ac:dyDescent="0.25">
      <c r="A194" s="51"/>
      <c r="G194" s="8"/>
      <c r="H194" s="30">
        <v>189</v>
      </c>
      <c r="I194" s="31" t="str">
        <f t="shared" si="11"/>
        <v/>
      </c>
      <c r="J194" s="30">
        <f t="shared" si="14"/>
        <v>-5</v>
      </c>
      <c r="K194" s="30">
        <f t="shared" si="12"/>
        <v>-50</v>
      </c>
      <c r="L194" s="30"/>
      <c r="M194" s="32">
        <f t="shared" si="13"/>
        <v>0</v>
      </c>
    </row>
    <row r="195" spans="1:13" x14ac:dyDescent="0.25">
      <c r="A195" s="51"/>
      <c r="G195" s="8"/>
      <c r="H195" s="30">
        <v>190</v>
      </c>
      <c r="I195" s="31" t="str">
        <f t="shared" si="11"/>
        <v/>
      </c>
      <c r="J195" s="30">
        <f t="shared" si="14"/>
        <v>-5</v>
      </c>
      <c r="K195" s="30">
        <f t="shared" si="12"/>
        <v>-50</v>
      </c>
      <c r="L195" s="30"/>
      <c r="M195" s="32">
        <f t="shared" si="13"/>
        <v>0</v>
      </c>
    </row>
    <row r="196" spans="1:13" x14ac:dyDescent="0.25">
      <c r="A196" s="51"/>
      <c r="G196" s="8"/>
      <c r="H196" s="30">
        <v>191</v>
      </c>
      <c r="I196" s="31" t="str">
        <f t="shared" si="11"/>
        <v/>
      </c>
      <c r="J196" s="30">
        <f t="shared" si="14"/>
        <v>-5</v>
      </c>
      <c r="K196" s="30">
        <f t="shared" si="12"/>
        <v>-50</v>
      </c>
      <c r="L196" s="30"/>
      <c r="M196" s="32">
        <f t="shared" si="13"/>
        <v>0</v>
      </c>
    </row>
    <row r="197" spans="1:13" x14ac:dyDescent="0.25">
      <c r="A197" s="51"/>
      <c r="G197" s="8"/>
      <c r="H197" s="30">
        <v>192</v>
      </c>
      <c r="I197" s="31" t="str">
        <f t="shared" si="11"/>
        <v/>
      </c>
      <c r="J197" s="30">
        <f t="shared" si="14"/>
        <v>-5</v>
      </c>
      <c r="K197" s="30">
        <f t="shared" si="12"/>
        <v>-50</v>
      </c>
      <c r="L197" s="30"/>
      <c r="M197" s="32">
        <f t="shared" si="13"/>
        <v>0</v>
      </c>
    </row>
    <row r="198" spans="1:13" x14ac:dyDescent="0.25">
      <c r="A198" s="51"/>
      <c r="G198" s="8"/>
      <c r="H198" s="30">
        <v>193</v>
      </c>
      <c r="I198" s="31" t="str">
        <f t="shared" ref="I198:I261" si="15">IF(H198&lt;$H$2+1,($I$2-($I$2-1)*(LOG(H198)/LOG($H$2))),"")</f>
        <v/>
      </c>
      <c r="J198" s="30">
        <f t="shared" si="14"/>
        <v>-5</v>
      </c>
      <c r="K198" s="30">
        <f t="shared" ref="K198:K261" si="16">J198*$J$2</f>
        <v>-50</v>
      </c>
      <c r="L198" s="30"/>
      <c r="M198" s="32">
        <f t="shared" ref="M198:M261" si="17">IF(I198&lt;&gt;"",K198+I198+L198,0)</f>
        <v>0</v>
      </c>
    </row>
    <row r="199" spans="1:13" x14ac:dyDescent="0.25">
      <c r="A199" s="51"/>
      <c r="G199" s="8"/>
      <c r="H199" s="30">
        <v>194</v>
      </c>
      <c r="I199" s="31" t="str">
        <f t="shared" si="15"/>
        <v/>
      </c>
      <c r="J199" s="30">
        <f t="shared" ref="J199:J262" si="18">INT(LOG($H$2,2))-ROUNDUP(LOG(H199,2),0)+IF(OR($H$2=1,$H$2=2,$H$2=4,$H$2=8,$H$2=16,$H$2=32,$H$2=64,$H$2=128,$H$2=256),0,1)</f>
        <v>-5</v>
      </c>
      <c r="K199" s="30">
        <f t="shared" si="16"/>
        <v>-50</v>
      </c>
      <c r="L199" s="30"/>
      <c r="M199" s="32">
        <f t="shared" si="17"/>
        <v>0</v>
      </c>
    </row>
    <row r="200" spans="1:13" x14ac:dyDescent="0.25">
      <c r="A200" s="51"/>
      <c r="G200" s="8"/>
      <c r="H200" s="30">
        <v>195</v>
      </c>
      <c r="I200" s="31" t="str">
        <f t="shared" si="15"/>
        <v/>
      </c>
      <c r="J200" s="30">
        <f t="shared" si="18"/>
        <v>-5</v>
      </c>
      <c r="K200" s="30">
        <f t="shared" si="16"/>
        <v>-50</v>
      </c>
      <c r="L200" s="30"/>
      <c r="M200" s="32">
        <f t="shared" si="17"/>
        <v>0</v>
      </c>
    </row>
    <row r="201" spans="1:13" x14ac:dyDescent="0.25">
      <c r="A201" s="51"/>
      <c r="G201" s="8"/>
      <c r="H201" s="30">
        <v>196</v>
      </c>
      <c r="I201" s="31" t="str">
        <f t="shared" si="15"/>
        <v/>
      </c>
      <c r="J201" s="30">
        <f t="shared" si="18"/>
        <v>-5</v>
      </c>
      <c r="K201" s="30">
        <f t="shared" si="16"/>
        <v>-50</v>
      </c>
      <c r="L201" s="30"/>
      <c r="M201" s="32">
        <f t="shared" si="17"/>
        <v>0</v>
      </c>
    </row>
    <row r="202" spans="1:13" x14ac:dyDescent="0.25">
      <c r="A202" s="51"/>
      <c r="G202" s="8"/>
      <c r="H202" s="30">
        <v>197</v>
      </c>
      <c r="I202" s="31" t="str">
        <f t="shared" si="15"/>
        <v/>
      </c>
      <c r="J202" s="30">
        <f t="shared" si="18"/>
        <v>-5</v>
      </c>
      <c r="K202" s="30">
        <f t="shared" si="16"/>
        <v>-50</v>
      </c>
      <c r="L202" s="30"/>
      <c r="M202" s="32">
        <f t="shared" si="17"/>
        <v>0</v>
      </c>
    </row>
    <row r="203" spans="1:13" x14ac:dyDescent="0.25">
      <c r="A203" s="51"/>
      <c r="G203" s="8"/>
      <c r="H203" s="30">
        <v>198</v>
      </c>
      <c r="I203" s="31" t="str">
        <f t="shared" si="15"/>
        <v/>
      </c>
      <c r="J203" s="30">
        <f t="shared" si="18"/>
        <v>-5</v>
      </c>
      <c r="K203" s="30">
        <f t="shared" si="16"/>
        <v>-50</v>
      </c>
      <c r="L203" s="30"/>
      <c r="M203" s="32">
        <f t="shared" si="17"/>
        <v>0</v>
      </c>
    </row>
    <row r="204" spans="1:13" x14ac:dyDescent="0.25">
      <c r="A204" s="51"/>
      <c r="G204" s="8"/>
      <c r="H204" s="30">
        <v>199</v>
      </c>
      <c r="I204" s="31" t="str">
        <f t="shared" si="15"/>
        <v/>
      </c>
      <c r="J204" s="30">
        <f t="shared" si="18"/>
        <v>-5</v>
      </c>
      <c r="K204" s="30">
        <f t="shared" si="16"/>
        <v>-50</v>
      </c>
      <c r="L204" s="30"/>
      <c r="M204" s="32">
        <f t="shared" si="17"/>
        <v>0</v>
      </c>
    </row>
    <row r="205" spans="1:13" x14ac:dyDescent="0.25">
      <c r="A205" s="51"/>
      <c r="G205" s="8"/>
      <c r="H205" s="30">
        <v>200</v>
      </c>
      <c r="I205" s="31" t="str">
        <f t="shared" si="15"/>
        <v/>
      </c>
      <c r="J205" s="30">
        <f t="shared" si="18"/>
        <v>-5</v>
      </c>
      <c r="K205" s="30">
        <f t="shared" si="16"/>
        <v>-50</v>
      </c>
      <c r="L205" s="30"/>
      <c r="M205" s="32">
        <f t="shared" si="17"/>
        <v>0</v>
      </c>
    </row>
    <row r="206" spans="1:13" x14ac:dyDescent="0.25">
      <c r="A206" s="51"/>
      <c r="G206" s="8"/>
      <c r="H206" s="30">
        <v>201</v>
      </c>
      <c r="I206" s="31" t="str">
        <f t="shared" si="15"/>
        <v/>
      </c>
      <c r="J206" s="30">
        <f t="shared" si="18"/>
        <v>-5</v>
      </c>
      <c r="K206" s="30">
        <f t="shared" si="16"/>
        <v>-50</v>
      </c>
      <c r="L206" s="30"/>
      <c r="M206" s="32">
        <f t="shared" si="17"/>
        <v>0</v>
      </c>
    </row>
    <row r="207" spans="1:13" x14ac:dyDescent="0.25">
      <c r="A207" s="51"/>
      <c r="G207" s="8"/>
      <c r="H207" s="30">
        <v>202</v>
      </c>
      <c r="I207" s="31" t="str">
        <f t="shared" si="15"/>
        <v/>
      </c>
      <c r="J207" s="30">
        <f t="shared" si="18"/>
        <v>-5</v>
      </c>
      <c r="K207" s="30">
        <f t="shared" si="16"/>
        <v>-50</v>
      </c>
      <c r="L207" s="30"/>
      <c r="M207" s="32">
        <f t="shared" si="17"/>
        <v>0</v>
      </c>
    </row>
    <row r="208" spans="1:13" x14ac:dyDescent="0.25">
      <c r="A208" s="51"/>
      <c r="G208" s="8"/>
      <c r="H208" s="30">
        <v>203</v>
      </c>
      <c r="I208" s="31" t="str">
        <f t="shared" si="15"/>
        <v/>
      </c>
      <c r="J208" s="30">
        <f t="shared" si="18"/>
        <v>-5</v>
      </c>
      <c r="K208" s="30">
        <f t="shared" si="16"/>
        <v>-50</v>
      </c>
      <c r="L208" s="30"/>
      <c r="M208" s="32">
        <f t="shared" si="17"/>
        <v>0</v>
      </c>
    </row>
    <row r="209" spans="1:13" x14ac:dyDescent="0.25">
      <c r="A209" s="51"/>
      <c r="G209" s="8"/>
      <c r="H209" s="30">
        <v>204</v>
      </c>
      <c r="I209" s="31" t="str">
        <f t="shared" si="15"/>
        <v/>
      </c>
      <c r="J209" s="30">
        <f t="shared" si="18"/>
        <v>-5</v>
      </c>
      <c r="K209" s="30">
        <f t="shared" si="16"/>
        <v>-50</v>
      </c>
      <c r="L209" s="30"/>
      <c r="M209" s="32">
        <f t="shared" si="17"/>
        <v>0</v>
      </c>
    </row>
    <row r="210" spans="1:13" x14ac:dyDescent="0.25">
      <c r="A210" s="51"/>
      <c r="G210" s="8"/>
      <c r="H210" s="30">
        <v>205</v>
      </c>
      <c r="I210" s="31" t="str">
        <f t="shared" si="15"/>
        <v/>
      </c>
      <c r="J210" s="30">
        <f t="shared" si="18"/>
        <v>-5</v>
      </c>
      <c r="K210" s="30">
        <f t="shared" si="16"/>
        <v>-50</v>
      </c>
      <c r="L210" s="30"/>
      <c r="M210" s="32">
        <f t="shared" si="17"/>
        <v>0</v>
      </c>
    </row>
    <row r="211" spans="1:13" x14ac:dyDescent="0.25">
      <c r="A211" s="51"/>
      <c r="G211" s="8"/>
      <c r="H211" s="30">
        <v>206</v>
      </c>
      <c r="I211" s="31" t="str">
        <f t="shared" si="15"/>
        <v/>
      </c>
      <c r="J211" s="30">
        <f t="shared" si="18"/>
        <v>-5</v>
      </c>
      <c r="K211" s="30">
        <f t="shared" si="16"/>
        <v>-50</v>
      </c>
      <c r="L211" s="30"/>
      <c r="M211" s="32">
        <f t="shared" si="17"/>
        <v>0</v>
      </c>
    </row>
    <row r="212" spans="1:13" x14ac:dyDescent="0.25">
      <c r="A212" s="51"/>
      <c r="G212" s="8"/>
      <c r="H212" s="30">
        <v>207</v>
      </c>
      <c r="I212" s="31" t="str">
        <f t="shared" si="15"/>
        <v/>
      </c>
      <c r="J212" s="30">
        <f t="shared" si="18"/>
        <v>-5</v>
      </c>
      <c r="K212" s="30">
        <f t="shared" si="16"/>
        <v>-50</v>
      </c>
      <c r="L212" s="30"/>
      <c r="M212" s="32">
        <f t="shared" si="17"/>
        <v>0</v>
      </c>
    </row>
    <row r="213" spans="1:13" x14ac:dyDescent="0.25">
      <c r="A213" s="51"/>
      <c r="G213" s="8"/>
      <c r="H213" s="30">
        <v>208</v>
      </c>
      <c r="I213" s="31" t="str">
        <f t="shared" si="15"/>
        <v/>
      </c>
      <c r="J213" s="30">
        <f t="shared" si="18"/>
        <v>-5</v>
      </c>
      <c r="K213" s="30">
        <f t="shared" si="16"/>
        <v>-50</v>
      </c>
      <c r="L213" s="30"/>
      <c r="M213" s="32">
        <f t="shared" si="17"/>
        <v>0</v>
      </c>
    </row>
    <row r="214" spans="1:13" x14ac:dyDescent="0.25">
      <c r="A214" s="51"/>
      <c r="G214" s="8"/>
      <c r="H214" s="30">
        <v>209</v>
      </c>
      <c r="I214" s="31" t="str">
        <f t="shared" si="15"/>
        <v/>
      </c>
      <c r="J214" s="30">
        <f t="shared" si="18"/>
        <v>-5</v>
      </c>
      <c r="K214" s="30">
        <f t="shared" si="16"/>
        <v>-50</v>
      </c>
      <c r="L214" s="30"/>
      <c r="M214" s="32">
        <f t="shared" si="17"/>
        <v>0</v>
      </c>
    </row>
    <row r="215" spans="1:13" x14ac:dyDescent="0.25">
      <c r="A215" s="51"/>
      <c r="G215" s="8"/>
      <c r="H215" s="30">
        <v>210</v>
      </c>
      <c r="I215" s="31" t="str">
        <f t="shared" si="15"/>
        <v/>
      </c>
      <c r="J215" s="30">
        <f t="shared" si="18"/>
        <v>-5</v>
      </c>
      <c r="K215" s="30">
        <f t="shared" si="16"/>
        <v>-50</v>
      </c>
      <c r="L215" s="30"/>
      <c r="M215" s="32">
        <f t="shared" si="17"/>
        <v>0</v>
      </c>
    </row>
    <row r="216" spans="1:13" x14ac:dyDescent="0.25">
      <c r="A216" s="51"/>
      <c r="G216" s="8"/>
      <c r="H216" s="30">
        <v>211</v>
      </c>
      <c r="I216" s="31" t="str">
        <f t="shared" si="15"/>
        <v/>
      </c>
      <c r="J216" s="30">
        <f t="shared" si="18"/>
        <v>-5</v>
      </c>
      <c r="K216" s="30">
        <f t="shared" si="16"/>
        <v>-50</v>
      </c>
      <c r="L216" s="30"/>
      <c r="M216" s="32">
        <f t="shared" si="17"/>
        <v>0</v>
      </c>
    </row>
    <row r="217" spans="1:13" x14ac:dyDescent="0.25">
      <c r="A217" s="51"/>
      <c r="G217" s="8"/>
      <c r="H217" s="30">
        <v>212</v>
      </c>
      <c r="I217" s="31" t="str">
        <f t="shared" si="15"/>
        <v/>
      </c>
      <c r="J217" s="30">
        <f t="shared" si="18"/>
        <v>-5</v>
      </c>
      <c r="K217" s="30">
        <f t="shared" si="16"/>
        <v>-50</v>
      </c>
      <c r="L217" s="30"/>
      <c r="M217" s="32">
        <f t="shared" si="17"/>
        <v>0</v>
      </c>
    </row>
    <row r="218" spans="1:13" x14ac:dyDescent="0.25">
      <c r="A218" s="51"/>
      <c r="G218" s="8"/>
      <c r="H218" s="30">
        <v>213</v>
      </c>
      <c r="I218" s="31" t="str">
        <f t="shared" si="15"/>
        <v/>
      </c>
      <c r="J218" s="30">
        <f t="shared" si="18"/>
        <v>-5</v>
      </c>
      <c r="K218" s="30">
        <f t="shared" si="16"/>
        <v>-50</v>
      </c>
      <c r="L218" s="30"/>
      <c r="M218" s="32">
        <f t="shared" si="17"/>
        <v>0</v>
      </c>
    </row>
    <row r="219" spans="1:13" x14ac:dyDescent="0.25">
      <c r="A219" s="51"/>
      <c r="G219" s="8"/>
      <c r="H219" s="30">
        <v>214</v>
      </c>
      <c r="I219" s="31" t="str">
        <f t="shared" si="15"/>
        <v/>
      </c>
      <c r="J219" s="30">
        <f t="shared" si="18"/>
        <v>-5</v>
      </c>
      <c r="K219" s="30">
        <f t="shared" si="16"/>
        <v>-50</v>
      </c>
      <c r="L219" s="30"/>
      <c r="M219" s="32">
        <f t="shared" si="17"/>
        <v>0</v>
      </c>
    </row>
    <row r="220" spans="1:13" x14ac:dyDescent="0.25">
      <c r="A220" s="51"/>
      <c r="G220" s="8"/>
      <c r="H220" s="30">
        <v>215</v>
      </c>
      <c r="I220" s="31" t="str">
        <f t="shared" si="15"/>
        <v/>
      </c>
      <c r="J220" s="30">
        <f t="shared" si="18"/>
        <v>-5</v>
      </c>
      <c r="K220" s="30">
        <f t="shared" si="16"/>
        <v>-50</v>
      </c>
      <c r="L220" s="30"/>
      <c r="M220" s="32">
        <f t="shared" si="17"/>
        <v>0</v>
      </c>
    </row>
    <row r="221" spans="1:13" x14ac:dyDescent="0.25">
      <c r="A221" s="51"/>
      <c r="G221" s="8"/>
      <c r="H221" s="30">
        <v>216</v>
      </c>
      <c r="I221" s="31" t="str">
        <f t="shared" si="15"/>
        <v/>
      </c>
      <c r="J221" s="30">
        <f t="shared" si="18"/>
        <v>-5</v>
      </c>
      <c r="K221" s="30">
        <f t="shared" si="16"/>
        <v>-50</v>
      </c>
      <c r="L221" s="30"/>
      <c r="M221" s="32">
        <f t="shared" si="17"/>
        <v>0</v>
      </c>
    </row>
    <row r="222" spans="1:13" x14ac:dyDescent="0.25">
      <c r="A222" s="51"/>
      <c r="G222" s="8"/>
      <c r="H222" s="30">
        <v>217</v>
      </c>
      <c r="I222" s="31" t="str">
        <f t="shared" si="15"/>
        <v/>
      </c>
      <c r="J222" s="30">
        <f t="shared" si="18"/>
        <v>-5</v>
      </c>
      <c r="K222" s="30">
        <f t="shared" si="16"/>
        <v>-50</v>
      </c>
      <c r="L222" s="30"/>
      <c r="M222" s="32">
        <f t="shared" si="17"/>
        <v>0</v>
      </c>
    </row>
    <row r="223" spans="1:13" x14ac:dyDescent="0.25">
      <c r="A223" s="51"/>
      <c r="G223" s="8"/>
      <c r="H223" s="30">
        <v>218</v>
      </c>
      <c r="I223" s="31" t="str">
        <f t="shared" si="15"/>
        <v/>
      </c>
      <c r="J223" s="30">
        <f t="shared" si="18"/>
        <v>-5</v>
      </c>
      <c r="K223" s="30">
        <f t="shared" si="16"/>
        <v>-50</v>
      </c>
      <c r="L223" s="30"/>
      <c r="M223" s="32">
        <f t="shared" si="17"/>
        <v>0</v>
      </c>
    </row>
    <row r="224" spans="1:13" x14ac:dyDescent="0.25">
      <c r="A224" s="51"/>
      <c r="G224" s="8"/>
      <c r="H224" s="30">
        <v>219</v>
      </c>
      <c r="I224" s="31" t="str">
        <f t="shared" si="15"/>
        <v/>
      </c>
      <c r="J224" s="30">
        <f t="shared" si="18"/>
        <v>-5</v>
      </c>
      <c r="K224" s="30">
        <f t="shared" si="16"/>
        <v>-50</v>
      </c>
      <c r="L224" s="30"/>
      <c r="M224" s="32">
        <f t="shared" si="17"/>
        <v>0</v>
      </c>
    </row>
    <row r="225" spans="1:13" x14ac:dyDescent="0.25">
      <c r="A225" s="51"/>
      <c r="G225" s="8"/>
      <c r="H225" s="30">
        <v>220</v>
      </c>
      <c r="I225" s="31" t="str">
        <f t="shared" si="15"/>
        <v/>
      </c>
      <c r="J225" s="30">
        <f t="shared" si="18"/>
        <v>-5</v>
      </c>
      <c r="K225" s="30">
        <f t="shared" si="16"/>
        <v>-50</v>
      </c>
      <c r="L225" s="30"/>
      <c r="M225" s="32">
        <f t="shared" si="17"/>
        <v>0</v>
      </c>
    </row>
    <row r="226" spans="1:13" x14ac:dyDescent="0.25">
      <c r="A226" s="51"/>
      <c r="G226" s="8"/>
      <c r="H226" s="30">
        <v>221</v>
      </c>
      <c r="I226" s="31" t="str">
        <f t="shared" si="15"/>
        <v/>
      </c>
      <c r="J226" s="30">
        <f t="shared" si="18"/>
        <v>-5</v>
      </c>
      <c r="K226" s="30">
        <f t="shared" si="16"/>
        <v>-50</v>
      </c>
      <c r="L226" s="30"/>
      <c r="M226" s="32">
        <f t="shared" si="17"/>
        <v>0</v>
      </c>
    </row>
    <row r="227" spans="1:13" x14ac:dyDescent="0.25">
      <c r="A227" s="51"/>
      <c r="G227" s="8"/>
      <c r="H227" s="30">
        <v>222</v>
      </c>
      <c r="I227" s="31" t="str">
        <f t="shared" si="15"/>
        <v/>
      </c>
      <c r="J227" s="30">
        <f t="shared" si="18"/>
        <v>-5</v>
      </c>
      <c r="K227" s="30">
        <f t="shared" si="16"/>
        <v>-50</v>
      </c>
      <c r="L227" s="30"/>
      <c r="M227" s="32">
        <f t="shared" si="17"/>
        <v>0</v>
      </c>
    </row>
    <row r="228" spans="1:13" x14ac:dyDescent="0.25">
      <c r="A228" s="51"/>
      <c r="G228" s="8"/>
      <c r="H228" s="30">
        <v>223</v>
      </c>
      <c r="I228" s="31" t="str">
        <f t="shared" si="15"/>
        <v/>
      </c>
      <c r="J228" s="30">
        <f t="shared" si="18"/>
        <v>-5</v>
      </c>
      <c r="K228" s="30">
        <f t="shared" si="16"/>
        <v>-50</v>
      </c>
      <c r="L228" s="30"/>
      <c r="M228" s="32">
        <f t="shared" si="17"/>
        <v>0</v>
      </c>
    </row>
    <row r="229" spans="1:13" x14ac:dyDescent="0.25">
      <c r="A229" s="51"/>
      <c r="G229" s="8"/>
      <c r="H229" s="30">
        <v>224</v>
      </c>
      <c r="I229" s="31" t="str">
        <f t="shared" si="15"/>
        <v/>
      </c>
      <c r="J229" s="30">
        <f t="shared" si="18"/>
        <v>-5</v>
      </c>
      <c r="K229" s="30">
        <f t="shared" si="16"/>
        <v>-50</v>
      </c>
      <c r="L229" s="30"/>
      <c r="M229" s="32">
        <f t="shared" si="17"/>
        <v>0</v>
      </c>
    </row>
    <row r="230" spans="1:13" x14ac:dyDescent="0.25">
      <c r="A230" s="51"/>
      <c r="G230" s="8"/>
      <c r="H230" s="30">
        <v>225</v>
      </c>
      <c r="I230" s="31" t="str">
        <f t="shared" si="15"/>
        <v/>
      </c>
      <c r="J230" s="30">
        <f t="shared" si="18"/>
        <v>-5</v>
      </c>
      <c r="K230" s="30">
        <f t="shared" si="16"/>
        <v>-50</v>
      </c>
      <c r="L230" s="30"/>
      <c r="M230" s="32">
        <f t="shared" si="17"/>
        <v>0</v>
      </c>
    </row>
    <row r="231" spans="1:13" x14ac:dyDescent="0.25">
      <c r="A231" s="51"/>
      <c r="G231" s="8"/>
      <c r="H231" s="30">
        <v>226</v>
      </c>
      <c r="I231" s="31" t="str">
        <f t="shared" si="15"/>
        <v/>
      </c>
      <c r="J231" s="30">
        <f t="shared" si="18"/>
        <v>-5</v>
      </c>
      <c r="K231" s="30">
        <f t="shared" si="16"/>
        <v>-50</v>
      </c>
      <c r="L231" s="30"/>
      <c r="M231" s="32">
        <f t="shared" si="17"/>
        <v>0</v>
      </c>
    </row>
    <row r="232" spans="1:13" x14ac:dyDescent="0.25">
      <c r="A232" s="51"/>
      <c r="G232" s="8"/>
      <c r="H232" s="30">
        <v>227</v>
      </c>
      <c r="I232" s="31" t="str">
        <f t="shared" si="15"/>
        <v/>
      </c>
      <c r="J232" s="30">
        <f t="shared" si="18"/>
        <v>-5</v>
      </c>
      <c r="K232" s="30">
        <f t="shared" si="16"/>
        <v>-50</v>
      </c>
      <c r="L232" s="30"/>
      <c r="M232" s="32">
        <f t="shared" si="17"/>
        <v>0</v>
      </c>
    </row>
    <row r="233" spans="1:13" x14ac:dyDescent="0.25">
      <c r="A233" s="51"/>
      <c r="G233" s="8"/>
      <c r="H233" s="30">
        <v>228</v>
      </c>
      <c r="I233" s="31" t="str">
        <f t="shared" si="15"/>
        <v/>
      </c>
      <c r="J233" s="30">
        <f t="shared" si="18"/>
        <v>-5</v>
      </c>
      <c r="K233" s="30">
        <f t="shared" si="16"/>
        <v>-50</v>
      </c>
      <c r="L233" s="30"/>
      <c r="M233" s="32">
        <f t="shared" si="17"/>
        <v>0</v>
      </c>
    </row>
    <row r="234" spans="1:13" x14ac:dyDescent="0.25">
      <c r="A234" s="51"/>
      <c r="G234" s="8"/>
      <c r="H234" s="30">
        <v>229</v>
      </c>
      <c r="I234" s="31" t="str">
        <f t="shared" si="15"/>
        <v/>
      </c>
      <c r="J234" s="30">
        <f t="shared" si="18"/>
        <v>-5</v>
      </c>
      <c r="K234" s="30">
        <f t="shared" si="16"/>
        <v>-50</v>
      </c>
      <c r="L234" s="30"/>
      <c r="M234" s="32">
        <f t="shared" si="17"/>
        <v>0</v>
      </c>
    </row>
    <row r="235" spans="1:13" x14ac:dyDescent="0.25">
      <c r="A235" s="51"/>
      <c r="G235" s="8"/>
      <c r="H235" s="30">
        <v>230</v>
      </c>
      <c r="I235" s="31" t="str">
        <f t="shared" si="15"/>
        <v/>
      </c>
      <c r="J235" s="30">
        <f t="shared" si="18"/>
        <v>-5</v>
      </c>
      <c r="K235" s="30">
        <f t="shared" si="16"/>
        <v>-50</v>
      </c>
      <c r="L235" s="30"/>
      <c r="M235" s="32">
        <f t="shared" si="17"/>
        <v>0</v>
      </c>
    </row>
    <row r="236" spans="1:13" x14ac:dyDescent="0.25">
      <c r="A236" s="51"/>
      <c r="G236" s="8"/>
      <c r="H236" s="30">
        <v>231</v>
      </c>
      <c r="I236" s="31" t="str">
        <f t="shared" si="15"/>
        <v/>
      </c>
      <c r="J236" s="30">
        <f t="shared" si="18"/>
        <v>-5</v>
      </c>
      <c r="K236" s="30">
        <f t="shared" si="16"/>
        <v>-50</v>
      </c>
      <c r="L236" s="30"/>
      <c r="M236" s="32">
        <f t="shared" si="17"/>
        <v>0</v>
      </c>
    </row>
    <row r="237" spans="1:13" x14ac:dyDescent="0.25">
      <c r="A237" s="51"/>
      <c r="G237" s="8"/>
      <c r="H237" s="30">
        <v>232</v>
      </c>
      <c r="I237" s="31" t="str">
        <f t="shared" si="15"/>
        <v/>
      </c>
      <c r="J237" s="30">
        <f t="shared" si="18"/>
        <v>-5</v>
      </c>
      <c r="K237" s="30">
        <f t="shared" si="16"/>
        <v>-50</v>
      </c>
      <c r="L237" s="30"/>
      <c r="M237" s="32">
        <f t="shared" si="17"/>
        <v>0</v>
      </c>
    </row>
    <row r="238" spans="1:13" x14ac:dyDescent="0.25">
      <c r="A238" s="51"/>
      <c r="G238" s="8"/>
      <c r="H238" s="30">
        <v>233</v>
      </c>
      <c r="I238" s="31" t="str">
        <f t="shared" si="15"/>
        <v/>
      </c>
      <c r="J238" s="30">
        <f t="shared" si="18"/>
        <v>-5</v>
      </c>
      <c r="K238" s="30">
        <f t="shared" si="16"/>
        <v>-50</v>
      </c>
      <c r="L238" s="30"/>
      <c r="M238" s="32">
        <f t="shared" si="17"/>
        <v>0</v>
      </c>
    </row>
    <row r="239" spans="1:13" x14ac:dyDescent="0.25">
      <c r="A239" s="51"/>
      <c r="G239" s="8"/>
      <c r="H239" s="30">
        <v>234</v>
      </c>
      <c r="I239" s="31" t="str">
        <f t="shared" si="15"/>
        <v/>
      </c>
      <c r="J239" s="30">
        <f t="shared" si="18"/>
        <v>-5</v>
      </c>
      <c r="K239" s="30">
        <f t="shared" si="16"/>
        <v>-50</v>
      </c>
      <c r="L239" s="30"/>
      <c r="M239" s="32">
        <f t="shared" si="17"/>
        <v>0</v>
      </c>
    </row>
    <row r="240" spans="1:13" x14ac:dyDescent="0.25">
      <c r="A240" s="51"/>
      <c r="G240" s="8"/>
      <c r="H240" s="30">
        <v>235</v>
      </c>
      <c r="I240" s="31" t="str">
        <f t="shared" si="15"/>
        <v/>
      </c>
      <c r="J240" s="30">
        <f t="shared" si="18"/>
        <v>-5</v>
      </c>
      <c r="K240" s="30">
        <f t="shared" si="16"/>
        <v>-50</v>
      </c>
      <c r="L240" s="30"/>
      <c r="M240" s="32">
        <f t="shared" si="17"/>
        <v>0</v>
      </c>
    </row>
    <row r="241" spans="1:13" x14ac:dyDescent="0.25">
      <c r="A241" s="51"/>
      <c r="G241" s="8"/>
      <c r="H241" s="30">
        <v>236</v>
      </c>
      <c r="I241" s="31" t="str">
        <f t="shared" si="15"/>
        <v/>
      </c>
      <c r="J241" s="30">
        <f t="shared" si="18"/>
        <v>-5</v>
      </c>
      <c r="K241" s="30">
        <f t="shared" si="16"/>
        <v>-50</v>
      </c>
      <c r="L241" s="30"/>
      <c r="M241" s="32">
        <f t="shared" si="17"/>
        <v>0</v>
      </c>
    </row>
    <row r="242" spans="1:13" x14ac:dyDescent="0.25">
      <c r="A242" s="51"/>
      <c r="G242" s="8"/>
      <c r="H242" s="30">
        <v>237</v>
      </c>
      <c r="I242" s="31" t="str">
        <f t="shared" si="15"/>
        <v/>
      </c>
      <c r="J242" s="30">
        <f t="shared" si="18"/>
        <v>-5</v>
      </c>
      <c r="K242" s="30">
        <f t="shared" si="16"/>
        <v>-50</v>
      </c>
      <c r="L242" s="30"/>
      <c r="M242" s="32">
        <f t="shared" si="17"/>
        <v>0</v>
      </c>
    </row>
    <row r="243" spans="1:13" x14ac:dyDescent="0.25">
      <c r="A243" s="51"/>
      <c r="G243" s="8"/>
      <c r="H243" s="30">
        <v>238</v>
      </c>
      <c r="I243" s="31" t="str">
        <f t="shared" si="15"/>
        <v/>
      </c>
      <c r="J243" s="30">
        <f t="shared" si="18"/>
        <v>-5</v>
      </c>
      <c r="K243" s="30">
        <f t="shared" si="16"/>
        <v>-50</v>
      </c>
      <c r="L243" s="30"/>
      <c r="M243" s="32">
        <f t="shared" si="17"/>
        <v>0</v>
      </c>
    </row>
    <row r="244" spans="1:13" x14ac:dyDescent="0.25">
      <c r="A244" s="51"/>
      <c r="G244" s="8"/>
      <c r="H244" s="30">
        <v>239</v>
      </c>
      <c r="I244" s="31" t="str">
        <f t="shared" si="15"/>
        <v/>
      </c>
      <c r="J244" s="30">
        <f t="shared" si="18"/>
        <v>-5</v>
      </c>
      <c r="K244" s="30">
        <f t="shared" si="16"/>
        <v>-50</v>
      </c>
      <c r="L244" s="30"/>
      <c r="M244" s="32">
        <f t="shared" si="17"/>
        <v>0</v>
      </c>
    </row>
    <row r="245" spans="1:13" x14ac:dyDescent="0.25">
      <c r="A245" s="51"/>
      <c r="G245" s="8"/>
      <c r="H245" s="30">
        <v>240</v>
      </c>
      <c r="I245" s="31" t="str">
        <f t="shared" si="15"/>
        <v/>
      </c>
      <c r="J245" s="30">
        <f t="shared" si="18"/>
        <v>-5</v>
      </c>
      <c r="K245" s="30">
        <f t="shared" si="16"/>
        <v>-50</v>
      </c>
      <c r="L245" s="30"/>
      <c r="M245" s="32">
        <f t="shared" si="17"/>
        <v>0</v>
      </c>
    </row>
    <row r="246" spans="1:13" x14ac:dyDescent="0.25">
      <c r="A246" s="51"/>
      <c r="G246" s="8"/>
      <c r="H246" s="30">
        <v>241</v>
      </c>
      <c r="I246" s="31" t="str">
        <f t="shared" si="15"/>
        <v/>
      </c>
      <c r="J246" s="30">
        <f t="shared" si="18"/>
        <v>-5</v>
      </c>
      <c r="K246" s="30">
        <f t="shared" si="16"/>
        <v>-50</v>
      </c>
      <c r="L246" s="30"/>
      <c r="M246" s="32">
        <f t="shared" si="17"/>
        <v>0</v>
      </c>
    </row>
    <row r="247" spans="1:13" x14ac:dyDescent="0.25">
      <c r="A247" s="51"/>
      <c r="G247" s="8"/>
      <c r="H247" s="30">
        <v>242</v>
      </c>
      <c r="I247" s="31" t="str">
        <f t="shared" si="15"/>
        <v/>
      </c>
      <c r="J247" s="30">
        <f t="shared" si="18"/>
        <v>-5</v>
      </c>
      <c r="K247" s="30">
        <f t="shared" si="16"/>
        <v>-50</v>
      </c>
      <c r="L247" s="30"/>
      <c r="M247" s="32">
        <f t="shared" si="17"/>
        <v>0</v>
      </c>
    </row>
    <row r="248" spans="1:13" x14ac:dyDescent="0.25">
      <c r="A248" s="51"/>
      <c r="G248" s="8"/>
      <c r="H248" s="30">
        <v>243</v>
      </c>
      <c r="I248" s="31" t="str">
        <f t="shared" si="15"/>
        <v/>
      </c>
      <c r="J248" s="30">
        <f t="shared" si="18"/>
        <v>-5</v>
      </c>
      <c r="K248" s="30">
        <f t="shared" si="16"/>
        <v>-50</v>
      </c>
      <c r="L248" s="30"/>
      <c r="M248" s="32">
        <f t="shared" si="17"/>
        <v>0</v>
      </c>
    </row>
    <row r="249" spans="1:13" x14ac:dyDescent="0.25">
      <c r="A249" s="51"/>
      <c r="G249" s="8"/>
      <c r="H249" s="30">
        <v>244</v>
      </c>
      <c r="I249" s="31" t="str">
        <f t="shared" si="15"/>
        <v/>
      </c>
      <c r="J249" s="30">
        <f t="shared" si="18"/>
        <v>-5</v>
      </c>
      <c r="K249" s="30">
        <f t="shared" si="16"/>
        <v>-50</v>
      </c>
      <c r="L249" s="30"/>
      <c r="M249" s="32">
        <f t="shared" si="17"/>
        <v>0</v>
      </c>
    </row>
    <row r="250" spans="1:13" x14ac:dyDescent="0.25">
      <c r="A250" s="51"/>
      <c r="G250" s="8"/>
      <c r="H250" s="30">
        <v>245</v>
      </c>
      <c r="I250" s="31" t="str">
        <f t="shared" si="15"/>
        <v/>
      </c>
      <c r="J250" s="30">
        <f t="shared" si="18"/>
        <v>-5</v>
      </c>
      <c r="K250" s="30">
        <f t="shared" si="16"/>
        <v>-50</v>
      </c>
      <c r="L250" s="30"/>
      <c r="M250" s="32">
        <f t="shared" si="17"/>
        <v>0</v>
      </c>
    </row>
    <row r="251" spans="1:13" x14ac:dyDescent="0.25">
      <c r="A251" s="51"/>
      <c r="G251" s="8"/>
      <c r="H251" s="30">
        <v>246</v>
      </c>
      <c r="I251" s="31" t="str">
        <f t="shared" si="15"/>
        <v/>
      </c>
      <c r="J251" s="30">
        <f t="shared" si="18"/>
        <v>-5</v>
      </c>
      <c r="K251" s="30">
        <f t="shared" si="16"/>
        <v>-50</v>
      </c>
      <c r="L251" s="30"/>
      <c r="M251" s="32">
        <f t="shared" si="17"/>
        <v>0</v>
      </c>
    </row>
    <row r="252" spans="1:13" x14ac:dyDescent="0.25">
      <c r="A252" s="51"/>
      <c r="G252" s="8"/>
      <c r="H252" s="30">
        <v>247</v>
      </c>
      <c r="I252" s="31" t="str">
        <f t="shared" si="15"/>
        <v/>
      </c>
      <c r="J252" s="30">
        <f t="shared" si="18"/>
        <v>-5</v>
      </c>
      <c r="K252" s="30">
        <f t="shared" si="16"/>
        <v>-50</v>
      </c>
      <c r="L252" s="30"/>
      <c r="M252" s="32">
        <f t="shared" si="17"/>
        <v>0</v>
      </c>
    </row>
    <row r="253" spans="1:13" x14ac:dyDescent="0.25">
      <c r="A253" s="51"/>
      <c r="G253" s="8"/>
      <c r="H253" s="30">
        <v>248</v>
      </c>
      <c r="I253" s="31" t="str">
        <f t="shared" si="15"/>
        <v/>
      </c>
      <c r="J253" s="30">
        <f t="shared" si="18"/>
        <v>-5</v>
      </c>
      <c r="K253" s="30">
        <f t="shared" si="16"/>
        <v>-50</v>
      </c>
      <c r="L253" s="30"/>
      <c r="M253" s="32">
        <f t="shared" si="17"/>
        <v>0</v>
      </c>
    </row>
    <row r="254" spans="1:13" x14ac:dyDescent="0.25">
      <c r="A254" s="51"/>
      <c r="G254" s="8"/>
      <c r="H254" s="30">
        <v>249</v>
      </c>
      <c r="I254" s="31" t="str">
        <f t="shared" si="15"/>
        <v/>
      </c>
      <c r="J254" s="30">
        <f t="shared" si="18"/>
        <v>-5</v>
      </c>
      <c r="K254" s="30">
        <f t="shared" si="16"/>
        <v>-50</v>
      </c>
      <c r="L254" s="30"/>
      <c r="M254" s="32">
        <f t="shared" si="17"/>
        <v>0</v>
      </c>
    </row>
    <row r="255" spans="1:13" x14ac:dyDescent="0.25">
      <c r="A255" s="51"/>
      <c r="G255" s="8"/>
      <c r="H255" s="30">
        <v>250</v>
      </c>
      <c r="I255" s="31" t="str">
        <f t="shared" si="15"/>
        <v/>
      </c>
      <c r="J255" s="30">
        <f t="shared" si="18"/>
        <v>-5</v>
      </c>
      <c r="K255" s="30">
        <f t="shared" si="16"/>
        <v>-50</v>
      </c>
      <c r="L255" s="30"/>
      <c r="M255" s="32">
        <f t="shared" si="17"/>
        <v>0</v>
      </c>
    </row>
    <row r="256" spans="1:13" x14ac:dyDescent="0.25">
      <c r="A256" s="51"/>
      <c r="G256" s="8"/>
      <c r="H256" s="30">
        <v>251</v>
      </c>
      <c r="I256" s="31" t="str">
        <f t="shared" si="15"/>
        <v/>
      </c>
      <c r="J256" s="30">
        <f t="shared" si="18"/>
        <v>-5</v>
      </c>
      <c r="K256" s="30">
        <f t="shared" si="16"/>
        <v>-50</v>
      </c>
      <c r="L256" s="30"/>
      <c r="M256" s="32">
        <f t="shared" si="17"/>
        <v>0</v>
      </c>
    </row>
    <row r="257" spans="1:13" x14ac:dyDescent="0.25">
      <c r="A257" s="51"/>
      <c r="G257" s="8"/>
      <c r="H257" s="30">
        <v>252</v>
      </c>
      <c r="I257" s="31" t="str">
        <f t="shared" si="15"/>
        <v/>
      </c>
      <c r="J257" s="30">
        <f t="shared" si="18"/>
        <v>-5</v>
      </c>
      <c r="K257" s="30">
        <f t="shared" si="16"/>
        <v>-50</v>
      </c>
      <c r="L257" s="30"/>
      <c r="M257" s="32">
        <f t="shared" si="17"/>
        <v>0</v>
      </c>
    </row>
    <row r="258" spans="1:13" x14ac:dyDescent="0.25">
      <c r="A258" s="51"/>
      <c r="G258" s="8"/>
      <c r="H258" s="30">
        <v>253</v>
      </c>
      <c r="I258" s="31" t="str">
        <f t="shared" si="15"/>
        <v/>
      </c>
      <c r="J258" s="30">
        <f t="shared" si="18"/>
        <v>-5</v>
      </c>
      <c r="K258" s="30">
        <f t="shared" si="16"/>
        <v>-50</v>
      </c>
      <c r="L258" s="30"/>
      <c r="M258" s="32">
        <f t="shared" si="17"/>
        <v>0</v>
      </c>
    </row>
    <row r="259" spans="1:13" x14ac:dyDescent="0.25">
      <c r="A259" s="51"/>
      <c r="G259" s="8"/>
      <c r="H259" s="30">
        <v>254</v>
      </c>
      <c r="I259" s="31" t="str">
        <f t="shared" si="15"/>
        <v/>
      </c>
      <c r="J259" s="30">
        <f t="shared" si="18"/>
        <v>-5</v>
      </c>
      <c r="K259" s="30">
        <f t="shared" si="16"/>
        <v>-50</v>
      </c>
      <c r="L259" s="30"/>
      <c r="M259" s="32">
        <f t="shared" si="17"/>
        <v>0</v>
      </c>
    </row>
    <row r="260" spans="1:13" x14ac:dyDescent="0.25">
      <c r="A260" s="51"/>
      <c r="G260" s="8"/>
      <c r="H260" s="30">
        <v>255</v>
      </c>
      <c r="I260" s="31" t="str">
        <f t="shared" si="15"/>
        <v/>
      </c>
      <c r="J260" s="30">
        <f t="shared" si="18"/>
        <v>-5</v>
      </c>
      <c r="K260" s="30">
        <f t="shared" si="16"/>
        <v>-50</v>
      </c>
      <c r="L260" s="30"/>
      <c r="M260" s="32">
        <f t="shared" si="17"/>
        <v>0</v>
      </c>
    </row>
    <row r="261" spans="1:13" x14ac:dyDescent="0.25">
      <c r="A261" s="51"/>
      <c r="G261" s="8"/>
      <c r="H261" s="30">
        <v>256</v>
      </c>
      <c r="I261" s="31" t="str">
        <f t="shared" si="15"/>
        <v/>
      </c>
      <c r="J261" s="30">
        <f t="shared" si="18"/>
        <v>-5</v>
      </c>
      <c r="K261" s="30">
        <f t="shared" si="16"/>
        <v>-50</v>
      </c>
      <c r="L261" s="30"/>
      <c r="M261" s="32">
        <f t="shared" si="17"/>
        <v>0</v>
      </c>
    </row>
    <row r="262" spans="1:13" x14ac:dyDescent="0.25">
      <c r="A262" s="51"/>
      <c r="G262" s="8"/>
      <c r="H262" s="30">
        <v>257</v>
      </c>
      <c r="I262" s="31" t="str">
        <f t="shared" ref="I262:I305" si="19">IF(H262&lt;$H$2+1,($I$2-($I$2-1)*(LOG(H262)/LOG($H$2))),"")</f>
        <v/>
      </c>
      <c r="J262" s="30">
        <f t="shared" si="18"/>
        <v>-6</v>
      </c>
      <c r="K262" s="30">
        <f t="shared" ref="K262:K305" si="20">J262*$J$2</f>
        <v>-60</v>
      </c>
      <c r="L262" s="30"/>
      <c r="M262" s="32">
        <f t="shared" ref="M262:M305" si="21">IF(I262&lt;&gt;"",K262+I262+L262,0)</f>
        <v>0</v>
      </c>
    </row>
    <row r="263" spans="1:13" x14ac:dyDescent="0.25">
      <c r="A263" s="51"/>
      <c r="G263" s="8"/>
      <c r="H263" s="30">
        <v>258</v>
      </c>
      <c r="I263" s="31" t="str">
        <f t="shared" si="19"/>
        <v/>
      </c>
      <c r="J263" s="30">
        <f t="shared" ref="J263:J305" si="22">INT(LOG($H$2,2))-ROUNDUP(LOG(H263,2),0)+IF(OR($H$2=1,$H$2=2,$H$2=4,$H$2=8,$H$2=16,$H$2=32,$H$2=64,$H$2=128,$H$2=256),0,1)</f>
        <v>-6</v>
      </c>
      <c r="K263" s="30">
        <f t="shared" si="20"/>
        <v>-60</v>
      </c>
      <c r="L263" s="30"/>
      <c r="M263" s="32">
        <f t="shared" si="21"/>
        <v>0</v>
      </c>
    </row>
    <row r="264" spans="1:13" x14ac:dyDescent="0.25">
      <c r="A264" s="51"/>
      <c r="G264" s="8"/>
      <c r="H264" s="30">
        <v>259</v>
      </c>
      <c r="I264" s="31" t="str">
        <f t="shared" si="19"/>
        <v/>
      </c>
      <c r="J264" s="30">
        <f t="shared" si="22"/>
        <v>-6</v>
      </c>
      <c r="K264" s="30">
        <f t="shared" si="20"/>
        <v>-60</v>
      </c>
      <c r="L264" s="30"/>
      <c r="M264" s="32">
        <f t="shared" si="21"/>
        <v>0</v>
      </c>
    </row>
    <row r="265" spans="1:13" x14ac:dyDescent="0.25">
      <c r="A265" s="51"/>
      <c r="G265" s="8"/>
      <c r="H265" s="30">
        <v>260</v>
      </c>
      <c r="I265" s="31" t="str">
        <f t="shared" si="19"/>
        <v/>
      </c>
      <c r="J265" s="30">
        <f t="shared" si="22"/>
        <v>-6</v>
      </c>
      <c r="K265" s="30">
        <f t="shared" si="20"/>
        <v>-60</v>
      </c>
      <c r="L265" s="30"/>
      <c r="M265" s="32">
        <f t="shared" si="21"/>
        <v>0</v>
      </c>
    </row>
    <row r="266" spans="1:13" x14ac:dyDescent="0.25">
      <c r="A266" s="51"/>
      <c r="G266" s="8"/>
      <c r="H266" s="30">
        <v>261</v>
      </c>
      <c r="I266" s="31" t="str">
        <f t="shared" si="19"/>
        <v/>
      </c>
      <c r="J266" s="30">
        <f t="shared" si="22"/>
        <v>-6</v>
      </c>
      <c r="K266" s="30">
        <f t="shared" si="20"/>
        <v>-60</v>
      </c>
      <c r="L266" s="30"/>
      <c r="M266" s="32">
        <f t="shared" si="21"/>
        <v>0</v>
      </c>
    </row>
    <row r="267" spans="1:13" x14ac:dyDescent="0.25">
      <c r="A267" s="51"/>
      <c r="G267" s="8"/>
      <c r="H267" s="30">
        <v>262</v>
      </c>
      <c r="I267" s="31" t="str">
        <f t="shared" si="19"/>
        <v/>
      </c>
      <c r="J267" s="30">
        <f t="shared" si="22"/>
        <v>-6</v>
      </c>
      <c r="K267" s="30">
        <f t="shared" si="20"/>
        <v>-60</v>
      </c>
      <c r="L267" s="30"/>
      <c r="M267" s="32">
        <f t="shared" si="21"/>
        <v>0</v>
      </c>
    </row>
    <row r="268" spans="1:13" x14ac:dyDescent="0.25">
      <c r="A268" s="51"/>
      <c r="G268" s="8"/>
      <c r="H268" s="30">
        <v>263</v>
      </c>
      <c r="I268" s="31" t="str">
        <f t="shared" si="19"/>
        <v/>
      </c>
      <c r="J268" s="30">
        <f t="shared" si="22"/>
        <v>-6</v>
      </c>
      <c r="K268" s="30">
        <f t="shared" si="20"/>
        <v>-60</v>
      </c>
      <c r="L268" s="30"/>
      <c r="M268" s="32">
        <f t="shared" si="21"/>
        <v>0</v>
      </c>
    </row>
    <row r="269" spans="1:13" x14ac:dyDescent="0.25">
      <c r="A269" s="51"/>
      <c r="G269" s="8"/>
      <c r="H269" s="30">
        <v>264</v>
      </c>
      <c r="I269" s="31" t="str">
        <f t="shared" si="19"/>
        <v/>
      </c>
      <c r="J269" s="30">
        <f t="shared" si="22"/>
        <v>-6</v>
      </c>
      <c r="K269" s="30">
        <f t="shared" si="20"/>
        <v>-60</v>
      </c>
      <c r="L269" s="30"/>
      <c r="M269" s="32">
        <f t="shared" si="21"/>
        <v>0</v>
      </c>
    </row>
    <row r="270" spans="1:13" x14ac:dyDescent="0.25">
      <c r="A270" s="51"/>
      <c r="G270" s="8"/>
      <c r="H270" s="30">
        <v>265</v>
      </c>
      <c r="I270" s="31" t="str">
        <f t="shared" si="19"/>
        <v/>
      </c>
      <c r="J270" s="30">
        <f t="shared" si="22"/>
        <v>-6</v>
      </c>
      <c r="K270" s="30">
        <f t="shared" si="20"/>
        <v>-60</v>
      </c>
      <c r="L270" s="30"/>
      <c r="M270" s="32">
        <f t="shared" si="21"/>
        <v>0</v>
      </c>
    </row>
    <row r="271" spans="1:13" x14ac:dyDescent="0.25">
      <c r="A271" s="51"/>
      <c r="G271" s="8"/>
      <c r="H271" s="30">
        <v>266</v>
      </c>
      <c r="I271" s="31" t="str">
        <f t="shared" si="19"/>
        <v/>
      </c>
      <c r="J271" s="30">
        <f t="shared" si="22"/>
        <v>-6</v>
      </c>
      <c r="K271" s="30">
        <f t="shared" si="20"/>
        <v>-60</v>
      </c>
      <c r="L271" s="30"/>
      <c r="M271" s="32">
        <f t="shared" si="21"/>
        <v>0</v>
      </c>
    </row>
    <row r="272" spans="1:13" x14ac:dyDescent="0.25">
      <c r="A272" s="51"/>
      <c r="G272" s="8"/>
      <c r="H272" s="30">
        <v>267</v>
      </c>
      <c r="I272" s="31" t="str">
        <f t="shared" si="19"/>
        <v/>
      </c>
      <c r="J272" s="30">
        <f t="shared" si="22"/>
        <v>-6</v>
      </c>
      <c r="K272" s="30">
        <f t="shared" si="20"/>
        <v>-60</v>
      </c>
      <c r="L272" s="30"/>
      <c r="M272" s="32">
        <f t="shared" si="21"/>
        <v>0</v>
      </c>
    </row>
    <row r="273" spans="1:13" x14ac:dyDescent="0.25">
      <c r="A273" s="51"/>
      <c r="G273" s="8"/>
      <c r="H273" s="30">
        <v>268</v>
      </c>
      <c r="I273" s="31" t="str">
        <f t="shared" si="19"/>
        <v/>
      </c>
      <c r="J273" s="30">
        <f t="shared" si="22"/>
        <v>-6</v>
      </c>
      <c r="K273" s="30">
        <f t="shared" si="20"/>
        <v>-60</v>
      </c>
      <c r="L273" s="30"/>
      <c r="M273" s="32">
        <f t="shared" si="21"/>
        <v>0</v>
      </c>
    </row>
    <row r="274" spans="1:13" x14ac:dyDescent="0.25">
      <c r="A274" s="51"/>
      <c r="G274" s="8"/>
      <c r="H274" s="30">
        <v>269</v>
      </c>
      <c r="I274" s="31" t="str">
        <f t="shared" si="19"/>
        <v/>
      </c>
      <c r="J274" s="30">
        <f t="shared" si="22"/>
        <v>-6</v>
      </c>
      <c r="K274" s="30">
        <f t="shared" si="20"/>
        <v>-60</v>
      </c>
      <c r="L274" s="30"/>
      <c r="M274" s="32">
        <f t="shared" si="21"/>
        <v>0</v>
      </c>
    </row>
    <row r="275" spans="1:13" x14ac:dyDescent="0.25">
      <c r="A275" s="51"/>
      <c r="G275" s="8"/>
      <c r="H275" s="30">
        <v>270</v>
      </c>
      <c r="I275" s="31" t="str">
        <f t="shared" si="19"/>
        <v/>
      </c>
      <c r="J275" s="30">
        <f t="shared" si="22"/>
        <v>-6</v>
      </c>
      <c r="K275" s="30">
        <f t="shared" si="20"/>
        <v>-60</v>
      </c>
      <c r="L275" s="30"/>
      <c r="M275" s="32">
        <f t="shared" si="21"/>
        <v>0</v>
      </c>
    </row>
    <row r="276" spans="1:13" x14ac:dyDescent="0.25">
      <c r="A276" s="51"/>
      <c r="G276" s="8"/>
      <c r="H276" s="30">
        <v>271</v>
      </c>
      <c r="I276" s="31" t="str">
        <f t="shared" si="19"/>
        <v/>
      </c>
      <c r="J276" s="30">
        <f t="shared" si="22"/>
        <v>-6</v>
      </c>
      <c r="K276" s="30">
        <f t="shared" si="20"/>
        <v>-60</v>
      </c>
      <c r="L276" s="30"/>
      <c r="M276" s="32">
        <f t="shared" si="21"/>
        <v>0</v>
      </c>
    </row>
    <row r="277" spans="1:13" x14ac:dyDescent="0.25">
      <c r="A277" s="51"/>
      <c r="G277" s="8"/>
      <c r="H277" s="30">
        <v>272</v>
      </c>
      <c r="I277" s="31" t="str">
        <f t="shared" si="19"/>
        <v/>
      </c>
      <c r="J277" s="30">
        <f t="shared" si="22"/>
        <v>-6</v>
      </c>
      <c r="K277" s="30">
        <f t="shared" si="20"/>
        <v>-60</v>
      </c>
      <c r="L277" s="30"/>
      <c r="M277" s="32">
        <f t="shared" si="21"/>
        <v>0</v>
      </c>
    </row>
    <row r="278" spans="1:13" x14ac:dyDescent="0.25">
      <c r="A278" s="51"/>
      <c r="G278" s="8"/>
      <c r="H278" s="30">
        <v>273</v>
      </c>
      <c r="I278" s="31" t="str">
        <f t="shared" si="19"/>
        <v/>
      </c>
      <c r="J278" s="30">
        <f t="shared" si="22"/>
        <v>-6</v>
      </c>
      <c r="K278" s="30">
        <f t="shared" si="20"/>
        <v>-60</v>
      </c>
      <c r="L278" s="30"/>
      <c r="M278" s="32">
        <f t="shared" si="21"/>
        <v>0</v>
      </c>
    </row>
    <row r="279" spans="1:13" x14ac:dyDescent="0.25">
      <c r="A279" s="51"/>
      <c r="G279" s="8"/>
      <c r="H279" s="30">
        <v>274</v>
      </c>
      <c r="I279" s="31" t="str">
        <f t="shared" si="19"/>
        <v/>
      </c>
      <c r="J279" s="30">
        <f t="shared" si="22"/>
        <v>-6</v>
      </c>
      <c r="K279" s="30">
        <f t="shared" si="20"/>
        <v>-60</v>
      </c>
      <c r="L279" s="30"/>
      <c r="M279" s="32">
        <f t="shared" si="21"/>
        <v>0</v>
      </c>
    </row>
    <row r="280" spans="1:13" x14ac:dyDescent="0.25">
      <c r="A280" s="51"/>
      <c r="G280" s="8"/>
      <c r="H280" s="30">
        <v>275</v>
      </c>
      <c r="I280" s="31" t="str">
        <f t="shared" si="19"/>
        <v/>
      </c>
      <c r="J280" s="30">
        <f t="shared" si="22"/>
        <v>-6</v>
      </c>
      <c r="K280" s="30">
        <f t="shared" si="20"/>
        <v>-60</v>
      </c>
      <c r="L280" s="30"/>
      <c r="M280" s="32">
        <f t="shared" si="21"/>
        <v>0</v>
      </c>
    </row>
    <row r="281" spans="1:13" x14ac:dyDescent="0.25">
      <c r="A281" s="51"/>
      <c r="G281" s="8"/>
      <c r="H281" s="30">
        <v>276</v>
      </c>
      <c r="I281" s="31" t="str">
        <f t="shared" si="19"/>
        <v/>
      </c>
      <c r="J281" s="30">
        <f t="shared" si="22"/>
        <v>-6</v>
      </c>
      <c r="K281" s="30">
        <f t="shared" si="20"/>
        <v>-60</v>
      </c>
      <c r="L281" s="30"/>
      <c r="M281" s="32">
        <f t="shared" si="21"/>
        <v>0</v>
      </c>
    </row>
    <row r="282" spans="1:13" x14ac:dyDescent="0.25">
      <c r="A282" s="51"/>
      <c r="G282" s="8"/>
      <c r="H282" s="30">
        <v>277</v>
      </c>
      <c r="I282" s="31" t="str">
        <f t="shared" si="19"/>
        <v/>
      </c>
      <c r="J282" s="30">
        <f t="shared" si="22"/>
        <v>-6</v>
      </c>
      <c r="K282" s="30">
        <f t="shared" si="20"/>
        <v>-60</v>
      </c>
      <c r="L282" s="30"/>
      <c r="M282" s="32">
        <f t="shared" si="21"/>
        <v>0</v>
      </c>
    </row>
    <row r="283" spans="1:13" x14ac:dyDescent="0.25">
      <c r="A283" s="51"/>
      <c r="G283" s="8"/>
      <c r="H283" s="30">
        <v>278</v>
      </c>
      <c r="I283" s="31" t="str">
        <f t="shared" si="19"/>
        <v/>
      </c>
      <c r="J283" s="30">
        <f t="shared" si="22"/>
        <v>-6</v>
      </c>
      <c r="K283" s="30">
        <f t="shared" si="20"/>
        <v>-60</v>
      </c>
      <c r="L283" s="30"/>
      <c r="M283" s="32">
        <f t="shared" si="21"/>
        <v>0</v>
      </c>
    </row>
    <row r="284" spans="1:13" x14ac:dyDescent="0.25">
      <c r="A284" s="51"/>
      <c r="G284" s="8"/>
      <c r="H284" s="30">
        <v>279</v>
      </c>
      <c r="I284" s="31" t="str">
        <f t="shared" si="19"/>
        <v/>
      </c>
      <c r="J284" s="30">
        <f t="shared" si="22"/>
        <v>-6</v>
      </c>
      <c r="K284" s="30">
        <f t="shared" si="20"/>
        <v>-60</v>
      </c>
      <c r="L284" s="30"/>
      <c r="M284" s="32">
        <f t="shared" si="21"/>
        <v>0</v>
      </c>
    </row>
    <row r="285" spans="1:13" x14ac:dyDescent="0.25">
      <c r="A285" s="51"/>
      <c r="G285" s="8"/>
      <c r="H285" s="30">
        <v>280</v>
      </c>
      <c r="I285" s="31" t="str">
        <f t="shared" si="19"/>
        <v/>
      </c>
      <c r="J285" s="30">
        <f t="shared" si="22"/>
        <v>-6</v>
      </c>
      <c r="K285" s="30">
        <f t="shared" si="20"/>
        <v>-60</v>
      </c>
      <c r="L285" s="30"/>
      <c r="M285" s="32">
        <f t="shared" si="21"/>
        <v>0</v>
      </c>
    </row>
    <row r="286" spans="1:13" x14ac:dyDescent="0.25">
      <c r="A286" s="51"/>
      <c r="G286" s="8"/>
      <c r="H286" s="30">
        <v>281</v>
      </c>
      <c r="I286" s="31" t="str">
        <f t="shared" si="19"/>
        <v/>
      </c>
      <c r="J286" s="30">
        <f t="shared" si="22"/>
        <v>-6</v>
      </c>
      <c r="K286" s="30">
        <f t="shared" si="20"/>
        <v>-60</v>
      </c>
      <c r="L286" s="30"/>
      <c r="M286" s="32">
        <f t="shared" si="21"/>
        <v>0</v>
      </c>
    </row>
    <row r="287" spans="1:13" x14ac:dyDescent="0.25">
      <c r="A287" s="51"/>
      <c r="G287" s="8"/>
      <c r="H287" s="30">
        <v>282</v>
      </c>
      <c r="I287" s="31" t="str">
        <f t="shared" si="19"/>
        <v/>
      </c>
      <c r="J287" s="30">
        <f t="shared" si="22"/>
        <v>-6</v>
      </c>
      <c r="K287" s="30">
        <f t="shared" si="20"/>
        <v>-60</v>
      </c>
      <c r="L287" s="30"/>
      <c r="M287" s="32">
        <f t="shared" si="21"/>
        <v>0</v>
      </c>
    </row>
    <row r="288" spans="1:13" x14ac:dyDescent="0.25">
      <c r="A288" s="51"/>
      <c r="G288" s="8"/>
      <c r="H288" s="30">
        <v>283</v>
      </c>
      <c r="I288" s="31" t="str">
        <f t="shared" si="19"/>
        <v/>
      </c>
      <c r="J288" s="30">
        <f t="shared" si="22"/>
        <v>-6</v>
      </c>
      <c r="K288" s="30">
        <f t="shared" si="20"/>
        <v>-60</v>
      </c>
      <c r="L288" s="30"/>
      <c r="M288" s="32">
        <f t="shared" si="21"/>
        <v>0</v>
      </c>
    </row>
    <row r="289" spans="1:13" x14ac:dyDescent="0.25">
      <c r="A289" s="51"/>
      <c r="G289" s="8"/>
      <c r="H289" s="30">
        <v>284</v>
      </c>
      <c r="I289" s="31" t="str">
        <f t="shared" si="19"/>
        <v/>
      </c>
      <c r="J289" s="30">
        <f t="shared" si="22"/>
        <v>-6</v>
      </c>
      <c r="K289" s="30">
        <f t="shared" si="20"/>
        <v>-60</v>
      </c>
      <c r="L289" s="30"/>
      <c r="M289" s="32">
        <f t="shared" si="21"/>
        <v>0</v>
      </c>
    </row>
    <row r="290" spans="1:13" x14ac:dyDescent="0.25">
      <c r="A290" s="51"/>
      <c r="G290" s="8"/>
      <c r="H290" s="30">
        <v>285</v>
      </c>
      <c r="I290" s="31" t="str">
        <f t="shared" si="19"/>
        <v/>
      </c>
      <c r="J290" s="30">
        <f t="shared" si="22"/>
        <v>-6</v>
      </c>
      <c r="K290" s="30">
        <f t="shared" si="20"/>
        <v>-60</v>
      </c>
      <c r="L290" s="30"/>
      <c r="M290" s="32">
        <f t="shared" si="21"/>
        <v>0</v>
      </c>
    </row>
    <row r="291" spans="1:13" x14ac:dyDescent="0.25">
      <c r="A291" s="51"/>
      <c r="G291" s="8"/>
      <c r="H291" s="30">
        <v>286</v>
      </c>
      <c r="I291" s="31" t="str">
        <f t="shared" si="19"/>
        <v/>
      </c>
      <c r="J291" s="30">
        <f t="shared" si="22"/>
        <v>-6</v>
      </c>
      <c r="K291" s="30">
        <f t="shared" si="20"/>
        <v>-60</v>
      </c>
      <c r="L291" s="30"/>
      <c r="M291" s="32">
        <f t="shared" si="21"/>
        <v>0</v>
      </c>
    </row>
    <row r="292" spans="1:13" x14ac:dyDescent="0.25">
      <c r="A292" s="51"/>
      <c r="G292" s="8"/>
      <c r="H292" s="30">
        <v>287</v>
      </c>
      <c r="I292" s="31" t="str">
        <f t="shared" si="19"/>
        <v/>
      </c>
      <c r="J292" s="30">
        <f t="shared" si="22"/>
        <v>-6</v>
      </c>
      <c r="K292" s="30">
        <f t="shared" si="20"/>
        <v>-60</v>
      </c>
      <c r="L292" s="30"/>
      <c r="M292" s="32">
        <f t="shared" si="21"/>
        <v>0</v>
      </c>
    </row>
    <row r="293" spans="1:13" x14ac:dyDescent="0.25">
      <c r="A293" s="51"/>
      <c r="G293" s="8"/>
      <c r="H293" s="30">
        <v>288</v>
      </c>
      <c r="I293" s="31" t="str">
        <f t="shared" si="19"/>
        <v/>
      </c>
      <c r="J293" s="30">
        <f t="shared" si="22"/>
        <v>-6</v>
      </c>
      <c r="K293" s="30">
        <f t="shared" si="20"/>
        <v>-60</v>
      </c>
      <c r="L293" s="30"/>
      <c r="M293" s="32">
        <f t="shared" si="21"/>
        <v>0</v>
      </c>
    </row>
    <row r="294" spans="1:13" x14ac:dyDescent="0.25">
      <c r="A294" s="51"/>
      <c r="G294" s="8"/>
      <c r="H294" s="30">
        <v>289</v>
      </c>
      <c r="I294" s="31" t="str">
        <f t="shared" si="19"/>
        <v/>
      </c>
      <c r="J294" s="30">
        <f t="shared" si="22"/>
        <v>-6</v>
      </c>
      <c r="K294" s="30">
        <f t="shared" si="20"/>
        <v>-60</v>
      </c>
      <c r="L294" s="30"/>
      <c r="M294" s="32">
        <f t="shared" si="21"/>
        <v>0</v>
      </c>
    </row>
    <row r="295" spans="1:13" x14ac:dyDescent="0.25">
      <c r="A295" s="51"/>
      <c r="G295" s="8"/>
      <c r="H295" s="30">
        <v>290</v>
      </c>
      <c r="I295" s="31" t="str">
        <f t="shared" si="19"/>
        <v/>
      </c>
      <c r="J295" s="30">
        <f t="shared" si="22"/>
        <v>-6</v>
      </c>
      <c r="K295" s="30">
        <f t="shared" si="20"/>
        <v>-60</v>
      </c>
      <c r="L295" s="30"/>
      <c r="M295" s="32">
        <f t="shared" si="21"/>
        <v>0</v>
      </c>
    </row>
    <row r="296" spans="1:13" x14ac:dyDescent="0.25">
      <c r="A296" s="51"/>
      <c r="G296" s="8"/>
      <c r="H296" s="30">
        <v>291</v>
      </c>
      <c r="I296" s="31" t="str">
        <f t="shared" si="19"/>
        <v/>
      </c>
      <c r="J296" s="30">
        <f t="shared" si="22"/>
        <v>-6</v>
      </c>
      <c r="K296" s="30">
        <f t="shared" si="20"/>
        <v>-60</v>
      </c>
      <c r="L296" s="30"/>
      <c r="M296" s="32">
        <f t="shared" si="21"/>
        <v>0</v>
      </c>
    </row>
    <row r="297" spans="1:13" x14ac:dyDescent="0.25">
      <c r="A297" s="51"/>
      <c r="G297" s="8"/>
      <c r="H297" s="30">
        <v>292</v>
      </c>
      <c r="I297" s="31" t="str">
        <f t="shared" si="19"/>
        <v/>
      </c>
      <c r="J297" s="30">
        <f t="shared" si="22"/>
        <v>-6</v>
      </c>
      <c r="K297" s="30">
        <f t="shared" si="20"/>
        <v>-60</v>
      </c>
      <c r="L297" s="30"/>
      <c r="M297" s="32">
        <f t="shared" si="21"/>
        <v>0</v>
      </c>
    </row>
    <row r="298" spans="1:13" x14ac:dyDescent="0.25">
      <c r="A298" s="51"/>
      <c r="G298" s="8"/>
      <c r="H298" s="30">
        <v>293</v>
      </c>
      <c r="I298" s="31" t="str">
        <f t="shared" si="19"/>
        <v/>
      </c>
      <c r="J298" s="30">
        <f t="shared" si="22"/>
        <v>-6</v>
      </c>
      <c r="K298" s="30">
        <f t="shared" si="20"/>
        <v>-60</v>
      </c>
      <c r="L298" s="30"/>
      <c r="M298" s="32">
        <f t="shared" si="21"/>
        <v>0</v>
      </c>
    </row>
    <row r="299" spans="1:13" x14ac:dyDescent="0.25">
      <c r="A299" s="51"/>
      <c r="G299" s="8"/>
      <c r="H299" s="30">
        <v>294</v>
      </c>
      <c r="I299" s="31" t="str">
        <f t="shared" si="19"/>
        <v/>
      </c>
      <c r="J299" s="30">
        <f t="shared" si="22"/>
        <v>-6</v>
      </c>
      <c r="K299" s="30">
        <f t="shared" si="20"/>
        <v>-60</v>
      </c>
      <c r="L299" s="30"/>
      <c r="M299" s="32">
        <f t="shared" si="21"/>
        <v>0</v>
      </c>
    </row>
    <row r="300" spans="1:13" x14ac:dyDescent="0.25">
      <c r="A300" s="51"/>
      <c r="G300" s="8"/>
      <c r="H300" s="30">
        <v>295</v>
      </c>
      <c r="I300" s="31" t="str">
        <f t="shared" si="19"/>
        <v/>
      </c>
      <c r="J300" s="30">
        <f t="shared" si="22"/>
        <v>-6</v>
      </c>
      <c r="K300" s="30">
        <f t="shared" si="20"/>
        <v>-60</v>
      </c>
      <c r="L300" s="30"/>
      <c r="M300" s="32">
        <f t="shared" si="21"/>
        <v>0</v>
      </c>
    </row>
    <row r="301" spans="1:13" x14ac:dyDescent="0.25">
      <c r="A301" s="51"/>
      <c r="G301" s="8"/>
      <c r="H301" s="30">
        <v>296</v>
      </c>
      <c r="I301" s="31" t="str">
        <f t="shared" si="19"/>
        <v/>
      </c>
      <c r="J301" s="30">
        <f t="shared" si="22"/>
        <v>-6</v>
      </c>
      <c r="K301" s="30">
        <f t="shared" si="20"/>
        <v>-60</v>
      </c>
      <c r="L301" s="30"/>
      <c r="M301" s="32">
        <f t="shared" si="21"/>
        <v>0</v>
      </c>
    </row>
    <row r="302" spans="1:13" x14ac:dyDescent="0.25">
      <c r="A302" s="51"/>
      <c r="G302" s="8"/>
      <c r="H302" s="30">
        <v>297</v>
      </c>
      <c r="I302" s="31" t="str">
        <f t="shared" si="19"/>
        <v/>
      </c>
      <c r="J302" s="30">
        <f t="shared" si="22"/>
        <v>-6</v>
      </c>
      <c r="K302" s="30">
        <f t="shared" si="20"/>
        <v>-60</v>
      </c>
      <c r="L302" s="30"/>
      <c r="M302" s="32">
        <f t="shared" si="21"/>
        <v>0</v>
      </c>
    </row>
    <row r="303" spans="1:13" x14ac:dyDescent="0.25">
      <c r="A303" s="51"/>
      <c r="G303" s="8"/>
      <c r="H303" s="30">
        <v>298</v>
      </c>
      <c r="I303" s="31" t="str">
        <f t="shared" si="19"/>
        <v/>
      </c>
      <c r="J303" s="30">
        <f t="shared" si="22"/>
        <v>-6</v>
      </c>
      <c r="K303" s="30">
        <f t="shared" si="20"/>
        <v>-60</v>
      </c>
      <c r="L303" s="30"/>
      <c r="M303" s="32">
        <f t="shared" si="21"/>
        <v>0</v>
      </c>
    </row>
    <row r="304" spans="1:13" x14ac:dyDescent="0.25">
      <c r="A304" s="51"/>
      <c r="G304" s="8"/>
      <c r="H304" s="30">
        <v>299</v>
      </c>
      <c r="I304" s="31" t="str">
        <f t="shared" si="19"/>
        <v/>
      </c>
      <c r="J304" s="30">
        <f t="shared" si="22"/>
        <v>-6</v>
      </c>
      <c r="K304" s="30">
        <f t="shared" si="20"/>
        <v>-60</v>
      </c>
      <c r="L304" s="30"/>
      <c r="M304" s="32">
        <f t="shared" si="21"/>
        <v>0</v>
      </c>
    </row>
    <row r="305" spans="1:16" x14ac:dyDescent="0.25">
      <c r="A305" s="51"/>
      <c r="G305" s="8"/>
      <c r="H305" s="30">
        <v>300</v>
      </c>
      <c r="I305" s="31" t="str">
        <f t="shared" si="19"/>
        <v/>
      </c>
      <c r="J305" s="30">
        <f t="shared" si="22"/>
        <v>-6</v>
      </c>
      <c r="K305" s="30">
        <f t="shared" si="20"/>
        <v>-60</v>
      </c>
      <c r="L305" s="30"/>
      <c r="M305" s="32">
        <f t="shared" si="21"/>
        <v>0</v>
      </c>
    </row>
    <row r="306" spans="1:16" x14ac:dyDescent="0.25">
      <c r="A306" s="53"/>
    </row>
    <row r="314" spans="1:16" x14ac:dyDescent="0.25">
      <c r="L314" s="56"/>
      <c r="P314" s="46"/>
    </row>
    <row r="315" spans="1:16" x14ac:dyDescent="0.25">
      <c r="L315" s="56"/>
      <c r="P315" s="46"/>
    </row>
    <row r="316" spans="1:16" x14ac:dyDescent="0.25">
      <c r="L316" s="56"/>
      <c r="P316" s="46"/>
    </row>
    <row r="317" spans="1:16" x14ac:dyDescent="0.25">
      <c r="L317" s="56"/>
      <c r="P317" s="46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disablePrompts="1"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KONIN" xr:uid="{B4FC8D36-AFEB-45F2-9EA8-15EF8D0AE72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8"/>
  <sheetViews>
    <sheetView workbookViewId="0">
      <selection activeCell="O5" sqref="O5:R11"/>
    </sheetView>
  </sheetViews>
  <sheetFormatPr defaultColWidth="8.875" defaultRowHeight="14.3" x14ac:dyDescent="0.25"/>
  <cols>
    <col min="1" max="1" width="8" style="52" customWidth="1"/>
    <col min="2" max="2" width="8.25" style="52" customWidth="1"/>
    <col min="3" max="3" width="34.75" style="52" customWidth="1"/>
    <col min="4" max="4" width="11.25" style="52" customWidth="1"/>
    <col min="5" max="6" width="8.875" style="52"/>
    <col min="7" max="7" width="0.875" style="52" customWidth="1"/>
    <col min="8" max="8" width="8.875" style="54"/>
    <col min="9" max="9" width="11" style="54" customWidth="1"/>
    <col min="10" max="10" width="15" style="54" customWidth="1"/>
    <col min="11" max="11" width="8.75" style="54" customWidth="1"/>
    <col min="12" max="12" width="11" style="54" customWidth="1"/>
    <col min="13" max="13" width="11.75" style="55" customWidth="1"/>
    <col min="14" max="14" width="6.25" style="8" customWidth="1"/>
    <col min="15" max="15" width="1.875" style="8" bestFit="1" customWidth="1"/>
    <col min="16" max="16" width="22.75" style="58" customWidth="1"/>
    <col min="17" max="17" width="7.375" style="12" customWidth="1"/>
    <col min="18" max="18" width="8.875" style="12"/>
    <col min="19" max="20" width="8.875" style="13"/>
    <col min="21" max="21" width="12.125" style="13" customWidth="1"/>
    <col min="22" max="22" width="27.375" style="13" customWidth="1"/>
    <col min="23" max="38" width="8.875" style="13"/>
    <col min="39" max="16384" width="8.875" style="52"/>
  </cols>
  <sheetData>
    <row r="1" spans="1:36" x14ac:dyDescent="0.25">
      <c r="A1" s="8"/>
      <c r="B1" s="8"/>
      <c r="C1" s="8"/>
      <c r="D1" s="8"/>
      <c r="E1" s="8"/>
      <c r="F1" s="8"/>
      <c r="G1" s="8"/>
      <c r="H1" s="9" t="s">
        <v>25</v>
      </c>
      <c r="I1" s="10" t="s">
        <v>26</v>
      </c>
      <c r="J1" s="10" t="s">
        <v>27</v>
      </c>
      <c r="K1" s="11" t="s">
        <v>28</v>
      </c>
      <c r="L1" s="12"/>
      <c r="M1" s="12"/>
      <c r="N1" s="189" t="s">
        <v>59</v>
      </c>
      <c r="O1" s="189" t="s">
        <v>59</v>
      </c>
      <c r="P1" s="190" t="s">
        <v>59</v>
      </c>
      <c r="Q1" s="191" t="s">
        <v>59</v>
      </c>
      <c r="R1" s="191" t="s">
        <v>59</v>
      </c>
    </row>
    <row r="2" spans="1:36" x14ac:dyDescent="0.25">
      <c r="A2" s="8"/>
      <c r="B2" s="14" t="s">
        <v>29</v>
      </c>
      <c r="C2" s="239" t="s">
        <v>60</v>
      </c>
      <c r="D2" s="239"/>
      <c r="E2" s="15"/>
      <c r="F2" s="15"/>
      <c r="G2" s="15"/>
      <c r="H2" s="16">
        <v>5</v>
      </c>
      <c r="I2" s="17">
        <v>50</v>
      </c>
      <c r="J2" s="17">
        <v>10</v>
      </c>
      <c r="K2" s="18">
        <f>3*H2^(1/3)</f>
        <v>5.1299278400300903</v>
      </c>
      <c r="L2" s="12"/>
      <c r="M2" s="12"/>
      <c r="N2" s="189" t="s">
        <v>59</v>
      </c>
      <c r="O2" s="189" t="s">
        <v>59</v>
      </c>
      <c r="P2" s="190" t="s">
        <v>59</v>
      </c>
      <c r="Q2" s="191" t="s">
        <v>59</v>
      </c>
      <c r="R2" s="191" t="s">
        <v>59</v>
      </c>
    </row>
    <row r="3" spans="1:36" x14ac:dyDescent="0.25">
      <c r="A3" s="8"/>
      <c r="B3" s="19" t="s">
        <v>31</v>
      </c>
      <c r="C3" s="240" t="s">
        <v>61</v>
      </c>
      <c r="D3" s="240"/>
      <c r="E3" s="20"/>
      <c r="F3" s="20"/>
      <c r="G3" s="20"/>
      <c r="H3" s="12"/>
      <c r="I3" s="12"/>
      <c r="J3" s="12"/>
      <c r="K3" s="12"/>
      <c r="L3" s="12"/>
      <c r="M3" s="12"/>
      <c r="N3" s="189" t="s">
        <v>59</v>
      </c>
      <c r="O3" s="189" t="s">
        <v>59</v>
      </c>
      <c r="P3" s="190" t="s">
        <v>59</v>
      </c>
      <c r="Q3" s="191" t="s">
        <v>59</v>
      </c>
      <c r="R3" s="191" t="s">
        <v>59</v>
      </c>
    </row>
    <row r="4" spans="1:36" ht="10.199999999999999" customHeight="1" x14ac:dyDescent="0.25">
      <c r="A4" s="22"/>
      <c r="B4" s="20"/>
      <c r="C4" s="22"/>
      <c r="D4" s="22"/>
      <c r="E4" s="22"/>
      <c r="F4" s="22"/>
      <c r="G4" s="22"/>
      <c r="H4" s="12"/>
      <c r="I4" s="12"/>
      <c r="J4" s="12"/>
      <c r="K4" s="12"/>
      <c r="L4" s="12"/>
      <c r="M4" s="12"/>
      <c r="N4" s="189" t="s">
        <v>59</v>
      </c>
      <c r="O4" s="189" t="s">
        <v>59</v>
      </c>
      <c r="P4" s="190" t="s">
        <v>59</v>
      </c>
      <c r="Q4" s="191" t="s">
        <v>59</v>
      </c>
      <c r="R4" s="191" t="s">
        <v>59</v>
      </c>
    </row>
    <row r="5" spans="1:36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24" t="s">
        <v>39</v>
      </c>
      <c r="I5" s="25" t="s">
        <v>40</v>
      </c>
      <c r="J5" s="25" t="s">
        <v>41</v>
      </c>
      <c r="K5" s="25" t="s">
        <v>42</v>
      </c>
      <c r="L5" s="25" t="s">
        <v>43</v>
      </c>
      <c r="M5" s="24" t="s">
        <v>44</v>
      </c>
      <c r="N5" s="189" t="s">
        <v>59</v>
      </c>
      <c r="O5" s="204" t="s">
        <v>34</v>
      </c>
      <c r="P5" s="203" t="s">
        <v>35</v>
      </c>
      <c r="Q5" s="203" t="s">
        <v>41</v>
      </c>
      <c r="R5" s="203" t="s">
        <v>42</v>
      </c>
    </row>
    <row r="6" spans="1:36" ht="14.45" customHeight="1" x14ac:dyDescent="0.25">
      <c r="A6" s="27">
        <f t="shared" ref="A6:A37" si="0">M6</f>
        <v>95.389783520090276</v>
      </c>
      <c r="B6" s="28">
        <f t="shared" ref="B6:B13" si="1">IF(H6&gt;$H$2,"",(ROW()-5))</f>
        <v>1</v>
      </c>
      <c r="C6" s="29" t="s">
        <v>16</v>
      </c>
      <c r="D6" s="29" t="s">
        <v>62</v>
      </c>
      <c r="E6" s="29" t="s">
        <v>46</v>
      </c>
      <c r="F6" s="29"/>
      <c r="G6" s="22"/>
      <c r="H6" s="30">
        <v>1</v>
      </c>
      <c r="I6" s="31">
        <f>IF(H2=1,50,IF(H6&lt;$H$2+1,($I$2-($I$2-1)*(LOG(H6)/LOG($H$2))),""))</f>
        <v>50</v>
      </c>
      <c r="J6" s="31">
        <f t="shared" ref="J6:J70" si="2">INT(LOG($H$2,2))-ROUNDUP(LOG(H6,2),0)+IF(OR($H$2=1,$H$2=2,$H$2=4,$H$2=8,$H$2=16,$H$2=32,$H$2=64,$H$2=128,$H$2=256),0,1)</f>
        <v>3</v>
      </c>
      <c r="K6" s="30">
        <f t="shared" ref="K6:K69" si="3">J6*$J$2</f>
        <v>30</v>
      </c>
      <c r="L6" s="32">
        <f>3*K2</f>
        <v>15.389783520090271</v>
      </c>
      <c r="M6" s="32">
        <f t="shared" ref="M6:M69" si="4">IF(I6&lt;&gt;"",K6+I6+L6,0)</f>
        <v>95.389783520090276</v>
      </c>
      <c r="N6" s="189" t="s">
        <v>59</v>
      </c>
      <c r="O6" s="192">
        <v>1</v>
      </c>
      <c r="P6" s="113" t="s">
        <v>63</v>
      </c>
      <c r="Q6" s="114">
        <v>3</v>
      </c>
      <c r="R6" s="114">
        <v>30</v>
      </c>
    </row>
    <row r="7" spans="1:36" ht="14.45" customHeight="1" x14ac:dyDescent="0.25">
      <c r="A7" s="33">
        <f t="shared" si="0"/>
        <v>59.156704334463925</v>
      </c>
      <c r="B7" s="34">
        <f t="shared" si="1"/>
        <v>2</v>
      </c>
      <c r="C7" s="35" t="s">
        <v>18</v>
      </c>
      <c r="D7" s="35" t="s">
        <v>64</v>
      </c>
      <c r="E7" s="35" t="s">
        <v>46</v>
      </c>
      <c r="F7" s="35"/>
      <c r="G7" s="22"/>
      <c r="H7" s="36">
        <v>2</v>
      </c>
      <c r="I7" s="37">
        <f t="shared" ref="I7:I69" si="5">IF(H7&lt;$H$2+1,($I$2-($I$2-1)*(LOG(H7)/LOG($H$2))),"")</f>
        <v>28.896848654403744</v>
      </c>
      <c r="J7" s="37">
        <f t="shared" si="2"/>
        <v>2</v>
      </c>
      <c r="K7" s="36">
        <f t="shared" si="3"/>
        <v>20</v>
      </c>
      <c r="L7" s="38">
        <f>2*K2</f>
        <v>10.259855680060181</v>
      </c>
      <c r="M7" s="38">
        <f t="shared" si="4"/>
        <v>59.156704334463925</v>
      </c>
      <c r="N7" s="189" t="s">
        <v>59</v>
      </c>
      <c r="O7" s="192">
        <v>2</v>
      </c>
      <c r="P7" s="113" t="s">
        <v>65</v>
      </c>
      <c r="Q7" s="114">
        <v>2</v>
      </c>
      <c r="R7" s="114">
        <v>20</v>
      </c>
      <c r="V7" s="39"/>
      <c r="Z7" s="40"/>
      <c r="AA7" s="40"/>
      <c r="AG7" s="41"/>
    </row>
    <row r="8" spans="1:36" ht="14.45" customHeight="1" x14ac:dyDescent="0.25">
      <c r="A8" s="27">
        <f t="shared" si="0"/>
        <v>31.682224310216817</v>
      </c>
      <c r="B8" s="28">
        <f t="shared" si="1"/>
        <v>3</v>
      </c>
      <c r="C8" s="29" t="s">
        <v>19</v>
      </c>
      <c r="D8" s="29" t="s">
        <v>66</v>
      </c>
      <c r="E8" s="29" t="s">
        <v>46</v>
      </c>
      <c r="F8" s="29"/>
      <c r="G8" s="22"/>
      <c r="H8" s="30">
        <v>3</v>
      </c>
      <c r="I8" s="31">
        <f t="shared" si="5"/>
        <v>16.552296470186725</v>
      </c>
      <c r="J8" s="31">
        <f t="shared" si="2"/>
        <v>1</v>
      </c>
      <c r="K8" s="30">
        <f t="shared" si="3"/>
        <v>10</v>
      </c>
      <c r="L8" s="32">
        <f>K2</f>
        <v>5.1299278400300903</v>
      </c>
      <c r="M8" s="32">
        <f t="shared" si="4"/>
        <v>31.682224310216817</v>
      </c>
      <c r="N8" s="189" t="s">
        <v>59</v>
      </c>
      <c r="O8" s="192">
        <v>3</v>
      </c>
      <c r="P8" s="113" t="s">
        <v>67</v>
      </c>
      <c r="Q8" s="114">
        <v>1</v>
      </c>
      <c r="R8" s="114">
        <v>10</v>
      </c>
    </row>
    <row r="9" spans="1:36" ht="14.45" customHeight="1" x14ac:dyDescent="0.25">
      <c r="A9" s="33">
        <f t="shared" si="0"/>
        <v>17.793697308807488</v>
      </c>
      <c r="B9" s="34">
        <f t="shared" si="1"/>
        <v>4</v>
      </c>
      <c r="C9" s="35" t="s">
        <v>17</v>
      </c>
      <c r="D9" s="35" t="s">
        <v>68</v>
      </c>
      <c r="E9" s="35" t="s">
        <v>46</v>
      </c>
      <c r="F9" s="35"/>
      <c r="G9" s="22"/>
      <c r="H9" s="36">
        <v>4</v>
      </c>
      <c r="I9" s="37">
        <f t="shared" si="5"/>
        <v>7.7936973088074879</v>
      </c>
      <c r="J9" s="37">
        <f t="shared" si="2"/>
        <v>1</v>
      </c>
      <c r="K9" s="36">
        <f t="shared" si="3"/>
        <v>10</v>
      </c>
      <c r="L9" s="38"/>
      <c r="M9" s="38">
        <f t="shared" si="4"/>
        <v>17.793697308807488</v>
      </c>
      <c r="N9" s="189" t="s">
        <v>59</v>
      </c>
      <c r="O9" s="192">
        <v>4</v>
      </c>
      <c r="P9" s="113" t="s">
        <v>69</v>
      </c>
      <c r="Q9" s="114">
        <v>1</v>
      </c>
      <c r="R9" s="114">
        <v>10</v>
      </c>
      <c r="V9" s="39"/>
      <c r="Z9" s="40"/>
      <c r="AA9" s="40"/>
      <c r="AG9" s="41"/>
      <c r="AH9" s="13" t="s">
        <v>50</v>
      </c>
      <c r="AI9" s="13">
        <v>23</v>
      </c>
    </row>
    <row r="10" spans="1:36" ht="14.45" customHeight="1" x14ac:dyDescent="0.25">
      <c r="A10" s="27">
        <f t="shared" si="0"/>
        <v>1</v>
      </c>
      <c r="B10" s="28">
        <f t="shared" si="1"/>
        <v>5</v>
      </c>
      <c r="C10" s="29" t="s">
        <v>22</v>
      </c>
      <c r="D10" s="29" t="s">
        <v>51</v>
      </c>
      <c r="E10" s="29" t="s">
        <v>46</v>
      </c>
      <c r="F10" s="29"/>
      <c r="G10" s="22"/>
      <c r="H10" s="30">
        <v>5</v>
      </c>
      <c r="I10" s="31">
        <f t="shared" si="5"/>
        <v>1</v>
      </c>
      <c r="J10" s="31">
        <f t="shared" si="2"/>
        <v>0</v>
      </c>
      <c r="K10" s="30">
        <f t="shared" si="3"/>
        <v>0</v>
      </c>
      <c r="L10" s="30"/>
      <c r="M10" s="32">
        <f t="shared" si="4"/>
        <v>1</v>
      </c>
      <c r="N10" s="189" t="s">
        <v>59</v>
      </c>
      <c r="O10" s="192">
        <v>5</v>
      </c>
      <c r="P10" s="113" t="s">
        <v>70</v>
      </c>
      <c r="Q10" s="114">
        <v>0</v>
      </c>
      <c r="R10" s="114">
        <v>0</v>
      </c>
      <c r="V10" s="39"/>
      <c r="Z10" s="40"/>
      <c r="AA10" s="40"/>
      <c r="AG10" s="41"/>
      <c r="AH10" s="13" t="s">
        <v>52</v>
      </c>
      <c r="AI10" s="13">
        <v>45</v>
      </c>
    </row>
    <row r="11" spans="1:36" ht="14.45" customHeight="1" x14ac:dyDescent="0.25">
      <c r="A11" s="33">
        <f t="shared" si="0"/>
        <v>0</v>
      </c>
      <c r="B11" s="34" t="str">
        <f t="shared" si="1"/>
        <v/>
      </c>
      <c r="C11" s="35"/>
      <c r="D11" s="35"/>
      <c r="E11" s="35"/>
      <c r="F11" s="35"/>
      <c r="G11" s="22"/>
      <c r="H11" s="36">
        <v>6</v>
      </c>
      <c r="I11" s="37" t="str">
        <f t="shared" si="5"/>
        <v/>
      </c>
      <c r="J11" s="37">
        <f t="shared" si="2"/>
        <v>0</v>
      </c>
      <c r="K11" s="36">
        <f t="shared" si="3"/>
        <v>0</v>
      </c>
      <c r="L11" s="36"/>
      <c r="M11" s="38">
        <f t="shared" si="4"/>
        <v>0</v>
      </c>
      <c r="N11" s="189" t="s">
        <v>59</v>
      </c>
      <c r="O11" s="192">
        <v>6</v>
      </c>
      <c r="P11" s="113" t="s">
        <v>71</v>
      </c>
      <c r="Q11" s="114">
        <v>0</v>
      </c>
      <c r="R11" s="114">
        <v>0</v>
      </c>
      <c r="V11" s="42"/>
      <c r="Z11" s="40"/>
      <c r="AA11" s="40"/>
      <c r="AG11" s="41"/>
      <c r="AH11" s="13" t="s">
        <v>53</v>
      </c>
      <c r="AI11" s="13">
        <v>50</v>
      </c>
    </row>
    <row r="12" spans="1:36" ht="14.45" customHeight="1" x14ac:dyDescent="0.25">
      <c r="A12" s="27">
        <f t="shared" si="0"/>
        <v>0</v>
      </c>
      <c r="B12" s="28" t="str">
        <f t="shared" si="1"/>
        <v/>
      </c>
      <c r="C12" s="29"/>
      <c r="D12" s="29"/>
      <c r="E12" s="29"/>
      <c r="F12" s="29"/>
      <c r="G12" s="22"/>
      <c r="H12" s="30">
        <v>7</v>
      </c>
      <c r="I12" s="31" t="str">
        <f t="shared" si="5"/>
        <v/>
      </c>
      <c r="J12" s="31">
        <f t="shared" si="2"/>
        <v>0</v>
      </c>
      <c r="K12" s="30">
        <f t="shared" si="3"/>
        <v>0</v>
      </c>
      <c r="L12" s="30"/>
      <c r="M12" s="32">
        <f t="shared" si="4"/>
        <v>0</v>
      </c>
      <c r="N12" s="189" t="s">
        <v>59</v>
      </c>
      <c r="O12" s="192"/>
      <c r="P12" s="113"/>
      <c r="Q12" s="114"/>
      <c r="R12" s="114"/>
      <c r="Z12" s="40"/>
      <c r="AA12" s="40"/>
      <c r="AG12" s="41"/>
      <c r="AH12" s="13" t="s">
        <v>54</v>
      </c>
      <c r="AI12" s="13">
        <f>AI11-1</f>
        <v>49</v>
      </c>
    </row>
    <row r="13" spans="1:36" ht="14.45" customHeight="1" x14ac:dyDescent="0.25">
      <c r="A13" s="43">
        <f t="shared" si="0"/>
        <v>0</v>
      </c>
      <c r="B13" s="34" t="str">
        <f t="shared" si="1"/>
        <v/>
      </c>
      <c r="C13" s="35"/>
      <c r="D13" s="35"/>
      <c r="E13" s="35"/>
      <c r="F13" s="35"/>
      <c r="G13" s="22"/>
      <c r="H13" s="36">
        <v>8</v>
      </c>
      <c r="I13" s="37" t="str">
        <f t="shared" si="5"/>
        <v/>
      </c>
      <c r="J13" s="37">
        <f t="shared" si="2"/>
        <v>0</v>
      </c>
      <c r="K13" s="36">
        <f t="shared" si="3"/>
        <v>0</v>
      </c>
      <c r="L13" s="36"/>
      <c r="M13" s="38">
        <f t="shared" si="4"/>
        <v>0</v>
      </c>
      <c r="N13" s="189" t="s">
        <v>59</v>
      </c>
      <c r="O13" s="192"/>
      <c r="P13" s="113"/>
      <c r="Q13" s="114"/>
      <c r="R13" s="114"/>
      <c r="X13" s="39"/>
      <c r="AG13" s="41"/>
      <c r="AH13" s="13" t="s">
        <v>55</v>
      </c>
      <c r="AI13" s="13">
        <f>LOG(AI9)</f>
        <v>1.3617278360175928</v>
      </c>
    </row>
    <row r="14" spans="1:36" x14ac:dyDescent="0.25">
      <c r="A14" s="44">
        <f t="shared" si="0"/>
        <v>0</v>
      </c>
      <c r="B14" s="28" t="str">
        <f>IF(H14&gt;$H$2,"",(ROW()-5))</f>
        <v/>
      </c>
      <c r="C14" s="29"/>
      <c r="D14" s="29"/>
      <c r="E14" s="29"/>
      <c r="F14" s="29"/>
      <c r="G14" s="22"/>
      <c r="H14" s="30">
        <v>9</v>
      </c>
      <c r="I14" s="31" t="str">
        <f t="shared" si="5"/>
        <v/>
      </c>
      <c r="J14" s="31">
        <f t="shared" si="2"/>
        <v>-1</v>
      </c>
      <c r="K14" s="30">
        <f t="shared" si="3"/>
        <v>-10</v>
      </c>
      <c r="L14" s="30"/>
      <c r="M14" s="32">
        <f t="shared" si="4"/>
        <v>0</v>
      </c>
      <c r="N14" s="189" t="s">
        <v>59</v>
      </c>
      <c r="O14" s="192"/>
      <c r="P14" s="113"/>
      <c r="Q14" s="114"/>
      <c r="R14" s="114"/>
      <c r="X14" s="45"/>
      <c r="Z14" s="40"/>
      <c r="AA14" s="40"/>
      <c r="AG14" s="41"/>
      <c r="AH14" s="13" t="s">
        <v>56</v>
      </c>
      <c r="AI14" s="13">
        <f>LOG(AI10)</f>
        <v>1.6532125137753437</v>
      </c>
    </row>
    <row r="15" spans="1:36" x14ac:dyDescent="0.25">
      <c r="A15" s="43">
        <f t="shared" si="0"/>
        <v>0</v>
      </c>
      <c r="B15" s="34" t="str">
        <f t="shared" ref="B15:B65" si="6">IF(H15&gt;$H$2,"",(ROW()-5))</f>
        <v/>
      </c>
      <c r="C15" s="35"/>
      <c r="D15" s="35"/>
      <c r="E15" s="35"/>
      <c r="F15" s="35"/>
      <c r="G15" s="22"/>
      <c r="H15" s="36">
        <v>10</v>
      </c>
      <c r="I15" s="37" t="str">
        <f t="shared" si="5"/>
        <v/>
      </c>
      <c r="J15" s="37">
        <f t="shared" si="2"/>
        <v>-1</v>
      </c>
      <c r="K15" s="36">
        <f t="shared" si="3"/>
        <v>-10</v>
      </c>
      <c r="L15" s="36"/>
      <c r="M15" s="38">
        <f t="shared" si="4"/>
        <v>0</v>
      </c>
      <c r="N15" s="189" t="s">
        <v>59</v>
      </c>
      <c r="O15" s="192" t="s">
        <v>59</v>
      </c>
      <c r="P15" s="113" t="s">
        <v>59</v>
      </c>
      <c r="Q15" s="114" t="s">
        <v>59</v>
      </c>
      <c r="R15" s="114" t="s">
        <v>59</v>
      </c>
      <c r="X15" s="39"/>
      <c r="Z15" s="40"/>
      <c r="AA15" s="40"/>
    </row>
    <row r="16" spans="1:36" x14ac:dyDescent="0.25">
      <c r="A16" s="44">
        <f t="shared" si="0"/>
        <v>0</v>
      </c>
      <c r="B16" s="28" t="str">
        <f t="shared" si="6"/>
        <v/>
      </c>
      <c r="C16" s="29"/>
      <c r="D16" s="29"/>
      <c r="E16" s="29"/>
      <c r="F16" s="29"/>
      <c r="G16" s="22"/>
      <c r="H16" s="30">
        <v>11</v>
      </c>
      <c r="I16" s="31" t="str">
        <f t="shared" si="5"/>
        <v/>
      </c>
      <c r="J16" s="31">
        <f t="shared" si="2"/>
        <v>-1</v>
      </c>
      <c r="K16" s="30">
        <f t="shared" si="3"/>
        <v>-10</v>
      </c>
      <c r="L16" s="30"/>
      <c r="M16" s="32">
        <f t="shared" si="4"/>
        <v>0</v>
      </c>
      <c r="N16" s="189" t="s">
        <v>59</v>
      </c>
      <c r="O16" s="189" t="s">
        <v>59</v>
      </c>
      <c r="P16" s="190" t="s">
        <v>59</v>
      </c>
      <c r="Q16" s="191" t="s">
        <v>59</v>
      </c>
      <c r="R16" s="191" t="s">
        <v>59</v>
      </c>
      <c r="Z16" s="40"/>
      <c r="AA16" s="40"/>
      <c r="AH16" s="47" t="s">
        <v>57</v>
      </c>
      <c r="AI16" s="13">
        <f>AI11-AI12*AI13/AI14</f>
        <v>9.6393909380186855</v>
      </c>
      <c r="AJ16" s="13" t="s">
        <v>58</v>
      </c>
    </row>
    <row r="17" spans="1:19" x14ac:dyDescent="0.25">
      <c r="A17" s="43">
        <f t="shared" si="0"/>
        <v>0</v>
      </c>
      <c r="B17" s="34" t="str">
        <f t="shared" si="6"/>
        <v/>
      </c>
      <c r="C17" s="35"/>
      <c r="D17" s="35"/>
      <c r="E17" s="35"/>
      <c r="F17" s="35"/>
      <c r="G17" s="22"/>
      <c r="H17" s="36">
        <v>12</v>
      </c>
      <c r="I17" s="37" t="str">
        <f t="shared" si="5"/>
        <v/>
      </c>
      <c r="J17" s="37">
        <f t="shared" si="2"/>
        <v>-1</v>
      </c>
      <c r="K17" s="36">
        <f t="shared" si="3"/>
        <v>-10</v>
      </c>
      <c r="L17" s="36"/>
      <c r="M17" s="38">
        <f t="shared" si="4"/>
        <v>0</v>
      </c>
      <c r="N17" s="189" t="s">
        <v>59</v>
      </c>
      <c r="O17" s="189" t="s">
        <v>59</v>
      </c>
      <c r="P17" s="190" t="s">
        <v>59</v>
      </c>
      <c r="Q17" s="191" t="s">
        <v>59</v>
      </c>
      <c r="R17" s="191" t="s">
        <v>59</v>
      </c>
    </row>
    <row r="18" spans="1:19" x14ac:dyDescent="0.25">
      <c r="A18" s="44">
        <f t="shared" si="0"/>
        <v>0</v>
      </c>
      <c r="B18" s="28" t="str">
        <f t="shared" si="6"/>
        <v/>
      </c>
      <c r="C18" s="29"/>
      <c r="D18" s="29"/>
      <c r="E18" s="29"/>
      <c r="F18" s="29"/>
      <c r="G18" s="22"/>
      <c r="H18" s="30">
        <v>13</v>
      </c>
      <c r="I18" s="31" t="str">
        <f t="shared" si="5"/>
        <v/>
      </c>
      <c r="J18" s="31">
        <f t="shared" si="2"/>
        <v>-1</v>
      </c>
      <c r="K18" s="30">
        <f t="shared" si="3"/>
        <v>-10</v>
      </c>
      <c r="L18" s="30"/>
      <c r="M18" s="32">
        <f t="shared" si="4"/>
        <v>0</v>
      </c>
      <c r="N18" s="189" t="s">
        <v>59</v>
      </c>
      <c r="O18" s="189" t="s">
        <v>59</v>
      </c>
      <c r="P18" s="190" t="s">
        <v>59</v>
      </c>
      <c r="Q18" s="191" t="s">
        <v>59</v>
      </c>
      <c r="R18" s="191" t="s">
        <v>59</v>
      </c>
    </row>
    <row r="19" spans="1:19" x14ac:dyDescent="0.25">
      <c r="A19" s="43">
        <f t="shared" si="0"/>
        <v>0</v>
      </c>
      <c r="B19" s="34" t="str">
        <f t="shared" si="6"/>
        <v/>
      </c>
      <c r="C19" s="35"/>
      <c r="D19" s="35"/>
      <c r="E19" s="35"/>
      <c r="F19" s="35"/>
      <c r="G19" s="22"/>
      <c r="H19" s="36">
        <v>14</v>
      </c>
      <c r="I19" s="37" t="str">
        <f t="shared" si="5"/>
        <v/>
      </c>
      <c r="J19" s="37">
        <f t="shared" si="2"/>
        <v>-1</v>
      </c>
      <c r="K19" s="36">
        <f t="shared" si="3"/>
        <v>-10</v>
      </c>
      <c r="L19" s="36"/>
      <c r="M19" s="38">
        <f t="shared" si="4"/>
        <v>0</v>
      </c>
      <c r="N19" s="189" t="s">
        <v>59</v>
      </c>
      <c r="O19" s="189" t="s">
        <v>59</v>
      </c>
      <c r="P19" s="190" t="s">
        <v>59</v>
      </c>
      <c r="Q19" s="191" t="s">
        <v>59</v>
      </c>
      <c r="R19" s="191" t="s">
        <v>59</v>
      </c>
    </row>
    <row r="20" spans="1:19" x14ac:dyDescent="0.25">
      <c r="A20" s="44">
        <f t="shared" si="0"/>
        <v>0</v>
      </c>
      <c r="B20" s="28" t="str">
        <f t="shared" si="6"/>
        <v/>
      </c>
      <c r="C20" s="29"/>
      <c r="D20" s="29"/>
      <c r="E20" s="29"/>
      <c r="F20" s="29"/>
      <c r="G20" s="22"/>
      <c r="H20" s="30">
        <v>15</v>
      </c>
      <c r="I20" s="31" t="str">
        <f t="shared" si="5"/>
        <v/>
      </c>
      <c r="J20" s="31">
        <f t="shared" si="2"/>
        <v>-1</v>
      </c>
      <c r="K20" s="30">
        <f t="shared" si="3"/>
        <v>-10</v>
      </c>
      <c r="L20" s="30"/>
      <c r="M20" s="32">
        <f t="shared" si="4"/>
        <v>0</v>
      </c>
      <c r="N20" s="189" t="s">
        <v>59</v>
      </c>
      <c r="O20" s="189" t="s">
        <v>59</v>
      </c>
      <c r="P20" s="190" t="s">
        <v>59</v>
      </c>
      <c r="Q20" s="193" t="s">
        <v>59</v>
      </c>
      <c r="R20" s="191" t="s">
        <v>59</v>
      </c>
      <c r="S20" s="49"/>
    </row>
    <row r="21" spans="1:19" x14ac:dyDescent="0.25">
      <c r="A21" s="43">
        <f t="shared" si="0"/>
        <v>0</v>
      </c>
      <c r="B21" s="34" t="str">
        <f t="shared" si="6"/>
        <v/>
      </c>
      <c r="C21" s="35"/>
      <c r="D21" s="35"/>
      <c r="E21" s="35"/>
      <c r="F21" s="35"/>
      <c r="G21" s="22"/>
      <c r="H21" s="36">
        <v>16</v>
      </c>
      <c r="I21" s="37" t="str">
        <f t="shared" si="5"/>
        <v/>
      </c>
      <c r="J21" s="37">
        <f t="shared" si="2"/>
        <v>-1</v>
      </c>
      <c r="K21" s="36">
        <f t="shared" si="3"/>
        <v>-10</v>
      </c>
      <c r="L21" s="36"/>
      <c r="M21" s="38">
        <f t="shared" si="4"/>
        <v>0</v>
      </c>
      <c r="N21" s="189" t="s">
        <v>59</v>
      </c>
      <c r="O21" s="189" t="s">
        <v>59</v>
      </c>
      <c r="P21" s="190" t="s">
        <v>59</v>
      </c>
      <c r="Q21" s="191" t="s">
        <v>59</v>
      </c>
      <c r="R21" s="191" t="s">
        <v>59</v>
      </c>
    </row>
    <row r="22" spans="1:19" x14ac:dyDescent="0.25">
      <c r="A22" s="44">
        <f t="shared" si="0"/>
        <v>0</v>
      </c>
      <c r="B22" s="28" t="str">
        <f t="shared" si="6"/>
        <v/>
      </c>
      <c r="C22" s="29"/>
      <c r="D22" s="29"/>
      <c r="E22" s="29"/>
      <c r="F22" s="29"/>
      <c r="G22" s="22"/>
      <c r="H22" s="30">
        <v>17</v>
      </c>
      <c r="I22" s="31" t="str">
        <f t="shared" si="5"/>
        <v/>
      </c>
      <c r="J22" s="31">
        <f t="shared" si="2"/>
        <v>-2</v>
      </c>
      <c r="K22" s="30">
        <f t="shared" si="3"/>
        <v>-20</v>
      </c>
      <c r="L22" s="30"/>
      <c r="M22" s="32">
        <f t="shared" si="4"/>
        <v>0</v>
      </c>
      <c r="N22" s="189" t="s">
        <v>59</v>
      </c>
      <c r="O22" s="189" t="s">
        <v>59</v>
      </c>
      <c r="P22" s="190" t="s">
        <v>59</v>
      </c>
      <c r="Q22" s="191" t="s">
        <v>59</v>
      </c>
      <c r="R22" s="191" t="s">
        <v>59</v>
      </c>
    </row>
    <row r="23" spans="1:19" x14ac:dyDescent="0.25">
      <c r="A23" s="43">
        <f t="shared" si="0"/>
        <v>0</v>
      </c>
      <c r="B23" s="34" t="str">
        <f t="shared" si="6"/>
        <v/>
      </c>
      <c r="C23" s="35"/>
      <c r="D23" s="35"/>
      <c r="E23" s="35"/>
      <c r="F23" s="35"/>
      <c r="G23" s="22"/>
      <c r="H23" s="36">
        <v>18</v>
      </c>
      <c r="I23" s="37" t="str">
        <f t="shared" si="5"/>
        <v/>
      </c>
      <c r="J23" s="37">
        <f t="shared" si="2"/>
        <v>-2</v>
      </c>
      <c r="K23" s="36">
        <f t="shared" si="3"/>
        <v>-20</v>
      </c>
      <c r="L23" s="36"/>
      <c r="M23" s="38">
        <f t="shared" si="4"/>
        <v>0</v>
      </c>
      <c r="N23" s="189" t="s">
        <v>59</v>
      </c>
      <c r="O23" s="189" t="s">
        <v>59</v>
      </c>
      <c r="P23" s="190" t="s">
        <v>59</v>
      </c>
      <c r="Q23" s="191" t="s">
        <v>59</v>
      </c>
      <c r="R23" s="191" t="s">
        <v>59</v>
      </c>
    </row>
    <row r="24" spans="1:19" x14ac:dyDescent="0.25">
      <c r="A24" s="44">
        <f t="shared" si="0"/>
        <v>0</v>
      </c>
      <c r="B24" s="28" t="str">
        <f t="shared" si="6"/>
        <v/>
      </c>
      <c r="C24" s="29"/>
      <c r="D24" s="29"/>
      <c r="E24" s="29"/>
      <c r="F24" s="29"/>
      <c r="G24" s="22"/>
      <c r="H24" s="30">
        <v>19</v>
      </c>
      <c r="I24" s="31" t="str">
        <f t="shared" si="5"/>
        <v/>
      </c>
      <c r="J24" s="31">
        <f t="shared" si="2"/>
        <v>-2</v>
      </c>
      <c r="K24" s="30">
        <f t="shared" si="3"/>
        <v>-20</v>
      </c>
      <c r="L24" s="30"/>
      <c r="M24" s="32">
        <f t="shared" si="4"/>
        <v>0</v>
      </c>
      <c r="N24" s="189" t="s">
        <v>59</v>
      </c>
      <c r="O24" s="189" t="s">
        <v>59</v>
      </c>
      <c r="P24" s="190" t="s">
        <v>59</v>
      </c>
      <c r="Q24" s="193" t="s">
        <v>59</v>
      </c>
      <c r="R24" s="191" t="s">
        <v>59</v>
      </c>
      <c r="S24" s="49"/>
    </row>
    <row r="25" spans="1:19" x14ac:dyDescent="0.25">
      <c r="A25" s="43">
        <f t="shared" si="0"/>
        <v>0</v>
      </c>
      <c r="B25" s="34" t="str">
        <f t="shared" si="6"/>
        <v/>
      </c>
      <c r="C25" s="35"/>
      <c r="D25" s="35"/>
      <c r="E25" s="35"/>
      <c r="F25" s="35"/>
      <c r="G25" s="22"/>
      <c r="H25" s="36">
        <v>20</v>
      </c>
      <c r="I25" s="37" t="str">
        <f t="shared" si="5"/>
        <v/>
      </c>
      <c r="J25" s="37">
        <f t="shared" si="2"/>
        <v>-2</v>
      </c>
      <c r="K25" s="36">
        <f t="shared" si="3"/>
        <v>-20</v>
      </c>
      <c r="L25" s="36"/>
      <c r="M25" s="38">
        <f t="shared" si="4"/>
        <v>0</v>
      </c>
      <c r="N25" s="189" t="s">
        <v>59</v>
      </c>
      <c r="O25" s="189" t="s">
        <v>59</v>
      </c>
      <c r="P25" s="190" t="s">
        <v>59</v>
      </c>
      <c r="Q25" s="191" t="s">
        <v>59</v>
      </c>
      <c r="R25" s="191" t="s">
        <v>59</v>
      </c>
    </row>
    <row r="26" spans="1:19" x14ac:dyDescent="0.25">
      <c r="A26" s="44">
        <f t="shared" si="0"/>
        <v>0</v>
      </c>
      <c r="B26" s="28" t="str">
        <f t="shared" si="6"/>
        <v/>
      </c>
      <c r="C26" s="29"/>
      <c r="D26" s="29"/>
      <c r="E26" s="29"/>
      <c r="F26" s="29"/>
      <c r="G26" s="22"/>
      <c r="H26" s="30">
        <v>21</v>
      </c>
      <c r="I26" s="31" t="str">
        <f t="shared" si="5"/>
        <v/>
      </c>
      <c r="J26" s="31">
        <f t="shared" si="2"/>
        <v>-2</v>
      </c>
      <c r="K26" s="30">
        <f t="shared" si="3"/>
        <v>-20</v>
      </c>
      <c r="L26" s="30"/>
      <c r="M26" s="32">
        <f t="shared" si="4"/>
        <v>0</v>
      </c>
      <c r="N26" s="189" t="s">
        <v>59</v>
      </c>
      <c r="O26" s="189" t="s">
        <v>59</v>
      </c>
      <c r="P26" s="190" t="s">
        <v>59</v>
      </c>
      <c r="Q26" s="191" t="s">
        <v>59</v>
      </c>
      <c r="R26" s="191" t="s">
        <v>59</v>
      </c>
    </row>
    <row r="27" spans="1:19" x14ac:dyDescent="0.25">
      <c r="A27" s="43">
        <f t="shared" si="0"/>
        <v>0</v>
      </c>
      <c r="B27" s="34" t="str">
        <f t="shared" si="6"/>
        <v/>
      </c>
      <c r="C27" s="35"/>
      <c r="D27" s="35"/>
      <c r="E27" s="35"/>
      <c r="F27" s="35"/>
      <c r="G27" s="22"/>
      <c r="H27" s="36">
        <v>22</v>
      </c>
      <c r="I27" s="37" t="str">
        <f t="shared" si="5"/>
        <v/>
      </c>
      <c r="J27" s="37">
        <f t="shared" si="2"/>
        <v>-2</v>
      </c>
      <c r="K27" s="36">
        <f t="shared" si="3"/>
        <v>-20</v>
      </c>
      <c r="L27" s="36"/>
      <c r="M27" s="38">
        <f t="shared" si="4"/>
        <v>0</v>
      </c>
      <c r="N27" s="189" t="s">
        <v>59</v>
      </c>
      <c r="O27" s="189" t="s">
        <v>59</v>
      </c>
      <c r="P27" s="190" t="s">
        <v>59</v>
      </c>
      <c r="Q27" s="191" t="s">
        <v>59</v>
      </c>
      <c r="R27" s="191" t="s">
        <v>59</v>
      </c>
    </row>
    <row r="28" spans="1:19" x14ac:dyDescent="0.25">
      <c r="A28" s="44">
        <f t="shared" si="0"/>
        <v>0</v>
      </c>
      <c r="B28" s="28" t="str">
        <f t="shared" si="6"/>
        <v/>
      </c>
      <c r="C28" s="29"/>
      <c r="D28" s="29"/>
      <c r="E28" s="29"/>
      <c r="F28" s="29"/>
      <c r="G28" s="22"/>
      <c r="H28" s="30">
        <v>23</v>
      </c>
      <c r="I28" s="31" t="str">
        <f t="shared" si="5"/>
        <v/>
      </c>
      <c r="J28" s="31">
        <f t="shared" si="2"/>
        <v>-2</v>
      </c>
      <c r="K28" s="30">
        <f t="shared" si="3"/>
        <v>-20</v>
      </c>
      <c r="L28" s="30"/>
      <c r="M28" s="32">
        <f t="shared" si="4"/>
        <v>0</v>
      </c>
      <c r="N28" s="189" t="s">
        <v>59</v>
      </c>
      <c r="O28" s="189" t="s">
        <v>59</v>
      </c>
      <c r="P28" s="190" t="s">
        <v>59</v>
      </c>
      <c r="Q28" s="193" t="s">
        <v>59</v>
      </c>
      <c r="R28" s="191" t="s">
        <v>59</v>
      </c>
      <c r="S28" s="49"/>
    </row>
    <row r="29" spans="1:19" x14ac:dyDescent="0.25">
      <c r="A29" s="43">
        <f t="shared" si="0"/>
        <v>0</v>
      </c>
      <c r="B29" s="34" t="str">
        <f t="shared" si="6"/>
        <v/>
      </c>
      <c r="C29" s="35"/>
      <c r="D29" s="35"/>
      <c r="E29" s="35"/>
      <c r="F29" s="35"/>
      <c r="G29" s="8"/>
      <c r="H29" s="36">
        <v>24</v>
      </c>
      <c r="I29" s="37" t="str">
        <f t="shared" si="5"/>
        <v/>
      </c>
      <c r="J29" s="37">
        <f t="shared" si="2"/>
        <v>-2</v>
      </c>
      <c r="K29" s="36">
        <f t="shared" si="3"/>
        <v>-20</v>
      </c>
      <c r="L29" s="36"/>
      <c r="M29" s="38">
        <f t="shared" si="4"/>
        <v>0</v>
      </c>
      <c r="N29" s="189" t="s">
        <v>59</v>
      </c>
      <c r="O29" s="189" t="s">
        <v>59</v>
      </c>
      <c r="P29" s="190" t="s">
        <v>59</v>
      </c>
      <c r="Q29" s="191" t="s">
        <v>59</v>
      </c>
      <c r="R29" s="191" t="s">
        <v>59</v>
      </c>
    </row>
    <row r="30" spans="1:19" x14ac:dyDescent="0.25">
      <c r="A30" s="44">
        <f t="shared" si="0"/>
        <v>0</v>
      </c>
      <c r="B30" s="28" t="str">
        <f t="shared" si="6"/>
        <v/>
      </c>
      <c r="C30" s="29"/>
      <c r="D30" s="29"/>
      <c r="E30" s="29"/>
      <c r="F30" s="29"/>
      <c r="G30" s="8"/>
      <c r="H30" s="30">
        <v>25</v>
      </c>
      <c r="I30" s="31" t="str">
        <f t="shared" si="5"/>
        <v/>
      </c>
      <c r="J30" s="31">
        <f t="shared" si="2"/>
        <v>-2</v>
      </c>
      <c r="K30" s="30">
        <f t="shared" si="3"/>
        <v>-20</v>
      </c>
      <c r="L30" s="30"/>
      <c r="M30" s="32">
        <f t="shared" si="4"/>
        <v>0</v>
      </c>
      <c r="N30" s="189" t="s">
        <v>59</v>
      </c>
      <c r="O30" s="189" t="s">
        <v>59</v>
      </c>
      <c r="P30" s="190" t="s">
        <v>59</v>
      </c>
      <c r="Q30" s="191" t="s">
        <v>59</v>
      </c>
      <c r="R30" s="191" t="s">
        <v>59</v>
      </c>
    </row>
    <row r="31" spans="1:19" x14ac:dyDescent="0.25">
      <c r="A31" s="43">
        <f t="shared" si="0"/>
        <v>0</v>
      </c>
      <c r="B31" s="34" t="str">
        <f t="shared" si="6"/>
        <v/>
      </c>
      <c r="C31" s="35"/>
      <c r="D31" s="35"/>
      <c r="E31" s="35"/>
      <c r="F31" s="35"/>
      <c r="G31" s="8"/>
      <c r="H31" s="36">
        <v>26</v>
      </c>
      <c r="I31" s="37" t="str">
        <f t="shared" si="5"/>
        <v/>
      </c>
      <c r="J31" s="37">
        <f t="shared" si="2"/>
        <v>-2</v>
      </c>
      <c r="K31" s="36">
        <f t="shared" si="3"/>
        <v>-20</v>
      </c>
      <c r="L31" s="36"/>
      <c r="M31" s="38">
        <f t="shared" si="4"/>
        <v>0</v>
      </c>
      <c r="N31" s="189" t="s">
        <v>59</v>
      </c>
      <c r="O31" s="189" t="s">
        <v>59</v>
      </c>
      <c r="P31" s="190" t="s">
        <v>59</v>
      </c>
      <c r="Q31" s="191" t="s">
        <v>59</v>
      </c>
      <c r="R31" s="191" t="s">
        <v>59</v>
      </c>
    </row>
    <row r="32" spans="1:19" x14ac:dyDescent="0.25">
      <c r="A32" s="44">
        <f t="shared" si="0"/>
        <v>0</v>
      </c>
      <c r="B32" s="28" t="str">
        <f t="shared" si="6"/>
        <v/>
      </c>
      <c r="C32" s="29"/>
      <c r="D32" s="29"/>
      <c r="E32" s="29"/>
      <c r="F32" s="29"/>
      <c r="G32" s="8"/>
      <c r="H32" s="30">
        <v>27</v>
      </c>
      <c r="I32" s="31" t="str">
        <f t="shared" si="5"/>
        <v/>
      </c>
      <c r="J32" s="31">
        <f t="shared" si="2"/>
        <v>-2</v>
      </c>
      <c r="K32" s="30">
        <f t="shared" si="3"/>
        <v>-20</v>
      </c>
      <c r="L32" s="30"/>
      <c r="M32" s="32">
        <f t="shared" si="4"/>
        <v>0</v>
      </c>
      <c r="N32" s="189" t="s">
        <v>59</v>
      </c>
      <c r="O32" s="189" t="s">
        <v>59</v>
      </c>
      <c r="P32" s="190" t="s">
        <v>59</v>
      </c>
      <c r="Q32" s="193" t="s">
        <v>59</v>
      </c>
      <c r="R32" s="191" t="s">
        <v>59</v>
      </c>
      <c r="S32" s="49"/>
    </row>
    <row r="33" spans="1:21" x14ac:dyDescent="0.25">
      <c r="A33" s="43">
        <f t="shared" si="0"/>
        <v>0</v>
      </c>
      <c r="B33" s="34" t="str">
        <f t="shared" si="6"/>
        <v/>
      </c>
      <c r="C33" s="35"/>
      <c r="D33" s="35"/>
      <c r="E33" s="35"/>
      <c r="F33" s="35"/>
      <c r="G33" s="8"/>
      <c r="H33" s="36">
        <v>28</v>
      </c>
      <c r="I33" s="37" t="str">
        <f t="shared" si="5"/>
        <v/>
      </c>
      <c r="J33" s="37">
        <f t="shared" si="2"/>
        <v>-2</v>
      </c>
      <c r="K33" s="36">
        <f t="shared" si="3"/>
        <v>-20</v>
      </c>
      <c r="L33" s="36"/>
      <c r="M33" s="38">
        <f t="shared" si="4"/>
        <v>0</v>
      </c>
      <c r="N33" s="189" t="s">
        <v>59</v>
      </c>
      <c r="O33" s="189" t="s">
        <v>59</v>
      </c>
      <c r="P33" s="190" t="s">
        <v>59</v>
      </c>
      <c r="Q33" s="191" t="s">
        <v>59</v>
      </c>
      <c r="R33" s="191" t="s">
        <v>59</v>
      </c>
    </row>
    <row r="34" spans="1:21" x14ac:dyDescent="0.25">
      <c r="A34" s="44">
        <f t="shared" si="0"/>
        <v>0</v>
      </c>
      <c r="B34" s="28" t="str">
        <f t="shared" si="6"/>
        <v/>
      </c>
      <c r="C34" s="29"/>
      <c r="D34" s="29"/>
      <c r="E34" s="29"/>
      <c r="F34" s="29"/>
      <c r="G34" s="8"/>
      <c r="H34" s="30">
        <v>29</v>
      </c>
      <c r="I34" s="31" t="str">
        <f t="shared" si="5"/>
        <v/>
      </c>
      <c r="J34" s="31">
        <f t="shared" si="2"/>
        <v>-2</v>
      </c>
      <c r="K34" s="30">
        <f t="shared" si="3"/>
        <v>-20</v>
      </c>
      <c r="L34" s="30"/>
      <c r="M34" s="32">
        <f t="shared" si="4"/>
        <v>0</v>
      </c>
      <c r="N34" s="189" t="s">
        <v>59</v>
      </c>
      <c r="O34" s="189" t="s">
        <v>59</v>
      </c>
      <c r="P34" s="190" t="s">
        <v>59</v>
      </c>
      <c r="Q34" s="191" t="s">
        <v>59</v>
      </c>
      <c r="R34" s="191" t="s">
        <v>59</v>
      </c>
    </row>
    <row r="35" spans="1:21" x14ac:dyDescent="0.25">
      <c r="A35" s="43">
        <f t="shared" si="0"/>
        <v>0</v>
      </c>
      <c r="B35" s="34" t="str">
        <f t="shared" si="6"/>
        <v/>
      </c>
      <c r="C35" s="35"/>
      <c r="D35" s="35"/>
      <c r="E35" s="35"/>
      <c r="F35" s="35"/>
      <c r="G35" s="8"/>
      <c r="H35" s="36">
        <v>30</v>
      </c>
      <c r="I35" s="37" t="str">
        <f t="shared" si="5"/>
        <v/>
      </c>
      <c r="J35" s="37">
        <f t="shared" si="2"/>
        <v>-2</v>
      </c>
      <c r="K35" s="36">
        <f t="shared" si="3"/>
        <v>-20</v>
      </c>
      <c r="L35" s="36"/>
      <c r="M35" s="38">
        <f t="shared" si="4"/>
        <v>0</v>
      </c>
      <c r="N35" s="189" t="s">
        <v>59</v>
      </c>
      <c r="O35" s="189" t="s">
        <v>59</v>
      </c>
      <c r="P35" s="190" t="s">
        <v>59</v>
      </c>
      <c r="Q35" s="191" t="s">
        <v>59</v>
      </c>
      <c r="R35" s="191" t="s">
        <v>59</v>
      </c>
    </row>
    <row r="36" spans="1:21" x14ac:dyDescent="0.25">
      <c r="A36" s="44">
        <f t="shared" si="0"/>
        <v>0</v>
      </c>
      <c r="B36" s="28" t="str">
        <f t="shared" si="6"/>
        <v/>
      </c>
      <c r="C36" s="29"/>
      <c r="D36" s="29"/>
      <c r="E36" s="29"/>
      <c r="F36" s="29"/>
      <c r="G36" s="8"/>
      <c r="H36" s="30">
        <v>31</v>
      </c>
      <c r="I36" s="31" t="str">
        <f t="shared" si="5"/>
        <v/>
      </c>
      <c r="J36" s="31">
        <f t="shared" si="2"/>
        <v>-2</v>
      </c>
      <c r="K36" s="30">
        <f t="shared" si="3"/>
        <v>-20</v>
      </c>
      <c r="L36" s="30"/>
      <c r="M36" s="32">
        <f t="shared" si="4"/>
        <v>0</v>
      </c>
      <c r="N36" s="189" t="s">
        <v>59</v>
      </c>
      <c r="O36" s="189" t="s">
        <v>59</v>
      </c>
      <c r="P36" s="190" t="s">
        <v>59</v>
      </c>
      <c r="Q36" s="193" t="s">
        <v>59</v>
      </c>
      <c r="R36" s="191" t="s">
        <v>59</v>
      </c>
      <c r="S36" s="49"/>
    </row>
    <row r="37" spans="1:21" x14ac:dyDescent="0.25">
      <c r="A37" s="43">
        <f t="shared" si="0"/>
        <v>0</v>
      </c>
      <c r="B37" s="34" t="str">
        <f t="shared" si="6"/>
        <v/>
      </c>
      <c r="C37" s="35"/>
      <c r="D37" s="35"/>
      <c r="E37" s="35"/>
      <c r="F37" s="35"/>
      <c r="G37" s="8"/>
      <c r="H37" s="36">
        <v>32</v>
      </c>
      <c r="I37" s="37" t="str">
        <f t="shared" si="5"/>
        <v/>
      </c>
      <c r="J37" s="37">
        <f t="shared" si="2"/>
        <v>-2</v>
      </c>
      <c r="K37" s="36">
        <f t="shared" si="3"/>
        <v>-20</v>
      </c>
      <c r="L37" s="36"/>
      <c r="M37" s="38">
        <f t="shared" si="4"/>
        <v>0</v>
      </c>
      <c r="N37" s="189" t="s">
        <v>59</v>
      </c>
      <c r="O37" s="189" t="s">
        <v>59</v>
      </c>
      <c r="P37" s="190" t="s">
        <v>59</v>
      </c>
      <c r="Q37" s="191" t="s">
        <v>59</v>
      </c>
      <c r="R37" s="191" t="s">
        <v>59</v>
      </c>
    </row>
    <row r="38" spans="1:21" x14ac:dyDescent="0.25">
      <c r="A38" s="44"/>
      <c r="B38" s="28" t="str">
        <f t="shared" si="6"/>
        <v/>
      </c>
      <c r="C38" s="29"/>
      <c r="D38" s="29"/>
      <c r="E38" s="29"/>
      <c r="F38" s="29"/>
      <c r="G38" s="8"/>
      <c r="H38" s="30">
        <v>33</v>
      </c>
      <c r="I38" s="31" t="str">
        <f t="shared" si="5"/>
        <v/>
      </c>
      <c r="J38" s="31">
        <f t="shared" si="2"/>
        <v>-3</v>
      </c>
      <c r="K38" s="30">
        <f t="shared" si="3"/>
        <v>-30</v>
      </c>
      <c r="L38" s="30"/>
      <c r="M38" s="32">
        <f t="shared" si="4"/>
        <v>0</v>
      </c>
      <c r="N38" s="189" t="s">
        <v>59</v>
      </c>
      <c r="O38" s="189" t="s">
        <v>59</v>
      </c>
      <c r="P38" s="190" t="s">
        <v>59</v>
      </c>
      <c r="Q38" s="191" t="s">
        <v>59</v>
      </c>
      <c r="R38" s="191" t="s">
        <v>59</v>
      </c>
    </row>
    <row r="39" spans="1:21" x14ac:dyDescent="0.25">
      <c r="A39" s="43"/>
      <c r="B39" s="34" t="str">
        <f t="shared" si="6"/>
        <v/>
      </c>
      <c r="C39" s="35"/>
      <c r="D39" s="35"/>
      <c r="E39" s="35"/>
      <c r="F39" s="35"/>
      <c r="G39" s="8"/>
      <c r="H39" s="36">
        <v>34</v>
      </c>
      <c r="I39" s="37" t="str">
        <f t="shared" si="5"/>
        <v/>
      </c>
      <c r="J39" s="37">
        <f t="shared" si="2"/>
        <v>-3</v>
      </c>
      <c r="K39" s="36">
        <f t="shared" si="3"/>
        <v>-30</v>
      </c>
      <c r="L39" s="36"/>
      <c r="M39" s="38">
        <f t="shared" si="4"/>
        <v>0</v>
      </c>
      <c r="N39" s="189" t="s">
        <v>59</v>
      </c>
      <c r="O39" s="189" t="s">
        <v>59</v>
      </c>
      <c r="P39" s="190" t="s">
        <v>59</v>
      </c>
      <c r="Q39" s="191" t="s">
        <v>59</v>
      </c>
      <c r="R39" s="191" t="s">
        <v>59</v>
      </c>
    </row>
    <row r="40" spans="1:21" x14ac:dyDescent="0.25">
      <c r="A40" s="44"/>
      <c r="B40" s="28" t="str">
        <f t="shared" si="6"/>
        <v/>
      </c>
      <c r="C40" s="29"/>
      <c r="D40" s="29"/>
      <c r="E40" s="29"/>
      <c r="F40" s="29"/>
      <c r="G40" s="8"/>
      <c r="H40" s="30">
        <v>35</v>
      </c>
      <c r="I40" s="31" t="str">
        <f t="shared" si="5"/>
        <v/>
      </c>
      <c r="J40" s="31">
        <f t="shared" si="2"/>
        <v>-3</v>
      </c>
      <c r="K40" s="30">
        <f t="shared" si="3"/>
        <v>-30</v>
      </c>
      <c r="L40" s="30"/>
      <c r="M40" s="32">
        <f t="shared" si="4"/>
        <v>0</v>
      </c>
      <c r="N40" s="189" t="s">
        <v>59</v>
      </c>
      <c r="O40" s="189" t="s">
        <v>59</v>
      </c>
      <c r="P40" s="190" t="s">
        <v>59</v>
      </c>
      <c r="Q40" s="191" t="s">
        <v>59</v>
      </c>
      <c r="R40" s="191" t="s">
        <v>59</v>
      </c>
    </row>
    <row r="41" spans="1:21" x14ac:dyDescent="0.25">
      <c r="A41" s="43"/>
      <c r="B41" s="34" t="str">
        <f t="shared" si="6"/>
        <v/>
      </c>
      <c r="C41" s="35"/>
      <c r="D41" s="35"/>
      <c r="E41" s="35"/>
      <c r="F41" s="35"/>
      <c r="G41" s="8"/>
      <c r="H41" s="36">
        <v>36</v>
      </c>
      <c r="I41" s="37" t="str">
        <f t="shared" si="5"/>
        <v/>
      </c>
      <c r="J41" s="37">
        <f t="shared" si="2"/>
        <v>-3</v>
      </c>
      <c r="K41" s="36">
        <f t="shared" si="3"/>
        <v>-30</v>
      </c>
      <c r="L41" s="36"/>
      <c r="M41" s="38">
        <f t="shared" si="4"/>
        <v>0</v>
      </c>
      <c r="N41" s="189" t="s">
        <v>59</v>
      </c>
      <c r="O41" s="189" t="s">
        <v>59</v>
      </c>
      <c r="P41" s="190" t="s">
        <v>59</v>
      </c>
      <c r="Q41" s="191" t="s">
        <v>59</v>
      </c>
      <c r="R41" s="191" t="s">
        <v>59</v>
      </c>
      <c r="S41" s="50"/>
    </row>
    <row r="42" spans="1:21" x14ac:dyDescent="0.25">
      <c r="A42" s="44"/>
      <c r="B42" s="28" t="str">
        <f t="shared" si="6"/>
        <v/>
      </c>
      <c r="C42" s="29"/>
      <c r="D42" s="29"/>
      <c r="E42" s="29"/>
      <c r="F42" s="29"/>
      <c r="G42" s="8"/>
      <c r="H42" s="30">
        <v>37</v>
      </c>
      <c r="I42" s="31" t="str">
        <f t="shared" si="5"/>
        <v/>
      </c>
      <c r="J42" s="31">
        <f t="shared" si="2"/>
        <v>-3</v>
      </c>
      <c r="K42" s="30">
        <f t="shared" si="3"/>
        <v>-30</v>
      </c>
      <c r="L42" s="30"/>
      <c r="M42" s="32">
        <f t="shared" si="4"/>
        <v>0</v>
      </c>
      <c r="N42" s="189" t="s">
        <v>59</v>
      </c>
      <c r="O42" s="189" t="s">
        <v>59</v>
      </c>
      <c r="P42" s="190" t="s">
        <v>59</v>
      </c>
      <c r="Q42" s="191" t="s">
        <v>59</v>
      </c>
      <c r="R42" s="191" t="s">
        <v>59</v>
      </c>
    </row>
    <row r="43" spans="1:21" x14ac:dyDescent="0.25">
      <c r="A43" s="43"/>
      <c r="B43" s="34" t="str">
        <f t="shared" si="6"/>
        <v/>
      </c>
      <c r="C43" s="35"/>
      <c r="D43" s="35"/>
      <c r="E43" s="35"/>
      <c r="F43" s="35"/>
      <c r="G43" s="8"/>
      <c r="H43" s="36">
        <v>38</v>
      </c>
      <c r="I43" s="37" t="str">
        <f t="shared" si="5"/>
        <v/>
      </c>
      <c r="J43" s="37">
        <f t="shared" si="2"/>
        <v>-3</v>
      </c>
      <c r="K43" s="36">
        <f t="shared" si="3"/>
        <v>-30</v>
      </c>
      <c r="L43" s="36"/>
      <c r="M43" s="38">
        <f t="shared" si="4"/>
        <v>0</v>
      </c>
      <c r="N43" s="189" t="s">
        <v>59</v>
      </c>
      <c r="O43" s="189" t="s">
        <v>59</v>
      </c>
      <c r="P43" s="190" t="s">
        <v>59</v>
      </c>
      <c r="Q43" s="191" t="s">
        <v>59</v>
      </c>
      <c r="R43" s="191" t="s">
        <v>59</v>
      </c>
    </row>
    <row r="44" spans="1:21" x14ac:dyDescent="0.25">
      <c r="A44" s="44"/>
      <c r="B44" s="28" t="str">
        <f t="shared" si="6"/>
        <v/>
      </c>
      <c r="C44" s="29"/>
      <c r="D44" s="29"/>
      <c r="E44" s="29"/>
      <c r="F44" s="29"/>
      <c r="G44" s="8"/>
      <c r="H44" s="30">
        <v>39</v>
      </c>
      <c r="I44" s="31" t="str">
        <f t="shared" si="5"/>
        <v/>
      </c>
      <c r="J44" s="31">
        <f t="shared" si="2"/>
        <v>-3</v>
      </c>
      <c r="K44" s="30">
        <f t="shared" si="3"/>
        <v>-30</v>
      </c>
      <c r="L44" s="30"/>
      <c r="M44" s="32">
        <f t="shared" si="4"/>
        <v>0</v>
      </c>
      <c r="N44" s="189" t="s">
        <v>59</v>
      </c>
      <c r="O44" s="189" t="s">
        <v>59</v>
      </c>
      <c r="P44" s="190" t="s">
        <v>59</v>
      </c>
      <c r="Q44" s="191" t="s">
        <v>59</v>
      </c>
      <c r="R44" s="191" t="s">
        <v>59</v>
      </c>
    </row>
    <row r="45" spans="1:21" x14ac:dyDescent="0.25">
      <c r="A45" s="43"/>
      <c r="B45" s="34" t="str">
        <f t="shared" si="6"/>
        <v/>
      </c>
      <c r="C45" s="35"/>
      <c r="D45" s="35"/>
      <c r="E45" s="35"/>
      <c r="F45" s="35"/>
      <c r="G45" s="8"/>
      <c r="H45" s="36">
        <v>40</v>
      </c>
      <c r="I45" s="37" t="str">
        <f t="shared" si="5"/>
        <v/>
      </c>
      <c r="J45" s="37">
        <f t="shared" si="2"/>
        <v>-3</v>
      </c>
      <c r="K45" s="36">
        <f t="shared" si="3"/>
        <v>-30</v>
      </c>
      <c r="L45" s="36"/>
      <c r="M45" s="38">
        <f t="shared" si="4"/>
        <v>0</v>
      </c>
      <c r="N45" s="189" t="s">
        <v>59</v>
      </c>
      <c r="O45" s="189" t="s">
        <v>59</v>
      </c>
      <c r="P45" s="190" t="s">
        <v>59</v>
      </c>
      <c r="Q45" s="191" t="s">
        <v>59</v>
      </c>
      <c r="R45" s="191" t="s">
        <v>59</v>
      </c>
    </row>
    <row r="46" spans="1:21" x14ac:dyDescent="0.25">
      <c r="A46" s="44"/>
      <c r="B46" s="28" t="str">
        <f t="shared" si="6"/>
        <v/>
      </c>
      <c r="C46" s="29"/>
      <c r="D46" s="29"/>
      <c r="E46" s="29"/>
      <c r="F46" s="29"/>
      <c r="G46" s="8"/>
      <c r="H46" s="30">
        <v>41</v>
      </c>
      <c r="I46" s="31" t="str">
        <f t="shared" si="5"/>
        <v/>
      </c>
      <c r="J46" s="31">
        <f t="shared" si="2"/>
        <v>-3</v>
      </c>
      <c r="K46" s="30">
        <f t="shared" si="3"/>
        <v>-30</v>
      </c>
      <c r="L46" s="30"/>
      <c r="M46" s="32">
        <f t="shared" si="4"/>
        <v>0</v>
      </c>
      <c r="N46" s="189" t="s">
        <v>59</v>
      </c>
      <c r="O46" s="189" t="s">
        <v>59</v>
      </c>
      <c r="P46" s="190" t="s">
        <v>59</v>
      </c>
      <c r="Q46" s="194">
        <v>21186</v>
      </c>
      <c r="R46" s="191" t="s">
        <v>59</v>
      </c>
      <c r="T46" s="13">
        <f>LOG(H38,2)</f>
        <v>5.0443941193584534</v>
      </c>
      <c r="U46" s="13" t="e">
        <f>R46-T46</f>
        <v>#VALUE!</v>
      </c>
    </row>
    <row r="47" spans="1:21" x14ac:dyDescent="0.25">
      <c r="A47" s="43"/>
      <c r="B47" s="34" t="str">
        <f t="shared" si="6"/>
        <v/>
      </c>
      <c r="C47" s="35"/>
      <c r="D47" s="35"/>
      <c r="E47" s="35"/>
      <c r="F47" s="35"/>
      <c r="G47" s="8"/>
      <c r="H47" s="36">
        <v>42</v>
      </c>
      <c r="I47" s="37" t="str">
        <f t="shared" si="5"/>
        <v/>
      </c>
      <c r="J47" s="37">
        <f t="shared" si="2"/>
        <v>-3</v>
      </c>
      <c r="K47" s="36">
        <f t="shared" si="3"/>
        <v>-30</v>
      </c>
      <c r="L47" s="36"/>
      <c r="M47" s="38">
        <f t="shared" si="4"/>
        <v>0</v>
      </c>
      <c r="N47" s="189" t="s">
        <v>59</v>
      </c>
      <c r="O47" s="189" t="s">
        <v>59</v>
      </c>
      <c r="P47" s="190" t="s">
        <v>59</v>
      </c>
      <c r="Q47" s="191" t="s">
        <v>59</v>
      </c>
      <c r="R47" s="191" t="s">
        <v>59</v>
      </c>
    </row>
    <row r="48" spans="1:21" x14ac:dyDescent="0.25">
      <c r="A48" s="44"/>
      <c r="B48" s="28" t="str">
        <f t="shared" si="6"/>
        <v/>
      </c>
      <c r="C48" s="29"/>
      <c r="D48" s="29"/>
      <c r="E48" s="29"/>
      <c r="F48" s="29"/>
      <c r="G48" s="8"/>
      <c r="H48" s="30">
        <v>43</v>
      </c>
      <c r="I48" s="31" t="str">
        <f t="shared" si="5"/>
        <v/>
      </c>
      <c r="J48" s="31">
        <f t="shared" si="2"/>
        <v>-3</v>
      </c>
      <c r="K48" s="30">
        <f t="shared" si="3"/>
        <v>-30</v>
      </c>
      <c r="L48" s="30"/>
      <c r="M48" s="32">
        <f t="shared" si="4"/>
        <v>0</v>
      </c>
      <c r="N48" s="189" t="s">
        <v>59</v>
      </c>
      <c r="O48" s="189" t="s">
        <v>59</v>
      </c>
      <c r="P48" s="190" t="s">
        <v>59</v>
      </c>
      <c r="Q48" s="191" t="s">
        <v>59</v>
      </c>
      <c r="R48" s="191" t="s">
        <v>59</v>
      </c>
    </row>
    <row r="49" spans="1:18" x14ac:dyDescent="0.25">
      <c r="A49" s="43"/>
      <c r="B49" s="34" t="str">
        <f t="shared" si="6"/>
        <v/>
      </c>
      <c r="C49" s="35"/>
      <c r="D49" s="35"/>
      <c r="E49" s="35"/>
      <c r="F49" s="35"/>
      <c r="G49" s="8"/>
      <c r="H49" s="36">
        <v>44</v>
      </c>
      <c r="I49" s="37" t="str">
        <f t="shared" si="5"/>
        <v/>
      </c>
      <c r="J49" s="37">
        <f t="shared" si="2"/>
        <v>-3</v>
      </c>
      <c r="K49" s="36">
        <f t="shared" si="3"/>
        <v>-30</v>
      </c>
      <c r="L49" s="36"/>
      <c r="M49" s="38">
        <f t="shared" si="4"/>
        <v>0</v>
      </c>
      <c r="N49" s="189" t="s">
        <v>59</v>
      </c>
      <c r="O49" s="189" t="s">
        <v>59</v>
      </c>
      <c r="P49" s="190" t="s">
        <v>59</v>
      </c>
      <c r="Q49" s="191" t="s">
        <v>59</v>
      </c>
      <c r="R49" s="191" t="s">
        <v>59</v>
      </c>
    </row>
    <row r="50" spans="1:18" x14ac:dyDescent="0.25">
      <c r="A50" s="44"/>
      <c r="B50" s="28" t="str">
        <f t="shared" si="6"/>
        <v/>
      </c>
      <c r="C50" s="29"/>
      <c r="D50" s="29"/>
      <c r="E50" s="29"/>
      <c r="F50" s="29"/>
      <c r="G50" s="8"/>
      <c r="H50" s="30">
        <v>45</v>
      </c>
      <c r="I50" s="31" t="str">
        <f t="shared" si="5"/>
        <v/>
      </c>
      <c r="J50" s="31">
        <f t="shared" si="2"/>
        <v>-3</v>
      </c>
      <c r="K50" s="30">
        <f t="shared" si="3"/>
        <v>-30</v>
      </c>
      <c r="L50" s="30"/>
      <c r="M50" s="32">
        <f t="shared" si="4"/>
        <v>0</v>
      </c>
      <c r="N50" s="189" t="s">
        <v>59</v>
      </c>
      <c r="O50" s="189" t="s">
        <v>59</v>
      </c>
      <c r="P50" s="190" t="s">
        <v>59</v>
      </c>
      <c r="Q50" s="191" t="s">
        <v>59</v>
      </c>
      <c r="R50" s="191" t="s">
        <v>59</v>
      </c>
    </row>
    <row r="51" spans="1:18" x14ac:dyDescent="0.25">
      <c r="A51" s="43"/>
      <c r="B51" s="34" t="str">
        <f t="shared" si="6"/>
        <v/>
      </c>
      <c r="C51" s="35"/>
      <c r="D51" s="35"/>
      <c r="E51" s="35"/>
      <c r="F51" s="35"/>
      <c r="G51" s="8"/>
      <c r="H51" s="36">
        <v>46</v>
      </c>
      <c r="I51" s="37" t="str">
        <f t="shared" si="5"/>
        <v/>
      </c>
      <c r="J51" s="37">
        <f t="shared" si="2"/>
        <v>-3</v>
      </c>
      <c r="K51" s="36">
        <f t="shared" si="3"/>
        <v>-30</v>
      </c>
      <c r="L51" s="36"/>
      <c r="M51" s="38">
        <f t="shared" si="4"/>
        <v>0</v>
      </c>
      <c r="N51" s="189" t="s">
        <v>59</v>
      </c>
      <c r="O51" s="189" t="s">
        <v>59</v>
      </c>
      <c r="P51" s="190" t="s">
        <v>59</v>
      </c>
      <c r="Q51" s="191" t="s">
        <v>59</v>
      </c>
      <c r="R51" s="191" t="s">
        <v>59</v>
      </c>
    </row>
    <row r="52" spans="1:18" x14ac:dyDescent="0.25">
      <c r="A52" s="44"/>
      <c r="B52" s="28" t="str">
        <f t="shared" si="6"/>
        <v/>
      </c>
      <c r="C52" s="29"/>
      <c r="D52" s="29"/>
      <c r="E52" s="29"/>
      <c r="F52" s="29"/>
      <c r="G52" s="8"/>
      <c r="H52" s="30">
        <v>47</v>
      </c>
      <c r="I52" s="31" t="str">
        <f t="shared" si="5"/>
        <v/>
      </c>
      <c r="J52" s="31">
        <f t="shared" si="2"/>
        <v>-3</v>
      </c>
      <c r="K52" s="30">
        <f t="shared" si="3"/>
        <v>-30</v>
      </c>
      <c r="L52" s="30"/>
      <c r="M52" s="32">
        <f t="shared" si="4"/>
        <v>0</v>
      </c>
      <c r="N52" s="189" t="s">
        <v>59</v>
      </c>
      <c r="O52" s="189" t="s">
        <v>59</v>
      </c>
      <c r="P52" s="190" t="s">
        <v>59</v>
      </c>
      <c r="Q52" s="191" t="s">
        <v>59</v>
      </c>
      <c r="R52" s="191" t="s">
        <v>59</v>
      </c>
    </row>
    <row r="53" spans="1:18" x14ac:dyDescent="0.25">
      <c r="A53" s="43"/>
      <c r="B53" s="34" t="str">
        <f t="shared" si="6"/>
        <v/>
      </c>
      <c r="C53" s="35"/>
      <c r="D53" s="35"/>
      <c r="E53" s="35"/>
      <c r="F53" s="35"/>
      <c r="G53" s="8"/>
      <c r="H53" s="36">
        <v>48</v>
      </c>
      <c r="I53" s="37" t="str">
        <f t="shared" si="5"/>
        <v/>
      </c>
      <c r="J53" s="37">
        <f t="shared" si="2"/>
        <v>-3</v>
      </c>
      <c r="K53" s="36">
        <f t="shared" si="3"/>
        <v>-30</v>
      </c>
      <c r="L53" s="36"/>
      <c r="M53" s="38">
        <f t="shared" si="4"/>
        <v>0</v>
      </c>
      <c r="N53" s="189" t="s">
        <v>59</v>
      </c>
      <c r="O53" s="189" t="s">
        <v>59</v>
      </c>
      <c r="P53" s="190" t="s">
        <v>59</v>
      </c>
      <c r="Q53" s="191" t="s">
        <v>59</v>
      </c>
      <c r="R53" s="191" t="s">
        <v>59</v>
      </c>
    </row>
    <row r="54" spans="1:18" x14ac:dyDescent="0.25">
      <c r="A54" s="44"/>
      <c r="B54" s="28" t="str">
        <f t="shared" si="6"/>
        <v/>
      </c>
      <c r="C54" s="29"/>
      <c r="D54" s="29"/>
      <c r="E54" s="29"/>
      <c r="F54" s="29"/>
      <c r="G54" s="8"/>
      <c r="H54" s="30">
        <v>49</v>
      </c>
      <c r="I54" s="31" t="str">
        <f t="shared" si="5"/>
        <v/>
      </c>
      <c r="J54" s="31">
        <f t="shared" si="2"/>
        <v>-3</v>
      </c>
      <c r="K54" s="30">
        <f t="shared" si="3"/>
        <v>-30</v>
      </c>
      <c r="L54" s="30"/>
      <c r="M54" s="32">
        <f t="shared" si="4"/>
        <v>0</v>
      </c>
      <c r="N54" s="189" t="s">
        <v>59</v>
      </c>
      <c r="O54" s="189" t="s">
        <v>59</v>
      </c>
      <c r="P54" s="190" t="s">
        <v>59</v>
      </c>
      <c r="Q54" s="191" t="s">
        <v>59</v>
      </c>
      <c r="R54" s="191" t="s">
        <v>59</v>
      </c>
    </row>
    <row r="55" spans="1:18" x14ac:dyDescent="0.25">
      <c r="A55" s="43"/>
      <c r="B55" s="34" t="str">
        <f t="shared" si="6"/>
        <v/>
      </c>
      <c r="C55" s="35"/>
      <c r="D55" s="35"/>
      <c r="E55" s="35"/>
      <c r="F55" s="35"/>
      <c r="G55" s="8"/>
      <c r="H55" s="36">
        <v>50</v>
      </c>
      <c r="I55" s="37" t="str">
        <f t="shared" si="5"/>
        <v/>
      </c>
      <c r="J55" s="37">
        <f t="shared" si="2"/>
        <v>-3</v>
      </c>
      <c r="K55" s="36">
        <f t="shared" si="3"/>
        <v>-30</v>
      </c>
      <c r="L55" s="36"/>
      <c r="M55" s="38">
        <f t="shared" si="4"/>
        <v>0</v>
      </c>
      <c r="N55" s="189" t="s">
        <v>59</v>
      </c>
      <c r="O55" s="189" t="s">
        <v>59</v>
      </c>
      <c r="P55" s="190" t="s">
        <v>59</v>
      </c>
      <c r="Q55" s="191" t="s">
        <v>59</v>
      </c>
      <c r="R55" s="191" t="s">
        <v>59</v>
      </c>
    </row>
    <row r="56" spans="1:18" x14ac:dyDescent="0.25">
      <c r="A56" s="44"/>
      <c r="B56" s="28" t="str">
        <f t="shared" si="6"/>
        <v/>
      </c>
      <c r="C56" s="29"/>
      <c r="D56" s="29"/>
      <c r="E56" s="29"/>
      <c r="F56" s="29"/>
      <c r="G56" s="8"/>
      <c r="H56" s="30">
        <v>51</v>
      </c>
      <c r="I56" s="31" t="str">
        <f t="shared" si="5"/>
        <v/>
      </c>
      <c r="J56" s="31">
        <f t="shared" si="2"/>
        <v>-3</v>
      </c>
      <c r="K56" s="30">
        <f t="shared" si="3"/>
        <v>-30</v>
      </c>
      <c r="L56" s="30"/>
      <c r="M56" s="32">
        <f t="shared" si="4"/>
        <v>0</v>
      </c>
      <c r="N56" s="189" t="s">
        <v>59</v>
      </c>
      <c r="O56" s="189" t="s">
        <v>59</v>
      </c>
      <c r="P56" s="190" t="s">
        <v>59</v>
      </c>
      <c r="Q56" s="191" t="s">
        <v>59</v>
      </c>
      <c r="R56" s="191" t="s">
        <v>59</v>
      </c>
    </row>
    <row r="57" spans="1:18" x14ac:dyDescent="0.25">
      <c r="A57" s="43"/>
      <c r="B57" s="34" t="str">
        <f t="shared" si="6"/>
        <v/>
      </c>
      <c r="C57" s="35"/>
      <c r="D57" s="35"/>
      <c r="E57" s="35"/>
      <c r="F57" s="35"/>
      <c r="G57" s="8"/>
      <c r="H57" s="36">
        <v>52</v>
      </c>
      <c r="I57" s="37" t="str">
        <f t="shared" si="5"/>
        <v/>
      </c>
      <c r="J57" s="37">
        <f t="shared" si="2"/>
        <v>-3</v>
      </c>
      <c r="K57" s="36">
        <f t="shared" si="3"/>
        <v>-30</v>
      </c>
      <c r="L57" s="36"/>
      <c r="M57" s="38">
        <f t="shared" si="4"/>
        <v>0</v>
      </c>
      <c r="N57" s="189" t="s">
        <v>59</v>
      </c>
      <c r="O57" s="189" t="s">
        <v>59</v>
      </c>
      <c r="P57" s="190" t="s">
        <v>59</v>
      </c>
      <c r="Q57" s="191" t="s">
        <v>59</v>
      </c>
      <c r="R57" s="191" t="s">
        <v>59</v>
      </c>
    </row>
    <row r="58" spans="1:18" x14ac:dyDescent="0.25">
      <c r="A58" s="44"/>
      <c r="B58" s="28" t="str">
        <f t="shared" si="6"/>
        <v/>
      </c>
      <c r="C58" s="29"/>
      <c r="D58" s="29"/>
      <c r="E58" s="29"/>
      <c r="F58" s="29"/>
      <c r="G58" s="8"/>
      <c r="H58" s="30">
        <v>53</v>
      </c>
      <c r="I58" s="31" t="str">
        <f t="shared" si="5"/>
        <v/>
      </c>
      <c r="J58" s="31">
        <f t="shared" si="2"/>
        <v>-3</v>
      </c>
      <c r="K58" s="30">
        <f t="shared" si="3"/>
        <v>-30</v>
      </c>
      <c r="L58" s="30"/>
      <c r="M58" s="32">
        <f t="shared" si="4"/>
        <v>0</v>
      </c>
      <c r="N58" s="189" t="s">
        <v>59</v>
      </c>
      <c r="O58" s="189" t="s">
        <v>59</v>
      </c>
      <c r="P58" s="190" t="s">
        <v>59</v>
      </c>
      <c r="Q58" s="191" t="s">
        <v>59</v>
      </c>
      <c r="R58" s="191" t="s">
        <v>59</v>
      </c>
    </row>
    <row r="59" spans="1:18" x14ac:dyDescent="0.25">
      <c r="A59" s="43"/>
      <c r="B59" s="34" t="str">
        <f t="shared" si="6"/>
        <v/>
      </c>
      <c r="C59" s="35"/>
      <c r="D59" s="35"/>
      <c r="E59" s="35"/>
      <c r="F59" s="35"/>
      <c r="G59" s="8"/>
      <c r="H59" s="36">
        <v>54</v>
      </c>
      <c r="I59" s="37" t="str">
        <f t="shared" si="5"/>
        <v/>
      </c>
      <c r="J59" s="37">
        <f t="shared" si="2"/>
        <v>-3</v>
      </c>
      <c r="K59" s="36">
        <f t="shared" si="3"/>
        <v>-30</v>
      </c>
      <c r="L59" s="36"/>
      <c r="M59" s="38">
        <f t="shared" si="4"/>
        <v>0</v>
      </c>
      <c r="N59" s="189" t="s">
        <v>59</v>
      </c>
      <c r="O59" s="189" t="s">
        <v>59</v>
      </c>
      <c r="P59" s="190" t="s">
        <v>59</v>
      </c>
      <c r="Q59" s="191" t="s">
        <v>59</v>
      </c>
      <c r="R59" s="191" t="s">
        <v>59</v>
      </c>
    </row>
    <row r="60" spans="1:18" x14ac:dyDescent="0.25">
      <c r="A60" s="44"/>
      <c r="B60" s="28" t="str">
        <f t="shared" si="6"/>
        <v/>
      </c>
      <c r="C60" s="29"/>
      <c r="D60" s="29"/>
      <c r="E60" s="29"/>
      <c r="F60" s="29"/>
      <c r="G60" s="8"/>
      <c r="H60" s="30">
        <v>55</v>
      </c>
      <c r="I60" s="31" t="str">
        <f t="shared" si="5"/>
        <v/>
      </c>
      <c r="J60" s="31">
        <f t="shared" si="2"/>
        <v>-3</v>
      </c>
      <c r="K60" s="30">
        <f t="shared" si="3"/>
        <v>-30</v>
      </c>
      <c r="L60" s="30"/>
      <c r="M60" s="32">
        <f t="shared" si="4"/>
        <v>0</v>
      </c>
      <c r="N60" s="189" t="s">
        <v>59</v>
      </c>
      <c r="O60" s="189" t="s">
        <v>59</v>
      </c>
      <c r="P60" s="190" t="s">
        <v>59</v>
      </c>
      <c r="Q60" s="191" t="s">
        <v>59</v>
      </c>
      <c r="R60" s="191" t="s">
        <v>59</v>
      </c>
    </row>
    <row r="61" spans="1:18" x14ac:dyDescent="0.25">
      <c r="A61" s="43"/>
      <c r="B61" s="34" t="str">
        <f t="shared" si="6"/>
        <v/>
      </c>
      <c r="C61" s="35"/>
      <c r="D61" s="35"/>
      <c r="E61" s="35"/>
      <c r="F61" s="35"/>
      <c r="G61" s="8"/>
      <c r="H61" s="36">
        <v>56</v>
      </c>
      <c r="I61" s="37" t="str">
        <f t="shared" si="5"/>
        <v/>
      </c>
      <c r="J61" s="37">
        <f t="shared" si="2"/>
        <v>-3</v>
      </c>
      <c r="K61" s="36">
        <f t="shared" si="3"/>
        <v>-30</v>
      </c>
      <c r="L61" s="36"/>
      <c r="M61" s="38">
        <f t="shared" si="4"/>
        <v>0</v>
      </c>
      <c r="N61" s="189" t="s">
        <v>59</v>
      </c>
      <c r="O61" s="189" t="s">
        <v>59</v>
      </c>
      <c r="P61" s="190" t="s">
        <v>59</v>
      </c>
      <c r="Q61" s="191" t="s">
        <v>59</v>
      </c>
      <c r="R61" s="191" t="s">
        <v>59</v>
      </c>
    </row>
    <row r="62" spans="1:18" x14ac:dyDescent="0.25">
      <c r="A62" s="44"/>
      <c r="B62" s="28" t="str">
        <f t="shared" si="6"/>
        <v/>
      </c>
      <c r="C62" s="29"/>
      <c r="D62" s="29"/>
      <c r="E62" s="29"/>
      <c r="F62" s="29"/>
      <c r="G62" s="8"/>
      <c r="H62" s="30">
        <v>57</v>
      </c>
      <c r="I62" s="31" t="str">
        <f t="shared" si="5"/>
        <v/>
      </c>
      <c r="J62" s="31">
        <f t="shared" si="2"/>
        <v>-3</v>
      </c>
      <c r="K62" s="30">
        <f t="shared" si="3"/>
        <v>-30</v>
      </c>
      <c r="L62" s="30"/>
      <c r="M62" s="32">
        <f t="shared" si="4"/>
        <v>0</v>
      </c>
      <c r="N62" s="189" t="s">
        <v>59</v>
      </c>
      <c r="O62" s="189" t="s">
        <v>59</v>
      </c>
      <c r="P62" s="190" t="s">
        <v>59</v>
      </c>
      <c r="Q62" s="191" t="s">
        <v>59</v>
      </c>
      <c r="R62" s="191" t="s">
        <v>59</v>
      </c>
    </row>
    <row r="63" spans="1:18" x14ac:dyDescent="0.25">
      <c r="A63" s="43"/>
      <c r="B63" s="34" t="str">
        <f t="shared" si="6"/>
        <v/>
      </c>
      <c r="C63" s="35"/>
      <c r="D63" s="35"/>
      <c r="E63" s="35"/>
      <c r="F63" s="35"/>
      <c r="G63" s="8"/>
      <c r="H63" s="36">
        <v>58</v>
      </c>
      <c r="I63" s="37" t="str">
        <f t="shared" si="5"/>
        <v/>
      </c>
      <c r="J63" s="37">
        <f t="shared" si="2"/>
        <v>-3</v>
      </c>
      <c r="K63" s="36">
        <f t="shared" si="3"/>
        <v>-30</v>
      </c>
      <c r="L63" s="36"/>
      <c r="M63" s="38">
        <f t="shared" si="4"/>
        <v>0</v>
      </c>
      <c r="N63" s="189" t="s">
        <v>59</v>
      </c>
      <c r="O63" s="189" t="s">
        <v>59</v>
      </c>
      <c r="P63" s="190" t="s">
        <v>59</v>
      </c>
      <c r="Q63" s="191" t="s">
        <v>59</v>
      </c>
      <c r="R63" s="191" t="s">
        <v>59</v>
      </c>
    </row>
    <row r="64" spans="1:18" x14ac:dyDescent="0.25">
      <c r="A64" s="44"/>
      <c r="B64" s="28" t="str">
        <f t="shared" si="6"/>
        <v/>
      </c>
      <c r="C64" s="29"/>
      <c r="D64" s="29"/>
      <c r="E64" s="29"/>
      <c r="F64" s="29"/>
      <c r="G64" s="8"/>
      <c r="H64" s="30">
        <v>59</v>
      </c>
      <c r="I64" s="31" t="str">
        <f t="shared" si="5"/>
        <v/>
      </c>
      <c r="J64" s="31">
        <f t="shared" si="2"/>
        <v>-3</v>
      </c>
      <c r="K64" s="30">
        <f t="shared" si="3"/>
        <v>-30</v>
      </c>
      <c r="L64" s="30"/>
      <c r="M64" s="32">
        <f t="shared" si="4"/>
        <v>0</v>
      </c>
      <c r="N64" s="189" t="s">
        <v>59</v>
      </c>
      <c r="O64" s="189" t="s">
        <v>59</v>
      </c>
      <c r="P64" s="190" t="s">
        <v>59</v>
      </c>
      <c r="Q64" s="191" t="s">
        <v>59</v>
      </c>
      <c r="R64" s="191" t="s">
        <v>59</v>
      </c>
    </row>
    <row r="65" spans="1:18" x14ac:dyDescent="0.25">
      <c r="A65" s="43"/>
      <c r="B65" s="34" t="str">
        <f t="shared" si="6"/>
        <v/>
      </c>
      <c r="C65" s="35"/>
      <c r="D65" s="35"/>
      <c r="E65" s="35"/>
      <c r="F65" s="35"/>
      <c r="G65" s="8"/>
      <c r="H65" s="36">
        <v>60</v>
      </c>
      <c r="I65" s="37" t="str">
        <f t="shared" si="5"/>
        <v/>
      </c>
      <c r="J65" s="37">
        <f t="shared" si="2"/>
        <v>-3</v>
      </c>
      <c r="K65" s="36">
        <f t="shared" si="3"/>
        <v>-30</v>
      </c>
      <c r="L65" s="36"/>
      <c r="M65" s="38">
        <f t="shared" si="4"/>
        <v>0</v>
      </c>
      <c r="N65" s="189" t="s">
        <v>59</v>
      </c>
      <c r="O65" s="189" t="s">
        <v>59</v>
      </c>
      <c r="P65" s="190" t="s">
        <v>59</v>
      </c>
      <c r="Q65" s="191" t="s">
        <v>59</v>
      </c>
      <c r="R65" s="191" t="s">
        <v>59</v>
      </c>
    </row>
    <row r="66" spans="1:18" x14ac:dyDescent="0.25">
      <c r="A66" s="51"/>
      <c r="B66" s="28"/>
      <c r="G66" s="8"/>
      <c r="H66" s="30">
        <v>61</v>
      </c>
      <c r="I66" s="31" t="str">
        <f t="shared" si="5"/>
        <v/>
      </c>
      <c r="J66" s="31">
        <f t="shared" si="2"/>
        <v>-3</v>
      </c>
      <c r="K66" s="30">
        <f t="shared" si="3"/>
        <v>-30</v>
      </c>
      <c r="L66" s="30"/>
      <c r="M66" s="32">
        <f t="shared" si="4"/>
        <v>0</v>
      </c>
      <c r="N66" s="189" t="s">
        <v>59</v>
      </c>
      <c r="O66" s="189" t="s">
        <v>59</v>
      </c>
      <c r="P66" s="190" t="s">
        <v>59</v>
      </c>
      <c r="Q66" s="191" t="s">
        <v>59</v>
      </c>
      <c r="R66" s="191" t="s">
        <v>59</v>
      </c>
    </row>
    <row r="67" spans="1:18" x14ac:dyDescent="0.25">
      <c r="A67" s="51"/>
      <c r="B67" s="34"/>
      <c r="G67" s="8"/>
      <c r="H67" s="30">
        <v>62</v>
      </c>
      <c r="I67" s="31" t="str">
        <f t="shared" si="5"/>
        <v/>
      </c>
      <c r="J67" s="31">
        <f t="shared" si="2"/>
        <v>-3</v>
      </c>
      <c r="K67" s="30">
        <f t="shared" si="3"/>
        <v>-30</v>
      </c>
      <c r="L67" s="30"/>
      <c r="M67" s="32">
        <f t="shared" si="4"/>
        <v>0</v>
      </c>
      <c r="N67" s="189" t="s">
        <v>59</v>
      </c>
      <c r="O67" s="189" t="s">
        <v>59</v>
      </c>
      <c r="P67" s="190" t="s">
        <v>59</v>
      </c>
      <c r="Q67" s="191" t="s">
        <v>59</v>
      </c>
      <c r="R67" s="191" t="s">
        <v>59</v>
      </c>
    </row>
    <row r="68" spans="1:18" x14ac:dyDescent="0.25">
      <c r="A68" s="51"/>
      <c r="B68" s="28"/>
      <c r="G68" s="8"/>
      <c r="H68" s="30">
        <v>63</v>
      </c>
      <c r="I68" s="31" t="str">
        <f t="shared" si="5"/>
        <v/>
      </c>
      <c r="J68" s="31">
        <f t="shared" si="2"/>
        <v>-3</v>
      </c>
      <c r="K68" s="30">
        <f t="shared" si="3"/>
        <v>-30</v>
      </c>
      <c r="L68" s="30"/>
      <c r="M68" s="32">
        <f t="shared" si="4"/>
        <v>0</v>
      </c>
      <c r="N68" s="189" t="s">
        <v>59</v>
      </c>
      <c r="O68" s="189" t="s">
        <v>59</v>
      </c>
      <c r="P68" s="190" t="s">
        <v>59</v>
      </c>
      <c r="Q68" s="191" t="s">
        <v>59</v>
      </c>
      <c r="R68" s="191" t="s">
        <v>59</v>
      </c>
    </row>
    <row r="69" spans="1:18" x14ac:dyDescent="0.25">
      <c r="A69" s="51"/>
      <c r="B69" s="34"/>
      <c r="G69" s="8"/>
      <c r="H69" s="30">
        <v>64</v>
      </c>
      <c r="I69" s="31" t="str">
        <f t="shared" si="5"/>
        <v/>
      </c>
      <c r="J69" s="31">
        <f t="shared" si="2"/>
        <v>-3</v>
      </c>
      <c r="K69" s="30">
        <f t="shared" si="3"/>
        <v>-30</v>
      </c>
      <c r="L69" s="30"/>
      <c r="M69" s="32">
        <f t="shared" si="4"/>
        <v>0</v>
      </c>
      <c r="N69" s="189" t="s">
        <v>59</v>
      </c>
      <c r="O69" s="189" t="s">
        <v>59</v>
      </c>
      <c r="P69" s="190" t="s">
        <v>59</v>
      </c>
      <c r="Q69" s="191" t="s">
        <v>59</v>
      </c>
      <c r="R69" s="191" t="s">
        <v>59</v>
      </c>
    </row>
    <row r="70" spans="1:18" x14ac:dyDescent="0.25">
      <c r="A70" s="51"/>
      <c r="G70" s="8"/>
      <c r="H70" s="30">
        <v>65</v>
      </c>
      <c r="I70" s="31" t="str">
        <f t="shared" ref="I70:I133" si="7">IF(H70&lt;$H$2+1,($I$2-($I$2-1)*(LOG(H70)/LOG($H$2))),"")</f>
        <v/>
      </c>
      <c r="J70" s="31">
        <f t="shared" si="2"/>
        <v>-4</v>
      </c>
      <c r="K70" s="30">
        <f t="shared" ref="K70:K133" si="8">J70*$J$2</f>
        <v>-40</v>
      </c>
      <c r="L70" s="30"/>
      <c r="M70" s="32">
        <f t="shared" ref="M70:M133" si="9">IF(I70&lt;&gt;"",K70+I70+L70,0)</f>
        <v>0</v>
      </c>
      <c r="N70" s="189" t="s">
        <v>59</v>
      </c>
      <c r="O70" s="189" t="s">
        <v>59</v>
      </c>
      <c r="P70" s="190" t="s">
        <v>59</v>
      </c>
      <c r="Q70" s="191" t="s">
        <v>59</v>
      </c>
      <c r="R70" s="191" t="s">
        <v>59</v>
      </c>
    </row>
    <row r="71" spans="1:18" x14ac:dyDescent="0.25">
      <c r="A71" s="51"/>
      <c r="G71" s="8"/>
      <c r="H71" s="30">
        <v>66</v>
      </c>
      <c r="I71" s="31" t="str">
        <f t="shared" si="7"/>
        <v/>
      </c>
      <c r="J71" s="31">
        <f t="shared" ref="J71:J134" si="10">INT(LOG($H$2,2))-ROUNDUP(LOG(H71,2),0)+IF(OR($H$2=1,$H$2=2,$H$2=4,$H$2=8,$H$2=16,$H$2=32,$H$2=64,$H$2=128,$H$2=256),0,1)</f>
        <v>-4</v>
      </c>
      <c r="K71" s="30">
        <f t="shared" si="8"/>
        <v>-40</v>
      </c>
      <c r="L71" s="30"/>
      <c r="M71" s="32">
        <f t="shared" si="9"/>
        <v>0</v>
      </c>
      <c r="N71" s="189" t="s">
        <v>59</v>
      </c>
      <c r="O71" s="189" t="s">
        <v>59</v>
      </c>
      <c r="P71" s="190" t="s">
        <v>59</v>
      </c>
      <c r="Q71" s="191" t="s">
        <v>59</v>
      </c>
      <c r="R71" s="191" t="s">
        <v>59</v>
      </c>
    </row>
    <row r="72" spans="1:18" x14ac:dyDescent="0.25">
      <c r="A72" s="51"/>
      <c r="G72" s="8"/>
      <c r="H72" s="30">
        <v>67</v>
      </c>
      <c r="I72" s="31" t="str">
        <f t="shared" si="7"/>
        <v/>
      </c>
      <c r="J72" s="31">
        <f t="shared" si="10"/>
        <v>-4</v>
      </c>
      <c r="K72" s="30">
        <f t="shared" si="8"/>
        <v>-40</v>
      </c>
      <c r="L72" s="30"/>
      <c r="M72" s="32">
        <f t="shared" si="9"/>
        <v>0</v>
      </c>
      <c r="N72" s="189" t="s">
        <v>59</v>
      </c>
      <c r="O72" s="189" t="s">
        <v>59</v>
      </c>
      <c r="P72" s="190" t="s">
        <v>59</v>
      </c>
      <c r="Q72" s="191" t="s">
        <v>59</v>
      </c>
      <c r="R72" s="191" t="s">
        <v>59</v>
      </c>
    </row>
    <row r="73" spans="1:18" x14ac:dyDescent="0.25">
      <c r="A73" s="51"/>
      <c r="G73" s="8"/>
      <c r="H73" s="30">
        <v>68</v>
      </c>
      <c r="I73" s="31" t="str">
        <f t="shared" si="7"/>
        <v/>
      </c>
      <c r="J73" s="31">
        <f t="shared" si="10"/>
        <v>-4</v>
      </c>
      <c r="K73" s="30">
        <f t="shared" si="8"/>
        <v>-40</v>
      </c>
      <c r="L73" s="30"/>
      <c r="M73" s="32">
        <f t="shared" si="9"/>
        <v>0</v>
      </c>
      <c r="N73" s="189" t="s">
        <v>59</v>
      </c>
      <c r="O73" s="189" t="s">
        <v>59</v>
      </c>
      <c r="P73" s="190" t="s">
        <v>59</v>
      </c>
      <c r="Q73" s="191" t="s">
        <v>59</v>
      </c>
      <c r="R73" s="191" t="s">
        <v>59</v>
      </c>
    </row>
    <row r="74" spans="1:18" x14ac:dyDescent="0.25">
      <c r="A74" s="51"/>
      <c r="G74" s="8"/>
      <c r="H74" s="30">
        <v>69</v>
      </c>
      <c r="I74" s="31" t="str">
        <f t="shared" si="7"/>
        <v/>
      </c>
      <c r="J74" s="31">
        <f t="shared" si="10"/>
        <v>-4</v>
      </c>
      <c r="K74" s="30">
        <f t="shared" si="8"/>
        <v>-40</v>
      </c>
      <c r="L74" s="30"/>
      <c r="M74" s="32">
        <f t="shared" si="9"/>
        <v>0</v>
      </c>
      <c r="N74" s="189" t="s">
        <v>59</v>
      </c>
      <c r="O74" s="189" t="s">
        <v>59</v>
      </c>
      <c r="P74" s="190" t="s">
        <v>59</v>
      </c>
      <c r="Q74" s="191" t="s">
        <v>59</v>
      </c>
      <c r="R74" s="191" t="s">
        <v>59</v>
      </c>
    </row>
    <row r="75" spans="1:18" x14ac:dyDescent="0.25">
      <c r="A75" s="51"/>
      <c r="G75" s="8"/>
      <c r="H75" s="30">
        <v>70</v>
      </c>
      <c r="I75" s="31" t="str">
        <f t="shared" si="7"/>
        <v/>
      </c>
      <c r="J75" s="31">
        <f t="shared" si="10"/>
        <v>-4</v>
      </c>
      <c r="K75" s="30">
        <f t="shared" si="8"/>
        <v>-40</v>
      </c>
      <c r="L75" s="30"/>
      <c r="M75" s="32">
        <f t="shared" si="9"/>
        <v>0</v>
      </c>
      <c r="N75" s="189" t="s">
        <v>59</v>
      </c>
      <c r="O75" s="189" t="s">
        <v>59</v>
      </c>
      <c r="P75" s="190" t="s">
        <v>59</v>
      </c>
      <c r="Q75" s="191" t="s">
        <v>59</v>
      </c>
      <c r="R75" s="191" t="s">
        <v>59</v>
      </c>
    </row>
    <row r="76" spans="1:18" x14ac:dyDescent="0.25">
      <c r="A76" s="51"/>
      <c r="G76" s="8"/>
      <c r="H76" s="30">
        <v>71</v>
      </c>
      <c r="I76" s="31" t="str">
        <f t="shared" si="7"/>
        <v/>
      </c>
      <c r="J76" s="31">
        <f t="shared" si="10"/>
        <v>-4</v>
      </c>
      <c r="K76" s="30">
        <f t="shared" si="8"/>
        <v>-40</v>
      </c>
      <c r="L76" s="30"/>
      <c r="M76" s="32">
        <f t="shared" si="9"/>
        <v>0</v>
      </c>
      <c r="N76" s="189" t="s">
        <v>59</v>
      </c>
      <c r="O76" s="189" t="s">
        <v>59</v>
      </c>
      <c r="P76" s="190" t="s">
        <v>59</v>
      </c>
      <c r="Q76" s="191" t="s">
        <v>59</v>
      </c>
      <c r="R76" s="191" t="s">
        <v>59</v>
      </c>
    </row>
    <row r="77" spans="1:18" x14ac:dyDescent="0.25">
      <c r="A77" s="51"/>
      <c r="G77" s="8"/>
      <c r="H77" s="30">
        <v>72</v>
      </c>
      <c r="I77" s="31" t="str">
        <f t="shared" si="7"/>
        <v/>
      </c>
      <c r="J77" s="31">
        <f t="shared" si="10"/>
        <v>-4</v>
      </c>
      <c r="K77" s="30">
        <f t="shared" si="8"/>
        <v>-40</v>
      </c>
      <c r="L77" s="30"/>
      <c r="M77" s="32">
        <f t="shared" si="9"/>
        <v>0</v>
      </c>
      <c r="N77" s="189" t="s">
        <v>59</v>
      </c>
      <c r="O77" s="189" t="s">
        <v>59</v>
      </c>
      <c r="P77" s="190" t="s">
        <v>59</v>
      </c>
      <c r="Q77" s="191" t="s">
        <v>59</v>
      </c>
      <c r="R77" s="191" t="s">
        <v>59</v>
      </c>
    </row>
    <row r="78" spans="1:18" x14ac:dyDescent="0.25">
      <c r="A78" s="51"/>
      <c r="G78" s="8"/>
      <c r="H78" s="30">
        <v>73</v>
      </c>
      <c r="I78" s="31" t="str">
        <f t="shared" si="7"/>
        <v/>
      </c>
      <c r="J78" s="31">
        <f t="shared" si="10"/>
        <v>-4</v>
      </c>
      <c r="K78" s="30">
        <f t="shared" si="8"/>
        <v>-40</v>
      </c>
      <c r="L78" s="30"/>
      <c r="M78" s="32">
        <f t="shared" si="9"/>
        <v>0</v>
      </c>
      <c r="N78" s="189" t="s">
        <v>59</v>
      </c>
      <c r="O78" s="189" t="s">
        <v>59</v>
      </c>
      <c r="P78" s="190" t="s">
        <v>59</v>
      </c>
      <c r="Q78" s="191" t="s">
        <v>59</v>
      </c>
      <c r="R78" s="191" t="s">
        <v>59</v>
      </c>
    </row>
    <row r="79" spans="1:18" x14ac:dyDescent="0.25">
      <c r="A79" s="51"/>
      <c r="G79" s="8"/>
      <c r="H79" s="30">
        <v>74</v>
      </c>
      <c r="I79" s="31" t="str">
        <f t="shared" si="7"/>
        <v/>
      </c>
      <c r="J79" s="31">
        <f t="shared" si="10"/>
        <v>-4</v>
      </c>
      <c r="K79" s="30">
        <f t="shared" si="8"/>
        <v>-40</v>
      </c>
      <c r="L79" s="30"/>
      <c r="M79" s="32">
        <f t="shared" si="9"/>
        <v>0</v>
      </c>
      <c r="N79" s="189" t="s">
        <v>59</v>
      </c>
      <c r="O79" s="189" t="s">
        <v>59</v>
      </c>
      <c r="P79" s="190" t="s">
        <v>59</v>
      </c>
      <c r="Q79" s="191" t="s">
        <v>59</v>
      </c>
      <c r="R79" s="191" t="s">
        <v>59</v>
      </c>
    </row>
    <row r="80" spans="1:18" x14ac:dyDescent="0.25">
      <c r="A80" s="51"/>
      <c r="G80" s="8"/>
      <c r="H80" s="30">
        <v>75</v>
      </c>
      <c r="I80" s="31" t="str">
        <f t="shared" si="7"/>
        <v/>
      </c>
      <c r="J80" s="31">
        <f t="shared" si="10"/>
        <v>-4</v>
      </c>
      <c r="K80" s="30">
        <f t="shared" si="8"/>
        <v>-40</v>
      </c>
      <c r="L80" s="30"/>
      <c r="M80" s="32">
        <f t="shared" si="9"/>
        <v>0</v>
      </c>
      <c r="N80" s="189" t="s">
        <v>59</v>
      </c>
      <c r="O80" s="189" t="s">
        <v>59</v>
      </c>
      <c r="P80" s="190" t="s">
        <v>59</v>
      </c>
      <c r="Q80" s="191" t="s">
        <v>59</v>
      </c>
      <c r="R80" s="191" t="s">
        <v>59</v>
      </c>
    </row>
    <row r="81" spans="1:18" x14ac:dyDescent="0.25">
      <c r="A81" s="51"/>
      <c r="G81" s="8"/>
      <c r="H81" s="30">
        <v>76</v>
      </c>
      <c r="I81" s="31" t="str">
        <f t="shared" si="7"/>
        <v/>
      </c>
      <c r="J81" s="31">
        <f t="shared" si="10"/>
        <v>-4</v>
      </c>
      <c r="K81" s="30">
        <f t="shared" si="8"/>
        <v>-40</v>
      </c>
      <c r="L81" s="30"/>
      <c r="M81" s="32">
        <f t="shared" si="9"/>
        <v>0</v>
      </c>
      <c r="N81" s="189" t="s">
        <v>59</v>
      </c>
      <c r="O81" s="189" t="s">
        <v>59</v>
      </c>
      <c r="P81" s="190" t="s">
        <v>59</v>
      </c>
      <c r="Q81" s="191" t="s">
        <v>59</v>
      </c>
      <c r="R81" s="191" t="s">
        <v>59</v>
      </c>
    </row>
    <row r="82" spans="1:18" x14ac:dyDescent="0.25">
      <c r="A82" s="51"/>
      <c r="G82" s="8"/>
      <c r="H82" s="30">
        <v>77</v>
      </c>
      <c r="I82" s="31" t="str">
        <f t="shared" si="7"/>
        <v/>
      </c>
      <c r="J82" s="31">
        <f t="shared" si="10"/>
        <v>-4</v>
      </c>
      <c r="K82" s="30">
        <f t="shared" si="8"/>
        <v>-40</v>
      </c>
      <c r="L82" s="30"/>
      <c r="M82" s="32">
        <f t="shared" si="9"/>
        <v>0</v>
      </c>
      <c r="N82" s="189" t="s">
        <v>59</v>
      </c>
      <c r="O82" s="189" t="s">
        <v>59</v>
      </c>
      <c r="P82" s="190" t="s">
        <v>59</v>
      </c>
      <c r="Q82" s="191" t="s">
        <v>59</v>
      </c>
      <c r="R82" s="191" t="s">
        <v>59</v>
      </c>
    </row>
    <row r="83" spans="1:18" x14ac:dyDescent="0.25">
      <c r="A83" s="51"/>
      <c r="G83" s="8"/>
      <c r="H83" s="30">
        <v>78</v>
      </c>
      <c r="I83" s="31" t="str">
        <f t="shared" si="7"/>
        <v/>
      </c>
      <c r="J83" s="31">
        <f t="shared" si="10"/>
        <v>-4</v>
      </c>
      <c r="K83" s="30">
        <f t="shared" si="8"/>
        <v>-40</v>
      </c>
      <c r="L83" s="30"/>
      <c r="M83" s="32">
        <f t="shared" si="9"/>
        <v>0</v>
      </c>
      <c r="N83" s="189" t="s">
        <v>59</v>
      </c>
      <c r="O83" s="189" t="s">
        <v>59</v>
      </c>
      <c r="P83" s="190" t="s">
        <v>59</v>
      </c>
      <c r="Q83" s="191" t="s">
        <v>59</v>
      </c>
      <c r="R83" s="191" t="s">
        <v>59</v>
      </c>
    </row>
    <row r="84" spans="1:18" x14ac:dyDescent="0.25">
      <c r="A84" s="51"/>
      <c r="G84" s="8"/>
      <c r="H84" s="30">
        <v>79</v>
      </c>
      <c r="I84" s="31" t="str">
        <f t="shared" si="7"/>
        <v/>
      </c>
      <c r="J84" s="31">
        <f t="shared" si="10"/>
        <v>-4</v>
      </c>
      <c r="K84" s="30">
        <f t="shared" si="8"/>
        <v>-40</v>
      </c>
      <c r="L84" s="30"/>
      <c r="M84" s="32">
        <f t="shared" si="9"/>
        <v>0</v>
      </c>
      <c r="N84" s="189" t="s">
        <v>59</v>
      </c>
      <c r="O84" s="189" t="s">
        <v>59</v>
      </c>
      <c r="P84" s="190" t="s">
        <v>59</v>
      </c>
      <c r="Q84" s="191" t="s">
        <v>59</v>
      </c>
      <c r="R84" s="191" t="s">
        <v>59</v>
      </c>
    </row>
    <row r="85" spans="1:18" x14ac:dyDescent="0.25">
      <c r="A85" s="51"/>
      <c r="G85" s="8"/>
      <c r="H85" s="30">
        <v>80</v>
      </c>
      <c r="I85" s="31" t="str">
        <f t="shared" si="7"/>
        <v/>
      </c>
      <c r="J85" s="31">
        <f t="shared" si="10"/>
        <v>-4</v>
      </c>
      <c r="K85" s="30">
        <f t="shared" si="8"/>
        <v>-40</v>
      </c>
      <c r="L85" s="30"/>
      <c r="M85" s="32">
        <f t="shared" si="9"/>
        <v>0</v>
      </c>
      <c r="N85" s="189" t="s">
        <v>59</v>
      </c>
      <c r="O85" s="189" t="s">
        <v>59</v>
      </c>
      <c r="P85" s="190" t="s">
        <v>59</v>
      </c>
      <c r="Q85" s="191" t="s">
        <v>59</v>
      </c>
      <c r="R85" s="191" t="s">
        <v>59</v>
      </c>
    </row>
    <row r="86" spans="1:18" x14ac:dyDescent="0.25">
      <c r="A86" s="51"/>
      <c r="G86" s="8"/>
      <c r="H86" s="30">
        <v>81</v>
      </c>
      <c r="I86" s="31" t="str">
        <f t="shared" si="7"/>
        <v/>
      </c>
      <c r="J86" s="31">
        <f t="shared" si="10"/>
        <v>-4</v>
      </c>
      <c r="K86" s="30">
        <f t="shared" si="8"/>
        <v>-40</v>
      </c>
      <c r="L86" s="30"/>
      <c r="M86" s="32">
        <f t="shared" si="9"/>
        <v>0</v>
      </c>
      <c r="N86" s="189" t="s">
        <v>59</v>
      </c>
      <c r="O86" s="189" t="s">
        <v>59</v>
      </c>
      <c r="P86" s="190" t="s">
        <v>59</v>
      </c>
      <c r="Q86" s="191" t="s">
        <v>59</v>
      </c>
      <c r="R86" s="191" t="s">
        <v>59</v>
      </c>
    </row>
    <row r="87" spans="1:18" x14ac:dyDescent="0.25">
      <c r="A87" s="51"/>
      <c r="G87" s="8"/>
      <c r="H87" s="30">
        <v>82</v>
      </c>
      <c r="I87" s="31" t="str">
        <f t="shared" si="7"/>
        <v/>
      </c>
      <c r="J87" s="31">
        <f t="shared" si="10"/>
        <v>-4</v>
      </c>
      <c r="K87" s="30">
        <f t="shared" si="8"/>
        <v>-40</v>
      </c>
      <c r="L87" s="30"/>
      <c r="M87" s="32">
        <f t="shared" si="9"/>
        <v>0</v>
      </c>
      <c r="N87" s="189" t="s">
        <v>59</v>
      </c>
      <c r="O87" s="189" t="s">
        <v>59</v>
      </c>
      <c r="P87" s="190" t="s">
        <v>59</v>
      </c>
      <c r="Q87" s="191" t="s">
        <v>59</v>
      </c>
      <c r="R87" s="191" t="s">
        <v>59</v>
      </c>
    </row>
    <row r="88" spans="1:18" x14ac:dyDescent="0.25">
      <c r="A88" s="51"/>
      <c r="G88" s="8"/>
      <c r="H88" s="30">
        <v>83</v>
      </c>
      <c r="I88" s="31" t="str">
        <f t="shared" si="7"/>
        <v/>
      </c>
      <c r="J88" s="31">
        <f t="shared" si="10"/>
        <v>-4</v>
      </c>
      <c r="K88" s="30">
        <f t="shared" si="8"/>
        <v>-40</v>
      </c>
      <c r="L88" s="30"/>
      <c r="M88" s="32">
        <f t="shared" si="9"/>
        <v>0</v>
      </c>
      <c r="N88" s="189" t="s">
        <v>59</v>
      </c>
      <c r="O88" s="189" t="s">
        <v>59</v>
      </c>
      <c r="P88" s="190" t="s">
        <v>59</v>
      </c>
      <c r="Q88" s="191" t="s">
        <v>59</v>
      </c>
      <c r="R88" s="191" t="s">
        <v>59</v>
      </c>
    </row>
    <row r="89" spans="1:18" x14ac:dyDescent="0.25">
      <c r="A89" s="51"/>
      <c r="G89" s="8"/>
      <c r="H89" s="30">
        <v>84</v>
      </c>
      <c r="I89" s="31" t="str">
        <f t="shared" si="7"/>
        <v/>
      </c>
      <c r="J89" s="31">
        <f t="shared" si="10"/>
        <v>-4</v>
      </c>
      <c r="K89" s="30">
        <f t="shared" si="8"/>
        <v>-40</v>
      </c>
      <c r="L89" s="30"/>
      <c r="M89" s="32">
        <f t="shared" si="9"/>
        <v>0</v>
      </c>
      <c r="N89" s="189" t="s">
        <v>59</v>
      </c>
      <c r="O89" s="189" t="s">
        <v>59</v>
      </c>
      <c r="P89" s="190" t="s">
        <v>59</v>
      </c>
      <c r="Q89" s="191" t="s">
        <v>59</v>
      </c>
      <c r="R89" s="191" t="s">
        <v>59</v>
      </c>
    </row>
    <row r="90" spans="1:18" x14ac:dyDescent="0.25">
      <c r="A90" s="51"/>
      <c r="G90" s="8"/>
      <c r="H90" s="30">
        <v>85</v>
      </c>
      <c r="I90" s="31" t="str">
        <f t="shared" si="7"/>
        <v/>
      </c>
      <c r="J90" s="31">
        <f t="shared" si="10"/>
        <v>-4</v>
      </c>
      <c r="K90" s="30">
        <f t="shared" si="8"/>
        <v>-40</v>
      </c>
      <c r="L90" s="30"/>
      <c r="M90" s="32">
        <f t="shared" si="9"/>
        <v>0</v>
      </c>
      <c r="N90" s="189" t="s">
        <v>59</v>
      </c>
      <c r="O90" s="189" t="s">
        <v>59</v>
      </c>
      <c r="P90" s="190" t="s">
        <v>59</v>
      </c>
      <c r="Q90" s="191" t="s">
        <v>59</v>
      </c>
      <c r="R90" s="191" t="s">
        <v>59</v>
      </c>
    </row>
    <row r="91" spans="1:18" x14ac:dyDescent="0.25">
      <c r="A91" s="51"/>
      <c r="G91" s="8"/>
      <c r="H91" s="30">
        <v>86</v>
      </c>
      <c r="I91" s="31" t="str">
        <f t="shared" si="7"/>
        <v/>
      </c>
      <c r="J91" s="31">
        <f t="shared" si="10"/>
        <v>-4</v>
      </c>
      <c r="K91" s="30">
        <f t="shared" si="8"/>
        <v>-40</v>
      </c>
      <c r="L91" s="30"/>
      <c r="M91" s="32">
        <f t="shared" si="9"/>
        <v>0</v>
      </c>
      <c r="N91" s="189" t="s">
        <v>59</v>
      </c>
      <c r="O91" s="189" t="s">
        <v>59</v>
      </c>
      <c r="P91" s="190" t="s">
        <v>59</v>
      </c>
      <c r="Q91" s="191" t="s">
        <v>59</v>
      </c>
      <c r="R91" s="191" t="s">
        <v>59</v>
      </c>
    </row>
    <row r="92" spans="1:18" x14ac:dyDescent="0.25">
      <c r="A92" s="51"/>
      <c r="G92" s="8"/>
      <c r="H92" s="30">
        <v>87</v>
      </c>
      <c r="I92" s="31" t="str">
        <f t="shared" si="7"/>
        <v/>
      </c>
      <c r="J92" s="31">
        <f t="shared" si="10"/>
        <v>-4</v>
      </c>
      <c r="K92" s="30">
        <f t="shared" si="8"/>
        <v>-40</v>
      </c>
      <c r="L92" s="30"/>
      <c r="M92" s="32">
        <f t="shared" si="9"/>
        <v>0</v>
      </c>
      <c r="N92" s="189" t="s">
        <v>59</v>
      </c>
      <c r="O92" s="189" t="s">
        <v>59</v>
      </c>
      <c r="P92" s="190" t="s">
        <v>59</v>
      </c>
      <c r="Q92" s="191" t="s">
        <v>59</v>
      </c>
      <c r="R92" s="191" t="s">
        <v>59</v>
      </c>
    </row>
    <row r="93" spans="1:18" x14ac:dyDescent="0.25">
      <c r="A93" s="51"/>
      <c r="G93" s="8"/>
      <c r="H93" s="30">
        <v>88</v>
      </c>
      <c r="I93" s="31" t="str">
        <f t="shared" si="7"/>
        <v/>
      </c>
      <c r="J93" s="31">
        <f t="shared" si="10"/>
        <v>-4</v>
      </c>
      <c r="K93" s="30">
        <f t="shared" si="8"/>
        <v>-40</v>
      </c>
      <c r="L93" s="30"/>
      <c r="M93" s="32">
        <f t="shared" si="9"/>
        <v>0</v>
      </c>
      <c r="N93" s="189" t="s">
        <v>59</v>
      </c>
      <c r="O93" s="189" t="s">
        <v>59</v>
      </c>
      <c r="P93" s="190" t="s">
        <v>59</v>
      </c>
      <c r="Q93" s="191" t="s">
        <v>59</v>
      </c>
      <c r="R93" s="191" t="s">
        <v>59</v>
      </c>
    </row>
    <row r="94" spans="1:18" x14ac:dyDescent="0.25">
      <c r="A94" s="51"/>
      <c r="G94" s="8"/>
      <c r="H94" s="30">
        <v>89</v>
      </c>
      <c r="I94" s="31" t="str">
        <f t="shared" si="7"/>
        <v/>
      </c>
      <c r="J94" s="31">
        <f t="shared" si="10"/>
        <v>-4</v>
      </c>
      <c r="K94" s="30">
        <f t="shared" si="8"/>
        <v>-40</v>
      </c>
      <c r="L94" s="30"/>
      <c r="M94" s="32">
        <f t="shared" si="9"/>
        <v>0</v>
      </c>
      <c r="N94" s="189" t="s">
        <v>59</v>
      </c>
      <c r="O94" s="189" t="s">
        <v>59</v>
      </c>
      <c r="P94" s="190" t="s">
        <v>59</v>
      </c>
      <c r="Q94" s="191" t="s">
        <v>59</v>
      </c>
      <c r="R94" s="191" t="s">
        <v>59</v>
      </c>
    </row>
    <row r="95" spans="1:18" x14ac:dyDescent="0.25">
      <c r="A95" s="51"/>
      <c r="G95" s="8"/>
      <c r="H95" s="30">
        <v>90</v>
      </c>
      <c r="I95" s="31" t="str">
        <f t="shared" si="7"/>
        <v/>
      </c>
      <c r="J95" s="31">
        <f t="shared" si="10"/>
        <v>-4</v>
      </c>
      <c r="K95" s="30">
        <f t="shared" si="8"/>
        <v>-40</v>
      </c>
      <c r="L95" s="30"/>
      <c r="M95" s="32">
        <f t="shared" si="9"/>
        <v>0</v>
      </c>
      <c r="N95" s="189" t="s">
        <v>59</v>
      </c>
      <c r="O95" s="189" t="s">
        <v>59</v>
      </c>
      <c r="P95" s="190" t="s">
        <v>59</v>
      </c>
      <c r="Q95" s="191" t="s">
        <v>59</v>
      </c>
      <c r="R95" s="191" t="s">
        <v>59</v>
      </c>
    </row>
    <row r="96" spans="1:18" x14ac:dyDescent="0.25">
      <c r="A96" s="51"/>
      <c r="G96" s="8"/>
      <c r="H96" s="30">
        <v>91</v>
      </c>
      <c r="I96" s="31" t="str">
        <f t="shared" si="7"/>
        <v/>
      </c>
      <c r="J96" s="31">
        <f t="shared" si="10"/>
        <v>-4</v>
      </c>
      <c r="K96" s="30">
        <f t="shared" si="8"/>
        <v>-40</v>
      </c>
      <c r="L96" s="30"/>
      <c r="M96" s="32">
        <f t="shared" si="9"/>
        <v>0</v>
      </c>
      <c r="N96" s="189" t="s">
        <v>59</v>
      </c>
      <c r="O96" s="189" t="s">
        <v>59</v>
      </c>
      <c r="P96" s="190" t="s">
        <v>59</v>
      </c>
      <c r="Q96" s="191" t="s">
        <v>59</v>
      </c>
      <c r="R96" s="191" t="s">
        <v>59</v>
      </c>
    </row>
    <row r="97" spans="1:18" x14ac:dyDescent="0.25">
      <c r="A97" s="51"/>
      <c r="G97" s="8"/>
      <c r="H97" s="30">
        <v>92</v>
      </c>
      <c r="I97" s="31" t="str">
        <f t="shared" si="7"/>
        <v/>
      </c>
      <c r="J97" s="31">
        <f t="shared" si="10"/>
        <v>-4</v>
      </c>
      <c r="K97" s="30">
        <f t="shared" si="8"/>
        <v>-40</v>
      </c>
      <c r="L97" s="30"/>
      <c r="M97" s="32">
        <f t="shared" si="9"/>
        <v>0</v>
      </c>
      <c r="N97" s="189" t="s">
        <v>59</v>
      </c>
      <c r="O97" s="189" t="s">
        <v>59</v>
      </c>
      <c r="P97" s="190" t="s">
        <v>59</v>
      </c>
      <c r="Q97" s="191" t="s">
        <v>59</v>
      </c>
      <c r="R97" s="191" t="s">
        <v>59</v>
      </c>
    </row>
    <row r="98" spans="1:18" x14ac:dyDescent="0.25">
      <c r="A98" s="51"/>
      <c r="G98" s="8"/>
      <c r="H98" s="30">
        <v>93</v>
      </c>
      <c r="I98" s="31" t="str">
        <f t="shared" si="7"/>
        <v/>
      </c>
      <c r="J98" s="31">
        <f t="shared" si="10"/>
        <v>-4</v>
      </c>
      <c r="K98" s="30">
        <f t="shared" si="8"/>
        <v>-40</v>
      </c>
      <c r="L98" s="30"/>
      <c r="M98" s="32">
        <f t="shared" si="9"/>
        <v>0</v>
      </c>
      <c r="N98" s="189" t="s">
        <v>59</v>
      </c>
      <c r="O98" s="189" t="s">
        <v>59</v>
      </c>
      <c r="P98" s="190" t="s">
        <v>59</v>
      </c>
      <c r="Q98" s="191" t="s">
        <v>59</v>
      </c>
      <c r="R98" s="191" t="s">
        <v>59</v>
      </c>
    </row>
    <row r="99" spans="1:18" x14ac:dyDescent="0.25">
      <c r="A99" s="51"/>
      <c r="G99" s="8"/>
      <c r="H99" s="30">
        <v>94</v>
      </c>
      <c r="I99" s="31" t="str">
        <f t="shared" si="7"/>
        <v/>
      </c>
      <c r="J99" s="31">
        <f t="shared" si="10"/>
        <v>-4</v>
      </c>
      <c r="K99" s="30">
        <f t="shared" si="8"/>
        <v>-40</v>
      </c>
      <c r="L99" s="30"/>
      <c r="M99" s="32">
        <f t="shared" si="9"/>
        <v>0</v>
      </c>
      <c r="N99" s="189" t="s">
        <v>59</v>
      </c>
      <c r="O99" s="189" t="s">
        <v>59</v>
      </c>
      <c r="P99" s="190" t="s">
        <v>59</v>
      </c>
      <c r="Q99" s="191" t="s">
        <v>59</v>
      </c>
      <c r="R99" s="191" t="s">
        <v>59</v>
      </c>
    </row>
    <row r="100" spans="1:18" x14ac:dyDescent="0.25">
      <c r="A100" s="51"/>
      <c r="G100" s="8"/>
      <c r="H100" s="30">
        <v>95</v>
      </c>
      <c r="I100" s="31" t="str">
        <f t="shared" si="7"/>
        <v/>
      </c>
      <c r="J100" s="31">
        <f t="shared" si="10"/>
        <v>-4</v>
      </c>
      <c r="K100" s="30">
        <f t="shared" si="8"/>
        <v>-40</v>
      </c>
      <c r="L100" s="30"/>
      <c r="M100" s="32">
        <f t="shared" si="9"/>
        <v>0</v>
      </c>
      <c r="N100" s="189" t="s">
        <v>59</v>
      </c>
      <c r="O100" s="189" t="s">
        <v>59</v>
      </c>
      <c r="P100" s="190" t="s">
        <v>59</v>
      </c>
      <c r="Q100" s="191" t="s">
        <v>59</v>
      </c>
      <c r="R100" s="191" t="s">
        <v>59</v>
      </c>
    </row>
    <row r="101" spans="1:18" x14ac:dyDescent="0.25">
      <c r="A101" s="51"/>
      <c r="G101" s="8"/>
      <c r="H101" s="30">
        <v>96</v>
      </c>
      <c r="I101" s="31" t="str">
        <f t="shared" si="7"/>
        <v/>
      </c>
      <c r="J101" s="31">
        <f t="shared" si="10"/>
        <v>-4</v>
      </c>
      <c r="K101" s="30">
        <f t="shared" si="8"/>
        <v>-40</v>
      </c>
      <c r="L101" s="30"/>
      <c r="M101" s="32">
        <f t="shared" si="9"/>
        <v>0</v>
      </c>
      <c r="N101" s="189" t="s">
        <v>59</v>
      </c>
      <c r="O101" s="189" t="s">
        <v>59</v>
      </c>
      <c r="P101" s="190" t="s">
        <v>59</v>
      </c>
      <c r="Q101" s="191" t="s">
        <v>59</v>
      </c>
      <c r="R101" s="191" t="s">
        <v>59</v>
      </c>
    </row>
    <row r="102" spans="1:18" x14ac:dyDescent="0.25">
      <c r="A102" s="51"/>
      <c r="G102" s="8"/>
      <c r="H102" s="30">
        <v>97</v>
      </c>
      <c r="I102" s="31" t="str">
        <f t="shared" si="7"/>
        <v/>
      </c>
      <c r="J102" s="31">
        <f t="shared" si="10"/>
        <v>-4</v>
      </c>
      <c r="K102" s="30">
        <f t="shared" si="8"/>
        <v>-40</v>
      </c>
      <c r="L102" s="30"/>
      <c r="M102" s="32">
        <f t="shared" si="9"/>
        <v>0</v>
      </c>
      <c r="N102" s="189" t="s">
        <v>59</v>
      </c>
      <c r="O102" s="189" t="s">
        <v>59</v>
      </c>
      <c r="P102" s="190" t="s">
        <v>59</v>
      </c>
      <c r="Q102" s="191" t="s">
        <v>59</v>
      </c>
      <c r="R102" s="191" t="s">
        <v>59</v>
      </c>
    </row>
    <row r="103" spans="1:18" x14ac:dyDescent="0.25">
      <c r="A103" s="51"/>
      <c r="G103" s="8"/>
      <c r="H103" s="30">
        <v>98</v>
      </c>
      <c r="I103" s="31" t="str">
        <f t="shared" si="7"/>
        <v/>
      </c>
      <c r="J103" s="31">
        <f t="shared" si="10"/>
        <v>-4</v>
      </c>
      <c r="K103" s="30">
        <f t="shared" si="8"/>
        <v>-40</v>
      </c>
      <c r="L103" s="30"/>
      <c r="M103" s="32">
        <f t="shared" si="9"/>
        <v>0</v>
      </c>
      <c r="N103" s="189" t="s">
        <v>59</v>
      </c>
      <c r="O103" s="189" t="s">
        <v>59</v>
      </c>
      <c r="P103" s="190" t="s">
        <v>59</v>
      </c>
      <c r="Q103" s="191" t="s">
        <v>59</v>
      </c>
      <c r="R103" s="191" t="s">
        <v>59</v>
      </c>
    </row>
    <row r="104" spans="1:18" x14ac:dyDescent="0.25">
      <c r="A104" s="51"/>
      <c r="G104" s="8"/>
      <c r="H104" s="30">
        <v>99</v>
      </c>
      <c r="I104" s="31" t="str">
        <f t="shared" si="7"/>
        <v/>
      </c>
      <c r="J104" s="31">
        <f t="shared" si="10"/>
        <v>-4</v>
      </c>
      <c r="K104" s="30">
        <f t="shared" si="8"/>
        <v>-40</v>
      </c>
      <c r="L104" s="30"/>
      <c r="M104" s="32">
        <f t="shared" si="9"/>
        <v>0</v>
      </c>
      <c r="N104" s="189" t="s">
        <v>59</v>
      </c>
      <c r="O104" s="189" t="s">
        <v>59</v>
      </c>
      <c r="P104" s="190" t="s">
        <v>59</v>
      </c>
      <c r="Q104" s="191" t="s">
        <v>59</v>
      </c>
      <c r="R104" s="191" t="s">
        <v>59</v>
      </c>
    </row>
    <row r="105" spans="1:18" x14ac:dyDescent="0.25">
      <c r="A105" s="51"/>
      <c r="G105" s="8"/>
      <c r="H105" s="30">
        <v>100</v>
      </c>
      <c r="I105" s="31" t="str">
        <f t="shared" si="7"/>
        <v/>
      </c>
      <c r="J105" s="31">
        <f t="shared" si="10"/>
        <v>-4</v>
      </c>
      <c r="K105" s="30">
        <f t="shared" si="8"/>
        <v>-40</v>
      </c>
      <c r="L105" s="30"/>
      <c r="M105" s="32">
        <f t="shared" si="9"/>
        <v>0</v>
      </c>
      <c r="N105" s="189" t="s">
        <v>59</v>
      </c>
      <c r="O105" s="189" t="s">
        <v>59</v>
      </c>
      <c r="P105" s="190" t="s">
        <v>59</v>
      </c>
      <c r="Q105" s="191" t="s">
        <v>59</v>
      </c>
      <c r="R105" s="191" t="s">
        <v>59</v>
      </c>
    </row>
    <row r="106" spans="1:18" x14ac:dyDescent="0.25">
      <c r="A106" s="51"/>
      <c r="G106" s="8"/>
      <c r="H106" s="30">
        <v>101</v>
      </c>
      <c r="I106" s="31" t="str">
        <f t="shared" si="7"/>
        <v/>
      </c>
      <c r="J106" s="31">
        <f t="shared" si="10"/>
        <v>-4</v>
      </c>
      <c r="K106" s="30">
        <f t="shared" si="8"/>
        <v>-40</v>
      </c>
      <c r="L106" s="30"/>
      <c r="M106" s="32">
        <f t="shared" si="9"/>
        <v>0</v>
      </c>
      <c r="N106" s="189" t="s">
        <v>59</v>
      </c>
      <c r="O106" s="189" t="s">
        <v>59</v>
      </c>
      <c r="P106" s="190" t="s">
        <v>59</v>
      </c>
      <c r="Q106" s="191" t="s">
        <v>59</v>
      </c>
      <c r="R106" s="191" t="s">
        <v>59</v>
      </c>
    </row>
    <row r="107" spans="1:18" x14ac:dyDescent="0.25">
      <c r="A107" s="51"/>
      <c r="G107" s="8"/>
      <c r="H107" s="30">
        <v>102</v>
      </c>
      <c r="I107" s="31" t="str">
        <f t="shared" si="7"/>
        <v/>
      </c>
      <c r="J107" s="31">
        <f t="shared" si="10"/>
        <v>-4</v>
      </c>
      <c r="K107" s="30">
        <f t="shared" si="8"/>
        <v>-40</v>
      </c>
      <c r="L107" s="30"/>
      <c r="M107" s="32">
        <f t="shared" si="9"/>
        <v>0</v>
      </c>
      <c r="N107" s="189" t="s">
        <v>59</v>
      </c>
      <c r="O107" s="189" t="s">
        <v>59</v>
      </c>
      <c r="P107" s="190" t="s">
        <v>59</v>
      </c>
      <c r="Q107" s="191" t="s">
        <v>59</v>
      </c>
      <c r="R107" s="191" t="s">
        <v>59</v>
      </c>
    </row>
    <row r="108" spans="1:18" x14ac:dyDescent="0.25">
      <c r="A108" s="51"/>
      <c r="G108" s="8"/>
      <c r="H108" s="30">
        <v>103</v>
      </c>
      <c r="I108" s="31" t="str">
        <f t="shared" si="7"/>
        <v/>
      </c>
      <c r="J108" s="31">
        <f t="shared" si="10"/>
        <v>-4</v>
      </c>
      <c r="K108" s="30">
        <f t="shared" si="8"/>
        <v>-40</v>
      </c>
      <c r="L108" s="30"/>
      <c r="M108" s="32">
        <f t="shared" si="9"/>
        <v>0</v>
      </c>
      <c r="N108" s="189" t="s">
        <v>59</v>
      </c>
      <c r="O108" s="189" t="s">
        <v>59</v>
      </c>
      <c r="P108" s="190" t="s">
        <v>59</v>
      </c>
      <c r="Q108" s="191" t="s">
        <v>59</v>
      </c>
      <c r="R108" s="191" t="s">
        <v>59</v>
      </c>
    </row>
    <row r="109" spans="1:18" x14ac:dyDescent="0.25">
      <c r="A109" s="51"/>
      <c r="G109" s="8"/>
      <c r="H109" s="30">
        <v>104</v>
      </c>
      <c r="I109" s="31" t="str">
        <f t="shared" si="7"/>
        <v/>
      </c>
      <c r="J109" s="31">
        <f t="shared" si="10"/>
        <v>-4</v>
      </c>
      <c r="K109" s="30">
        <f t="shared" si="8"/>
        <v>-40</v>
      </c>
      <c r="L109" s="30"/>
      <c r="M109" s="32">
        <f t="shared" si="9"/>
        <v>0</v>
      </c>
      <c r="N109" s="189" t="s">
        <v>59</v>
      </c>
      <c r="O109" s="189" t="s">
        <v>59</v>
      </c>
      <c r="P109" s="190" t="s">
        <v>59</v>
      </c>
      <c r="Q109" s="191" t="s">
        <v>59</v>
      </c>
      <c r="R109" s="191" t="s">
        <v>59</v>
      </c>
    </row>
    <row r="110" spans="1:18" x14ac:dyDescent="0.25">
      <c r="A110" s="51"/>
      <c r="G110" s="8"/>
      <c r="H110" s="30">
        <v>105</v>
      </c>
      <c r="I110" s="31" t="str">
        <f t="shared" si="7"/>
        <v/>
      </c>
      <c r="J110" s="31">
        <f t="shared" si="10"/>
        <v>-4</v>
      </c>
      <c r="K110" s="30">
        <f t="shared" si="8"/>
        <v>-40</v>
      </c>
      <c r="L110" s="30"/>
      <c r="M110" s="32">
        <f t="shared" si="9"/>
        <v>0</v>
      </c>
      <c r="N110" s="189" t="s">
        <v>59</v>
      </c>
      <c r="O110" s="189" t="s">
        <v>59</v>
      </c>
      <c r="P110" s="190" t="s">
        <v>59</v>
      </c>
      <c r="Q110" s="191" t="s">
        <v>59</v>
      </c>
      <c r="R110" s="191" t="s">
        <v>59</v>
      </c>
    </row>
    <row r="111" spans="1:18" x14ac:dyDescent="0.25">
      <c r="A111" s="51"/>
      <c r="G111" s="8"/>
      <c r="H111" s="30">
        <v>106</v>
      </c>
      <c r="I111" s="31" t="str">
        <f t="shared" si="7"/>
        <v/>
      </c>
      <c r="J111" s="31">
        <f t="shared" si="10"/>
        <v>-4</v>
      </c>
      <c r="K111" s="30">
        <f t="shared" si="8"/>
        <v>-40</v>
      </c>
      <c r="L111" s="30"/>
      <c r="M111" s="32">
        <f t="shared" si="9"/>
        <v>0</v>
      </c>
      <c r="N111" s="189" t="s">
        <v>59</v>
      </c>
      <c r="O111" s="189" t="s">
        <v>59</v>
      </c>
      <c r="P111" s="190" t="s">
        <v>59</v>
      </c>
      <c r="Q111" s="191" t="s">
        <v>59</v>
      </c>
      <c r="R111" s="191" t="s">
        <v>59</v>
      </c>
    </row>
    <row r="112" spans="1:18" x14ac:dyDescent="0.25">
      <c r="A112" s="51"/>
      <c r="G112" s="8"/>
      <c r="H112" s="30">
        <v>107</v>
      </c>
      <c r="I112" s="31" t="str">
        <f t="shared" si="7"/>
        <v/>
      </c>
      <c r="J112" s="31">
        <f t="shared" si="10"/>
        <v>-4</v>
      </c>
      <c r="K112" s="30">
        <f t="shared" si="8"/>
        <v>-40</v>
      </c>
      <c r="L112" s="30"/>
      <c r="M112" s="32">
        <f t="shared" si="9"/>
        <v>0</v>
      </c>
      <c r="N112" s="189" t="s">
        <v>59</v>
      </c>
      <c r="O112" s="189" t="s">
        <v>59</v>
      </c>
      <c r="P112" s="190" t="s">
        <v>59</v>
      </c>
      <c r="Q112" s="191" t="s">
        <v>59</v>
      </c>
      <c r="R112" s="191" t="s">
        <v>59</v>
      </c>
    </row>
    <row r="113" spans="1:18" x14ac:dyDescent="0.25">
      <c r="A113" s="51"/>
      <c r="G113" s="8"/>
      <c r="H113" s="30">
        <v>108</v>
      </c>
      <c r="I113" s="31" t="str">
        <f t="shared" si="7"/>
        <v/>
      </c>
      <c r="J113" s="31">
        <f t="shared" si="10"/>
        <v>-4</v>
      </c>
      <c r="K113" s="30">
        <f t="shared" si="8"/>
        <v>-40</v>
      </c>
      <c r="L113" s="30"/>
      <c r="M113" s="32">
        <f t="shared" si="9"/>
        <v>0</v>
      </c>
      <c r="N113" s="189" t="s">
        <v>59</v>
      </c>
      <c r="O113" s="189" t="s">
        <v>59</v>
      </c>
      <c r="P113" s="190" t="s">
        <v>59</v>
      </c>
      <c r="Q113" s="191" t="s">
        <v>59</v>
      </c>
      <c r="R113" s="191" t="s">
        <v>59</v>
      </c>
    </row>
    <row r="114" spans="1:18" x14ac:dyDescent="0.25">
      <c r="A114" s="51"/>
      <c r="G114" s="8"/>
      <c r="H114" s="30">
        <v>109</v>
      </c>
      <c r="I114" s="31" t="str">
        <f t="shared" si="7"/>
        <v/>
      </c>
      <c r="J114" s="31">
        <f t="shared" si="10"/>
        <v>-4</v>
      </c>
      <c r="K114" s="30">
        <f t="shared" si="8"/>
        <v>-40</v>
      </c>
      <c r="L114" s="30"/>
      <c r="M114" s="32">
        <f t="shared" si="9"/>
        <v>0</v>
      </c>
      <c r="N114" s="189" t="s">
        <v>59</v>
      </c>
      <c r="O114" s="189" t="s">
        <v>59</v>
      </c>
      <c r="P114" s="190" t="s">
        <v>59</v>
      </c>
      <c r="Q114" s="191" t="s">
        <v>59</v>
      </c>
      <c r="R114" s="191" t="s">
        <v>59</v>
      </c>
    </row>
    <row r="115" spans="1:18" x14ac:dyDescent="0.25">
      <c r="A115" s="51"/>
      <c r="G115" s="8"/>
      <c r="H115" s="30">
        <v>110</v>
      </c>
      <c r="I115" s="31" t="str">
        <f t="shared" si="7"/>
        <v/>
      </c>
      <c r="J115" s="31">
        <f t="shared" si="10"/>
        <v>-4</v>
      </c>
      <c r="K115" s="30">
        <f t="shared" si="8"/>
        <v>-40</v>
      </c>
      <c r="L115" s="30"/>
      <c r="M115" s="32">
        <f t="shared" si="9"/>
        <v>0</v>
      </c>
      <c r="N115" s="189" t="s">
        <v>59</v>
      </c>
      <c r="O115" s="189" t="s">
        <v>59</v>
      </c>
      <c r="P115" s="190" t="s">
        <v>59</v>
      </c>
      <c r="Q115" s="191" t="s">
        <v>59</v>
      </c>
      <c r="R115" s="191" t="s">
        <v>59</v>
      </c>
    </row>
    <row r="116" spans="1:18" x14ac:dyDescent="0.25">
      <c r="A116" s="51"/>
      <c r="G116" s="8"/>
      <c r="H116" s="30">
        <v>111</v>
      </c>
      <c r="I116" s="31" t="str">
        <f t="shared" si="7"/>
        <v/>
      </c>
      <c r="J116" s="31">
        <f t="shared" si="10"/>
        <v>-4</v>
      </c>
      <c r="K116" s="30">
        <f t="shared" si="8"/>
        <v>-40</v>
      </c>
      <c r="L116" s="30"/>
      <c r="M116" s="32">
        <f t="shared" si="9"/>
        <v>0</v>
      </c>
      <c r="N116" s="189" t="s">
        <v>59</v>
      </c>
      <c r="O116" s="189" t="s">
        <v>59</v>
      </c>
      <c r="P116" s="190" t="s">
        <v>59</v>
      </c>
      <c r="Q116" s="191" t="s">
        <v>59</v>
      </c>
      <c r="R116" s="191" t="s">
        <v>59</v>
      </c>
    </row>
    <row r="117" spans="1:18" x14ac:dyDescent="0.25">
      <c r="A117" s="51"/>
      <c r="G117" s="8"/>
      <c r="H117" s="30">
        <v>112</v>
      </c>
      <c r="I117" s="31" t="str">
        <f t="shared" si="7"/>
        <v/>
      </c>
      <c r="J117" s="31">
        <f t="shared" si="10"/>
        <v>-4</v>
      </c>
      <c r="K117" s="30">
        <f t="shared" si="8"/>
        <v>-40</v>
      </c>
      <c r="L117" s="30"/>
      <c r="M117" s="32">
        <f t="shared" si="9"/>
        <v>0</v>
      </c>
      <c r="N117" s="189" t="s">
        <v>59</v>
      </c>
      <c r="O117" s="189" t="s">
        <v>59</v>
      </c>
      <c r="P117" s="190" t="s">
        <v>59</v>
      </c>
      <c r="Q117" s="191" t="s">
        <v>59</v>
      </c>
      <c r="R117" s="191" t="s">
        <v>59</v>
      </c>
    </row>
    <row r="118" spans="1:18" x14ac:dyDescent="0.25">
      <c r="A118" s="51"/>
      <c r="G118" s="8"/>
      <c r="H118" s="30">
        <v>113</v>
      </c>
      <c r="I118" s="31" t="str">
        <f t="shared" si="7"/>
        <v/>
      </c>
      <c r="J118" s="31">
        <f t="shared" si="10"/>
        <v>-4</v>
      </c>
      <c r="K118" s="30">
        <f t="shared" si="8"/>
        <v>-40</v>
      </c>
      <c r="L118" s="30"/>
      <c r="M118" s="32">
        <f t="shared" si="9"/>
        <v>0</v>
      </c>
      <c r="N118" s="189" t="s">
        <v>59</v>
      </c>
      <c r="O118" s="189" t="s">
        <v>59</v>
      </c>
      <c r="P118" s="190" t="s">
        <v>59</v>
      </c>
      <c r="Q118" s="191" t="s">
        <v>59</v>
      </c>
      <c r="R118" s="191" t="s">
        <v>59</v>
      </c>
    </row>
    <row r="119" spans="1:18" x14ac:dyDescent="0.25">
      <c r="A119" s="51"/>
      <c r="G119" s="8"/>
      <c r="H119" s="30">
        <v>114</v>
      </c>
      <c r="I119" s="31" t="str">
        <f t="shared" si="7"/>
        <v/>
      </c>
      <c r="J119" s="31">
        <f t="shared" si="10"/>
        <v>-4</v>
      </c>
      <c r="K119" s="30">
        <f t="shared" si="8"/>
        <v>-40</v>
      </c>
      <c r="L119" s="30"/>
      <c r="M119" s="32">
        <f t="shared" si="9"/>
        <v>0</v>
      </c>
      <c r="N119" s="189" t="s">
        <v>59</v>
      </c>
      <c r="O119" s="189" t="s">
        <v>59</v>
      </c>
      <c r="P119" s="190" t="s">
        <v>59</v>
      </c>
      <c r="Q119" s="191" t="s">
        <v>59</v>
      </c>
      <c r="R119" s="191" t="s">
        <v>59</v>
      </c>
    </row>
    <row r="120" spans="1:18" x14ac:dyDescent="0.25">
      <c r="A120" s="51"/>
      <c r="G120" s="8"/>
      <c r="H120" s="30">
        <v>115</v>
      </c>
      <c r="I120" s="31" t="str">
        <f t="shared" si="7"/>
        <v/>
      </c>
      <c r="J120" s="31">
        <f t="shared" si="10"/>
        <v>-4</v>
      </c>
      <c r="K120" s="30">
        <f t="shared" si="8"/>
        <v>-40</v>
      </c>
      <c r="L120" s="30"/>
      <c r="M120" s="32">
        <f t="shared" si="9"/>
        <v>0</v>
      </c>
      <c r="N120" s="189" t="s">
        <v>59</v>
      </c>
      <c r="O120" s="189" t="s">
        <v>59</v>
      </c>
      <c r="P120" s="190" t="s">
        <v>59</v>
      </c>
      <c r="Q120" s="191" t="s">
        <v>59</v>
      </c>
      <c r="R120" s="191" t="s">
        <v>59</v>
      </c>
    </row>
    <row r="121" spans="1:18" x14ac:dyDescent="0.25">
      <c r="A121" s="51"/>
      <c r="G121" s="8"/>
      <c r="H121" s="30">
        <v>116</v>
      </c>
      <c r="I121" s="31" t="str">
        <f t="shared" si="7"/>
        <v/>
      </c>
      <c r="J121" s="31">
        <f t="shared" si="10"/>
        <v>-4</v>
      </c>
      <c r="K121" s="30">
        <f t="shared" si="8"/>
        <v>-40</v>
      </c>
      <c r="L121" s="30"/>
      <c r="M121" s="32">
        <f t="shared" si="9"/>
        <v>0</v>
      </c>
      <c r="N121" s="189" t="s">
        <v>59</v>
      </c>
      <c r="O121" s="189" t="s">
        <v>59</v>
      </c>
      <c r="P121" s="190" t="s">
        <v>59</v>
      </c>
      <c r="Q121" s="191" t="s">
        <v>59</v>
      </c>
      <c r="R121" s="191" t="s">
        <v>59</v>
      </c>
    </row>
    <row r="122" spans="1:18" x14ac:dyDescent="0.25">
      <c r="A122" s="51"/>
      <c r="G122" s="8"/>
      <c r="H122" s="30">
        <v>117</v>
      </c>
      <c r="I122" s="31" t="str">
        <f t="shared" si="7"/>
        <v/>
      </c>
      <c r="J122" s="31">
        <f t="shared" si="10"/>
        <v>-4</v>
      </c>
      <c r="K122" s="30">
        <f t="shared" si="8"/>
        <v>-40</v>
      </c>
      <c r="L122" s="30"/>
      <c r="M122" s="32">
        <f t="shared" si="9"/>
        <v>0</v>
      </c>
      <c r="N122" s="189" t="s">
        <v>59</v>
      </c>
      <c r="O122" s="189" t="s">
        <v>59</v>
      </c>
      <c r="P122" s="190" t="s">
        <v>59</v>
      </c>
      <c r="Q122" s="191" t="s">
        <v>59</v>
      </c>
      <c r="R122" s="191" t="s">
        <v>59</v>
      </c>
    </row>
    <row r="123" spans="1:18" x14ac:dyDescent="0.25">
      <c r="A123" s="51"/>
      <c r="G123" s="8"/>
      <c r="H123" s="30">
        <v>118</v>
      </c>
      <c r="I123" s="31" t="str">
        <f t="shared" si="7"/>
        <v/>
      </c>
      <c r="J123" s="31">
        <f t="shared" si="10"/>
        <v>-4</v>
      </c>
      <c r="K123" s="30">
        <f t="shared" si="8"/>
        <v>-40</v>
      </c>
      <c r="L123" s="30"/>
      <c r="M123" s="32">
        <f t="shared" si="9"/>
        <v>0</v>
      </c>
      <c r="N123" s="189" t="s">
        <v>59</v>
      </c>
      <c r="O123" s="189" t="s">
        <v>59</v>
      </c>
      <c r="P123" s="190" t="s">
        <v>59</v>
      </c>
      <c r="Q123" s="191" t="s">
        <v>59</v>
      </c>
      <c r="R123" s="191" t="s">
        <v>59</v>
      </c>
    </row>
    <row r="124" spans="1:18" x14ac:dyDescent="0.25">
      <c r="A124" s="51"/>
      <c r="G124" s="8"/>
      <c r="H124" s="30">
        <v>119</v>
      </c>
      <c r="I124" s="31" t="str">
        <f t="shared" si="7"/>
        <v/>
      </c>
      <c r="J124" s="31">
        <f t="shared" si="10"/>
        <v>-4</v>
      </c>
      <c r="K124" s="30">
        <f t="shared" si="8"/>
        <v>-40</v>
      </c>
      <c r="L124" s="30"/>
      <c r="M124" s="32">
        <f t="shared" si="9"/>
        <v>0</v>
      </c>
      <c r="N124" s="189" t="s">
        <v>59</v>
      </c>
      <c r="O124" s="189" t="s">
        <v>59</v>
      </c>
      <c r="P124" s="190" t="s">
        <v>59</v>
      </c>
      <c r="Q124" s="191" t="s">
        <v>59</v>
      </c>
      <c r="R124" s="191" t="s">
        <v>59</v>
      </c>
    </row>
    <row r="125" spans="1:18" x14ac:dyDescent="0.25">
      <c r="A125" s="51"/>
      <c r="G125" s="8"/>
      <c r="H125" s="30">
        <v>120</v>
      </c>
      <c r="I125" s="31" t="str">
        <f t="shared" si="7"/>
        <v/>
      </c>
      <c r="J125" s="31">
        <f t="shared" si="10"/>
        <v>-4</v>
      </c>
      <c r="K125" s="30">
        <f t="shared" si="8"/>
        <v>-40</v>
      </c>
      <c r="L125" s="30"/>
      <c r="M125" s="32">
        <f t="shared" si="9"/>
        <v>0</v>
      </c>
      <c r="N125" s="189" t="s">
        <v>59</v>
      </c>
      <c r="O125" s="189" t="s">
        <v>59</v>
      </c>
      <c r="P125" s="190" t="s">
        <v>59</v>
      </c>
      <c r="Q125" s="191" t="s">
        <v>59</v>
      </c>
      <c r="R125" s="191" t="s">
        <v>59</v>
      </c>
    </row>
    <row r="126" spans="1:18" x14ac:dyDescent="0.25">
      <c r="A126" s="51"/>
      <c r="G126" s="8"/>
      <c r="H126" s="30">
        <v>121</v>
      </c>
      <c r="I126" s="31" t="str">
        <f t="shared" si="7"/>
        <v/>
      </c>
      <c r="J126" s="31">
        <f t="shared" si="10"/>
        <v>-4</v>
      </c>
      <c r="K126" s="30">
        <f t="shared" si="8"/>
        <v>-40</v>
      </c>
      <c r="L126" s="30"/>
      <c r="M126" s="32">
        <f t="shared" si="9"/>
        <v>0</v>
      </c>
      <c r="N126" s="189" t="s">
        <v>59</v>
      </c>
      <c r="O126" s="189" t="s">
        <v>59</v>
      </c>
      <c r="P126" s="190" t="s">
        <v>59</v>
      </c>
      <c r="Q126" s="191" t="s">
        <v>59</v>
      </c>
      <c r="R126" s="191" t="s">
        <v>59</v>
      </c>
    </row>
    <row r="127" spans="1:18" x14ac:dyDescent="0.25">
      <c r="A127" s="51"/>
      <c r="G127" s="8"/>
      <c r="H127" s="30">
        <v>122</v>
      </c>
      <c r="I127" s="31" t="str">
        <f t="shared" si="7"/>
        <v/>
      </c>
      <c r="J127" s="31">
        <f t="shared" si="10"/>
        <v>-4</v>
      </c>
      <c r="K127" s="30">
        <f t="shared" si="8"/>
        <v>-40</v>
      </c>
      <c r="L127" s="30"/>
      <c r="M127" s="32">
        <f t="shared" si="9"/>
        <v>0</v>
      </c>
      <c r="N127" s="189" t="s">
        <v>59</v>
      </c>
      <c r="O127" s="189" t="s">
        <v>59</v>
      </c>
      <c r="P127" s="190" t="s">
        <v>59</v>
      </c>
      <c r="Q127" s="191" t="s">
        <v>59</v>
      </c>
      <c r="R127" s="191" t="s">
        <v>59</v>
      </c>
    </row>
    <row r="128" spans="1:18" x14ac:dyDescent="0.25">
      <c r="A128" s="51"/>
      <c r="G128" s="8"/>
      <c r="H128" s="30">
        <v>123</v>
      </c>
      <c r="I128" s="31" t="str">
        <f t="shared" si="7"/>
        <v/>
      </c>
      <c r="J128" s="31">
        <f t="shared" si="10"/>
        <v>-4</v>
      </c>
      <c r="K128" s="30">
        <f t="shared" si="8"/>
        <v>-40</v>
      </c>
      <c r="L128" s="30"/>
      <c r="M128" s="32">
        <f t="shared" si="9"/>
        <v>0</v>
      </c>
      <c r="N128" s="189" t="s">
        <v>59</v>
      </c>
      <c r="O128" s="189" t="s">
        <v>59</v>
      </c>
      <c r="P128" s="190" t="s">
        <v>59</v>
      </c>
      <c r="Q128" s="191" t="s">
        <v>59</v>
      </c>
      <c r="R128" s="191" t="s">
        <v>59</v>
      </c>
    </row>
    <row r="129" spans="1:18" x14ac:dyDescent="0.25">
      <c r="A129" s="51"/>
      <c r="G129" s="8"/>
      <c r="H129" s="30">
        <v>124</v>
      </c>
      <c r="I129" s="31" t="str">
        <f t="shared" si="7"/>
        <v/>
      </c>
      <c r="J129" s="31">
        <f t="shared" si="10"/>
        <v>-4</v>
      </c>
      <c r="K129" s="30">
        <f t="shared" si="8"/>
        <v>-40</v>
      </c>
      <c r="L129" s="30"/>
      <c r="M129" s="32">
        <f t="shared" si="9"/>
        <v>0</v>
      </c>
      <c r="N129" s="189" t="s">
        <v>59</v>
      </c>
      <c r="O129" s="189" t="s">
        <v>59</v>
      </c>
      <c r="P129" s="190" t="s">
        <v>59</v>
      </c>
      <c r="Q129" s="191" t="s">
        <v>59</v>
      </c>
      <c r="R129" s="191" t="s">
        <v>59</v>
      </c>
    </row>
    <row r="130" spans="1:18" x14ac:dyDescent="0.25">
      <c r="A130" s="51"/>
      <c r="G130" s="8"/>
      <c r="H130" s="30">
        <v>125</v>
      </c>
      <c r="I130" s="31" t="str">
        <f t="shared" si="7"/>
        <v/>
      </c>
      <c r="J130" s="31">
        <f t="shared" si="10"/>
        <v>-4</v>
      </c>
      <c r="K130" s="30">
        <f t="shared" si="8"/>
        <v>-40</v>
      </c>
      <c r="L130" s="30"/>
      <c r="M130" s="32">
        <f t="shared" si="9"/>
        <v>0</v>
      </c>
      <c r="N130" s="189" t="s">
        <v>59</v>
      </c>
      <c r="O130" s="189" t="s">
        <v>59</v>
      </c>
      <c r="P130" s="190" t="s">
        <v>59</v>
      </c>
      <c r="Q130" s="191" t="s">
        <v>59</v>
      </c>
      <c r="R130" s="191" t="s">
        <v>59</v>
      </c>
    </row>
    <row r="131" spans="1:18" x14ac:dyDescent="0.25">
      <c r="A131" s="51"/>
      <c r="G131" s="8"/>
      <c r="H131" s="30">
        <v>126</v>
      </c>
      <c r="I131" s="31" t="str">
        <f t="shared" si="7"/>
        <v/>
      </c>
      <c r="J131" s="31">
        <f t="shared" si="10"/>
        <v>-4</v>
      </c>
      <c r="K131" s="30">
        <f t="shared" si="8"/>
        <v>-40</v>
      </c>
      <c r="L131" s="30"/>
      <c r="M131" s="32">
        <f t="shared" si="9"/>
        <v>0</v>
      </c>
      <c r="N131" s="189" t="s">
        <v>59</v>
      </c>
      <c r="O131" s="189" t="s">
        <v>59</v>
      </c>
      <c r="P131" s="190" t="s">
        <v>59</v>
      </c>
      <c r="Q131" s="191" t="s">
        <v>59</v>
      </c>
      <c r="R131" s="191" t="s">
        <v>59</v>
      </c>
    </row>
    <row r="132" spans="1:18" x14ac:dyDescent="0.25">
      <c r="A132" s="51"/>
      <c r="G132" s="8"/>
      <c r="H132" s="30">
        <v>127</v>
      </c>
      <c r="I132" s="31" t="str">
        <f t="shared" si="7"/>
        <v/>
      </c>
      <c r="J132" s="31">
        <f t="shared" si="10"/>
        <v>-4</v>
      </c>
      <c r="K132" s="30">
        <f t="shared" si="8"/>
        <v>-40</v>
      </c>
      <c r="L132" s="30"/>
      <c r="M132" s="32">
        <f t="shared" si="9"/>
        <v>0</v>
      </c>
      <c r="N132" s="189" t="s">
        <v>59</v>
      </c>
      <c r="O132" s="189" t="s">
        <v>59</v>
      </c>
      <c r="P132" s="190" t="s">
        <v>59</v>
      </c>
      <c r="Q132" s="191" t="s">
        <v>59</v>
      </c>
      <c r="R132" s="191" t="s">
        <v>59</v>
      </c>
    </row>
    <row r="133" spans="1:18" x14ac:dyDescent="0.25">
      <c r="A133" s="51"/>
      <c r="G133" s="8"/>
      <c r="H133" s="30">
        <v>128</v>
      </c>
      <c r="I133" s="31" t="str">
        <f t="shared" si="7"/>
        <v/>
      </c>
      <c r="J133" s="31">
        <f t="shared" si="10"/>
        <v>-4</v>
      </c>
      <c r="K133" s="30">
        <f t="shared" si="8"/>
        <v>-40</v>
      </c>
      <c r="L133" s="30"/>
      <c r="M133" s="32">
        <f t="shared" si="9"/>
        <v>0</v>
      </c>
      <c r="N133" s="189" t="s">
        <v>59</v>
      </c>
      <c r="O133" s="189" t="s">
        <v>59</v>
      </c>
      <c r="P133" s="190" t="s">
        <v>59</v>
      </c>
      <c r="Q133" s="191" t="s">
        <v>59</v>
      </c>
      <c r="R133" s="191" t="s">
        <v>59</v>
      </c>
    </row>
    <row r="134" spans="1:18" x14ac:dyDescent="0.25">
      <c r="A134" s="51"/>
      <c r="G134" s="8"/>
      <c r="H134" s="30">
        <v>129</v>
      </c>
      <c r="I134" s="31" t="str">
        <f t="shared" ref="I134:I197" si="11">IF(H134&lt;$H$2+1,($I$2-($I$2-1)*(LOG(H134)/LOG($H$2))),"")</f>
        <v/>
      </c>
      <c r="J134" s="31">
        <f t="shared" si="10"/>
        <v>-5</v>
      </c>
      <c r="K134" s="30">
        <f t="shared" ref="K134:K197" si="12">J134*$J$2</f>
        <v>-50</v>
      </c>
      <c r="L134" s="30"/>
      <c r="M134" s="32">
        <f t="shared" ref="M134:M197" si="13">IF(I134&lt;&gt;"",K134+I134+L134,0)</f>
        <v>0</v>
      </c>
      <c r="N134" s="189" t="s">
        <v>59</v>
      </c>
      <c r="O134" s="189" t="s">
        <v>59</v>
      </c>
      <c r="P134" s="190" t="s">
        <v>59</v>
      </c>
      <c r="Q134" s="191" t="s">
        <v>59</v>
      </c>
      <c r="R134" s="191" t="s">
        <v>59</v>
      </c>
    </row>
    <row r="135" spans="1:18" x14ac:dyDescent="0.25">
      <c r="A135" s="51"/>
      <c r="G135" s="8"/>
      <c r="H135" s="30">
        <v>130</v>
      </c>
      <c r="I135" s="31" t="str">
        <f t="shared" si="11"/>
        <v/>
      </c>
      <c r="J135" s="31">
        <f t="shared" ref="J135:J198" si="14">INT(LOG($H$2,2))-ROUNDUP(LOG(H135,2),0)+IF(OR($H$2=1,$H$2=2,$H$2=4,$H$2=8,$H$2=16,$H$2=32,$H$2=64,$H$2=128,$H$2=256),0,1)</f>
        <v>-5</v>
      </c>
      <c r="K135" s="30">
        <f t="shared" si="12"/>
        <v>-50</v>
      </c>
      <c r="L135" s="30"/>
      <c r="M135" s="32">
        <f t="shared" si="13"/>
        <v>0</v>
      </c>
      <c r="N135" s="189" t="s">
        <v>59</v>
      </c>
      <c r="O135" s="189" t="s">
        <v>59</v>
      </c>
      <c r="P135" s="190" t="s">
        <v>59</v>
      </c>
      <c r="Q135" s="191" t="s">
        <v>59</v>
      </c>
      <c r="R135" s="191" t="s">
        <v>59</v>
      </c>
    </row>
    <row r="136" spans="1:18" x14ac:dyDescent="0.25">
      <c r="A136" s="51"/>
      <c r="G136" s="8"/>
      <c r="H136" s="30">
        <v>131</v>
      </c>
      <c r="I136" s="31" t="str">
        <f t="shared" si="11"/>
        <v/>
      </c>
      <c r="J136" s="31">
        <f t="shared" si="14"/>
        <v>-5</v>
      </c>
      <c r="K136" s="30">
        <f t="shared" si="12"/>
        <v>-50</v>
      </c>
      <c r="L136" s="30"/>
      <c r="M136" s="32">
        <f t="shared" si="13"/>
        <v>0</v>
      </c>
      <c r="N136" s="189" t="s">
        <v>59</v>
      </c>
      <c r="O136" s="189" t="s">
        <v>59</v>
      </c>
      <c r="P136" s="190" t="s">
        <v>59</v>
      </c>
      <c r="Q136" s="191" t="s">
        <v>59</v>
      </c>
      <c r="R136" s="191" t="s">
        <v>59</v>
      </c>
    </row>
    <row r="137" spans="1:18" x14ac:dyDescent="0.25">
      <c r="A137" s="51"/>
      <c r="G137" s="8"/>
      <c r="H137" s="30">
        <v>132</v>
      </c>
      <c r="I137" s="31" t="str">
        <f t="shared" si="11"/>
        <v/>
      </c>
      <c r="J137" s="31">
        <f t="shared" si="14"/>
        <v>-5</v>
      </c>
      <c r="K137" s="30">
        <f t="shared" si="12"/>
        <v>-50</v>
      </c>
      <c r="L137" s="30"/>
      <c r="M137" s="32">
        <f t="shared" si="13"/>
        <v>0</v>
      </c>
      <c r="N137" s="189" t="s">
        <v>59</v>
      </c>
      <c r="O137" s="189" t="s">
        <v>59</v>
      </c>
      <c r="P137" s="190" t="s">
        <v>59</v>
      </c>
      <c r="Q137" s="191" t="s">
        <v>59</v>
      </c>
      <c r="R137" s="191" t="s">
        <v>59</v>
      </c>
    </row>
    <row r="138" spans="1:18" x14ac:dyDescent="0.25">
      <c r="A138" s="51"/>
      <c r="G138" s="8"/>
      <c r="H138" s="30">
        <v>133</v>
      </c>
      <c r="I138" s="31" t="str">
        <f t="shared" si="11"/>
        <v/>
      </c>
      <c r="J138" s="31">
        <f t="shared" si="14"/>
        <v>-5</v>
      </c>
      <c r="K138" s="30">
        <f t="shared" si="12"/>
        <v>-50</v>
      </c>
      <c r="L138" s="30"/>
      <c r="M138" s="32">
        <f t="shared" si="13"/>
        <v>0</v>
      </c>
      <c r="N138" s="189" t="s">
        <v>59</v>
      </c>
      <c r="O138" s="189" t="s">
        <v>59</v>
      </c>
      <c r="P138" s="190" t="s">
        <v>59</v>
      </c>
      <c r="Q138" s="191" t="s">
        <v>59</v>
      </c>
      <c r="R138" s="191" t="s">
        <v>59</v>
      </c>
    </row>
    <row r="139" spans="1:18" x14ac:dyDescent="0.25">
      <c r="A139" s="51"/>
      <c r="G139" s="8"/>
      <c r="H139" s="30">
        <v>134</v>
      </c>
      <c r="I139" s="31" t="str">
        <f t="shared" si="11"/>
        <v/>
      </c>
      <c r="J139" s="31">
        <f t="shared" si="14"/>
        <v>-5</v>
      </c>
      <c r="K139" s="30">
        <f t="shared" si="12"/>
        <v>-50</v>
      </c>
      <c r="L139" s="30"/>
      <c r="M139" s="32">
        <f t="shared" si="13"/>
        <v>0</v>
      </c>
      <c r="N139" s="189" t="s">
        <v>59</v>
      </c>
      <c r="O139" s="189" t="s">
        <v>59</v>
      </c>
      <c r="P139" s="190" t="s">
        <v>59</v>
      </c>
      <c r="Q139" s="191" t="s">
        <v>59</v>
      </c>
      <c r="R139" s="191" t="s">
        <v>59</v>
      </c>
    </row>
    <row r="140" spans="1:18" x14ac:dyDescent="0.25">
      <c r="A140" s="51"/>
      <c r="G140" s="8"/>
      <c r="H140" s="30">
        <v>135</v>
      </c>
      <c r="I140" s="31" t="str">
        <f t="shared" si="11"/>
        <v/>
      </c>
      <c r="J140" s="31">
        <f t="shared" si="14"/>
        <v>-5</v>
      </c>
      <c r="K140" s="30">
        <f t="shared" si="12"/>
        <v>-50</v>
      </c>
      <c r="L140" s="30"/>
      <c r="M140" s="32">
        <f t="shared" si="13"/>
        <v>0</v>
      </c>
      <c r="N140" s="189" t="s">
        <v>59</v>
      </c>
      <c r="O140" s="189" t="s">
        <v>59</v>
      </c>
      <c r="P140" s="190" t="s">
        <v>59</v>
      </c>
      <c r="Q140" s="191" t="s">
        <v>59</v>
      </c>
      <c r="R140" s="191" t="s">
        <v>59</v>
      </c>
    </row>
    <row r="141" spans="1:18" x14ac:dyDescent="0.25">
      <c r="A141" s="51"/>
      <c r="G141" s="8"/>
      <c r="H141" s="30">
        <v>136</v>
      </c>
      <c r="I141" s="31" t="str">
        <f t="shared" si="11"/>
        <v/>
      </c>
      <c r="J141" s="31">
        <f t="shared" si="14"/>
        <v>-5</v>
      </c>
      <c r="K141" s="30">
        <f t="shared" si="12"/>
        <v>-50</v>
      </c>
      <c r="L141" s="30"/>
      <c r="M141" s="32">
        <f t="shared" si="13"/>
        <v>0</v>
      </c>
      <c r="N141" s="189" t="s">
        <v>59</v>
      </c>
      <c r="O141" s="189" t="s">
        <v>59</v>
      </c>
      <c r="P141" s="190" t="s">
        <v>59</v>
      </c>
      <c r="Q141" s="191" t="s">
        <v>59</v>
      </c>
      <c r="R141" s="191" t="s">
        <v>59</v>
      </c>
    </row>
    <row r="142" spans="1:18" x14ac:dyDescent="0.25">
      <c r="A142" s="51"/>
      <c r="G142" s="8"/>
      <c r="H142" s="30">
        <v>137</v>
      </c>
      <c r="I142" s="31" t="str">
        <f t="shared" si="11"/>
        <v/>
      </c>
      <c r="J142" s="31">
        <f t="shared" si="14"/>
        <v>-5</v>
      </c>
      <c r="K142" s="30">
        <f t="shared" si="12"/>
        <v>-50</v>
      </c>
      <c r="L142" s="30"/>
      <c r="M142" s="32">
        <f t="shared" si="13"/>
        <v>0</v>
      </c>
      <c r="N142" s="189" t="s">
        <v>59</v>
      </c>
      <c r="O142" s="189" t="s">
        <v>59</v>
      </c>
      <c r="P142" s="190" t="s">
        <v>59</v>
      </c>
      <c r="Q142" s="191" t="s">
        <v>59</v>
      </c>
      <c r="R142" s="191" t="s">
        <v>59</v>
      </c>
    </row>
    <row r="143" spans="1:18" x14ac:dyDescent="0.25">
      <c r="A143" s="51"/>
      <c r="G143" s="8"/>
      <c r="H143" s="30">
        <v>138</v>
      </c>
      <c r="I143" s="31" t="str">
        <f t="shared" si="11"/>
        <v/>
      </c>
      <c r="J143" s="31">
        <f t="shared" si="14"/>
        <v>-5</v>
      </c>
      <c r="K143" s="30">
        <f t="shared" si="12"/>
        <v>-50</v>
      </c>
      <c r="L143" s="30"/>
      <c r="M143" s="32">
        <f t="shared" si="13"/>
        <v>0</v>
      </c>
      <c r="N143" s="189" t="s">
        <v>59</v>
      </c>
      <c r="O143" s="189" t="s">
        <v>59</v>
      </c>
      <c r="P143" s="190" t="s">
        <v>59</v>
      </c>
      <c r="Q143" s="191" t="s">
        <v>59</v>
      </c>
      <c r="R143" s="191" t="s">
        <v>59</v>
      </c>
    </row>
    <row r="144" spans="1:18" x14ac:dyDescent="0.25">
      <c r="A144" s="51"/>
      <c r="G144" s="8"/>
      <c r="H144" s="30">
        <v>139</v>
      </c>
      <c r="I144" s="31" t="str">
        <f t="shared" si="11"/>
        <v/>
      </c>
      <c r="J144" s="31">
        <f t="shared" si="14"/>
        <v>-5</v>
      </c>
      <c r="K144" s="30">
        <f t="shared" si="12"/>
        <v>-50</v>
      </c>
      <c r="L144" s="30"/>
      <c r="M144" s="32">
        <f t="shared" si="13"/>
        <v>0</v>
      </c>
      <c r="N144" s="189" t="s">
        <v>59</v>
      </c>
      <c r="O144" s="189" t="s">
        <v>59</v>
      </c>
      <c r="P144" s="190" t="s">
        <v>59</v>
      </c>
      <c r="Q144" s="191" t="s">
        <v>59</v>
      </c>
      <c r="R144" s="191" t="s">
        <v>59</v>
      </c>
    </row>
    <row r="145" spans="1:18" x14ac:dyDescent="0.25">
      <c r="A145" s="51"/>
      <c r="G145" s="8"/>
      <c r="H145" s="30">
        <v>140</v>
      </c>
      <c r="I145" s="31" t="str">
        <f t="shared" si="11"/>
        <v/>
      </c>
      <c r="J145" s="31">
        <f t="shared" si="14"/>
        <v>-5</v>
      </c>
      <c r="K145" s="30">
        <f t="shared" si="12"/>
        <v>-50</v>
      </c>
      <c r="L145" s="30"/>
      <c r="M145" s="32">
        <f t="shared" si="13"/>
        <v>0</v>
      </c>
      <c r="N145" s="189" t="s">
        <v>59</v>
      </c>
      <c r="O145" s="189" t="s">
        <v>59</v>
      </c>
      <c r="P145" s="190" t="s">
        <v>59</v>
      </c>
      <c r="Q145" s="191" t="s">
        <v>59</v>
      </c>
      <c r="R145" s="191" t="s">
        <v>59</v>
      </c>
    </row>
    <row r="146" spans="1:18" x14ac:dyDescent="0.25">
      <c r="A146" s="51"/>
      <c r="G146" s="8"/>
      <c r="H146" s="30">
        <v>141</v>
      </c>
      <c r="I146" s="31" t="str">
        <f t="shared" si="11"/>
        <v/>
      </c>
      <c r="J146" s="31">
        <f t="shared" si="14"/>
        <v>-5</v>
      </c>
      <c r="K146" s="30">
        <f t="shared" si="12"/>
        <v>-50</v>
      </c>
      <c r="L146" s="30"/>
      <c r="M146" s="32">
        <f t="shared" si="13"/>
        <v>0</v>
      </c>
      <c r="N146" s="189" t="s">
        <v>59</v>
      </c>
      <c r="O146" s="189" t="s">
        <v>59</v>
      </c>
      <c r="P146" s="190" t="s">
        <v>59</v>
      </c>
      <c r="Q146" s="191" t="s">
        <v>59</v>
      </c>
      <c r="R146" s="191" t="s">
        <v>59</v>
      </c>
    </row>
    <row r="147" spans="1:18" x14ac:dyDescent="0.25">
      <c r="A147" s="51"/>
      <c r="G147" s="8"/>
      <c r="H147" s="30">
        <v>142</v>
      </c>
      <c r="I147" s="31" t="str">
        <f t="shared" si="11"/>
        <v/>
      </c>
      <c r="J147" s="31">
        <f t="shared" si="14"/>
        <v>-5</v>
      </c>
      <c r="K147" s="30">
        <f t="shared" si="12"/>
        <v>-50</v>
      </c>
      <c r="L147" s="30"/>
      <c r="M147" s="32">
        <f t="shared" si="13"/>
        <v>0</v>
      </c>
      <c r="N147" s="189" t="s">
        <v>59</v>
      </c>
      <c r="O147" s="189" t="s">
        <v>59</v>
      </c>
      <c r="P147" s="190" t="s">
        <v>59</v>
      </c>
      <c r="Q147" s="191" t="s">
        <v>59</v>
      </c>
      <c r="R147" s="191" t="s">
        <v>59</v>
      </c>
    </row>
    <row r="148" spans="1:18" x14ac:dyDescent="0.25">
      <c r="A148" s="51"/>
      <c r="G148" s="8"/>
      <c r="H148" s="30">
        <v>143</v>
      </c>
      <c r="I148" s="31" t="str">
        <f t="shared" si="11"/>
        <v/>
      </c>
      <c r="J148" s="31">
        <f t="shared" si="14"/>
        <v>-5</v>
      </c>
      <c r="K148" s="30">
        <f t="shared" si="12"/>
        <v>-50</v>
      </c>
      <c r="L148" s="30"/>
      <c r="M148" s="32">
        <f t="shared" si="13"/>
        <v>0</v>
      </c>
      <c r="N148" s="189" t="s">
        <v>59</v>
      </c>
      <c r="O148" s="189" t="s">
        <v>59</v>
      </c>
      <c r="P148" s="190" t="s">
        <v>59</v>
      </c>
      <c r="Q148" s="191" t="s">
        <v>59</v>
      </c>
      <c r="R148" s="191" t="s">
        <v>59</v>
      </c>
    </row>
    <row r="149" spans="1:18" x14ac:dyDescent="0.25">
      <c r="A149" s="51"/>
      <c r="G149" s="8"/>
      <c r="H149" s="30">
        <v>144</v>
      </c>
      <c r="I149" s="31" t="str">
        <f t="shared" si="11"/>
        <v/>
      </c>
      <c r="J149" s="31">
        <f t="shared" si="14"/>
        <v>-5</v>
      </c>
      <c r="K149" s="30">
        <f t="shared" si="12"/>
        <v>-50</v>
      </c>
      <c r="L149" s="30"/>
      <c r="M149" s="32">
        <f t="shared" si="13"/>
        <v>0</v>
      </c>
      <c r="N149" s="189" t="s">
        <v>59</v>
      </c>
      <c r="O149" s="189" t="s">
        <v>59</v>
      </c>
      <c r="P149" s="190" t="s">
        <v>59</v>
      </c>
      <c r="Q149" s="191" t="s">
        <v>59</v>
      </c>
      <c r="R149" s="191" t="s">
        <v>59</v>
      </c>
    </row>
    <row r="150" spans="1:18" x14ac:dyDescent="0.25">
      <c r="A150" s="51"/>
      <c r="G150" s="8"/>
      <c r="H150" s="30">
        <v>145</v>
      </c>
      <c r="I150" s="31" t="str">
        <f t="shared" si="11"/>
        <v/>
      </c>
      <c r="J150" s="31">
        <f t="shared" si="14"/>
        <v>-5</v>
      </c>
      <c r="K150" s="30">
        <f t="shared" si="12"/>
        <v>-50</v>
      </c>
      <c r="L150" s="30"/>
      <c r="M150" s="32">
        <f t="shared" si="13"/>
        <v>0</v>
      </c>
      <c r="N150" s="189" t="s">
        <v>59</v>
      </c>
      <c r="O150" s="189" t="s">
        <v>59</v>
      </c>
      <c r="P150" s="190" t="s">
        <v>59</v>
      </c>
      <c r="Q150" s="191" t="s">
        <v>59</v>
      </c>
      <c r="R150" s="191" t="s">
        <v>59</v>
      </c>
    </row>
    <row r="151" spans="1:18" x14ac:dyDescent="0.25">
      <c r="A151" s="51"/>
      <c r="G151" s="8"/>
      <c r="H151" s="30">
        <v>146</v>
      </c>
      <c r="I151" s="31" t="str">
        <f t="shared" si="11"/>
        <v/>
      </c>
      <c r="J151" s="31">
        <f t="shared" si="14"/>
        <v>-5</v>
      </c>
      <c r="K151" s="30">
        <f t="shared" si="12"/>
        <v>-50</v>
      </c>
      <c r="L151" s="30"/>
      <c r="M151" s="32">
        <f t="shared" si="13"/>
        <v>0</v>
      </c>
      <c r="N151" s="189" t="s">
        <v>59</v>
      </c>
      <c r="O151" s="189" t="s">
        <v>59</v>
      </c>
      <c r="P151" s="190" t="s">
        <v>59</v>
      </c>
      <c r="Q151" s="191" t="s">
        <v>59</v>
      </c>
      <c r="R151" s="191" t="s">
        <v>59</v>
      </c>
    </row>
    <row r="152" spans="1:18" x14ac:dyDescent="0.25">
      <c r="A152" s="51"/>
      <c r="G152" s="8"/>
      <c r="H152" s="30">
        <v>147</v>
      </c>
      <c r="I152" s="31" t="str">
        <f t="shared" si="11"/>
        <v/>
      </c>
      <c r="J152" s="31">
        <f t="shared" si="14"/>
        <v>-5</v>
      </c>
      <c r="K152" s="30">
        <f t="shared" si="12"/>
        <v>-50</v>
      </c>
      <c r="L152" s="30"/>
      <c r="M152" s="32">
        <f t="shared" si="13"/>
        <v>0</v>
      </c>
      <c r="N152" s="189" t="s">
        <v>59</v>
      </c>
      <c r="O152" s="189" t="s">
        <v>59</v>
      </c>
      <c r="P152" s="190" t="s">
        <v>59</v>
      </c>
      <c r="Q152" s="191" t="s">
        <v>59</v>
      </c>
      <c r="R152" s="191" t="s">
        <v>59</v>
      </c>
    </row>
    <row r="153" spans="1:18" x14ac:dyDescent="0.25">
      <c r="A153" s="51"/>
      <c r="G153" s="8"/>
      <c r="H153" s="30">
        <v>148</v>
      </c>
      <c r="I153" s="31" t="str">
        <f t="shared" si="11"/>
        <v/>
      </c>
      <c r="J153" s="31">
        <f t="shared" si="14"/>
        <v>-5</v>
      </c>
      <c r="K153" s="30">
        <f t="shared" si="12"/>
        <v>-50</v>
      </c>
      <c r="L153" s="30"/>
      <c r="M153" s="32">
        <f t="shared" si="13"/>
        <v>0</v>
      </c>
      <c r="N153" s="189" t="s">
        <v>59</v>
      </c>
      <c r="O153" s="189" t="s">
        <v>59</v>
      </c>
      <c r="P153" s="190" t="s">
        <v>59</v>
      </c>
      <c r="Q153" s="191" t="s">
        <v>59</v>
      </c>
      <c r="R153" s="191" t="s">
        <v>59</v>
      </c>
    </row>
    <row r="154" spans="1:18" x14ac:dyDescent="0.25">
      <c r="A154" s="51"/>
      <c r="G154" s="8"/>
      <c r="H154" s="30">
        <v>149</v>
      </c>
      <c r="I154" s="31" t="str">
        <f t="shared" si="11"/>
        <v/>
      </c>
      <c r="J154" s="31">
        <f t="shared" si="14"/>
        <v>-5</v>
      </c>
      <c r="K154" s="30">
        <f t="shared" si="12"/>
        <v>-50</v>
      </c>
      <c r="L154" s="30"/>
      <c r="M154" s="32">
        <f t="shared" si="13"/>
        <v>0</v>
      </c>
      <c r="N154" s="189" t="s">
        <v>59</v>
      </c>
      <c r="O154" s="189" t="s">
        <v>59</v>
      </c>
      <c r="P154" s="190" t="s">
        <v>59</v>
      </c>
      <c r="Q154" s="191" t="s">
        <v>59</v>
      </c>
      <c r="R154" s="191" t="s">
        <v>59</v>
      </c>
    </row>
    <row r="155" spans="1:18" x14ac:dyDescent="0.25">
      <c r="A155" s="51"/>
      <c r="G155" s="8"/>
      <c r="H155" s="30">
        <v>150</v>
      </c>
      <c r="I155" s="31" t="str">
        <f t="shared" si="11"/>
        <v/>
      </c>
      <c r="J155" s="31">
        <f t="shared" si="14"/>
        <v>-5</v>
      </c>
      <c r="K155" s="30">
        <f t="shared" si="12"/>
        <v>-50</v>
      </c>
      <c r="L155" s="30"/>
      <c r="M155" s="32">
        <f t="shared" si="13"/>
        <v>0</v>
      </c>
      <c r="N155" s="189" t="s">
        <v>59</v>
      </c>
      <c r="O155" s="189" t="s">
        <v>59</v>
      </c>
      <c r="P155" s="190" t="s">
        <v>59</v>
      </c>
      <c r="Q155" s="191" t="s">
        <v>59</v>
      </c>
      <c r="R155" s="191" t="s">
        <v>59</v>
      </c>
    </row>
    <row r="156" spans="1:18" x14ac:dyDescent="0.25">
      <c r="A156" s="51"/>
      <c r="G156" s="8"/>
      <c r="H156" s="30">
        <v>151</v>
      </c>
      <c r="I156" s="31" t="str">
        <f t="shared" si="11"/>
        <v/>
      </c>
      <c r="J156" s="31">
        <f t="shared" si="14"/>
        <v>-5</v>
      </c>
      <c r="K156" s="30">
        <f t="shared" si="12"/>
        <v>-50</v>
      </c>
      <c r="L156" s="30"/>
      <c r="M156" s="32">
        <f t="shared" si="13"/>
        <v>0</v>
      </c>
      <c r="N156" s="189" t="s">
        <v>59</v>
      </c>
      <c r="O156" s="189" t="s">
        <v>59</v>
      </c>
      <c r="P156" s="190" t="s">
        <v>59</v>
      </c>
      <c r="Q156" s="191" t="s">
        <v>59</v>
      </c>
      <c r="R156" s="191" t="s">
        <v>59</v>
      </c>
    </row>
    <row r="157" spans="1:18" x14ac:dyDescent="0.25">
      <c r="A157" s="51"/>
      <c r="G157" s="8"/>
      <c r="H157" s="30">
        <v>152</v>
      </c>
      <c r="I157" s="31" t="str">
        <f t="shared" si="11"/>
        <v/>
      </c>
      <c r="J157" s="31">
        <f t="shared" si="14"/>
        <v>-5</v>
      </c>
      <c r="K157" s="30">
        <f t="shared" si="12"/>
        <v>-50</v>
      </c>
      <c r="L157" s="30"/>
      <c r="M157" s="32">
        <f t="shared" si="13"/>
        <v>0</v>
      </c>
      <c r="N157" s="189" t="s">
        <v>59</v>
      </c>
      <c r="O157" s="189" t="s">
        <v>59</v>
      </c>
      <c r="P157" s="190" t="s">
        <v>59</v>
      </c>
      <c r="Q157" s="191" t="s">
        <v>59</v>
      </c>
      <c r="R157" s="191" t="s">
        <v>59</v>
      </c>
    </row>
    <row r="158" spans="1:18" x14ac:dyDescent="0.25">
      <c r="A158" s="51"/>
      <c r="G158" s="8"/>
      <c r="H158" s="30">
        <v>153</v>
      </c>
      <c r="I158" s="31" t="str">
        <f t="shared" si="11"/>
        <v/>
      </c>
      <c r="J158" s="31">
        <f t="shared" si="14"/>
        <v>-5</v>
      </c>
      <c r="K158" s="30">
        <f t="shared" si="12"/>
        <v>-50</v>
      </c>
      <c r="L158" s="30"/>
      <c r="M158" s="32">
        <f t="shared" si="13"/>
        <v>0</v>
      </c>
      <c r="N158" s="189" t="s">
        <v>59</v>
      </c>
      <c r="O158" s="189" t="s">
        <v>59</v>
      </c>
      <c r="P158" s="190" t="s">
        <v>59</v>
      </c>
      <c r="Q158" s="191" t="s">
        <v>59</v>
      </c>
      <c r="R158" s="191" t="s">
        <v>59</v>
      </c>
    </row>
    <row r="159" spans="1:18" x14ac:dyDescent="0.25">
      <c r="A159" s="51"/>
      <c r="G159" s="8"/>
      <c r="H159" s="30">
        <v>154</v>
      </c>
      <c r="I159" s="31" t="str">
        <f t="shared" si="11"/>
        <v/>
      </c>
      <c r="J159" s="31">
        <f t="shared" si="14"/>
        <v>-5</v>
      </c>
      <c r="K159" s="30">
        <f t="shared" si="12"/>
        <v>-50</v>
      </c>
      <c r="L159" s="30"/>
      <c r="M159" s="32">
        <f t="shared" si="13"/>
        <v>0</v>
      </c>
      <c r="N159" s="189" t="s">
        <v>59</v>
      </c>
      <c r="O159" s="189" t="s">
        <v>59</v>
      </c>
      <c r="P159" s="190" t="s">
        <v>59</v>
      </c>
      <c r="Q159" s="191" t="s">
        <v>59</v>
      </c>
      <c r="R159" s="191" t="s">
        <v>59</v>
      </c>
    </row>
    <row r="160" spans="1:18" x14ac:dyDescent="0.25">
      <c r="A160" s="51"/>
      <c r="G160" s="8"/>
      <c r="H160" s="30">
        <v>155</v>
      </c>
      <c r="I160" s="31" t="str">
        <f t="shared" si="11"/>
        <v/>
      </c>
      <c r="J160" s="31">
        <f t="shared" si="14"/>
        <v>-5</v>
      </c>
      <c r="K160" s="30">
        <f t="shared" si="12"/>
        <v>-50</v>
      </c>
      <c r="L160" s="30"/>
      <c r="M160" s="32">
        <f t="shared" si="13"/>
        <v>0</v>
      </c>
      <c r="N160" s="189" t="s">
        <v>59</v>
      </c>
      <c r="O160" s="189" t="s">
        <v>59</v>
      </c>
      <c r="P160" s="190" t="s">
        <v>59</v>
      </c>
      <c r="Q160" s="191" t="s">
        <v>59</v>
      </c>
      <c r="R160" s="191" t="s">
        <v>59</v>
      </c>
    </row>
    <row r="161" spans="1:18" x14ac:dyDescent="0.25">
      <c r="A161" s="51"/>
      <c r="G161" s="8"/>
      <c r="H161" s="30">
        <v>156</v>
      </c>
      <c r="I161" s="31" t="str">
        <f t="shared" si="11"/>
        <v/>
      </c>
      <c r="J161" s="31">
        <f t="shared" si="14"/>
        <v>-5</v>
      </c>
      <c r="K161" s="30">
        <f t="shared" si="12"/>
        <v>-50</v>
      </c>
      <c r="L161" s="30"/>
      <c r="M161" s="32">
        <f t="shared" si="13"/>
        <v>0</v>
      </c>
      <c r="N161" s="189" t="s">
        <v>59</v>
      </c>
      <c r="O161" s="189" t="s">
        <v>59</v>
      </c>
      <c r="P161" s="190" t="s">
        <v>59</v>
      </c>
      <c r="Q161" s="191" t="s">
        <v>59</v>
      </c>
      <c r="R161" s="191" t="s">
        <v>59</v>
      </c>
    </row>
    <row r="162" spans="1:18" x14ac:dyDescent="0.25">
      <c r="A162" s="51"/>
      <c r="G162" s="8"/>
      <c r="H162" s="30">
        <v>157</v>
      </c>
      <c r="I162" s="31" t="str">
        <f t="shared" si="11"/>
        <v/>
      </c>
      <c r="J162" s="31">
        <f t="shared" si="14"/>
        <v>-5</v>
      </c>
      <c r="K162" s="30">
        <f t="shared" si="12"/>
        <v>-50</v>
      </c>
      <c r="L162" s="30"/>
      <c r="M162" s="32">
        <f t="shared" si="13"/>
        <v>0</v>
      </c>
      <c r="N162" s="189" t="s">
        <v>59</v>
      </c>
      <c r="O162" s="189" t="s">
        <v>59</v>
      </c>
      <c r="P162" s="190" t="s">
        <v>59</v>
      </c>
      <c r="Q162" s="191" t="s">
        <v>59</v>
      </c>
      <c r="R162" s="191" t="s">
        <v>59</v>
      </c>
    </row>
    <row r="163" spans="1:18" x14ac:dyDescent="0.25">
      <c r="A163" s="51"/>
      <c r="G163" s="8"/>
      <c r="H163" s="30">
        <v>158</v>
      </c>
      <c r="I163" s="31" t="str">
        <f t="shared" si="11"/>
        <v/>
      </c>
      <c r="J163" s="31">
        <f t="shared" si="14"/>
        <v>-5</v>
      </c>
      <c r="K163" s="30">
        <f t="shared" si="12"/>
        <v>-50</v>
      </c>
      <c r="L163" s="30"/>
      <c r="M163" s="32">
        <f t="shared" si="13"/>
        <v>0</v>
      </c>
      <c r="N163" s="189" t="s">
        <v>59</v>
      </c>
      <c r="O163" s="189" t="s">
        <v>59</v>
      </c>
      <c r="P163" s="190" t="s">
        <v>59</v>
      </c>
      <c r="Q163" s="191" t="s">
        <v>59</v>
      </c>
      <c r="R163" s="191" t="s">
        <v>59</v>
      </c>
    </row>
    <row r="164" spans="1:18" x14ac:dyDescent="0.25">
      <c r="A164" s="51"/>
      <c r="G164" s="8"/>
      <c r="H164" s="30">
        <v>159</v>
      </c>
      <c r="I164" s="31" t="str">
        <f t="shared" si="11"/>
        <v/>
      </c>
      <c r="J164" s="31">
        <f t="shared" si="14"/>
        <v>-5</v>
      </c>
      <c r="K164" s="30">
        <f t="shared" si="12"/>
        <v>-50</v>
      </c>
      <c r="L164" s="30"/>
      <c r="M164" s="32">
        <f t="shared" si="13"/>
        <v>0</v>
      </c>
      <c r="N164" s="189" t="s">
        <v>59</v>
      </c>
      <c r="O164" s="189" t="s">
        <v>59</v>
      </c>
      <c r="P164" s="190" t="s">
        <v>59</v>
      </c>
      <c r="Q164" s="191" t="s">
        <v>59</v>
      </c>
      <c r="R164" s="191" t="s">
        <v>59</v>
      </c>
    </row>
    <row r="165" spans="1:18" x14ac:dyDescent="0.25">
      <c r="A165" s="51"/>
      <c r="G165" s="8"/>
      <c r="H165" s="30">
        <v>160</v>
      </c>
      <c r="I165" s="31" t="str">
        <f t="shared" si="11"/>
        <v/>
      </c>
      <c r="J165" s="31">
        <f t="shared" si="14"/>
        <v>-5</v>
      </c>
      <c r="K165" s="30">
        <f t="shared" si="12"/>
        <v>-50</v>
      </c>
      <c r="L165" s="30"/>
      <c r="M165" s="32">
        <f t="shared" si="13"/>
        <v>0</v>
      </c>
      <c r="N165" s="189" t="s">
        <v>59</v>
      </c>
      <c r="O165" s="189" t="s">
        <v>59</v>
      </c>
      <c r="P165" s="190" t="s">
        <v>59</v>
      </c>
      <c r="Q165" s="191" t="s">
        <v>59</v>
      </c>
      <c r="R165" s="191" t="s">
        <v>59</v>
      </c>
    </row>
    <row r="166" spans="1:18" x14ac:dyDescent="0.25">
      <c r="A166" s="51"/>
      <c r="G166" s="8"/>
      <c r="H166" s="30">
        <v>161</v>
      </c>
      <c r="I166" s="31" t="str">
        <f t="shared" si="11"/>
        <v/>
      </c>
      <c r="J166" s="31">
        <f t="shared" si="14"/>
        <v>-5</v>
      </c>
      <c r="K166" s="30">
        <f t="shared" si="12"/>
        <v>-50</v>
      </c>
      <c r="L166" s="30"/>
      <c r="M166" s="32">
        <f t="shared" si="13"/>
        <v>0</v>
      </c>
      <c r="N166" s="189" t="s">
        <v>59</v>
      </c>
      <c r="O166" s="189" t="s">
        <v>59</v>
      </c>
      <c r="P166" s="190" t="s">
        <v>59</v>
      </c>
      <c r="Q166" s="191" t="s">
        <v>59</v>
      </c>
      <c r="R166" s="191" t="s">
        <v>59</v>
      </c>
    </row>
    <row r="167" spans="1:18" x14ac:dyDescent="0.25">
      <c r="A167" s="51"/>
      <c r="G167" s="8"/>
      <c r="H167" s="30">
        <v>162</v>
      </c>
      <c r="I167" s="31" t="str">
        <f t="shared" si="11"/>
        <v/>
      </c>
      <c r="J167" s="31">
        <f t="shared" si="14"/>
        <v>-5</v>
      </c>
      <c r="K167" s="30">
        <f t="shared" si="12"/>
        <v>-50</v>
      </c>
      <c r="L167" s="30"/>
      <c r="M167" s="32">
        <f t="shared" si="13"/>
        <v>0</v>
      </c>
      <c r="N167" s="189" t="s">
        <v>59</v>
      </c>
      <c r="O167" s="189" t="s">
        <v>59</v>
      </c>
      <c r="P167" s="190" t="s">
        <v>59</v>
      </c>
      <c r="Q167" s="191" t="s">
        <v>59</v>
      </c>
      <c r="R167" s="191" t="s">
        <v>59</v>
      </c>
    </row>
    <row r="168" spans="1:18" x14ac:dyDescent="0.25">
      <c r="A168" s="51"/>
      <c r="G168" s="8"/>
      <c r="H168" s="30">
        <v>163</v>
      </c>
      <c r="I168" s="31" t="str">
        <f t="shared" si="11"/>
        <v/>
      </c>
      <c r="J168" s="31">
        <f t="shared" si="14"/>
        <v>-5</v>
      </c>
      <c r="K168" s="30">
        <f t="shared" si="12"/>
        <v>-50</v>
      </c>
      <c r="L168" s="30"/>
      <c r="M168" s="32">
        <f t="shared" si="13"/>
        <v>0</v>
      </c>
      <c r="N168" s="189" t="s">
        <v>59</v>
      </c>
      <c r="O168" s="189" t="s">
        <v>59</v>
      </c>
      <c r="P168" s="190" t="s">
        <v>59</v>
      </c>
      <c r="Q168" s="191" t="s">
        <v>59</v>
      </c>
      <c r="R168" s="191" t="s">
        <v>59</v>
      </c>
    </row>
    <row r="169" spans="1:18" x14ac:dyDescent="0.25">
      <c r="A169" s="51"/>
      <c r="G169" s="8"/>
      <c r="H169" s="30">
        <v>164</v>
      </c>
      <c r="I169" s="31" t="str">
        <f t="shared" si="11"/>
        <v/>
      </c>
      <c r="J169" s="31">
        <f t="shared" si="14"/>
        <v>-5</v>
      </c>
      <c r="K169" s="30">
        <f t="shared" si="12"/>
        <v>-50</v>
      </c>
      <c r="L169" s="30"/>
      <c r="M169" s="32">
        <f t="shared" si="13"/>
        <v>0</v>
      </c>
      <c r="N169" s="189" t="s">
        <v>59</v>
      </c>
      <c r="O169" s="189" t="s">
        <v>59</v>
      </c>
      <c r="P169" s="190" t="s">
        <v>59</v>
      </c>
      <c r="Q169" s="191" t="s">
        <v>59</v>
      </c>
      <c r="R169" s="191" t="s">
        <v>59</v>
      </c>
    </row>
    <row r="170" spans="1:18" x14ac:dyDescent="0.25">
      <c r="A170" s="51"/>
      <c r="G170" s="8"/>
      <c r="H170" s="30">
        <v>165</v>
      </c>
      <c r="I170" s="31" t="str">
        <f t="shared" si="11"/>
        <v/>
      </c>
      <c r="J170" s="31">
        <f t="shared" si="14"/>
        <v>-5</v>
      </c>
      <c r="K170" s="30">
        <f t="shared" si="12"/>
        <v>-50</v>
      </c>
      <c r="L170" s="30"/>
      <c r="M170" s="32">
        <f t="shared" si="13"/>
        <v>0</v>
      </c>
      <c r="N170" s="189" t="s">
        <v>59</v>
      </c>
      <c r="O170" s="189" t="s">
        <v>59</v>
      </c>
      <c r="P170" s="190" t="s">
        <v>59</v>
      </c>
      <c r="Q170" s="191" t="s">
        <v>59</v>
      </c>
      <c r="R170" s="191" t="s">
        <v>59</v>
      </c>
    </row>
    <row r="171" spans="1:18" x14ac:dyDescent="0.25">
      <c r="A171" s="51"/>
      <c r="G171" s="8"/>
      <c r="H171" s="30">
        <v>166</v>
      </c>
      <c r="I171" s="31" t="str">
        <f t="shared" si="11"/>
        <v/>
      </c>
      <c r="J171" s="31">
        <f t="shared" si="14"/>
        <v>-5</v>
      </c>
      <c r="K171" s="30">
        <f t="shared" si="12"/>
        <v>-50</v>
      </c>
      <c r="L171" s="30"/>
      <c r="M171" s="32">
        <f t="shared" si="13"/>
        <v>0</v>
      </c>
      <c r="N171" s="189" t="s">
        <v>59</v>
      </c>
      <c r="O171" s="189" t="s">
        <v>59</v>
      </c>
      <c r="P171" s="190" t="s">
        <v>59</v>
      </c>
      <c r="Q171" s="191" t="s">
        <v>59</v>
      </c>
      <c r="R171" s="191" t="s">
        <v>59</v>
      </c>
    </row>
    <row r="172" spans="1:18" x14ac:dyDescent="0.25">
      <c r="A172" s="51"/>
      <c r="G172" s="8"/>
      <c r="H172" s="30">
        <v>167</v>
      </c>
      <c r="I172" s="31" t="str">
        <f t="shared" si="11"/>
        <v/>
      </c>
      <c r="J172" s="31">
        <f t="shared" si="14"/>
        <v>-5</v>
      </c>
      <c r="K172" s="30">
        <f t="shared" si="12"/>
        <v>-50</v>
      </c>
      <c r="L172" s="30"/>
      <c r="M172" s="32">
        <f t="shared" si="13"/>
        <v>0</v>
      </c>
      <c r="N172" s="189" t="s">
        <v>59</v>
      </c>
      <c r="O172" s="189" t="s">
        <v>59</v>
      </c>
      <c r="P172" s="190" t="s">
        <v>59</v>
      </c>
      <c r="Q172" s="191" t="s">
        <v>59</v>
      </c>
      <c r="R172" s="191" t="s">
        <v>59</v>
      </c>
    </row>
    <row r="173" spans="1:18" x14ac:dyDescent="0.25">
      <c r="A173" s="51"/>
      <c r="G173" s="8"/>
      <c r="H173" s="30">
        <v>168</v>
      </c>
      <c r="I173" s="31" t="str">
        <f t="shared" si="11"/>
        <v/>
      </c>
      <c r="J173" s="31">
        <f t="shared" si="14"/>
        <v>-5</v>
      </c>
      <c r="K173" s="30">
        <f t="shared" si="12"/>
        <v>-50</v>
      </c>
      <c r="L173" s="30"/>
      <c r="M173" s="32">
        <f t="shared" si="13"/>
        <v>0</v>
      </c>
      <c r="N173" s="189" t="s">
        <v>59</v>
      </c>
      <c r="O173" s="189" t="s">
        <v>59</v>
      </c>
      <c r="P173" s="190" t="s">
        <v>59</v>
      </c>
      <c r="Q173" s="191" t="s">
        <v>59</v>
      </c>
      <c r="R173" s="191" t="s">
        <v>59</v>
      </c>
    </row>
    <row r="174" spans="1:18" x14ac:dyDescent="0.25">
      <c r="A174" s="51"/>
      <c r="G174" s="8"/>
      <c r="H174" s="30">
        <v>169</v>
      </c>
      <c r="I174" s="31" t="str">
        <f t="shared" si="11"/>
        <v/>
      </c>
      <c r="J174" s="31">
        <f t="shared" si="14"/>
        <v>-5</v>
      </c>
      <c r="K174" s="30">
        <f t="shared" si="12"/>
        <v>-50</v>
      </c>
      <c r="L174" s="30"/>
      <c r="M174" s="32">
        <f t="shared" si="13"/>
        <v>0</v>
      </c>
      <c r="N174" s="189" t="s">
        <v>59</v>
      </c>
      <c r="O174" s="189" t="s">
        <v>59</v>
      </c>
      <c r="P174" s="190" t="s">
        <v>59</v>
      </c>
      <c r="Q174" s="191" t="s">
        <v>59</v>
      </c>
      <c r="R174" s="191" t="s">
        <v>59</v>
      </c>
    </row>
    <row r="175" spans="1:18" x14ac:dyDescent="0.25">
      <c r="A175" s="51"/>
      <c r="G175" s="8"/>
      <c r="H175" s="30">
        <v>170</v>
      </c>
      <c r="I175" s="31" t="str">
        <f t="shared" si="11"/>
        <v/>
      </c>
      <c r="J175" s="31">
        <f t="shared" si="14"/>
        <v>-5</v>
      </c>
      <c r="K175" s="30">
        <f t="shared" si="12"/>
        <v>-50</v>
      </c>
      <c r="L175" s="30"/>
      <c r="M175" s="32">
        <f t="shared" si="13"/>
        <v>0</v>
      </c>
      <c r="N175" s="189" t="s">
        <v>59</v>
      </c>
      <c r="O175" s="189" t="s">
        <v>59</v>
      </c>
      <c r="P175" s="190" t="s">
        <v>59</v>
      </c>
      <c r="Q175" s="191" t="s">
        <v>59</v>
      </c>
      <c r="R175" s="191" t="s">
        <v>59</v>
      </c>
    </row>
    <row r="176" spans="1:18" x14ac:dyDescent="0.25">
      <c r="A176" s="51"/>
      <c r="G176" s="8"/>
      <c r="H176" s="30">
        <v>171</v>
      </c>
      <c r="I176" s="31" t="str">
        <f t="shared" si="11"/>
        <v/>
      </c>
      <c r="J176" s="31">
        <f t="shared" si="14"/>
        <v>-5</v>
      </c>
      <c r="K176" s="30">
        <f t="shared" si="12"/>
        <v>-50</v>
      </c>
      <c r="L176" s="30"/>
      <c r="M176" s="32">
        <f t="shared" si="13"/>
        <v>0</v>
      </c>
      <c r="N176" s="189" t="s">
        <v>59</v>
      </c>
      <c r="O176" s="189" t="s">
        <v>59</v>
      </c>
      <c r="P176" s="190" t="s">
        <v>59</v>
      </c>
      <c r="Q176" s="191" t="s">
        <v>59</v>
      </c>
      <c r="R176" s="191" t="s">
        <v>59</v>
      </c>
    </row>
    <row r="177" spans="1:18" x14ac:dyDescent="0.25">
      <c r="A177" s="51"/>
      <c r="G177" s="8"/>
      <c r="H177" s="30">
        <v>172</v>
      </c>
      <c r="I177" s="31" t="str">
        <f t="shared" si="11"/>
        <v/>
      </c>
      <c r="J177" s="31">
        <f t="shared" si="14"/>
        <v>-5</v>
      </c>
      <c r="K177" s="30">
        <f t="shared" si="12"/>
        <v>-50</v>
      </c>
      <c r="L177" s="30"/>
      <c r="M177" s="32">
        <f t="shared" si="13"/>
        <v>0</v>
      </c>
      <c r="N177" s="189" t="s">
        <v>59</v>
      </c>
      <c r="O177" s="189" t="s">
        <v>59</v>
      </c>
      <c r="P177" s="190" t="s">
        <v>59</v>
      </c>
      <c r="Q177" s="191" t="s">
        <v>59</v>
      </c>
      <c r="R177" s="191" t="s">
        <v>59</v>
      </c>
    </row>
    <row r="178" spans="1:18" x14ac:dyDescent="0.25">
      <c r="A178" s="51"/>
      <c r="G178" s="8"/>
      <c r="H178" s="30">
        <v>173</v>
      </c>
      <c r="I178" s="31" t="str">
        <f t="shared" si="11"/>
        <v/>
      </c>
      <c r="J178" s="31">
        <f t="shared" si="14"/>
        <v>-5</v>
      </c>
      <c r="K178" s="30">
        <f t="shared" si="12"/>
        <v>-50</v>
      </c>
      <c r="L178" s="30"/>
      <c r="M178" s="32">
        <f t="shared" si="13"/>
        <v>0</v>
      </c>
      <c r="N178" s="189" t="s">
        <v>59</v>
      </c>
      <c r="O178" s="189" t="s">
        <v>59</v>
      </c>
      <c r="P178" s="190" t="s">
        <v>59</v>
      </c>
      <c r="Q178" s="191" t="s">
        <v>59</v>
      </c>
      <c r="R178" s="191" t="s">
        <v>59</v>
      </c>
    </row>
    <row r="179" spans="1:18" x14ac:dyDescent="0.25">
      <c r="A179" s="51"/>
      <c r="G179" s="8"/>
      <c r="H179" s="30">
        <v>174</v>
      </c>
      <c r="I179" s="31" t="str">
        <f t="shared" si="11"/>
        <v/>
      </c>
      <c r="J179" s="31">
        <f t="shared" si="14"/>
        <v>-5</v>
      </c>
      <c r="K179" s="30">
        <f t="shared" si="12"/>
        <v>-50</v>
      </c>
      <c r="L179" s="30"/>
      <c r="M179" s="32">
        <f t="shared" si="13"/>
        <v>0</v>
      </c>
      <c r="N179" s="189" t="s">
        <v>59</v>
      </c>
      <c r="O179" s="189" t="s">
        <v>59</v>
      </c>
      <c r="P179" s="190" t="s">
        <v>59</v>
      </c>
      <c r="Q179" s="191" t="s">
        <v>59</v>
      </c>
      <c r="R179" s="191" t="s">
        <v>59</v>
      </c>
    </row>
    <row r="180" spans="1:18" x14ac:dyDescent="0.25">
      <c r="A180" s="51"/>
      <c r="G180" s="8"/>
      <c r="H180" s="30">
        <v>175</v>
      </c>
      <c r="I180" s="31" t="str">
        <f t="shared" si="11"/>
        <v/>
      </c>
      <c r="J180" s="31">
        <f t="shared" si="14"/>
        <v>-5</v>
      </c>
      <c r="K180" s="30">
        <f t="shared" si="12"/>
        <v>-50</v>
      </c>
      <c r="L180" s="30"/>
      <c r="M180" s="32">
        <f t="shared" si="13"/>
        <v>0</v>
      </c>
      <c r="N180" s="189" t="s">
        <v>59</v>
      </c>
      <c r="O180" s="189" t="s">
        <v>59</v>
      </c>
      <c r="P180" s="190" t="s">
        <v>59</v>
      </c>
      <c r="Q180" s="191" t="s">
        <v>59</v>
      </c>
      <c r="R180" s="191" t="s">
        <v>59</v>
      </c>
    </row>
    <row r="181" spans="1:18" x14ac:dyDescent="0.25">
      <c r="A181" s="51"/>
      <c r="G181" s="8"/>
      <c r="H181" s="30">
        <v>176</v>
      </c>
      <c r="I181" s="31" t="str">
        <f t="shared" si="11"/>
        <v/>
      </c>
      <c r="J181" s="31">
        <f t="shared" si="14"/>
        <v>-5</v>
      </c>
      <c r="K181" s="30">
        <f t="shared" si="12"/>
        <v>-50</v>
      </c>
      <c r="L181" s="30"/>
      <c r="M181" s="32">
        <f t="shared" si="13"/>
        <v>0</v>
      </c>
      <c r="N181" s="189" t="s">
        <v>59</v>
      </c>
      <c r="O181" s="189" t="s">
        <v>59</v>
      </c>
      <c r="P181" s="190" t="s">
        <v>59</v>
      </c>
      <c r="Q181" s="191" t="s">
        <v>59</v>
      </c>
      <c r="R181" s="191" t="s">
        <v>59</v>
      </c>
    </row>
    <row r="182" spans="1:18" x14ac:dyDescent="0.25">
      <c r="A182" s="51"/>
      <c r="G182" s="8"/>
      <c r="H182" s="30">
        <v>177</v>
      </c>
      <c r="I182" s="31" t="str">
        <f t="shared" si="11"/>
        <v/>
      </c>
      <c r="J182" s="31">
        <f t="shared" si="14"/>
        <v>-5</v>
      </c>
      <c r="K182" s="30">
        <f t="shared" si="12"/>
        <v>-50</v>
      </c>
      <c r="L182" s="30"/>
      <c r="M182" s="32">
        <f t="shared" si="13"/>
        <v>0</v>
      </c>
      <c r="N182" s="189" t="s">
        <v>59</v>
      </c>
      <c r="O182" s="189" t="s">
        <v>59</v>
      </c>
      <c r="P182" s="190" t="s">
        <v>59</v>
      </c>
      <c r="Q182" s="191" t="s">
        <v>59</v>
      </c>
      <c r="R182" s="191" t="s">
        <v>59</v>
      </c>
    </row>
    <row r="183" spans="1:18" x14ac:dyDescent="0.25">
      <c r="A183" s="51"/>
      <c r="G183" s="8"/>
      <c r="H183" s="30">
        <v>178</v>
      </c>
      <c r="I183" s="31" t="str">
        <f t="shared" si="11"/>
        <v/>
      </c>
      <c r="J183" s="31">
        <f t="shared" si="14"/>
        <v>-5</v>
      </c>
      <c r="K183" s="30">
        <f t="shared" si="12"/>
        <v>-50</v>
      </c>
      <c r="L183" s="30"/>
      <c r="M183" s="32">
        <f t="shared" si="13"/>
        <v>0</v>
      </c>
      <c r="N183" s="189" t="s">
        <v>59</v>
      </c>
      <c r="O183" s="189" t="s">
        <v>59</v>
      </c>
      <c r="P183" s="190" t="s">
        <v>59</v>
      </c>
      <c r="Q183" s="191" t="s">
        <v>59</v>
      </c>
      <c r="R183" s="191" t="s">
        <v>59</v>
      </c>
    </row>
    <row r="184" spans="1:18" x14ac:dyDescent="0.25">
      <c r="A184" s="51"/>
      <c r="G184" s="8"/>
      <c r="H184" s="30">
        <v>179</v>
      </c>
      <c r="I184" s="31" t="str">
        <f t="shared" si="11"/>
        <v/>
      </c>
      <c r="J184" s="31">
        <f t="shared" si="14"/>
        <v>-5</v>
      </c>
      <c r="K184" s="30">
        <f t="shared" si="12"/>
        <v>-50</v>
      </c>
      <c r="L184" s="30"/>
      <c r="M184" s="32">
        <f t="shared" si="13"/>
        <v>0</v>
      </c>
      <c r="N184" s="189" t="s">
        <v>59</v>
      </c>
      <c r="O184" s="189" t="s">
        <v>59</v>
      </c>
      <c r="P184" s="190" t="s">
        <v>59</v>
      </c>
      <c r="Q184" s="191" t="s">
        <v>59</v>
      </c>
      <c r="R184" s="191" t="s">
        <v>59</v>
      </c>
    </row>
    <row r="185" spans="1:18" x14ac:dyDescent="0.25">
      <c r="A185" s="51"/>
      <c r="G185" s="8"/>
      <c r="H185" s="30">
        <v>180</v>
      </c>
      <c r="I185" s="31" t="str">
        <f t="shared" si="11"/>
        <v/>
      </c>
      <c r="J185" s="31">
        <f t="shared" si="14"/>
        <v>-5</v>
      </c>
      <c r="K185" s="30">
        <f t="shared" si="12"/>
        <v>-50</v>
      </c>
      <c r="L185" s="30"/>
      <c r="M185" s="32">
        <f t="shared" si="13"/>
        <v>0</v>
      </c>
      <c r="N185" s="189" t="s">
        <v>59</v>
      </c>
      <c r="O185" s="189" t="s">
        <v>59</v>
      </c>
      <c r="P185" s="190" t="s">
        <v>59</v>
      </c>
      <c r="Q185" s="191" t="s">
        <v>59</v>
      </c>
      <c r="R185" s="191" t="s">
        <v>59</v>
      </c>
    </row>
    <row r="186" spans="1:18" x14ac:dyDescent="0.25">
      <c r="A186" s="51"/>
      <c r="G186" s="8"/>
      <c r="H186" s="30">
        <v>181</v>
      </c>
      <c r="I186" s="31" t="str">
        <f t="shared" si="11"/>
        <v/>
      </c>
      <c r="J186" s="31">
        <f t="shared" si="14"/>
        <v>-5</v>
      </c>
      <c r="K186" s="30">
        <f t="shared" si="12"/>
        <v>-50</v>
      </c>
      <c r="L186" s="30"/>
      <c r="M186" s="32">
        <f t="shared" si="13"/>
        <v>0</v>
      </c>
      <c r="N186" s="189" t="s">
        <v>59</v>
      </c>
      <c r="O186" s="189" t="s">
        <v>59</v>
      </c>
      <c r="P186" s="190" t="s">
        <v>59</v>
      </c>
      <c r="Q186" s="191" t="s">
        <v>59</v>
      </c>
      <c r="R186" s="191" t="s">
        <v>59</v>
      </c>
    </row>
    <row r="187" spans="1:18" x14ac:dyDescent="0.25">
      <c r="A187" s="51"/>
      <c r="G187" s="8"/>
      <c r="H187" s="30">
        <v>182</v>
      </c>
      <c r="I187" s="31" t="str">
        <f t="shared" si="11"/>
        <v/>
      </c>
      <c r="J187" s="31">
        <f t="shared" si="14"/>
        <v>-5</v>
      </c>
      <c r="K187" s="30">
        <f t="shared" si="12"/>
        <v>-50</v>
      </c>
      <c r="L187" s="30"/>
      <c r="M187" s="32">
        <f t="shared" si="13"/>
        <v>0</v>
      </c>
      <c r="N187" s="189" t="s">
        <v>59</v>
      </c>
      <c r="O187" s="189" t="s">
        <v>59</v>
      </c>
      <c r="P187" s="190" t="s">
        <v>59</v>
      </c>
      <c r="Q187" s="191" t="s">
        <v>59</v>
      </c>
      <c r="R187" s="191" t="s">
        <v>59</v>
      </c>
    </row>
    <row r="188" spans="1:18" x14ac:dyDescent="0.25">
      <c r="A188" s="51"/>
      <c r="G188" s="8"/>
      <c r="H188" s="30">
        <v>183</v>
      </c>
      <c r="I188" s="31" t="str">
        <f t="shared" si="11"/>
        <v/>
      </c>
      <c r="J188" s="31">
        <f t="shared" si="14"/>
        <v>-5</v>
      </c>
      <c r="K188" s="30">
        <f t="shared" si="12"/>
        <v>-50</v>
      </c>
      <c r="L188" s="30"/>
      <c r="M188" s="32">
        <f t="shared" si="13"/>
        <v>0</v>
      </c>
      <c r="N188" s="189" t="s">
        <v>59</v>
      </c>
      <c r="O188" s="189" t="s">
        <v>59</v>
      </c>
      <c r="P188" s="190" t="s">
        <v>59</v>
      </c>
      <c r="Q188" s="191" t="s">
        <v>59</v>
      </c>
      <c r="R188" s="191" t="s">
        <v>59</v>
      </c>
    </row>
    <row r="189" spans="1:18" x14ac:dyDescent="0.25">
      <c r="A189" s="51"/>
      <c r="G189" s="8"/>
      <c r="H189" s="30">
        <v>184</v>
      </c>
      <c r="I189" s="31" t="str">
        <f t="shared" si="11"/>
        <v/>
      </c>
      <c r="J189" s="31">
        <f t="shared" si="14"/>
        <v>-5</v>
      </c>
      <c r="K189" s="30">
        <f t="shared" si="12"/>
        <v>-50</v>
      </c>
      <c r="L189" s="30"/>
      <c r="M189" s="32">
        <f t="shared" si="13"/>
        <v>0</v>
      </c>
      <c r="N189" s="189" t="s">
        <v>59</v>
      </c>
      <c r="O189" s="189" t="s">
        <v>59</v>
      </c>
      <c r="P189" s="190" t="s">
        <v>59</v>
      </c>
      <c r="Q189" s="191" t="s">
        <v>59</v>
      </c>
      <c r="R189" s="191" t="s">
        <v>59</v>
      </c>
    </row>
    <row r="190" spans="1:18" x14ac:dyDescent="0.25">
      <c r="A190" s="51"/>
      <c r="G190" s="8"/>
      <c r="H190" s="30">
        <v>185</v>
      </c>
      <c r="I190" s="31" t="str">
        <f t="shared" si="11"/>
        <v/>
      </c>
      <c r="J190" s="31">
        <f t="shared" si="14"/>
        <v>-5</v>
      </c>
      <c r="K190" s="30">
        <f t="shared" si="12"/>
        <v>-50</v>
      </c>
      <c r="L190" s="30"/>
      <c r="M190" s="32">
        <f t="shared" si="13"/>
        <v>0</v>
      </c>
      <c r="N190" s="189" t="s">
        <v>59</v>
      </c>
      <c r="O190" s="189" t="s">
        <v>59</v>
      </c>
      <c r="P190" s="190" t="s">
        <v>59</v>
      </c>
      <c r="Q190" s="191" t="s">
        <v>59</v>
      </c>
      <c r="R190" s="191" t="s">
        <v>59</v>
      </c>
    </row>
    <row r="191" spans="1:18" x14ac:dyDescent="0.25">
      <c r="A191" s="51"/>
      <c r="G191" s="8"/>
      <c r="H191" s="30">
        <v>186</v>
      </c>
      <c r="I191" s="31" t="str">
        <f t="shared" si="11"/>
        <v/>
      </c>
      <c r="J191" s="31">
        <f t="shared" si="14"/>
        <v>-5</v>
      </c>
      <c r="K191" s="30">
        <f t="shared" si="12"/>
        <v>-50</v>
      </c>
      <c r="L191" s="30"/>
      <c r="M191" s="32">
        <f t="shared" si="13"/>
        <v>0</v>
      </c>
      <c r="N191" s="189" t="s">
        <v>59</v>
      </c>
      <c r="O191" s="189" t="s">
        <v>59</v>
      </c>
      <c r="P191" s="190" t="s">
        <v>59</v>
      </c>
      <c r="Q191" s="191" t="s">
        <v>59</v>
      </c>
      <c r="R191" s="191" t="s">
        <v>59</v>
      </c>
    </row>
    <row r="192" spans="1:18" x14ac:dyDescent="0.25">
      <c r="A192" s="51"/>
      <c r="G192" s="8"/>
      <c r="H192" s="30">
        <v>187</v>
      </c>
      <c r="I192" s="31" t="str">
        <f t="shared" si="11"/>
        <v/>
      </c>
      <c r="J192" s="31">
        <f t="shared" si="14"/>
        <v>-5</v>
      </c>
      <c r="K192" s="30">
        <f t="shared" si="12"/>
        <v>-50</v>
      </c>
      <c r="L192" s="30"/>
      <c r="M192" s="32">
        <f t="shared" si="13"/>
        <v>0</v>
      </c>
      <c r="N192" s="189" t="s">
        <v>59</v>
      </c>
      <c r="O192" s="189" t="s">
        <v>59</v>
      </c>
      <c r="P192" s="190" t="s">
        <v>59</v>
      </c>
      <c r="Q192" s="191" t="s">
        <v>59</v>
      </c>
      <c r="R192" s="191" t="s">
        <v>59</v>
      </c>
    </row>
    <row r="193" spans="1:18" x14ac:dyDescent="0.25">
      <c r="A193" s="51"/>
      <c r="G193" s="8"/>
      <c r="H193" s="30">
        <v>188</v>
      </c>
      <c r="I193" s="31" t="str">
        <f t="shared" si="11"/>
        <v/>
      </c>
      <c r="J193" s="31">
        <f t="shared" si="14"/>
        <v>-5</v>
      </c>
      <c r="K193" s="30">
        <f t="shared" si="12"/>
        <v>-50</v>
      </c>
      <c r="L193" s="30"/>
      <c r="M193" s="32">
        <f t="shared" si="13"/>
        <v>0</v>
      </c>
      <c r="N193" s="189" t="s">
        <v>59</v>
      </c>
      <c r="O193" s="189" t="s">
        <v>59</v>
      </c>
      <c r="P193" s="190" t="s">
        <v>59</v>
      </c>
      <c r="Q193" s="191" t="s">
        <v>59</v>
      </c>
      <c r="R193" s="191" t="s">
        <v>59</v>
      </c>
    </row>
    <row r="194" spans="1:18" x14ac:dyDescent="0.25">
      <c r="A194" s="51"/>
      <c r="G194" s="8"/>
      <c r="H194" s="30">
        <v>189</v>
      </c>
      <c r="I194" s="31" t="str">
        <f t="shared" si="11"/>
        <v/>
      </c>
      <c r="J194" s="31">
        <f t="shared" si="14"/>
        <v>-5</v>
      </c>
      <c r="K194" s="30">
        <f t="shared" si="12"/>
        <v>-50</v>
      </c>
      <c r="L194" s="30"/>
      <c r="M194" s="32">
        <f t="shared" si="13"/>
        <v>0</v>
      </c>
      <c r="N194" s="189" t="s">
        <v>59</v>
      </c>
      <c r="O194" s="189" t="s">
        <v>59</v>
      </c>
      <c r="P194" s="190" t="s">
        <v>59</v>
      </c>
      <c r="Q194" s="191" t="s">
        <v>59</v>
      </c>
      <c r="R194" s="191" t="s">
        <v>59</v>
      </c>
    </row>
    <row r="195" spans="1:18" x14ac:dyDescent="0.25">
      <c r="A195" s="51"/>
      <c r="G195" s="8"/>
      <c r="H195" s="30">
        <v>190</v>
      </c>
      <c r="I195" s="31" t="str">
        <f t="shared" si="11"/>
        <v/>
      </c>
      <c r="J195" s="31">
        <f t="shared" si="14"/>
        <v>-5</v>
      </c>
      <c r="K195" s="30">
        <f t="shared" si="12"/>
        <v>-50</v>
      </c>
      <c r="L195" s="30"/>
      <c r="M195" s="32">
        <f t="shared" si="13"/>
        <v>0</v>
      </c>
      <c r="N195" s="189" t="s">
        <v>59</v>
      </c>
      <c r="O195" s="189" t="s">
        <v>59</v>
      </c>
      <c r="P195" s="190" t="s">
        <v>59</v>
      </c>
      <c r="Q195" s="191" t="s">
        <v>59</v>
      </c>
      <c r="R195" s="191" t="s">
        <v>59</v>
      </c>
    </row>
    <row r="196" spans="1:18" x14ac:dyDescent="0.25">
      <c r="A196" s="51"/>
      <c r="G196" s="8"/>
      <c r="H196" s="30">
        <v>191</v>
      </c>
      <c r="I196" s="31" t="str">
        <f t="shared" si="11"/>
        <v/>
      </c>
      <c r="J196" s="31">
        <f t="shared" si="14"/>
        <v>-5</v>
      </c>
      <c r="K196" s="30">
        <f t="shared" si="12"/>
        <v>-50</v>
      </c>
      <c r="L196" s="30"/>
      <c r="M196" s="32">
        <f t="shared" si="13"/>
        <v>0</v>
      </c>
      <c r="N196" s="189" t="s">
        <v>59</v>
      </c>
      <c r="O196" s="189" t="s">
        <v>59</v>
      </c>
      <c r="P196" s="190" t="s">
        <v>59</v>
      </c>
      <c r="Q196" s="191" t="s">
        <v>59</v>
      </c>
      <c r="R196" s="191" t="s">
        <v>59</v>
      </c>
    </row>
    <row r="197" spans="1:18" x14ac:dyDescent="0.25">
      <c r="A197" s="51"/>
      <c r="G197" s="8"/>
      <c r="H197" s="30">
        <v>192</v>
      </c>
      <c r="I197" s="31" t="str">
        <f t="shared" si="11"/>
        <v/>
      </c>
      <c r="J197" s="31">
        <f t="shared" si="14"/>
        <v>-5</v>
      </c>
      <c r="K197" s="30">
        <f t="shared" si="12"/>
        <v>-50</v>
      </c>
      <c r="L197" s="30"/>
      <c r="M197" s="32">
        <f t="shared" si="13"/>
        <v>0</v>
      </c>
      <c r="N197" s="189" t="s">
        <v>59</v>
      </c>
      <c r="O197" s="189" t="s">
        <v>59</v>
      </c>
      <c r="P197" s="190" t="s">
        <v>59</v>
      </c>
      <c r="Q197" s="191" t="s">
        <v>59</v>
      </c>
      <c r="R197" s="191" t="s">
        <v>59</v>
      </c>
    </row>
    <row r="198" spans="1:18" x14ac:dyDescent="0.25">
      <c r="A198" s="51"/>
      <c r="G198" s="8"/>
      <c r="H198" s="30">
        <v>193</v>
      </c>
      <c r="I198" s="31" t="str">
        <f t="shared" ref="I198:I261" si="15">IF(H198&lt;$H$2+1,($I$2-($I$2-1)*(LOG(H198)/LOG($H$2))),"")</f>
        <v/>
      </c>
      <c r="J198" s="31">
        <f t="shared" si="14"/>
        <v>-5</v>
      </c>
      <c r="K198" s="30">
        <f t="shared" ref="K198:K261" si="16">J198*$J$2</f>
        <v>-50</v>
      </c>
      <c r="L198" s="30"/>
      <c r="M198" s="32">
        <f t="shared" ref="M198:M261" si="17">IF(I198&lt;&gt;"",K198+I198+L198,0)</f>
        <v>0</v>
      </c>
      <c r="N198" s="189" t="s">
        <v>59</v>
      </c>
      <c r="O198" s="189" t="s">
        <v>59</v>
      </c>
      <c r="P198" s="190" t="s">
        <v>59</v>
      </c>
      <c r="Q198" s="191" t="s">
        <v>59</v>
      </c>
      <c r="R198" s="191" t="s">
        <v>59</v>
      </c>
    </row>
    <row r="199" spans="1:18" x14ac:dyDescent="0.25">
      <c r="A199" s="51"/>
      <c r="G199" s="8"/>
      <c r="H199" s="30">
        <v>194</v>
      </c>
      <c r="I199" s="31" t="str">
        <f t="shared" si="15"/>
        <v/>
      </c>
      <c r="J199" s="31">
        <f t="shared" ref="J199:J262" si="18">INT(LOG($H$2,2))-ROUNDUP(LOG(H199,2),0)+IF(OR($H$2=1,$H$2=2,$H$2=4,$H$2=8,$H$2=16,$H$2=32,$H$2=64,$H$2=128,$H$2=256),0,1)</f>
        <v>-5</v>
      </c>
      <c r="K199" s="30">
        <f t="shared" si="16"/>
        <v>-50</v>
      </c>
      <c r="L199" s="30"/>
      <c r="M199" s="32">
        <f t="shared" si="17"/>
        <v>0</v>
      </c>
      <c r="N199" s="189" t="s">
        <v>59</v>
      </c>
      <c r="O199" s="189" t="s">
        <v>59</v>
      </c>
      <c r="P199" s="190" t="s">
        <v>59</v>
      </c>
      <c r="Q199" s="191" t="s">
        <v>59</v>
      </c>
      <c r="R199" s="191" t="s">
        <v>59</v>
      </c>
    </row>
    <row r="200" spans="1:18" x14ac:dyDescent="0.25">
      <c r="A200" s="51"/>
      <c r="G200" s="8"/>
      <c r="H200" s="30">
        <v>195</v>
      </c>
      <c r="I200" s="31" t="str">
        <f t="shared" si="15"/>
        <v/>
      </c>
      <c r="J200" s="31">
        <f t="shared" si="18"/>
        <v>-5</v>
      </c>
      <c r="K200" s="30">
        <f t="shared" si="16"/>
        <v>-50</v>
      </c>
      <c r="L200" s="30"/>
      <c r="M200" s="32">
        <f t="shared" si="17"/>
        <v>0</v>
      </c>
      <c r="N200" s="189" t="s">
        <v>59</v>
      </c>
      <c r="O200" s="189" t="s">
        <v>59</v>
      </c>
      <c r="P200" s="190" t="s">
        <v>59</v>
      </c>
      <c r="Q200" s="191" t="s">
        <v>59</v>
      </c>
      <c r="R200" s="191" t="s">
        <v>59</v>
      </c>
    </row>
    <row r="201" spans="1:18" x14ac:dyDescent="0.25">
      <c r="A201" s="51"/>
      <c r="G201" s="8"/>
      <c r="H201" s="30">
        <v>196</v>
      </c>
      <c r="I201" s="31" t="str">
        <f t="shared" si="15"/>
        <v/>
      </c>
      <c r="J201" s="31">
        <f t="shared" si="18"/>
        <v>-5</v>
      </c>
      <c r="K201" s="30">
        <f t="shared" si="16"/>
        <v>-50</v>
      </c>
      <c r="L201" s="30"/>
      <c r="M201" s="32">
        <f t="shared" si="17"/>
        <v>0</v>
      </c>
      <c r="N201" s="189" t="s">
        <v>59</v>
      </c>
      <c r="O201" s="189" t="s">
        <v>59</v>
      </c>
      <c r="P201" s="190" t="s">
        <v>59</v>
      </c>
      <c r="Q201" s="191" t="s">
        <v>59</v>
      </c>
      <c r="R201" s="191" t="s">
        <v>59</v>
      </c>
    </row>
    <row r="202" spans="1:18" x14ac:dyDescent="0.25">
      <c r="A202" s="51"/>
      <c r="G202" s="8"/>
      <c r="H202" s="30">
        <v>197</v>
      </c>
      <c r="I202" s="31" t="str">
        <f t="shared" si="15"/>
        <v/>
      </c>
      <c r="J202" s="31">
        <f t="shared" si="18"/>
        <v>-5</v>
      </c>
      <c r="K202" s="30">
        <f t="shared" si="16"/>
        <v>-50</v>
      </c>
      <c r="L202" s="30"/>
      <c r="M202" s="32">
        <f t="shared" si="17"/>
        <v>0</v>
      </c>
      <c r="N202" s="189" t="s">
        <v>59</v>
      </c>
      <c r="O202" s="189" t="s">
        <v>59</v>
      </c>
      <c r="P202" s="190" t="s">
        <v>59</v>
      </c>
      <c r="Q202" s="191" t="s">
        <v>59</v>
      </c>
      <c r="R202" s="191" t="s">
        <v>59</v>
      </c>
    </row>
    <row r="203" spans="1:18" x14ac:dyDescent="0.25">
      <c r="A203" s="51"/>
      <c r="G203" s="8"/>
      <c r="H203" s="30">
        <v>198</v>
      </c>
      <c r="I203" s="31" t="str">
        <f t="shared" si="15"/>
        <v/>
      </c>
      <c r="J203" s="31">
        <f t="shared" si="18"/>
        <v>-5</v>
      </c>
      <c r="K203" s="30">
        <f t="shared" si="16"/>
        <v>-50</v>
      </c>
      <c r="L203" s="30"/>
      <c r="M203" s="32">
        <f t="shared" si="17"/>
        <v>0</v>
      </c>
      <c r="N203" s="189" t="s">
        <v>59</v>
      </c>
      <c r="O203" s="189" t="s">
        <v>59</v>
      </c>
      <c r="P203" s="190" t="s">
        <v>59</v>
      </c>
      <c r="Q203" s="191" t="s">
        <v>59</v>
      </c>
      <c r="R203" s="191" t="s">
        <v>59</v>
      </c>
    </row>
    <row r="204" spans="1:18" x14ac:dyDescent="0.25">
      <c r="A204" s="51"/>
      <c r="G204" s="8"/>
      <c r="H204" s="30">
        <v>199</v>
      </c>
      <c r="I204" s="31" t="str">
        <f t="shared" si="15"/>
        <v/>
      </c>
      <c r="J204" s="31">
        <f t="shared" si="18"/>
        <v>-5</v>
      </c>
      <c r="K204" s="30">
        <f t="shared" si="16"/>
        <v>-50</v>
      </c>
      <c r="L204" s="30"/>
      <c r="M204" s="32">
        <f t="shared" si="17"/>
        <v>0</v>
      </c>
      <c r="N204" s="189" t="s">
        <v>59</v>
      </c>
      <c r="O204" s="189" t="s">
        <v>59</v>
      </c>
      <c r="P204" s="190" t="s">
        <v>59</v>
      </c>
      <c r="Q204" s="191" t="s">
        <v>59</v>
      </c>
      <c r="R204" s="191" t="s">
        <v>59</v>
      </c>
    </row>
    <row r="205" spans="1:18" x14ac:dyDescent="0.25">
      <c r="A205" s="51"/>
      <c r="G205" s="8"/>
      <c r="H205" s="30">
        <v>200</v>
      </c>
      <c r="I205" s="31" t="str">
        <f t="shared" si="15"/>
        <v/>
      </c>
      <c r="J205" s="31">
        <f t="shared" si="18"/>
        <v>-5</v>
      </c>
      <c r="K205" s="30">
        <f t="shared" si="16"/>
        <v>-50</v>
      </c>
      <c r="L205" s="30"/>
      <c r="M205" s="32">
        <f t="shared" si="17"/>
        <v>0</v>
      </c>
      <c r="N205" s="189" t="s">
        <v>59</v>
      </c>
      <c r="O205" s="189" t="s">
        <v>59</v>
      </c>
      <c r="P205" s="190" t="s">
        <v>59</v>
      </c>
      <c r="Q205" s="191" t="s">
        <v>59</v>
      </c>
      <c r="R205" s="191" t="s">
        <v>59</v>
      </c>
    </row>
    <row r="206" spans="1:18" x14ac:dyDescent="0.25">
      <c r="A206" s="51"/>
      <c r="G206" s="8"/>
      <c r="H206" s="30">
        <v>201</v>
      </c>
      <c r="I206" s="31" t="str">
        <f t="shared" si="15"/>
        <v/>
      </c>
      <c r="J206" s="31">
        <f t="shared" si="18"/>
        <v>-5</v>
      </c>
      <c r="K206" s="30">
        <f t="shared" si="16"/>
        <v>-50</v>
      </c>
      <c r="L206" s="30"/>
      <c r="M206" s="32">
        <f t="shared" si="17"/>
        <v>0</v>
      </c>
      <c r="N206" s="189" t="s">
        <v>59</v>
      </c>
      <c r="O206" s="189" t="s">
        <v>59</v>
      </c>
      <c r="P206" s="190" t="s">
        <v>59</v>
      </c>
      <c r="Q206" s="191" t="s">
        <v>59</v>
      </c>
      <c r="R206" s="191" t="s">
        <v>59</v>
      </c>
    </row>
    <row r="207" spans="1:18" x14ac:dyDescent="0.25">
      <c r="A207" s="51"/>
      <c r="G207" s="8"/>
      <c r="H207" s="30">
        <v>202</v>
      </c>
      <c r="I207" s="31" t="str">
        <f t="shared" si="15"/>
        <v/>
      </c>
      <c r="J207" s="31">
        <f t="shared" si="18"/>
        <v>-5</v>
      </c>
      <c r="K207" s="30">
        <f t="shared" si="16"/>
        <v>-50</v>
      </c>
      <c r="L207" s="30"/>
      <c r="M207" s="32">
        <f t="shared" si="17"/>
        <v>0</v>
      </c>
      <c r="N207" s="189" t="s">
        <v>59</v>
      </c>
      <c r="O207" s="189" t="s">
        <v>59</v>
      </c>
      <c r="P207" s="190" t="s">
        <v>59</v>
      </c>
      <c r="Q207" s="191" t="s">
        <v>59</v>
      </c>
      <c r="R207" s="191" t="s">
        <v>59</v>
      </c>
    </row>
    <row r="208" spans="1:18" x14ac:dyDescent="0.25">
      <c r="A208" s="51"/>
      <c r="G208" s="8"/>
      <c r="H208" s="30">
        <v>203</v>
      </c>
      <c r="I208" s="31" t="str">
        <f t="shared" si="15"/>
        <v/>
      </c>
      <c r="J208" s="31">
        <f t="shared" si="18"/>
        <v>-5</v>
      </c>
      <c r="K208" s="30">
        <f t="shared" si="16"/>
        <v>-50</v>
      </c>
      <c r="L208" s="30"/>
      <c r="M208" s="32">
        <f t="shared" si="17"/>
        <v>0</v>
      </c>
      <c r="N208" s="189" t="s">
        <v>59</v>
      </c>
      <c r="O208" s="189" t="s">
        <v>59</v>
      </c>
      <c r="P208" s="190" t="s">
        <v>59</v>
      </c>
      <c r="Q208" s="191" t="s">
        <v>59</v>
      </c>
      <c r="R208" s="191" t="s">
        <v>59</v>
      </c>
    </row>
    <row r="209" spans="1:18" x14ac:dyDescent="0.25">
      <c r="A209" s="51"/>
      <c r="G209" s="8"/>
      <c r="H209" s="30">
        <v>204</v>
      </c>
      <c r="I209" s="31" t="str">
        <f t="shared" si="15"/>
        <v/>
      </c>
      <c r="J209" s="31">
        <f t="shared" si="18"/>
        <v>-5</v>
      </c>
      <c r="K209" s="30">
        <f t="shared" si="16"/>
        <v>-50</v>
      </c>
      <c r="L209" s="30"/>
      <c r="M209" s="32">
        <f t="shared" si="17"/>
        <v>0</v>
      </c>
      <c r="N209" s="189" t="s">
        <v>59</v>
      </c>
      <c r="O209" s="189" t="s">
        <v>59</v>
      </c>
      <c r="P209" s="190" t="s">
        <v>59</v>
      </c>
      <c r="Q209" s="191" t="s">
        <v>59</v>
      </c>
      <c r="R209" s="191" t="s">
        <v>59</v>
      </c>
    </row>
    <row r="210" spans="1:18" x14ac:dyDescent="0.25">
      <c r="A210" s="51"/>
      <c r="G210" s="8"/>
      <c r="H210" s="30">
        <v>205</v>
      </c>
      <c r="I210" s="31" t="str">
        <f t="shared" si="15"/>
        <v/>
      </c>
      <c r="J210" s="31">
        <f t="shared" si="18"/>
        <v>-5</v>
      </c>
      <c r="K210" s="30">
        <f t="shared" si="16"/>
        <v>-50</v>
      </c>
      <c r="L210" s="30"/>
      <c r="M210" s="32">
        <f t="shared" si="17"/>
        <v>0</v>
      </c>
      <c r="N210" s="189" t="s">
        <v>59</v>
      </c>
      <c r="O210" s="189" t="s">
        <v>59</v>
      </c>
      <c r="P210" s="190" t="s">
        <v>59</v>
      </c>
      <c r="Q210" s="191" t="s">
        <v>59</v>
      </c>
      <c r="R210" s="191" t="s">
        <v>59</v>
      </c>
    </row>
    <row r="211" spans="1:18" x14ac:dyDescent="0.25">
      <c r="A211" s="51"/>
      <c r="G211" s="8"/>
      <c r="H211" s="30">
        <v>206</v>
      </c>
      <c r="I211" s="31" t="str">
        <f t="shared" si="15"/>
        <v/>
      </c>
      <c r="J211" s="31">
        <f t="shared" si="18"/>
        <v>-5</v>
      </c>
      <c r="K211" s="30">
        <f t="shared" si="16"/>
        <v>-50</v>
      </c>
      <c r="L211" s="30"/>
      <c r="M211" s="32">
        <f t="shared" si="17"/>
        <v>0</v>
      </c>
      <c r="N211" s="189" t="s">
        <v>59</v>
      </c>
      <c r="O211" s="189" t="s">
        <v>59</v>
      </c>
      <c r="P211" s="190" t="s">
        <v>59</v>
      </c>
      <c r="Q211" s="191" t="s">
        <v>59</v>
      </c>
      <c r="R211" s="191" t="s">
        <v>59</v>
      </c>
    </row>
    <row r="212" spans="1:18" x14ac:dyDescent="0.25">
      <c r="A212" s="51"/>
      <c r="G212" s="8"/>
      <c r="H212" s="30">
        <v>207</v>
      </c>
      <c r="I212" s="31" t="str">
        <f t="shared" si="15"/>
        <v/>
      </c>
      <c r="J212" s="31">
        <f t="shared" si="18"/>
        <v>-5</v>
      </c>
      <c r="K212" s="30">
        <f t="shared" si="16"/>
        <v>-50</v>
      </c>
      <c r="L212" s="30"/>
      <c r="M212" s="32">
        <f t="shared" si="17"/>
        <v>0</v>
      </c>
      <c r="N212" s="189" t="s">
        <v>59</v>
      </c>
      <c r="O212" s="189" t="s">
        <v>59</v>
      </c>
      <c r="P212" s="190" t="s">
        <v>59</v>
      </c>
      <c r="Q212" s="191" t="s">
        <v>59</v>
      </c>
      <c r="R212" s="191" t="s">
        <v>59</v>
      </c>
    </row>
    <row r="213" spans="1:18" x14ac:dyDescent="0.25">
      <c r="A213" s="51"/>
      <c r="G213" s="8"/>
      <c r="H213" s="30">
        <v>208</v>
      </c>
      <c r="I213" s="31" t="str">
        <f t="shared" si="15"/>
        <v/>
      </c>
      <c r="J213" s="31">
        <f t="shared" si="18"/>
        <v>-5</v>
      </c>
      <c r="K213" s="30">
        <f t="shared" si="16"/>
        <v>-50</v>
      </c>
      <c r="L213" s="30"/>
      <c r="M213" s="32">
        <f t="shared" si="17"/>
        <v>0</v>
      </c>
      <c r="N213" s="189" t="s">
        <v>59</v>
      </c>
      <c r="O213" s="189" t="s">
        <v>59</v>
      </c>
      <c r="P213" s="190" t="s">
        <v>59</v>
      </c>
      <c r="Q213" s="191" t="s">
        <v>59</v>
      </c>
      <c r="R213" s="191" t="s">
        <v>59</v>
      </c>
    </row>
    <row r="214" spans="1:18" x14ac:dyDescent="0.25">
      <c r="A214" s="51"/>
      <c r="G214" s="8"/>
      <c r="H214" s="30">
        <v>209</v>
      </c>
      <c r="I214" s="31" t="str">
        <f t="shared" si="15"/>
        <v/>
      </c>
      <c r="J214" s="31">
        <f t="shared" si="18"/>
        <v>-5</v>
      </c>
      <c r="K214" s="30">
        <f t="shared" si="16"/>
        <v>-50</v>
      </c>
      <c r="L214" s="30"/>
      <c r="M214" s="32">
        <f t="shared" si="17"/>
        <v>0</v>
      </c>
      <c r="N214" s="189" t="s">
        <v>59</v>
      </c>
      <c r="O214" s="189" t="s">
        <v>59</v>
      </c>
      <c r="P214" s="190" t="s">
        <v>59</v>
      </c>
      <c r="Q214" s="191" t="s">
        <v>59</v>
      </c>
      <c r="R214" s="191" t="s">
        <v>59</v>
      </c>
    </row>
    <row r="215" spans="1:18" x14ac:dyDescent="0.25">
      <c r="A215" s="51"/>
      <c r="G215" s="8"/>
      <c r="H215" s="30">
        <v>210</v>
      </c>
      <c r="I215" s="31" t="str">
        <f t="shared" si="15"/>
        <v/>
      </c>
      <c r="J215" s="31">
        <f t="shared" si="18"/>
        <v>-5</v>
      </c>
      <c r="K215" s="30">
        <f t="shared" si="16"/>
        <v>-50</v>
      </c>
      <c r="L215" s="30"/>
      <c r="M215" s="32">
        <f t="shared" si="17"/>
        <v>0</v>
      </c>
      <c r="N215" s="189" t="s">
        <v>59</v>
      </c>
      <c r="O215" s="189" t="s">
        <v>59</v>
      </c>
      <c r="P215" s="190" t="s">
        <v>59</v>
      </c>
      <c r="Q215" s="191" t="s">
        <v>59</v>
      </c>
      <c r="R215" s="191" t="s">
        <v>59</v>
      </c>
    </row>
    <row r="216" spans="1:18" x14ac:dyDescent="0.25">
      <c r="A216" s="51"/>
      <c r="G216" s="8"/>
      <c r="H216" s="30">
        <v>211</v>
      </c>
      <c r="I216" s="31" t="str">
        <f t="shared" si="15"/>
        <v/>
      </c>
      <c r="J216" s="31">
        <f t="shared" si="18"/>
        <v>-5</v>
      </c>
      <c r="K216" s="30">
        <f t="shared" si="16"/>
        <v>-50</v>
      </c>
      <c r="L216" s="30"/>
      <c r="M216" s="32">
        <f t="shared" si="17"/>
        <v>0</v>
      </c>
      <c r="N216" s="189" t="s">
        <v>59</v>
      </c>
      <c r="O216" s="189" t="s">
        <v>59</v>
      </c>
      <c r="P216" s="190" t="s">
        <v>59</v>
      </c>
      <c r="Q216" s="191" t="s">
        <v>59</v>
      </c>
      <c r="R216" s="191" t="s">
        <v>59</v>
      </c>
    </row>
    <row r="217" spans="1:18" x14ac:dyDescent="0.25">
      <c r="A217" s="51"/>
      <c r="G217" s="8"/>
      <c r="H217" s="30">
        <v>212</v>
      </c>
      <c r="I217" s="31" t="str">
        <f t="shared" si="15"/>
        <v/>
      </c>
      <c r="J217" s="31">
        <f t="shared" si="18"/>
        <v>-5</v>
      </c>
      <c r="K217" s="30">
        <f t="shared" si="16"/>
        <v>-50</v>
      </c>
      <c r="L217" s="30"/>
      <c r="M217" s="32">
        <f t="shared" si="17"/>
        <v>0</v>
      </c>
      <c r="N217" s="189" t="s">
        <v>59</v>
      </c>
      <c r="O217" s="189" t="s">
        <v>59</v>
      </c>
      <c r="P217" s="190" t="s">
        <v>59</v>
      </c>
      <c r="Q217" s="191" t="s">
        <v>59</v>
      </c>
      <c r="R217" s="191" t="s">
        <v>59</v>
      </c>
    </row>
    <row r="218" spans="1:18" x14ac:dyDescent="0.25">
      <c r="A218" s="51"/>
      <c r="G218" s="8"/>
      <c r="H218" s="30">
        <v>213</v>
      </c>
      <c r="I218" s="31" t="str">
        <f t="shared" si="15"/>
        <v/>
      </c>
      <c r="J218" s="31">
        <f t="shared" si="18"/>
        <v>-5</v>
      </c>
      <c r="K218" s="30">
        <f t="shared" si="16"/>
        <v>-50</v>
      </c>
      <c r="L218" s="30"/>
      <c r="M218" s="32">
        <f t="shared" si="17"/>
        <v>0</v>
      </c>
      <c r="N218" s="189" t="s">
        <v>59</v>
      </c>
      <c r="O218" s="189" t="s">
        <v>59</v>
      </c>
      <c r="P218" s="190" t="s">
        <v>59</v>
      </c>
      <c r="Q218" s="191" t="s">
        <v>59</v>
      </c>
      <c r="R218" s="191" t="s">
        <v>59</v>
      </c>
    </row>
    <row r="219" spans="1:18" x14ac:dyDescent="0.25">
      <c r="A219" s="51"/>
      <c r="G219" s="8"/>
      <c r="H219" s="30">
        <v>214</v>
      </c>
      <c r="I219" s="31" t="str">
        <f t="shared" si="15"/>
        <v/>
      </c>
      <c r="J219" s="31">
        <f t="shared" si="18"/>
        <v>-5</v>
      </c>
      <c r="K219" s="30">
        <f t="shared" si="16"/>
        <v>-50</v>
      </c>
      <c r="L219" s="30"/>
      <c r="M219" s="32">
        <f t="shared" si="17"/>
        <v>0</v>
      </c>
      <c r="N219" s="189" t="s">
        <v>59</v>
      </c>
      <c r="O219" s="189" t="s">
        <v>59</v>
      </c>
      <c r="P219" s="190" t="s">
        <v>59</v>
      </c>
      <c r="Q219" s="191" t="s">
        <v>59</v>
      </c>
      <c r="R219" s="191" t="s">
        <v>59</v>
      </c>
    </row>
    <row r="220" spans="1:18" x14ac:dyDescent="0.25">
      <c r="A220" s="51"/>
      <c r="G220" s="8"/>
      <c r="H220" s="30">
        <v>215</v>
      </c>
      <c r="I220" s="31" t="str">
        <f t="shared" si="15"/>
        <v/>
      </c>
      <c r="J220" s="31">
        <f t="shared" si="18"/>
        <v>-5</v>
      </c>
      <c r="K220" s="30">
        <f t="shared" si="16"/>
        <v>-50</v>
      </c>
      <c r="L220" s="30"/>
      <c r="M220" s="32">
        <f t="shared" si="17"/>
        <v>0</v>
      </c>
      <c r="N220" s="189" t="s">
        <v>59</v>
      </c>
      <c r="O220" s="189" t="s">
        <v>59</v>
      </c>
      <c r="P220" s="190" t="s">
        <v>59</v>
      </c>
      <c r="Q220" s="191" t="s">
        <v>59</v>
      </c>
      <c r="R220" s="191" t="s">
        <v>59</v>
      </c>
    </row>
    <row r="221" spans="1:18" x14ac:dyDescent="0.25">
      <c r="A221" s="51"/>
      <c r="G221" s="8"/>
      <c r="H221" s="30">
        <v>216</v>
      </c>
      <c r="I221" s="31" t="str">
        <f t="shared" si="15"/>
        <v/>
      </c>
      <c r="J221" s="31">
        <f t="shared" si="18"/>
        <v>-5</v>
      </c>
      <c r="K221" s="30">
        <f t="shared" si="16"/>
        <v>-50</v>
      </c>
      <c r="L221" s="30"/>
      <c r="M221" s="32">
        <f t="shared" si="17"/>
        <v>0</v>
      </c>
      <c r="N221" s="189" t="s">
        <v>59</v>
      </c>
      <c r="O221" s="189" t="s">
        <v>59</v>
      </c>
      <c r="P221" s="190" t="s">
        <v>59</v>
      </c>
      <c r="Q221" s="191" t="s">
        <v>59</v>
      </c>
      <c r="R221" s="191" t="s">
        <v>59</v>
      </c>
    </row>
    <row r="222" spans="1:18" x14ac:dyDescent="0.25">
      <c r="A222" s="51"/>
      <c r="G222" s="8"/>
      <c r="H222" s="30">
        <v>217</v>
      </c>
      <c r="I222" s="31" t="str">
        <f t="shared" si="15"/>
        <v/>
      </c>
      <c r="J222" s="31">
        <f t="shared" si="18"/>
        <v>-5</v>
      </c>
      <c r="K222" s="30">
        <f t="shared" si="16"/>
        <v>-50</v>
      </c>
      <c r="L222" s="30"/>
      <c r="M222" s="32">
        <f t="shared" si="17"/>
        <v>0</v>
      </c>
      <c r="N222" s="189" t="s">
        <v>59</v>
      </c>
      <c r="O222" s="189" t="s">
        <v>59</v>
      </c>
      <c r="P222" s="190" t="s">
        <v>59</v>
      </c>
      <c r="Q222" s="191" t="s">
        <v>59</v>
      </c>
      <c r="R222" s="191" t="s">
        <v>59</v>
      </c>
    </row>
    <row r="223" spans="1:18" x14ac:dyDescent="0.25">
      <c r="A223" s="51"/>
      <c r="G223" s="8"/>
      <c r="H223" s="30">
        <v>218</v>
      </c>
      <c r="I223" s="31" t="str">
        <f t="shared" si="15"/>
        <v/>
      </c>
      <c r="J223" s="31">
        <f t="shared" si="18"/>
        <v>-5</v>
      </c>
      <c r="K223" s="30">
        <f t="shared" si="16"/>
        <v>-50</v>
      </c>
      <c r="L223" s="30"/>
      <c r="M223" s="32">
        <f t="shared" si="17"/>
        <v>0</v>
      </c>
      <c r="N223" s="189" t="s">
        <v>59</v>
      </c>
      <c r="O223" s="189" t="s">
        <v>59</v>
      </c>
      <c r="P223" s="190" t="s">
        <v>59</v>
      </c>
      <c r="Q223" s="191" t="s">
        <v>59</v>
      </c>
      <c r="R223" s="191" t="s">
        <v>59</v>
      </c>
    </row>
    <row r="224" spans="1:18" x14ac:dyDescent="0.25">
      <c r="A224" s="51"/>
      <c r="G224" s="8"/>
      <c r="H224" s="30">
        <v>219</v>
      </c>
      <c r="I224" s="31" t="str">
        <f t="shared" si="15"/>
        <v/>
      </c>
      <c r="J224" s="31">
        <f t="shared" si="18"/>
        <v>-5</v>
      </c>
      <c r="K224" s="30">
        <f t="shared" si="16"/>
        <v>-50</v>
      </c>
      <c r="L224" s="30"/>
      <c r="M224" s="32">
        <f t="shared" si="17"/>
        <v>0</v>
      </c>
      <c r="N224" s="189" t="s">
        <v>59</v>
      </c>
      <c r="O224" s="189" t="s">
        <v>59</v>
      </c>
      <c r="P224" s="190" t="s">
        <v>59</v>
      </c>
      <c r="Q224" s="191" t="s">
        <v>59</v>
      </c>
      <c r="R224" s="191" t="s">
        <v>59</v>
      </c>
    </row>
    <row r="225" spans="1:18" x14ac:dyDescent="0.25">
      <c r="A225" s="51"/>
      <c r="G225" s="8"/>
      <c r="H225" s="30">
        <v>220</v>
      </c>
      <c r="I225" s="31" t="str">
        <f t="shared" si="15"/>
        <v/>
      </c>
      <c r="J225" s="31">
        <f t="shared" si="18"/>
        <v>-5</v>
      </c>
      <c r="K225" s="30">
        <f t="shared" si="16"/>
        <v>-50</v>
      </c>
      <c r="L225" s="30"/>
      <c r="M225" s="32">
        <f t="shared" si="17"/>
        <v>0</v>
      </c>
      <c r="N225" s="189" t="s">
        <v>59</v>
      </c>
      <c r="O225" s="189" t="s">
        <v>59</v>
      </c>
      <c r="P225" s="190" t="s">
        <v>59</v>
      </c>
      <c r="Q225" s="191" t="s">
        <v>59</v>
      </c>
      <c r="R225" s="191" t="s">
        <v>59</v>
      </c>
    </row>
    <row r="226" spans="1:18" x14ac:dyDescent="0.25">
      <c r="A226" s="51"/>
      <c r="G226" s="8"/>
      <c r="H226" s="30">
        <v>221</v>
      </c>
      <c r="I226" s="31" t="str">
        <f t="shared" si="15"/>
        <v/>
      </c>
      <c r="J226" s="31">
        <f t="shared" si="18"/>
        <v>-5</v>
      </c>
      <c r="K226" s="30">
        <f t="shared" si="16"/>
        <v>-50</v>
      </c>
      <c r="L226" s="30"/>
      <c r="M226" s="32">
        <f t="shared" si="17"/>
        <v>0</v>
      </c>
      <c r="N226" s="189" t="s">
        <v>59</v>
      </c>
      <c r="O226" s="189" t="s">
        <v>59</v>
      </c>
      <c r="P226" s="190" t="s">
        <v>59</v>
      </c>
      <c r="Q226" s="191" t="s">
        <v>59</v>
      </c>
      <c r="R226" s="191" t="s">
        <v>59</v>
      </c>
    </row>
    <row r="227" spans="1:18" x14ac:dyDescent="0.25">
      <c r="A227" s="51"/>
      <c r="G227" s="8"/>
      <c r="H227" s="30">
        <v>222</v>
      </c>
      <c r="I227" s="31" t="str">
        <f t="shared" si="15"/>
        <v/>
      </c>
      <c r="J227" s="31">
        <f t="shared" si="18"/>
        <v>-5</v>
      </c>
      <c r="K227" s="30">
        <f t="shared" si="16"/>
        <v>-50</v>
      </c>
      <c r="L227" s="30"/>
      <c r="M227" s="32">
        <f t="shared" si="17"/>
        <v>0</v>
      </c>
      <c r="N227" s="189" t="s">
        <v>59</v>
      </c>
      <c r="O227" s="189" t="s">
        <v>59</v>
      </c>
      <c r="P227" s="190" t="s">
        <v>59</v>
      </c>
      <c r="Q227" s="191" t="s">
        <v>59</v>
      </c>
      <c r="R227" s="191" t="s">
        <v>59</v>
      </c>
    </row>
    <row r="228" spans="1:18" x14ac:dyDescent="0.25">
      <c r="A228" s="51"/>
      <c r="G228" s="8"/>
      <c r="H228" s="30">
        <v>223</v>
      </c>
      <c r="I228" s="31" t="str">
        <f t="shared" si="15"/>
        <v/>
      </c>
      <c r="J228" s="31">
        <f t="shared" si="18"/>
        <v>-5</v>
      </c>
      <c r="K228" s="30">
        <f t="shared" si="16"/>
        <v>-50</v>
      </c>
      <c r="L228" s="30"/>
      <c r="M228" s="32">
        <f t="shared" si="17"/>
        <v>0</v>
      </c>
      <c r="N228" s="189" t="s">
        <v>59</v>
      </c>
      <c r="O228" s="189" t="s">
        <v>59</v>
      </c>
      <c r="P228" s="190" t="s">
        <v>59</v>
      </c>
      <c r="Q228" s="191" t="s">
        <v>59</v>
      </c>
      <c r="R228" s="191" t="s">
        <v>59</v>
      </c>
    </row>
    <row r="229" spans="1:18" x14ac:dyDescent="0.25">
      <c r="A229" s="51"/>
      <c r="G229" s="8"/>
      <c r="H229" s="30">
        <v>224</v>
      </c>
      <c r="I229" s="31" t="str">
        <f t="shared" si="15"/>
        <v/>
      </c>
      <c r="J229" s="31">
        <f t="shared" si="18"/>
        <v>-5</v>
      </c>
      <c r="K229" s="30">
        <f t="shared" si="16"/>
        <v>-50</v>
      </c>
      <c r="L229" s="30"/>
      <c r="M229" s="32">
        <f t="shared" si="17"/>
        <v>0</v>
      </c>
      <c r="N229" s="189" t="s">
        <v>59</v>
      </c>
      <c r="O229" s="189" t="s">
        <v>59</v>
      </c>
      <c r="P229" s="190" t="s">
        <v>59</v>
      </c>
      <c r="Q229" s="191" t="s">
        <v>59</v>
      </c>
      <c r="R229" s="191" t="s">
        <v>59</v>
      </c>
    </row>
    <row r="230" spans="1:18" x14ac:dyDescent="0.25">
      <c r="A230" s="51"/>
      <c r="G230" s="8"/>
      <c r="H230" s="30">
        <v>225</v>
      </c>
      <c r="I230" s="31" t="str">
        <f t="shared" si="15"/>
        <v/>
      </c>
      <c r="J230" s="31">
        <f t="shared" si="18"/>
        <v>-5</v>
      </c>
      <c r="K230" s="30">
        <f t="shared" si="16"/>
        <v>-50</v>
      </c>
      <c r="L230" s="30"/>
      <c r="M230" s="32">
        <f t="shared" si="17"/>
        <v>0</v>
      </c>
      <c r="N230" s="189" t="s">
        <v>59</v>
      </c>
      <c r="O230" s="189" t="s">
        <v>59</v>
      </c>
      <c r="P230" s="190" t="s">
        <v>59</v>
      </c>
      <c r="Q230" s="191" t="s">
        <v>59</v>
      </c>
      <c r="R230" s="191" t="s">
        <v>59</v>
      </c>
    </row>
    <row r="231" spans="1:18" x14ac:dyDescent="0.25">
      <c r="A231" s="51"/>
      <c r="G231" s="8"/>
      <c r="H231" s="30">
        <v>226</v>
      </c>
      <c r="I231" s="31" t="str">
        <f t="shared" si="15"/>
        <v/>
      </c>
      <c r="J231" s="31">
        <f t="shared" si="18"/>
        <v>-5</v>
      </c>
      <c r="K231" s="30">
        <f t="shared" si="16"/>
        <v>-50</v>
      </c>
      <c r="L231" s="30"/>
      <c r="M231" s="32">
        <f t="shared" si="17"/>
        <v>0</v>
      </c>
      <c r="N231" s="189" t="s">
        <v>59</v>
      </c>
      <c r="O231" s="189" t="s">
        <v>59</v>
      </c>
      <c r="P231" s="190" t="s">
        <v>59</v>
      </c>
      <c r="Q231" s="191" t="s">
        <v>59</v>
      </c>
      <c r="R231" s="191" t="s">
        <v>59</v>
      </c>
    </row>
    <row r="232" spans="1:18" x14ac:dyDescent="0.25">
      <c r="A232" s="51"/>
      <c r="G232" s="8"/>
      <c r="H232" s="30">
        <v>227</v>
      </c>
      <c r="I232" s="31" t="str">
        <f t="shared" si="15"/>
        <v/>
      </c>
      <c r="J232" s="31">
        <f t="shared" si="18"/>
        <v>-5</v>
      </c>
      <c r="K232" s="30">
        <f t="shared" si="16"/>
        <v>-50</v>
      </c>
      <c r="L232" s="30"/>
      <c r="M232" s="32">
        <f t="shared" si="17"/>
        <v>0</v>
      </c>
      <c r="N232" s="189" t="s">
        <v>59</v>
      </c>
      <c r="O232" s="189" t="s">
        <v>59</v>
      </c>
      <c r="P232" s="190" t="s">
        <v>59</v>
      </c>
      <c r="Q232" s="191" t="s">
        <v>59</v>
      </c>
      <c r="R232" s="191" t="s">
        <v>59</v>
      </c>
    </row>
    <row r="233" spans="1:18" x14ac:dyDescent="0.25">
      <c r="A233" s="51"/>
      <c r="G233" s="8"/>
      <c r="H233" s="30">
        <v>228</v>
      </c>
      <c r="I233" s="31" t="str">
        <f t="shared" si="15"/>
        <v/>
      </c>
      <c r="J233" s="31">
        <f t="shared" si="18"/>
        <v>-5</v>
      </c>
      <c r="K233" s="30">
        <f t="shared" si="16"/>
        <v>-50</v>
      </c>
      <c r="L233" s="30"/>
      <c r="M233" s="32">
        <f t="shared" si="17"/>
        <v>0</v>
      </c>
      <c r="N233" s="189" t="s">
        <v>59</v>
      </c>
      <c r="O233" s="189" t="s">
        <v>59</v>
      </c>
      <c r="P233" s="190" t="s">
        <v>59</v>
      </c>
      <c r="Q233" s="191" t="s">
        <v>59</v>
      </c>
      <c r="R233" s="191" t="s">
        <v>59</v>
      </c>
    </row>
    <row r="234" spans="1:18" x14ac:dyDescent="0.25">
      <c r="A234" s="51"/>
      <c r="G234" s="8"/>
      <c r="H234" s="30">
        <v>229</v>
      </c>
      <c r="I234" s="31" t="str">
        <f t="shared" si="15"/>
        <v/>
      </c>
      <c r="J234" s="31">
        <f t="shared" si="18"/>
        <v>-5</v>
      </c>
      <c r="K234" s="30">
        <f t="shared" si="16"/>
        <v>-50</v>
      </c>
      <c r="L234" s="30"/>
      <c r="M234" s="32">
        <f t="shared" si="17"/>
        <v>0</v>
      </c>
      <c r="N234" s="189" t="s">
        <v>59</v>
      </c>
      <c r="O234" s="189" t="s">
        <v>59</v>
      </c>
      <c r="P234" s="190" t="s">
        <v>59</v>
      </c>
      <c r="Q234" s="191" t="s">
        <v>59</v>
      </c>
      <c r="R234" s="191" t="s">
        <v>59</v>
      </c>
    </row>
    <row r="235" spans="1:18" x14ac:dyDescent="0.25">
      <c r="A235" s="51"/>
      <c r="G235" s="8"/>
      <c r="H235" s="30">
        <v>230</v>
      </c>
      <c r="I235" s="31" t="str">
        <f t="shared" si="15"/>
        <v/>
      </c>
      <c r="J235" s="31">
        <f t="shared" si="18"/>
        <v>-5</v>
      </c>
      <c r="K235" s="30">
        <f t="shared" si="16"/>
        <v>-50</v>
      </c>
      <c r="L235" s="30"/>
      <c r="M235" s="32">
        <f t="shared" si="17"/>
        <v>0</v>
      </c>
      <c r="N235" s="189" t="s">
        <v>59</v>
      </c>
      <c r="O235" s="189" t="s">
        <v>59</v>
      </c>
      <c r="P235" s="190" t="s">
        <v>59</v>
      </c>
      <c r="Q235" s="191" t="s">
        <v>59</v>
      </c>
      <c r="R235" s="191" t="s">
        <v>59</v>
      </c>
    </row>
    <row r="236" spans="1:18" x14ac:dyDescent="0.25">
      <c r="A236" s="51"/>
      <c r="G236" s="8"/>
      <c r="H236" s="30">
        <v>231</v>
      </c>
      <c r="I236" s="31" t="str">
        <f t="shared" si="15"/>
        <v/>
      </c>
      <c r="J236" s="31">
        <f t="shared" si="18"/>
        <v>-5</v>
      </c>
      <c r="K236" s="30">
        <f t="shared" si="16"/>
        <v>-50</v>
      </c>
      <c r="L236" s="30"/>
      <c r="M236" s="32">
        <f t="shared" si="17"/>
        <v>0</v>
      </c>
      <c r="N236" s="189" t="s">
        <v>59</v>
      </c>
      <c r="O236" s="189" t="s">
        <v>59</v>
      </c>
      <c r="P236" s="190" t="s">
        <v>59</v>
      </c>
      <c r="Q236" s="191" t="s">
        <v>59</v>
      </c>
      <c r="R236" s="191" t="s">
        <v>59</v>
      </c>
    </row>
    <row r="237" spans="1:18" x14ac:dyDescent="0.25">
      <c r="A237" s="51"/>
      <c r="G237" s="8"/>
      <c r="H237" s="30">
        <v>232</v>
      </c>
      <c r="I237" s="31" t="str">
        <f t="shared" si="15"/>
        <v/>
      </c>
      <c r="J237" s="31">
        <f t="shared" si="18"/>
        <v>-5</v>
      </c>
      <c r="K237" s="30">
        <f t="shared" si="16"/>
        <v>-50</v>
      </c>
      <c r="L237" s="30"/>
      <c r="M237" s="32">
        <f t="shared" si="17"/>
        <v>0</v>
      </c>
      <c r="N237" s="189" t="s">
        <v>59</v>
      </c>
      <c r="O237" s="189" t="s">
        <v>59</v>
      </c>
      <c r="P237" s="190" t="s">
        <v>59</v>
      </c>
      <c r="Q237" s="191" t="s">
        <v>59</v>
      </c>
      <c r="R237" s="191" t="s">
        <v>59</v>
      </c>
    </row>
    <row r="238" spans="1:18" x14ac:dyDescent="0.25">
      <c r="A238" s="51"/>
      <c r="G238" s="8"/>
      <c r="H238" s="30">
        <v>233</v>
      </c>
      <c r="I238" s="31" t="str">
        <f t="shared" si="15"/>
        <v/>
      </c>
      <c r="J238" s="31">
        <f t="shared" si="18"/>
        <v>-5</v>
      </c>
      <c r="K238" s="30">
        <f t="shared" si="16"/>
        <v>-50</v>
      </c>
      <c r="L238" s="30"/>
      <c r="M238" s="32">
        <f t="shared" si="17"/>
        <v>0</v>
      </c>
      <c r="N238" s="189" t="s">
        <v>59</v>
      </c>
      <c r="O238" s="189" t="s">
        <v>59</v>
      </c>
      <c r="P238" s="190" t="s">
        <v>59</v>
      </c>
      <c r="Q238" s="191" t="s">
        <v>59</v>
      </c>
      <c r="R238" s="191" t="s">
        <v>59</v>
      </c>
    </row>
    <row r="239" spans="1:18" x14ac:dyDescent="0.25">
      <c r="A239" s="51"/>
      <c r="G239" s="8"/>
      <c r="H239" s="30">
        <v>234</v>
      </c>
      <c r="I239" s="31" t="str">
        <f t="shared" si="15"/>
        <v/>
      </c>
      <c r="J239" s="31">
        <f t="shared" si="18"/>
        <v>-5</v>
      </c>
      <c r="K239" s="30">
        <f t="shared" si="16"/>
        <v>-50</v>
      </c>
      <c r="L239" s="30"/>
      <c r="M239" s="32">
        <f t="shared" si="17"/>
        <v>0</v>
      </c>
      <c r="N239" s="189" t="s">
        <v>59</v>
      </c>
      <c r="O239" s="189" t="s">
        <v>59</v>
      </c>
      <c r="P239" s="190" t="s">
        <v>59</v>
      </c>
      <c r="Q239" s="191" t="s">
        <v>59</v>
      </c>
      <c r="R239" s="191" t="s">
        <v>59</v>
      </c>
    </row>
    <row r="240" spans="1:18" x14ac:dyDescent="0.25">
      <c r="A240" s="51"/>
      <c r="G240" s="8"/>
      <c r="H240" s="30">
        <v>235</v>
      </c>
      <c r="I240" s="31" t="str">
        <f t="shared" si="15"/>
        <v/>
      </c>
      <c r="J240" s="31">
        <f t="shared" si="18"/>
        <v>-5</v>
      </c>
      <c r="K240" s="30">
        <f t="shared" si="16"/>
        <v>-50</v>
      </c>
      <c r="L240" s="30"/>
      <c r="M240" s="32">
        <f t="shared" si="17"/>
        <v>0</v>
      </c>
      <c r="N240" s="189" t="s">
        <v>59</v>
      </c>
      <c r="O240" s="189" t="s">
        <v>59</v>
      </c>
      <c r="P240" s="190" t="s">
        <v>59</v>
      </c>
      <c r="Q240" s="191" t="s">
        <v>59</v>
      </c>
      <c r="R240" s="191" t="s">
        <v>59</v>
      </c>
    </row>
    <row r="241" spans="1:18" x14ac:dyDescent="0.25">
      <c r="A241" s="51"/>
      <c r="G241" s="8"/>
      <c r="H241" s="30">
        <v>236</v>
      </c>
      <c r="I241" s="31" t="str">
        <f t="shared" si="15"/>
        <v/>
      </c>
      <c r="J241" s="31">
        <f t="shared" si="18"/>
        <v>-5</v>
      </c>
      <c r="K241" s="30">
        <f t="shared" si="16"/>
        <v>-50</v>
      </c>
      <c r="L241" s="30"/>
      <c r="M241" s="32">
        <f t="shared" si="17"/>
        <v>0</v>
      </c>
      <c r="N241" s="189" t="s">
        <v>59</v>
      </c>
      <c r="O241" s="189" t="s">
        <v>59</v>
      </c>
      <c r="P241" s="190" t="s">
        <v>59</v>
      </c>
      <c r="Q241" s="191" t="s">
        <v>59</v>
      </c>
      <c r="R241" s="191" t="s">
        <v>59</v>
      </c>
    </row>
    <row r="242" spans="1:18" x14ac:dyDescent="0.25">
      <c r="A242" s="51"/>
      <c r="G242" s="8"/>
      <c r="H242" s="30">
        <v>237</v>
      </c>
      <c r="I242" s="31" t="str">
        <f t="shared" si="15"/>
        <v/>
      </c>
      <c r="J242" s="31">
        <f t="shared" si="18"/>
        <v>-5</v>
      </c>
      <c r="K242" s="30">
        <f t="shared" si="16"/>
        <v>-50</v>
      </c>
      <c r="L242" s="30"/>
      <c r="M242" s="32">
        <f t="shared" si="17"/>
        <v>0</v>
      </c>
      <c r="N242" s="189" t="s">
        <v>59</v>
      </c>
      <c r="O242" s="189" t="s">
        <v>59</v>
      </c>
      <c r="P242" s="190" t="s">
        <v>59</v>
      </c>
      <c r="Q242" s="191" t="s">
        <v>59</v>
      </c>
      <c r="R242" s="191" t="s">
        <v>59</v>
      </c>
    </row>
    <row r="243" spans="1:18" x14ac:dyDescent="0.25">
      <c r="A243" s="51"/>
      <c r="G243" s="8"/>
      <c r="H243" s="30">
        <v>238</v>
      </c>
      <c r="I243" s="31" t="str">
        <f t="shared" si="15"/>
        <v/>
      </c>
      <c r="J243" s="31">
        <f t="shared" si="18"/>
        <v>-5</v>
      </c>
      <c r="K243" s="30">
        <f t="shared" si="16"/>
        <v>-50</v>
      </c>
      <c r="L243" s="30"/>
      <c r="M243" s="32">
        <f t="shared" si="17"/>
        <v>0</v>
      </c>
      <c r="N243" s="189" t="s">
        <v>59</v>
      </c>
      <c r="O243" s="189" t="s">
        <v>59</v>
      </c>
      <c r="P243" s="190" t="s">
        <v>59</v>
      </c>
      <c r="Q243" s="191" t="s">
        <v>59</v>
      </c>
      <c r="R243" s="191" t="s">
        <v>59</v>
      </c>
    </row>
    <row r="244" spans="1:18" x14ac:dyDescent="0.25">
      <c r="A244" s="51"/>
      <c r="G244" s="8"/>
      <c r="H244" s="30">
        <v>239</v>
      </c>
      <c r="I244" s="31" t="str">
        <f t="shared" si="15"/>
        <v/>
      </c>
      <c r="J244" s="31">
        <f t="shared" si="18"/>
        <v>-5</v>
      </c>
      <c r="K244" s="30">
        <f t="shared" si="16"/>
        <v>-50</v>
      </c>
      <c r="L244" s="30"/>
      <c r="M244" s="32">
        <f t="shared" si="17"/>
        <v>0</v>
      </c>
      <c r="N244" s="189" t="s">
        <v>59</v>
      </c>
      <c r="O244" s="189" t="s">
        <v>59</v>
      </c>
      <c r="P244" s="190" t="s">
        <v>59</v>
      </c>
      <c r="Q244" s="191" t="s">
        <v>59</v>
      </c>
      <c r="R244" s="191" t="s">
        <v>59</v>
      </c>
    </row>
    <row r="245" spans="1:18" x14ac:dyDescent="0.25">
      <c r="A245" s="51"/>
      <c r="G245" s="8"/>
      <c r="H245" s="30">
        <v>240</v>
      </c>
      <c r="I245" s="31" t="str">
        <f t="shared" si="15"/>
        <v/>
      </c>
      <c r="J245" s="31">
        <f t="shared" si="18"/>
        <v>-5</v>
      </c>
      <c r="K245" s="30">
        <f t="shared" si="16"/>
        <v>-50</v>
      </c>
      <c r="L245" s="30"/>
      <c r="M245" s="32">
        <f t="shared" si="17"/>
        <v>0</v>
      </c>
      <c r="N245" s="189" t="s">
        <v>59</v>
      </c>
      <c r="O245" s="189" t="s">
        <v>59</v>
      </c>
      <c r="P245" s="190" t="s">
        <v>59</v>
      </c>
      <c r="Q245" s="191" t="s">
        <v>59</v>
      </c>
      <c r="R245" s="191" t="s">
        <v>59</v>
      </c>
    </row>
    <row r="246" spans="1:18" x14ac:dyDescent="0.25">
      <c r="A246" s="51"/>
      <c r="G246" s="8"/>
      <c r="H246" s="30">
        <v>241</v>
      </c>
      <c r="I246" s="31" t="str">
        <f t="shared" si="15"/>
        <v/>
      </c>
      <c r="J246" s="31">
        <f t="shared" si="18"/>
        <v>-5</v>
      </c>
      <c r="K246" s="30">
        <f t="shared" si="16"/>
        <v>-50</v>
      </c>
      <c r="L246" s="30"/>
      <c r="M246" s="32">
        <f t="shared" si="17"/>
        <v>0</v>
      </c>
      <c r="N246" s="189" t="s">
        <v>59</v>
      </c>
      <c r="O246" s="189" t="s">
        <v>59</v>
      </c>
      <c r="P246" s="190" t="s">
        <v>59</v>
      </c>
      <c r="Q246" s="191" t="s">
        <v>59</v>
      </c>
      <c r="R246" s="191" t="s">
        <v>59</v>
      </c>
    </row>
    <row r="247" spans="1:18" x14ac:dyDescent="0.25">
      <c r="A247" s="51"/>
      <c r="G247" s="8"/>
      <c r="H247" s="30">
        <v>242</v>
      </c>
      <c r="I247" s="31" t="str">
        <f t="shared" si="15"/>
        <v/>
      </c>
      <c r="J247" s="31">
        <f t="shared" si="18"/>
        <v>-5</v>
      </c>
      <c r="K247" s="30">
        <f t="shared" si="16"/>
        <v>-50</v>
      </c>
      <c r="L247" s="30"/>
      <c r="M247" s="32">
        <f t="shared" si="17"/>
        <v>0</v>
      </c>
      <c r="N247" s="189" t="s">
        <v>59</v>
      </c>
      <c r="O247" s="189" t="s">
        <v>59</v>
      </c>
      <c r="P247" s="190" t="s">
        <v>59</v>
      </c>
      <c r="Q247" s="191" t="s">
        <v>59</v>
      </c>
      <c r="R247" s="191" t="s">
        <v>59</v>
      </c>
    </row>
    <row r="248" spans="1:18" x14ac:dyDescent="0.25">
      <c r="A248" s="51"/>
      <c r="G248" s="8"/>
      <c r="H248" s="30">
        <v>243</v>
      </c>
      <c r="I248" s="31" t="str">
        <f t="shared" si="15"/>
        <v/>
      </c>
      <c r="J248" s="31">
        <f t="shared" si="18"/>
        <v>-5</v>
      </c>
      <c r="K248" s="30">
        <f t="shared" si="16"/>
        <v>-50</v>
      </c>
      <c r="L248" s="30"/>
      <c r="M248" s="32">
        <f t="shared" si="17"/>
        <v>0</v>
      </c>
      <c r="N248" s="189" t="s">
        <v>59</v>
      </c>
      <c r="O248" s="189" t="s">
        <v>59</v>
      </c>
      <c r="P248" s="190" t="s">
        <v>59</v>
      </c>
      <c r="Q248" s="191" t="s">
        <v>59</v>
      </c>
      <c r="R248" s="191" t="s">
        <v>59</v>
      </c>
    </row>
    <row r="249" spans="1:18" x14ac:dyDescent="0.25">
      <c r="A249" s="51"/>
      <c r="G249" s="8"/>
      <c r="H249" s="30">
        <v>244</v>
      </c>
      <c r="I249" s="31" t="str">
        <f t="shared" si="15"/>
        <v/>
      </c>
      <c r="J249" s="31">
        <f t="shared" si="18"/>
        <v>-5</v>
      </c>
      <c r="K249" s="30">
        <f t="shared" si="16"/>
        <v>-50</v>
      </c>
      <c r="L249" s="30"/>
      <c r="M249" s="32">
        <f t="shared" si="17"/>
        <v>0</v>
      </c>
      <c r="N249" s="189" t="s">
        <v>59</v>
      </c>
      <c r="O249" s="189" t="s">
        <v>59</v>
      </c>
      <c r="P249" s="190" t="s">
        <v>59</v>
      </c>
      <c r="Q249" s="191" t="s">
        <v>59</v>
      </c>
      <c r="R249" s="191" t="s">
        <v>59</v>
      </c>
    </row>
    <row r="250" spans="1:18" x14ac:dyDescent="0.25">
      <c r="A250" s="51"/>
      <c r="G250" s="8"/>
      <c r="H250" s="30">
        <v>245</v>
      </c>
      <c r="I250" s="31" t="str">
        <f t="shared" si="15"/>
        <v/>
      </c>
      <c r="J250" s="31">
        <f t="shared" si="18"/>
        <v>-5</v>
      </c>
      <c r="K250" s="30">
        <f t="shared" si="16"/>
        <v>-50</v>
      </c>
      <c r="L250" s="30"/>
      <c r="M250" s="32">
        <f t="shared" si="17"/>
        <v>0</v>
      </c>
      <c r="N250" s="189" t="s">
        <v>59</v>
      </c>
      <c r="O250" s="189" t="s">
        <v>59</v>
      </c>
      <c r="P250" s="190" t="s">
        <v>59</v>
      </c>
      <c r="Q250" s="191" t="s">
        <v>59</v>
      </c>
      <c r="R250" s="191" t="s">
        <v>59</v>
      </c>
    </row>
    <row r="251" spans="1:18" x14ac:dyDescent="0.25">
      <c r="A251" s="51"/>
      <c r="G251" s="8"/>
      <c r="H251" s="30">
        <v>246</v>
      </c>
      <c r="I251" s="31" t="str">
        <f t="shared" si="15"/>
        <v/>
      </c>
      <c r="J251" s="31">
        <f t="shared" si="18"/>
        <v>-5</v>
      </c>
      <c r="K251" s="30">
        <f t="shared" si="16"/>
        <v>-50</v>
      </c>
      <c r="L251" s="30"/>
      <c r="M251" s="32">
        <f t="shared" si="17"/>
        <v>0</v>
      </c>
      <c r="N251" s="189" t="s">
        <v>59</v>
      </c>
      <c r="O251" s="189" t="s">
        <v>59</v>
      </c>
      <c r="P251" s="190" t="s">
        <v>59</v>
      </c>
      <c r="Q251" s="191" t="s">
        <v>59</v>
      </c>
      <c r="R251" s="191" t="s">
        <v>59</v>
      </c>
    </row>
    <row r="252" spans="1:18" x14ac:dyDescent="0.25">
      <c r="A252" s="51"/>
      <c r="G252" s="8"/>
      <c r="H252" s="30">
        <v>247</v>
      </c>
      <c r="I252" s="31" t="str">
        <f t="shared" si="15"/>
        <v/>
      </c>
      <c r="J252" s="31">
        <f t="shared" si="18"/>
        <v>-5</v>
      </c>
      <c r="K252" s="30">
        <f t="shared" si="16"/>
        <v>-50</v>
      </c>
      <c r="L252" s="30"/>
      <c r="M252" s="32">
        <f t="shared" si="17"/>
        <v>0</v>
      </c>
      <c r="N252" s="189" t="s">
        <v>59</v>
      </c>
      <c r="O252" s="189" t="s">
        <v>59</v>
      </c>
      <c r="P252" s="190" t="s">
        <v>59</v>
      </c>
      <c r="Q252" s="191" t="s">
        <v>59</v>
      </c>
      <c r="R252" s="191" t="s">
        <v>59</v>
      </c>
    </row>
    <row r="253" spans="1:18" x14ac:dyDescent="0.25">
      <c r="A253" s="51"/>
      <c r="G253" s="8"/>
      <c r="H253" s="30">
        <v>248</v>
      </c>
      <c r="I253" s="31" t="str">
        <f t="shared" si="15"/>
        <v/>
      </c>
      <c r="J253" s="31">
        <f t="shared" si="18"/>
        <v>-5</v>
      </c>
      <c r="K253" s="30">
        <f t="shared" si="16"/>
        <v>-50</v>
      </c>
      <c r="L253" s="30"/>
      <c r="M253" s="32">
        <f t="shared" si="17"/>
        <v>0</v>
      </c>
      <c r="N253" s="189" t="s">
        <v>59</v>
      </c>
      <c r="O253" s="189" t="s">
        <v>59</v>
      </c>
      <c r="P253" s="190" t="s">
        <v>59</v>
      </c>
      <c r="Q253" s="191" t="s">
        <v>59</v>
      </c>
      <c r="R253" s="191" t="s">
        <v>59</v>
      </c>
    </row>
    <row r="254" spans="1:18" x14ac:dyDescent="0.25">
      <c r="A254" s="51"/>
      <c r="G254" s="8"/>
      <c r="H254" s="30">
        <v>249</v>
      </c>
      <c r="I254" s="31" t="str">
        <f t="shared" si="15"/>
        <v/>
      </c>
      <c r="J254" s="31">
        <f t="shared" si="18"/>
        <v>-5</v>
      </c>
      <c r="K254" s="30">
        <f t="shared" si="16"/>
        <v>-50</v>
      </c>
      <c r="L254" s="30"/>
      <c r="M254" s="32">
        <f t="shared" si="17"/>
        <v>0</v>
      </c>
      <c r="N254" s="189" t="s">
        <v>59</v>
      </c>
      <c r="O254" s="189" t="s">
        <v>59</v>
      </c>
      <c r="P254" s="190" t="s">
        <v>59</v>
      </c>
      <c r="Q254" s="191" t="s">
        <v>59</v>
      </c>
      <c r="R254" s="191" t="s">
        <v>59</v>
      </c>
    </row>
    <row r="255" spans="1:18" x14ac:dyDescent="0.25">
      <c r="A255" s="51"/>
      <c r="G255" s="8"/>
      <c r="H255" s="30">
        <v>250</v>
      </c>
      <c r="I255" s="31" t="str">
        <f t="shared" si="15"/>
        <v/>
      </c>
      <c r="J255" s="31">
        <f t="shared" si="18"/>
        <v>-5</v>
      </c>
      <c r="K255" s="30">
        <f t="shared" si="16"/>
        <v>-50</v>
      </c>
      <c r="L255" s="30"/>
      <c r="M255" s="32">
        <f t="shared" si="17"/>
        <v>0</v>
      </c>
      <c r="N255" s="189" t="s">
        <v>59</v>
      </c>
      <c r="O255" s="189" t="s">
        <v>59</v>
      </c>
      <c r="P255" s="190" t="s">
        <v>59</v>
      </c>
      <c r="Q255" s="191" t="s">
        <v>59</v>
      </c>
      <c r="R255" s="191" t="s">
        <v>59</v>
      </c>
    </row>
    <row r="256" spans="1:18" x14ac:dyDescent="0.25">
      <c r="A256" s="51"/>
      <c r="G256" s="8"/>
      <c r="H256" s="30">
        <v>251</v>
      </c>
      <c r="I256" s="31" t="str">
        <f t="shared" si="15"/>
        <v/>
      </c>
      <c r="J256" s="31">
        <f t="shared" si="18"/>
        <v>-5</v>
      </c>
      <c r="K256" s="30">
        <f t="shared" si="16"/>
        <v>-50</v>
      </c>
      <c r="L256" s="30"/>
      <c r="M256" s="32">
        <f t="shared" si="17"/>
        <v>0</v>
      </c>
      <c r="N256" s="189" t="s">
        <v>59</v>
      </c>
      <c r="O256" s="189" t="s">
        <v>59</v>
      </c>
      <c r="P256" s="190" t="s">
        <v>59</v>
      </c>
      <c r="Q256" s="191" t="s">
        <v>59</v>
      </c>
      <c r="R256" s="191" t="s">
        <v>59</v>
      </c>
    </row>
    <row r="257" spans="1:18" x14ac:dyDescent="0.25">
      <c r="A257" s="51"/>
      <c r="G257" s="8"/>
      <c r="H257" s="30">
        <v>252</v>
      </c>
      <c r="I257" s="31" t="str">
        <f t="shared" si="15"/>
        <v/>
      </c>
      <c r="J257" s="31">
        <f t="shared" si="18"/>
        <v>-5</v>
      </c>
      <c r="K257" s="30">
        <f t="shared" si="16"/>
        <v>-50</v>
      </c>
      <c r="L257" s="30"/>
      <c r="M257" s="32">
        <f t="shared" si="17"/>
        <v>0</v>
      </c>
      <c r="N257" s="189" t="s">
        <v>59</v>
      </c>
      <c r="O257" s="189" t="s">
        <v>59</v>
      </c>
      <c r="P257" s="190" t="s">
        <v>59</v>
      </c>
      <c r="Q257" s="191" t="s">
        <v>59</v>
      </c>
      <c r="R257" s="191" t="s">
        <v>59</v>
      </c>
    </row>
    <row r="258" spans="1:18" x14ac:dyDescent="0.25">
      <c r="A258" s="51"/>
      <c r="G258" s="8"/>
      <c r="H258" s="30">
        <v>253</v>
      </c>
      <c r="I258" s="31" t="str">
        <f t="shared" si="15"/>
        <v/>
      </c>
      <c r="J258" s="31">
        <f t="shared" si="18"/>
        <v>-5</v>
      </c>
      <c r="K258" s="30">
        <f t="shared" si="16"/>
        <v>-50</v>
      </c>
      <c r="L258" s="30"/>
      <c r="M258" s="32">
        <f t="shared" si="17"/>
        <v>0</v>
      </c>
      <c r="N258" s="189" t="s">
        <v>59</v>
      </c>
      <c r="O258" s="189" t="s">
        <v>59</v>
      </c>
      <c r="P258" s="190" t="s">
        <v>59</v>
      </c>
      <c r="Q258" s="191" t="s">
        <v>59</v>
      </c>
      <c r="R258" s="191" t="s">
        <v>59</v>
      </c>
    </row>
    <row r="259" spans="1:18" x14ac:dyDescent="0.25">
      <c r="A259" s="51"/>
      <c r="G259" s="8"/>
      <c r="H259" s="30">
        <v>254</v>
      </c>
      <c r="I259" s="31" t="str">
        <f t="shared" si="15"/>
        <v/>
      </c>
      <c r="J259" s="31">
        <f t="shared" si="18"/>
        <v>-5</v>
      </c>
      <c r="K259" s="30">
        <f t="shared" si="16"/>
        <v>-50</v>
      </c>
      <c r="L259" s="30"/>
      <c r="M259" s="32">
        <f t="shared" si="17"/>
        <v>0</v>
      </c>
      <c r="N259" s="189" t="s">
        <v>59</v>
      </c>
      <c r="O259" s="189" t="s">
        <v>59</v>
      </c>
      <c r="P259" s="190" t="s">
        <v>59</v>
      </c>
      <c r="Q259" s="191" t="s">
        <v>59</v>
      </c>
      <c r="R259" s="191" t="s">
        <v>59</v>
      </c>
    </row>
    <row r="260" spans="1:18" x14ac:dyDescent="0.25">
      <c r="A260" s="51"/>
      <c r="G260" s="8"/>
      <c r="H260" s="30">
        <v>255</v>
      </c>
      <c r="I260" s="31" t="str">
        <f t="shared" si="15"/>
        <v/>
      </c>
      <c r="J260" s="31">
        <f t="shared" si="18"/>
        <v>-5</v>
      </c>
      <c r="K260" s="30">
        <f t="shared" si="16"/>
        <v>-50</v>
      </c>
      <c r="L260" s="30"/>
      <c r="M260" s="32">
        <f t="shared" si="17"/>
        <v>0</v>
      </c>
      <c r="N260" s="189" t="s">
        <v>59</v>
      </c>
      <c r="O260" s="189" t="s">
        <v>59</v>
      </c>
      <c r="P260" s="190" t="s">
        <v>59</v>
      </c>
      <c r="Q260" s="191" t="s">
        <v>59</v>
      </c>
      <c r="R260" s="191" t="s">
        <v>59</v>
      </c>
    </row>
    <row r="261" spans="1:18" x14ac:dyDescent="0.25">
      <c r="A261" s="51"/>
      <c r="G261" s="8"/>
      <c r="H261" s="30">
        <v>256</v>
      </c>
      <c r="I261" s="31" t="str">
        <f t="shared" si="15"/>
        <v/>
      </c>
      <c r="J261" s="31">
        <f t="shared" si="18"/>
        <v>-5</v>
      </c>
      <c r="K261" s="30">
        <f t="shared" si="16"/>
        <v>-50</v>
      </c>
      <c r="L261" s="30"/>
      <c r="M261" s="32">
        <f t="shared" si="17"/>
        <v>0</v>
      </c>
      <c r="N261" s="189" t="s">
        <v>59</v>
      </c>
      <c r="O261" s="189" t="s">
        <v>59</v>
      </c>
      <c r="P261" s="190" t="s">
        <v>59</v>
      </c>
      <c r="Q261" s="191" t="s">
        <v>59</v>
      </c>
      <c r="R261" s="191" t="s">
        <v>59</v>
      </c>
    </row>
    <row r="262" spans="1:18" x14ac:dyDescent="0.25">
      <c r="A262" s="51"/>
      <c r="G262" s="8"/>
      <c r="H262" s="30">
        <v>257</v>
      </c>
      <c r="I262" s="31" t="str">
        <f t="shared" ref="I262:I305" si="19">IF(H262&lt;$H$2+1,($I$2-($I$2-1)*(LOG(H262)/LOG($H$2))),"")</f>
        <v/>
      </c>
      <c r="J262" s="31">
        <f t="shared" si="18"/>
        <v>-6</v>
      </c>
      <c r="K262" s="30">
        <f t="shared" ref="K262:K305" si="20">J262*$J$2</f>
        <v>-60</v>
      </c>
      <c r="L262" s="30"/>
      <c r="M262" s="32">
        <f t="shared" ref="M262:M305" si="21">IF(I262&lt;&gt;"",K262+I262+L262,0)</f>
        <v>0</v>
      </c>
      <c r="N262" s="189" t="s">
        <v>59</v>
      </c>
      <c r="O262" s="189" t="s">
        <v>59</v>
      </c>
      <c r="P262" s="190" t="s">
        <v>59</v>
      </c>
      <c r="Q262" s="191" t="s">
        <v>59</v>
      </c>
      <c r="R262" s="191" t="s">
        <v>59</v>
      </c>
    </row>
    <row r="263" spans="1:18" x14ac:dyDescent="0.25">
      <c r="A263" s="51"/>
      <c r="G263" s="8"/>
      <c r="H263" s="30">
        <v>258</v>
      </c>
      <c r="I263" s="31" t="str">
        <f t="shared" si="19"/>
        <v/>
      </c>
      <c r="J263" s="31">
        <f t="shared" ref="J263:J305" si="22">INT(LOG($H$2,2))-ROUNDUP(LOG(H263,2),0)+IF(OR($H$2=1,$H$2=2,$H$2=4,$H$2=8,$H$2=16,$H$2=32,$H$2=64,$H$2=128,$H$2=256),0,1)</f>
        <v>-6</v>
      </c>
      <c r="K263" s="30">
        <f t="shared" si="20"/>
        <v>-60</v>
      </c>
      <c r="L263" s="30"/>
      <c r="M263" s="32">
        <f t="shared" si="21"/>
        <v>0</v>
      </c>
      <c r="N263" s="189" t="s">
        <v>59</v>
      </c>
      <c r="O263" s="189" t="s">
        <v>59</v>
      </c>
      <c r="P263" s="190" t="s">
        <v>59</v>
      </c>
      <c r="Q263" s="191" t="s">
        <v>59</v>
      </c>
      <c r="R263" s="191" t="s">
        <v>59</v>
      </c>
    </row>
    <row r="264" spans="1:18" x14ac:dyDescent="0.25">
      <c r="A264" s="51"/>
      <c r="G264" s="8"/>
      <c r="H264" s="30">
        <v>259</v>
      </c>
      <c r="I264" s="31" t="str">
        <f t="shared" si="19"/>
        <v/>
      </c>
      <c r="J264" s="31">
        <f t="shared" si="22"/>
        <v>-6</v>
      </c>
      <c r="K264" s="30">
        <f t="shared" si="20"/>
        <v>-60</v>
      </c>
      <c r="L264" s="30"/>
      <c r="M264" s="32">
        <f t="shared" si="21"/>
        <v>0</v>
      </c>
      <c r="N264" s="189" t="s">
        <v>59</v>
      </c>
      <c r="O264" s="189" t="s">
        <v>59</v>
      </c>
      <c r="P264" s="190" t="s">
        <v>59</v>
      </c>
      <c r="Q264" s="191" t="s">
        <v>59</v>
      </c>
      <c r="R264" s="191" t="s">
        <v>59</v>
      </c>
    </row>
    <row r="265" spans="1:18" x14ac:dyDescent="0.25">
      <c r="A265" s="51"/>
      <c r="G265" s="8"/>
      <c r="H265" s="30">
        <v>260</v>
      </c>
      <c r="I265" s="31" t="str">
        <f t="shared" si="19"/>
        <v/>
      </c>
      <c r="J265" s="31">
        <f t="shared" si="22"/>
        <v>-6</v>
      </c>
      <c r="K265" s="30">
        <f t="shared" si="20"/>
        <v>-60</v>
      </c>
      <c r="L265" s="30"/>
      <c r="M265" s="32">
        <f t="shared" si="21"/>
        <v>0</v>
      </c>
      <c r="N265" s="189" t="s">
        <v>59</v>
      </c>
      <c r="O265" s="189" t="s">
        <v>59</v>
      </c>
      <c r="P265" s="190" t="s">
        <v>59</v>
      </c>
      <c r="Q265" s="191" t="s">
        <v>59</v>
      </c>
      <c r="R265" s="191" t="s">
        <v>59</v>
      </c>
    </row>
    <row r="266" spans="1:18" x14ac:dyDescent="0.25">
      <c r="A266" s="51"/>
      <c r="G266" s="8"/>
      <c r="H266" s="30">
        <v>261</v>
      </c>
      <c r="I266" s="31" t="str">
        <f t="shared" si="19"/>
        <v/>
      </c>
      <c r="J266" s="31">
        <f t="shared" si="22"/>
        <v>-6</v>
      </c>
      <c r="K266" s="30">
        <f t="shared" si="20"/>
        <v>-60</v>
      </c>
      <c r="L266" s="30"/>
      <c r="M266" s="32">
        <f t="shared" si="21"/>
        <v>0</v>
      </c>
      <c r="N266" s="189" t="s">
        <v>59</v>
      </c>
      <c r="O266" s="189" t="s">
        <v>59</v>
      </c>
      <c r="P266" s="190" t="s">
        <v>59</v>
      </c>
      <c r="Q266" s="191" t="s">
        <v>59</v>
      </c>
      <c r="R266" s="191" t="s">
        <v>59</v>
      </c>
    </row>
    <row r="267" spans="1:18" x14ac:dyDescent="0.25">
      <c r="A267" s="51"/>
      <c r="G267" s="8"/>
      <c r="H267" s="30">
        <v>262</v>
      </c>
      <c r="I267" s="31" t="str">
        <f t="shared" si="19"/>
        <v/>
      </c>
      <c r="J267" s="31">
        <f t="shared" si="22"/>
        <v>-6</v>
      </c>
      <c r="K267" s="30">
        <f t="shared" si="20"/>
        <v>-60</v>
      </c>
      <c r="L267" s="30"/>
      <c r="M267" s="32">
        <f t="shared" si="21"/>
        <v>0</v>
      </c>
      <c r="N267" s="189" t="s">
        <v>59</v>
      </c>
      <c r="O267" s="189" t="s">
        <v>59</v>
      </c>
      <c r="P267" s="190" t="s">
        <v>59</v>
      </c>
      <c r="Q267" s="191" t="s">
        <v>59</v>
      </c>
      <c r="R267" s="191" t="s">
        <v>59</v>
      </c>
    </row>
    <row r="268" spans="1:18" x14ac:dyDescent="0.25">
      <c r="A268" s="51"/>
      <c r="G268" s="8"/>
      <c r="H268" s="30">
        <v>263</v>
      </c>
      <c r="I268" s="31" t="str">
        <f t="shared" si="19"/>
        <v/>
      </c>
      <c r="J268" s="31">
        <f t="shared" si="22"/>
        <v>-6</v>
      </c>
      <c r="K268" s="30">
        <f t="shared" si="20"/>
        <v>-60</v>
      </c>
      <c r="L268" s="30"/>
      <c r="M268" s="32">
        <f t="shared" si="21"/>
        <v>0</v>
      </c>
      <c r="N268" s="189" t="s">
        <v>59</v>
      </c>
      <c r="O268" s="189" t="s">
        <v>59</v>
      </c>
      <c r="P268" s="190" t="s">
        <v>59</v>
      </c>
      <c r="Q268" s="191" t="s">
        <v>59</v>
      </c>
      <c r="R268" s="191" t="s">
        <v>59</v>
      </c>
    </row>
    <row r="269" spans="1:18" x14ac:dyDescent="0.25">
      <c r="A269" s="51"/>
      <c r="G269" s="8"/>
      <c r="H269" s="30">
        <v>264</v>
      </c>
      <c r="I269" s="31" t="str">
        <f t="shared" si="19"/>
        <v/>
      </c>
      <c r="J269" s="31">
        <f t="shared" si="22"/>
        <v>-6</v>
      </c>
      <c r="K269" s="30">
        <f t="shared" si="20"/>
        <v>-60</v>
      </c>
      <c r="L269" s="30"/>
      <c r="M269" s="32">
        <f t="shared" si="21"/>
        <v>0</v>
      </c>
      <c r="N269" s="189" t="s">
        <v>59</v>
      </c>
      <c r="O269" s="189" t="s">
        <v>59</v>
      </c>
      <c r="P269" s="190" t="s">
        <v>59</v>
      </c>
      <c r="Q269" s="191" t="s">
        <v>59</v>
      </c>
      <c r="R269" s="191" t="s">
        <v>59</v>
      </c>
    </row>
    <row r="270" spans="1:18" x14ac:dyDescent="0.25">
      <c r="A270" s="51"/>
      <c r="G270" s="8"/>
      <c r="H270" s="30">
        <v>265</v>
      </c>
      <c r="I270" s="31" t="str">
        <f t="shared" si="19"/>
        <v/>
      </c>
      <c r="J270" s="31">
        <f t="shared" si="22"/>
        <v>-6</v>
      </c>
      <c r="K270" s="30">
        <f t="shared" si="20"/>
        <v>-60</v>
      </c>
      <c r="L270" s="30"/>
      <c r="M270" s="32">
        <f t="shared" si="21"/>
        <v>0</v>
      </c>
      <c r="N270" s="189" t="s">
        <v>59</v>
      </c>
      <c r="O270" s="189" t="s">
        <v>59</v>
      </c>
      <c r="P270" s="190" t="s">
        <v>59</v>
      </c>
      <c r="Q270" s="191" t="s">
        <v>59</v>
      </c>
      <c r="R270" s="191" t="s">
        <v>59</v>
      </c>
    </row>
    <row r="271" spans="1:18" x14ac:dyDescent="0.25">
      <c r="A271" s="51"/>
      <c r="G271" s="8"/>
      <c r="H271" s="30">
        <v>266</v>
      </c>
      <c r="I271" s="31" t="str">
        <f t="shared" si="19"/>
        <v/>
      </c>
      <c r="J271" s="31">
        <f t="shared" si="22"/>
        <v>-6</v>
      </c>
      <c r="K271" s="30">
        <f t="shared" si="20"/>
        <v>-60</v>
      </c>
      <c r="L271" s="30"/>
      <c r="M271" s="32">
        <f t="shared" si="21"/>
        <v>0</v>
      </c>
      <c r="N271" s="189" t="s">
        <v>59</v>
      </c>
      <c r="O271" s="189" t="s">
        <v>59</v>
      </c>
      <c r="P271" s="190" t="s">
        <v>59</v>
      </c>
      <c r="Q271" s="191" t="s">
        <v>59</v>
      </c>
      <c r="R271" s="191" t="s">
        <v>59</v>
      </c>
    </row>
    <row r="272" spans="1:18" x14ac:dyDescent="0.25">
      <c r="A272" s="51"/>
      <c r="G272" s="8"/>
      <c r="H272" s="30">
        <v>267</v>
      </c>
      <c r="I272" s="31" t="str">
        <f t="shared" si="19"/>
        <v/>
      </c>
      <c r="J272" s="31">
        <f t="shared" si="22"/>
        <v>-6</v>
      </c>
      <c r="K272" s="30">
        <f t="shared" si="20"/>
        <v>-60</v>
      </c>
      <c r="L272" s="30"/>
      <c r="M272" s="32">
        <f t="shared" si="21"/>
        <v>0</v>
      </c>
      <c r="N272" s="189" t="s">
        <v>59</v>
      </c>
      <c r="O272" s="189" t="s">
        <v>59</v>
      </c>
      <c r="P272" s="190" t="s">
        <v>59</v>
      </c>
      <c r="Q272" s="191" t="s">
        <v>59</v>
      </c>
      <c r="R272" s="191" t="s">
        <v>59</v>
      </c>
    </row>
    <row r="273" spans="1:18" x14ac:dyDescent="0.25">
      <c r="A273" s="51"/>
      <c r="G273" s="8"/>
      <c r="H273" s="30">
        <v>268</v>
      </c>
      <c r="I273" s="31" t="str">
        <f t="shared" si="19"/>
        <v/>
      </c>
      <c r="J273" s="31">
        <f t="shared" si="22"/>
        <v>-6</v>
      </c>
      <c r="K273" s="30">
        <f t="shared" si="20"/>
        <v>-60</v>
      </c>
      <c r="L273" s="30"/>
      <c r="M273" s="32">
        <f t="shared" si="21"/>
        <v>0</v>
      </c>
      <c r="N273" s="189" t="s">
        <v>59</v>
      </c>
      <c r="O273" s="189" t="s">
        <v>59</v>
      </c>
      <c r="P273" s="190" t="s">
        <v>59</v>
      </c>
      <c r="Q273" s="191" t="s">
        <v>59</v>
      </c>
      <c r="R273" s="191" t="s">
        <v>59</v>
      </c>
    </row>
    <row r="274" spans="1:18" x14ac:dyDescent="0.25">
      <c r="A274" s="51"/>
      <c r="G274" s="8"/>
      <c r="H274" s="30">
        <v>269</v>
      </c>
      <c r="I274" s="31" t="str">
        <f t="shared" si="19"/>
        <v/>
      </c>
      <c r="J274" s="31">
        <f t="shared" si="22"/>
        <v>-6</v>
      </c>
      <c r="K274" s="30">
        <f t="shared" si="20"/>
        <v>-60</v>
      </c>
      <c r="L274" s="30"/>
      <c r="M274" s="32">
        <f t="shared" si="21"/>
        <v>0</v>
      </c>
      <c r="N274" s="189" t="s">
        <v>59</v>
      </c>
      <c r="O274" s="189" t="s">
        <v>59</v>
      </c>
      <c r="P274" s="190" t="s">
        <v>59</v>
      </c>
      <c r="Q274" s="191" t="s">
        <v>59</v>
      </c>
      <c r="R274" s="191" t="s">
        <v>59</v>
      </c>
    </row>
    <row r="275" spans="1:18" x14ac:dyDescent="0.25">
      <c r="A275" s="51"/>
      <c r="G275" s="8"/>
      <c r="H275" s="30">
        <v>270</v>
      </c>
      <c r="I275" s="31" t="str">
        <f t="shared" si="19"/>
        <v/>
      </c>
      <c r="J275" s="31">
        <f t="shared" si="22"/>
        <v>-6</v>
      </c>
      <c r="K275" s="30">
        <f t="shared" si="20"/>
        <v>-60</v>
      </c>
      <c r="L275" s="30"/>
      <c r="M275" s="32">
        <f t="shared" si="21"/>
        <v>0</v>
      </c>
      <c r="N275" s="189" t="s">
        <v>59</v>
      </c>
      <c r="O275" s="189" t="s">
        <v>59</v>
      </c>
      <c r="P275" s="190" t="s">
        <v>59</v>
      </c>
      <c r="Q275" s="191" t="s">
        <v>59</v>
      </c>
      <c r="R275" s="191" t="s">
        <v>59</v>
      </c>
    </row>
    <row r="276" spans="1:18" x14ac:dyDescent="0.25">
      <c r="A276" s="51"/>
      <c r="G276" s="8"/>
      <c r="H276" s="30">
        <v>271</v>
      </c>
      <c r="I276" s="31" t="str">
        <f t="shared" si="19"/>
        <v/>
      </c>
      <c r="J276" s="31">
        <f t="shared" si="22"/>
        <v>-6</v>
      </c>
      <c r="K276" s="30">
        <f t="shared" si="20"/>
        <v>-60</v>
      </c>
      <c r="L276" s="30"/>
      <c r="M276" s="32">
        <f t="shared" si="21"/>
        <v>0</v>
      </c>
      <c r="N276" s="189" t="s">
        <v>59</v>
      </c>
      <c r="O276" s="189" t="s">
        <v>59</v>
      </c>
      <c r="P276" s="190" t="s">
        <v>59</v>
      </c>
      <c r="Q276" s="191" t="s">
        <v>59</v>
      </c>
      <c r="R276" s="191" t="s">
        <v>59</v>
      </c>
    </row>
    <row r="277" spans="1:18" x14ac:dyDescent="0.25">
      <c r="A277" s="51"/>
      <c r="G277" s="8"/>
      <c r="H277" s="30">
        <v>272</v>
      </c>
      <c r="I277" s="31" t="str">
        <f t="shared" si="19"/>
        <v/>
      </c>
      <c r="J277" s="31">
        <f t="shared" si="22"/>
        <v>-6</v>
      </c>
      <c r="K277" s="30">
        <f t="shared" si="20"/>
        <v>-60</v>
      </c>
      <c r="L277" s="30"/>
      <c r="M277" s="32">
        <f t="shared" si="21"/>
        <v>0</v>
      </c>
      <c r="N277" s="189" t="s">
        <v>59</v>
      </c>
      <c r="O277" s="189" t="s">
        <v>59</v>
      </c>
      <c r="P277" s="190" t="s">
        <v>59</v>
      </c>
      <c r="Q277" s="191" t="s">
        <v>59</v>
      </c>
      <c r="R277" s="191" t="s">
        <v>59</v>
      </c>
    </row>
    <row r="278" spans="1:18" x14ac:dyDescent="0.25">
      <c r="A278" s="51"/>
      <c r="G278" s="8"/>
      <c r="H278" s="30">
        <v>273</v>
      </c>
      <c r="I278" s="31" t="str">
        <f t="shared" si="19"/>
        <v/>
      </c>
      <c r="J278" s="31">
        <f t="shared" si="22"/>
        <v>-6</v>
      </c>
      <c r="K278" s="30">
        <f t="shared" si="20"/>
        <v>-60</v>
      </c>
      <c r="L278" s="30"/>
      <c r="M278" s="32">
        <f t="shared" si="21"/>
        <v>0</v>
      </c>
      <c r="N278" s="189" t="s">
        <v>59</v>
      </c>
      <c r="O278" s="189" t="s">
        <v>59</v>
      </c>
      <c r="P278" s="190" t="s">
        <v>59</v>
      </c>
      <c r="Q278" s="191" t="s">
        <v>59</v>
      </c>
      <c r="R278" s="191" t="s">
        <v>59</v>
      </c>
    </row>
    <row r="279" spans="1:18" x14ac:dyDescent="0.25">
      <c r="A279" s="51"/>
      <c r="G279" s="8"/>
      <c r="H279" s="30">
        <v>274</v>
      </c>
      <c r="I279" s="31" t="str">
        <f t="shared" si="19"/>
        <v/>
      </c>
      <c r="J279" s="31">
        <f t="shared" si="22"/>
        <v>-6</v>
      </c>
      <c r="K279" s="30">
        <f t="shared" si="20"/>
        <v>-60</v>
      </c>
      <c r="L279" s="30"/>
      <c r="M279" s="32">
        <f t="shared" si="21"/>
        <v>0</v>
      </c>
      <c r="N279" s="189" t="s">
        <v>59</v>
      </c>
      <c r="O279" s="189" t="s">
        <v>59</v>
      </c>
      <c r="P279" s="190" t="s">
        <v>59</v>
      </c>
      <c r="Q279" s="191" t="s">
        <v>59</v>
      </c>
      <c r="R279" s="191" t="s">
        <v>59</v>
      </c>
    </row>
    <row r="280" spans="1:18" x14ac:dyDescent="0.25">
      <c r="A280" s="51"/>
      <c r="G280" s="8"/>
      <c r="H280" s="30">
        <v>275</v>
      </c>
      <c r="I280" s="31" t="str">
        <f t="shared" si="19"/>
        <v/>
      </c>
      <c r="J280" s="31">
        <f t="shared" si="22"/>
        <v>-6</v>
      </c>
      <c r="K280" s="30">
        <f t="shared" si="20"/>
        <v>-60</v>
      </c>
      <c r="L280" s="30"/>
      <c r="M280" s="32">
        <f t="shared" si="21"/>
        <v>0</v>
      </c>
      <c r="N280" s="189" t="s">
        <v>59</v>
      </c>
      <c r="O280" s="189" t="s">
        <v>59</v>
      </c>
      <c r="P280" s="190" t="s">
        <v>59</v>
      </c>
      <c r="Q280" s="191" t="s">
        <v>59</v>
      </c>
      <c r="R280" s="191" t="s">
        <v>59</v>
      </c>
    </row>
    <row r="281" spans="1:18" x14ac:dyDescent="0.25">
      <c r="A281" s="51"/>
      <c r="G281" s="8"/>
      <c r="H281" s="30">
        <v>276</v>
      </c>
      <c r="I281" s="31" t="str">
        <f t="shared" si="19"/>
        <v/>
      </c>
      <c r="J281" s="31">
        <f t="shared" si="22"/>
        <v>-6</v>
      </c>
      <c r="K281" s="30">
        <f t="shared" si="20"/>
        <v>-60</v>
      </c>
      <c r="L281" s="30"/>
      <c r="M281" s="32">
        <f t="shared" si="21"/>
        <v>0</v>
      </c>
      <c r="N281" s="189" t="s">
        <v>59</v>
      </c>
      <c r="O281" s="189" t="s">
        <v>59</v>
      </c>
      <c r="P281" s="190" t="s">
        <v>59</v>
      </c>
      <c r="Q281" s="191" t="s">
        <v>59</v>
      </c>
      <c r="R281" s="191" t="s">
        <v>59</v>
      </c>
    </row>
    <row r="282" spans="1:18" x14ac:dyDescent="0.25">
      <c r="A282" s="51"/>
      <c r="G282" s="8"/>
      <c r="H282" s="30">
        <v>277</v>
      </c>
      <c r="I282" s="31" t="str">
        <f t="shared" si="19"/>
        <v/>
      </c>
      <c r="J282" s="31">
        <f t="shared" si="22"/>
        <v>-6</v>
      </c>
      <c r="K282" s="30">
        <f t="shared" si="20"/>
        <v>-60</v>
      </c>
      <c r="L282" s="30"/>
      <c r="M282" s="32">
        <f t="shared" si="21"/>
        <v>0</v>
      </c>
      <c r="N282" s="189" t="s">
        <v>59</v>
      </c>
      <c r="O282" s="189" t="s">
        <v>59</v>
      </c>
      <c r="P282" s="190" t="s">
        <v>59</v>
      </c>
      <c r="Q282" s="191" t="s">
        <v>59</v>
      </c>
      <c r="R282" s="191" t="s">
        <v>59</v>
      </c>
    </row>
    <row r="283" spans="1:18" x14ac:dyDescent="0.25">
      <c r="A283" s="51"/>
      <c r="G283" s="8"/>
      <c r="H283" s="30">
        <v>278</v>
      </c>
      <c r="I283" s="31" t="str">
        <f t="shared" si="19"/>
        <v/>
      </c>
      <c r="J283" s="31">
        <f t="shared" si="22"/>
        <v>-6</v>
      </c>
      <c r="K283" s="30">
        <f t="shared" si="20"/>
        <v>-60</v>
      </c>
      <c r="L283" s="30"/>
      <c r="M283" s="32">
        <f t="shared" si="21"/>
        <v>0</v>
      </c>
      <c r="N283" s="189" t="s">
        <v>59</v>
      </c>
      <c r="O283" s="189" t="s">
        <v>59</v>
      </c>
      <c r="P283" s="190" t="s">
        <v>59</v>
      </c>
      <c r="Q283" s="191" t="s">
        <v>59</v>
      </c>
      <c r="R283" s="191" t="s">
        <v>59</v>
      </c>
    </row>
    <row r="284" spans="1:18" x14ac:dyDescent="0.25">
      <c r="A284" s="51"/>
      <c r="G284" s="8"/>
      <c r="H284" s="30">
        <v>279</v>
      </c>
      <c r="I284" s="31" t="str">
        <f t="shared" si="19"/>
        <v/>
      </c>
      <c r="J284" s="31">
        <f t="shared" si="22"/>
        <v>-6</v>
      </c>
      <c r="K284" s="30">
        <f t="shared" si="20"/>
        <v>-60</v>
      </c>
      <c r="L284" s="30"/>
      <c r="M284" s="32">
        <f t="shared" si="21"/>
        <v>0</v>
      </c>
      <c r="N284" s="189" t="s">
        <v>59</v>
      </c>
      <c r="O284" s="189" t="s">
        <v>59</v>
      </c>
      <c r="P284" s="190" t="s">
        <v>59</v>
      </c>
      <c r="Q284" s="191" t="s">
        <v>59</v>
      </c>
      <c r="R284" s="191" t="s">
        <v>59</v>
      </c>
    </row>
    <row r="285" spans="1:18" x14ac:dyDescent="0.25">
      <c r="A285" s="51"/>
      <c r="G285" s="8"/>
      <c r="H285" s="30">
        <v>280</v>
      </c>
      <c r="I285" s="31" t="str">
        <f t="shared" si="19"/>
        <v/>
      </c>
      <c r="J285" s="31">
        <f t="shared" si="22"/>
        <v>-6</v>
      </c>
      <c r="K285" s="30">
        <f t="shared" si="20"/>
        <v>-60</v>
      </c>
      <c r="L285" s="30"/>
      <c r="M285" s="32">
        <f t="shared" si="21"/>
        <v>0</v>
      </c>
      <c r="N285" s="189" t="s">
        <v>59</v>
      </c>
      <c r="O285" s="189" t="s">
        <v>59</v>
      </c>
      <c r="P285" s="190" t="s">
        <v>59</v>
      </c>
      <c r="Q285" s="191" t="s">
        <v>59</v>
      </c>
      <c r="R285" s="191" t="s">
        <v>59</v>
      </c>
    </row>
    <row r="286" spans="1:18" x14ac:dyDescent="0.25">
      <c r="A286" s="51"/>
      <c r="G286" s="8"/>
      <c r="H286" s="30">
        <v>281</v>
      </c>
      <c r="I286" s="31" t="str">
        <f t="shared" si="19"/>
        <v/>
      </c>
      <c r="J286" s="31">
        <f t="shared" si="22"/>
        <v>-6</v>
      </c>
      <c r="K286" s="30">
        <f t="shared" si="20"/>
        <v>-60</v>
      </c>
      <c r="L286" s="30"/>
      <c r="M286" s="32">
        <f t="shared" si="21"/>
        <v>0</v>
      </c>
      <c r="N286" s="189" t="s">
        <v>59</v>
      </c>
      <c r="O286" s="189" t="s">
        <v>59</v>
      </c>
      <c r="P286" s="190" t="s">
        <v>59</v>
      </c>
      <c r="Q286" s="191" t="s">
        <v>59</v>
      </c>
      <c r="R286" s="191" t="s">
        <v>59</v>
      </c>
    </row>
    <row r="287" spans="1:18" x14ac:dyDescent="0.25">
      <c r="A287" s="51"/>
      <c r="G287" s="8"/>
      <c r="H287" s="30">
        <v>282</v>
      </c>
      <c r="I287" s="31" t="str">
        <f t="shared" si="19"/>
        <v/>
      </c>
      <c r="J287" s="31">
        <f t="shared" si="22"/>
        <v>-6</v>
      </c>
      <c r="K287" s="30">
        <f t="shared" si="20"/>
        <v>-60</v>
      </c>
      <c r="L287" s="30"/>
      <c r="M287" s="32">
        <f t="shared" si="21"/>
        <v>0</v>
      </c>
      <c r="N287" s="189" t="s">
        <v>59</v>
      </c>
      <c r="O287" s="189" t="s">
        <v>59</v>
      </c>
      <c r="P287" s="190" t="s">
        <v>59</v>
      </c>
      <c r="Q287" s="191" t="s">
        <v>59</v>
      </c>
      <c r="R287" s="191" t="s">
        <v>59</v>
      </c>
    </row>
    <row r="288" spans="1:18" x14ac:dyDescent="0.25">
      <c r="A288" s="51"/>
      <c r="G288" s="8"/>
      <c r="H288" s="30">
        <v>283</v>
      </c>
      <c r="I288" s="31" t="str">
        <f t="shared" si="19"/>
        <v/>
      </c>
      <c r="J288" s="31">
        <f t="shared" si="22"/>
        <v>-6</v>
      </c>
      <c r="K288" s="30">
        <f t="shared" si="20"/>
        <v>-60</v>
      </c>
      <c r="L288" s="30"/>
      <c r="M288" s="32">
        <f t="shared" si="21"/>
        <v>0</v>
      </c>
      <c r="N288" s="189" t="s">
        <v>59</v>
      </c>
      <c r="O288" s="189" t="s">
        <v>59</v>
      </c>
      <c r="P288" s="190" t="s">
        <v>59</v>
      </c>
      <c r="Q288" s="191" t="s">
        <v>59</v>
      </c>
      <c r="R288" s="191" t="s">
        <v>59</v>
      </c>
    </row>
    <row r="289" spans="1:18" x14ac:dyDescent="0.25">
      <c r="A289" s="51"/>
      <c r="G289" s="8"/>
      <c r="H289" s="30">
        <v>284</v>
      </c>
      <c r="I289" s="31" t="str">
        <f t="shared" si="19"/>
        <v/>
      </c>
      <c r="J289" s="31">
        <f t="shared" si="22"/>
        <v>-6</v>
      </c>
      <c r="K289" s="30">
        <f t="shared" si="20"/>
        <v>-60</v>
      </c>
      <c r="L289" s="30"/>
      <c r="M289" s="32">
        <f t="shared" si="21"/>
        <v>0</v>
      </c>
      <c r="N289" s="189" t="s">
        <v>59</v>
      </c>
      <c r="O289" s="189" t="s">
        <v>59</v>
      </c>
      <c r="P289" s="190" t="s">
        <v>59</v>
      </c>
      <c r="Q289" s="191" t="s">
        <v>59</v>
      </c>
      <c r="R289" s="191" t="s">
        <v>59</v>
      </c>
    </row>
    <row r="290" spans="1:18" x14ac:dyDescent="0.25">
      <c r="A290" s="51"/>
      <c r="G290" s="8"/>
      <c r="H290" s="30">
        <v>285</v>
      </c>
      <c r="I290" s="31" t="str">
        <f t="shared" si="19"/>
        <v/>
      </c>
      <c r="J290" s="31">
        <f t="shared" si="22"/>
        <v>-6</v>
      </c>
      <c r="K290" s="30">
        <f t="shared" si="20"/>
        <v>-60</v>
      </c>
      <c r="L290" s="30"/>
      <c r="M290" s="32">
        <f t="shared" si="21"/>
        <v>0</v>
      </c>
      <c r="N290" s="189" t="s">
        <v>59</v>
      </c>
      <c r="O290" s="189" t="s">
        <v>59</v>
      </c>
      <c r="P290" s="190" t="s">
        <v>59</v>
      </c>
      <c r="Q290" s="191" t="s">
        <v>59</v>
      </c>
      <c r="R290" s="191" t="s">
        <v>59</v>
      </c>
    </row>
    <row r="291" spans="1:18" x14ac:dyDescent="0.25">
      <c r="A291" s="51"/>
      <c r="G291" s="8"/>
      <c r="H291" s="30">
        <v>286</v>
      </c>
      <c r="I291" s="31" t="str">
        <f t="shared" si="19"/>
        <v/>
      </c>
      <c r="J291" s="31">
        <f t="shared" si="22"/>
        <v>-6</v>
      </c>
      <c r="K291" s="30">
        <f t="shared" si="20"/>
        <v>-60</v>
      </c>
      <c r="L291" s="30"/>
      <c r="M291" s="32">
        <f t="shared" si="21"/>
        <v>0</v>
      </c>
      <c r="N291" s="189" t="s">
        <v>59</v>
      </c>
      <c r="O291" s="189" t="s">
        <v>59</v>
      </c>
      <c r="P291" s="190" t="s">
        <v>59</v>
      </c>
      <c r="Q291" s="191" t="s">
        <v>59</v>
      </c>
      <c r="R291" s="191" t="s">
        <v>59</v>
      </c>
    </row>
    <row r="292" spans="1:18" x14ac:dyDescent="0.25">
      <c r="A292" s="51"/>
      <c r="G292" s="8"/>
      <c r="H292" s="30">
        <v>287</v>
      </c>
      <c r="I292" s="31" t="str">
        <f t="shared" si="19"/>
        <v/>
      </c>
      <c r="J292" s="31">
        <f t="shared" si="22"/>
        <v>-6</v>
      </c>
      <c r="K292" s="30">
        <f t="shared" si="20"/>
        <v>-60</v>
      </c>
      <c r="L292" s="30"/>
      <c r="M292" s="32">
        <f t="shared" si="21"/>
        <v>0</v>
      </c>
      <c r="N292" s="189" t="s">
        <v>59</v>
      </c>
      <c r="O292" s="189" t="s">
        <v>59</v>
      </c>
      <c r="P292" s="190" t="s">
        <v>59</v>
      </c>
      <c r="Q292" s="191" t="s">
        <v>59</v>
      </c>
      <c r="R292" s="191" t="s">
        <v>59</v>
      </c>
    </row>
    <row r="293" spans="1:18" x14ac:dyDescent="0.25">
      <c r="A293" s="51"/>
      <c r="G293" s="8"/>
      <c r="H293" s="30">
        <v>288</v>
      </c>
      <c r="I293" s="31" t="str">
        <f t="shared" si="19"/>
        <v/>
      </c>
      <c r="J293" s="31">
        <f t="shared" si="22"/>
        <v>-6</v>
      </c>
      <c r="K293" s="30">
        <f t="shared" si="20"/>
        <v>-60</v>
      </c>
      <c r="L293" s="30"/>
      <c r="M293" s="32">
        <f t="shared" si="21"/>
        <v>0</v>
      </c>
      <c r="N293" s="189" t="s">
        <v>59</v>
      </c>
      <c r="O293" s="189" t="s">
        <v>59</v>
      </c>
      <c r="P293" s="190" t="s">
        <v>59</v>
      </c>
      <c r="Q293" s="191" t="s">
        <v>59</v>
      </c>
      <c r="R293" s="191" t="s">
        <v>59</v>
      </c>
    </row>
    <row r="294" spans="1:18" x14ac:dyDescent="0.25">
      <c r="A294" s="51"/>
      <c r="G294" s="8"/>
      <c r="H294" s="30">
        <v>289</v>
      </c>
      <c r="I294" s="31" t="str">
        <f t="shared" si="19"/>
        <v/>
      </c>
      <c r="J294" s="31">
        <f t="shared" si="22"/>
        <v>-6</v>
      </c>
      <c r="K294" s="30">
        <f t="shared" si="20"/>
        <v>-60</v>
      </c>
      <c r="L294" s="30"/>
      <c r="M294" s="32">
        <f t="shared" si="21"/>
        <v>0</v>
      </c>
      <c r="N294" s="189" t="s">
        <v>59</v>
      </c>
      <c r="O294" s="189" t="s">
        <v>59</v>
      </c>
      <c r="P294" s="190" t="s">
        <v>59</v>
      </c>
      <c r="Q294" s="191" t="s">
        <v>59</v>
      </c>
      <c r="R294" s="191" t="s">
        <v>59</v>
      </c>
    </row>
    <row r="295" spans="1:18" x14ac:dyDescent="0.25">
      <c r="A295" s="51"/>
      <c r="G295" s="8"/>
      <c r="H295" s="30">
        <v>290</v>
      </c>
      <c r="I295" s="31" t="str">
        <f t="shared" si="19"/>
        <v/>
      </c>
      <c r="J295" s="31">
        <f t="shared" si="22"/>
        <v>-6</v>
      </c>
      <c r="K295" s="30">
        <f t="shared" si="20"/>
        <v>-60</v>
      </c>
      <c r="L295" s="30"/>
      <c r="M295" s="32">
        <f t="shared" si="21"/>
        <v>0</v>
      </c>
      <c r="N295" s="189" t="s">
        <v>59</v>
      </c>
      <c r="O295" s="189" t="s">
        <v>59</v>
      </c>
      <c r="P295" s="190" t="s">
        <v>59</v>
      </c>
      <c r="Q295" s="191" t="s">
        <v>59</v>
      </c>
      <c r="R295" s="191" t="s">
        <v>59</v>
      </c>
    </row>
    <row r="296" spans="1:18" x14ac:dyDescent="0.25">
      <c r="A296" s="51"/>
      <c r="G296" s="8"/>
      <c r="H296" s="30">
        <v>291</v>
      </c>
      <c r="I296" s="31" t="str">
        <f t="shared" si="19"/>
        <v/>
      </c>
      <c r="J296" s="31">
        <f t="shared" si="22"/>
        <v>-6</v>
      </c>
      <c r="K296" s="30">
        <f t="shared" si="20"/>
        <v>-60</v>
      </c>
      <c r="L296" s="30"/>
      <c r="M296" s="32">
        <f t="shared" si="21"/>
        <v>0</v>
      </c>
      <c r="N296" s="189" t="s">
        <v>59</v>
      </c>
      <c r="O296" s="189" t="s">
        <v>59</v>
      </c>
      <c r="P296" s="190" t="s">
        <v>59</v>
      </c>
      <c r="Q296" s="191" t="s">
        <v>59</v>
      </c>
      <c r="R296" s="191" t="s">
        <v>59</v>
      </c>
    </row>
    <row r="297" spans="1:18" x14ac:dyDescent="0.25">
      <c r="A297" s="51"/>
      <c r="G297" s="8"/>
      <c r="H297" s="30">
        <v>292</v>
      </c>
      <c r="I297" s="31" t="str">
        <f t="shared" si="19"/>
        <v/>
      </c>
      <c r="J297" s="31">
        <f t="shared" si="22"/>
        <v>-6</v>
      </c>
      <c r="K297" s="30">
        <f t="shared" si="20"/>
        <v>-60</v>
      </c>
      <c r="L297" s="30"/>
      <c r="M297" s="32">
        <f t="shared" si="21"/>
        <v>0</v>
      </c>
      <c r="N297" s="189" t="s">
        <v>59</v>
      </c>
      <c r="O297" s="189" t="s">
        <v>59</v>
      </c>
      <c r="P297" s="190" t="s">
        <v>59</v>
      </c>
      <c r="Q297" s="191" t="s">
        <v>59</v>
      </c>
      <c r="R297" s="191" t="s">
        <v>59</v>
      </c>
    </row>
    <row r="298" spans="1:18" x14ac:dyDescent="0.25">
      <c r="A298" s="51"/>
      <c r="G298" s="8"/>
      <c r="H298" s="30">
        <v>293</v>
      </c>
      <c r="I298" s="31" t="str">
        <f t="shared" si="19"/>
        <v/>
      </c>
      <c r="J298" s="31">
        <f t="shared" si="22"/>
        <v>-6</v>
      </c>
      <c r="K298" s="30">
        <f t="shared" si="20"/>
        <v>-60</v>
      </c>
      <c r="L298" s="30"/>
      <c r="M298" s="32">
        <f t="shared" si="21"/>
        <v>0</v>
      </c>
      <c r="N298" s="189" t="s">
        <v>59</v>
      </c>
      <c r="O298" s="189" t="s">
        <v>59</v>
      </c>
      <c r="P298" s="190" t="s">
        <v>59</v>
      </c>
      <c r="Q298" s="191" t="s">
        <v>59</v>
      </c>
      <c r="R298" s="191" t="s">
        <v>59</v>
      </c>
    </row>
    <row r="299" spans="1:18" x14ac:dyDescent="0.25">
      <c r="A299" s="51"/>
      <c r="G299" s="8"/>
      <c r="H299" s="30">
        <v>294</v>
      </c>
      <c r="I299" s="31" t="str">
        <f t="shared" si="19"/>
        <v/>
      </c>
      <c r="J299" s="31">
        <f t="shared" si="22"/>
        <v>-6</v>
      </c>
      <c r="K299" s="30">
        <f t="shared" si="20"/>
        <v>-60</v>
      </c>
      <c r="L299" s="30"/>
      <c r="M299" s="32">
        <f t="shared" si="21"/>
        <v>0</v>
      </c>
      <c r="N299" s="189" t="s">
        <v>59</v>
      </c>
      <c r="O299" s="189" t="s">
        <v>59</v>
      </c>
      <c r="P299" s="190" t="s">
        <v>59</v>
      </c>
      <c r="Q299" s="191" t="s">
        <v>59</v>
      </c>
      <c r="R299" s="191" t="s">
        <v>59</v>
      </c>
    </row>
    <row r="300" spans="1:18" x14ac:dyDescent="0.25">
      <c r="A300" s="51"/>
      <c r="G300" s="8"/>
      <c r="H300" s="30">
        <v>295</v>
      </c>
      <c r="I300" s="31" t="str">
        <f t="shared" si="19"/>
        <v/>
      </c>
      <c r="J300" s="31">
        <f t="shared" si="22"/>
        <v>-6</v>
      </c>
      <c r="K300" s="30">
        <f t="shared" si="20"/>
        <v>-60</v>
      </c>
      <c r="L300" s="30"/>
      <c r="M300" s="32">
        <f t="shared" si="21"/>
        <v>0</v>
      </c>
      <c r="N300" s="189" t="s">
        <v>59</v>
      </c>
      <c r="O300" s="189" t="s">
        <v>59</v>
      </c>
      <c r="P300" s="190" t="s">
        <v>59</v>
      </c>
      <c r="Q300" s="191" t="s">
        <v>59</v>
      </c>
      <c r="R300" s="191" t="s">
        <v>59</v>
      </c>
    </row>
    <row r="301" spans="1:18" x14ac:dyDescent="0.25">
      <c r="A301" s="51"/>
      <c r="G301" s="8"/>
      <c r="H301" s="30">
        <v>296</v>
      </c>
      <c r="I301" s="31" t="str">
        <f t="shared" si="19"/>
        <v/>
      </c>
      <c r="J301" s="31">
        <f t="shared" si="22"/>
        <v>-6</v>
      </c>
      <c r="K301" s="30">
        <f t="shared" si="20"/>
        <v>-60</v>
      </c>
      <c r="L301" s="30"/>
      <c r="M301" s="32">
        <f t="shared" si="21"/>
        <v>0</v>
      </c>
      <c r="N301" s="189" t="s">
        <v>59</v>
      </c>
      <c r="O301" s="189" t="s">
        <v>59</v>
      </c>
      <c r="P301" s="190" t="s">
        <v>59</v>
      </c>
      <c r="Q301" s="191" t="s">
        <v>59</v>
      </c>
      <c r="R301" s="191" t="s">
        <v>59</v>
      </c>
    </row>
    <row r="302" spans="1:18" x14ac:dyDescent="0.25">
      <c r="A302" s="51"/>
      <c r="G302" s="8"/>
      <c r="H302" s="30">
        <v>297</v>
      </c>
      <c r="I302" s="31" t="str">
        <f t="shared" si="19"/>
        <v/>
      </c>
      <c r="J302" s="31">
        <f t="shared" si="22"/>
        <v>-6</v>
      </c>
      <c r="K302" s="30">
        <f t="shared" si="20"/>
        <v>-60</v>
      </c>
      <c r="L302" s="30"/>
      <c r="M302" s="32">
        <f t="shared" si="21"/>
        <v>0</v>
      </c>
      <c r="N302" s="189" t="s">
        <v>59</v>
      </c>
      <c r="O302" s="189" t="s">
        <v>59</v>
      </c>
      <c r="P302" s="190" t="s">
        <v>59</v>
      </c>
      <c r="Q302" s="191" t="s">
        <v>59</v>
      </c>
      <c r="R302" s="191" t="s">
        <v>59</v>
      </c>
    </row>
    <row r="303" spans="1:18" x14ac:dyDescent="0.25">
      <c r="A303" s="51"/>
      <c r="G303" s="8"/>
      <c r="H303" s="30">
        <v>298</v>
      </c>
      <c r="I303" s="31" t="str">
        <f t="shared" si="19"/>
        <v/>
      </c>
      <c r="J303" s="31">
        <f t="shared" si="22"/>
        <v>-6</v>
      </c>
      <c r="K303" s="30">
        <f t="shared" si="20"/>
        <v>-60</v>
      </c>
      <c r="L303" s="30"/>
      <c r="M303" s="32">
        <f t="shared" si="21"/>
        <v>0</v>
      </c>
      <c r="N303" s="189" t="s">
        <v>59</v>
      </c>
      <c r="O303" s="189" t="s">
        <v>59</v>
      </c>
      <c r="P303" s="190" t="s">
        <v>59</v>
      </c>
      <c r="Q303" s="191" t="s">
        <v>59</v>
      </c>
      <c r="R303" s="191" t="s">
        <v>59</v>
      </c>
    </row>
    <row r="304" spans="1:18" x14ac:dyDescent="0.25">
      <c r="A304" s="51"/>
      <c r="G304" s="8"/>
      <c r="H304" s="30">
        <v>299</v>
      </c>
      <c r="I304" s="31" t="str">
        <f t="shared" si="19"/>
        <v/>
      </c>
      <c r="J304" s="31">
        <f t="shared" si="22"/>
        <v>-6</v>
      </c>
      <c r="K304" s="30">
        <f t="shared" si="20"/>
        <v>-60</v>
      </c>
      <c r="L304" s="30"/>
      <c r="M304" s="32">
        <f t="shared" si="21"/>
        <v>0</v>
      </c>
      <c r="N304" s="189" t="s">
        <v>59</v>
      </c>
      <c r="O304" s="189" t="s">
        <v>59</v>
      </c>
      <c r="P304" s="190" t="s">
        <v>59</v>
      </c>
      <c r="Q304" s="191" t="s">
        <v>59</v>
      </c>
      <c r="R304" s="191" t="s">
        <v>59</v>
      </c>
    </row>
    <row r="305" spans="1:18" x14ac:dyDescent="0.25">
      <c r="A305" s="51"/>
      <c r="G305" s="8"/>
      <c r="H305" s="30">
        <v>300</v>
      </c>
      <c r="I305" s="31" t="str">
        <f t="shared" si="19"/>
        <v/>
      </c>
      <c r="J305" s="31">
        <f t="shared" si="22"/>
        <v>-6</v>
      </c>
      <c r="K305" s="30">
        <f t="shared" si="20"/>
        <v>-60</v>
      </c>
      <c r="L305" s="30"/>
      <c r="M305" s="32">
        <f t="shared" si="21"/>
        <v>0</v>
      </c>
      <c r="N305" s="189" t="s">
        <v>59</v>
      </c>
      <c r="O305" s="189" t="s">
        <v>59</v>
      </c>
      <c r="P305" s="190" t="s">
        <v>59</v>
      </c>
      <c r="Q305" s="191" t="s">
        <v>59</v>
      </c>
      <c r="R305" s="191" t="s">
        <v>59</v>
      </c>
    </row>
    <row r="306" spans="1:18" x14ac:dyDescent="0.25">
      <c r="A306" s="53"/>
      <c r="N306" s="189" t="s">
        <v>59</v>
      </c>
      <c r="O306" s="189" t="s">
        <v>59</v>
      </c>
      <c r="P306" s="190" t="s">
        <v>59</v>
      </c>
      <c r="Q306" s="191" t="s">
        <v>59</v>
      </c>
      <c r="R306" s="191" t="s">
        <v>59</v>
      </c>
    </row>
    <row r="307" spans="1:18" x14ac:dyDescent="0.25">
      <c r="N307" s="189" t="s">
        <v>59</v>
      </c>
      <c r="O307" s="189" t="s">
        <v>59</v>
      </c>
      <c r="P307" s="190" t="s">
        <v>59</v>
      </c>
      <c r="Q307" s="191" t="s">
        <v>59</v>
      </c>
      <c r="R307" s="191" t="s">
        <v>59</v>
      </c>
    </row>
    <row r="308" spans="1:18" x14ac:dyDescent="0.25">
      <c r="N308" s="189" t="s">
        <v>59</v>
      </c>
      <c r="O308" s="189" t="s">
        <v>59</v>
      </c>
      <c r="P308" s="190" t="s">
        <v>59</v>
      </c>
      <c r="Q308" s="191" t="s">
        <v>59</v>
      </c>
      <c r="R308" s="191" t="s">
        <v>59</v>
      </c>
    </row>
    <row r="309" spans="1:18" x14ac:dyDescent="0.25">
      <c r="N309" s="189" t="s">
        <v>59</v>
      </c>
      <c r="O309" s="189" t="s">
        <v>59</v>
      </c>
      <c r="P309" s="190" t="s">
        <v>59</v>
      </c>
      <c r="Q309" s="191" t="s">
        <v>59</v>
      </c>
      <c r="R309" s="191" t="s">
        <v>59</v>
      </c>
    </row>
    <row r="310" spans="1:18" x14ac:dyDescent="0.25">
      <c r="N310" s="189" t="s">
        <v>59</v>
      </c>
      <c r="O310" s="189" t="s">
        <v>59</v>
      </c>
      <c r="P310" s="190" t="s">
        <v>59</v>
      </c>
      <c r="Q310" s="191" t="s">
        <v>59</v>
      </c>
      <c r="R310" s="191" t="s">
        <v>59</v>
      </c>
    </row>
    <row r="311" spans="1:18" x14ac:dyDescent="0.25">
      <c r="N311" s="189" t="s">
        <v>59</v>
      </c>
      <c r="O311" s="189" t="s">
        <v>59</v>
      </c>
      <c r="P311" s="190" t="s">
        <v>59</v>
      </c>
      <c r="Q311" s="191" t="s">
        <v>59</v>
      </c>
      <c r="R311" s="191" t="s">
        <v>59</v>
      </c>
    </row>
    <row r="312" spans="1:18" x14ac:dyDescent="0.25">
      <c r="N312" s="189" t="s">
        <v>59</v>
      </c>
      <c r="O312" s="189" t="s">
        <v>59</v>
      </c>
      <c r="P312" s="190" t="s">
        <v>59</v>
      </c>
      <c r="Q312" s="191" t="s">
        <v>59</v>
      </c>
      <c r="R312" s="191" t="s">
        <v>59</v>
      </c>
    </row>
    <row r="313" spans="1:18" x14ac:dyDescent="0.25">
      <c r="N313" s="189" t="s">
        <v>59</v>
      </c>
      <c r="O313" s="189" t="s">
        <v>59</v>
      </c>
      <c r="P313" s="190" t="s">
        <v>59</v>
      </c>
      <c r="Q313" s="191" t="s">
        <v>59</v>
      </c>
      <c r="R313" s="191" t="s">
        <v>59</v>
      </c>
    </row>
    <row r="314" spans="1:18" x14ac:dyDescent="0.25">
      <c r="L314" s="56"/>
      <c r="N314" s="189" t="s">
        <v>59</v>
      </c>
      <c r="O314" s="189" t="s">
        <v>59</v>
      </c>
      <c r="P314" s="190" t="s">
        <v>59</v>
      </c>
      <c r="Q314" s="191" t="s">
        <v>59</v>
      </c>
      <c r="R314" s="191" t="s">
        <v>59</v>
      </c>
    </row>
    <row r="315" spans="1:18" x14ac:dyDescent="0.25">
      <c r="L315" s="56"/>
      <c r="N315" s="189" t="s">
        <v>59</v>
      </c>
      <c r="O315" s="189" t="s">
        <v>59</v>
      </c>
      <c r="P315" s="190" t="s">
        <v>59</v>
      </c>
      <c r="Q315" s="191" t="s">
        <v>59</v>
      </c>
      <c r="R315" s="191" t="s">
        <v>59</v>
      </c>
    </row>
    <row r="316" spans="1:18" x14ac:dyDescent="0.25">
      <c r="L316" s="56"/>
      <c r="N316" s="189" t="s">
        <v>59</v>
      </c>
      <c r="O316" s="189" t="s">
        <v>59</v>
      </c>
      <c r="P316" s="190" t="s">
        <v>59</v>
      </c>
      <c r="Q316" s="191" t="s">
        <v>59</v>
      </c>
      <c r="R316" s="191" t="s">
        <v>59</v>
      </c>
    </row>
    <row r="317" spans="1:18" x14ac:dyDescent="0.25">
      <c r="L317" s="56"/>
      <c r="N317" s="189" t="s">
        <v>59</v>
      </c>
      <c r="O317" s="189" t="s">
        <v>59</v>
      </c>
      <c r="P317" s="190" t="s">
        <v>59</v>
      </c>
      <c r="Q317" s="191" t="s">
        <v>59</v>
      </c>
      <c r="R317" s="191" t="s">
        <v>59</v>
      </c>
    </row>
    <row r="318" spans="1:18" x14ac:dyDescent="0.25">
      <c r="N318" s="189" t="s">
        <v>59</v>
      </c>
      <c r="O318" s="189" t="s">
        <v>59</v>
      </c>
      <c r="P318" s="190" t="s">
        <v>59</v>
      </c>
      <c r="Q318" s="191" t="s">
        <v>59</v>
      </c>
      <c r="R318" s="191" t="s">
        <v>59</v>
      </c>
    </row>
  </sheetData>
  <mergeCells count="2">
    <mergeCell ref="C2:D2"/>
    <mergeCell ref="C3:D3"/>
  </mergeCells>
  <conditionalFormatting sqref="K6:K305">
    <cfRule type="cellIs" dxfId="22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GDAŃSK" xr:uid="{E7D80C86-E01C-46D6-8B4F-A6390F652CDD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0FB5-0181-4074-8D33-94DF3D9A7F97}">
  <sheetPr>
    <tabColor rgb="FF92D050"/>
  </sheetPr>
  <dimension ref="A1:AL317"/>
  <sheetViews>
    <sheetView workbookViewId="0">
      <selection activeCell="O18" sqref="O18"/>
    </sheetView>
  </sheetViews>
  <sheetFormatPr defaultColWidth="8.875" defaultRowHeight="14.3" x14ac:dyDescent="0.25"/>
  <cols>
    <col min="1" max="1" width="8" style="146" customWidth="1"/>
    <col min="2" max="2" width="8.25" style="146" customWidth="1"/>
    <col min="3" max="3" width="34.75" style="146" customWidth="1"/>
    <col min="4" max="4" width="11.25" style="146" customWidth="1"/>
    <col min="5" max="6" width="8.875" style="146"/>
    <col min="7" max="7" width="0.875" style="146" customWidth="1"/>
    <col min="8" max="8" width="8.875" style="148"/>
    <col min="9" max="9" width="11" style="148" customWidth="1"/>
    <col min="10" max="10" width="15.25" style="148" customWidth="1"/>
    <col min="11" max="11" width="8.75" style="148" customWidth="1"/>
    <col min="12" max="12" width="11" style="148" customWidth="1"/>
    <col min="13" max="13" width="11.75" style="149" customWidth="1"/>
    <col min="14" max="15" width="13.875" style="115" customWidth="1"/>
    <col min="16" max="18" width="8.875" style="115"/>
    <col min="19" max="20" width="8.875" style="120"/>
    <col min="21" max="21" width="12.125" style="120" customWidth="1"/>
    <col min="22" max="22" width="27.375" style="120" customWidth="1"/>
    <col min="23" max="38" width="8.875" style="120"/>
    <col min="39" max="16384" width="8.875" style="146"/>
  </cols>
  <sheetData>
    <row r="1" spans="1:36" x14ac:dyDescent="0.25">
      <c r="A1" s="115"/>
      <c r="B1" s="115"/>
      <c r="C1" s="115"/>
      <c r="D1" s="115"/>
      <c r="E1" s="115"/>
      <c r="F1" s="115"/>
      <c r="G1" s="115"/>
      <c r="H1" s="116" t="s">
        <v>25</v>
      </c>
      <c r="I1" s="117" t="s">
        <v>26</v>
      </c>
      <c r="J1" s="117" t="s">
        <v>27</v>
      </c>
      <c r="K1" s="118" t="s">
        <v>72</v>
      </c>
      <c r="L1" s="119"/>
      <c r="M1" s="119"/>
    </row>
    <row r="2" spans="1:36" ht="14.45" customHeight="1" x14ac:dyDescent="0.25">
      <c r="A2" s="115"/>
      <c r="B2" s="14" t="s">
        <v>29</v>
      </c>
      <c r="C2" s="239" t="s">
        <v>73</v>
      </c>
      <c r="D2" s="239"/>
      <c r="E2" s="15"/>
      <c r="F2" s="15"/>
      <c r="G2" s="15"/>
      <c r="H2" s="121">
        <v>6</v>
      </c>
      <c r="I2" s="122">
        <v>50</v>
      </c>
      <c r="J2" s="122">
        <v>10</v>
      </c>
      <c r="K2" s="123">
        <f>3*H2^(1/3)</f>
        <v>5.4513617784964188</v>
      </c>
      <c r="L2" s="119"/>
      <c r="M2" s="119"/>
    </row>
    <row r="3" spans="1:36" ht="14.45" customHeight="1" x14ac:dyDescent="0.25">
      <c r="A3" s="115"/>
      <c r="B3" s="124" t="s">
        <v>31</v>
      </c>
      <c r="C3" s="240" t="s">
        <v>74</v>
      </c>
      <c r="D3" s="240"/>
      <c r="E3" s="20"/>
      <c r="F3" s="20"/>
      <c r="G3" s="20"/>
      <c r="H3" s="119"/>
      <c r="I3" s="119"/>
      <c r="J3" s="125"/>
      <c r="K3" s="119"/>
      <c r="L3" s="119"/>
      <c r="M3" s="119"/>
    </row>
    <row r="4" spans="1:36" ht="10.199999999999999" customHeight="1" x14ac:dyDescent="0.25">
      <c r="A4" s="22"/>
      <c r="B4" s="20"/>
      <c r="C4" s="22"/>
      <c r="D4" s="22"/>
      <c r="E4" s="22"/>
      <c r="F4" s="22"/>
      <c r="G4" s="22"/>
      <c r="H4" s="119"/>
      <c r="I4" s="119"/>
      <c r="J4" s="125"/>
      <c r="K4" s="119"/>
      <c r="L4" s="119"/>
      <c r="M4" s="119"/>
    </row>
    <row r="5" spans="1:36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126" t="s">
        <v>39</v>
      </c>
      <c r="I5" s="127" t="s">
        <v>40</v>
      </c>
      <c r="J5" s="128" t="s">
        <v>41</v>
      </c>
      <c r="K5" s="127" t="s">
        <v>42</v>
      </c>
      <c r="L5" s="127" t="s">
        <v>43</v>
      </c>
      <c r="M5" s="126" t="s">
        <v>44</v>
      </c>
    </row>
    <row r="6" spans="1:36" ht="14.45" customHeight="1" x14ac:dyDescent="0.25">
      <c r="A6" s="27">
        <f>M6</f>
        <v>96.354085335489259</v>
      </c>
      <c r="B6" s="28">
        <f t="shared" ref="B6:B12" si="0">IF(H6&gt;$H$2,"",(ROW()-5))</f>
        <v>1</v>
      </c>
      <c r="C6" s="29" t="s">
        <v>16</v>
      </c>
      <c r="D6" s="29" t="s">
        <v>75</v>
      </c>
      <c r="E6" s="29" t="s">
        <v>46</v>
      </c>
      <c r="F6" s="29"/>
      <c r="G6" s="22"/>
      <c r="H6" s="129">
        <v>1</v>
      </c>
      <c r="I6" s="130">
        <f>IF(H2=1,50,IF(H6&lt;$H$2+1,($I$2-($I$2-1)*(LOG(H6)/LOG($H$2))),""))</f>
        <v>50</v>
      </c>
      <c r="J6" s="129">
        <f>INT(LOG($H$2,2))-ROUNDUP(LOG(H6,2),0)+IF(OR($H$2=1,$H$2=2,$H$2=4,$H$2=8,$H$2=16,$H$2=32,$H$2=64,$H$2=128,$H$2=256),0,1)</f>
        <v>3</v>
      </c>
      <c r="K6" s="129">
        <f t="shared" ref="K6:K69" si="1">J6*$J$2</f>
        <v>30</v>
      </c>
      <c r="L6" s="131">
        <f>3*K2</f>
        <v>16.354085335489255</v>
      </c>
      <c r="M6" s="131">
        <f t="shared" ref="M6:M69" si="2">IF(I6&lt;&gt;"",K6+I6+L6,0)</f>
        <v>96.354085335489259</v>
      </c>
    </row>
    <row r="7" spans="1:36" ht="14.45" customHeight="1" x14ac:dyDescent="0.25">
      <c r="A7" s="33">
        <f t="shared" ref="A7:A37" si="3">M7</f>
        <v>61.946936002500301</v>
      </c>
      <c r="B7" s="34">
        <f t="shared" si="0"/>
        <v>2</v>
      </c>
      <c r="C7" s="35" t="s">
        <v>18</v>
      </c>
      <c r="D7" s="35" t="s">
        <v>76</v>
      </c>
      <c r="E7" s="35" t="s">
        <v>46</v>
      </c>
      <c r="F7" s="35"/>
      <c r="G7" s="22"/>
      <c r="H7" s="132">
        <v>2</v>
      </c>
      <c r="I7" s="133">
        <f t="shared" ref="I7:I70" si="4">IF(H7&lt;$H$2+1,($I$2-($I$2-1)*(LOG(H7)/LOG($H$2))),"")</f>
        <v>31.044212445507462</v>
      </c>
      <c r="J7" s="132">
        <f t="shared" ref="J7:J70" si="5">INT(LOG($H$2,2))-ROUNDUP(LOG(H7,2),0)+IF(OR($H$2=1,$H$2=2,$H$2=4,$H$2=8,$H$2=16,$H$2=32,$H$2=64,$H$2=128,$H$2=256),0,1)</f>
        <v>2</v>
      </c>
      <c r="K7" s="132">
        <f t="shared" si="1"/>
        <v>20</v>
      </c>
      <c r="L7" s="134">
        <f>2*K2</f>
        <v>10.902723556992838</v>
      </c>
      <c r="M7" s="134">
        <f t="shared" si="2"/>
        <v>61.946936002500301</v>
      </c>
    </row>
    <row r="8" spans="1:36" ht="14.45" customHeight="1" x14ac:dyDescent="0.25">
      <c r="A8" s="27">
        <f t="shared" si="3"/>
        <v>35.407149332988958</v>
      </c>
      <c r="B8" s="28">
        <f t="shared" si="0"/>
        <v>3</v>
      </c>
      <c r="C8" s="29" t="s">
        <v>17</v>
      </c>
      <c r="D8" s="29" t="s">
        <v>68</v>
      </c>
      <c r="E8" s="29" t="s">
        <v>46</v>
      </c>
      <c r="F8" s="29"/>
      <c r="G8" s="22"/>
      <c r="H8" s="129">
        <v>3</v>
      </c>
      <c r="I8" s="130">
        <f t="shared" si="4"/>
        <v>19.955787554492538</v>
      </c>
      <c r="J8" s="129">
        <f t="shared" si="5"/>
        <v>1</v>
      </c>
      <c r="K8" s="129">
        <f t="shared" si="1"/>
        <v>10</v>
      </c>
      <c r="L8" s="131">
        <f>K2</f>
        <v>5.4513617784964188</v>
      </c>
      <c r="M8" s="131">
        <f t="shared" si="2"/>
        <v>35.407149332988958</v>
      </c>
    </row>
    <row r="9" spans="1:36" ht="14.45" customHeight="1" x14ac:dyDescent="0.25">
      <c r="A9" s="33">
        <f t="shared" si="3"/>
        <v>22.088424891014924</v>
      </c>
      <c r="B9" s="34">
        <f t="shared" si="0"/>
        <v>4</v>
      </c>
      <c r="C9" s="35" t="s">
        <v>19</v>
      </c>
      <c r="D9" s="35" t="s">
        <v>66</v>
      </c>
      <c r="E9" s="35" t="s">
        <v>46</v>
      </c>
      <c r="F9" s="35"/>
      <c r="G9" s="22"/>
      <c r="H9" s="132">
        <v>4</v>
      </c>
      <c r="I9" s="133">
        <f t="shared" si="4"/>
        <v>12.088424891014924</v>
      </c>
      <c r="J9" s="132">
        <f t="shared" si="5"/>
        <v>1</v>
      </c>
      <c r="K9" s="132">
        <f t="shared" si="1"/>
        <v>10</v>
      </c>
      <c r="L9" s="134"/>
      <c r="M9" s="134">
        <f t="shared" si="2"/>
        <v>22.088424891014924</v>
      </c>
      <c r="V9" s="135"/>
      <c r="Z9" s="136"/>
      <c r="AA9" s="136"/>
      <c r="AG9" s="137"/>
      <c r="AH9" s="120" t="s">
        <v>50</v>
      </c>
      <c r="AI9" s="120">
        <v>23</v>
      </c>
    </row>
    <row r="10" spans="1:36" ht="14.45" customHeight="1" x14ac:dyDescent="0.25">
      <c r="A10" s="27">
        <f t="shared" si="3"/>
        <v>5.9860243165075602</v>
      </c>
      <c r="B10" s="28">
        <f t="shared" si="0"/>
        <v>5</v>
      </c>
      <c r="C10" s="29" t="s">
        <v>20</v>
      </c>
      <c r="D10" s="29" t="s">
        <v>77</v>
      </c>
      <c r="E10" s="29" t="s">
        <v>46</v>
      </c>
      <c r="F10" s="29"/>
      <c r="G10" s="22"/>
      <c r="H10" s="129">
        <v>5</v>
      </c>
      <c r="I10" s="130">
        <f t="shared" si="4"/>
        <v>5.9860243165075602</v>
      </c>
      <c r="J10" s="129">
        <f t="shared" si="5"/>
        <v>0</v>
      </c>
      <c r="K10" s="129">
        <f t="shared" si="1"/>
        <v>0</v>
      </c>
      <c r="L10" s="129"/>
      <c r="M10" s="131">
        <f t="shared" si="2"/>
        <v>5.9860243165075602</v>
      </c>
      <c r="V10" s="135"/>
      <c r="Z10" s="136"/>
      <c r="AA10" s="136"/>
      <c r="AG10" s="137"/>
      <c r="AH10" s="120" t="s">
        <v>52</v>
      </c>
      <c r="AI10" s="120">
        <v>45</v>
      </c>
    </row>
    <row r="11" spans="1:36" ht="14.45" customHeight="1" x14ac:dyDescent="0.25">
      <c r="A11" s="33">
        <f t="shared" si="3"/>
        <v>1</v>
      </c>
      <c r="B11" s="34">
        <f t="shared" si="0"/>
        <v>6</v>
      </c>
      <c r="C11" s="35" t="s">
        <v>23</v>
      </c>
      <c r="D11" s="35" t="s">
        <v>78</v>
      </c>
      <c r="E11" s="35" t="s">
        <v>46</v>
      </c>
      <c r="F11" s="35"/>
      <c r="G11" s="22"/>
      <c r="H11" s="132">
        <v>6</v>
      </c>
      <c r="I11" s="133">
        <f t="shared" si="4"/>
        <v>1</v>
      </c>
      <c r="J11" s="132">
        <f t="shared" si="5"/>
        <v>0</v>
      </c>
      <c r="K11" s="132">
        <f t="shared" si="1"/>
        <v>0</v>
      </c>
      <c r="L11" s="132"/>
      <c r="M11" s="134">
        <f t="shared" si="2"/>
        <v>1</v>
      </c>
      <c r="V11" s="138"/>
      <c r="Z11" s="136"/>
      <c r="AA11" s="136"/>
      <c r="AG11" s="137"/>
      <c r="AH11" s="120" t="s">
        <v>53</v>
      </c>
      <c r="AI11" s="120">
        <v>50</v>
      </c>
    </row>
    <row r="12" spans="1:36" ht="14.45" customHeight="1" x14ac:dyDescent="0.25">
      <c r="A12" s="44">
        <f t="shared" si="3"/>
        <v>0</v>
      </c>
      <c r="B12" s="28" t="str">
        <f t="shared" si="0"/>
        <v/>
      </c>
      <c r="C12" s="29"/>
      <c r="D12" s="29"/>
      <c r="E12" s="29"/>
      <c r="F12" s="29"/>
      <c r="G12" s="22"/>
      <c r="H12" s="129">
        <v>7</v>
      </c>
      <c r="I12" s="130" t="str">
        <f t="shared" si="4"/>
        <v/>
      </c>
      <c r="J12" s="129">
        <f t="shared" si="5"/>
        <v>0</v>
      </c>
      <c r="K12" s="129">
        <f t="shared" si="1"/>
        <v>0</v>
      </c>
      <c r="L12" s="129"/>
      <c r="M12" s="131">
        <f t="shared" si="2"/>
        <v>0</v>
      </c>
      <c r="Z12" s="136"/>
      <c r="AA12" s="136"/>
      <c r="AG12" s="137"/>
      <c r="AH12" s="120" t="s">
        <v>54</v>
      </c>
      <c r="AI12" s="120">
        <f>AI11-1</f>
        <v>49</v>
      </c>
    </row>
    <row r="13" spans="1:36" ht="14.45" customHeight="1" x14ac:dyDescent="0.25">
      <c r="A13" s="43">
        <f t="shared" si="3"/>
        <v>0</v>
      </c>
      <c r="B13" s="34" t="str">
        <f t="shared" ref="B13" si="6">IF(H13&gt;$H$2,"",(ROW()-5))</f>
        <v/>
      </c>
      <c r="C13" s="35"/>
      <c r="D13" s="35"/>
      <c r="E13" s="35"/>
      <c r="F13" s="35"/>
      <c r="G13" s="22"/>
      <c r="H13" s="132">
        <v>8</v>
      </c>
      <c r="I13" s="133" t="str">
        <f t="shared" si="4"/>
        <v/>
      </c>
      <c r="J13" s="132">
        <f t="shared" si="5"/>
        <v>0</v>
      </c>
      <c r="K13" s="132">
        <f t="shared" si="1"/>
        <v>0</v>
      </c>
      <c r="L13" s="132"/>
      <c r="M13" s="134">
        <f t="shared" si="2"/>
        <v>0</v>
      </c>
      <c r="X13" s="135"/>
      <c r="AG13" s="137"/>
      <c r="AH13" s="120" t="s">
        <v>55</v>
      </c>
      <c r="AI13" s="120">
        <f>LOG(AI9)</f>
        <v>1.3617278360175928</v>
      </c>
    </row>
    <row r="14" spans="1:36" x14ac:dyDescent="0.25">
      <c r="A14" s="44">
        <f t="shared" si="3"/>
        <v>0</v>
      </c>
      <c r="B14" s="28" t="str">
        <f>IF(H14&gt;$H$2,"",(ROW()-5))</f>
        <v/>
      </c>
      <c r="C14" s="29"/>
      <c r="D14" s="29"/>
      <c r="E14" s="29"/>
      <c r="F14" s="29"/>
      <c r="G14" s="22"/>
      <c r="H14" s="129">
        <v>9</v>
      </c>
      <c r="I14" s="130" t="str">
        <f t="shared" si="4"/>
        <v/>
      </c>
      <c r="J14" s="129">
        <f t="shared" si="5"/>
        <v>-1</v>
      </c>
      <c r="K14" s="129">
        <f t="shared" si="1"/>
        <v>-10</v>
      </c>
      <c r="L14" s="129"/>
      <c r="M14" s="131">
        <f t="shared" si="2"/>
        <v>0</v>
      </c>
      <c r="X14" s="139"/>
      <c r="Z14" s="136"/>
      <c r="AA14" s="136"/>
      <c r="AG14" s="137"/>
      <c r="AH14" s="120" t="s">
        <v>56</v>
      </c>
      <c r="AI14" s="120">
        <f>LOG(AI10)</f>
        <v>1.6532125137753437</v>
      </c>
    </row>
    <row r="15" spans="1:36" x14ac:dyDescent="0.25">
      <c r="A15" s="43">
        <f t="shared" si="3"/>
        <v>0</v>
      </c>
      <c r="B15" s="34" t="str">
        <f t="shared" ref="B15:B65" si="7">IF(H15&gt;$H$2,"",(ROW()-5))</f>
        <v/>
      </c>
      <c r="C15" s="35"/>
      <c r="D15" s="35"/>
      <c r="E15" s="35"/>
      <c r="F15" s="35"/>
      <c r="G15" s="22"/>
      <c r="H15" s="132">
        <v>10</v>
      </c>
      <c r="I15" s="133" t="str">
        <f t="shared" si="4"/>
        <v/>
      </c>
      <c r="J15" s="132">
        <f t="shared" si="5"/>
        <v>-1</v>
      </c>
      <c r="K15" s="132">
        <f t="shared" si="1"/>
        <v>-10</v>
      </c>
      <c r="L15" s="132"/>
      <c r="M15" s="134">
        <f t="shared" si="2"/>
        <v>0</v>
      </c>
      <c r="X15" s="135"/>
      <c r="Z15" s="136"/>
      <c r="AA15" s="136"/>
    </row>
    <row r="16" spans="1:36" x14ac:dyDescent="0.25">
      <c r="A16" s="44">
        <f t="shared" si="3"/>
        <v>0</v>
      </c>
      <c r="B16" s="28" t="str">
        <f t="shared" si="7"/>
        <v/>
      </c>
      <c r="C16" s="29"/>
      <c r="D16" s="29"/>
      <c r="E16" s="29"/>
      <c r="F16" s="29"/>
      <c r="G16" s="22"/>
      <c r="H16" s="129">
        <v>11</v>
      </c>
      <c r="I16" s="130" t="str">
        <f t="shared" si="4"/>
        <v/>
      </c>
      <c r="J16" s="129">
        <f t="shared" si="5"/>
        <v>-1</v>
      </c>
      <c r="K16" s="129">
        <f t="shared" si="1"/>
        <v>-10</v>
      </c>
      <c r="L16" s="129"/>
      <c r="M16" s="131">
        <f t="shared" si="2"/>
        <v>0</v>
      </c>
      <c r="R16" s="140"/>
      <c r="Z16" s="136"/>
      <c r="AA16" s="136"/>
      <c r="AH16" s="141" t="s">
        <v>57</v>
      </c>
      <c r="AI16" s="120">
        <f>AI11-AI12*AI13/AI14</f>
        <v>9.6393909380186855</v>
      </c>
      <c r="AJ16" s="120" t="s">
        <v>58</v>
      </c>
    </row>
    <row r="17" spans="1:19" x14ac:dyDescent="0.25">
      <c r="A17" s="43">
        <f t="shared" si="3"/>
        <v>0</v>
      </c>
      <c r="B17" s="34" t="str">
        <f t="shared" si="7"/>
        <v/>
      </c>
      <c r="C17" s="35"/>
      <c r="D17" s="35"/>
      <c r="E17" s="35"/>
      <c r="F17" s="35"/>
      <c r="G17" s="22"/>
      <c r="H17" s="132">
        <v>12</v>
      </c>
      <c r="I17" s="133" t="str">
        <f t="shared" si="4"/>
        <v/>
      </c>
      <c r="J17" s="132">
        <f t="shared" si="5"/>
        <v>-1</v>
      </c>
      <c r="K17" s="132">
        <f t="shared" si="1"/>
        <v>-10</v>
      </c>
      <c r="L17" s="132"/>
      <c r="M17" s="134">
        <f t="shared" si="2"/>
        <v>0</v>
      </c>
    </row>
    <row r="18" spans="1:19" x14ac:dyDescent="0.25">
      <c r="A18" s="44">
        <f t="shared" si="3"/>
        <v>0</v>
      </c>
      <c r="B18" s="28" t="str">
        <f t="shared" si="7"/>
        <v/>
      </c>
      <c r="C18" s="29"/>
      <c r="D18" s="29"/>
      <c r="E18" s="29"/>
      <c r="F18" s="29"/>
      <c r="G18" s="22"/>
      <c r="H18" s="129">
        <v>13</v>
      </c>
      <c r="I18" s="130" t="str">
        <f t="shared" si="4"/>
        <v/>
      </c>
      <c r="J18" s="129">
        <f t="shared" si="5"/>
        <v>-1</v>
      </c>
      <c r="K18" s="129">
        <f t="shared" si="1"/>
        <v>-10</v>
      </c>
      <c r="L18" s="129"/>
      <c r="M18" s="131">
        <f t="shared" si="2"/>
        <v>0</v>
      </c>
    </row>
    <row r="19" spans="1:19" x14ac:dyDescent="0.25">
      <c r="A19" s="43">
        <f t="shared" si="3"/>
        <v>0</v>
      </c>
      <c r="B19" s="34" t="str">
        <f t="shared" si="7"/>
        <v/>
      </c>
      <c r="C19" s="35"/>
      <c r="D19" s="35"/>
      <c r="E19" s="35"/>
      <c r="F19" s="35"/>
      <c r="G19" s="22"/>
      <c r="H19" s="132">
        <v>14</v>
      </c>
      <c r="I19" s="133" t="str">
        <f t="shared" si="4"/>
        <v/>
      </c>
      <c r="J19" s="132">
        <f t="shared" si="5"/>
        <v>-1</v>
      </c>
      <c r="K19" s="132">
        <f t="shared" si="1"/>
        <v>-10</v>
      </c>
      <c r="L19" s="132"/>
      <c r="M19" s="134">
        <f t="shared" si="2"/>
        <v>0</v>
      </c>
    </row>
    <row r="20" spans="1:19" x14ac:dyDescent="0.25">
      <c r="A20" s="44">
        <f t="shared" si="3"/>
        <v>0</v>
      </c>
      <c r="B20" s="28" t="str">
        <f t="shared" si="7"/>
        <v/>
      </c>
      <c r="C20" s="29"/>
      <c r="D20" s="29"/>
      <c r="E20" s="29"/>
      <c r="F20" s="29"/>
      <c r="G20" s="22"/>
      <c r="H20" s="129">
        <v>15</v>
      </c>
      <c r="I20" s="130" t="str">
        <f t="shared" si="4"/>
        <v/>
      </c>
      <c r="J20" s="129">
        <f t="shared" si="5"/>
        <v>-1</v>
      </c>
      <c r="K20" s="129">
        <f t="shared" si="1"/>
        <v>-10</v>
      </c>
      <c r="L20" s="129"/>
      <c r="M20" s="131">
        <f t="shared" si="2"/>
        <v>0</v>
      </c>
      <c r="R20" s="142"/>
      <c r="S20" s="143"/>
    </row>
    <row r="21" spans="1:19" x14ac:dyDescent="0.25">
      <c r="A21" s="43">
        <f t="shared" si="3"/>
        <v>0</v>
      </c>
      <c r="B21" s="34" t="str">
        <f t="shared" si="7"/>
        <v/>
      </c>
      <c r="C21" s="35"/>
      <c r="D21" s="35"/>
      <c r="E21" s="35"/>
      <c r="F21" s="35"/>
      <c r="G21" s="22"/>
      <c r="H21" s="132">
        <v>16</v>
      </c>
      <c r="I21" s="133" t="str">
        <f t="shared" si="4"/>
        <v/>
      </c>
      <c r="J21" s="132">
        <f t="shared" si="5"/>
        <v>-1</v>
      </c>
      <c r="K21" s="132">
        <f t="shared" si="1"/>
        <v>-10</v>
      </c>
      <c r="L21" s="132"/>
      <c r="M21" s="134">
        <f t="shared" si="2"/>
        <v>0</v>
      </c>
    </row>
    <row r="22" spans="1:19" x14ac:dyDescent="0.25">
      <c r="A22" s="44">
        <f t="shared" si="3"/>
        <v>0</v>
      </c>
      <c r="B22" s="28" t="str">
        <f t="shared" si="7"/>
        <v/>
      </c>
      <c r="C22" s="29"/>
      <c r="D22" s="29"/>
      <c r="E22" s="29"/>
      <c r="F22" s="29"/>
      <c r="G22" s="22"/>
      <c r="H22" s="129">
        <v>17</v>
      </c>
      <c r="I22" s="130" t="str">
        <f t="shared" si="4"/>
        <v/>
      </c>
      <c r="J22" s="129">
        <f t="shared" si="5"/>
        <v>-2</v>
      </c>
      <c r="K22" s="129">
        <f t="shared" si="1"/>
        <v>-20</v>
      </c>
      <c r="L22" s="129"/>
      <c r="M22" s="131">
        <f t="shared" si="2"/>
        <v>0</v>
      </c>
    </row>
    <row r="23" spans="1:19" x14ac:dyDescent="0.25">
      <c r="A23" s="43">
        <f t="shared" si="3"/>
        <v>0</v>
      </c>
      <c r="B23" s="34" t="str">
        <f t="shared" si="7"/>
        <v/>
      </c>
      <c r="C23" s="35"/>
      <c r="D23" s="35"/>
      <c r="E23" s="35"/>
      <c r="F23" s="35"/>
      <c r="G23" s="22"/>
      <c r="H23" s="132">
        <v>18</v>
      </c>
      <c r="I23" s="133" t="str">
        <f t="shared" si="4"/>
        <v/>
      </c>
      <c r="J23" s="132">
        <f t="shared" si="5"/>
        <v>-2</v>
      </c>
      <c r="K23" s="132">
        <f t="shared" si="1"/>
        <v>-20</v>
      </c>
      <c r="L23" s="132"/>
      <c r="M23" s="134">
        <f t="shared" si="2"/>
        <v>0</v>
      </c>
    </row>
    <row r="24" spans="1:19" x14ac:dyDescent="0.25">
      <c r="A24" s="44">
        <f t="shared" si="3"/>
        <v>0</v>
      </c>
      <c r="B24" s="28" t="str">
        <f t="shared" si="7"/>
        <v/>
      </c>
      <c r="C24" s="29"/>
      <c r="D24" s="29"/>
      <c r="E24" s="29"/>
      <c r="F24" s="29"/>
      <c r="G24" s="22"/>
      <c r="H24" s="129">
        <v>19</v>
      </c>
      <c r="I24" s="130" t="str">
        <f t="shared" si="4"/>
        <v/>
      </c>
      <c r="J24" s="129">
        <f t="shared" si="5"/>
        <v>-2</v>
      </c>
      <c r="K24" s="129">
        <f t="shared" si="1"/>
        <v>-20</v>
      </c>
      <c r="L24" s="129"/>
      <c r="M24" s="131">
        <f t="shared" si="2"/>
        <v>0</v>
      </c>
      <c r="R24" s="142"/>
      <c r="S24" s="143"/>
    </row>
    <row r="25" spans="1:19" x14ac:dyDescent="0.25">
      <c r="A25" s="43">
        <f t="shared" si="3"/>
        <v>0</v>
      </c>
      <c r="B25" s="34" t="str">
        <f t="shared" si="7"/>
        <v/>
      </c>
      <c r="C25" s="35"/>
      <c r="D25" s="35"/>
      <c r="E25" s="35"/>
      <c r="F25" s="35"/>
      <c r="G25" s="22"/>
      <c r="H25" s="132">
        <v>20</v>
      </c>
      <c r="I25" s="133" t="str">
        <f t="shared" si="4"/>
        <v/>
      </c>
      <c r="J25" s="132">
        <f t="shared" si="5"/>
        <v>-2</v>
      </c>
      <c r="K25" s="132">
        <f t="shared" si="1"/>
        <v>-20</v>
      </c>
      <c r="L25" s="132"/>
      <c r="M25" s="134">
        <f t="shared" si="2"/>
        <v>0</v>
      </c>
    </row>
    <row r="26" spans="1:19" x14ac:dyDescent="0.25">
      <c r="A26" s="44">
        <f t="shared" si="3"/>
        <v>0</v>
      </c>
      <c r="B26" s="28" t="str">
        <f t="shared" si="7"/>
        <v/>
      </c>
      <c r="C26" s="29"/>
      <c r="D26" s="29"/>
      <c r="E26" s="29"/>
      <c r="F26" s="29"/>
      <c r="G26" s="22"/>
      <c r="H26" s="129">
        <v>21</v>
      </c>
      <c r="I26" s="130" t="str">
        <f t="shared" si="4"/>
        <v/>
      </c>
      <c r="J26" s="129">
        <f t="shared" si="5"/>
        <v>-2</v>
      </c>
      <c r="K26" s="129">
        <f t="shared" si="1"/>
        <v>-20</v>
      </c>
      <c r="L26" s="129"/>
      <c r="M26" s="131">
        <f t="shared" si="2"/>
        <v>0</v>
      </c>
    </row>
    <row r="27" spans="1:19" x14ac:dyDescent="0.25">
      <c r="A27" s="43">
        <f t="shared" si="3"/>
        <v>0</v>
      </c>
      <c r="B27" s="34" t="str">
        <f t="shared" si="7"/>
        <v/>
      </c>
      <c r="C27" s="35"/>
      <c r="D27" s="35"/>
      <c r="E27" s="35"/>
      <c r="F27" s="35"/>
      <c r="G27" s="22"/>
      <c r="H27" s="132">
        <v>22</v>
      </c>
      <c r="I27" s="133" t="str">
        <f t="shared" si="4"/>
        <v/>
      </c>
      <c r="J27" s="132">
        <f t="shared" si="5"/>
        <v>-2</v>
      </c>
      <c r="K27" s="132">
        <f t="shared" si="1"/>
        <v>-20</v>
      </c>
      <c r="L27" s="132"/>
      <c r="M27" s="134">
        <f t="shared" si="2"/>
        <v>0</v>
      </c>
    </row>
    <row r="28" spans="1:19" x14ac:dyDescent="0.25">
      <c r="A28" s="44">
        <f t="shared" si="3"/>
        <v>0</v>
      </c>
      <c r="B28" s="28" t="str">
        <f t="shared" si="7"/>
        <v/>
      </c>
      <c r="C28" s="29"/>
      <c r="D28" s="29"/>
      <c r="E28" s="29"/>
      <c r="F28" s="29"/>
      <c r="G28" s="22"/>
      <c r="H28" s="129">
        <v>23</v>
      </c>
      <c r="I28" s="130" t="str">
        <f t="shared" si="4"/>
        <v/>
      </c>
      <c r="J28" s="129">
        <f t="shared" si="5"/>
        <v>-2</v>
      </c>
      <c r="K28" s="129">
        <f t="shared" si="1"/>
        <v>-20</v>
      </c>
      <c r="L28" s="129"/>
      <c r="M28" s="131">
        <f t="shared" si="2"/>
        <v>0</v>
      </c>
      <c r="R28" s="142"/>
      <c r="S28" s="143"/>
    </row>
    <row r="29" spans="1:19" x14ac:dyDescent="0.25">
      <c r="A29" s="43">
        <f t="shared" si="3"/>
        <v>0</v>
      </c>
      <c r="B29" s="34" t="str">
        <f t="shared" si="7"/>
        <v/>
      </c>
      <c r="C29" s="35"/>
      <c r="D29" s="35"/>
      <c r="E29" s="35"/>
      <c r="F29" s="35"/>
      <c r="G29" s="115"/>
      <c r="H29" s="132">
        <v>24</v>
      </c>
      <c r="I29" s="133" t="str">
        <f t="shared" si="4"/>
        <v/>
      </c>
      <c r="J29" s="132">
        <f t="shared" si="5"/>
        <v>-2</v>
      </c>
      <c r="K29" s="132">
        <f t="shared" si="1"/>
        <v>-20</v>
      </c>
      <c r="L29" s="132"/>
      <c r="M29" s="134">
        <f t="shared" si="2"/>
        <v>0</v>
      </c>
    </row>
    <row r="30" spans="1:19" x14ac:dyDescent="0.25">
      <c r="A30" s="44">
        <f t="shared" si="3"/>
        <v>0</v>
      </c>
      <c r="B30" s="28" t="str">
        <f t="shared" si="7"/>
        <v/>
      </c>
      <c r="C30" s="29"/>
      <c r="D30" s="29"/>
      <c r="E30" s="29"/>
      <c r="F30" s="29"/>
      <c r="G30" s="115"/>
      <c r="H30" s="129">
        <v>25</v>
      </c>
      <c r="I30" s="130" t="str">
        <f t="shared" si="4"/>
        <v/>
      </c>
      <c r="J30" s="129">
        <f t="shared" si="5"/>
        <v>-2</v>
      </c>
      <c r="K30" s="129">
        <f t="shared" si="1"/>
        <v>-20</v>
      </c>
      <c r="L30" s="129"/>
      <c r="M30" s="131">
        <f t="shared" si="2"/>
        <v>0</v>
      </c>
    </row>
    <row r="31" spans="1:19" x14ac:dyDescent="0.25">
      <c r="A31" s="43">
        <f t="shared" si="3"/>
        <v>0</v>
      </c>
      <c r="B31" s="34" t="str">
        <f t="shared" si="7"/>
        <v/>
      </c>
      <c r="C31" s="35"/>
      <c r="D31" s="35"/>
      <c r="E31" s="35"/>
      <c r="F31" s="35"/>
      <c r="G31" s="115"/>
      <c r="H31" s="132">
        <v>26</v>
      </c>
      <c r="I31" s="133" t="str">
        <f t="shared" si="4"/>
        <v/>
      </c>
      <c r="J31" s="132">
        <f t="shared" si="5"/>
        <v>-2</v>
      </c>
      <c r="K31" s="132">
        <f t="shared" si="1"/>
        <v>-20</v>
      </c>
      <c r="L31" s="132"/>
      <c r="M31" s="134">
        <f t="shared" si="2"/>
        <v>0</v>
      </c>
    </row>
    <row r="32" spans="1:19" x14ac:dyDescent="0.25">
      <c r="A32" s="44">
        <f t="shared" si="3"/>
        <v>0</v>
      </c>
      <c r="B32" s="28" t="str">
        <f t="shared" si="7"/>
        <v/>
      </c>
      <c r="C32" s="29"/>
      <c r="D32" s="29"/>
      <c r="E32" s="29"/>
      <c r="F32" s="29"/>
      <c r="G32" s="115"/>
      <c r="H32" s="129">
        <v>27</v>
      </c>
      <c r="I32" s="130" t="str">
        <f t="shared" si="4"/>
        <v/>
      </c>
      <c r="J32" s="129">
        <f t="shared" si="5"/>
        <v>-2</v>
      </c>
      <c r="K32" s="129">
        <f t="shared" si="1"/>
        <v>-20</v>
      </c>
      <c r="L32" s="129"/>
      <c r="M32" s="131">
        <f t="shared" si="2"/>
        <v>0</v>
      </c>
      <c r="R32" s="142"/>
      <c r="S32" s="143"/>
    </row>
    <row r="33" spans="1:21" x14ac:dyDescent="0.25">
      <c r="A33" s="43">
        <f t="shared" si="3"/>
        <v>0</v>
      </c>
      <c r="B33" s="34" t="str">
        <f t="shared" si="7"/>
        <v/>
      </c>
      <c r="C33" s="35"/>
      <c r="D33" s="35"/>
      <c r="E33" s="35"/>
      <c r="F33" s="35"/>
      <c r="G33" s="115"/>
      <c r="H33" s="132">
        <v>28</v>
      </c>
      <c r="I33" s="133" t="str">
        <f t="shared" si="4"/>
        <v/>
      </c>
      <c r="J33" s="132">
        <f t="shared" si="5"/>
        <v>-2</v>
      </c>
      <c r="K33" s="132">
        <f t="shared" si="1"/>
        <v>-20</v>
      </c>
      <c r="L33" s="132"/>
      <c r="M33" s="134">
        <f t="shared" si="2"/>
        <v>0</v>
      </c>
    </row>
    <row r="34" spans="1:21" x14ac:dyDescent="0.25">
      <c r="A34" s="44">
        <f t="shared" si="3"/>
        <v>0</v>
      </c>
      <c r="B34" s="28" t="str">
        <f t="shared" si="7"/>
        <v/>
      </c>
      <c r="C34" s="29"/>
      <c r="D34" s="29"/>
      <c r="E34" s="29"/>
      <c r="F34" s="29"/>
      <c r="G34" s="115"/>
      <c r="H34" s="129">
        <v>29</v>
      </c>
      <c r="I34" s="130" t="str">
        <f t="shared" si="4"/>
        <v/>
      </c>
      <c r="J34" s="129">
        <f t="shared" si="5"/>
        <v>-2</v>
      </c>
      <c r="K34" s="129">
        <f t="shared" si="1"/>
        <v>-20</v>
      </c>
      <c r="L34" s="129"/>
      <c r="M34" s="131">
        <f t="shared" si="2"/>
        <v>0</v>
      </c>
    </row>
    <row r="35" spans="1:21" x14ac:dyDescent="0.25">
      <c r="A35" s="43">
        <f t="shared" si="3"/>
        <v>0</v>
      </c>
      <c r="B35" s="34" t="str">
        <f t="shared" si="7"/>
        <v/>
      </c>
      <c r="C35" s="35"/>
      <c r="D35" s="35"/>
      <c r="E35" s="35"/>
      <c r="F35" s="35"/>
      <c r="G35" s="115"/>
      <c r="H35" s="132">
        <v>30</v>
      </c>
      <c r="I35" s="133" t="str">
        <f t="shared" si="4"/>
        <v/>
      </c>
      <c r="J35" s="132">
        <f t="shared" si="5"/>
        <v>-2</v>
      </c>
      <c r="K35" s="132">
        <f t="shared" si="1"/>
        <v>-20</v>
      </c>
      <c r="L35" s="132"/>
      <c r="M35" s="134">
        <f t="shared" si="2"/>
        <v>0</v>
      </c>
    </row>
    <row r="36" spans="1:21" x14ac:dyDescent="0.25">
      <c r="A36" s="44">
        <f t="shared" si="3"/>
        <v>0</v>
      </c>
      <c r="B36" s="28" t="str">
        <f t="shared" si="7"/>
        <v/>
      </c>
      <c r="C36" s="29"/>
      <c r="D36" s="29"/>
      <c r="E36" s="29"/>
      <c r="F36" s="29"/>
      <c r="G36" s="115"/>
      <c r="H36" s="129">
        <v>31</v>
      </c>
      <c r="I36" s="130" t="str">
        <f t="shared" si="4"/>
        <v/>
      </c>
      <c r="J36" s="129">
        <f t="shared" si="5"/>
        <v>-2</v>
      </c>
      <c r="K36" s="129">
        <f t="shared" si="1"/>
        <v>-20</v>
      </c>
      <c r="L36" s="129"/>
      <c r="M36" s="131">
        <f t="shared" si="2"/>
        <v>0</v>
      </c>
      <c r="R36" s="142"/>
      <c r="S36" s="143"/>
    </row>
    <row r="37" spans="1:21" x14ac:dyDescent="0.25">
      <c r="A37" s="43">
        <f t="shared" si="3"/>
        <v>0</v>
      </c>
      <c r="B37" s="34" t="str">
        <f t="shared" si="7"/>
        <v/>
      </c>
      <c r="C37" s="35"/>
      <c r="D37" s="35"/>
      <c r="E37" s="35"/>
      <c r="F37" s="35"/>
      <c r="G37" s="115"/>
      <c r="H37" s="132">
        <v>32</v>
      </c>
      <c r="I37" s="133" t="str">
        <f t="shared" si="4"/>
        <v/>
      </c>
      <c r="J37" s="132">
        <f t="shared" si="5"/>
        <v>-2</v>
      </c>
      <c r="K37" s="132">
        <f t="shared" si="1"/>
        <v>-20</v>
      </c>
      <c r="L37" s="132"/>
      <c r="M37" s="134">
        <f t="shared" si="2"/>
        <v>0</v>
      </c>
    </row>
    <row r="38" spans="1:21" x14ac:dyDescent="0.25">
      <c r="A38" s="44"/>
      <c r="B38" s="28" t="str">
        <f t="shared" si="7"/>
        <v/>
      </c>
      <c r="C38" s="29"/>
      <c r="D38" s="29"/>
      <c r="E38" s="29"/>
      <c r="F38" s="29"/>
      <c r="G38" s="115"/>
      <c r="H38" s="129">
        <v>33</v>
      </c>
      <c r="I38" s="130" t="str">
        <f t="shared" si="4"/>
        <v/>
      </c>
      <c r="J38" s="129">
        <f t="shared" si="5"/>
        <v>-3</v>
      </c>
      <c r="K38" s="129">
        <f t="shared" si="1"/>
        <v>-30</v>
      </c>
      <c r="L38" s="129"/>
      <c r="M38" s="131">
        <f t="shared" si="2"/>
        <v>0</v>
      </c>
    </row>
    <row r="39" spans="1:21" x14ac:dyDescent="0.25">
      <c r="A39" s="43"/>
      <c r="B39" s="34" t="str">
        <f t="shared" si="7"/>
        <v/>
      </c>
      <c r="C39" s="35"/>
      <c r="D39" s="35"/>
      <c r="E39" s="35"/>
      <c r="F39" s="35"/>
      <c r="G39" s="115"/>
      <c r="H39" s="132">
        <v>34</v>
      </c>
      <c r="I39" s="133" t="str">
        <f t="shared" si="4"/>
        <v/>
      </c>
      <c r="J39" s="132">
        <f t="shared" si="5"/>
        <v>-3</v>
      </c>
      <c r="K39" s="132">
        <f t="shared" si="1"/>
        <v>-30</v>
      </c>
      <c r="L39" s="132"/>
      <c r="M39" s="134">
        <f t="shared" si="2"/>
        <v>0</v>
      </c>
    </row>
    <row r="40" spans="1:21" x14ac:dyDescent="0.25">
      <c r="A40" s="44"/>
      <c r="B40" s="28" t="str">
        <f t="shared" si="7"/>
        <v/>
      </c>
      <c r="C40" s="29"/>
      <c r="D40" s="29"/>
      <c r="E40" s="29"/>
      <c r="F40" s="29"/>
      <c r="G40" s="115"/>
      <c r="H40" s="129">
        <v>35</v>
      </c>
      <c r="I40" s="130" t="str">
        <f t="shared" si="4"/>
        <v/>
      </c>
      <c r="J40" s="129">
        <f t="shared" si="5"/>
        <v>-3</v>
      </c>
      <c r="K40" s="129">
        <f t="shared" si="1"/>
        <v>-30</v>
      </c>
      <c r="L40" s="129"/>
      <c r="M40" s="131">
        <f t="shared" si="2"/>
        <v>0</v>
      </c>
    </row>
    <row r="41" spans="1:21" x14ac:dyDescent="0.25">
      <c r="A41" s="43"/>
      <c r="B41" s="34" t="str">
        <f t="shared" si="7"/>
        <v/>
      </c>
      <c r="C41" s="35"/>
      <c r="D41" s="35"/>
      <c r="E41" s="35"/>
      <c r="F41" s="35"/>
      <c r="G41" s="115"/>
      <c r="H41" s="132">
        <v>36</v>
      </c>
      <c r="I41" s="133" t="str">
        <f t="shared" si="4"/>
        <v/>
      </c>
      <c r="J41" s="132">
        <f t="shared" si="5"/>
        <v>-3</v>
      </c>
      <c r="K41" s="132">
        <f t="shared" si="1"/>
        <v>-30</v>
      </c>
      <c r="L41" s="132"/>
      <c r="M41" s="134">
        <f t="shared" si="2"/>
        <v>0</v>
      </c>
      <c r="S41" s="144"/>
    </row>
    <row r="42" spans="1:21" x14ac:dyDescent="0.25">
      <c r="A42" s="44"/>
      <c r="B42" s="28" t="str">
        <f t="shared" si="7"/>
        <v/>
      </c>
      <c r="C42" s="29"/>
      <c r="D42" s="29"/>
      <c r="E42" s="29"/>
      <c r="F42" s="29"/>
      <c r="G42" s="115"/>
      <c r="H42" s="129">
        <v>37</v>
      </c>
      <c r="I42" s="130" t="str">
        <f t="shared" si="4"/>
        <v/>
      </c>
      <c r="J42" s="129">
        <f t="shared" si="5"/>
        <v>-3</v>
      </c>
      <c r="K42" s="129">
        <f t="shared" si="1"/>
        <v>-30</v>
      </c>
      <c r="L42" s="129"/>
      <c r="M42" s="131">
        <f t="shared" si="2"/>
        <v>0</v>
      </c>
    </row>
    <row r="43" spans="1:21" x14ac:dyDescent="0.25">
      <c r="A43" s="43"/>
      <c r="B43" s="34" t="str">
        <f t="shared" si="7"/>
        <v/>
      </c>
      <c r="C43" s="35"/>
      <c r="D43" s="35"/>
      <c r="E43" s="35"/>
      <c r="F43" s="35"/>
      <c r="G43" s="115"/>
      <c r="H43" s="132">
        <v>38</v>
      </c>
      <c r="I43" s="133" t="str">
        <f t="shared" si="4"/>
        <v/>
      </c>
      <c r="J43" s="132">
        <f t="shared" si="5"/>
        <v>-3</v>
      </c>
      <c r="K43" s="132">
        <f t="shared" si="1"/>
        <v>-30</v>
      </c>
      <c r="L43" s="132"/>
      <c r="M43" s="134">
        <f t="shared" si="2"/>
        <v>0</v>
      </c>
    </row>
    <row r="44" spans="1:21" x14ac:dyDescent="0.25">
      <c r="A44" s="44"/>
      <c r="B44" s="28" t="str">
        <f t="shared" si="7"/>
        <v/>
      </c>
      <c r="C44" s="29"/>
      <c r="D44" s="29"/>
      <c r="E44" s="29"/>
      <c r="F44" s="29"/>
      <c r="G44" s="115"/>
      <c r="H44" s="129">
        <v>39</v>
      </c>
      <c r="I44" s="130" t="str">
        <f t="shared" si="4"/>
        <v/>
      </c>
      <c r="J44" s="129">
        <f t="shared" si="5"/>
        <v>-3</v>
      </c>
      <c r="K44" s="129">
        <f t="shared" si="1"/>
        <v>-30</v>
      </c>
      <c r="L44" s="129"/>
      <c r="M44" s="131">
        <f t="shared" si="2"/>
        <v>0</v>
      </c>
    </row>
    <row r="45" spans="1:21" x14ac:dyDescent="0.25">
      <c r="A45" s="43"/>
      <c r="B45" s="34" t="str">
        <f t="shared" si="7"/>
        <v/>
      </c>
      <c r="C45" s="35"/>
      <c r="D45" s="35"/>
      <c r="E45" s="35"/>
      <c r="F45" s="35"/>
      <c r="G45" s="115"/>
      <c r="H45" s="132">
        <v>40</v>
      </c>
      <c r="I45" s="133" t="str">
        <f t="shared" si="4"/>
        <v/>
      </c>
      <c r="J45" s="132">
        <f t="shared" si="5"/>
        <v>-3</v>
      </c>
      <c r="K45" s="132">
        <f t="shared" si="1"/>
        <v>-30</v>
      </c>
      <c r="L45" s="132"/>
      <c r="M45" s="134">
        <f t="shared" si="2"/>
        <v>0</v>
      </c>
    </row>
    <row r="46" spans="1:21" x14ac:dyDescent="0.25">
      <c r="A46" s="44"/>
      <c r="B46" s="28" t="str">
        <f t="shared" si="7"/>
        <v/>
      </c>
      <c r="C46" s="29"/>
      <c r="D46" s="29"/>
      <c r="E46" s="29"/>
      <c r="F46" s="29"/>
      <c r="G46" s="115"/>
      <c r="H46" s="129">
        <v>41</v>
      </c>
      <c r="I46" s="130" t="str">
        <f t="shared" si="4"/>
        <v/>
      </c>
      <c r="J46" s="129">
        <f t="shared" si="5"/>
        <v>-3</v>
      </c>
      <c r="K46" s="129">
        <f t="shared" si="1"/>
        <v>-30</v>
      </c>
      <c r="L46" s="129"/>
      <c r="M46" s="131">
        <f t="shared" si="2"/>
        <v>0</v>
      </c>
      <c r="R46" s="115">
        <f>LOG($H$2,2)</f>
        <v>2.5849625007211561</v>
      </c>
      <c r="T46" s="120">
        <f>LOG(H38,2)</f>
        <v>5.0443941193584534</v>
      </c>
      <c r="U46" s="120">
        <f>R46-T46</f>
        <v>-2.4594316186372973</v>
      </c>
    </row>
    <row r="47" spans="1:21" x14ac:dyDescent="0.25">
      <c r="A47" s="43"/>
      <c r="B47" s="34" t="str">
        <f t="shared" si="7"/>
        <v/>
      </c>
      <c r="C47" s="35"/>
      <c r="D47" s="35"/>
      <c r="E47" s="35"/>
      <c r="F47" s="35"/>
      <c r="G47" s="115"/>
      <c r="H47" s="132">
        <v>42</v>
      </c>
      <c r="I47" s="133" t="str">
        <f t="shared" si="4"/>
        <v/>
      </c>
      <c r="J47" s="132">
        <f t="shared" si="5"/>
        <v>-3</v>
      </c>
      <c r="K47" s="132">
        <f t="shared" si="1"/>
        <v>-30</v>
      </c>
      <c r="L47" s="132"/>
      <c r="M47" s="134">
        <f t="shared" si="2"/>
        <v>0</v>
      </c>
    </row>
    <row r="48" spans="1:21" x14ac:dyDescent="0.25">
      <c r="A48" s="44"/>
      <c r="B48" s="28" t="str">
        <f t="shared" si="7"/>
        <v/>
      </c>
      <c r="C48" s="29"/>
      <c r="D48" s="29"/>
      <c r="E48" s="29"/>
      <c r="F48" s="29"/>
      <c r="G48" s="115"/>
      <c r="H48" s="129">
        <v>43</v>
      </c>
      <c r="I48" s="130" t="str">
        <f t="shared" si="4"/>
        <v/>
      </c>
      <c r="J48" s="129">
        <f t="shared" si="5"/>
        <v>-3</v>
      </c>
      <c r="K48" s="129">
        <f t="shared" si="1"/>
        <v>-30</v>
      </c>
      <c r="L48" s="129"/>
      <c r="M48" s="131">
        <f t="shared" si="2"/>
        <v>0</v>
      </c>
    </row>
    <row r="49" spans="1:13" x14ac:dyDescent="0.25">
      <c r="A49" s="43"/>
      <c r="B49" s="34" t="str">
        <f t="shared" si="7"/>
        <v/>
      </c>
      <c r="C49" s="35"/>
      <c r="D49" s="35"/>
      <c r="E49" s="35"/>
      <c r="F49" s="35"/>
      <c r="G49" s="115"/>
      <c r="H49" s="132">
        <v>44</v>
      </c>
      <c r="I49" s="133" t="str">
        <f t="shared" si="4"/>
        <v/>
      </c>
      <c r="J49" s="132">
        <f t="shared" si="5"/>
        <v>-3</v>
      </c>
      <c r="K49" s="132">
        <f t="shared" si="1"/>
        <v>-30</v>
      </c>
      <c r="L49" s="132"/>
      <c r="M49" s="134">
        <f t="shared" si="2"/>
        <v>0</v>
      </c>
    </row>
    <row r="50" spans="1:13" x14ac:dyDescent="0.25">
      <c r="A50" s="44"/>
      <c r="B50" s="28" t="str">
        <f t="shared" si="7"/>
        <v/>
      </c>
      <c r="C50" s="29"/>
      <c r="D50" s="29"/>
      <c r="E50" s="29"/>
      <c r="F50" s="29"/>
      <c r="G50" s="115"/>
      <c r="H50" s="129">
        <v>45</v>
      </c>
      <c r="I50" s="130" t="str">
        <f t="shared" si="4"/>
        <v/>
      </c>
      <c r="J50" s="129">
        <f t="shared" si="5"/>
        <v>-3</v>
      </c>
      <c r="K50" s="129">
        <f t="shared" si="1"/>
        <v>-30</v>
      </c>
      <c r="L50" s="129"/>
      <c r="M50" s="131">
        <f t="shared" si="2"/>
        <v>0</v>
      </c>
    </row>
    <row r="51" spans="1:13" x14ac:dyDescent="0.25">
      <c r="A51" s="43"/>
      <c r="B51" s="34" t="str">
        <f t="shared" si="7"/>
        <v/>
      </c>
      <c r="C51" s="35"/>
      <c r="D51" s="35"/>
      <c r="E51" s="35"/>
      <c r="F51" s="35"/>
      <c r="G51" s="115"/>
      <c r="H51" s="132">
        <v>46</v>
      </c>
      <c r="I51" s="133" t="str">
        <f t="shared" si="4"/>
        <v/>
      </c>
      <c r="J51" s="132">
        <f t="shared" si="5"/>
        <v>-3</v>
      </c>
      <c r="K51" s="132">
        <f t="shared" si="1"/>
        <v>-30</v>
      </c>
      <c r="L51" s="132"/>
      <c r="M51" s="134">
        <f t="shared" si="2"/>
        <v>0</v>
      </c>
    </row>
    <row r="52" spans="1:13" x14ac:dyDescent="0.25">
      <c r="A52" s="44"/>
      <c r="B52" s="28" t="str">
        <f t="shared" si="7"/>
        <v/>
      </c>
      <c r="C52" s="29"/>
      <c r="D52" s="29"/>
      <c r="E52" s="29"/>
      <c r="F52" s="29"/>
      <c r="G52" s="115"/>
      <c r="H52" s="129">
        <v>47</v>
      </c>
      <c r="I52" s="130" t="str">
        <f t="shared" si="4"/>
        <v/>
      </c>
      <c r="J52" s="129">
        <f t="shared" si="5"/>
        <v>-3</v>
      </c>
      <c r="K52" s="129">
        <f t="shared" si="1"/>
        <v>-30</v>
      </c>
      <c r="L52" s="129"/>
      <c r="M52" s="131">
        <f t="shared" si="2"/>
        <v>0</v>
      </c>
    </row>
    <row r="53" spans="1:13" x14ac:dyDescent="0.25">
      <c r="A53" s="43"/>
      <c r="B53" s="34" t="str">
        <f t="shared" si="7"/>
        <v/>
      </c>
      <c r="C53" s="35"/>
      <c r="D53" s="35"/>
      <c r="E53" s="35"/>
      <c r="F53" s="35"/>
      <c r="G53" s="115"/>
      <c r="H53" s="132">
        <v>48</v>
      </c>
      <c r="I53" s="133" t="str">
        <f t="shared" si="4"/>
        <v/>
      </c>
      <c r="J53" s="132">
        <f t="shared" si="5"/>
        <v>-3</v>
      </c>
      <c r="K53" s="132">
        <f t="shared" si="1"/>
        <v>-30</v>
      </c>
      <c r="L53" s="132"/>
      <c r="M53" s="134">
        <f t="shared" si="2"/>
        <v>0</v>
      </c>
    </row>
    <row r="54" spans="1:13" x14ac:dyDescent="0.25">
      <c r="A54" s="44"/>
      <c r="B54" s="28" t="str">
        <f t="shared" si="7"/>
        <v/>
      </c>
      <c r="C54" s="29"/>
      <c r="D54" s="29"/>
      <c r="E54" s="29"/>
      <c r="F54" s="29"/>
      <c r="G54" s="115"/>
      <c r="H54" s="129">
        <v>49</v>
      </c>
      <c r="I54" s="130" t="str">
        <f t="shared" si="4"/>
        <v/>
      </c>
      <c r="J54" s="129">
        <f t="shared" si="5"/>
        <v>-3</v>
      </c>
      <c r="K54" s="129">
        <f t="shared" si="1"/>
        <v>-30</v>
      </c>
      <c r="L54" s="129"/>
      <c r="M54" s="131">
        <f t="shared" si="2"/>
        <v>0</v>
      </c>
    </row>
    <row r="55" spans="1:13" x14ac:dyDescent="0.25">
      <c r="A55" s="43"/>
      <c r="B55" s="34" t="str">
        <f t="shared" si="7"/>
        <v/>
      </c>
      <c r="C55" s="35"/>
      <c r="D55" s="35"/>
      <c r="E55" s="35"/>
      <c r="F55" s="35"/>
      <c r="G55" s="115"/>
      <c r="H55" s="132">
        <v>50</v>
      </c>
      <c r="I55" s="133" t="str">
        <f t="shared" si="4"/>
        <v/>
      </c>
      <c r="J55" s="132">
        <f t="shared" si="5"/>
        <v>-3</v>
      </c>
      <c r="K55" s="132">
        <f t="shared" si="1"/>
        <v>-30</v>
      </c>
      <c r="L55" s="132"/>
      <c r="M55" s="134">
        <f t="shared" si="2"/>
        <v>0</v>
      </c>
    </row>
    <row r="56" spans="1:13" x14ac:dyDescent="0.25">
      <c r="A56" s="44"/>
      <c r="B56" s="28" t="str">
        <f t="shared" si="7"/>
        <v/>
      </c>
      <c r="C56" s="29"/>
      <c r="D56" s="29"/>
      <c r="E56" s="29"/>
      <c r="F56" s="29"/>
      <c r="G56" s="115"/>
      <c r="H56" s="129">
        <v>51</v>
      </c>
      <c r="I56" s="130" t="str">
        <f t="shared" si="4"/>
        <v/>
      </c>
      <c r="J56" s="129">
        <f t="shared" si="5"/>
        <v>-3</v>
      </c>
      <c r="K56" s="129">
        <f t="shared" si="1"/>
        <v>-30</v>
      </c>
      <c r="L56" s="129"/>
      <c r="M56" s="131">
        <f t="shared" si="2"/>
        <v>0</v>
      </c>
    </row>
    <row r="57" spans="1:13" x14ac:dyDescent="0.25">
      <c r="A57" s="43"/>
      <c r="B57" s="34" t="str">
        <f t="shared" si="7"/>
        <v/>
      </c>
      <c r="C57" s="35"/>
      <c r="D57" s="35"/>
      <c r="E57" s="35"/>
      <c r="F57" s="35"/>
      <c r="G57" s="115"/>
      <c r="H57" s="132">
        <v>52</v>
      </c>
      <c r="I57" s="133" t="str">
        <f t="shared" si="4"/>
        <v/>
      </c>
      <c r="J57" s="132">
        <f t="shared" si="5"/>
        <v>-3</v>
      </c>
      <c r="K57" s="132">
        <f t="shared" si="1"/>
        <v>-30</v>
      </c>
      <c r="L57" s="132"/>
      <c r="M57" s="134">
        <f t="shared" si="2"/>
        <v>0</v>
      </c>
    </row>
    <row r="58" spans="1:13" x14ac:dyDescent="0.25">
      <c r="A58" s="44"/>
      <c r="B58" s="28" t="str">
        <f t="shared" si="7"/>
        <v/>
      </c>
      <c r="C58" s="29"/>
      <c r="D58" s="29"/>
      <c r="E58" s="29"/>
      <c r="F58" s="29"/>
      <c r="G58" s="115"/>
      <c r="H58" s="129">
        <v>53</v>
      </c>
      <c r="I58" s="130" t="str">
        <f t="shared" si="4"/>
        <v/>
      </c>
      <c r="J58" s="129">
        <f t="shared" si="5"/>
        <v>-3</v>
      </c>
      <c r="K58" s="129">
        <f t="shared" si="1"/>
        <v>-30</v>
      </c>
      <c r="L58" s="129"/>
      <c r="M58" s="131">
        <f t="shared" si="2"/>
        <v>0</v>
      </c>
    </row>
    <row r="59" spans="1:13" x14ac:dyDescent="0.25">
      <c r="A59" s="43"/>
      <c r="B59" s="34" t="str">
        <f t="shared" si="7"/>
        <v/>
      </c>
      <c r="C59" s="35"/>
      <c r="D59" s="35"/>
      <c r="E59" s="35"/>
      <c r="F59" s="35"/>
      <c r="G59" s="115"/>
      <c r="H59" s="132">
        <v>54</v>
      </c>
      <c r="I59" s="133" t="str">
        <f t="shared" si="4"/>
        <v/>
      </c>
      <c r="J59" s="132">
        <f t="shared" si="5"/>
        <v>-3</v>
      </c>
      <c r="K59" s="132">
        <f t="shared" si="1"/>
        <v>-30</v>
      </c>
      <c r="L59" s="132"/>
      <c r="M59" s="134">
        <f t="shared" si="2"/>
        <v>0</v>
      </c>
    </row>
    <row r="60" spans="1:13" x14ac:dyDescent="0.25">
      <c r="A60" s="44"/>
      <c r="B60" s="28" t="str">
        <f t="shared" si="7"/>
        <v/>
      </c>
      <c r="C60" s="29"/>
      <c r="D60" s="29"/>
      <c r="E60" s="29"/>
      <c r="F60" s="29"/>
      <c r="G60" s="115"/>
      <c r="H60" s="129">
        <v>55</v>
      </c>
      <c r="I60" s="130" t="str">
        <f t="shared" si="4"/>
        <v/>
      </c>
      <c r="J60" s="129">
        <f t="shared" si="5"/>
        <v>-3</v>
      </c>
      <c r="K60" s="129">
        <f t="shared" si="1"/>
        <v>-30</v>
      </c>
      <c r="L60" s="129"/>
      <c r="M60" s="131">
        <f t="shared" si="2"/>
        <v>0</v>
      </c>
    </row>
    <row r="61" spans="1:13" x14ac:dyDescent="0.25">
      <c r="A61" s="43"/>
      <c r="B61" s="34" t="str">
        <f t="shared" si="7"/>
        <v/>
      </c>
      <c r="C61" s="35"/>
      <c r="D61" s="35"/>
      <c r="E61" s="35"/>
      <c r="F61" s="35"/>
      <c r="G61" s="115"/>
      <c r="H61" s="132">
        <v>56</v>
      </c>
      <c r="I61" s="133" t="str">
        <f t="shared" si="4"/>
        <v/>
      </c>
      <c r="J61" s="132">
        <f t="shared" si="5"/>
        <v>-3</v>
      </c>
      <c r="K61" s="132">
        <f t="shared" si="1"/>
        <v>-30</v>
      </c>
      <c r="L61" s="132"/>
      <c r="M61" s="134">
        <f t="shared" si="2"/>
        <v>0</v>
      </c>
    </row>
    <row r="62" spans="1:13" x14ac:dyDescent="0.25">
      <c r="A62" s="44"/>
      <c r="B62" s="28" t="str">
        <f t="shared" si="7"/>
        <v/>
      </c>
      <c r="C62" s="29"/>
      <c r="D62" s="29"/>
      <c r="E62" s="29"/>
      <c r="F62" s="29"/>
      <c r="G62" s="115"/>
      <c r="H62" s="129">
        <v>57</v>
      </c>
      <c r="I62" s="130" t="str">
        <f t="shared" si="4"/>
        <v/>
      </c>
      <c r="J62" s="129">
        <f t="shared" si="5"/>
        <v>-3</v>
      </c>
      <c r="K62" s="129">
        <f t="shared" si="1"/>
        <v>-30</v>
      </c>
      <c r="L62" s="129"/>
      <c r="M62" s="131">
        <f t="shared" si="2"/>
        <v>0</v>
      </c>
    </row>
    <row r="63" spans="1:13" x14ac:dyDescent="0.25">
      <c r="A63" s="43"/>
      <c r="B63" s="34" t="str">
        <f t="shared" si="7"/>
        <v/>
      </c>
      <c r="C63" s="35"/>
      <c r="D63" s="35"/>
      <c r="E63" s="35"/>
      <c r="F63" s="35"/>
      <c r="G63" s="115"/>
      <c r="H63" s="132">
        <v>58</v>
      </c>
      <c r="I63" s="133" t="str">
        <f t="shared" si="4"/>
        <v/>
      </c>
      <c r="J63" s="132">
        <f t="shared" si="5"/>
        <v>-3</v>
      </c>
      <c r="K63" s="132">
        <f t="shared" si="1"/>
        <v>-30</v>
      </c>
      <c r="L63" s="132"/>
      <c r="M63" s="134">
        <f t="shared" si="2"/>
        <v>0</v>
      </c>
    </row>
    <row r="64" spans="1:13" x14ac:dyDescent="0.25">
      <c r="A64" s="44"/>
      <c r="B64" s="28" t="str">
        <f t="shared" si="7"/>
        <v/>
      </c>
      <c r="C64" s="29"/>
      <c r="D64" s="29"/>
      <c r="E64" s="29"/>
      <c r="F64" s="29"/>
      <c r="G64" s="115"/>
      <c r="H64" s="129">
        <v>59</v>
      </c>
      <c r="I64" s="130" t="str">
        <f t="shared" si="4"/>
        <v/>
      </c>
      <c r="J64" s="129">
        <f t="shared" si="5"/>
        <v>-3</v>
      </c>
      <c r="K64" s="129">
        <f t="shared" si="1"/>
        <v>-30</v>
      </c>
      <c r="L64" s="129"/>
      <c r="M64" s="131">
        <f t="shared" si="2"/>
        <v>0</v>
      </c>
    </row>
    <row r="65" spans="1:13" x14ac:dyDescent="0.25">
      <c r="A65" s="43"/>
      <c r="B65" s="34" t="str">
        <f t="shared" si="7"/>
        <v/>
      </c>
      <c r="C65" s="35"/>
      <c r="D65" s="35"/>
      <c r="E65" s="35"/>
      <c r="F65" s="35"/>
      <c r="G65" s="115"/>
      <c r="H65" s="132">
        <v>60</v>
      </c>
      <c r="I65" s="133" t="str">
        <f t="shared" si="4"/>
        <v/>
      </c>
      <c r="J65" s="132">
        <f t="shared" si="5"/>
        <v>-3</v>
      </c>
      <c r="K65" s="132">
        <f t="shared" si="1"/>
        <v>-30</v>
      </c>
      <c r="L65" s="132"/>
      <c r="M65" s="134">
        <f t="shared" si="2"/>
        <v>0</v>
      </c>
    </row>
    <row r="66" spans="1:13" x14ac:dyDescent="0.25">
      <c r="A66" s="145"/>
      <c r="B66" s="28"/>
      <c r="G66" s="115"/>
      <c r="H66" s="129">
        <v>61</v>
      </c>
      <c r="I66" s="130" t="str">
        <f t="shared" si="4"/>
        <v/>
      </c>
      <c r="J66" s="129">
        <f t="shared" si="5"/>
        <v>-3</v>
      </c>
      <c r="K66" s="129">
        <f t="shared" si="1"/>
        <v>-30</v>
      </c>
      <c r="L66" s="129"/>
      <c r="M66" s="131">
        <f t="shared" si="2"/>
        <v>0</v>
      </c>
    </row>
    <row r="67" spans="1:13" x14ac:dyDescent="0.25">
      <c r="A67" s="145"/>
      <c r="B67" s="34"/>
      <c r="G67" s="115"/>
      <c r="H67" s="129">
        <v>62</v>
      </c>
      <c r="I67" s="130" t="str">
        <f t="shared" si="4"/>
        <v/>
      </c>
      <c r="J67" s="129">
        <f t="shared" si="5"/>
        <v>-3</v>
      </c>
      <c r="K67" s="129">
        <f t="shared" si="1"/>
        <v>-30</v>
      </c>
      <c r="L67" s="129"/>
      <c r="M67" s="131">
        <f t="shared" si="2"/>
        <v>0</v>
      </c>
    </row>
    <row r="68" spans="1:13" x14ac:dyDescent="0.25">
      <c r="A68" s="145"/>
      <c r="B68" s="28"/>
      <c r="G68" s="115"/>
      <c r="H68" s="129">
        <v>63</v>
      </c>
      <c r="I68" s="130" t="str">
        <f t="shared" si="4"/>
        <v/>
      </c>
      <c r="J68" s="129">
        <f t="shared" si="5"/>
        <v>-3</v>
      </c>
      <c r="K68" s="129">
        <f t="shared" si="1"/>
        <v>-30</v>
      </c>
      <c r="L68" s="129"/>
      <c r="M68" s="131">
        <f t="shared" si="2"/>
        <v>0</v>
      </c>
    </row>
    <row r="69" spans="1:13" x14ac:dyDescent="0.25">
      <c r="A69" s="145"/>
      <c r="B69" s="34"/>
      <c r="G69" s="115"/>
      <c r="H69" s="129">
        <v>64</v>
      </c>
      <c r="I69" s="130" t="str">
        <f t="shared" si="4"/>
        <v/>
      </c>
      <c r="J69" s="129">
        <f t="shared" si="5"/>
        <v>-3</v>
      </c>
      <c r="K69" s="129">
        <f t="shared" si="1"/>
        <v>-30</v>
      </c>
      <c r="L69" s="129"/>
      <c r="M69" s="131">
        <f t="shared" si="2"/>
        <v>0</v>
      </c>
    </row>
    <row r="70" spans="1:13" x14ac:dyDescent="0.25">
      <c r="A70" s="145"/>
      <c r="G70" s="115"/>
      <c r="H70" s="129">
        <v>65</v>
      </c>
      <c r="I70" s="130" t="str">
        <f t="shared" si="4"/>
        <v/>
      </c>
      <c r="J70" s="129">
        <f t="shared" si="5"/>
        <v>-4</v>
      </c>
      <c r="K70" s="129">
        <f t="shared" ref="K70:K133" si="8">J70*$J$2</f>
        <v>-40</v>
      </c>
      <c r="L70" s="129"/>
      <c r="M70" s="131">
        <f t="shared" ref="M70:M133" si="9">IF(I70&lt;&gt;"",K70+I70+L70,0)</f>
        <v>0</v>
      </c>
    </row>
    <row r="71" spans="1:13" x14ac:dyDescent="0.25">
      <c r="A71" s="145"/>
      <c r="G71" s="115"/>
      <c r="H71" s="129">
        <v>66</v>
      </c>
      <c r="I71" s="130" t="str">
        <f t="shared" ref="I71:I134" si="10">IF(H71&lt;$H$2+1,($I$2-($I$2-1)*(LOG(H71)/LOG($H$2))),"")</f>
        <v/>
      </c>
      <c r="J71" s="129">
        <f t="shared" ref="J71:J134" si="11">INT(LOG($H$2,2))-ROUNDUP(LOG(H71,2),0)+IF(OR($H$2=1,$H$2=2,$H$2=4,$H$2=8,$H$2=16,$H$2=32,$H$2=64,$H$2=128,$H$2=256),0,1)</f>
        <v>-4</v>
      </c>
      <c r="K71" s="129">
        <f t="shared" si="8"/>
        <v>-40</v>
      </c>
      <c r="L71" s="129"/>
      <c r="M71" s="131">
        <f t="shared" si="9"/>
        <v>0</v>
      </c>
    </row>
    <row r="72" spans="1:13" x14ac:dyDescent="0.25">
      <c r="A72" s="145"/>
      <c r="G72" s="115"/>
      <c r="H72" s="129">
        <v>67</v>
      </c>
      <c r="I72" s="130" t="str">
        <f t="shared" si="10"/>
        <v/>
      </c>
      <c r="J72" s="129">
        <f t="shared" si="11"/>
        <v>-4</v>
      </c>
      <c r="K72" s="129">
        <f t="shared" si="8"/>
        <v>-40</v>
      </c>
      <c r="L72" s="129"/>
      <c r="M72" s="131">
        <f t="shared" si="9"/>
        <v>0</v>
      </c>
    </row>
    <row r="73" spans="1:13" x14ac:dyDescent="0.25">
      <c r="A73" s="145"/>
      <c r="G73" s="115"/>
      <c r="H73" s="129">
        <v>68</v>
      </c>
      <c r="I73" s="130" t="str">
        <f t="shared" si="10"/>
        <v/>
      </c>
      <c r="J73" s="129">
        <f t="shared" si="11"/>
        <v>-4</v>
      </c>
      <c r="K73" s="129">
        <f t="shared" si="8"/>
        <v>-40</v>
      </c>
      <c r="L73" s="129"/>
      <c r="M73" s="131">
        <f t="shared" si="9"/>
        <v>0</v>
      </c>
    </row>
    <row r="74" spans="1:13" x14ac:dyDescent="0.25">
      <c r="A74" s="145"/>
      <c r="G74" s="115"/>
      <c r="H74" s="129">
        <v>69</v>
      </c>
      <c r="I74" s="130" t="str">
        <f t="shared" si="10"/>
        <v/>
      </c>
      <c r="J74" s="129">
        <f t="shared" si="11"/>
        <v>-4</v>
      </c>
      <c r="K74" s="129">
        <f t="shared" si="8"/>
        <v>-40</v>
      </c>
      <c r="L74" s="129"/>
      <c r="M74" s="131">
        <f t="shared" si="9"/>
        <v>0</v>
      </c>
    </row>
    <row r="75" spans="1:13" x14ac:dyDescent="0.25">
      <c r="A75" s="145"/>
      <c r="G75" s="115"/>
      <c r="H75" s="129">
        <v>70</v>
      </c>
      <c r="I75" s="130" t="str">
        <f t="shared" si="10"/>
        <v/>
      </c>
      <c r="J75" s="129">
        <f t="shared" si="11"/>
        <v>-4</v>
      </c>
      <c r="K75" s="129">
        <f t="shared" si="8"/>
        <v>-40</v>
      </c>
      <c r="L75" s="129"/>
      <c r="M75" s="131">
        <f t="shared" si="9"/>
        <v>0</v>
      </c>
    </row>
    <row r="76" spans="1:13" x14ac:dyDescent="0.25">
      <c r="A76" s="145"/>
      <c r="G76" s="115"/>
      <c r="H76" s="129">
        <v>71</v>
      </c>
      <c r="I76" s="130" t="str">
        <f t="shared" si="10"/>
        <v/>
      </c>
      <c r="J76" s="129">
        <f t="shared" si="11"/>
        <v>-4</v>
      </c>
      <c r="K76" s="129">
        <f t="shared" si="8"/>
        <v>-40</v>
      </c>
      <c r="L76" s="129"/>
      <c r="M76" s="131">
        <f t="shared" si="9"/>
        <v>0</v>
      </c>
    </row>
    <row r="77" spans="1:13" x14ac:dyDescent="0.25">
      <c r="A77" s="145"/>
      <c r="G77" s="115"/>
      <c r="H77" s="129">
        <v>72</v>
      </c>
      <c r="I77" s="130" t="str">
        <f t="shared" si="10"/>
        <v/>
      </c>
      <c r="J77" s="129">
        <f t="shared" si="11"/>
        <v>-4</v>
      </c>
      <c r="K77" s="129">
        <f t="shared" si="8"/>
        <v>-40</v>
      </c>
      <c r="L77" s="129"/>
      <c r="M77" s="131">
        <f t="shared" si="9"/>
        <v>0</v>
      </c>
    </row>
    <row r="78" spans="1:13" x14ac:dyDescent="0.25">
      <c r="A78" s="145"/>
      <c r="G78" s="115"/>
      <c r="H78" s="129">
        <v>73</v>
      </c>
      <c r="I78" s="130" t="str">
        <f t="shared" si="10"/>
        <v/>
      </c>
      <c r="J78" s="129">
        <f t="shared" si="11"/>
        <v>-4</v>
      </c>
      <c r="K78" s="129">
        <f t="shared" si="8"/>
        <v>-40</v>
      </c>
      <c r="L78" s="129"/>
      <c r="M78" s="131">
        <f t="shared" si="9"/>
        <v>0</v>
      </c>
    </row>
    <row r="79" spans="1:13" x14ac:dyDescent="0.25">
      <c r="A79" s="145"/>
      <c r="G79" s="115"/>
      <c r="H79" s="129">
        <v>74</v>
      </c>
      <c r="I79" s="130" t="str">
        <f t="shared" si="10"/>
        <v/>
      </c>
      <c r="J79" s="129">
        <f t="shared" si="11"/>
        <v>-4</v>
      </c>
      <c r="K79" s="129">
        <f t="shared" si="8"/>
        <v>-40</v>
      </c>
      <c r="L79" s="129"/>
      <c r="M79" s="131">
        <f t="shared" si="9"/>
        <v>0</v>
      </c>
    </row>
    <row r="80" spans="1:13" x14ac:dyDescent="0.25">
      <c r="A80" s="145"/>
      <c r="G80" s="115"/>
      <c r="H80" s="129">
        <v>75</v>
      </c>
      <c r="I80" s="130" t="str">
        <f t="shared" si="10"/>
        <v/>
      </c>
      <c r="J80" s="129">
        <f t="shared" si="11"/>
        <v>-4</v>
      </c>
      <c r="K80" s="129">
        <f t="shared" si="8"/>
        <v>-40</v>
      </c>
      <c r="L80" s="129"/>
      <c r="M80" s="131">
        <f t="shared" si="9"/>
        <v>0</v>
      </c>
    </row>
    <row r="81" spans="1:13" x14ac:dyDescent="0.25">
      <c r="A81" s="145"/>
      <c r="G81" s="115"/>
      <c r="H81" s="129">
        <v>76</v>
      </c>
      <c r="I81" s="130" t="str">
        <f t="shared" si="10"/>
        <v/>
      </c>
      <c r="J81" s="129">
        <f t="shared" si="11"/>
        <v>-4</v>
      </c>
      <c r="K81" s="129">
        <f t="shared" si="8"/>
        <v>-40</v>
      </c>
      <c r="L81" s="129"/>
      <c r="M81" s="131">
        <f t="shared" si="9"/>
        <v>0</v>
      </c>
    </row>
    <row r="82" spans="1:13" x14ac:dyDescent="0.25">
      <c r="A82" s="145"/>
      <c r="G82" s="115"/>
      <c r="H82" s="129">
        <v>77</v>
      </c>
      <c r="I82" s="130" t="str">
        <f t="shared" si="10"/>
        <v/>
      </c>
      <c r="J82" s="129">
        <f t="shared" si="11"/>
        <v>-4</v>
      </c>
      <c r="K82" s="129">
        <f t="shared" si="8"/>
        <v>-40</v>
      </c>
      <c r="L82" s="129"/>
      <c r="M82" s="131">
        <f t="shared" si="9"/>
        <v>0</v>
      </c>
    </row>
    <row r="83" spans="1:13" x14ac:dyDescent="0.25">
      <c r="A83" s="145"/>
      <c r="G83" s="115"/>
      <c r="H83" s="129">
        <v>78</v>
      </c>
      <c r="I83" s="130" t="str">
        <f t="shared" si="10"/>
        <v/>
      </c>
      <c r="J83" s="129">
        <f t="shared" si="11"/>
        <v>-4</v>
      </c>
      <c r="K83" s="129">
        <f t="shared" si="8"/>
        <v>-40</v>
      </c>
      <c r="L83" s="129"/>
      <c r="M83" s="131">
        <f t="shared" si="9"/>
        <v>0</v>
      </c>
    </row>
    <row r="84" spans="1:13" x14ac:dyDescent="0.25">
      <c r="A84" s="145"/>
      <c r="G84" s="115"/>
      <c r="H84" s="129">
        <v>79</v>
      </c>
      <c r="I84" s="130" t="str">
        <f t="shared" si="10"/>
        <v/>
      </c>
      <c r="J84" s="129">
        <f t="shared" si="11"/>
        <v>-4</v>
      </c>
      <c r="K84" s="129">
        <f t="shared" si="8"/>
        <v>-40</v>
      </c>
      <c r="L84" s="129"/>
      <c r="M84" s="131">
        <f t="shared" si="9"/>
        <v>0</v>
      </c>
    </row>
    <row r="85" spans="1:13" x14ac:dyDescent="0.25">
      <c r="A85" s="145"/>
      <c r="G85" s="115"/>
      <c r="H85" s="129">
        <v>80</v>
      </c>
      <c r="I85" s="130" t="str">
        <f t="shared" si="10"/>
        <v/>
      </c>
      <c r="J85" s="129">
        <f t="shared" si="11"/>
        <v>-4</v>
      </c>
      <c r="K85" s="129">
        <f t="shared" si="8"/>
        <v>-40</v>
      </c>
      <c r="L85" s="129"/>
      <c r="M85" s="131">
        <f t="shared" si="9"/>
        <v>0</v>
      </c>
    </row>
    <row r="86" spans="1:13" x14ac:dyDescent="0.25">
      <c r="A86" s="145"/>
      <c r="G86" s="115"/>
      <c r="H86" s="129">
        <v>81</v>
      </c>
      <c r="I86" s="130" t="str">
        <f t="shared" si="10"/>
        <v/>
      </c>
      <c r="J86" s="129">
        <f t="shared" si="11"/>
        <v>-4</v>
      </c>
      <c r="K86" s="129">
        <f t="shared" si="8"/>
        <v>-40</v>
      </c>
      <c r="L86" s="129"/>
      <c r="M86" s="131">
        <f t="shared" si="9"/>
        <v>0</v>
      </c>
    </row>
    <row r="87" spans="1:13" x14ac:dyDescent="0.25">
      <c r="A87" s="145"/>
      <c r="G87" s="115"/>
      <c r="H87" s="129">
        <v>82</v>
      </c>
      <c r="I87" s="130" t="str">
        <f t="shared" si="10"/>
        <v/>
      </c>
      <c r="J87" s="129">
        <f t="shared" si="11"/>
        <v>-4</v>
      </c>
      <c r="K87" s="129">
        <f t="shared" si="8"/>
        <v>-40</v>
      </c>
      <c r="L87" s="129"/>
      <c r="M87" s="131">
        <f t="shared" si="9"/>
        <v>0</v>
      </c>
    </row>
    <row r="88" spans="1:13" x14ac:dyDescent="0.25">
      <c r="A88" s="145"/>
      <c r="G88" s="115"/>
      <c r="H88" s="129">
        <v>83</v>
      </c>
      <c r="I88" s="130" t="str">
        <f t="shared" si="10"/>
        <v/>
      </c>
      <c r="J88" s="129">
        <f t="shared" si="11"/>
        <v>-4</v>
      </c>
      <c r="K88" s="129">
        <f t="shared" si="8"/>
        <v>-40</v>
      </c>
      <c r="L88" s="129"/>
      <c r="M88" s="131">
        <f t="shared" si="9"/>
        <v>0</v>
      </c>
    </row>
    <row r="89" spans="1:13" x14ac:dyDescent="0.25">
      <c r="A89" s="145"/>
      <c r="G89" s="115"/>
      <c r="H89" s="129">
        <v>84</v>
      </c>
      <c r="I89" s="130" t="str">
        <f t="shared" si="10"/>
        <v/>
      </c>
      <c r="J89" s="129">
        <f t="shared" si="11"/>
        <v>-4</v>
      </c>
      <c r="K89" s="129">
        <f t="shared" si="8"/>
        <v>-40</v>
      </c>
      <c r="L89" s="129"/>
      <c r="M89" s="131">
        <f t="shared" si="9"/>
        <v>0</v>
      </c>
    </row>
    <row r="90" spans="1:13" x14ac:dyDescent="0.25">
      <c r="A90" s="145"/>
      <c r="G90" s="115"/>
      <c r="H90" s="129">
        <v>85</v>
      </c>
      <c r="I90" s="130" t="str">
        <f t="shared" si="10"/>
        <v/>
      </c>
      <c r="J90" s="129">
        <f t="shared" si="11"/>
        <v>-4</v>
      </c>
      <c r="K90" s="129">
        <f t="shared" si="8"/>
        <v>-40</v>
      </c>
      <c r="L90" s="129"/>
      <c r="M90" s="131">
        <f t="shared" si="9"/>
        <v>0</v>
      </c>
    </row>
    <row r="91" spans="1:13" x14ac:dyDescent="0.25">
      <c r="A91" s="145"/>
      <c r="G91" s="115"/>
      <c r="H91" s="129">
        <v>86</v>
      </c>
      <c r="I91" s="130" t="str">
        <f t="shared" si="10"/>
        <v/>
      </c>
      <c r="J91" s="129">
        <f t="shared" si="11"/>
        <v>-4</v>
      </c>
      <c r="K91" s="129">
        <f t="shared" si="8"/>
        <v>-40</v>
      </c>
      <c r="L91" s="129"/>
      <c r="M91" s="131">
        <f t="shared" si="9"/>
        <v>0</v>
      </c>
    </row>
    <row r="92" spans="1:13" x14ac:dyDescent="0.25">
      <c r="A92" s="145"/>
      <c r="G92" s="115"/>
      <c r="H92" s="129">
        <v>87</v>
      </c>
      <c r="I92" s="130" t="str">
        <f t="shared" si="10"/>
        <v/>
      </c>
      <c r="J92" s="129">
        <f t="shared" si="11"/>
        <v>-4</v>
      </c>
      <c r="K92" s="129">
        <f t="shared" si="8"/>
        <v>-40</v>
      </c>
      <c r="L92" s="129"/>
      <c r="M92" s="131">
        <f t="shared" si="9"/>
        <v>0</v>
      </c>
    </row>
    <row r="93" spans="1:13" x14ac:dyDescent="0.25">
      <c r="A93" s="145"/>
      <c r="G93" s="115"/>
      <c r="H93" s="129">
        <v>88</v>
      </c>
      <c r="I93" s="130" t="str">
        <f t="shared" si="10"/>
        <v/>
      </c>
      <c r="J93" s="129">
        <f t="shared" si="11"/>
        <v>-4</v>
      </c>
      <c r="K93" s="129">
        <f t="shared" si="8"/>
        <v>-40</v>
      </c>
      <c r="L93" s="129"/>
      <c r="M93" s="131">
        <f t="shared" si="9"/>
        <v>0</v>
      </c>
    </row>
    <row r="94" spans="1:13" x14ac:dyDescent="0.25">
      <c r="A94" s="145"/>
      <c r="G94" s="115"/>
      <c r="H94" s="129">
        <v>89</v>
      </c>
      <c r="I94" s="130" t="str">
        <f t="shared" si="10"/>
        <v/>
      </c>
      <c r="J94" s="129">
        <f t="shared" si="11"/>
        <v>-4</v>
      </c>
      <c r="K94" s="129">
        <f t="shared" si="8"/>
        <v>-40</v>
      </c>
      <c r="L94" s="129"/>
      <c r="M94" s="131">
        <f t="shared" si="9"/>
        <v>0</v>
      </c>
    </row>
    <row r="95" spans="1:13" x14ac:dyDescent="0.25">
      <c r="A95" s="145"/>
      <c r="G95" s="115"/>
      <c r="H95" s="129">
        <v>90</v>
      </c>
      <c r="I95" s="130" t="str">
        <f t="shared" si="10"/>
        <v/>
      </c>
      <c r="J95" s="129">
        <f t="shared" si="11"/>
        <v>-4</v>
      </c>
      <c r="K95" s="129">
        <f t="shared" si="8"/>
        <v>-40</v>
      </c>
      <c r="L95" s="129"/>
      <c r="M95" s="131">
        <f t="shared" si="9"/>
        <v>0</v>
      </c>
    </row>
    <row r="96" spans="1:13" x14ac:dyDescent="0.25">
      <c r="A96" s="145"/>
      <c r="G96" s="115"/>
      <c r="H96" s="129">
        <v>91</v>
      </c>
      <c r="I96" s="130" t="str">
        <f t="shared" si="10"/>
        <v/>
      </c>
      <c r="J96" s="129">
        <f t="shared" si="11"/>
        <v>-4</v>
      </c>
      <c r="K96" s="129">
        <f t="shared" si="8"/>
        <v>-40</v>
      </c>
      <c r="L96" s="129"/>
      <c r="M96" s="131">
        <f t="shared" si="9"/>
        <v>0</v>
      </c>
    </row>
    <row r="97" spans="1:13" x14ac:dyDescent="0.25">
      <c r="A97" s="145"/>
      <c r="G97" s="115"/>
      <c r="H97" s="129">
        <v>92</v>
      </c>
      <c r="I97" s="130" t="str">
        <f t="shared" si="10"/>
        <v/>
      </c>
      <c r="J97" s="129">
        <f t="shared" si="11"/>
        <v>-4</v>
      </c>
      <c r="K97" s="129">
        <f t="shared" si="8"/>
        <v>-40</v>
      </c>
      <c r="L97" s="129"/>
      <c r="M97" s="131">
        <f t="shared" si="9"/>
        <v>0</v>
      </c>
    </row>
    <row r="98" spans="1:13" x14ac:dyDescent="0.25">
      <c r="A98" s="145"/>
      <c r="G98" s="115"/>
      <c r="H98" s="129">
        <v>93</v>
      </c>
      <c r="I98" s="130" t="str">
        <f t="shared" si="10"/>
        <v/>
      </c>
      <c r="J98" s="129">
        <f t="shared" si="11"/>
        <v>-4</v>
      </c>
      <c r="K98" s="129">
        <f t="shared" si="8"/>
        <v>-40</v>
      </c>
      <c r="L98" s="129"/>
      <c r="M98" s="131">
        <f t="shared" si="9"/>
        <v>0</v>
      </c>
    </row>
    <row r="99" spans="1:13" x14ac:dyDescent="0.25">
      <c r="A99" s="145"/>
      <c r="G99" s="115"/>
      <c r="H99" s="129">
        <v>94</v>
      </c>
      <c r="I99" s="130" t="str">
        <f t="shared" si="10"/>
        <v/>
      </c>
      <c r="J99" s="129">
        <f t="shared" si="11"/>
        <v>-4</v>
      </c>
      <c r="K99" s="129">
        <f t="shared" si="8"/>
        <v>-40</v>
      </c>
      <c r="L99" s="129"/>
      <c r="M99" s="131">
        <f t="shared" si="9"/>
        <v>0</v>
      </c>
    </row>
    <row r="100" spans="1:13" x14ac:dyDescent="0.25">
      <c r="A100" s="145"/>
      <c r="G100" s="115"/>
      <c r="H100" s="129">
        <v>95</v>
      </c>
      <c r="I100" s="130" t="str">
        <f t="shared" si="10"/>
        <v/>
      </c>
      <c r="J100" s="129">
        <f t="shared" si="11"/>
        <v>-4</v>
      </c>
      <c r="K100" s="129">
        <f t="shared" si="8"/>
        <v>-40</v>
      </c>
      <c r="L100" s="129"/>
      <c r="M100" s="131">
        <f t="shared" si="9"/>
        <v>0</v>
      </c>
    </row>
    <row r="101" spans="1:13" x14ac:dyDescent="0.25">
      <c r="A101" s="145"/>
      <c r="G101" s="115"/>
      <c r="H101" s="129">
        <v>96</v>
      </c>
      <c r="I101" s="130" t="str">
        <f t="shared" si="10"/>
        <v/>
      </c>
      <c r="J101" s="129">
        <f t="shared" si="11"/>
        <v>-4</v>
      </c>
      <c r="K101" s="129">
        <f t="shared" si="8"/>
        <v>-40</v>
      </c>
      <c r="L101" s="129"/>
      <c r="M101" s="131">
        <f t="shared" si="9"/>
        <v>0</v>
      </c>
    </row>
    <row r="102" spans="1:13" x14ac:dyDescent="0.25">
      <c r="A102" s="145"/>
      <c r="G102" s="115"/>
      <c r="H102" s="129">
        <v>97</v>
      </c>
      <c r="I102" s="130" t="str">
        <f t="shared" si="10"/>
        <v/>
      </c>
      <c r="J102" s="129">
        <f t="shared" si="11"/>
        <v>-4</v>
      </c>
      <c r="K102" s="129">
        <f t="shared" si="8"/>
        <v>-40</v>
      </c>
      <c r="L102" s="129"/>
      <c r="M102" s="131">
        <f t="shared" si="9"/>
        <v>0</v>
      </c>
    </row>
    <row r="103" spans="1:13" x14ac:dyDescent="0.25">
      <c r="A103" s="145"/>
      <c r="G103" s="115"/>
      <c r="H103" s="129">
        <v>98</v>
      </c>
      <c r="I103" s="130" t="str">
        <f t="shared" si="10"/>
        <v/>
      </c>
      <c r="J103" s="129">
        <f t="shared" si="11"/>
        <v>-4</v>
      </c>
      <c r="K103" s="129">
        <f t="shared" si="8"/>
        <v>-40</v>
      </c>
      <c r="L103" s="129"/>
      <c r="M103" s="131">
        <f t="shared" si="9"/>
        <v>0</v>
      </c>
    </row>
    <row r="104" spans="1:13" x14ac:dyDescent="0.25">
      <c r="A104" s="145"/>
      <c r="G104" s="115"/>
      <c r="H104" s="129">
        <v>99</v>
      </c>
      <c r="I104" s="130" t="str">
        <f t="shared" si="10"/>
        <v/>
      </c>
      <c r="J104" s="129">
        <f t="shared" si="11"/>
        <v>-4</v>
      </c>
      <c r="K104" s="129">
        <f t="shared" si="8"/>
        <v>-40</v>
      </c>
      <c r="L104" s="129"/>
      <c r="M104" s="131">
        <f t="shared" si="9"/>
        <v>0</v>
      </c>
    </row>
    <row r="105" spans="1:13" x14ac:dyDescent="0.25">
      <c r="A105" s="145"/>
      <c r="G105" s="115"/>
      <c r="H105" s="129">
        <v>100</v>
      </c>
      <c r="I105" s="130" t="str">
        <f t="shared" si="10"/>
        <v/>
      </c>
      <c r="J105" s="129">
        <f t="shared" si="11"/>
        <v>-4</v>
      </c>
      <c r="K105" s="129">
        <f t="shared" si="8"/>
        <v>-40</v>
      </c>
      <c r="L105" s="129"/>
      <c r="M105" s="131">
        <f t="shared" si="9"/>
        <v>0</v>
      </c>
    </row>
    <row r="106" spans="1:13" x14ac:dyDescent="0.25">
      <c r="A106" s="145"/>
      <c r="G106" s="115"/>
      <c r="H106" s="129">
        <v>101</v>
      </c>
      <c r="I106" s="130" t="str">
        <f t="shared" si="10"/>
        <v/>
      </c>
      <c r="J106" s="129">
        <f t="shared" si="11"/>
        <v>-4</v>
      </c>
      <c r="K106" s="129">
        <f t="shared" si="8"/>
        <v>-40</v>
      </c>
      <c r="L106" s="129"/>
      <c r="M106" s="131">
        <f t="shared" si="9"/>
        <v>0</v>
      </c>
    </row>
    <row r="107" spans="1:13" x14ac:dyDescent="0.25">
      <c r="A107" s="145"/>
      <c r="G107" s="115"/>
      <c r="H107" s="129">
        <v>102</v>
      </c>
      <c r="I107" s="130" t="str">
        <f t="shared" si="10"/>
        <v/>
      </c>
      <c r="J107" s="129">
        <f t="shared" si="11"/>
        <v>-4</v>
      </c>
      <c r="K107" s="129">
        <f t="shared" si="8"/>
        <v>-40</v>
      </c>
      <c r="L107" s="129"/>
      <c r="M107" s="131">
        <f t="shared" si="9"/>
        <v>0</v>
      </c>
    </row>
    <row r="108" spans="1:13" x14ac:dyDescent="0.25">
      <c r="A108" s="145"/>
      <c r="G108" s="115"/>
      <c r="H108" s="129">
        <v>103</v>
      </c>
      <c r="I108" s="130" t="str">
        <f t="shared" si="10"/>
        <v/>
      </c>
      <c r="J108" s="129">
        <f t="shared" si="11"/>
        <v>-4</v>
      </c>
      <c r="K108" s="129">
        <f t="shared" si="8"/>
        <v>-40</v>
      </c>
      <c r="L108" s="129"/>
      <c r="M108" s="131">
        <f t="shared" si="9"/>
        <v>0</v>
      </c>
    </row>
    <row r="109" spans="1:13" x14ac:dyDescent="0.25">
      <c r="A109" s="145"/>
      <c r="G109" s="115"/>
      <c r="H109" s="129">
        <v>104</v>
      </c>
      <c r="I109" s="130" t="str">
        <f t="shared" si="10"/>
        <v/>
      </c>
      <c r="J109" s="129">
        <f t="shared" si="11"/>
        <v>-4</v>
      </c>
      <c r="K109" s="129">
        <f t="shared" si="8"/>
        <v>-40</v>
      </c>
      <c r="L109" s="129"/>
      <c r="M109" s="131">
        <f t="shared" si="9"/>
        <v>0</v>
      </c>
    </row>
    <row r="110" spans="1:13" x14ac:dyDescent="0.25">
      <c r="A110" s="145"/>
      <c r="G110" s="115"/>
      <c r="H110" s="129">
        <v>105</v>
      </c>
      <c r="I110" s="130" t="str">
        <f t="shared" si="10"/>
        <v/>
      </c>
      <c r="J110" s="129">
        <f t="shared" si="11"/>
        <v>-4</v>
      </c>
      <c r="K110" s="129">
        <f t="shared" si="8"/>
        <v>-40</v>
      </c>
      <c r="L110" s="129"/>
      <c r="M110" s="131">
        <f t="shared" si="9"/>
        <v>0</v>
      </c>
    </row>
    <row r="111" spans="1:13" x14ac:dyDescent="0.25">
      <c r="A111" s="145"/>
      <c r="G111" s="115"/>
      <c r="H111" s="129">
        <v>106</v>
      </c>
      <c r="I111" s="130" t="str">
        <f t="shared" si="10"/>
        <v/>
      </c>
      <c r="J111" s="129">
        <f t="shared" si="11"/>
        <v>-4</v>
      </c>
      <c r="K111" s="129">
        <f t="shared" si="8"/>
        <v>-40</v>
      </c>
      <c r="L111" s="129"/>
      <c r="M111" s="131">
        <f t="shared" si="9"/>
        <v>0</v>
      </c>
    </row>
    <row r="112" spans="1:13" x14ac:dyDescent="0.25">
      <c r="A112" s="145"/>
      <c r="G112" s="115"/>
      <c r="H112" s="129">
        <v>107</v>
      </c>
      <c r="I112" s="130" t="str">
        <f t="shared" si="10"/>
        <v/>
      </c>
      <c r="J112" s="129">
        <f t="shared" si="11"/>
        <v>-4</v>
      </c>
      <c r="K112" s="129">
        <f t="shared" si="8"/>
        <v>-40</v>
      </c>
      <c r="L112" s="129"/>
      <c r="M112" s="131">
        <f t="shared" si="9"/>
        <v>0</v>
      </c>
    </row>
    <row r="113" spans="1:13" x14ac:dyDescent="0.25">
      <c r="A113" s="145"/>
      <c r="G113" s="115"/>
      <c r="H113" s="129">
        <v>108</v>
      </c>
      <c r="I113" s="130" t="str">
        <f t="shared" si="10"/>
        <v/>
      </c>
      <c r="J113" s="129">
        <f t="shared" si="11"/>
        <v>-4</v>
      </c>
      <c r="K113" s="129">
        <f t="shared" si="8"/>
        <v>-40</v>
      </c>
      <c r="L113" s="129"/>
      <c r="M113" s="131">
        <f t="shared" si="9"/>
        <v>0</v>
      </c>
    </row>
    <row r="114" spans="1:13" x14ac:dyDescent="0.25">
      <c r="A114" s="145"/>
      <c r="G114" s="115"/>
      <c r="H114" s="129">
        <v>109</v>
      </c>
      <c r="I114" s="130" t="str">
        <f t="shared" si="10"/>
        <v/>
      </c>
      <c r="J114" s="129">
        <f t="shared" si="11"/>
        <v>-4</v>
      </c>
      <c r="K114" s="129">
        <f t="shared" si="8"/>
        <v>-40</v>
      </c>
      <c r="L114" s="129"/>
      <c r="M114" s="131">
        <f t="shared" si="9"/>
        <v>0</v>
      </c>
    </row>
    <row r="115" spans="1:13" x14ac:dyDescent="0.25">
      <c r="A115" s="145"/>
      <c r="G115" s="115"/>
      <c r="H115" s="129">
        <v>110</v>
      </c>
      <c r="I115" s="130" t="str">
        <f t="shared" si="10"/>
        <v/>
      </c>
      <c r="J115" s="129">
        <f t="shared" si="11"/>
        <v>-4</v>
      </c>
      <c r="K115" s="129">
        <f t="shared" si="8"/>
        <v>-40</v>
      </c>
      <c r="L115" s="129"/>
      <c r="M115" s="131">
        <f t="shared" si="9"/>
        <v>0</v>
      </c>
    </row>
    <row r="116" spans="1:13" x14ac:dyDescent="0.25">
      <c r="A116" s="145"/>
      <c r="G116" s="115"/>
      <c r="H116" s="129">
        <v>111</v>
      </c>
      <c r="I116" s="130" t="str">
        <f t="shared" si="10"/>
        <v/>
      </c>
      <c r="J116" s="129">
        <f t="shared" si="11"/>
        <v>-4</v>
      </c>
      <c r="K116" s="129">
        <f t="shared" si="8"/>
        <v>-40</v>
      </c>
      <c r="L116" s="129"/>
      <c r="M116" s="131">
        <f t="shared" si="9"/>
        <v>0</v>
      </c>
    </row>
    <row r="117" spans="1:13" x14ac:dyDescent="0.25">
      <c r="A117" s="145"/>
      <c r="G117" s="115"/>
      <c r="H117" s="129">
        <v>112</v>
      </c>
      <c r="I117" s="130" t="str">
        <f t="shared" si="10"/>
        <v/>
      </c>
      <c r="J117" s="129">
        <f t="shared" si="11"/>
        <v>-4</v>
      </c>
      <c r="K117" s="129">
        <f t="shared" si="8"/>
        <v>-40</v>
      </c>
      <c r="L117" s="129"/>
      <c r="M117" s="131">
        <f t="shared" si="9"/>
        <v>0</v>
      </c>
    </row>
    <row r="118" spans="1:13" x14ac:dyDescent="0.25">
      <c r="A118" s="145"/>
      <c r="G118" s="115"/>
      <c r="H118" s="129">
        <v>113</v>
      </c>
      <c r="I118" s="130" t="str">
        <f t="shared" si="10"/>
        <v/>
      </c>
      <c r="J118" s="129">
        <f t="shared" si="11"/>
        <v>-4</v>
      </c>
      <c r="K118" s="129">
        <f t="shared" si="8"/>
        <v>-40</v>
      </c>
      <c r="L118" s="129"/>
      <c r="M118" s="131">
        <f t="shared" si="9"/>
        <v>0</v>
      </c>
    </row>
    <row r="119" spans="1:13" x14ac:dyDescent="0.25">
      <c r="A119" s="145"/>
      <c r="G119" s="115"/>
      <c r="H119" s="129">
        <v>114</v>
      </c>
      <c r="I119" s="130" t="str">
        <f t="shared" si="10"/>
        <v/>
      </c>
      <c r="J119" s="129">
        <f t="shared" si="11"/>
        <v>-4</v>
      </c>
      <c r="K119" s="129">
        <f t="shared" si="8"/>
        <v>-40</v>
      </c>
      <c r="L119" s="129"/>
      <c r="M119" s="131">
        <f t="shared" si="9"/>
        <v>0</v>
      </c>
    </row>
    <row r="120" spans="1:13" x14ac:dyDescent="0.25">
      <c r="A120" s="145"/>
      <c r="G120" s="115"/>
      <c r="H120" s="129">
        <v>115</v>
      </c>
      <c r="I120" s="130" t="str">
        <f t="shared" si="10"/>
        <v/>
      </c>
      <c r="J120" s="129">
        <f t="shared" si="11"/>
        <v>-4</v>
      </c>
      <c r="K120" s="129">
        <f t="shared" si="8"/>
        <v>-40</v>
      </c>
      <c r="L120" s="129"/>
      <c r="M120" s="131">
        <f t="shared" si="9"/>
        <v>0</v>
      </c>
    </row>
    <row r="121" spans="1:13" x14ac:dyDescent="0.25">
      <c r="A121" s="145"/>
      <c r="G121" s="115"/>
      <c r="H121" s="129">
        <v>116</v>
      </c>
      <c r="I121" s="130" t="str">
        <f t="shared" si="10"/>
        <v/>
      </c>
      <c r="J121" s="129">
        <f t="shared" si="11"/>
        <v>-4</v>
      </c>
      <c r="K121" s="129">
        <f t="shared" si="8"/>
        <v>-40</v>
      </c>
      <c r="L121" s="129"/>
      <c r="M121" s="131">
        <f t="shared" si="9"/>
        <v>0</v>
      </c>
    </row>
    <row r="122" spans="1:13" x14ac:dyDescent="0.25">
      <c r="A122" s="145"/>
      <c r="G122" s="115"/>
      <c r="H122" s="129">
        <v>117</v>
      </c>
      <c r="I122" s="130" t="str">
        <f t="shared" si="10"/>
        <v/>
      </c>
      <c r="J122" s="129">
        <f t="shared" si="11"/>
        <v>-4</v>
      </c>
      <c r="K122" s="129">
        <f t="shared" si="8"/>
        <v>-40</v>
      </c>
      <c r="L122" s="129"/>
      <c r="M122" s="131">
        <f t="shared" si="9"/>
        <v>0</v>
      </c>
    </row>
    <row r="123" spans="1:13" x14ac:dyDescent="0.25">
      <c r="A123" s="145"/>
      <c r="G123" s="115"/>
      <c r="H123" s="129">
        <v>118</v>
      </c>
      <c r="I123" s="130" t="str">
        <f t="shared" si="10"/>
        <v/>
      </c>
      <c r="J123" s="129">
        <f t="shared" si="11"/>
        <v>-4</v>
      </c>
      <c r="K123" s="129">
        <f t="shared" si="8"/>
        <v>-40</v>
      </c>
      <c r="L123" s="129"/>
      <c r="M123" s="131">
        <f t="shared" si="9"/>
        <v>0</v>
      </c>
    </row>
    <row r="124" spans="1:13" x14ac:dyDescent="0.25">
      <c r="A124" s="145"/>
      <c r="G124" s="115"/>
      <c r="H124" s="129">
        <v>119</v>
      </c>
      <c r="I124" s="130" t="str">
        <f t="shared" si="10"/>
        <v/>
      </c>
      <c r="J124" s="129">
        <f t="shared" si="11"/>
        <v>-4</v>
      </c>
      <c r="K124" s="129">
        <f t="shared" si="8"/>
        <v>-40</v>
      </c>
      <c r="L124" s="129"/>
      <c r="M124" s="131">
        <f t="shared" si="9"/>
        <v>0</v>
      </c>
    </row>
    <row r="125" spans="1:13" x14ac:dyDescent="0.25">
      <c r="A125" s="145"/>
      <c r="G125" s="115"/>
      <c r="H125" s="129">
        <v>120</v>
      </c>
      <c r="I125" s="130" t="str">
        <f t="shared" si="10"/>
        <v/>
      </c>
      <c r="J125" s="129">
        <f t="shared" si="11"/>
        <v>-4</v>
      </c>
      <c r="K125" s="129">
        <f t="shared" si="8"/>
        <v>-40</v>
      </c>
      <c r="L125" s="129"/>
      <c r="M125" s="131">
        <f t="shared" si="9"/>
        <v>0</v>
      </c>
    </row>
    <row r="126" spans="1:13" x14ac:dyDescent="0.25">
      <c r="A126" s="145"/>
      <c r="G126" s="115"/>
      <c r="H126" s="129">
        <v>121</v>
      </c>
      <c r="I126" s="130" t="str">
        <f t="shared" si="10"/>
        <v/>
      </c>
      <c r="J126" s="129">
        <f t="shared" si="11"/>
        <v>-4</v>
      </c>
      <c r="K126" s="129">
        <f t="shared" si="8"/>
        <v>-40</v>
      </c>
      <c r="L126" s="129"/>
      <c r="M126" s="131">
        <f t="shared" si="9"/>
        <v>0</v>
      </c>
    </row>
    <row r="127" spans="1:13" x14ac:dyDescent="0.25">
      <c r="A127" s="145"/>
      <c r="G127" s="115"/>
      <c r="H127" s="129">
        <v>122</v>
      </c>
      <c r="I127" s="130" t="str">
        <f t="shared" si="10"/>
        <v/>
      </c>
      <c r="J127" s="129">
        <f t="shared" si="11"/>
        <v>-4</v>
      </c>
      <c r="K127" s="129">
        <f t="shared" si="8"/>
        <v>-40</v>
      </c>
      <c r="L127" s="129"/>
      <c r="M127" s="131">
        <f t="shared" si="9"/>
        <v>0</v>
      </c>
    </row>
    <row r="128" spans="1:13" x14ac:dyDescent="0.25">
      <c r="A128" s="145"/>
      <c r="G128" s="115"/>
      <c r="H128" s="129">
        <v>123</v>
      </c>
      <c r="I128" s="130" t="str">
        <f t="shared" si="10"/>
        <v/>
      </c>
      <c r="J128" s="129">
        <f t="shared" si="11"/>
        <v>-4</v>
      </c>
      <c r="K128" s="129">
        <f t="shared" si="8"/>
        <v>-40</v>
      </c>
      <c r="L128" s="129"/>
      <c r="M128" s="131">
        <f t="shared" si="9"/>
        <v>0</v>
      </c>
    </row>
    <row r="129" spans="1:13" x14ac:dyDescent="0.25">
      <c r="A129" s="145"/>
      <c r="G129" s="115"/>
      <c r="H129" s="129">
        <v>124</v>
      </c>
      <c r="I129" s="130" t="str">
        <f t="shared" si="10"/>
        <v/>
      </c>
      <c r="J129" s="129">
        <f t="shared" si="11"/>
        <v>-4</v>
      </c>
      <c r="K129" s="129">
        <f t="shared" si="8"/>
        <v>-40</v>
      </c>
      <c r="L129" s="129"/>
      <c r="M129" s="131">
        <f t="shared" si="9"/>
        <v>0</v>
      </c>
    </row>
    <row r="130" spans="1:13" x14ac:dyDescent="0.25">
      <c r="A130" s="145"/>
      <c r="G130" s="115"/>
      <c r="H130" s="129">
        <v>125</v>
      </c>
      <c r="I130" s="130" t="str">
        <f t="shared" si="10"/>
        <v/>
      </c>
      <c r="J130" s="129">
        <f t="shared" si="11"/>
        <v>-4</v>
      </c>
      <c r="K130" s="129">
        <f t="shared" si="8"/>
        <v>-40</v>
      </c>
      <c r="L130" s="129"/>
      <c r="M130" s="131">
        <f t="shared" si="9"/>
        <v>0</v>
      </c>
    </row>
    <row r="131" spans="1:13" x14ac:dyDescent="0.25">
      <c r="A131" s="145"/>
      <c r="G131" s="115"/>
      <c r="H131" s="129">
        <v>126</v>
      </c>
      <c r="I131" s="130" t="str">
        <f t="shared" si="10"/>
        <v/>
      </c>
      <c r="J131" s="129">
        <f t="shared" si="11"/>
        <v>-4</v>
      </c>
      <c r="K131" s="129">
        <f t="shared" si="8"/>
        <v>-40</v>
      </c>
      <c r="L131" s="129"/>
      <c r="M131" s="131">
        <f t="shared" si="9"/>
        <v>0</v>
      </c>
    </row>
    <row r="132" spans="1:13" x14ac:dyDescent="0.25">
      <c r="A132" s="145"/>
      <c r="G132" s="115"/>
      <c r="H132" s="129">
        <v>127</v>
      </c>
      <c r="I132" s="130" t="str">
        <f t="shared" si="10"/>
        <v/>
      </c>
      <c r="J132" s="129">
        <f t="shared" si="11"/>
        <v>-4</v>
      </c>
      <c r="K132" s="129">
        <f t="shared" si="8"/>
        <v>-40</v>
      </c>
      <c r="L132" s="129"/>
      <c r="M132" s="131">
        <f t="shared" si="9"/>
        <v>0</v>
      </c>
    </row>
    <row r="133" spans="1:13" x14ac:dyDescent="0.25">
      <c r="A133" s="145"/>
      <c r="G133" s="115"/>
      <c r="H133" s="129">
        <v>128</v>
      </c>
      <c r="I133" s="130" t="str">
        <f t="shared" si="10"/>
        <v/>
      </c>
      <c r="J133" s="129">
        <f t="shared" si="11"/>
        <v>-4</v>
      </c>
      <c r="K133" s="129">
        <f t="shared" si="8"/>
        <v>-40</v>
      </c>
      <c r="L133" s="129"/>
      <c r="M133" s="131">
        <f t="shared" si="9"/>
        <v>0</v>
      </c>
    </row>
    <row r="134" spans="1:13" x14ac:dyDescent="0.25">
      <c r="A134" s="145"/>
      <c r="G134" s="115"/>
      <c r="H134" s="129">
        <v>129</v>
      </c>
      <c r="I134" s="130" t="str">
        <f t="shared" si="10"/>
        <v/>
      </c>
      <c r="J134" s="129">
        <f t="shared" si="11"/>
        <v>-5</v>
      </c>
      <c r="K134" s="129">
        <f t="shared" ref="K134:K197" si="12">J134*$J$2</f>
        <v>-50</v>
      </c>
      <c r="L134" s="129"/>
      <c r="M134" s="131">
        <f t="shared" ref="M134:M197" si="13">IF(I134&lt;&gt;"",K134+I134+L134,0)</f>
        <v>0</v>
      </c>
    </row>
    <row r="135" spans="1:13" x14ac:dyDescent="0.25">
      <c r="A135" s="145"/>
      <c r="G135" s="115"/>
      <c r="H135" s="129">
        <v>130</v>
      </c>
      <c r="I135" s="130" t="str">
        <f t="shared" ref="I135:I198" si="14">IF(H135&lt;$H$2+1,($I$2-($I$2-1)*(LOG(H135)/LOG($H$2))),"")</f>
        <v/>
      </c>
      <c r="J135" s="129">
        <f t="shared" ref="J135:J198" si="15">INT(LOG($H$2,2))-ROUNDUP(LOG(H135,2),0)+IF(OR($H$2=1,$H$2=2,$H$2=4,$H$2=8,$H$2=16,$H$2=32,$H$2=64,$H$2=128,$H$2=256),0,1)</f>
        <v>-5</v>
      </c>
      <c r="K135" s="129">
        <f t="shared" si="12"/>
        <v>-50</v>
      </c>
      <c r="L135" s="129"/>
      <c r="M135" s="131">
        <f t="shared" si="13"/>
        <v>0</v>
      </c>
    </row>
    <row r="136" spans="1:13" x14ac:dyDescent="0.25">
      <c r="A136" s="145"/>
      <c r="G136" s="115"/>
      <c r="H136" s="129">
        <v>131</v>
      </c>
      <c r="I136" s="130" t="str">
        <f t="shared" si="14"/>
        <v/>
      </c>
      <c r="J136" s="129">
        <f t="shared" si="15"/>
        <v>-5</v>
      </c>
      <c r="K136" s="129">
        <f t="shared" si="12"/>
        <v>-50</v>
      </c>
      <c r="L136" s="129"/>
      <c r="M136" s="131">
        <f t="shared" si="13"/>
        <v>0</v>
      </c>
    </row>
    <row r="137" spans="1:13" x14ac:dyDescent="0.25">
      <c r="A137" s="145"/>
      <c r="G137" s="115"/>
      <c r="H137" s="129">
        <v>132</v>
      </c>
      <c r="I137" s="130" t="str">
        <f t="shared" si="14"/>
        <v/>
      </c>
      <c r="J137" s="129">
        <f t="shared" si="15"/>
        <v>-5</v>
      </c>
      <c r="K137" s="129">
        <f t="shared" si="12"/>
        <v>-50</v>
      </c>
      <c r="L137" s="129"/>
      <c r="M137" s="131">
        <f t="shared" si="13"/>
        <v>0</v>
      </c>
    </row>
    <row r="138" spans="1:13" x14ac:dyDescent="0.25">
      <c r="A138" s="145"/>
      <c r="G138" s="115"/>
      <c r="H138" s="129">
        <v>133</v>
      </c>
      <c r="I138" s="130" t="str">
        <f t="shared" si="14"/>
        <v/>
      </c>
      <c r="J138" s="129">
        <f t="shared" si="15"/>
        <v>-5</v>
      </c>
      <c r="K138" s="129">
        <f t="shared" si="12"/>
        <v>-50</v>
      </c>
      <c r="L138" s="129"/>
      <c r="M138" s="131">
        <f t="shared" si="13"/>
        <v>0</v>
      </c>
    </row>
    <row r="139" spans="1:13" x14ac:dyDescent="0.25">
      <c r="A139" s="145"/>
      <c r="G139" s="115"/>
      <c r="H139" s="129">
        <v>134</v>
      </c>
      <c r="I139" s="130" t="str">
        <f t="shared" si="14"/>
        <v/>
      </c>
      <c r="J139" s="129">
        <f t="shared" si="15"/>
        <v>-5</v>
      </c>
      <c r="K139" s="129">
        <f t="shared" si="12"/>
        <v>-50</v>
      </c>
      <c r="L139" s="129"/>
      <c r="M139" s="131">
        <f t="shared" si="13"/>
        <v>0</v>
      </c>
    </row>
    <row r="140" spans="1:13" x14ac:dyDescent="0.25">
      <c r="A140" s="145"/>
      <c r="G140" s="115"/>
      <c r="H140" s="129">
        <v>135</v>
      </c>
      <c r="I140" s="130" t="str">
        <f t="shared" si="14"/>
        <v/>
      </c>
      <c r="J140" s="129">
        <f t="shared" si="15"/>
        <v>-5</v>
      </c>
      <c r="K140" s="129">
        <f t="shared" si="12"/>
        <v>-50</v>
      </c>
      <c r="L140" s="129"/>
      <c r="M140" s="131">
        <f t="shared" si="13"/>
        <v>0</v>
      </c>
    </row>
    <row r="141" spans="1:13" x14ac:dyDescent="0.25">
      <c r="A141" s="145"/>
      <c r="G141" s="115"/>
      <c r="H141" s="129">
        <v>136</v>
      </c>
      <c r="I141" s="130" t="str">
        <f t="shared" si="14"/>
        <v/>
      </c>
      <c r="J141" s="129">
        <f t="shared" si="15"/>
        <v>-5</v>
      </c>
      <c r="K141" s="129">
        <f t="shared" si="12"/>
        <v>-50</v>
      </c>
      <c r="L141" s="129"/>
      <c r="M141" s="131">
        <f t="shared" si="13"/>
        <v>0</v>
      </c>
    </row>
    <row r="142" spans="1:13" x14ac:dyDescent="0.25">
      <c r="A142" s="145"/>
      <c r="G142" s="115"/>
      <c r="H142" s="129">
        <v>137</v>
      </c>
      <c r="I142" s="130" t="str">
        <f t="shared" si="14"/>
        <v/>
      </c>
      <c r="J142" s="129">
        <f t="shared" si="15"/>
        <v>-5</v>
      </c>
      <c r="K142" s="129">
        <f t="shared" si="12"/>
        <v>-50</v>
      </c>
      <c r="L142" s="129"/>
      <c r="M142" s="131">
        <f t="shared" si="13"/>
        <v>0</v>
      </c>
    </row>
    <row r="143" spans="1:13" x14ac:dyDescent="0.25">
      <c r="A143" s="145"/>
      <c r="G143" s="115"/>
      <c r="H143" s="129">
        <v>138</v>
      </c>
      <c r="I143" s="130" t="str">
        <f t="shared" si="14"/>
        <v/>
      </c>
      <c r="J143" s="129">
        <f t="shared" si="15"/>
        <v>-5</v>
      </c>
      <c r="K143" s="129">
        <f t="shared" si="12"/>
        <v>-50</v>
      </c>
      <c r="L143" s="129"/>
      <c r="M143" s="131">
        <f t="shared" si="13"/>
        <v>0</v>
      </c>
    </row>
    <row r="144" spans="1:13" x14ac:dyDescent="0.25">
      <c r="A144" s="145"/>
      <c r="G144" s="115"/>
      <c r="H144" s="129">
        <v>139</v>
      </c>
      <c r="I144" s="130" t="str">
        <f t="shared" si="14"/>
        <v/>
      </c>
      <c r="J144" s="129">
        <f t="shared" si="15"/>
        <v>-5</v>
      </c>
      <c r="K144" s="129">
        <f t="shared" si="12"/>
        <v>-50</v>
      </c>
      <c r="L144" s="129"/>
      <c r="M144" s="131">
        <f t="shared" si="13"/>
        <v>0</v>
      </c>
    </row>
    <row r="145" spans="1:13" x14ac:dyDescent="0.25">
      <c r="A145" s="145"/>
      <c r="G145" s="115"/>
      <c r="H145" s="129">
        <v>140</v>
      </c>
      <c r="I145" s="130" t="str">
        <f t="shared" si="14"/>
        <v/>
      </c>
      <c r="J145" s="129">
        <f t="shared" si="15"/>
        <v>-5</v>
      </c>
      <c r="K145" s="129">
        <f t="shared" si="12"/>
        <v>-50</v>
      </c>
      <c r="L145" s="129"/>
      <c r="M145" s="131">
        <f t="shared" si="13"/>
        <v>0</v>
      </c>
    </row>
    <row r="146" spans="1:13" x14ac:dyDescent="0.25">
      <c r="A146" s="145"/>
      <c r="G146" s="115"/>
      <c r="H146" s="129">
        <v>141</v>
      </c>
      <c r="I146" s="130" t="str">
        <f t="shared" si="14"/>
        <v/>
      </c>
      <c r="J146" s="129">
        <f t="shared" si="15"/>
        <v>-5</v>
      </c>
      <c r="K146" s="129">
        <f t="shared" si="12"/>
        <v>-50</v>
      </c>
      <c r="L146" s="129"/>
      <c r="M146" s="131">
        <f t="shared" si="13"/>
        <v>0</v>
      </c>
    </row>
    <row r="147" spans="1:13" x14ac:dyDescent="0.25">
      <c r="A147" s="145"/>
      <c r="G147" s="115"/>
      <c r="H147" s="129">
        <v>142</v>
      </c>
      <c r="I147" s="130" t="str">
        <f t="shared" si="14"/>
        <v/>
      </c>
      <c r="J147" s="129">
        <f t="shared" si="15"/>
        <v>-5</v>
      </c>
      <c r="K147" s="129">
        <f t="shared" si="12"/>
        <v>-50</v>
      </c>
      <c r="L147" s="129"/>
      <c r="M147" s="131">
        <f t="shared" si="13"/>
        <v>0</v>
      </c>
    </row>
    <row r="148" spans="1:13" x14ac:dyDescent="0.25">
      <c r="A148" s="145"/>
      <c r="G148" s="115"/>
      <c r="H148" s="129">
        <v>143</v>
      </c>
      <c r="I148" s="130" t="str">
        <f t="shared" si="14"/>
        <v/>
      </c>
      <c r="J148" s="129">
        <f t="shared" si="15"/>
        <v>-5</v>
      </c>
      <c r="K148" s="129">
        <f t="shared" si="12"/>
        <v>-50</v>
      </c>
      <c r="L148" s="129"/>
      <c r="M148" s="131">
        <f t="shared" si="13"/>
        <v>0</v>
      </c>
    </row>
    <row r="149" spans="1:13" x14ac:dyDescent="0.25">
      <c r="A149" s="145"/>
      <c r="G149" s="115"/>
      <c r="H149" s="129">
        <v>144</v>
      </c>
      <c r="I149" s="130" t="str">
        <f t="shared" si="14"/>
        <v/>
      </c>
      <c r="J149" s="129">
        <f t="shared" si="15"/>
        <v>-5</v>
      </c>
      <c r="K149" s="129">
        <f t="shared" si="12"/>
        <v>-50</v>
      </c>
      <c r="L149" s="129"/>
      <c r="M149" s="131">
        <f t="shared" si="13"/>
        <v>0</v>
      </c>
    </row>
    <row r="150" spans="1:13" x14ac:dyDescent="0.25">
      <c r="A150" s="145"/>
      <c r="G150" s="115"/>
      <c r="H150" s="129">
        <v>145</v>
      </c>
      <c r="I150" s="130" t="str">
        <f t="shared" si="14"/>
        <v/>
      </c>
      <c r="J150" s="129">
        <f t="shared" si="15"/>
        <v>-5</v>
      </c>
      <c r="K150" s="129">
        <f t="shared" si="12"/>
        <v>-50</v>
      </c>
      <c r="L150" s="129"/>
      <c r="M150" s="131">
        <f t="shared" si="13"/>
        <v>0</v>
      </c>
    </row>
    <row r="151" spans="1:13" x14ac:dyDescent="0.25">
      <c r="A151" s="145"/>
      <c r="G151" s="115"/>
      <c r="H151" s="129">
        <v>146</v>
      </c>
      <c r="I151" s="130" t="str">
        <f t="shared" si="14"/>
        <v/>
      </c>
      <c r="J151" s="129">
        <f t="shared" si="15"/>
        <v>-5</v>
      </c>
      <c r="K151" s="129">
        <f t="shared" si="12"/>
        <v>-50</v>
      </c>
      <c r="L151" s="129"/>
      <c r="M151" s="131">
        <f t="shared" si="13"/>
        <v>0</v>
      </c>
    </row>
    <row r="152" spans="1:13" x14ac:dyDescent="0.25">
      <c r="A152" s="145"/>
      <c r="G152" s="115"/>
      <c r="H152" s="129">
        <v>147</v>
      </c>
      <c r="I152" s="130" t="str">
        <f t="shared" si="14"/>
        <v/>
      </c>
      <c r="J152" s="129">
        <f t="shared" si="15"/>
        <v>-5</v>
      </c>
      <c r="K152" s="129">
        <f t="shared" si="12"/>
        <v>-50</v>
      </c>
      <c r="L152" s="129"/>
      <c r="M152" s="131">
        <f t="shared" si="13"/>
        <v>0</v>
      </c>
    </row>
    <row r="153" spans="1:13" x14ac:dyDescent="0.25">
      <c r="A153" s="145"/>
      <c r="G153" s="115"/>
      <c r="H153" s="129">
        <v>148</v>
      </c>
      <c r="I153" s="130" t="str">
        <f t="shared" si="14"/>
        <v/>
      </c>
      <c r="J153" s="129">
        <f t="shared" si="15"/>
        <v>-5</v>
      </c>
      <c r="K153" s="129">
        <f t="shared" si="12"/>
        <v>-50</v>
      </c>
      <c r="L153" s="129"/>
      <c r="M153" s="131">
        <f t="shared" si="13"/>
        <v>0</v>
      </c>
    </row>
    <row r="154" spans="1:13" x14ac:dyDescent="0.25">
      <c r="A154" s="145"/>
      <c r="G154" s="115"/>
      <c r="H154" s="129">
        <v>149</v>
      </c>
      <c r="I154" s="130" t="str">
        <f t="shared" si="14"/>
        <v/>
      </c>
      <c r="J154" s="129">
        <f t="shared" si="15"/>
        <v>-5</v>
      </c>
      <c r="K154" s="129">
        <f t="shared" si="12"/>
        <v>-50</v>
      </c>
      <c r="L154" s="129"/>
      <c r="M154" s="131">
        <f t="shared" si="13"/>
        <v>0</v>
      </c>
    </row>
    <row r="155" spans="1:13" x14ac:dyDescent="0.25">
      <c r="A155" s="145"/>
      <c r="G155" s="115"/>
      <c r="H155" s="129">
        <v>150</v>
      </c>
      <c r="I155" s="130" t="str">
        <f t="shared" si="14"/>
        <v/>
      </c>
      <c r="J155" s="129">
        <f t="shared" si="15"/>
        <v>-5</v>
      </c>
      <c r="K155" s="129">
        <f t="shared" si="12"/>
        <v>-50</v>
      </c>
      <c r="L155" s="129"/>
      <c r="M155" s="131">
        <f t="shared" si="13"/>
        <v>0</v>
      </c>
    </row>
    <row r="156" spans="1:13" x14ac:dyDescent="0.25">
      <c r="A156" s="145"/>
      <c r="G156" s="115"/>
      <c r="H156" s="129">
        <v>151</v>
      </c>
      <c r="I156" s="130" t="str">
        <f t="shared" si="14"/>
        <v/>
      </c>
      <c r="J156" s="129">
        <f t="shared" si="15"/>
        <v>-5</v>
      </c>
      <c r="K156" s="129">
        <f t="shared" si="12"/>
        <v>-50</v>
      </c>
      <c r="L156" s="129"/>
      <c r="M156" s="131">
        <f t="shared" si="13"/>
        <v>0</v>
      </c>
    </row>
    <row r="157" spans="1:13" x14ac:dyDescent="0.25">
      <c r="A157" s="145"/>
      <c r="G157" s="115"/>
      <c r="H157" s="129">
        <v>152</v>
      </c>
      <c r="I157" s="130" t="str">
        <f t="shared" si="14"/>
        <v/>
      </c>
      <c r="J157" s="129">
        <f t="shared" si="15"/>
        <v>-5</v>
      </c>
      <c r="K157" s="129">
        <f t="shared" si="12"/>
        <v>-50</v>
      </c>
      <c r="L157" s="129"/>
      <c r="M157" s="131">
        <f t="shared" si="13"/>
        <v>0</v>
      </c>
    </row>
    <row r="158" spans="1:13" x14ac:dyDescent="0.25">
      <c r="A158" s="145"/>
      <c r="G158" s="115"/>
      <c r="H158" s="129">
        <v>153</v>
      </c>
      <c r="I158" s="130" t="str">
        <f t="shared" si="14"/>
        <v/>
      </c>
      <c r="J158" s="129">
        <f t="shared" si="15"/>
        <v>-5</v>
      </c>
      <c r="K158" s="129">
        <f t="shared" si="12"/>
        <v>-50</v>
      </c>
      <c r="L158" s="129"/>
      <c r="M158" s="131">
        <f t="shared" si="13"/>
        <v>0</v>
      </c>
    </row>
    <row r="159" spans="1:13" x14ac:dyDescent="0.25">
      <c r="A159" s="145"/>
      <c r="G159" s="115"/>
      <c r="H159" s="129">
        <v>154</v>
      </c>
      <c r="I159" s="130" t="str">
        <f t="shared" si="14"/>
        <v/>
      </c>
      <c r="J159" s="129">
        <f t="shared" si="15"/>
        <v>-5</v>
      </c>
      <c r="K159" s="129">
        <f t="shared" si="12"/>
        <v>-50</v>
      </c>
      <c r="L159" s="129"/>
      <c r="M159" s="131">
        <f t="shared" si="13"/>
        <v>0</v>
      </c>
    </row>
    <row r="160" spans="1:13" x14ac:dyDescent="0.25">
      <c r="A160" s="145"/>
      <c r="G160" s="115"/>
      <c r="H160" s="129">
        <v>155</v>
      </c>
      <c r="I160" s="130" t="str">
        <f t="shared" si="14"/>
        <v/>
      </c>
      <c r="J160" s="129">
        <f t="shared" si="15"/>
        <v>-5</v>
      </c>
      <c r="K160" s="129">
        <f t="shared" si="12"/>
        <v>-50</v>
      </c>
      <c r="L160" s="129"/>
      <c r="M160" s="131">
        <f t="shared" si="13"/>
        <v>0</v>
      </c>
    </row>
    <row r="161" spans="1:13" x14ac:dyDescent="0.25">
      <c r="A161" s="145"/>
      <c r="G161" s="115"/>
      <c r="H161" s="129">
        <v>156</v>
      </c>
      <c r="I161" s="130" t="str">
        <f t="shared" si="14"/>
        <v/>
      </c>
      <c r="J161" s="129">
        <f t="shared" si="15"/>
        <v>-5</v>
      </c>
      <c r="K161" s="129">
        <f t="shared" si="12"/>
        <v>-50</v>
      </c>
      <c r="L161" s="129"/>
      <c r="M161" s="131">
        <f t="shared" si="13"/>
        <v>0</v>
      </c>
    </row>
    <row r="162" spans="1:13" x14ac:dyDescent="0.25">
      <c r="A162" s="145"/>
      <c r="G162" s="115"/>
      <c r="H162" s="129">
        <v>157</v>
      </c>
      <c r="I162" s="130" t="str">
        <f t="shared" si="14"/>
        <v/>
      </c>
      <c r="J162" s="129">
        <f t="shared" si="15"/>
        <v>-5</v>
      </c>
      <c r="K162" s="129">
        <f t="shared" si="12"/>
        <v>-50</v>
      </c>
      <c r="L162" s="129"/>
      <c r="M162" s="131">
        <f t="shared" si="13"/>
        <v>0</v>
      </c>
    </row>
    <row r="163" spans="1:13" x14ac:dyDescent="0.25">
      <c r="A163" s="145"/>
      <c r="G163" s="115"/>
      <c r="H163" s="129">
        <v>158</v>
      </c>
      <c r="I163" s="130" t="str">
        <f t="shared" si="14"/>
        <v/>
      </c>
      <c r="J163" s="129">
        <f t="shared" si="15"/>
        <v>-5</v>
      </c>
      <c r="K163" s="129">
        <f t="shared" si="12"/>
        <v>-50</v>
      </c>
      <c r="L163" s="129"/>
      <c r="M163" s="131">
        <f t="shared" si="13"/>
        <v>0</v>
      </c>
    </row>
    <row r="164" spans="1:13" x14ac:dyDescent="0.25">
      <c r="A164" s="145"/>
      <c r="G164" s="115"/>
      <c r="H164" s="129">
        <v>159</v>
      </c>
      <c r="I164" s="130" t="str">
        <f t="shared" si="14"/>
        <v/>
      </c>
      <c r="J164" s="129">
        <f t="shared" si="15"/>
        <v>-5</v>
      </c>
      <c r="K164" s="129">
        <f t="shared" si="12"/>
        <v>-50</v>
      </c>
      <c r="L164" s="129"/>
      <c r="M164" s="131">
        <f t="shared" si="13"/>
        <v>0</v>
      </c>
    </row>
    <row r="165" spans="1:13" x14ac:dyDescent="0.25">
      <c r="A165" s="145"/>
      <c r="G165" s="115"/>
      <c r="H165" s="129">
        <v>160</v>
      </c>
      <c r="I165" s="130" t="str">
        <f t="shared" si="14"/>
        <v/>
      </c>
      <c r="J165" s="129">
        <f t="shared" si="15"/>
        <v>-5</v>
      </c>
      <c r="K165" s="129">
        <f t="shared" si="12"/>
        <v>-50</v>
      </c>
      <c r="L165" s="129"/>
      <c r="M165" s="131">
        <f t="shared" si="13"/>
        <v>0</v>
      </c>
    </row>
    <row r="166" spans="1:13" x14ac:dyDescent="0.25">
      <c r="A166" s="145"/>
      <c r="G166" s="115"/>
      <c r="H166" s="129">
        <v>161</v>
      </c>
      <c r="I166" s="130" t="str">
        <f t="shared" si="14"/>
        <v/>
      </c>
      <c r="J166" s="129">
        <f t="shared" si="15"/>
        <v>-5</v>
      </c>
      <c r="K166" s="129">
        <f t="shared" si="12"/>
        <v>-50</v>
      </c>
      <c r="L166" s="129"/>
      <c r="M166" s="131">
        <f t="shared" si="13"/>
        <v>0</v>
      </c>
    </row>
    <row r="167" spans="1:13" x14ac:dyDescent="0.25">
      <c r="A167" s="145"/>
      <c r="G167" s="115"/>
      <c r="H167" s="129">
        <v>162</v>
      </c>
      <c r="I167" s="130" t="str">
        <f t="shared" si="14"/>
        <v/>
      </c>
      <c r="J167" s="129">
        <f t="shared" si="15"/>
        <v>-5</v>
      </c>
      <c r="K167" s="129">
        <f t="shared" si="12"/>
        <v>-50</v>
      </c>
      <c r="L167" s="129"/>
      <c r="M167" s="131">
        <f t="shared" si="13"/>
        <v>0</v>
      </c>
    </row>
    <row r="168" spans="1:13" x14ac:dyDescent="0.25">
      <c r="A168" s="145"/>
      <c r="G168" s="115"/>
      <c r="H168" s="129">
        <v>163</v>
      </c>
      <c r="I168" s="130" t="str">
        <f t="shared" si="14"/>
        <v/>
      </c>
      <c r="J168" s="129">
        <f t="shared" si="15"/>
        <v>-5</v>
      </c>
      <c r="K168" s="129">
        <f t="shared" si="12"/>
        <v>-50</v>
      </c>
      <c r="L168" s="129"/>
      <c r="M168" s="131">
        <f t="shared" si="13"/>
        <v>0</v>
      </c>
    </row>
    <row r="169" spans="1:13" x14ac:dyDescent="0.25">
      <c r="A169" s="145"/>
      <c r="G169" s="115"/>
      <c r="H169" s="129">
        <v>164</v>
      </c>
      <c r="I169" s="130" t="str">
        <f t="shared" si="14"/>
        <v/>
      </c>
      <c r="J169" s="129">
        <f t="shared" si="15"/>
        <v>-5</v>
      </c>
      <c r="K169" s="129">
        <f t="shared" si="12"/>
        <v>-50</v>
      </c>
      <c r="L169" s="129"/>
      <c r="M169" s="131">
        <f t="shared" si="13"/>
        <v>0</v>
      </c>
    </row>
    <row r="170" spans="1:13" x14ac:dyDescent="0.25">
      <c r="A170" s="145"/>
      <c r="G170" s="115"/>
      <c r="H170" s="129">
        <v>165</v>
      </c>
      <c r="I170" s="130" t="str">
        <f t="shared" si="14"/>
        <v/>
      </c>
      <c r="J170" s="129">
        <f t="shared" si="15"/>
        <v>-5</v>
      </c>
      <c r="K170" s="129">
        <f t="shared" si="12"/>
        <v>-50</v>
      </c>
      <c r="L170" s="129"/>
      <c r="M170" s="131">
        <f t="shared" si="13"/>
        <v>0</v>
      </c>
    </row>
    <row r="171" spans="1:13" x14ac:dyDescent="0.25">
      <c r="A171" s="145"/>
      <c r="G171" s="115"/>
      <c r="H171" s="129">
        <v>166</v>
      </c>
      <c r="I171" s="130" t="str">
        <f t="shared" si="14"/>
        <v/>
      </c>
      <c r="J171" s="129">
        <f t="shared" si="15"/>
        <v>-5</v>
      </c>
      <c r="K171" s="129">
        <f t="shared" si="12"/>
        <v>-50</v>
      </c>
      <c r="L171" s="129"/>
      <c r="M171" s="131">
        <f t="shared" si="13"/>
        <v>0</v>
      </c>
    </row>
    <row r="172" spans="1:13" x14ac:dyDescent="0.25">
      <c r="A172" s="145"/>
      <c r="G172" s="115"/>
      <c r="H172" s="129">
        <v>167</v>
      </c>
      <c r="I172" s="130" t="str">
        <f t="shared" si="14"/>
        <v/>
      </c>
      <c r="J172" s="129">
        <f t="shared" si="15"/>
        <v>-5</v>
      </c>
      <c r="K172" s="129">
        <f t="shared" si="12"/>
        <v>-50</v>
      </c>
      <c r="L172" s="129"/>
      <c r="M172" s="131">
        <f t="shared" si="13"/>
        <v>0</v>
      </c>
    </row>
    <row r="173" spans="1:13" x14ac:dyDescent="0.25">
      <c r="A173" s="145"/>
      <c r="G173" s="115"/>
      <c r="H173" s="129">
        <v>168</v>
      </c>
      <c r="I173" s="130" t="str">
        <f t="shared" si="14"/>
        <v/>
      </c>
      <c r="J173" s="129">
        <f t="shared" si="15"/>
        <v>-5</v>
      </c>
      <c r="K173" s="129">
        <f t="shared" si="12"/>
        <v>-50</v>
      </c>
      <c r="L173" s="129"/>
      <c r="M173" s="131">
        <f t="shared" si="13"/>
        <v>0</v>
      </c>
    </row>
    <row r="174" spans="1:13" x14ac:dyDescent="0.25">
      <c r="A174" s="145"/>
      <c r="G174" s="115"/>
      <c r="H174" s="129">
        <v>169</v>
      </c>
      <c r="I174" s="130" t="str">
        <f t="shared" si="14"/>
        <v/>
      </c>
      <c r="J174" s="129">
        <f t="shared" si="15"/>
        <v>-5</v>
      </c>
      <c r="K174" s="129">
        <f t="shared" si="12"/>
        <v>-50</v>
      </c>
      <c r="L174" s="129"/>
      <c r="M174" s="131">
        <f t="shared" si="13"/>
        <v>0</v>
      </c>
    </row>
    <row r="175" spans="1:13" x14ac:dyDescent="0.25">
      <c r="A175" s="145"/>
      <c r="G175" s="115"/>
      <c r="H175" s="129">
        <v>170</v>
      </c>
      <c r="I175" s="130" t="str">
        <f t="shared" si="14"/>
        <v/>
      </c>
      <c r="J175" s="129">
        <f t="shared" si="15"/>
        <v>-5</v>
      </c>
      <c r="K175" s="129">
        <f t="shared" si="12"/>
        <v>-50</v>
      </c>
      <c r="L175" s="129"/>
      <c r="M175" s="131">
        <f t="shared" si="13"/>
        <v>0</v>
      </c>
    </row>
    <row r="176" spans="1:13" x14ac:dyDescent="0.25">
      <c r="A176" s="145"/>
      <c r="G176" s="115"/>
      <c r="H176" s="129">
        <v>171</v>
      </c>
      <c r="I176" s="130" t="str">
        <f t="shared" si="14"/>
        <v/>
      </c>
      <c r="J176" s="129">
        <f t="shared" si="15"/>
        <v>-5</v>
      </c>
      <c r="K176" s="129">
        <f t="shared" si="12"/>
        <v>-50</v>
      </c>
      <c r="L176" s="129"/>
      <c r="M176" s="131">
        <f t="shared" si="13"/>
        <v>0</v>
      </c>
    </row>
    <row r="177" spans="1:13" x14ac:dyDescent="0.25">
      <c r="A177" s="145"/>
      <c r="G177" s="115"/>
      <c r="H177" s="129">
        <v>172</v>
      </c>
      <c r="I177" s="130" t="str">
        <f t="shared" si="14"/>
        <v/>
      </c>
      <c r="J177" s="129">
        <f t="shared" si="15"/>
        <v>-5</v>
      </c>
      <c r="K177" s="129">
        <f t="shared" si="12"/>
        <v>-50</v>
      </c>
      <c r="L177" s="129"/>
      <c r="M177" s="131">
        <f t="shared" si="13"/>
        <v>0</v>
      </c>
    </row>
    <row r="178" spans="1:13" x14ac:dyDescent="0.25">
      <c r="A178" s="145"/>
      <c r="G178" s="115"/>
      <c r="H178" s="129">
        <v>173</v>
      </c>
      <c r="I178" s="130" t="str">
        <f t="shared" si="14"/>
        <v/>
      </c>
      <c r="J178" s="129">
        <f t="shared" si="15"/>
        <v>-5</v>
      </c>
      <c r="K178" s="129">
        <f t="shared" si="12"/>
        <v>-50</v>
      </c>
      <c r="L178" s="129"/>
      <c r="M178" s="131">
        <f t="shared" si="13"/>
        <v>0</v>
      </c>
    </row>
    <row r="179" spans="1:13" x14ac:dyDescent="0.25">
      <c r="A179" s="145"/>
      <c r="G179" s="115"/>
      <c r="H179" s="129">
        <v>174</v>
      </c>
      <c r="I179" s="130" t="str">
        <f t="shared" si="14"/>
        <v/>
      </c>
      <c r="J179" s="129">
        <f t="shared" si="15"/>
        <v>-5</v>
      </c>
      <c r="K179" s="129">
        <f t="shared" si="12"/>
        <v>-50</v>
      </c>
      <c r="L179" s="129"/>
      <c r="M179" s="131">
        <f t="shared" si="13"/>
        <v>0</v>
      </c>
    </row>
    <row r="180" spans="1:13" x14ac:dyDescent="0.25">
      <c r="A180" s="145"/>
      <c r="G180" s="115"/>
      <c r="H180" s="129">
        <v>175</v>
      </c>
      <c r="I180" s="130" t="str">
        <f t="shared" si="14"/>
        <v/>
      </c>
      <c r="J180" s="129">
        <f t="shared" si="15"/>
        <v>-5</v>
      </c>
      <c r="K180" s="129">
        <f t="shared" si="12"/>
        <v>-50</v>
      </c>
      <c r="L180" s="129"/>
      <c r="M180" s="131">
        <f t="shared" si="13"/>
        <v>0</v>
      </c>
    </row>
    <row r="181" spans="1:13" x14ac:dyDescent="0.25">
      <c r="A181" s="145"/>
      <c r="G181" s="115"/>
      <c r="H181" s="129">
        <v>176</v>
      </c>
      <c r="I181" s="130" t="str">
        <f t="shared" si="14"/>
        <v/>
      </c>
      <c r="J181" s="129">
        <f t="shared" si="15"/>
        <v>-5</v>
      </c>
      <c r="K181" s="129">
        <f t="shared" si="12"/>
        <v>-50</v>
      </c>
      <c r="L181" s="129"/>
      <c r="M181" s="131">
        <f t="shared" si="13"/>
        <v>0</v>
      </c>
    </row>
    <row r="182" spans="1:13" x14ac:dyDescent="0.25">
      <c r="A182" s="145"/>
      <c r="G182" s="115"/>
      <c r="H182" s="129">
        <v>177</v>
      </c>
      <c r="I182" s="130" t="str">
        <f t="shared" si="14"/>
        <v/>
      </c>
      <c r="J182" s="129">
        <f t="shared" si="15"/>
        <v>-5</v>
      </c>
      <c r="K182" s="129">
        <f t="shared" si="12"/>
        <v>-50</v>
      </c>
      <c r="L182" s="129"/>
      <c r="M182" s="131">
        <f t="shared" si="13"/>
        <v>0</v>
      </c>
    </row>
    <row r="183" spans="1:13" x14ac:dyDescent="0.25">
      <c r="A183" s="145"/>
      <c r="G183" s="115"/>
      <c r="H183" s="129">
        <v>178</v>
      </c>
      <c r="I183" s="130" t="str">
        <f t="shared" si="14"/>
        <v/>
      </c>
      <c r="J183" s="129">
        <f t="shared" si="15"/>
        <v>-5</v>
      </c>
      <c r="K183" s="129">
        <f t="shared" si="12"/>
        <v>-50</v>
      </c>
      <c r="L183" s="129"/>
      <c r="M183" s="131">
        <f t="shared" si="13"/>
        <v>0</v>
      </c>
    </row>
    <row r="184" spans="1:13" x14ac:dyDescent="0.25">
      <c r="A184" s="145"/>
      <c r="G184" s="115"/>
      <c r="H184" s="129">
        <v>179</v>
      </c>
      <c r="I184" s="130" t="str">
        <f t="shared" si="14"/>
        <v/>
      </c>
      <c r="J184" s="129">
        <f t="shared" si="15"/>
        <v>-5</v>
      </c>
      <c r="K184" s="129">
        <f t="shared" si="12"/>
        <v>-50</v>
      </c>
      <c r="L184" s="129"/>
      <c r="M184" s="131">
        <f t="shared" si="13"/>
        <v>0</v>
      </c>
    </row>
    <row r="185" spans="1:13" x14ac:dyDescent="0.25">
      <c r="A185" s="145"/>
      <c r="G185" s="115"/>
      <c r="H185" s="129">
        <v>180</v>
      </c>
      <c r="I185" s="130" t="str">
        <f t="shared" si="14"/>
        <v/>
      </c>
      <c r="J185" s="129">
        <f t="shared" si="15"/>
        <v>-5</v>
      </c>
      <c r="K185" s="129">
        <f t="shared" si="12"/>
        <v>-50</v>
      </c>
      <c r="L185" s="129"/>
      <c r="M185" s="131">
        <f t="shared" si="13"/>
        <v>0</v>
      </c>
    </row>
    <row r="186" spans="1:13" x14ac:dyDescent="0.25">
      <c r="A186" s="145"/>
      <c r="G186" s="115"/>
      <c r="H186" s="129">
        <v>181</v>
      </c>
      <c r="I186" s="130" t="str">
        <f t="shared" si="14"/>
        <v/>
      </c>
      <c r="J186" s="129">
        <f t="shared" si="15"/>
        <v>-5</v>
      </c>
      <c r="K186" s="129">
        <f t="shared" si="12"/>
        <v>-50</v>
      </c>
      <c r="L186" s="129"/>
      <c r="M186" s="131">
        <f t="shared" si="13"/>
        <v>0</v>
      </c>
    </row>
    <row r="187" spans="1:13" x14ac:dyDescent="0.25">
      <c r="A187" s="145"/>
      <c r="G187" s="115"/>
      <c r="H187" s="129">
        <v>182</v>
      </c>
      <c r="I187" s="130" t="str">
        <f t="shared" si="14"/>
        <v/>
      </c>
      <c r="J187" s="129">
        <f t="shared" si="15"/>
        <v>-5</v>
      </c>
      <c r="K187" s="129">
        <f t="shared" si="12"/>
        <v>-50</v>
      </c>
      <c r="L187" s="129"/>
      <c r="M187" s="131">
        <f t="shared" si="13"/>
        <v>0</v>
      </c>
    </row>
    <row r="188" spans="1:13" x14ac:dyDescent="0.25">
      <c r="A188" s="145"/>
      <c r="G188" s="115"/>
      <c r="H188" s="129">
        <v>183</v>
      </c>
      <c r="I188" s="130" t="str">
        <f t="shared" si="14"/>
        <v/>
      </c>
      <c r="J188" s="129">
        <f t="shared" si="15"/>
        <v>-5</v>
      </c>
      <c r="K188" s="129">
        <f t="shared" si="12"/>
        <v>-50</v>
      </c>
      <c r="L188" s="129"/>
      <c r="M188" s="131">
        <f t="shared" si="13"/>
        <v>0</v>
      </c>
    </row>
    <row r="189" spans="1:13" x14ac:dyDescent="0.25">
      <c r="A189" s="145"/>
      <c r="G189" s="115"/>
      <c r="H189" s="129">
        <v>184</v>
      </c>
      <c r="I189" s="130" t="str">
        <f t="shared" si="14"/>
        <v/>
      </c>
      <c r="J189" s="129">
        <f t="shared" si="15"/>
        <v>-5</v>
      </c>
      <c r="K189" s="129">
        <f t="shared" si="12"/>
        <v>-50</v>
      </c>
      <c r="L189" s="129"/>
      <c r="M189" s="131">
        <f t="shared" si="13"/>
        <v>0</v>
      </c>
    </row>
    <row r="190" spans="1:13" x14ac:dyDescent="0.25">
      <c r="A190" s="145"/>
      <c r="G190" s="115"/>
      <c r="H190" s="129">
        <v>185</v>
      </c>
      <c r="I190" s="130" t="str">
        <f t="shared" si="14"/>
        <v/>
      </c>
      <c r="J190" s="129">
        <f t="shared" si="15"/>
        <v>-5</v>
      </c>
      <c r="K190" s="129">
        <f t="shared" si="12"/>
        <v>-50</v>
      </c>
      <c r="L190" s="129"/>
      <c r="M190" s="131">
        <f t="shared" si="13"/>
        <v>0</v>
      </c>
    </row>
    <row r="191" spans="1:13" x14ac:dyDescent="0.25">
      <c r="A191" s="145"/>
      <c r="G191" s="115"/>
      <c r="H191" s="129">
        <v>186</v>
      </c>
      <c r="I191" s="130" t="str">
        <f t="shared" si="14"/>
        <v/>
      </c>
      <c r="J191" s="129">
        <f t="shared" si="15"/>
        <v>-5</v>
      </c>
      <c r="K191" s="129">
        <f t="shared" si="12"/>
        <v>-50</v>
      </c>
      <c r="L191" s="129"/>
      <c r="M191" s="131">
        <f t="shared" si="13"/>
        <v>0</v>
      </c>
    </row>
    <row r="192" spans="1:13" x14ac:dyDescent="0.25">
      <c r="A192" s="145"/>
      <c r="G192" s="115"/>
      <c r="H192" s="129">
        <v>187</v>
      </c>
      <c r="I192" s="130" t="str">
        <f t="shared" si="14"/>
        <v/>
      </c>
      <c r="J192" s="129">
        <f t="shared" si="15"/>
        <v>-5</v>
      </c>
      <c r="K192" s="129">
        <f t="shared" si="12"/>
        <v>-50</v>
      </c>
      <c r="L192" s="129"/>
      <c r="M192" s="131">
        <f t="shared" si="13"/>
        <v>0</v>
      </c>
    </row>
    <row r="193" spans="1:13" x14ac:dyDescent="0.25">
      <c r="A193" s="145"/>
      <c r="G193" s="115"/>
      <c r="H193" s="129">
        <v>188</v>
      </c>
      <c r="I193" s="130" t="str">
        <f t="shared" si="14"/>
        <v/>
      </c>
      <c r="J193" s="129">
        <f t="shared" si="15"/>
        <v>-5</v>
      </c>
      <c r="K193" s="129">
        <f t="shared" si="12"/>
        <v>-50</v>
      </c>
      <c r="L193" s="129"/>
      <c r="M193" s="131">
        <f t="shared" si="13"/>
        <v>0</v>
      </c>
    </row>
    <row r="194" spans="1:13" x14ac:dyDescent="0.25">
      <c r="A194" s="145"/>
      <c r="G194" s="115"/>
      <c r="H194" s="129">
        <v>189</v>
      </c>
      <c r="I194" s="130" t="str">
        <f t="shared" si="14"/>
        <v/>
      </c>
      <c r="J194" s="129">
        <f t="shared" si="15"/>
        <v>-5</v>
      </c>
      <c r="K194" s="129">
        <f t="shared" si="12"/>
        <v>-50</v>
      </c>
      <c r="L194" s="129"/>
      <c r="M194" s="131">
        <f t="shared" si="13"/>
        <v>0</v>
      </c>
    </row>
    <row r="195" spans="1:13" x14ac:dyDescent="0.25">
      <c r="A195" s="145"/>
      <c r="G195" s="115"/>
      <c r="H195" s="129">
        <v>190</v>
      </c>
      <c r="I195" s="130" t="str">
        <f t="shared" si="14"/>
        <v/>
      </c>
      <c r="J195" s="129">
        <f t="shared" si="15"/>
        <v>-5</v>
      </c>
      <c r="K195" s="129">
        <f t="shared" si="12"/>
        <v>-50</v>
      </c>
      <c r="L195" s="129"/>
      <c r="M195" s="131">
        <f t="shared" si="13"/>
        <v>0</v>
      </c>
    </row>
    <row r="196" spans="1:13" x14ac:dyDescent="0.25">
      <c r="A196" s="145"/>
      <c r="G196" s="115"/>
      <c r="H196" s="129">
        <v>191</v>
      </c>
      <c r="I196" s="130" t="str">
        <f t="shared" si="14"/>
        <v/>
      </c>
      <c r="J196" s="129">
        <f t="shared" si="15"/>
        <v>-5</v>
      </c>
      <c r="K196" s="129">
        <f t="shared" si="12"/>
        <v>-50</v>
      </c>
      <c r="L196" s="129"/>
      <c r="M196" s="131">
        <f t="shared" si="13"/>
        <v>0</v>
      </c>
    </row>
    <row r="197" spans="1:13" x14ac:dyDescent="0.25">
      <c r="A197" s="145"/>
      <c r="G197" s="115"/>
      <c r="H197" s="129">
        <v>192</v>
      </c>
      <c r="I197" s="130" t="str">
        <f t="shared" si="14"/>
        <v/>
      </c>
      <c r="J197" s="129">
        <f t="shared" si="15"/>
        <v>-5</v>
      </c>
      <c r="K197" s="129">
        <f t="shared" si="12"/>
        <v>-50</v>
      </c>
      <c r="L197" s="129"/>
      <c r="M197" s="131">
        <f t="shared" si="13"/>
        <v>0</v>
      </c>
    </row>
    <row r="198" spans="1:13" x14ac:dyDescent="0.25">
      <c r="A198" s="145"/>
      <c r="G198" s="115"/>
      <c r="H198" s="129">
        <v>193</v>
      </c>
      <c r="I198" s="130" t="str">
        <f t="shared" si="14"/>
        <v/>
      </c>
      <c r="J198" s="129">
        <f t="shared" si="15"/>
        <v>-5</v>
      </c>
      <c r="K198" s="129">
        <f t="shared" ref="K198:K261" si="16">J198*$J$2</f>
        <v>-50</v>
      </c>
      <c r="L198" s="129"/>
      <c r="M198" s="131">
        <f t="shared" ref="M198:M261" si="17">IF(I198&lt;&gt;"",K198+I198+L198,0)</f>
        <v>0</v>
      </c>
    </row>
    <row r="199" spans="1:13" x14ac:dyDescent="0.25">
      <c r="A199" s="145"/>
      <c r="G199" s="115"/>
      <c r="H199" s="129">
        <v>194</v>
      </c>
      <c r="I199" s="130" t="str">
        <f t="shared" ref="I199:I262" si="18">IF(H199&lt;$H$2+1,($I$2-($I$2-1)*(LOG(H199)/LOG($H$2))),"")</f>
        <v/>
      </c>
      <c r="J199" s="129">
        <f t="shared" ref="J199:J262" si="19">INT(LOG($H$2,2))-ROUNDUP(LOG(H199,2),0)+IF(OR($H$2=1,$H$2=2,$H$2=4,$H$2=8,$H$2=16,$H$2=32,$H$2=64,$H$2=128,$H$2=256),0,1)</f>
        <v>-5</v>
      </c>
      <c r="K199" s="129">
        <f t="shared" si="16"/>
        <v>-50</v>
      </c>
      <c r="L199" s="129"/>
      <c r="M199" s="131">
        <f t="shared" si="17"/>
        <v>0</v>
      </c>
    </row>
    <row r="200" spans="1:13" x14ac:dyDescent="0.25">
      <c r="A200" s="145"/>
      <c r="G200" s="115"/>
      <c r="H200" s="129">
        <v>195</v>
      </c>
      <c r="I200" s="130" t="str">
        <f t="shared" si="18"/>
        <v/>
      </c>
      <c r="J200" s="129">
        <f t="shared" si="19"/>
        <v>-5</v>
      </c>
      <c r="K200" s="129">
        <f t="shared" si="16"/>
        <v>-50</v>
      </c>
      <c r="L200" s="129"/>
      <c r="M200" s="131">
        <f t="shared" si="17"/>
        <v>0</v>
      </c>
    </row>
    <row r="201" spans="1:13" x14ac:dyDescent="0.25">
      <c r="A201" s="145"/>
      <c r="G201" s="115"/>
      <c r="H201" s="129">
        <v>196</v>
      </c>
      <c r="I201" s="130" t="str">
        <f t="shared" si="18"/>
        <v/>
      </c>
      <c r="J201" s="129">
        <f t="shared" si="19"/>
        <v>-5</v>
      </c>
      <c r="K201" s="129">
        <f t="shared" si="16"/>
        <v>-50</v>
      </c>
      <c r="L201" s="129"/>
      <c r="M201" s="131">
        <f t="shared" si="17"/>
        <v>0</v>
      </c>
    </row>
    <row r="202" spans="1:13" x14ac:dyDescent="0.25">
      <c r="A202" s="145"/>
      <c r="G202" s="115"/>
      <c r="H202" s="129">
        <v>197</v>
      </c>
      <c r="I202" s="130" t="str">
        <f t="shared" si="18"/>
        <v/>
      </c>
      <c r="J202" s="129">
        <f t="shared" si="19"/>
        <v>-5</v>
      </c>
      <c r="K202" s="129">
        <f t="shared" si="16"/>
        <v>-50</v>
      </c>
      <c r="L202" s="129"/>
      <c r="M202" s="131">
        <f t="shared" si="17"/>
        <v>0</v>
      </c>
    </row>
    <row r="203" spans="1:13" x14ac:dyDescent="0.25">
      <c r="A203" s="145"/>
      <c r="G203" s="115"/>
      <c r="H203" s="129">
        <v>198</v>
      </c>
      <c r="I203" s="130" t="str">
        <f t="shared" si="18"/>
        <v/>
      </c>
      <c r="J203" s="129">
        <f t="shared" si="19"/>
        <v>-5</v>
      </c>
      <c r="K203" s="129">
        <f t="shared" si="16"/>
        <v>-50</v>
      </c>
      <c r="L203" s="129"/>
      <c r="M203" s="131">
        <f t="shared" si="17"/>
        <v>0</v>
      </c>
    </row>
    <row r="204" spans="1:13" x14ac:dyDescent="0.25">
      <c r="A204" s="145"/>
      <c r="G204" s="115"/>
      <c r="H204" s="129">
        <v>199</v>
      </c>
      <c r="I204" s="130" t="str">
        <f t="shared" si="18"/>
        <v/>
      </c>
      <c r="J204" s="129">
        <f t="shared" si="19"/>
        <v>-5</v>
      </c>
      <c r="K204" s="129">
        <f t="shared" si="16"/>
        <v>-50</v>
      </c>
      <c r="L204" s="129"/>
      <c r="M204" s="131">
        <f t="shared" si="17"/>
        <v>0</v>
      </c>
    </row>
    <row r="205" spans="1:13" x14ac:dyDescent="0.25">
      <c r="A205" s="145"/>
      <c r="G205" s="115"/>
      <c r="H205" s="129">
        <v>200</v>
      </c>
      <c r="I205" s="130" t="str">
        <f t="shared" si="18"/>
        <v/>
      </c>
      <c r="J205" s="129">
        <f t="shared" si="19"/>
        <v>-5</v>
      </c>
      <c r="K205" s="129">
        <f t="shared" si="16"/>
        <v>-50</v>
      </c>
      <c r="L205" s="129"/>
      <c r="M205" s="131">
        <f t="shared" si="17"/>
        <v>0</v>
      </c>
    </row>
    <row r="206" spans="1:13" x14ac:dyDescent="0.25">
      <c r="A206" s="145"/>
      <c r="G206" s="115"/>
      <c r="H206" s="129">
        <v>201</v>
      </c>
      <c r="I206" s="130" t="str">
        <f t="shared" si="18"/>
        <v/>
      </c>
      <c r="J206" s="129">
        <f t="shared" si="19"/>
        <v>-5</v>
      </c>
      <c r="K206" s="129">
        <f t="shared" si="16"/>
        <v>-50</v>
      </c>
      <c r="L206" s="129"/>
      <c r="M206" s="131">
        <f t="shared" si="17"/>
        <v>0</v>
      </c>
    </row>
    <row r="207" spans="1:13" x14ac:dyDescent="0.25">
      <c r="A207" s="145"/>
      <c r="G207" s="115"/>
      <c r="H207" s="129">
        <v>202</v>
      </c>
      <c r="I207" s="130" t="str">
        <f t="shared" si="18"/>
        <v/>
      </c>
      <c r="J207" s="129">
        <f t="shared" si="19"/>
        <v>-5</v>
      </c>
      <c r="K207" s="129">
        <f t="shared" si="16"/>
        <v>-50</v>
      </c>
      <c r="L207" s="129"/>
      <c r="M207" s="131">
        <f t="shared" si="17"/>
        <v>0</v>
      </c>
    </row>
    <row r="208" spans="1:13" x14ac:dyDescent="0.25">
      <c r="A208" s="145"/>
      <c r="G208" s="115"/>
      <c r="H208" s="129">
        <v>203</v>
      </c>
      <c r="I208" s="130" t="str">
        <f t="shared" si="18"/>
        <v/>
      </c>
      <c r="J208" s="129">
        <f t="shared" si="19"/>
        <v>-5</v>
      </c>
      <c r="K208" s="129">
        <f t="shared" si="16"/>
        <v>-50</v>
      </c>
      <c r="L208" s="129"/>
      <c r="M208" s="131">
        <f t="shared" si="17"/>
        <v>0</v>
      </c>
    </row>
    <row r="209" spans="1:13" x14ac:dyDescent="0.25">
      <c r="A209" s="145"/>
      <c r="G209" s="115"/>
      <c r="H209" s="129">
        <v>204</v>
      </c>
      <c r="I209" s="130" t="str">
        <f t="shared" si="18"/>
        <v/>
      </c>
      <c r="J209" s="129">
        <f t="shared" si="19"/>
        <v>-5</v>
      </c>
      <c r="K209" s="129">
        <f t="shared" si="16"/>
        <v>-50</v>
      </c>
      <c r="L209" s="129"/>
      <c r="M209" s="131">
        <f t="shared" si="17"/>
        <v>0</v>
      </c>
    </row>
    <row r="210" spans="1:13" x14ac:dyDescent="0.25">
      <c r="A210" s="145"/>
      <c r="G210" s="115"/>
      <c r="H210" s="129">
        <v>205</v>
      </c>
      <c r="I210" s="130" t="str">
        <f t="shared" si="18"/>
        <v/>
      </c>
      <c r="J210" s="129">
        <f t="shared" si="19"/>
        <v>-5</v>
      </c>
      <c r="K210" s="129">
        <f t="shared" si="16"/>
        <v>-50</v>
      </c>
      <c r="L210" s="129"/>
      <c r="M210" s="131">
        <f t="shared" si="17"/>
        <v>0</v>
      </c>
    </row>
    <row r="211" spans="1:13" x14ac:dyDescent="0.25">
      <c r="A211" s="145"/>
      <c r="G211" s="115"/>
      <c r="H211" s="129">
        <v>206</v>
      </c>
      <c r="I211" s="130" t="str">
        <f t="shared" si="18"/>
        <v/>
      </c>
      <c r="J211" s="129">
        <f t="shared" si="19"/>
        <v>-5</v>
      </c>
      <c r="K211" s="129">
        <f t="shared" si="16"/>
        <v>-50</v>
      </c>
      <c r="L211" s="129"/>
      <c r="M211" s="131">
        <f t="shared" si="17"/>
        <v>0</v>
      </c>
    </row>
    <row r="212" spans="1:13" x14ac:dyDescent="0.25">
      <c r="A212" s="145"/>
      <c r="G212" s="115"/>
      <c r="H212" s="129">
        <v>207</v>
      </c>
      <c r="I212" s="130" t="str">
        <f t="shared" si="18"/>
        <v/>
      </c>
      <c r="J212" s="129">
        <f t="shared" si="19"/>
        <v>-5</v>
      </c>
      <c r="K212" s="129">
        <f t="shared" si="16"/>
        <v>-50</v>
      </c>
      <c r="L212" s="129"/>
      <c r="M212" s="131">
        <f t="shared" si="17"/>
        <v>0</v>
      </c>
    </row>
    <row r="213" spans="1:13" x14ac:dyDescent="0.25">
      <c r="A213" s="145"/>
      <c r="G213" s="115"/>
      <c r="H213" s="129">
        <v>208</v>
      </c>
      <c r="I213" s="130" t="str">
        <f t="shared" si="18"/>
        <v/>
      </c>
      <c r="J213" s="129">
        <f t="shared" si="19"/>
        <v>-5</v>
      </c>
      <c r="K213" s="129">
        <f t="shared" si="16"/>
        <v>-50</v>
      </c>
      <c r="L213" s="129"/>
      <c r="M213" s="131">
        <f t="shared" si="17"/>
        <v>0</v>
      </c>
    </row>
    <row r="214" spans="1:13" x14ac:dyDescent="0.25">
      <c r="A214" s="145"/>
      <c r="G214" s="115"/>
      <c r="H214" s="129">
        <v>209</v>
      </c>
      <c r="I214" s="130" t="str">
        <f t="shared" si="18"/>
        <v/>
      </c>
      <c r="J214" s="129">
        <f t="shared" si="19"/>
        <v>-5</v>
      </c>
      <c r="K214" s="129">
        <f t="shared" si="16"/>
        <v>-50</v>
      </c>
      <c r="L214" s="129"/>
      <c r="M214" s="131">
        <f t="shared" si="17"/>
        <v>0</v>
      </c>
    </row>
    <row r="215" spans="1:13" x14ac:dyDescent="0.25">
      <c r="A215" s="145"/>
      <c r="G215" s="115"/>
      <c r="H215" s="129">
        <v>210</v>
      </c>
      <c r="I215" s="130" t="str">
        <f t="shared" si="18"/>
        <v/>
      </c>
      <c r="J215" s="129">
        <f t="shared" si="19"/>
        <v>-5</v>
      </c>
      <c r="K215" s="129">
        <f t="shared" si="16"/>
        <v>-50</v>
      </c>
      <c r="L215" s="129"/>
      <c r="M215" s="131">
        <f t="shared" si="17"/>
        <v>0</v>
      </c>
    </row>
    <row r="216" spans="1:13" x14ac:dyDescent="0.25">
      <c r="A216" s="145"/>
      <c r="G216" s="115"/>
      <c r="H216" s="129">
        <v>211</v>
      </c>
      <c r="I216" s="130" t="str">
        <f t="shared" si="18"/>
        <v/>
      </c>
      <c r="J216" s="129">
        <f t="shared" si="19"/>
        <v>-5</v>
      </c>
      <c r="K216" s="129">
        <f t="shared" si="16"/>
        <v>-50</v>
      </c>
      <c r="L216" s="129"/>
      <c r="M216" s="131">
        <f t="shared" si="17"/>
        <v>0</v>
      </c>
    </row>
    <row r="217" spans="1:13" x14ac:dyDescent="0.25">
      <c r="A217" s="145"/>
      <c r="G217" s="115"/>
      <c r="H217" s="129">
        <v>212</v>
      </c>
      <c r="I217" s="130" t="str">
        <f t="shared" si="18"/>
        <v/>
      </c>
      <c r="J217" s="129">
        <f t="shared" si="19"/>
        <v>-5</v>
      </c>
      <c r="K217" s="129">
        <f t="shared" si="16"/>
        <v>-50</v>
      </c>
      <c r="L217" s="129"/>
      <c r="M217" s="131">
        <f t="shared" si="17"/>
        <v>0</v>
      </c>
    </row>
    <row r="218" spans="1:13" x14ac:dyDescent="0.25">
      <c r="A218" s="145"/>
      <c r="G218" s="115"/>
      <c r="H218" s="129">
        <v>213</v>
      </c>
      <c r="I218" s="130" t="str">
        <f t="shared" si="18"/>
        <v/>
      </c>
      <c r="J218" s="129">
        <f t="shared" si="19"/>
        <v>-5</v>
      </c>
      <c r="K218" s="129">
        <f t="shared" si="16"/>
        <v>-50</v>
      </c>
      <c r="L218" s="129"/>
      <c r="M218" s="131">
        <f t="shared" si="17"/>
        <v>0</v>
      </c>
    </row>
    <row r="219" spans="1:13" x14ac:dyDescent="0.25">
      <c r="A219" s="145"/>
      <c r="G219" s="115"/>
      <c r="H219" s="129">
        <v>214</v>
      </c>
      <c r="I219" s="130" t="str">
        <f t="shared" si="18"/>
        <v/>
      </c>
      <c r="J219" s="129">
        <f t="shared" si="19"/>
        <v>-5</v>
      </c>
      <c r="K219" s="129">
        <f t="shared" si="16"/>
        <v>-50</v>
      </c>
      <c r="L219" s="129"/>
      <c r="M219" s="131">
        <f t="shared" si="17"/>
        <v>0</v>
      </c>
    </row>
    <row r="220" spans="1:13" x14ac:dyDescent="0.25">
      <c r="A220" s="145"/>
      <c r="G220" s="115"/>
      <c r="H220" s="129">
        <v>215</v>
      </c>
      <c r="I220" s="130" t="str">
        <f t="shared" si="18"/>
        <v/>
      </c>
      <c r="J220" s="129">
        <f t="shared" si="19"/>
        <v>-5</v>
      </c>
      <c r="K220" s="129">
        <f t="shared" si="16"/>
        <v>-50</v>
      </c>
      <c r="L220" s="129"/>
      <c r="M220" s="131">
        <f t="shared" si="17"/>
        <v>0</v>
      </c>
    </row>
    <row r="221" spans="1:13" x14ac:dyDescent="0.25">
      <c r="A221" s="145"/>
      <c r="G221" s="115"/>
      <c r="H221" s="129">
        <v>216</v>
      </c>
      <c r="I221" s="130" t="str">
        <f t="shared" si="18"/>
        <v/>
      </c>
      <c r="J221" s="129">
        <f t="shared" si="19"/>
        <v>-5</v>
      </c>
      <c r="K221" s="129">
        <f t="shared" si="16"/>
        <v>-50</v>
      </c>
      <c r="L221" s="129"/>
      <c r="M221" s="131">
        <f t="shared" si="17"/>
        <v>0</v>
      </c>
    </row>
    <row r="222" spans="1:13" x14ac:dyDescent="0.25">
      <c r="A222" s="145"/>
      <c r="G222" s="115"/>
      <c r="H222" s="129">
        <v>217</v>
      </c>
      <c r="I222" s="130" t="str">
        <f t="shared" si="18"/>
        <v/>
      </c>
      <c r="J222" s="129">
        <f t="shared" si="19"/>
        <v>-5</v>
      </c>
      <c r="K222" s="129">
        <f t="shared" si="16"/>
        <v>-50</v>
      </c>
      <c r="L222" s="129"/>
      <c r="M222" s="131">
        <f t="shared" si="17"/>
        <v>0</v>
      </c>
    </row>
    <row r="223" spans="1:13" x14ac:dyDescent="0.25">
      <c r="A223" s="145"/>
      <c r="G223" s="115"/>
      <c r="H223" s="129">
        <v>218</v>
      </c>
      <c r="I223" s="130" t="str">
        <f t="shared" si="18"/>
        <v/>
      </c>
      <c r="J223" s="129">
        <f t="shared" si="19"/>
        <v>-5</v>
      </c>
      <c r="K223" s="129">
        <f t="shared" si="16"/>
        <v>-50</v>
      </c>
      <c r="L223" s="129"/>
      <c r="M223" s="131">
        <f t="shared" si="17"/>
        <v>0</v>
      </c>
    </row>
    <row r="224" spans="1:13" x14ac:dyDescent="0.25">
      <c r="A224" s="145"/>
      <c r="G224" s="115"/>
      <c r="H224" s="129">
        <v>219</v>
      </c>
      <c r="I224" s="130" t="str">
        <f t="shared" si="18"/>
        <v/>
      </c>
      <c r="J224" s="129">
        <f t="shared" si="19"/>
        <v>-5</v>
      </c>
      <c r="K224" s="129">
        <f t="shared" si="16"/>
        <v>-50</v>
      </c>
      <c r="L224" s="129"/>
      <c r="M224" s="131">
        <f t="shared" si="17"/>
        <v>0</v>
      </c>
    </row>
    <row r="225" spans="1:13" x14ac:dyDescent="0.25">
      <c r="A225" s="145"/>
      <c r="G225" s="115"/>
      <c r="H225" s="129">
        <v>220</v>
      </c>
      <c r="I225" s="130" t="str">
        <f t="shared" si="18"/>
        <v/>
      </c>
      <c r="J225" s="129">
        <f t="shared" si="19"/>
        <v>-5</v>
      </c>
      <c r="K225" s="129">
        <f t="shared" si="16"/>
        <v>-50</v>
      </c>
      <c r="L225" s="129"/>
      <c r="M225" s="131">
        <f t="shared" si="17"/>
        <v>0</v>
      </c>
    </row>
    <row r="226" spans="1:13" x14ac:dyDescent="0.25">
      <c r="A226" s="145"/>
      <c r="G226" s="115"/>
      <c r="H226" s="129">
        <v>221</v>
      </c>
      <c r="I226" s="130" t="str">
        <f t="shared" si="18"/>
        <v/>
      </c>
      <c r="J226" s="129">
        <f t="shared" si="19"/>
        <v>-5</v>
      </c>
      <c r="K226" s="129">
        <f t="shared" si="16"/>
        <v>-50</v>
      </c>
      <c r="L226" s="129"/>
      <c r="M226" s="131">
        <f t="shared" si="17"/>
        <v>0</v>
      </c>
    </row>
    <row r="227" spans="1:13" x14ac:dyDescent="0.25">
      <c r="A227" s="145"/>
      <c r="G227" s="115"/>
      <c r="H227" s="129">
        <v>222</v>
      </c>
      <c r="I227" s="130" t="str">
        <f t="shared" si="18"/>
        <v/>
      </c>
      <c r="J227" s="129">
        <f t="shared" si="19"/>
        <v>-5</v>
      </c>
      <c r="K227" s="129">
        <f t="shared" si="16"/>
        <v>-50</v>
      </c>
      <c r="L227" s="129"/>
      <c r="M227" s="131">
        <f t="shared" si="17"/>
        <v>0</v>
      </c>
    </row>
    <row r="228" spans="1:13" x14ac:dyDescent="0.25">
      <c r="A228" s="145"/>
      <c r="G228" s="115"/>
      <c r="H228" s="129">
        <v>223</v>
      </c>
      <c r="I228" s="130" t="str">
        <f t="shared" si="18"/>
        <v/>
      </c>
      <c r="J228" s="129">
        <f t="shared" si="19"/>
        <v>-5</v>
      </c>
      <c r="K228" s="129">
        <f t="shared" si="16"/>
        <v>-50</v>
      </c>
      <c r="L228" s="129"/>
      <c r="M228" s="131">
        <f t="shared" si="17"/>
        <v>0</v>
      </c>
    </row>
    <row r="229" spans="1:13" x14ac:dyDescent="0.25">
      <c r="A229" s="145"/>
      <c r="G229" s="115"/>
      <c r="H229" s="129">
        <v>224</v>
      </c>
      <c r="I229" s="130" t="str">
        <f t="shared" si="18"/>
        <v/>
      </c>
      <c r="J229" s="129">
        <f t="shared" si="19"/>
        <v>-5</v>
      </c>
      <c r="K229" s="129">
        <f t="shared" si="16"/>
        <v>-50</v>
      </c>
      <c r="L229" s="129"/>
      <c r="M229" s="131">
        <f t="shared" si="17"/>
        <v>0</v>
      </c>
    </row>
    <row r="230" spans="1:13" x14ac:dyDescent="0.25">
      <c r="A230" s="145"/>
      <c r="G230" s="115"/>
      <c r="H230" s="129">
        <v>225</v>
      </c>
      <c r="I230" s="130" t="str">
        <f t="shared" si="18"/>
        <v/>
      </c>
      <c r="J230" s="129">
        <f t="shared" si="19"/>
        <v>-5</v>
      </c>
      <c r="K230" s="129">
        <f t="shared" si="16"/>
        <v>-50</v>
      </c>
      <c r="L230" s="129"/>
      <c r="M230" s="131">
        <f t="shared" si="17"/>
        <v>0</v>
      </c>
    </row>
    <row r="231" spans="1:13" x14ac:dyDescent="0.25">
      <c r="A231" s="145"/>
      <c r="G231" s="115"/>
      <c r="H231" s="129">
        <v>226</v>
      </c>
      <c r="I231" s="130" t="str">
        <f t="shared" si="18"/>
        <v/>
      </c>
      <c r="J231" s="129">
        <f t="shared" si="19"/>
        <v>-5</v>
      </c>
      <c r="K231" s="129">
        <f t="shared" si="16"/>
        <v>-50</v>
      </c>
      <c r="L231" s="129"/>
      <c r="M231" s="131">
        <f t="shared" si="17"/>
        <v>0</v>
      </c>
    </row>
    <row r="232" spans="1:13" x14ac:dyDescent="0.25">
      <c r="A232" s="145"/>
      <c r="G232" s="115"/>
      <c r="H232" s="129">
        <v>227</v>
      </c>
      <c r="I232" s="130" t="str">
        <f t="shared" si="18"/>
        <v/>
      </c>
      <c r="J232" s="129">
        <f t="shared" si="19"/>
        <v>-5</v>
      </c>
      <c r="K232" s="129">
        <f t="shared" si="16"/>
        <v>-50</v>
      </c>
      <c r="L232" s="129"/>
      <c r="M232" s="131">
        <f t="shared" si="17"/>
        <v>0</v>
      </c>
    </row>
    <row r="233" spans="1:13" x14ac:dyDescent="0.25">
      <c r="A233" s="145"/>
      <c r="G233" s="115"/>
      <c r="H233" s="129">
        <v>228</v>
      </c>
      <c r="I233" s="130" t="str">
        <f t="shared" si="18"/>
        <v/>
      </c>
      <c r="J233" s="129">
        <f t="shared" si="19"/>
        <v>-5</v>
      </c>
      <c r="K233" s="129">
        <f t="shared" si="16"/>
        <v>-50</v>
      </c>
      <c r="L233" s="129"/>
      <c r="M233" s="131">
        <f t="shared" si="17"/>
        <v>0</v>
      </c>
    </row>
    <row r="234" spans="1:13" x14ac:dyDescent="0.25">
      <c r="A234" s="145"/>
      <c r="G234" s="115"/>
      <c r="H234" s="129">
        <v>229</v>
      </c>
      <c r="I234" s="130" t="str">
        <f t="shared" si="18"/>
        <v/>
      </c>
      <c r="J234" s="129">
        <f t="shared" si="19"/>
        <v>-5</v>
      </c>
      <c r="K234" s="129">
        <f t="shared" si="16"/>
        <v>-50</v>
      </c>
      <c r="L234" s="129"/>
      <c r="M234" s="131">
        <f t="shared" si="17"/>
        <v>0</v>
      </c>
    </row>
    <row r="235" spans="1:13" x14ac:dyDescent="0.25">
      <c r="A235" s="145"/>
      <c r="G235" s="115"/>
      <c r="H235" s="129">
        <v>230</v>
      </c>
      <c r="I235" s="130" t="str">
        <f t="shared" si="18"/>
        <v/>
      </c>
      <c r="J235" s="129">
        <f t="shared" si="19"/>
        <v>-5</v>
      </c>
      <c r="K235" s="129">
        <f t="shared" si="16"/>
        <v>-50</v>
      </c>
      <c r="L235" s="129"/>
      <c r="M235" s="131">
        <f t="shared" si="17"/>
        <v>0</v>
      </c>
    </row>
    <row r="236" spans="1:13" x14ac:dyDescent="0.25">
      <c r="A236" s="145"/>
      <c r="G236" s="115"/>
      <c r="H236" s="129">
        <v>231</v>
      </c>
      <c r="I236" s="130" t="str">
        <f t="shared" si="18"/>
        <v/>
      </c>
      <c r="J236" s="129">
        <f t="shared" si="19"/>
        <v>-5</v>
      </c>
      <c r="K236" s="129">
        <f t="shared" si="16"/>
        <v>-50</v>
      </c>
      <c r="L236" s="129"/>
      <c r="M236" s="131">
        <f t="shared" si="17"/>
        <v>0</v>
      </c>
    </row>
    <row r="237" spans="1:13" x14ac:dyDescent="0.25">
      <c r="A237" s="145"/>
      <c r="G237" s="115"/>
      <c r="H237" s="129">
        <v>232</v>
      </c>
      <c r="I237" s="130" t="str">
        <f t="shared" si="18"/>
        <v/>
      </c>
      <c r="J237" s="129">
        <f t="shared" si="19"/>
        <v>-5</v>
      </c>
      <c r="K237" s="129">
        <f t="shared" si="16"/>
        <v>-50</v>
      </c>
      <c r="L237" s="129"/>
      <c r="M237" s="131">
        <f t="shared" si="17"/>
        <v>0</v>
      </c>
    </row>
    <row r="238" spans="1:13" x14ac:dyDescent="0.25">
      <c r="A238" s="145"/>
      <c r="G238" s="115"/>
      <c r="H238" s="129">
        <v>233</v>
      </c>
      <c r="I238" s="130" t="str">
        <f t="shared" si="18"/>
        <v/>
      </c>
      <c r="J238" s="129">
        <f t="shared" si="19"/>
        <v>-5</v>
      </c>
      <c r="K238" s="129">
        <f t="shared" si="16"/>
        <v>-50</v>
      </c>
      <c r="L238" s="129"/>
      <c r="M238" s="131">
        <f t="shared" si="17"/>
        <v>0</v>
      </c>
    </row>
    <row r="239" spans="1:13" x14ac:dyDescent="0.25">
      <c r="A239" s="145"/>
      <c r="G239" s="115"/>
      <c r="H239" s="129">
        <v>234</v>
      </c>
      <c r="I239" s="130" t="str">
        <f t="shared" si="18"/>
        <v/>
      </c>
      <c r="J239" s="129">
        <f t="shared" si="19"/>
        <v>-5</v>
      </c>
      <c r="K239" s="129">
        <f t="shared" si="16"/>
        <v>-50</v>
      </c>
      <c r="L239" s="129"/>
      <c r="M239" s="131">
        <f t="shared" si="17"/>
        <v>0</v>
      </c>
    </row>
    <row r="240" spans="1:13" x14ac:dyDescent="0.25">
      <c r="A240" s="145"/>
      <c r="G240" s="115"/>
      <c r="H240" s="129">
        <v>235</v>
      </c>
      <c r="I240" s="130" t="str">
        <f t="shared" si="18"/>
        <v/>
      </c>
      <c r="J240" s="129">
        <f t="shared" si="19"/>
        <v>-5</v>
      </c>
      <c r="K240" s="129">
        <f t="shared" si="16"/>
        <v>-50</v>
      </c>
      <c r="L240" s="129"/>
      <c r="M240" s="131">
        <f t="shared" si="17"/>
        <v>0</v>
      </c>
    </row>
    <row r="241" spans="1:13" x14ac:dyDescent="0.25">
      <c r="A241" s="145"/>
      <c r="G241" s="115"/>
      <c r="H241" s="129">
        <v>236</v>
      </c>
      <c r="I241" s="130" t="str">
        <f t="shared" si="18"/>
        <v/>
      </c>
      <c r="J241" s="129">
        <f t="shared" si="19"/>
        <v>-5</v>
      </c>
      <c r="K241" s="129">
        <f t="shared" si="16"/>
        <v>-50</v>
      </c>
      <c r="L241" s="129"/>
      <c r="M241" s="131">
        <f t="shared" si="17"/>
        <v>0</v>
      </c>
    </row>
    <row r="242" spans="1:13" x14ac:dyDescent="0.25">
      <c r="A242" s="145"/>
      <c r="G242" s="115"/>
      <c r="H242" s="129">
        <v>237</v>
      </c>
      <c r="I242" s="130" t="str">
        <f t="shared" si="18"/>
        <v/>
      </c>
      <c r="J242" s="129">
        <f t="shared" si="19"/>
        <v>-5</v>
      </c>
      <c r="K242" s="129">
        <f t="shared" si="16"/>
        <v>-50</v>
      </c>
      <c r="L242" s="129"/>
      <c r="M242" s="131">
        <f t="shared" si="17"/>
        <v>0</v>
      </c>
    </row>
    <row r="243" spans="1:13" x14ac:dyDescent="0.25">
      <c r="A243" s="145"/>
      <c r="G243" s="115"/>
      <c r="H243" s="129">
        <v>238</v>
      </c>
      <c r="I243" s="130" t="str">
        <f t="shared" si="18"/>
        <v/>
      </c>
      <c r="J243" s="129">
        <f t="shared" si="19"/>
        <v>-5</v>
      </c>
      <c r="K243" s="129">
        <f t="shared" si="16"/>
        <v>-50</v>
      </c>
      <c r="L243" s="129"/>
      <c r="M243" s="131">
        <f t="shared" si="17"/>
        <v>0</v>
      </c>
    </row>
    <row r="244" spans="1:13" x14ac:dyDescent="0.25">
      <c r="A244" s="145"/>
      <c r="G244" s="115"/>
      <c r="H244" s="129">
        <v>239</v>
      </c>
      <c r="I244" s="130" t="str">
        <f t="shared" si="18"/>
        <v/>
      </c>
      <c r="J244" s="129">
        <f t="shared" si="19"/>
        <v>-5</v>
      </c>
      <c r="K244" s="129">
        <f t="shared" si="16"/>
        <v>-50</v>
      </c>
      <c r="L244" s="129"/>
      <c r="M244" s="131">
        <f t="shared" si="17"/>
        <v>0</v>
      </c>
    </row>
    <row r="245" spans="1:13" x14ac:dyDescent="0.25">
      <c r="A245" s="145"/>
      <c r="G245" s="115"/>
      <c r="H245" s="129">
        <v>240</v>
      </c>
      <c r="I245" s="130" t="str">
        <f t="shared" si="18"/>
        <v/>
      </c>
      <c r="J245" s="129">
        <f t="shared" si="19"/>
        <v>-5</v>
      </c>
      <c r="K245" s="129">
        <f t="shared" si="16"/>
        <v>-50</v>
      </c>
      <c r="L245" s="129"/>
      <c r="M245" s="131">
        <f t="shared" si="17"/>
        <v>0</v>
      </c>
    </row>
    <row r="246" spans="1:13" x14ac:dyDescent="0.25">
      <c r="A246" s="145"/>
      <c r="G246" s="115"/>
      <c r="H246" s="129">
        <v>241</v>
      </c>
      <c r="I246" s="130" t="str">
        <f t="shared" si="18"/>
        <v/>
      </c>
      <c r="J246" s="129">
        <f t="shared" si="19"/>
        <v>-5</v>
      </c>
      <c r="K246" s="129">
        <f t="shared" si="16"/>
        <v>-50</v>
      </c>
      <c r="L246" s="129"/>
      <c r="M246" s="131">
        <f t="shared" si="17"/>
        <v>0</v>
      </c>
    </row>
    <row r="247" spans="1:13" x14ac:dyDescent="0.25">
      <c r="A247" s="145"/>
      <c r="G247" s="115"/>
      <c r="H247" s="129">
        <v>242</v>
      </c>
      <c r="I247" s="130" t="str">
        <f t="shared" si="18"/>
        <v/>
      </c>
      <c r="J247" s="129">
        <f t="shared" si="19"/>
        <v>-5</v>
      </c>
      <c r="K247" s="129">
        <f t="shared" si="16"/>
        <v>-50</v>
      </c>
      <c r="L247" s="129"/>
      <c r="M247" s="131">
        <f t="shared" si="17"/>
        <v>0</v>
      </c>
    </row>
    <row r="248" spans="1:13" x14ac:dyDescent="0.25">
      <c r="A248" s="145"/>
      <c r="G248" s="115"/>
      <c r="H248" s="129">
        <v>243</v>
      </c>
      <c r="I248" s="130" t="str">
        <f t="shared" si="18"/>
        <v/>
      </c>
      <c r="J248" s="129">
        <f t="shared" si="19"/>
        <v>-5</v>
      </c>
      <c r="K248" s="129">
        <f t="shared" si="16"/>
        <v>-50</v>
      </c>
      <c r="L248" s="129"/>
      <c r="M248" s="131">
        <f t="shared" si="17"/>
        <v>0</v>
      </c>
    </row>
    <row r="249" spans="1:13" x14ac:dyDescent="0.25">
      <c r="A249" s="145"/>
      <c r="G249" s="115"/>
      <c r="H249" s="129">
        <v>244</v>
      </c>
      <c r="I249" s="130" t="str">
        <f t="shared" si="18"/>
        <v/>
      </c>
      <c r="J249" s="129">
        <f t="shared" si="19"/>
        <v>-5</v>
      </c>
      <c r="K249" s="129">
        <f t="shared" si="16"/>
        <v>-50</v>
      </c>
      <c r="L249" s="129"/>
      <c r="M249" s="131">
        <f t="shared" si="17"/>
        <v>0</v>
      </c>
    </row>
    <row r="250" spans="1:13" x14ac:dyDescent="0.25">
      <c r="A250" s="145"/>
      <c r="G250" s="115"/>
      <c r="H250" s="129">
        <v>245</v>
      </c>
      <c r="I250" s="130" t="str">
        <f t="shared" si="18"/>
        <v/>
      </c>
      <c r="J250" s="129">
        <f t="shared" si="19"/>
        <v>-5</v>
      </c>
      <c r="K250" s="129">
        <f t="shared" si="16"/>
        <v>-50</v>
      </c>
      <c r="L250" s="129"/>
      <c r="M250" s="131">
        <f t="shared" si="17"/>
        <v>0</v>
      </c>
    </row>
    <row r="251" spans="1:13" x14ac:dyDescent="0.25">
      <c r="A251" s="145"/>
      <c r="G251" s="115"/>
      <c r="H251" s="129">
        <v>246</v>
      </c>
      <c r="I251" s="130" t="str">
        <f t="shared" si="18"/>
        <v/>
      </c>
      <c r="J251" s="129">
        <f t="shared" si="19"/>
        <v>-5</v>
      </c>
      <c r="K251" s="129">
        <f t="shared" si="16"/>
        <v>-50</v>
      </c>
      <c r="L251" s="129"/>
      <c r="M251" s="131">
        <f t="shared" si="17"/>
        <v>0</v>
      </c>
    </row>
    <row r="252" spans="1:13" x14ac:dyDescent="0.25">
      <c r="A252" s="145"/>
      <c r="G252" s="115"/>
      <c r="H252" s="129">
        <v>247</v>
      </c>
      <c r="I252" s="130" t="str">
        <f t="shared" si="18"/>
        <v/>
      </c>
      <c r="J252" s="129">
        <f t="shared" si="19"/>
        <v>-5</v>
      </c>
      <c r="K252" s="129">
        <f t="shared" si="16"/>
        <v>-50</v>
      </c>
      <c r="L252" s="129"/>
      <c r="M252" s="131">
        <f t="shared" si="17"/>
        <v>0</v>
      </c>
    </row>
    <row r="253" spans="1:13" x14ac:dyDescent="0.25">
      <c r="A253" s="145"/>
      <c r="G253" s="115"/>
      <c r="H253" s="129">
        <v>248</v>
      </c>
      <c r="I253" s="130" t="str">
        <f t="shared" si="18"/>
        <v/>
      </c>
      <c r="J253" s="129">
        <f t="shared" si="19"/>
        <v>-5</v>
      </c>
      <c r="K253" s="129">
        <f t="shared" si="16"/>
        <v>-50</v>
      </c>
      <c r="L253" s="129"/>
      <c r="M253" s="131">
        <f t="shared" si="17"/>
        <v>0</v>
      </c>
    </row>
    <row r="254" spans="1:13" x14ac:dyDescent="0.25">
      <c r="A254" s="145"/>
      <c r="G254" s="115"/>
      <c r="H254" s="129">
        <v>249</v>
      </c>
      <c r="I254" s="130" t="str">
        <f t="shared" si="18"/>
        <v/>
      </c>
      <c r="J254" s="129">
        <f t="shared" si="19"/>
        <v>-5</v>
      </c>
      <c r="K254" s="129">
        <f t="shared" si="16"/>
        <v>-50</v>
      </c>
      <c r="L254" s="129"/>
      <c r="M254" s="131">
        <f t="shared" si="17"/>
        <v>0</v>
      </c>
    </row>
    <row r="255" spans="1:13" x14ac:dyDescent="0.25">
      <c r="A255" s="145"/>
      <c r="G255" s="115"/>
      <c r="H255" s="129">
        <v>250</v>
      </c>
      <c r="I255" s="130" t="str">
        <f t="shared" si="18"/>
        <v/>
      </c>
      <c r="J255" s="129">
        <f t="shared" si="19"/>
        <v>-5</v>
      </c>
      <c r="K255" s="129">
        <f t="shared" si="16"/>
        <v>-50</v>
      </c>
      <c r="L255" s="129"/>
      <c r="M255" s="131">
        <f t="shared" si="17"/>
        <v>0</v>
      </c>
    </row>
    <row r="256" spans="1:13" x14ac:dyDescent="0.25">
      <c r="A256" s="145"/>
      <c r="G256" s="115"/>
      <c r="H256" s="129">
        <v>251</v>
      </c>
      <c r="I256" s="130" t="str">
        <f t="shared" si="18"/>
        <v/>
      </c>
      <c r="J256" s="129">
        <f t="shared" si="19"/>
        <v>-5</v>
      </c>
      <c r="K256" s="129">
        <f t="shared" si="16"/>
        <v>-50</v>
      </c>
      <c r="L256" s="129"/>
      <c r="M256" s="131">
        <f t="shared" si="17"/>
        <v>0</v>
      </c>
    </row>
    <row r="257" spans="1:13" x14ac:dyDescent="0.25">
      <c r="A257" s="145"/>
      <c r="G257" s="115"/>
      <c r="H257" s="129">
        <v>252</v>
      </c>
      <c r="I257" s="130" t="str">
        <f t="shared" si="18"/>
        <v/>
      </c>
      <c r="J257" s="129">
        <f t="shared" si="19"/>
        <v>-5</v>
      </c>
      <c r="K257" s="129">
        <f t="shared" si="16"/>
        <v>-50</v>
      </c>
      <c r="L257" s="129"/>
      <c r="M257" s="131">
        <f t="shared" si="17"/>
        <v>0</v>
      </c>
    </row>
    <row r="258" spans="1:13" x14ac:dyDescent="0.25">
      <c r="A258" s="145"/>
      <c r="G258" s="115"/>
      <c r="H258" s="129">
        <v>253</v>
      </c>
      <c r="I258" s="130" t="str">
        <f t="shared" si="18"/>
        <v/>
      </c>
      <c r="J258" s="129">
        <f t="shared" si="19"/>
        <v>-5</v>
      </c>
      <c r="K258" s="129">
        <f t="shared" si="16"/>
        <v>-50</v>
      </c>
      <c r="L258" s="129"/>
      <c r="M258" s="131">
        <f t="shared" si="17"/>
        <v>0</v>
      </c>
    </row>
    <row r="259" spans="1:13" x14ac:dyDescent="0.25">
      <c r="A259" s="145"/>
      <c r="G259" s="115"/>
      <c r="H259" s="129">
        <v>254</v>
      </c>
      <c r="I259" s="130" t="str">
        <f t="shared" si="18"/>
        <v/>
      </c>
      <c r="J259" s="129">
        <f t="shared" si="19"/>
        <v>-5</v>
      </c>
      <c r="K259" s="129">
        <f t="shared" si="16"/>
        <v>-50</v>
      </c>
      <c r="L259" s="129"/>
      <c r="M259" s="131">
        <f t="shared" si="17"/>
        <v>0</v>
      </c>
    </row>
    <row r="260" spans="1:13" x14ac:dyDescent="0.25">
      <c r="A260" s="145"/>
      <c r="G260" s="115"/>
      <c r="H260" s="129">
        <v>255</v>
      </c>
      <c r="I260" s="130" t="str">
        <f t="shared" si="18"/>
        <v/>
      </c>
      <c r="J260" s="129">
        <f t="shared" si="19"/>
        <v>-5</v>
      </c>
      <c r="K260" s="129">
        <f t="shared" si="16"/>
        <v>-50</v>
      </c>
      <c r="L260" s="129"/>
      <c r="M260" s="131">
        <f t="shared" si="17"/>
        <v>0</v>
      </c>
    </row>
    <row r="261" spans="1:13" x14ac:dyDescent="0.25">
      <c r="A261" s="145"/>
      <c r="G261" s="115"/>
      <c r="H261" s="129">
        <v>256</v>
      </c>
      <c r="I261" s="130" t="str">
        <f t="shared" si="18"/>
        <v/>
      </c>
      <c r="J261" s="129">
        <f t="shared" si="19"/>
        <v>-5</v>
      </c>
      <c r="K261" s="129">
        <f t="shared" si="16"/>
        <v>-50</v>
      </c>
      <c r="L261" s="129"/>
      <c r="M261" s="131">
        <f t="shared" si="17"/>
        <v>0</v>
      </c>
    </row>
    <row r="262" spans="1:13" x14ac:dyDescent="0.25">
      <c r="A262" s="145"/>
      <c r="G262" s="115"/>
      <c r="H262" s="129">
        <v>257</v>
      </c>
      <c r="I262" s="130" t="str">
        <f t="shared" si="18"/>
        <v/>
      </c>
      <c r="J262" s="129">
        <f t="shared" si="19"/>
        <v>-6</v>
      </c>
      <c r="K262" s="129">
        <f t="shared" ref="K262:K305" si="20">J262*$J$2</f>
        <v>-60</v>
      </c>
      <c r="L262" s="129"/>
      <c r="M262" s="131">
        <f t="shared" ref="M262:M305" si="21">IF(I262&lt;&gt;"",K262+I262+L262,0)</f>
        <v>0</v>
      </c>
    </row>
    <row r="263" spans="1:13" x14ac:dyDescent="0.25">
      <c r="A263" s="145"/>
      <c r="G263" s="115"/>
      <c r="H263" s="129">
        <v>258</v>
      </c>
      <c r="I263" s="130" t="str">
        <f t="shared" ref="I263:I305" si="22">IF(H263&lt;$H$2+1,($I$2-($I$2-1)*(LOG(H263)/LOG($H$2))),"")</f>
        <v/>
      </c>
      <c r="J263" s="129">
        <f t="shared" ref="J263:J305" si="23">INT(LOG($H$2,2))-ROUNDUP(LOG(H263,2),0)+IF(OR($H$2=1,$H$2=2,$H$2=4,$H$2=8,$H$2=16,$H$2=32,$H$2=64,$H$2=128,$H$2=256),0,1)</f>
        <v>-6</v>
      </c>
      <c r="K263" s="129">
        <f t="shared" si="20"/>
        <v>-60</v>
      </c>
      <c r="L263" s="129"/>
      <c r="M263" s="131">
        <f t="shared" si="21"/>
        <v>0</v>
      </c>
    </row>
    <row r="264" spans="1:13" x14ac:dyDescent="0.25">
      <c r="A264" s="145"/>
      <c r="G264" s="115"/>
      <c r="H264" s="129">
        <v>259</v>
      </c>
      <c r="I264" s="130" t="str">
        <f t="shared" si="22"/>
        <v/>
      </c>
      <c r="J264" s="129">
        <f t="shared" si="23"/>
        <v>-6</v>
      </c>
      <c r="K264" s="129">
        <f t="shared" si="20"/>
        <v>-60</v>
      </c>
      <c r="L264" s="129"/>
      <c r="M264" s="131">
        <f t="shared" si="21"/>
        <v>0</v>
      </c>
    </row>
    <row r="265" spans="1:13" x14ac:dyDescent="0.25">
      <c r="A265" s="145"/>
      <c r="G265" s="115"/>
      <c r="H265" s="129">
        <v>260</v>
      </c>
      <c r="I265" s="130" t="str">
        <f t="shared" si="22"/>
        <v/>
      </c>
      <c r="J265" s="129">
        <f t="shared" si="23"/>
        <v>-6</v>
      </c>
      <c r="K265" s="129">
        <f t="shared" si="20"/>
        <v>-60</v>
      </c>
      <c r="L265" s="129"/>
      <c r="M265" s="131">
        <f t="shared" si="21"/>
        <v>0</v>
      </c>
    </row>
    <row r="266" spans="1:13" x14ac:dyDescent="0.25">
      <c r="A266" s="145"/>
      <c r="G266" s="115"/>
      <c r="H266" s="129">
        <v>261</v>
      </c>
      <c r="I266" s="130" t="str">
        <f t="shared" si="22"/>
        <v/>
      </c>
      <c r="J266" s="129">
        <f t="shared" si="23"/>
        <v>-6</v>
      </c>
      <c r="K266" s="129">
        <f t="shared" si="20"/>
        <v>-60</v>
      </c>
      <c r="L266" s="129"/>
      <c r="M266" s="131">
        <f t="shared" si="21"/>
        <v>0</v>
      </c>
    </row>
    <row r="267" spans="1:13" x14ac:dyDescent="0.25">
      <c r="A267" s="145"/>
      <c r="G267" s="115"/>
      <c r="H267" s="129">
        <v>262</v>
      </c>
      <c r="I267" s="130" t="str">
        <f t="shared" si="22"/>
        <v/>
      </c>
      <c r="J267" s="129">
        <f t="shared" si="23"/>
        <v>-6</v>
      </c>
      <c r="K267" s="129">
        <f t="shared" si="20"/>
        <v>-60</v>
      </c>
      <c r="L267" s="129"/>
      <c r="M267" s="131">
        <f t="shared" si="21"/>
        <v>0</v>
      </c>
    </row>
    <row r="268" spans="1:13" x14ac:dyDescent="0.25">
      <c r="A268" s="145"/>
      <c r="G268" s="115"/>
      <c r="H268" s="129">
        <v>263</v>
      </c>
      <c r="I268" s="130" t="str">
        <f t="shared" si="22"/>
        <v/>
      </c>
      <c r="J268" s="129">
        <f t="shared" si="23"/>
        <v>-6</v>
      </c>
      <c r="K268" s="129">
        <f t="shared" si="20"/>
        <v>-60</v>
      </c>
      <c r="L268" s="129"/>
      <c r="M268" s="131">
        <f t="shared" si="21"/>
        <v>0</v>
      </c>
    </row>
    <row r="269" spans="1:13" x14ac:dyDescent="0.25">
      <c r="A269" s="145"/>
      <c r="G269" s="115"/>
      <c r="H269" s="129">
        <v>264</v>
      </c>
      <c r="I269" s="130" t="str">
        <f t="shared" si="22"/>
        <v/>
      </c>
      <c r="J269" s="129">
        <f t="shared" si="23"/>
        <v>-6</v>
      </c>
      <c r="K269" s="129">
        <f t="shared" si="20"/>
        <v>-60</v>
      </c>
      <c r="L269" s="129"/>
      <c r="M269" s="131">
        <f t="shared" si="21"/>
        <v>0</v>
      </c>
    </row>
    <row r="270" spans="1:13" x14ac:dyDescent="0.25">
      <c r="A270" s="145"/>
      <c r="G270" s="115"/>
      <c r="H270" s="129">
        <v>265</v>
      </c>
      <c r="I270" s="130" t="str">
        <f t="shared" si="22"/>
        <v/>
      </c>
      <c r="J270" s="129">
        <f t="shared" si="23"/>
        <v>-6</v>
      </c>
      <c r="K270" s="129">
        <f t="shared" si="20"/>
        <v>-60</v>
      </c>
      <c r="L270" s="129"/>
      <c r="M270" s="131">
        <f t="shared" si="21"/>
        <v>0</v>
      </c>
    </row>
    <row r="271" spans="1:13" x14ac:dyDescent="0.25">
      <c r="A271" s="145"/>
      <c r="G271" s="115"/>
      <c r="H271" s="129">
        <v>266</v>
      </c>
      <c r="I271" s="130" t="str">
        <f t="shared" si="22"/>
        <v/>
      </c>
      <c r="J271" s="129">
        <f t="shared" si="23"/>
        <v>-6</v>
      </c>
      <c r="K271" s="129">
        <f t="shared" si="20"/>
        <v>-60</v>
      </c>
      <c r="L271" s="129"/>
      <c r="M271" s="131">
        <f t="shared" si="21"/>
        <v>0</v>
      </c>
    </row>
    <row r="272" spans="1:13" x14ac:dyDescent="0.25">
      <c r="A272" s="145"/>
      <c r="G272" s="115"/>
      <c r="H272" s="129">
        <v>267</v>
      </c>
      <c r="I272" s="130" t="str">
        <f t="shared" si="22"/>
        <v/>
      </c>
      <c r="J272" s="129">
        <f t="shared" si="23"/>
        <v>-6</v>
      </c>
      <c r="K272" s="129">
        <f t="shared" si="20"/>
        <v>-60</v>
      </c>
      <c r="L272" s="129"/>
      <c r="M272" s="131">
        <f t="shared" si="21"/>
        <v>0</v>
      </c>
    </row>
    <row r="273" spans="1:13" x14ac:dyDescent="0.25">
      <c r="A273" s="145"/>
      <c r="G273" s="115"/>
      <c r="H273" s="129">
        <v>268</v>
      </c>
      <c r="I273" s="130" t="str">
        <f t="shared" si="22"/>
        <v/>
      </c>
      <c r="J273" s="129">
        <f t="shared" si="23"/>
        <v>-6</v>
      </c>
      <c r="K273" s="129">
        <f t="shared" si="20"/>
        <v>-60</v>
      </c>
      <c r="L273" s="129"/>
      <c r="M273" s="131">
        <f t="shared" si="21"/>
        <v>0</v>
      </c>
    </row>
    <row r="274" spans="1:13" x14ac:dyDescent="0.25">
      <c r="A274" s="145"/>
      <c r="G274" s="115"/>
      <c r="H274" s="129">
        <v>269</v>
      </c>
      <c r="I274" s="130" t="str">
        <f t="shared" si="22"/>
        <v/>
      </c>
      <c r="J274" s="129">
        <f t="shared" si="23"/>
        <v>-6</v>
      </c>
      <c r="K274" s="129">
        <f t="shared" si="20"/>
        <v>-60</v>
      </c>
      <c r="L274" s="129"/>
      <c r="M274" s="131">
        <f t="shared" si="21"/>
        <v>0</v>
      </c>
    </row>
    <row r="275" spans="1:13" x14ac:dyDescent="0.25">
      <c r="A275" s="145"/>
      <c r="G275" s="115"/>
      <c r="H275" s="129">
        <v>270</v>
      </c>
      <c r="I275" s="130" t="str">
        <f t="shared" si="22"/>
        <v/>
      </c>
      <c r="J275" s="129">
        <f t="shared" si="23"/>
        <v>-6</v>
      </c>
      <c r="K275" s="129">
        <f t="shared" si="20"/>
        <v>-60</v>
      </c>
      <c r="L275" s="129"/>
      <c r="M275" s="131">
        <f t="shared" si="21"/>
        <v>0</v>
      </c>
    </row>
    <row r="276" spans="1:13" x14ac:dyDescent="0.25">
      <c r="A276" s="145"/>
      <c r="G276" s="115"/>
      <c r="H276" s="129">
        <v>271</v>
      </c>
      <c r="I276" s="130" t="str">
        <f t="shared" si="22"/>
        <v/>
      </c>
      <c r="J276" s="129">
        <f t="shared" si="23"/>
        <v>-6</v>
      </c>
      <c r="K276" s="129">
        <f t="shared" si="20"/>
        <v>-60</v>
      </c>
      <c r="L276" s="129"/>
      <c r="M276" s="131">
        <f t="shared" si="21"/>
        <v>0</v>
      </c>
    </row>
    <row r="277" spans="1:13" x14ac:dyDescent="0.25">
      <c r="A277" s="145"/>
      <c r="G277" s="115"/>
      <c r="H277" s="129">
        <v>272</v>
      </c>
      <c r="I277" s="130" t="str">
        <f t="shared" si="22"/>
        <v/>
      </c>
      <c r="J277" s="129">
        <f t="shared" si="23"/>
        <v>-6</v>
      </c>
      <c r="K277" s="129">
        <f t="shared" si="20"/>
        <v>-60</v>
      </c>
      <c r="L277" s="129"/>
      <c r="M277" s="131">
        <f t="shared" si="21"/>
        <v>0</v>
      </c>
    </row>
    <row r="278" spans="1:13" x14ac:dyDescent="0.25">
      <c r="A278" s="145"/>
      <c r="G278" s="115"/>
      <c r="H278" s="129">
        <v>273</v>
      </c>
      <c r="I278" s="130" t="str">
        <f t="shared" si="22"/>
        <v/>
      </c>
      <c r="J278" s="129">
        <f t="shared" si="23"/>
        <v>-6</v>
      </c>
      <c r="K278" s="129">
        <f t="shared" si="20"/>
        <v>-60</v>
      </c>
      <c r="L278" s="129"/>
      <c r="M278" s="131">
        <f t="shared" si="21"/>
        <v>0</v>
      </c>
    </row>
    <row r="279" spans="1:13" x14ac:dyDescent="0.25">
      <c r="A279" s="145"/>
      <c r="G279" s="115"/>
      <c r="H279" s="129">
        <v>274</v>
      </c>
      <c r="I279" s="130" t="str">
        <f t="shared" si="22"/>
        <v/>
      </c>
      <c r="J279" s="129">
        <f t="shared" si="23"/>
        <v>-6</v>
      </c>
      <c r="K279" s="129">
        <f t="shared" si="20"/>
        <v>-60</v>
      </c>
      <c r="L279" s="129"/>
      <c r="M279" s="131">
        <f t="shared" si="21"/>
        <v>0</v>
      </c>
    </row>
    <row r="280" spans="1:13" x14ac:dyDescent="0.25">
      <c r="A280" s="145"/>
      <c r="G280" s="115"/>
      <c r="H280" s="129">
        <v>275</v>
      </c>
      <c r="I280" s="130" t="str">
        <f t="shared" si="22"/>
        <v/>
      </c>
      <c r="J280" s="129">
        <f t="shared" si="23"/>
        <v>-6</v>
      </c>
      <c r="K280" s="129">
        <f t="shared" si="20"/>
        <v>-60</v>
      </c>
      <c r="L280" s="129"/>
      <c r="M280" s="131">
        <f t="shared" si="21"/>
        <v>0</v>
      </c>
    </row>
    <row r="281" spans="1:13" x14ac:dyDescent="0.25">
      <c r="A281" s="145"/>
      <c r="G281" s="115"/>
      <c r="H281" s="129">
        <v>276</v>
      </c>
      <c r="I281" s="130" t="str">
        <f t="shared" si="22"/>
        <v/>
      </c>
      <c r="J281" s="129">
        <f t="shared" si="23"/>
        <v>-6</v>
      </c>
      <c r="K281" s="129">
        <f t="shared" si="20"/>
        <v>-60</v>
      </c>
      <c r="L281" s="129"/>
      <c r="M281" s="131">
        <f t="shared" si="21"/>
        <v>0</v>
      </c>
    </row>
    <row r="282" spans="1:13" x14ac:dyDescent="0.25">
      <c r="A282" s="145"/>
      <c r="G282" s="115"/>
      <c r="H282" s="129">
        <v>277</v>
      </c>
      <c r="I282" s="130" t="str">
        <f t="shared" si="22"/>
        <v/>
      </c>
      <c r="J282" s="129">
        <f t="shared" si="23"/>
        <v>-6</v>
      </c>
      <c r="K282" s="129">
        <f t="shared" si="20"/>
        <v>-60</v>
      </c>
      <c r="L282" s="129"/>
      <c r="M282" s="131">
        <f t="shared" si="21"/>
        <v>0</v>
      </c>
    </row>
    <row r="283" spans="1:13" x14ac:dyDescent="0.25">
      <c r="A283" s="145"/>
      <c r="G283" s="115"/>
      <c r="H283" s="129">
        <v>278</v>
      </c>
      <c r="I283" s="130" t="str">
        <f t="shared" si="22"/>
        <v/>
      </c>
      <c r="J283" s="129">
        <f t="shared" si="23"/>
        <v>-6</v>
      </c>
      <c r="K283" s="129">
        <f t="shared" si="20"/>
        <v>-60</v>
      </c>
      <c r="L283" s="129"/>
      <c r="M283" s="131">
        <f t="shared" si="21"/>
        <v>0</v>
      </c>
    </row>
    <row r="284" spans="1:13" x14ac:dyDescent="0.25">
      <c r="A284" s="145"/>
      <c r="G284" s="115"/>
      <c r="H284" s="129">
        <v>279</v>
      </c>
      <c r="I284" s="130" t="str">
        <f t="shared" si="22"/>
        <v/>
      </c>
      <c r="J284" s="129">
        <f t="shared" si="23"/>
        <v>-6</v>
      </c>
      <c r="K284" s="129">
        <f t="shared" si="20"/>
        <v>-60</v>
      </c>
      <c r="L284" s="129"/>
      <c r="M284" s="131">
        <f t="shared" si="21"/>
        <v>0</v>
      </c>
    </row>
    <row r="285" spans="1:13" x14ac:dyDescent="0.25">
      <c r="A285" s="145"/>
      <c r="G285" s="115"/>
      <c r="H285" s="129">
        <v>280</v>
      </c>
      <c r="I285" s="130" t="str">
        <f t="shared" si="22"/>
        <v/>
      </c>
      <c r="J285" s="129">
        <f t="shared" si="23"/>
        <v>-6</v>
      </c>
      <c r="K285" s="129">
        <f t="shared" si="20"/>
        <v>-60</v>
      </c>
      <c r="L285" s="129"/>
      <c r="M285" s="131">
        <f t="shared" si="21"/>
        <v>0</v>
      </c>
    </row>
    <row r="286" spans="1:13" x14ac:dyDescent="0.25">
      <c r="A286" s="145"/>
      <c r="G286" s="115"/>
      <c r="H286" s="129">
        <v>281</v>
      </c>
      <c r="I286" s="130" t="str">
        <f t="shared" si="22"/>
        <v/>
      </c>
      <c r="J286" s="129">
        <f t="shared" si="23"/>
        <v>-6</v>
      </c>
      <c r="K286" s="129">
        <f t="shared" si="20"/>
        <v>-60</v>
      </c>
      <c r="L286" s="129"/>
      <c r="M286" s="131">
        <f t="shared" si="21"/>
        <v>0</v>
      </c>
    </row>
    <row r="287" spans="1:13" x14ac:dyDescent="0.25">
      <c r="A287" s="145"/>
      <c r="G287" s="115"/>
      <c r="H287" s="129">
        <v>282</v>
      </c>
      <c r="I287" s="130" t="str">
        <f t="shared" si="22"/>
        <v/>
      </c>
      <c r="J287" s="129">
        <f t="shared" si="23"/>
        <v>-6</v>
      </c>
      <c r="K287" s="129">
        <f t="shared" si="20"/>
        <v>-60</v>
      </c>
      <c r="L287" s="129"/>
      <c r="M287" s="131">
        <f t="shared" si="21"/>
        <v>0</v>
      </c>
    </row>
    <row r="288" spans="1:13" x14ac:dyDescent="0.25">
      <c r="A288" s="145"/>
      <c r="G288" s="115"/>
      <c r="H288" s="129">
        <v>283</v>
      </c>
      <c r="I288" s="130" t="str">
        <f t="shared" si="22"/>
        <v/>
      </c>
      <c r="J288" s="129">
        <f t="shared" si="23"/>
        <v>-6</v>
      </c>
      <c r="K288" s="129">
        <f t="shared" si="20"/>
        <v>-60</v>
      </c>
      <c r="L288" s="129"/>
      <c r="M288" s="131">
        <f t="shared" si="21"/>
        <v>0</v>
      </c>
    </row>
    <row r="289" spans="1:13" x14ac:dyDescent="0.25">
      <c r="A289" s="145"/>
      <c r="G289" s="115"/>
      <c r="H289" s="129">
        <v>284</v>
      </c>
      <c r="I289" s="130" t="str">
        <f t="shared" si="22"/>
        <v/>
      </c>
      <c r="J289" s="129">
        <f t="shared" si="23"/>
        <v>-6</v>
      </c>
      <c r="K289" s="129">
        <f t="shared" si="20"/>
        <v>-60</v>
      </c>
      <c r="L289" s="129"/>
      <c r="M289" s="131">
        <f t="shared" si="21"/>
        <v>0</v>
      </c>
    </row>
    <row r="290" spans="1:13" x14ac:dyDescent="0.25">
      <c r="A290" s="145"/>
      <c r="G290" s="115"/>
      <c r="H290" s="129">
        <v>285</v>
      </c>
      <c r="I290" s="130" t="str">
        <f t="shared" si="22"/>
        <v/>
      </c>
      <c r="J290" s="129">
        <f t="shared" si="23"/>
        <v>-6</v>
      </c>
      <c r="K290" s="129">
        <f t="shared" si="20"/>
        <v>-60</v>
      </c>
      <c r="L290" s="129"/>
      <c r="M290" s="131">
        <f t="shared" si="21"/>
        <v>0</v>
      </c>
    </row>
    <row r="291" spans="1:13" x14ac:dyDescent="0.25">
      <c r="A291" s="145"/>
      <c r="G291" s="115"/>
      <c r="H291" s="129">
        <v>286</v>
      </c>
      <c r="I291" s="130" t="str">
        <f t="shared" si="22"/>
        <v/>
      </c>
      <c r="J291" s="129">
        <f t="shared" si="23"/>
        <v>-6</v>
      </c>
      <c r="K291" s="129">
        <f t="shared" si="20"/>
        <v>-60</v>
      </c>
      <c r="L291" s="129"/>
      <c r="M291" s="131">
        <f t="shared" si="21"/>
        <v>0</v>
      </c>
    </row>
    <row r="292" spans="1:13" x14ac:dyDescent="0.25">
      <c r="A292" s="145"/>
      <c r="G292" s="115"/>
      <c r="H292" s="129">
        <v>287</v>
      </c>
      <c r="I292" s="130" t="str">
        <f t="shared" si="22"/>
        <v/>
      </c>
      <c r="J292" s="129">
        <f t="shared" si="23"/>
        <v>-6</v>
      </c>
      <c r="K292" s="129">
        <f t="shared" si="20"/>
        <v>-60</v>
      </c>
      <c r="L292" s="129"/>
      <c r="M292" s="131">
        <f t="shared" si="21"/>
        <v>0</v>
      </c>
    </row>
    <row r="293" spans="1:13" x14ac:dyDescent="0.25">
      <c r="A293" s="145"/>
      <c r="G293" s="115"/>
      <c r="H293" s="129">
        <v>288</v>
      </c>
      <c r="I293" s="130" t="str">
        <f t="shared" si="22"/>
        <v/>
      </c>
      <c r="J293" s="129">
        <f t="shared" si="23"/>
        <v>-6</v>
      </c>
      <c r="K293" s="129">
        <f t="shared" si="20"/>
        <v>-60</v>
      </c>
      <c r="L293" s="129"/>
      <c r="M293" s="131">
        <f t="shared" si="21"/>
        <v>0</v>
      </c>
    </row>
    <row r="294" spans="1:13" x14ac:dyDescent="0.25">
      <c r="A294" s="145"/>
      <c r="G294" s="115"/>
      <c r="H294" s="129">
        <v>289</v>
      </c>
      <c r="I294" s="130" t="str">
        <f t="shared" si="22"/>
        <v/>
      </c>
      <c r="J294" s="129">
        <f t="shared" si="23"/>
        <v>-6</v>
      </c>
      <c r="K294" s="129">
        <f t="shared" si="20"/>
        <v>-60</v>
      </c>
      <c r="L294" s="129"/>
      <c r="M294" s="131">
        <f t="shared" si="21"/>
        <v>0</v>
      </c>
    </row>
    <row r="295" spans="1:13" x14ac:dyDescent="0.25">
      <c r="A295" s="145"/>
      <c r="G295" s="115"/>
      <c r="H295" s="129">
        <v>290</v>
      </c>
      <c r="I295" s="130" t="str">
        <f t="shared" si="22"/>
        <v/>
      </c>
      <c r="J295" s="129">
        <f t="shared" si="23"/>
        <v>-6</v>
      </c>
      <c r="K295" s="129">
        <f t="shared" si="20"/>
        <v>-60</v>
      </c>
      <c r="L295" s="129"/>
      <c r="M295" s="131">
        <f t="shared" si="21"/>
        <v>0</v>
      </c>
    </row>
    <row r="296" spans="1:13" x14ac:dyDescent="0.25">
      <c r="A296" s="145"/>
      <c r="G296" s="115"/>
      <c r="H296" s="129">
        <v>291</v>
      </c>
      <c r="I296" s="130" t="str">
        <f t="shared" si="22"/>
        <v/>
      </c>
      <c r="J296" s="129">
        <f t="shared" si="23"/>
        <v>-6</v>
      </c>
      <c r="K296" s="129">
        <f t="shared" si="20"/>
        <v>-60</v>
      </c>
      <c r="L296" s="129"/>
      <c r="M296" s="131">
        <f t="shared" si="21"/>
        <v>0</v>
      </c>
    </row>
    <row r="297" spans="1:13" x14ac:dyDescent="0.25">
      <c r="A297" s="145"/>
      <c r="G297" s="115"/>
      <c r="H297" s="129">
        <v>292</v>
      </c>
      <c r="I297" s="130" t="str">
        <f t="shared" si="22"/>
        <v/>
      </c>
      <c r="J297" s="129">
        <f t="shared" si="23"/>
        <v>-6</v>
      </c>
      <c r="K297" s="129">
        <f t="shared" si="20"/>
        <v>-60</v>
      </c>
      <c r="L297" s="129"/>
      <c r="M297" s="131">
        <f t="shared" si="21"/>
        <v>0</v>
      </c>
    </row>
    <row r="298" spans="1:13" x14ac:dyDescent="0.25">
      <c r="A298" s="145"/>
      <c r="G298" s="115"/>
      <c r="H298" s="129">
        <v>293</v>
      </c>
      <c r="I298" s="130" t="str">
        <f t="shared" si="22"/>
        <v/>
      </c>
      <c r="J298" s="129">
        <f t="shared" si="23"/>
        <v>-6</v>
      </c>
      <c r="K298" s="129">
        <f t="shared" si="20"/>
        <v>-60</v>
      </c>
      <c r="L298" s="129"/>
      <c r="M298" s="131">
        <f t="shared" si="21"/>
        <v>0</v>
      </c>
    </row>
    <row r="299" spans="1:13" x14ac:dyDescent="0.25">
      <c r="A299" s="145"/>
      <c r="G299" s="115"/>
      <c r="H299" s="129">
        <v>294</v>
      </c>
      <c r="I299" s="130" t="str">
        <f t="shared" si="22"/>
        <v/>
      </c>
      <c r="J299" s="129">
        <f t="shared" si="23"/>
        <v>-6</v>
      </c>
      <c r="K299" s="129">
        <f t="shared" si="20"/>
        <v>-60</v>
      </c>
      <c r="L299" s="129"/>
      <c r="M299" s="131">
        <f t="shared" si="21"/>
        <v>0</v>
      </c>
    </row>
    <row r="300" spans="1:13" x14ac:dyDescent="0.25">
      <c r="A300" s="145"/>
      <c r="G300" s="115"/>
      <c r="H300" s="129">
        <v>295</v>
      </c>
      <c r="I300" s="130" t="str">
        <f t="shared" si="22"/>
        <v/>
      </c>
      <c r="J300" s="129">
        <f t="shared" si="23"/>
        <v>-6</v>
      </c>
      <c r="K300" s="129">
        <f t="shared" si="20"/>
        <v>-60</v>
      </c>
      <c r="L300" s="129"/>
      <c r="M300" s="131">
        <f t="shared" si="21"/>
        <v>0</v>
      </c>
    </row>
    <row r="301" spans="1:13" x14ac:dyDescent="0.25">
      <c r="A301" s="145"/>
      <c r="G301" s="115"/>
      <c r="H301" s="129">
        <v>296</v>
      </c>
      <c r="I301" s="130" t="str">
        <f t="shared" si="22"/>
        <v/>
      </c>
      <c r="J301" s="129">
        <f t="shared" si="23"/>
        <v>-6</v>
      </c>
      <c r="K301" s="129">
        <f t="shared" si="20"/>
        <v>-60</v>
      </c>
      <c r="L301" s="129"/>
      <c r="M301" s="131">
        <f t="shared" si="21"/>
        <v>0</v>
      </c>
    </row>
    <row r="302" spans="1:13" x14ac:dyDescent="0.25">
      <c r="A302" s="145"/>
      <c r="G302" s="115"/>
      <c r="H302" s="129">
        <v>297</v>
      </c>
      <c r="I302" s="130" t="str">
        <f t="shared" si="22"/>
        <v/>
      </c>
      <c r="J302" s="129">
        <f t="shared" si="23"/>
        <v>-6</v>
      </c>
      <c r="K302" s="129">
        <f t="shared" si="20"/>
        <v>-60</v>
      </c>
      <c r="L302" s="129"/>
      <c r="M302" s="131">
        <f t="shared" si="21"/>
        <v>0</v>
      </c>
    </row>
    <row r="303" spans="1:13" x14ac:dyDescent="0.25">
      <c r="A303" s="145"/>
      <c r="G303" s="115"/>
      <c r="H303" s="129">
        <v>298</v>
      </c>
      <c r="I303" s="130" t="str">
        <f t="shared" si="22"/>
        <v/>
      </c>
      <c r="J303" s="129">
        <f t="shared" si="23"/>
        <v>-6</v>
      </c>
      <c r="K303" s="129">
        <f t="shared" si="20"/>
        <v>-60</v>
      </c>
      <c r="L303" s="129"/>
      <c r="M303" s="131">
        <f t="shared" si="21"/>
        <v>0</v>
      </c>
    </row>
    <row r="304" spans="1:13" x14ac:dyDescent="0.25">
      <c r="A304" s="145"/>
      <c r="G304" s="115"/>
      <c r="H304" s="129">
        <v>299</v>
      </c>
      <c r="I304" s="130" t="str">
        <f t="shared" si="22"/>
        <v/>
      </c>
      <c r="J304" s="129">
        <f t="shared" si="23"/>
        <v>-6</v>
      </c>
      <c r="K304" s="129">
        <f t="shared" si="20"/>
        <v>-60</v>
      </c>
      <c r="L304" s="129"/>
      <c r="M304" s="131">
        <f t="shared" si="21"/>
        <v>0</v>
      </c>
    </row>
    <row r="305" spans="1:16" x14ac:dyDescent="0.25">
      <c r="A305" s="145"/>
      <c r="G305" s="115"/>
      <c r="H305" s="129">
        <v>300</v>
      </c>
      <c r="I305" s="130" t="str">
        <f t="shared" si="22"/>
        <v/>
      </c>
      <c r="J305" s="129">
        <f t="shared" si="23"/>
        <v>-6</v>
      </c>
      <c r="K305" s="129">
        <f t="shared" si="20"/>
        <v>-60</v>
      </c>
      <c r="L305" s="129"/>
      <c r="M305" s="131">
        <f t="shared" si="21"/>
        <v>0</v>
      </c>
    </row>
    <row r="306" spans="1:16" x14ac:dyDescent="0.25">
      <c r="A306" s="147"/>
    </row>
    <row r="314" spans="1:16" x14ac:dyDescent="0.25">
      <c r="L314" s="150"/>
      <c r="P314" s="140"/>
    </row>
    <row r="315" spans="1:16" x14ac:dyDescent="0.25">
      <c r="L315" s="150"/>
      <c r="P315" s="140"/>
    </row>
    <row r="316" spans="1:16" x14ac:dyDescent="0.25">
      <c r="L316" s="150"/>
      <c r="P316" s="140"/>
    </row>
    <row r="317" spans="1:16" x14ac:dyDescent="0.25">
      <c r="L317" s="150"/>
      <c r="P317" s="140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48A5603F-CC71-4A83-8456-0F1F7518F0BA}">
      <formula1>#REF!</formula1>
    </dataValidation>
  </dataValidations>
  <hyperlinks>
    <hyperlink ref="C2:D2" r:id="rId1" display="KRAKÓW" xr:uid="{58901176-5DB9-490C-9131-0D1A721F8C97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65F2-AB52-4731-8F26-90CFCE331B20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46" customWidth="1"/>
    <col min="2" max="2" width="8.25" style="146" customWidth="1"/>
    <col min="3" max="3" width="34.75" style="146" customWidth="1"/>
    <col min="4" max="4" width="11.25" style="146" customWidth="1"/>
    <col min="5" max="6" width="8.875" style="146"/>
    <col min="7" max="7" width="0.875" style="146" customWidth="1"/>
    <col min="8" max="8" width="8.875" style="148"/>
    <col min="9" max="9" width="11" style="148" customWidth="1"/>
    <col min="10" max="10" width="15.25" style="148" customWidth="1"/>
    <col min="11" max="11" width="8.75" style="148" customWidth="1"/>
    <col min="12" max="12" width="11" style="148" customWidth="1"/>
    <col min="13" max="13" width="11.75" style="149" customWidth="1"/>
    <col min="14" max="14" width="13.875" style="115" customWidth="1"/>
    <col min="15" max="15" width="15.625" style="115" customWidth="1"/>
    <col min="16" max="18" width="8.875" style="115"/>
    <col min="19" max="20" width="8.875" style="120"/>
    <col min="21" max="21" width="12.125" style="120" customWidth="1"/>
    <col min="22" max="22" width="27.375" style="120" customWidth="1"/>
    <col min="23" max="38" width="8.875" style="120"/>
    <col min="39" max="16384" width="8.875" style="146"/>
  </cols>
  <sheetData>
    <row r="1" spans="1:36" x14ac:dyDescent="0.25">
      <c r="A1" s="115"/>
      <c r="B1" s="115"/>
      <c r="C1" s="115"/>
      <c r="D1" s="115"/>
      <c r="E1" s="115"/>
      <c r="F1" s="115"/>
      <c r="G1" s="115"/>
      <c r="H1" s="116" t="s">
        <v>25</v>
      </c>
      <c r="I1" s="117" t="s">
        <v>26</v>
      </c>
      <c r="J1" s="117" t="s">
        <v>27</v>
      </c>
      <c r="K1" s="118" t="s">
        <v>72</v>
      </c>
      <c r="L1" s="119"/>
      <c r="M1" s="119"/>
    </row>
    <row r="2" spans="1:36" ht="14.45" customHeight="1" x14ac:dyDescent="0.25">
      <c r="A2" s="115"/>
      <c r="B2" s="14" t="s">
        <v>29</v>
      </c>
      <c r="C2" s="239" t="s">
        <v>79</v>
      </c>
      <c r="D2" s="239"/>
      <c r="E2" s="15"/>
      <c r="F2" s="15"/>
      <c r="G2" s="15"/>
      <c r="H2" s="121">
        <v>4</v>
      </c>
      <c r="I2" s="122">
        <v>50</v>
      </c>
      <c r="J2" s="122">
        <v>10</v>
      </c>
      <c r="K2" s="123">
        <f>3*H2^(1/3)</f>
        <v>4.7622031559045981</v>
      </c>
      <c r="L2" s="119"/>
      <c r="M2" s="119"/>
    </row>
    <row r="3" spans="1:36" ht="14.45" customHeight="1" x14ac:dyDescent="0.25">
      <c r="A3" s="115"/>
      <c r="B3" s="124" t="s">
        <v>31</v>
      </c>
      <c r="C3" s="240" t="s">
        <v>80</v>
      </c>
      <c r="D3" s="240"/>
      <c r="E3" s="20"/>
      <c r="F3" s="20"/>
      <c r="G3" s="20"/>
      <c r="H3" s="119"/>
      <c r="I3" s="119"/>
      <c r="J3" s="125"/>
      <c r="K3" s="119"/>
      <c r="L3" s="119"/>
      <c r="M3" s="119"/>
    </row>
    <row r="4" spans="1:36" ht="10.199999999999999" customHeight="1" x14ac:dyDescent="0.25">
      <c r="A4" s="22"/>
      <c r="B4" s="20"/>
      <c r="C4" s="22"/>
      <c r="D4" s="22"/>
      <c r="E4" s="22"/>
      <c r="F4" s="22"/>
      <c r="G4" s="22"/>
      <c r="H4" s="119"/>
      <c r="I4" s="119"/>
      <c r="J4" s="125"/>
      <c r="K4" s="119"/>
      <c r="L4" s="119"/>
      <c r="M4" s="119"/>
    </row>
    <row r="5" spans="1:36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126" t="s">
        <v>39</v>
      </c>
      <c r="I5" s="127" t="s">
        <v>40</v>
      </c>
      <c r="J5" s="128" t="s">
        <v>41</v>
      </c>
      <c r="K5" s="127" t="s">
        <v>42</v>
      </c>
      <c r="L5" s="127" t="s">
        <v>43</v>
      </c>
      <c r="M5" s="126" t="s">
        <v>44</v>
      </c>
      <c r="O5" s="206" t="s">
        <v>81</v>
      </c>
      <c r="P5" s="206" t="s">
        <v>82</v>
      </c>
      <c r="Q5" s="206" t="s">
        <v>83</v>
      </c>
    </row>
    <row r="6" spans="1:36" ht="14.45" customHeight="1" x14ac:dyDescent="0.25">
      <c r="A6" s="27">
        <f t="shared" ref="A6:A13" si="0">M6</f>
        <v>94.286609467713788</v>
      </c>
      <c r="B6" s="28">
        <f t="shared" ref="B6:B13" si="1">IF(H6&gt;$H$2,"",(ROW()-5))</f>
        <v>1</v>
      </c>
      <c r="C6" s="29" t="s">
        <v>16</v>
      </c>
      <c r="D6" s="29" t="s">
        <v>75</v>
      </c>
      <c r="E6" s="29" t="s">
        <v>46</v>
      </c>
      <c r="F6" s="29"/>
      <c r="G6" s="22"/>
      <c r="H6" s="129">
        <v>1</v>
      </c>
      <c r="I6" s="130">
        <f>IF(H2=1,50,IF(H6&lt;$H$2+1,($I$2-($I$2-1)*(LOG(H6)/LOG($H$2))),""))</f>
        <v>50</v>
      </c>
      <c r="J6" s="207">
        <v>3</v>
      </c>
      <c r="K6" s="129">
        <f t="shared" ref="K6:K69" si="2">J6*$J$2</f>
        <v>30</v>
      </c>
      <c r="L6" s="131">
        <f>3*K2</f>
        <v>14.286609467713795</v>
      </c>
      <c r="M6" s="131">
        <f t="shared" ref="M6:M69" si="3">IF(I6&lt;&gt;"",K6+I6+L6,0)</f>
        <v>94.286609467713788</v>
      </c>
      <c r="O6" s="206" t="s">
        <v>84</v>
      </c>
      <c r="P6" s="206">
        <v>3</v>
      </c>
      <c r="Q6" s="206">
        <v>30</v>
      </c>
    </row>
    <row r="7" spans="1:36" ht="14.45" customHeight="1" x14ac:dyDescent="0.25">
      <c r="A7" s="33">
        <f t="shared" si="0"/>
        <v>55.024406311809194</v>
      </c>
      <c r="B7" s="34">
        <f t="shared" si="1"/>
        <v>2</v>
      </c>
      <c r="C7" s="35" t="s">
        <v>17</v>
      </c>
      <c r="D7" s="35" t="s">
        <v>68</v>
      </c>
      <c r="E7" s="35" t="s">
        <v>46</v>
      </c>
      <c r="F7" s="35"/>
      <c r="G7" s="22"/>
      <c r="H7" s="132">
        <v>2</v>
      </c>
      <c r="I7" s="133">
        <f t="shared" ref="I7:I70" si="4">IF(H7&lt;$H$2+1,($I$2-($I$2-1)*(LOG(H7)/LOG($H$2))),"")</f>
        <v>25.5</v>
      </c>
      <c r="J7" s="208">
        <v>2</v>
      </c>
      <c r="K7" s="132">
        <f t="shared" si="2"/>
        <v>20</v>
      </c>
      <c r="L7" s="134">
        <f>2*K2</f>
        <v>9.5244063118091962</v>
      </c>
      <c r="M7" s="134">
        <f t="shared" si="3"/>
        <v>55.024406311809194</v>
      </c>
      <c r="O7" s="206" t="s">
        <v>85</v>
      </c>
      <c r="P7" s="206">
        <v>2</v>
      </c>
      <c r="Q7" s="206">
        <v>20</v>
      </c>
    </row>
    <row r="8" spans="1:36" ht="14.45" customHeight="1" x14ac:dyDescent="0.25">
      <c r="A8" s="27">
        <f t="shared" si="0"/>
        <v>25.930621888236271</v>
      </c>
      <c r="B8" s="28">
        <f t="shared" si="1"/>
        <v>3</v>
      </c>
      <c r="C8" s="29" t="s">
        <v>20</v>
      </c>
      <c r="D8" s="29" t="s">
        <v>77</v>
      </c>
      <c r="E8" s="29" t="s">
        <v>46</v>
      </c>
      <c r="F8" s="29"/>
      <c r="G8" s="22"/>
      <c r="H8" s="129">
        <v>3</v>
      </c>
      <c r="I8" s="130">
        <f t="shared" si="4"/>
        <v>11.168418732331673</v>
      </c>
      <c r="J8" s="207">
        <v>1</v>
      </c>
      <c r="K8" s="129">
        <f t="shared" si="2"/>
        <v>10</v>
      </c>
      <c r="L8" s="131">
        <f>K2</f>
        <v>4.7622031559045981</v>
      </c>
      <c r="M8" s="131">
        <f t="shared" si="3"/>
        <v>25.930621888236271</v>
      </c>
      <c r="O8" s="206" t="s">
        <v>86</v>
      </c>
      <c r="P8" s="206">
        <v>1</v>
      </c>
      <c r="Q8" s="206">
        <v>10</v>
      </c>
    </row>
    <row r="9" spans="1:36" ht="14.45" customHeight="1" x14ac:dyDescent="0.25">
      <c r="A9" s="33">
        <f t="shared" si="0"/>
        <v>1</v>
      </c>
      <c r="B9" s="34">
        <f t="shared" si="1"/>
        <v>4</v>
      </c>
      <c r="C9" s="35" t="s">
        <v>22</v>
      </c>
      <c r="D9" s="35" t="s">
        <v>78</v>
      </c>
      <c r="E9" s="35" t="s">
        <v>46</v>
      </c>
      <c r="F9" s="35"/>
      <c r="G9" s="22"/>
      <c r="H9" s="132">
        <v>4</v>
      </c>
      <c r="I9" s="133">
        <f t="shared" si="4"/>
        <v>1</v>
      </c>
      <c r="J9" s="132">
        <f t="shared" ref="J9:J70" si="5">INT(LOG($H$2,2))-ROUNDUP(LOG(H9,2),0)+IF(OR($H$2=1,$H$2=2,$H$2=4,$H$2=8,$H$2=16,$H$2=32,$H$2=64,$H$2=128,$H$2=256),0,1)</f>
        <v>0</v>
      </c>
      <c r="K9" s="132">
        <f t="shared" si="2"/>
        <v>0</v>
      </c>
      <c r="L9" s="134"/>
      <c r="M9" s="134">
        <f t="shared" si="3"/>
        <v>1</v>
      </c>
      <c r="O9" s="206" t="s">
        <v>87</v>
      </c>
      <c r="P9" s="206">
        <v>1</v>
      </c>
      <c r="Q9" s="206">
        <v>10</v>
      </c>
      <c r="V9" s="135"/>
      <c r="Z9" s="136"/>
      <c r="AA9" s="136"/>
      <c r="AG9" s="137"/>
      <c r="AH9" s="120" t="s">
        <v>50</v>
      </c>
      <c r="AI9" s="120">
        <v>23</v>
      </c>
    </row>
    <row r="10" spans="1:36" ht="14.45" customHeight="1" x14ac:dyDescent="0.25">
      <c r="A10" s="27">
        <f t="shared" si="0"/>
        <v>0</v>
      </c>
      <c r="B10" s="28" t="str">
        <f t="shared" si="1"/>
        <v/>
      </c>
      <c r="C10" s="29"/>
      <c r="D10" s="29"/>
      <c r="E10" s="29"/>
      <c r="F10" s="29"/>
      <c r="G10" s="22"/>
      <c r="H10" s="129">
        <v>5</v>
      </c>
      <c r="I10" s="130" t="str">
        <f t="shared" si="4"/>
        <v/>
      </c>
      <c r="J10" s="129">
        <f t="shared" si="5"/>
        <v>-1</v>
      </c>
      <c r="K10" s="129">
        <f t="shared" si="2"/>
        <v>-10</v>
      </c>
      <c r="L10" s="129"/>
      <c r="M10" s="131">
        <f t="shared" si="3"/>
        <v>0</v>
      </c>
      <c r="O10" s="206" t="s">
        <v>88</v>
      </c>
      <c r="P10" s="206">
        <v>0</v>
      </c>
      <c r="Q10" s="206">
        <v>0</v>
      </c>
      <c r="V10" s="135"/>
      <c r="Z10" s="136"/>
      <c r="AA10" s="136"/>
      <c r="AG10" s="137"/>
      <c r="AH10" s="120" t="s">
        <v>52</v>
      </c>
      <c r="AI10" s="120">
        <v>45</v>
      </c>
    </row>
    <row r="11" spans="1:36" ht="14.45" customHeight="1" x14ac:dyDescent="0.25">
      <c r="A11" s="33">
        <f t="shared" si="0"/>
        <v>0</v>
      </c>
      <c r="B11" s="34" t="str">
        <f t="shared" si="1"/>
        <v/>
      </c>
      <c r="C11" s="35"/>
      <c r="D11" s="35"/>
      <c r="E11" s="35"/>
      <c r="F11" s="35"/>
      <c r="G11" s="22"/>
      <c r="H11" s="132">
        <v>6</v>
      </c>
      <c r="I11" s="133" t="str">
        <f t="shared" si="4"/>
        <v/>
      </c>
      <c r="J11" s="132">
        <f t="shared" si="5"/>
        <v>-1</v>
      </c>
      <c r="K11" s="132">
        <f t="shared" si="2"/>
        <v>-10</v>
      </c>
      <c r="L11" s="132"/>
      <c r="M11" s="134">
        <f t="shared" si="3"/>
        <v>0</v>
      </c>
      <c r="V11" s="138"/>
      <c r="Z11" s="136"/>
      <c r="AA11" s="136"/>
      <c r="AG11" s="137"/>
      <c r="AH11" s="120" t="s">
        <v>53</v>
      </c>
      <c r="AI11" s="120">
        <v>50</v>
      </c>
    </row>
    <row r="12" spans="1:36" ht="14.45" customHeight="1" x14ac:dyDescent="0.25">
      <c r="A12" s="27">
        <f t="shared" si="0"/>
        <v>0</v>
      </c>
      <c r="B12" s="28" t="str">
        <f t="shared" si="1"/>
        <v/>
      </c>
      <c r="C12" s="29"/>
      <c r="D12" s="29"/>
      <c r="E12" s="29"/>
      <c r="F12" s="29"/>
      <c r="G12" s="22"/>
      <c r="H12" s="129">
        <v>7</v>
      </c>
      <c r="I12" s="130" t="str">
        <f t="shared" si="4"/>
        <v/>
      </c>
      <c r="J12" s="129">
        <f t="shared" si="5"/>
        <v>-1</v>
      </c>
      <c r="K12" s="129">
        <f t="shared" si="2"/>
        <v>-10</v>
      </c>
      <c r="L12" s="129"/>
      <c r="M12" s="131">
        <f t="shared" si="3"/>
        <v>0</v>
      </c>
      <c r="Z12" s="136"/>
      <c r="AA12" s="136"/>
      <c r="AG12" s="137"/>
      <c r="AH12" s="120" t="s">
        <v>54</v>
      </c>
      <c r="AI12" s="120">
        <f>AI11-1</f>
        <v>49</v>
      </c>
    </row>
    <row r="13" spans="1:36" ht="14.45" customHeight="1" x14ac:dyDescent="0.25">
      <c r="A13" s="43">
        <f t="shared" si="0"/>
        <v>0</v>
      </c>
      <c r="B13" s="34" t="str">
        <f t="shared" si="1"/>
        <v/>
      </c>
      <c r="C13" s="35"/>
      <c r="D13" s="35"/>
      <c r="E13" s="35"/>
      <c r="F13" s="35"/>
      <c r="G13" s="22"/>
      <c r="H13" s="132">
        <v>8</v>
      </c>
      <c r="I13" s="133" t="str">
        <f t="shared" si="4"/>
        <v/>
      </c>
      <c r="J13" s="132">
        <f t="shared" si="5"/>
        <v>-1</v>
      </c>
      <c r="K13" s="132">
        <f t="shared" si="2"/>
        <v>-10</v>
      </c>
      <c r="L13" s="132"/>
      <c r="M13" s="134">
        <f t="shared" si="3"/>
        <v>0</v>
      </c>
      <c r="X13" s="135"/>
      <c r="AG13" s="137"/>
      <c r="AH13" s="120" t="s">
        <v>55</v>
      </c>
      <c r="AI13" s="120">
        <f>LOG(AI9)</f>
        <v>1.3617278360175928</v>
      </c>
    </row>
    <row r="14" spans="1:36" x14ac:dyDescent="0.25">
      <c r="A14" s="44">
        <f t="shared" ref="A14:A37" si="6">M14</f>
        <v>0</v>
      </c>
      <c r="B14" s="28" t="str">
        <f>IF(H14&gt;$H$2,"",(ROW()-5))</f>
        <v/>
      </c>
      <c r="C14" s="29"/>
      <c r="D14" s="29"/>
      <c r="E14" s="29"/>
      <c r="F14" s="29"/>
      <c r="G14" s="22"/>
      <c r="H14" s="129">
        <v>9</v>
      </c>
      <c r="I14" s="130" t="str">
        <f t="shared" si="4"/>
        <v/>
      </c>
      <c r="J14" s="129">
        <f t="shared" si="5"/>
        <v>-2</v>
      </c>
      <c r="K14" s="129">
        <f t="shared" si="2"/>
        <v>-20</v>
      </c>
      <c r="L14" s="129"/>
      <c r="M14" s="131">
        <f t="shared" si="3"/>
        <v>0</v>
      </c>
      <c r="X14" s="139"/>
      <c r="Z14" s="136"/>
      <c r="AA14" s="136"/>
      <c r="AG14" s="137"/>
      <c r="AH14" s="120" t="s">
        <v>56</v>
      </c>
      <c r="AI14" s="120">
        <f>LOG(AI10)</f>
        <v>1.6532125137753437</v>
      </c>
    </row>
    <row r="15" spans="1:36" x14ac:dyDescent="0.25">
      <c r="A15" s="43">
        <f t="shared" si="6"/>
        <v>0</v>
      </c>
      <c r="B15" s="34" t="str">
        <f t="shared" ref="B15:B65" si="7">IF(H15&gt;$H$2,"",(ROW()-5))</f>
        <v/>
      </c>
      <c r="C15" s="35"/>
      <c r="D15" s="35"/>
      <c r="E15" s="35"/>
      <c r="F15" s="35"/>
      <c r="G15" s="22"/>
      <c r="H15" s="132">
        <v>10</v>
      </c>
      <c r="I15" s="133" t="str">
        <f t="shared" si="4"/>
        <v/>
      </c>
      <c r="J15" s="132">
        <f t="shared" si="5"/>
        <v>-2</v>
      </c>
      <c r="K15" s="132">
        <f t="shared" si="2"/>
        <v>-20</v>
      </c>
      <c r="L15" s="132"/>
      <c r="M15" s="134">
        <f t="shared" si="3"/>
        <v>0</v>
      </c>
      <c r="X15" s="135"/>
      <c r="Z15" s="136"/>
      <c r="AA15" s="136"/>
    </row>
    <row r="16" spans="1:36" x14ac:dyDescent="0.25">
      <c r="A16" s="44">
        <f t="shared" si="6"/>
        <v>0</v>
      </c>
      <c r="B16" s="28" t="str">
        <f t="shared" si="7"/>
        <v/>
      </c>
      <c r="C16" s="29"/>
      <c r="D16" s="29"/>
      <c r="E16" s="29"/>
      <c r="F16" s="29"/>
      <c r="G16" s="22"/>
      <c r="H16" s="129">
        <v>11</v>
      </c>
      <c r="I16" s="130" t="str">
        <f t="shared" si="4"/>
        <v/>
      </c>
      <c r="J16" s="129">
        <f t="shared" si="5"/>
        <v>-2</v>
      </c>
      <c r="K16" s="129">
        <f t="shared" si="2"/>
        <v>-20</v>
      </c>
      <c r="L16" s="129"/>
      <c r="M16" s="131">
        <f t="shared" si="3"/>
        <v>0</v>
      </c>
      <c r="R16" s="140"/>
      <c r="Z16" s="136"/>
      <c r="AA16" s="136"/>
      <c r="AH16" s="141" t="s">
        <v>57</v>
      </c>
      <c r="AI16" s="120">
        <f>AI11-AI12*AI13/AI14</f>
        <v>9.6393909380186855</v>
      </c>
      <c r="AJ16" s="120" t="s">
        <v>58</v>
      </c>
    </row>
    <row r="17" spans="1:19" x14ac:dyDescent="0.25">
      <c r="A17" s="43">
        <f t="shared" si="6"/>
        <v>0</v>
      </c>
      <c r="B17" s="34" t="str">
        <f t="shared" si="7"/>
        <v/>
      </c>
      <c r="C17" s="35"/>
      <c r="D17" s="35"/>
      <c r="E17" s="35"/>
      <c r="F17" s="35"/>
      <c r="G17" s="22"/>
      <c r="H17" s="132">
        <v>12</v>
      </c>
      <c r="I17" s="133" t="str">
        <f t="shared" si="4"/>
        <v/>
      </c>
      <c r="J17" s="132">
        <f t="shared" si="5"/>
        <v>-2</v>
      </c>
      <c r="K17" s="132">
        <f t="shared" si="2"/>
        <v>-20</v>
      </c>
      <c r="L17" s="132"/>
      <c r="M17" s="134">
        <f t="shared" si="3"/>
        <v>0</v>
      </c>
    </row>
    <row r="18" spans="1:19" x14ac:dyDescent="0.25">
      <c r="A18" s="44">
        <f t="shared" si="6"/>
        <v>0</v>
      </c>
      <c r="B18" s="28" t="str">
        <f t="shared" si="7"/>
        <v/>
      </c>
      <c r="C18" s="29"/>
      <c r="D18" s="29"/>
      <c r="E18" s="29"/>
      <c r="F18" s="29"/>
      <c r="G18" s="22"/>
      <c r="H18" s="129">
        <v>13</v>
      </c>
      <c r="I18" s="130" t="str">
        <f t="shared" si="4"/>
        <v/>
      </c>
      <c r="J18" s="129">
        <f t="shared" si="5"/>
        <v>-2</v>
      </c>
      <c r="K18" s="129">
        <f t="shared" si="2"/>
        <v>-20</v>
      </c>
      <c r="L18" s="129"/>
      <c r="M18" s="131">
        <f t="shared" si="3"/>
        <v>0</v>
      </c>
    </row>
    <row r="19" spans="1:19" x14ac:dyDescent="0.25">
      <c r="A19" s="43">
        <f t="shared" si="6"/>
        <v>0</v>
      </c>
      <c r="B19" s="34" t="str">
        <f t="shared" si="7"/>
        <v/>
      </c>
      <c r="C19" s="35"/>
      <c r="D19" s="35"/>
      <c r="E19" s="35"/>
      <c r="F19" s="35"/>
      <c r="G19" s="22"/>
      <c r="H19" s="132">
        <v>14</v>
      </c>
      <c r="I19" s="133" t="str">
        <f t="shared" si="4"/>
        <v/>
      </c>
      <c r="J19" s="132">
        <f t="shared" si="5"/>
        <v>-2</v>
      </c>
      <c r="K19" s="132">
        <f t="shared" si="2"/>
        <v>-20</v>
      </c>
      <c r="L19" s="132"/>
      <c r="M19" s="134">
        <f t="shared" si="3"/>
        <v>0</v>
      </c>
    </row>
    <row r="20" spans="1:19" x14ac:dyDescent="0.25">
      <c r="A20" s="44">
        <f t="shared" si="6"/>
        <v>0</v>
      </c>
      <c r="B20" s="28" t="str">
        <f t="shared" si="7"/>
        <v/>
      </c>
      <c r="C20" s="29"/>
      <c r="D20" s="29"/>
      <c r="E20" s="29"/>
      <c r="F20" s="29"/>
      <c r="G20" s="22"/>
      <c r="H20" s="129">
        <v>15</v>
      </c>
      <c r="I20" s="130" t="str">
        <f t="shared" si="4"/>
        <v/>
      </c>
      <c r="J20" s="129">
        <f t="shared" si="5"/>
        <v>-2</v>
      </c>
      <c r="K20" s="129">
        <f t="shared" si="2"/>
        <v>-20</v>
      </c>
      <c r="L20" s="129"/>
      <c r="M20" s="131">
        <f t="shared" si="3"/>
        <v>0</v>
      </c>
      <c r="R20" s="142"/>
      <c r="S20" s="143"/>
    </row>
    <row r="21" spans="1:19" x14ac:dyDescent="0.25">
      <c r="A21" s="43">
        <f t="shared" si="6"/>
        <v>0</v>
      </c>
      <c r="B21" s="34" t="str">
        <f t="shared" si="7"/>
        <v/>
      </c>
      <c r="C21" s="35"/>
      <c r="D21" s="35"/>
      <c r="E21" s="35"/>
      <c r="F21" s="35"/>
      <c r="G21" s="22"/>
      <c r="H21" s="132">
        <v>16</v>
      </c>
      <c r="I21" s="133" t="str">
        <f t="shared" si="4"/>
        <v/>
      </c>
      <c r="J21" s="132">
        <f t="shared" si="5"/>
        <v>-2</v>
      </c>
      <c r="K21" s="132">
        <f t="shared" si="2"/>
        <v>-20</v>
      </c>
      <c r="L21" s="132"/>
      <c r="M21" s="134">
        <f t="shared" si="3"/>
        <v>0</v>
      </c>
    </row>
    <row r="22" spans="1:19" x14ac:dyDescent="0.25">
      <c r="A22" s="44">
        <f t="shared" si="6"/>
        <v>0</v>
      </c>
      <c r="B22" s="28" t="str">
        <f t="shared" si="7"/>
        <v/>
      </c>
      <c r="C22" s="29"/>
      <c r="D22" s="29"/>
      <c r="E22" s="29"/>
      <c r="F22" s="29"/>
      <c r="G22" s="22"/>
      <c r="H22" s="129">
        <v>17</v>
      </c>
      <c r="I22" s="130" t="str">
        <f t="shared" si="4"/>
        <v/>
      </c>
      <c r="J22" s="129">
        <f t="shared" si="5"/>
        <v>-3</v>
      </c>
      <c r="K22" s="129">
        <f t="shared" si="2"/>
        <v>-30</v>
      </c>
      <c r="L22" s="129"/>
      <c r="M22" s="131">
        <f t="shared" si="3"/>
        <v>0</v>
      </c>
    </row>
    <row r="23" spans="1:19" x14ac:dyDescent="0.25">
      <c r="A23" s="43">
        <f t="shared" si="6"/>
        <v>0</v>
      </c>
      <c r="B23" s="34" t="str">
        <f t="shared" si="7"/>
        <v/>
      </c>
      <c r="C23" s="35"/>
      <c r="D23" s="35"/>
      <c r="E23" s="35"/>
      <c r="F23" s="35"/>
      <c r="G23" s="22"/>
      <c r="H23" s="132">
        <v>18</v>
      </c>
      <c r="I23" s="133" t="str">
        <f t="shared" si="4"/>
        <v/>
      </c>
      <c r="J23" s="132">
        <f t="shared" si="5"/>
        <v>-3</v>
      </c>
      <c r="K23" s="132">
        <f t="shared" si="2"/>
        <v>-30</v>
      </c>
      <c r="L23" s="132"/>
      <c r="M23" s="134">
        <f t="shared" si="3"/>
        <v>0</v>
      </c>
    </row>
    <row r="24" spans="1:19" x14ac:dyDescent="0.25">
      <c r="A24" s="44">
        <f t="shared" si="6"/>
        <v>0</v>
      </c>
      <c r="B24" s="28" t="str">
        <f t="shared" si="7"/>
        <v/>
      </c>
      <c r="C24" s="29"/>
      <c r="D24" s="29"/>
      <c r="E24" s="29"/>
      <c r="F24" s="29"/>
      <c r="G24" s="22"/>
      <c r="H24" s="129">
        <v>19</v>
      </c>
      <c r="I24" s="130" t="str">
        <f t="shared" si="4"/>
        <v/>
      </c>
      <c r="J24" s="129">
        <f t="shared" si="5"/>
        <v>-3</v>
      </c>
      <c r="K24" s="129">
        <f t="shared" si="2"/>
        <v>-30</v>
      </c>
      <c r="L24" s="129"/>
      <c r="M24" s="131">
        <f t="shared" si="3"/>
        <v>0</v>
      </c>
      <c r="R24" s="142"/>
      <c r="S24" s="143"/>
    </row>
    <row r="25" spans="1:19" x14ac:dyDescent="0.25">
      <c r="A25" s="43">
        <f t="shared" si="6"/>
        <v>0</v>
      </c>
      <c r="B25" s="34" t="str">
        <f t="shared" si="7"/>
        <v/>
      </c>
      <c r="C25" s="35"/>
      <c r="D25" s="35"/>
      <c r="E25" s="35"/>
      <c r="F25" s="35"/>
      <c r="G25" s="22"/>
      <c r="H25" s="132">
        <v>20</v>
      </c>
      <c r="I25" s="133" t="str">
        <f t="shared" si="4"/>
        <v/>
      </c>
      <c r="J25" s="132">
        <f t="shared" si="5"/>
        <v>-3</v>
      </c>
      <c r="K25" s="132">
        <f t="shared" si="2"/>
        <v>-30</v>
      </c>
      <c r="L25" s="132"/>
      <c r="M25" s="134">
        <f t="shared" si="3"/>
        <v>0</v>
      </c>
    </row>
    <row r="26" spans="1:19" x14ac:dyDescent="0.25">
      <c r="A26" s="44">
        <f t="shared" si="6"/>
        <v>0</v>
      </c>
      <c r="B26" s="28" t="str">
        <f t="shared" si="7"/>
        <v/>
      </c>
      <c r="C26" s="29"/>
      <c r="D26" s="29"/>
      <c r="E26" s="29"/>
      <c r="F26" s="29"/>
      <c r="G26" s="22"/>
      <c r="H26" s="129">
        <v>21</v>
      </c>
      <c r="I26" s="130" t="str">
        <f t="shared" si="4"/>
        <v/>
      </c>
      <c r="J26" s="129">
        <f t="shared" si="5"/>
        <v>-3</v>
      </c>
      <c r="K26" s="129">
        <f t="shared" si="2"/>
        <v>-30</v>
      </c>
      <c r="L26" s="129"/>
      <c r="M26" s="131">
        <f t="shared" si="3"/>
        <v>0</v>
      </c>
    </row>
    <row r="27" spans="1:19" x14ac:dyDescent="0.25">
      <c r="A27" s="43">
        <f t="shared" si="6"/>
        <v>0</v>
      </c>
      <c r="B27" s="34" t="str">
        <f t="shared" si="7"/>
        <v/>
      </c>
      <c r="C27" s="35"/>
      <c r="D27" s="35"/>
      <c r="E27" s="35"/>
      <c r="F27" s="35"/>
      <c r="G27" s="22"/>
      <c r="H27" s="132">
        <v>22</v>
      </c>
      <c r="I27" s="133" t="str">
        <f t="shared" si="4"/>
        <v/>
      </c>
      <c r="J27" s="132">
        <f t="shared" si="5"/>
        <v>-3</v>
      </c>
      <c r="K27" s="132">
        <f t="shared" si="2"/>
        <v>-30</v>
      </c>
      <c r="L27" s="132"/>
      <c r="M27" s="134">
        <f t="shared" si="3"/>
        <v>0</v>
      </c>
    </row>
    <row r="28" spans="1:19" x14ac:dyDescent="0.25">
      <c r="A28" s="44">
        <f t="shared" si="6"/>
        <v>0</v>
      </c>
      <c r="B28" s="28" t="str">
        <f t="shared" si="7"/>
        <v/>
      </c>
      <c r="C28" s="29"/>
      <c r="D28" s="29"/>
      <c r="E28" s="29"/>
      <c r="F28" s="29"/>
      <c r="G28" s="22"/>
      <c r="H28" s="129">
        <v>23</v>
      </c>
      <c r="I28" s="130" t="str">
        <f t="shared" si="4"/>
        <v/>
      </c>
      <c r="J28" s="129">
        <f t="shared" si="5"/>
        <v>-3</v>
      </c>
      <c r="K28" s="129">
        <f t="shared" si="2"/>
        <v>-30</v>
      </c>
      <c r="L28" s="129"/>
      <c r="M28" s="131">
        <f t="shared" si="3"/>
        <v>0</v>
      </c>
      <c r="R28" s="142"/>
      <c r="S28" s="143"/>
    </row>
    <row r="29" spans="1:19" x14ac:dyDescent="0.25">
      <c r="A29" s="43">
        <f t="shared" si="6"/>
        <v>0</v>
      </c>
      <c r="B29" s="34" t="str">
        <f t="shared" si="7"/>
        <v/>
      </c>
      <c r="C29" s="35"/>
      <c r="D29" s="35"/>
      <c r="E29" s="35"/>
      <c r="F29" s="35"/>
      <c r="G29" s="115"/>
      <c r="H29" s="132">
        <v>24</v>
      </c>
      <c r="I29" s="133" t="str">
        <f t="shared" si="4"/>
        <v/>
      </c>
      <c r="J29" s="132">
        <f t="shared" si="5"/>
        <v>-3</v>
      </c>
      <c r="K29" s="132">
        <f t="shared" si="2"/>
        <v>-30</v>
      </c>
      <c r="L29" s="132"/>
      <c r="M29" s="134">
        <f t="shared" si="3"/>
        <v>0</v>
      </c>
    </row>
    <row r="30" spans="1:19" x14ac:dyDescent="0.25">
      <c r="A30" s="44">
        <f t="shared" si="6"/>
        <v>0</v>
      </c>
      <c r="B30" s="28" t="str">
        <f t="shared" si="7"/>
        <v/>
      </c>
      <c r="C30" s="29"/>
      <c r="D30" s="29"/>
      <c r="E30" s="29"/>
      <c r="F30" s="29"/>
      <c r="G30" s="115"/>
      <c r="H30" s="129">
        <v>25</v>
      </c>
      <c r="I30" s="130" t="str">
        <f t="shared" si="4"/>
        <v/>
      </c>
      <c r="J30" s="129">
        <f t="shared" si="5"/>
        <v>-3</v>
      </c>
      <c r="K30" s="129">
        <f t="shared" si="2"/>
        <v>-30</v>
      </c>
      <c r="L30" s="129"/>
      <c r="M30" s="131">
        <f t="shared" si="3"/>
        <v>0</v>
      </c>
    </row>
    <row r="31" spans="1:19" x14ac:dyDescent="0.25">
      <c r="A31" s="43">
        <f t="shared" si="6"/>
        <v>0</v>
      </c>
      <c r="B31" s="34" t="str">
        <f t="shared" si="7"/>
        <v/>
      </c>
      <c r="C31" s="35"/>
      <c r="D31" s="35"/>
      <c r="E31" s="35"/>
      <c r="F31" s="35"/>
      <c r="G31" s="115"/>
      <c r="H31" s="132">
        <v>26</v>
      </c>
      <c r="I31" s="133" t="str">
        <f t="shared" si="4"/>
        <v/>
      </c>
      <c r="J31" s="132">
        <f t="shared" si="5"/>
        <v>-3</v>
      </c>
      <c r="K31" s="132">
        <f t="shared" si="2"/>
        <v>-30</v>
      </c>
      <c r="L31" s="132"/>
      <c r="M31" s="134">
        <f t="shared" si="3"/>
        <v>0</v>
      </c>
    </row>
    <row r="32" spans="1:19" x14ac:dyDescent="0.25">
      <c r="A32" s="44">
        <f t="shared" si="6"/>
        <v>0</v>
      </c>
      <c r="B32" s="28" t="str">
        <f t="shared" si="7"/>
        <v/>
      </c>
      <c r="C32" s="29"/>
      <c r="D32" s="29"/>
      <c r="E32" s="29"/>
      <c r="F32" s="29"/>
      <c r="G32" s="115"/>
      <c r="H32" s="129">
        <v>27</v>
      </c>
      <c r="I32" s="130" t="str">
        <f t="shared" si="4"/>
        <v/>
      </c>
      <c r="J32" s="129">
        <f t="shared" si="5"/>
        <v>-3</v>
      </c>
      <c r="K32" s="129">
        <f t="shared" si="2"/>
        <v>-30</v>
      </c>
      <c r="L32" s="129"/>
      <c r="M32" s="131">
        <f t="shared" si="3"/>
        <v>0</v>
      </c>
      <c r="R32" s="142"/>
      <c r="S32" s="143"/>
    </row>
    <row r="33" spans="1:21" x14ac:dyDescent="0.25">
      <c r="A33" s="43">
        <f t="shared" si="6"/>
        <v>0</v>
      </c>
      <c r="B33" s="34" t="str">
        <f t="shared" si="7"/>
        <v/>
      </c>
      <c r="C33" s="35"/>
      <c r="D33" s="35"/>
      <c r="E33" s="35"/>
      <c r="F33" s="35"/>
      <c r="G33" s="115"/>
      <c r="H33" s="132">
        <v>28</v>
      </c>
      <c r="I33" s="133" t="str">
        <f t="shared" si="4"/>
        <v/>
      </c>
      <c r="J33" s="132">
        <f t="shared" si="5"/>
        <v>-3</v>
      </c>
      <c r="K33" s="132">
        <f t="shared" si="2"/>
        <v>-30</v>
      </c>
      <c r="L33" s="132"/>
      <c r="M33" s="134">
        <f t="shared" si="3"/>
        <v>0</v>
      </c>
    </row>
    <row r="34" spans="1:21" x14ac:dyDescent="0.25">
      <c r="A34" s="44">
        <f t="shared" si="6"/>
        <v>0</v>
      </c>
      <c r="B34" s="28" t="str">
        <f t="shared" si="7"/>
        <v/>
      </c>
      <c r="C34" s="29"/>
      <c r="D34" s="29"/>
      <c r="E34" s="29"/>
      <c r="F34" s="29"/>
      <c r="G34" s="115"/>
      <c r="H34" s="129">
        <v>29</v>
      </c>
      <c r="I34" s="130" t="str">
        <f t="shared" si="4"/>
        <v/>
      </c>
      <c r="J34" s="129">
        <f t="shared" si="5"/>
        <v>-3</v>
      </c>
      <c r="K34" s="129">
        <f t="shared" si="2"/>
        <v>-30</v>
      </c>
      <c r="L34" s="129"/>
      <c r="M34" s="131">
        <f t="shared" si="3"/>
        <v>0</v>
      </c>
    </row>
    <row r="35" spans="1:21" x14ac:dyDescent="0.25">
      <c r="A35" s="43">
        <f t="shared" si="6"/>
        <v>0</v>
      </c>
      <c r="B35" s="34" t="str">
        <f t="shared" si="7"/>
        <v/>
      </c>
      <c r="C35" s="35"/>
      <c r="D35" s="35"/>
      <c r="E35" s="35"/>
      <c r="F35" s="35"/>
      <c r="G35" s="115"/>
      <c r="H35" s="132">
        <v>30</v>
      </c>
      <c r="I35" s="133" t="str">
        <f t="shared" si="4"/>
        <v/>
      </c>
      <c r="J35" s="132">
        <f t="shared" si="5"/>
        <v>-3</v>
      </c>
      <c r="K35" s="132">
        <f t="shared" si="2"/>
        <v>-30</v>
      </c>
      <c r="L35" s="132"/>
      <c r="M35" s="134">
        <f t="shared" si="3"/>
        <v>0</v>
      </c>
    </row>
    <row r="36" spans="1:21" x14ac:dyDescent="0.25">
      <c r="A36" s="44">
        <f t="shared" si="6"/>
        <v>0</v>
      </c>
      <c r="B36" s="28" t="str">
        <f t="shared" si="7"/>
        <v/>
      </c>
      <c r="C36" s="29"/>
      <c r="D36" s="29"/>
      <c r="E36" s="29"/>
      <c r="F36" s="29"/>
      <c r="G36" s="115"/>
      <c r="H36" s="129">
        <v>31</v>
      </c>
      <c r="I36" s="130" t="str">
        <f t="shared" si="4"/>
        <v/>
      </c>
      <c r="J36" s="129">
        <f t="shared" si="5"/>
        <v>-3</v>
      </c>
      <c r="K36" s="129">
        <f t="shared" si="2"/>
        <v>-30</v>
      </c>
      <c r="L36" s="129"/>
      <c r="M36" s="131">
        <f t="shared" si="3"/>
        <v>0</v>
      </c>
      <c r="R36" s="142"/>
      <c r="S36" s="143"/>
    </row>
    <row r="37" spans="1:21" x14ac:dyDescent="0.25">
      <c r="A37" s="43">
        <f t="shared" si="6"/>
        <v>0</v>
      </c>
      <c r="B37" s="34" t="str">
        <f t="shared" si="7"/>
        <v/>
      </c>
      <c r="C37" s="35"/>
      <c r="D37" s="35"/>
      <c r="E37" s="35"/>
      <c r="F37" s="35"/>
      <c r="G37" s="115"/>
      <c r="H37" s="132">
        <v>32</v>
      </c>
      <c r="I37" s="133" t="str">
        <f t="shared" si="4"/>
        <v/>
      </c>
      <c r="J37" s="132">
        <f t="shared" si="5"/>
        <v>-3</v>
      </c>
      <c r="K37" s="132">
        <f t="shared" si="2"/>
        <v>-30</v>
      </c>
      <c r="L37" s="132"/>
      <c r="M37" s="134">
        <f t="shared" si="3"/>
        <v>0</v>
      </c>
    </row>
    <row r="38" spans="1:21" x14ac:dyDescent="0.25">
      <c r="A38" s="44"/>
      <c r="B38" s="28" t="str">
        <f t="shared" si="7"/>
        <v/>
      </c>
      <c r="C38" s="29"/>
      <c r="D38" s="29"/>
      <c r="E38" s="29"/>
      <c r="F38" s="29"/>
      <c r="G38" s="115"/>
      <c r="H38" s="129">
        <v>33</v>
      </c>
      <c r="I38" s="130" t="str">
        <f t="shared" si="4"/>
        <v/>
      </c>
      <c r="J38" s="129">
        <f t="shared" si="5"/>
        <v>-4</v>
      </c>
      <c r="K38" s="129">
        <f t="shared" si="2"/>
        <v>-40</v>
      </c>
      <c r="L38" s="129"/>
      <c r="M38" s="131">
        <f t="shared" si="3"/>
        <v>0</v>
      </c>
    </row>
    <row r="39" spans="1:21" x14ac:dyDescent="0.25">
      <c r="A39" s="43"/>
      <c r="B39" s="34" t="str">
        <f t="shared" si="7"/>
        <v/>
      </c>
      <c r="C39" s="35"/>
      <c r="D39" s="35"/>
      <c r="E39" s="35"/>
      <c r="F39" s="35"/>
      <c r="G39" s="115"/>
      <c r="H39" s="132">
        <v>34</v>
      </c>
      <c r="I39" s="133" t="str">
        <f t="shared" si="4"/>
        <v/>
      </c>
      <c r="J39" s="132">
        <f t="shared" si="5"/>
        <v>-4</v>
      </c>
      <c r="K39" s="132">
        <f t="shared" si="2"/>
        <v>-40</v>
      </c>
      <c r="L39" s="132"/>
      <c r="M39" s="134">
        <f t="shared" si="3"/>
        <v>0</v>
      </c>
    </row>
    <row r="40" spans="1:21" x14ac:dyDescent="0.25">
      <c r="A40" s="44"/>
      <c r="B40" s="28" t="str">
        <f t="shared" si="7"/>
        <v/>
      </c>
      <c r="C40" s="29"/>
      <c r="D40" s="29"/>
      <c r="E40" s="29"/>
      <c r="F40" s="29"/>
      <c r="G40" s="115"/>
      <c r="H40" s="129">
        <v>35</v>
      </c>
      <c r="I40" s="130" t="str">
        <f t="shared" si="4"/>
        <v/>
      </c>
      <c r="J40" s="129">
        <f t="shared" si="5"/>
        <v>-4</v>
      </c>
      <c r="K40" s="129">
        <f t="shared" si="2"/>
        <v>-40</v>
      </c>
      <c r="L40" s="129"/>
      <c r="M40" s="131">
        <f t="shared" si="3"/>
        <v>0</v>
      </c>
    </row>
    <row r="41" spans="1:21" x14ac:dyDescent="0.25">
      <c r="A41" s="43"/>
      <c r="B41" s="34" t="str">
        <f t="shared" si="7"/>
        <v/>
      </c>
      <c r="C41" s="35"/>
      <c r="D41" s="35"/>
      <c r="E41" s="35"/>
      <c r="F41" s="35"/>
      <c r="G41" s="115"/>
      <c r="H41" s="132">
        <v>36</v>
      </c>
      <c r="I41" s="133" t="str">
        <f t="shared" si="4"/>
        <v/>
      </c>
      <c r="J41" s="132">
        <f t="shared" si="5"/>
        <v>-4</v>
      </c>
      <c r="K41" s="132">
        <f t="shared" si="2"/>
        <v>-40</v>
      </c>
      <c r="L41" s="132"/>
      <c r="M41" s="134">
        <f t="shared" si="3"/>
        <v>0</v>
      </c>
      <c r="S41" s="144"/>
    </row>
    <row r="42" spans="1:21" x14ac:dyDescent="0.25">
      <c r="A42" s="44"/>
      <c r="B42" s="28" t="str">
        <f t="shared" si="7"/>
        <v/>
      </c>
      <c r="C42" s="29"/>
      <c r="D42" s="29"/>
      <c r="E42" s="29"/>
      <c r="F42" s="29"/>
      <c r="G42" s="115"/>
      <c r="H42" s="129">
        <v>37</v>
      </c>
      <c r="I42" s="130" t="str">
        <f t="shared" si="4"/>
        <v/>
      </c>
      <c r="J42" s="129">
        <f t="shared" si="5"/>
        <v>-4</v>
      </c>
      <c r="K42" s="129">
        <f t="shared" si="2"/>
        <v>-40</v>
      </c>
      <c r="L42" s="129"/>
      <c r="M42" s="131">
        <f t="shared" si="3"/>
        <v>0</v>
      </c>
    </row>
    <row r="43" spans="1:21" x14ac:dyDescent="0.25">
      <c r="A43" s="43"/>
      <c r="B43" s="34" t="str">
        <f t="shared" si="7"/>
        <v/>
      </c>
      <c r="C43" s="35"/>
      <c r="D43" s="35"/>
      <c r="E43" s="35"/>
      <c r="F43" s="35"/>
      <c r="G43" s="115"/>
      <c r="H43" s="132">
        <v>38</v>
      </c>
      <c r="I43" s="133" t="str">
        <f t="shared" si="4"/>
        <v/>
      </c>
      <c r="J43" s="132">
        <f t="shared" si="5"/>
        <v>-4</v>
      </c>
      <c r="K43" s="132">
        <f t="shared" si="2"/>
        <v>-40</v>
      </c>
      <c r="L43" s="132"/>
      <c r="M43" s="134">
        <f t="shared" si="3"/>
        <v>0</v>
      </c>
    </row>
    <row r="44" spans="1:21" x14ac:dyDescent="0.25">
      <c r="A44" s="44"/>
      <c r="B44" s="28" t="str">
        <f t="shared" si="7"/>
        <v/>
      </c>
      <c r="C44" s="29"/>
      <c r="D44" s="29"/>
      <c r="E44" s="29"/>
      <c r="F44" s="29"/>
      <c r="G44" s="115"/>
      <c r="H44" s="129">
        <v>39</v>
      </c>
      <c r="I44" s="130" t="str">
        <f t="shared" si="4"/>
        <v/>
      </c>
      <c r="J44" s="129">
        <f t="shared" si="5"/>
        <v>-4</v>
      </c>
      <c r="K44" s="129">
        <f t="shared" si="2"/>
        <v>-40</v>
      </c>
      <c r="L44" s="129"/>
      <c r="M44" s="131">
        <f t="shared" si="3"/>
        <v>0</v>
      </c>
    </row>
    <row r="45" spans="1:21" x14ac:dyDescent="0.25">
      <c r="A45" s="43"/>
      <c r="B45" s="34" t="str">
        <f t="shared" si="7"/>
        <v/>
      </c>
      <c r="C45" s="35"/>
      <c r="D45" s="35"/>
      <c r="E45" s="35"/>
      <c r="F45" s="35"/>
      <c r="G45" s="115"/>
      <c r="H45" s="132">
        <v>40</v>
      </c>
      <c r="I45" s="133" t="str">
        <f t="shared" si="4"/>
        <v/>
      </c>
      <c r="J45" s="132">
        <f t="shared" si="5"/>
        <v>-4</v>
      </c>
      <c r="K45" s="132">
        <f t="shared" si="2"/>
        <v>-40</v>
      </c>
      <c r="L45" s="132"/>
      <c r="M45" s="134">
        <f t="shared" si="3"/>
        <v>0</v>
      </c>
    </row>
    <row r="46" spans="1:21" x14ac:dyDescent="0.25">
      <c r="A46" s="44"/>
      <c r="B46" s="28" t="str">
        <f t="shared" si="7"/>
        <v/>
      </c>
      <c r="C46" s="29"/>
      <c r="D46" s="29"/>
      <c r="E46" s="29"/>
      <c r="F46" s="29"/>
      <c r="G46" s="115"/>
      <c r="H46" s="129">
        <v>41</v>
      </c>
      <c r="I46" s="130" t="str">
        <f t="shared" si="4"/>
        <v/>
      </c>
      <c r="J46" s="129">
        <f t="shared" si="5"/>
        <v>-4</v>
      </c>
      <c r="K46" s="129">
        <f t="shared" si="2"/>
        <v>-40</v>
      </c>
      <c r="L46" s="129"/>
      <c r="M46" s="131">
        <f t="shared" si="3"/>
        <v>0</v>
      </c>
      <c r="R46" s="115">
        <f>LOG($H$2,2)</f>
        <v>2</v>
      </c>
      <c r="T46" s="120">
        <f>LOG(H38,2)</f>
        <v>5.0443941193584534</v>
      </c>
      <c r="U46" s="120">
        <f>R46-T46</f>
        <v>-3.0443941193584534</v>
      </c>
    </row>
    <row r="47" spans="1:21" x14ac:dyDescent="0.25">
      <c r="A47" s="43"/>
      <c r="B47" s="34" t="str">
        <f t="shared" si="7"/>
        <v/>
      </c>
      <c r="C47" s="35"/>
      <c r="D47" s="35"/>
      <c r="E47" s="35"/>
      <c r="F47" s="35"/>
      <c r="G47" s="115"/>
      <c r="H47" s="132">
        <v>42</v>
      </c>
      <c r="I47" s="133" t="str">
        <f t="shared" si="4"/>
        <v/>
      </c>
      <c r="J47" s="132">
        <f t="shared" si="5"/>
        <v>-4</v>
      </c>
      <c r="K47" s="132">
        <f t="shared" si="2"/>
        <v>-40</v>
      </c>
      <c r="L47" s="132"/>
      <c r="M47" s="134">
        <f t="shared" si="3"/>
        <v>0</v>
      </c>
    </row>
    <row r="48" spans="1:21" x14ac:dyDescent="0.25">
      <c r="A48" s="44"/>
      <c r="B48" s="28" t="str">
        <f t="shared" si="7"/>
        <v/>
      </c>
      <c r="C48" s="29"/>
      <c r="D48" s="29"/>
      <c r="E48" s="29"/>
      <c r="F48" s="29"/>
      <c r="G48" s="115"/>
      <c r="H48" s="129">
        <v>43</v>
      </c>
      <c r="I48" s="130" t="str">
        <f t="shared" si="4"/>
        <v/>
      </c>
      <c r="J48" s="129">
        <f t="shared" si="5"/>
        <v>-4</v>
      </c>
      <c r="K48" s="129">
        <f t="shared" si="2"/>
        <v>-40</v>
      </c>
      <c r="L48" s="129"/>
      <c r="M48" s="131">
        <f t="shared" si="3"/>
        <v>0</v>
      </c>
    </row>
    <row r="49" spans="1:13" x14ac:dyDescent="0.25">
      <c r="A49" s="43"/>
      <c r="B49" s="34" t="str">
        <f t="shared" si="7"/>
        <v/>
      </c>
      <c r="C49" s="35"/>
      <c r="D49" s="35"/>
      <c r="E49" s="35"/>
      <c r="F49" s="35"/>
      <c r="G49" s="115"/>
      <c r="H49" s="132">
        <v>44</v>
      </c>
      <c r="I49" s="133" t="str">
        <f t="shared" si="4"/>
        <v/>
      </c>
      <c r="J49" s="132">
        <f t="shared" si="5"/>
        <v>-4</v>
      </c>
      <c r="K49" s="132">
        <f t="shared" si="2"/>
        <v>-40</v>
      </c>
      <c r="L49" s="132"/>
      <c r="M49" s="134">
        <f t="shared" si="3"/>
        <v>0</v>
      </c>
    </row>
    <row r="50" spans="1:13" x14ac:dyDescent="0.25">
      <c r="A50" s="44"/>
      <c r="B50" s="28" t="str">
        <f t="shared" si="7"/>
        <v/>
      </c>
      <c r="C50" s="29"/>
      <c r="D50" s="29"/>
      <c r="E50" s="29"/>
      <c r="F50" s="29"/>
      <c r="G50" s="115"/>
      <c r="H50" s="129">
        <v>45</v>
      </c>
      <c r="I50" s="130" t="str">
        <f t="shared" si="4"/>
        <v/>
      </c>
      <c r="J50" s="129">
        <f t="shared" si="5"/>
        <v>-4</v>
      </c>
      <c r="K50" s="129">
        <f t="shared" si="2"/>
        <v>-40</v>
      </c>
      <c r="L50" s="129"/>
      <c r="M50" s="131">
        <f t="shared" si="3"/>
        <v>0</v>
      </c>
    </row>
    <row r="51" spans="1:13" x14ac:dyDescent="0.25">
      <c r="A51" s="43"/>
      <c r="B51" s="34" t="str">
        <f t="shared" si="7"/>
        <v/>
      </c>
      <c r="C51" s="35"/>
      <c r="D51" s="35"/>
      <c r="E51" s="35"/>
      <c r="F51" s="35"/>
      <c r="G51" s="115"/>
      <c r="H51" s="132">
        <v>46</v>
      </c>
      <c r="I51" s="133" t="str">
        <f t="shared" si="4"/>
        <v/>
      </c>
      <c r="J51" s="132">
        <f t="shared" si="5"/>
        <v>-4</v>
      </c>
      <c r="K51" s="132">
        <f t="shared" si="2"/>
        <v>-40</v>
      </c>
      <c r="L51" s="132"/>
      <c r="M51" s="134">
        <f t="shared" si="3"/>
        <v>0</v>
      </c>
    </row>
    <row r="52" spans="1:13" x14ac:dyDescent="0.25">
      <c r="A52" s="44"/>
      <c r="B52" s="28" t="str">
        <f t="shared" si="7"/>
        <v/>
      </c>
      <c r="C52" s="29"/>
      <c r="D52" s="29"/>
      <c r="E52" s="29"/>
      <c r="F52" s="29"/>
      <c r="G52" s="115"/>
      <c r="H52" s="129">
        <v>47</v>
      </c>
      <c r="I52" s="130" t="str">
        <f t="shared" si="4"/>
        <v/>
      </c>
      <c r="J52" s="129">
        <f t="shared" si="5"/>
        <v>-4</v>
      </c>
      <c r="K52" s="129">
        <f t="shared" si="2"/>
        <v>-40</v>
      </c>
      <c r="L52" s="129"/>
      <c r="M52" s="131">
        <f t="shared" si="3"/>
        <v>0</v>
      </c>
    </row>
    <row r="53" spans="1:13" x14ac:dyDescent="0.25">
      <c r="A53" s="43"/>
      <c r="B53" s="34" t="str">
        <f t="shared" si="7"/>
        <v/>
      </c>
      <c r="C53" s="35"/>
      <c r="D53" s="35"/>
      <c r="E53" s="35"/>
      <c r="F53" s="35"/>
      <c r="G53" s="115"/>
      <c r="H53" s="132">
        <v>48</v>
      </c>
      <c r="I53" s="133" t="str">
        <f t="shared" si="4"/>
        <v/>
      </c>
      <c r="J53" s="132">
        <f t="shared" si="5"/>
        <v>-4</v>
      </c>
      <c r="K53" s="132">
        <f t="shared" si="2"/>
        <v>-40</v>
      </c>
      <c r="L53" s="132"/>
      <c r="M53" s="134">
        <f t="shared" si="3"/>
        <v>0</v>
      </c>
    </row>
    <row r="54" spans="1:13" x14ac:dyDescent="0.25">
      <c r="A54" s="44"/>
      <c r="B54" s="28" t="str">
        <f t="shared" si="7"/>
        <v/>
      </c>
      <c r="C54" s="29"/>
      <c r="D54" s="29"/>
      <c r="E54" s="29"/>
      <c r="F54" s="29"/>
      <c r="G54" s="115"/>
      <c r="H54" s="129">
        <v>49</v>
      </c>
      <c r="I54" s="130" t="str">
        <f t="shared" si="4"/>
        <v/>
      </c>
      <c r="J54" s="129">
        <f t="shared" si="5"/>
        <v>-4</v>
      </c>
      <c r="K54" s="129">
        <f t="shared" si="2"/>
        <v>-40</v>
      </c>
      <c r="L54" s="129"/>
      <c r="M54" s="131">
        <f t="shared" si="3"/>
        <v>0</v>
      </c>
    </row>
    <row r="55" spans="1:13" x14ac:dyDescent="0.25">
      <c r="A55" s="43"/>
      <c r="B55" s="34" t="str">
        <f t="shared" si="7"/>
        <v/>
      </c>
      <c r="C55" s="35"/>
      <c r="D55" s="35"/>
      <c r="E55" s="35"/>
      <c r="F55" s="35"/>
      <c r="G55" s="115"/>
      <c r="H55" s="132">
        <v>50</v>
      </c>
      <c r="I55" s="133" t="str">
        <f t="shared" si="4"/>
        <v/>
      </c>
      <c r="J55" s="132">
        <f t="shared" si="5"/>
        <v>-4</v>
      </c>
      <c r="K55" s="132">
        <f t="shared" si="2"/>
        <v>-40</v>
      </c>
      <c r="L55" s="132"/>
      <c r="M55" s="134">
        <f t="shared" si="3"/>
        <v>0</v>
      </c>
    </row>
    <row r="56" spans="1:13" x14ac:dyDescent="0.25">
      <c r="A56" s="44"/>
      <c r="B56" s="28" t="str">
        <f t="shared" si="7"/>
        <v/>
      </c>
      <c r="C56" s="29"/>
      <c r="D56" s="29"/>
      <c r="E56" s="29"/>
      <c r="F56" s="29"/>
      <c r="G56" s="115"/>
      <c r="H56" s="129">
        <v>51</v>
      </c>
      <c r="I56" s="130" t="str">
        <f t="shared" si="4"/>
        <v/>
      </c>
      <c r="J56" s="129">
        <f t="shared" si="5"/>
        <v>-4</v>
      </c>
      <c r="K56" s="129">
        <f t="shared" si="2"/>
        <v>-40</v>
      </c>
      <c r="L56" s="129"/>
      <c r="M56" s="131">
        <f t="shared" si="3"/>
        <v>0</v>
      </c>
    </row>
    <row r="57" spans="1:13" x14ac:dyDescent="0.25">
      <c r="A57" s="43"/>
      <c r="B57" s="34" t="str">
        <f t="shared" si="7"/>
        <v/>
      </c>
      <c r="C57" s="35"/>
      <c r="D57" s="35"/>
      <c r="E57" s="35"/>
      <c r="F57" s="35"/>
      <c r="G57" s="115"/>
      <c r="H57" s="132">
        <v>52</v>
      </c>
      <c r="I57" s="133" t="str">
        <f t="shared" si="4"/>
        <v/>
      </c>
      <c r="J57" s="132">
        <f t="shared" si="5"/>
        <v>-4</v>
      </c>
      <c r="K57" s="132">
        <f t="shared" si="2"/>
        <v>-40</v>
      </c>
      <c r="L57" s="132"/>
      <c r="M57" s="134">
        <f t="shared" si="3"/>
        <v>0</v>
      </c>
    </row>
    <row r="58" spans="1:13" x14ac:dyDescent="0.25">
      <c r="A58" s="44"/>
      <c r="B58" s="28" t="str">
        <f t="shared" si="7"/>
        <v/>
      </c>
      <c r="C58" s="29"/>
      <c r="D58" s="29"/>
      <c r="E58" s="29"/>
      <c r="F58" s="29"/>
      <c r="G58" s="115"/>
      <c r="H58" s="129">
        <v>53</v>
      </c>
      <c r="I58" s="130" t="str">
        <f t="shared" si="4"/>
        <v/>
      </c>
      <c r="J58" s="129">
        <f t="shared" si="5"/>
        <v>-4</v>
      </c>
      <c r="K58" s="129">
        <f t="shared" si="2"/>
        <v>-40</v>
      </c>
      <c r="L58" s="129"/>
      <c r="M58" s="131">
        <f t="shared" si="3"/>
        <v>0</v>
      </c>
    </row>
    <row r="59" spans="1:13" x14ac:dyDescent="0.25">
      <c r="A59" s="43"/>
      <c r="B59" s="34" t="str">
        <f t="shared" si="7"/>
        <v/>
      </c>
      <c r="C59" s="35"/>
      <c r="D59" s="35"/>
      <c r="E59" s="35"/>
      <c r="F59" s="35"/>
      <c r="G59" s="115"/>
      <c r="H59" s="132">
        <v>54</v>
      </c>
      <c r="I59" s="133" t="str">
        <f t="shared" si="4"/>
        <v/>
      </c>
      <c r="J59" s="132">
        <f t="shared" si="5"/>
        <v>-4</v>
      </c>
      <c r="K59" s="132">
        <f t="shared" si="2"/>
        <v>-40</v>
      </c>
      <c r="L59" s="132"/>
      <c r="M59" s="134">
        <f t="shared" si="3"/>
        <v>0</v>
      </c>
    </row>
    <row r="60" spans="1:13" x14ac:dyDescent="0.25">
      <c r="A60" s="44"/>
      <c r="B60" s="28" t="str">
        <f t="shared" si="7"/>
        <v/>
      </c>
      <c r="C60" s="29"/>
      <c r="D60" s="29"/>
      <c r="E60" s="29"/>
      <c r="F60" s="29"/>
      <c r="G60" s="115"/>
      <c r="H60" s="129">
        <v>55</v>
      </c>
      <c r="I60" s="130" t="str">
        <f t="shared" si="4"/>
        <v/>
      </c>
      <c r="J60" s="129">
        <f t="shared" si="5"/>
        <v>-4</v>
      </c>
      <c r="K60" s="129">
        <f t="shared" si="2"/>
        <v>-40</v>
      </c>
      <c r="L60" s="129"/>
      <c r="M60" s="131">
        <f t="shared" si="3"/>
        <v>0</v>
      </c>
    </row>
    <row r="61" spans="1:13" x14ac:dyDescent="0.25">
      <c r="A61" s="43"/>
      <c r="B61" s="34" t="str">
        <f t="shared" si="7"/>
        <v/>
      </c>
      <c r="C61" s="35"/>
      <c r="D61" s="35"/>
      <c r="E61" s="35"/>
      <c r="F61" s="35"/>
      <c r="G61" s="115"/>
      <c r="H61" s="132">
        <v>56</v>
      </c>
      <c r="I61" s="133" t="str">
        <f t="shared" si="4"/>
        <v/>
      </c>
      <c r="J61" s="132">
        <f t="shared" si="5"/>
        <v>-4</v>
      </c>
      <c r="K61" s="132">
        <f t="shared" si="2"/>
        <v>-40</v>
      </c>
      <c r="L61" s="132"/>
      <c r="M61" s="134">
        <f t="shared" si="3"/>
        <v>0</v>
      </c>
    </row>
    <row r="62" spans="1:13" x14ac:dyDescent="0.25">
      <c r="A62" s="44"/>
      <c r="B62" s="28" t="str">
        <f t="shared" si="7"/>
        <v/>
      </c>
      <c r="C62" s="29"/>
      <c r="D62" s="29"/>
      <c r="E62" s="29"/>
      <c r="F62" s="29"/>
      <c r="G62" s="115"/>
      <c r="H62" s="129">
        <v>57</v>
      </c>
      <c r="I62" s="130" t="str">
        <f t="shared" si="4"/>
        <v/>
      </c>
      <c r="J62" s="129">
        <f t="shared" si="5"/>
        <v>-4</v>
      </c>
      <c r="K62" s="129">
        <f t="shared" si="2"/>
        <v>-40</v>
      </c>
      <c r="L62" s="129"/>
      <c r="M62" s="131">
        <f t="shared" si="3"/>
        <v>0</v>
      </c>
    </row>
    <row r="63" spans="1:13" x14ac:dyDescent="0.25">
      <c r="A63" s="43"/>
      <c r="B63" s="34" t="str">
        <f t="shared" si="7"/>
        <v/>
      </c>
      <c r="C63" s="35"/>
      <c r="D63" s="35"/>
      <c r="E63" s="35"/>
      <c r="F63" s="35"/>
      <c r="G63" s="115"/>
      <c r="H63" s="132">
        <v>58</v>
      </c>
      <c r="I63" s="133" t="str">
        <f t="shared" si="4"/>
        <v/>
      </c>
      <c r="J63" s="132">
        <f t="shared" si="5"/>
        <v>-4</v>
      </c>
      <c r="K63" s="132">
        <f t="shared" si="2"/>
        <v>-40</v>
      </c>
      <c r="L63" s="132"/>
      <c r="M63" s="134">
        <f t="shared" si="3"/>
        <v>0</v>
      </c>
    </row>
    <row r="64" spans="1:13" x14ac:dyDescent="0.25">
      <c r="A64" s="44"/>
      <c r="B64" s="28" t="str">
        <f t="shared" si="7"/>
        <v/>
      </c>
      <c r="C64" s="29"/>
      <c r="D64" s="29"/>
      <c r="E64" s="29"/>
      <c r="F64" s="29"/>
      <c r="G64" s="115"/>
      <c r="H64" s="129">
        <v>59</v>
      </c>
      <c r="I64" s="130" t="str">
        <f t="shared" si="4"/>
        <v/>
      </c>
      <c r="J64" s="129">
        <f t="shared" si="5"/>
        <v>-4</v>
      </c>
      <c r="K64" s="129">
        <f t="shared" si="2"/>
        <v>-40</v>
      </c>
      <c r="L64" s="129"/>
      <c r="M64" s="131">
        <f t="shared" si="3"/>
        <v>0</v>
      </c>
    </row>
    <row r="65" spans="1:13" x14ac:dyDescent="0.25">
      <c r="A65" s="43"/>
      <c r="B65" s="34" t="str">
        <f t="shared" si="7"/>
        <v/>
      </c>
      <c r="C65" s="35"/>
      <c r="D65" s="35"/>
      <c r="E65" s="35"/>
      <c r="F65" s="35"/>
      <c r="G65" s="115"/>
      <c r="H65" s="132">
        <v>60</v>
      </c>
      <c r="I65" s="133" t="str">
        <f t="shared" si="4"/>
        <v/>
      </c>
      <c r="J65" s="132">
        <f t="shared" si="5"/>
        <v>-4</v>
      </c>
      <c r="K65" s="132">
        <f t="shared" si="2"/>
        <v>-40</v>
      </c>
      <c r="L65" s="132"/>
      <c r="M65" s="134">
        <f t="shared" si="3"/>
        <v>0</v>
      </c>
    </row>
    <row r="66" spans="1:13" x14ac:dyDescent="0.25">
      <c r="A66" s="145"/>
      <c r="B66" s="28"/>
      <c r="G66" s="115"/>
      <c r="H66" s="129">
        <v>61</v>
      </c>
      <c r="I66" s="130" t="str">
        <f t="shared" si="4"/>
        <v/>
      </c>
      <c r="J66" s="129">
        <f t="shared" si="5"/>
        <v>-4</v>
      </c>
      <c r="K66" s="129">
        <f t="shared" si="2"/>
        <v>-40</v>
      </c>
      <c r="L66" s="129"/>
      <c r="M66" s="131">
        <f t="shared" si="3"/>
        <v>0</v>
      </c>
    </row>
    <row r="67" spans="1:13" x14ac:dyDescent="0.25">
      <c r="A67" s="145"/>
      <c r="B67" s="34"/>
      <c r="G67" s="115"/>
      <c r="H67" s="129">
        <v>62</v>
      </c>
      <c r="I67" s="130" t="str">
        <f t="shared" si="4"/>
        <v/>
      </c>
      <c r="J67" s="129">
        <f t="shared" si="5"/>
        <v>-4</v>
      </c>
      <c r="K67" s="129">
        <f t="shared" si="2"/>
        <v>-40</v>
      </c>
      <c r="L67" s="129"/>
      <c r="M67" s="131">
        <f t="shared" si="3"/>
        <v>0</v>
      </c>
    </row>
    <row r="68" spans="1:13" x14ac:dyDescent="0.25">
      <c r="A68" s="145"/>
      <c r="B68" s="28"/>
      <c r="G68" s="115"/>
      <c r="H68" s="129">
        <v>63</v>
      </c>
      <c r="I68" s="130" t="str">
        <f t="shared" si="4"/>
        <v/>
      </c>
      <c r="J68" s="129">
        <f t="shared" si="5"/>
        <v>-4</v>
      </c>
      <c r="K68" s="129">
        <f t="shared" si="2"/>
        <v>-40</v>
      </c>
      <c r="L68" s="129"/>
      <c r="M68" s="131">
        <f t="shared" si="3"/>
        <v>0</v>
      </c>
    </row>
    <row r="69" spans="1:13" x14ac:dyDescent="0.25">
      <c r="A69" s="145"/>
      <c r="B69" s="34"/>
      <c r="G69" s="115"/>
      <c r="H69" s="129">
        <v>64</v>
      </c>
      <c r="I69" s="130" t="str">
        <f t="shared" si="4"/>
        <v/>
      </c>
      <c r="J69" s="129">
        <f t="shared" si="5"/>
        <v>-4</v>
      </c>
      <c r="K69" s="129">
        <f t="shared" si="2"/>
        <v>-40</v>
      </c>
      <c r="L69" s="129"/>
      <c r="M69" s="131">
        <f t="shared" si="3"/>
        <v>0</v>
      </c>
    </row>
    <row r="70" spans="1:13" x14ac:dyDescent="0.25">
      <c r="A70" s="145"/>
      <c r="G70" s="115"/>
      <c r="H70" s="129">
        <v>65</v>
      </c>
      <c r="I70" s="130" t="str">
        <f t="shared" si="4"/>
        <v/>
      </c>
      <c r="J70" s="129">
        <f t="shared" si="5"/>
        <v>-5</v>
      </c>
      <c r="K70" s="129">
        <f t="shared" ref="K70:K133" si="8">J70*$J$2</f>
        <v>-50</v>
      </c>
      <c r="L70" s="129"/>
      <c r="M70" s="131">
        <f t="shared" ref="M70:M133" si="9">IF(I70&lt;&gt;"",K70+I70+L70,0)</f>
        <v>0</v>
      </c>
    </row>
    <row r="71" spans="1:13" x14ac:dyDescent="0.25">
      <c r="A71" s="145"/>
      <c r="G71" s="115"/>
      <c r="H71" s="129">
        <v>66</v>
      </c>
      <c r="I71" s="130" t="str">
        <f t="shared" ref="I71:I134" si="10">IF(H71&lt;$H$2+1,($I$2-($I$2-1)*(LOG(H71)/LOG($H$2))),"")</f>
        <v/>
      </c>
      <c r="J71" s="129">
        <f t="shared" ref="J71:J134" si="11">INT(LOG($H$2,2))-ROUNDUP(LOG(H71,2),0)+IF(OR($H$2=1,$H$2=2,$H$2=4,$H$2=8,$H$2=16,$H$2=32,$H$2=64,$H$2=128,$H$2=256),0,1)</f>
        <v>-5</v>
      </c>
      <c r="K71" s="129">
        <f t="shared" si="8"/>
        <v>-50</v>
      </c>
      <c r="L71" s="129"/>
      <c r="M71" s="131">
        <f t="shared" si="9"/>
        <v>0</v>
      </c>
    </row>
    <row r="72" spans="1:13" x14ac:dyDescent="0.25">
      <c r="A72" s="145"/>
      <c r="G72" s="115"/>
      <c r="H72" s="129">
        <v>67</v>
      </c>
      <c r="I72" s="130" t="str">
        <f t="shared" si="10"/>
        <v/>
      </c>
      <c r="J72" s="129">
        <f t="shared" si="11"/>
        <v>-5</v>
      </c>
      <c r="K72" s="129">
        <f t="shared" si="8"/>
        <v>-50</v>
      </c>
      <c r="L72" s="129"/>
      <c r="M72" s="131">
        <f t="shared" si="9"/>
        <v>0</v>
      </c>
    </row>
    <row r="73" spans="1:13" x14ac:dyDescent="0.25">
      <c r="A73" s="145"/>
      <c r="G73" s="115"/>
      <c r="H73" s="129">
        <v>68</v>
      </c>
      <c r="I73" s="130" t="str">
        <f t="shared" si="10"/>
        <v/>
      </c>
      <c r="J73" s="129">
        <f t="shared" si="11"/>
        <v>-5</v>
      </c>
      <c r="K73" s="129">
        <f t="shared" si="8"/>
        <v>-50</v>
      </c>
      <c r="L73" s="129"/>
      <c r="M73" s="131">
        <f t="shared" si="9"/>
        <v>0</v>
      </c>
    </row>
    <row r="74" spans="1:13" x14ac:dyDescent="0.25">
      <c r="A74" s="145"/>
      <c r="G74" s="115"/>
      <c r="H74" s="129">
        <v>69</v>
      </c>
      <c r="I74" s="130" t="str">
        <f t="shared" si="10"/>
        <v/>
      </c>
      <c r="J74" s="129">
        <f t="shared" si="11"/>
        <v>-5</v>
      </c>
      <c r="K74" s="129">
        <f t="shared" si="8"/>
        <v>-50</v>
      </c>
      <c r="L74" s="129"/>
      <c r="M74" s="131">
        <f t="shared" si="9"/>
        <v>0</v>
      </c>
    </row>
    <row r="75" spans="1:13" x14ac:dyDescent="0.25">
      <c r="A75" s="145"/>
      <c r="G75" s="115"/>
      <c r="H75" s="129">
        <v>70</v>
      </c>
      <c r="I75" s="130" t="str">
        <f t="shared" si="10"/>
        <v/>
      </c>
      <c r="J75" s="129">
        <f t="shared" si="11"/>
        <v>-5</v>
      </c>
      <c r="K75" s="129">
        <f t="shared" si="8"/>
        <v>-50</v>
      </c>
      <c r="L75" s="129"/>
      <c r="M75" s="131">
        <f t="shared" si="9"/>
        <v>0</v>
      </c>
    </row>
    <row r="76" spans="1:13" x14ac:dyDescent="0.25">
      <c r="A76" s="145"/>
      <c r="G76" s="115"/>
      <c r="H76" s="129">
        <v>71</v>
      </c>
      <c r="I76" s="130" t="str">
        <f t="shared" si="10"/>
        <v/>
      </c>
      <c r="J76" s="129">
        <f t="shared" si="11"/>
        <v>-5</v>
      </c>
      <c r="K76" s="129">
        <f t="shared" si="8"/>
        <v>-50</v>
      </c>
      <c r="L76" s="129"/>
      <c r="M76" s="131">
        <f t="shared" si="9"/>
        <v>0</v>
      </c>
    </row>
    <row r="77" spans="1:13" x14ac:dyDescent="0.25">
      <c r="A77" s="145"/>
      <c r="G77" s="115"/>
      <c r="H77" s="129">
        <v>72</v>
      </c>
      <c r="I77" s="130" t="str">
        <f t="shared" si="10"/>
        <v/>
      </c>
      <c r="J77" s="129">
        <f t="shared" si="11"/>
        <v>-5</v>
      </c>
      <c r="K77" s="129">
        <f t="shared" si="8"/>
        <v>-50</v>
      </c>
      <c r="L77" s="129"/>
      <c r="M77" s="131">
        <f t="shared" si="9"/>
        <v>0</v>
      </c>
    </row>
    <row r="78" spans="1:13" x14ac:dyDescent="0.25">
      <c r="A78" s="145"/>
      <c r="G78" s="115"/>
      <c r="H78" s="129">
        <v>73</v>
      </c>
      <c r="I78" s="130" t="str">
        <f t="shared" si="10"/>
        <v/>
      </c>
      <c r="J78" s="129">
        <f t="shared" si="11"/>
        <v>-5</v>
      </c>
      <c r="K78" s="129">
        <f t="shared" si="8"/>
        <v>-50</v>
      </c>
      <c r="L78" s="129"/>
      <c r="M78" s="131">
        <f t="shared" si="9"/>
        <v>0</v>
      </c>
    </row>
    <row r="79" spans="1:13" x14ac:dyDescent="0.25">
      <c r="A79" s="145"/>
      <c r="G79" s="115"/>
      <c r="H79" s="129">
        <v>74</v>
      </c>
      <c r="I79" s="130" t="str">
        <f t="shared" si="10"/>
        <v/>
      </c>
      <c r="J79" s="129">
        <f t="shared" si="11"/>
        <v>-5</v>
      </c>
      <c r="K79" s="129">
        <f t="shared" si="8"/>
        <v>-50</v>
      </c>
      <c r="L79" s="129"/>
      <c r="M79" s="131">
        <f t="shared" si="9"/>
        <v>0</v>
      </c>
    </row>
    <row r="80" spans="1:13" x14ac:dyDescent="0.25">
      <c r="A80" s="145"/>
      <c r="G80" s="115"/>
      <c r="H80" s="129">
        <v>75</v>
      </c>
      <c r="I80" s="130" t="str">
        <f t="shared" si="10"/>
        <v/>
      </c>
      <c r="J80" s="129">
        <f t="shared" si="11"/>
        <v>-5</v>
      </c>
      <c r="K80" s="129">
        <f t="shared" si="8"/>
        <v>-50</v>
      </c>
      <c r="L80" s="129"/>
      <c r="M80" s="131">
        <f t="shared" si="9"/>
        <v>0</v>
      </c>
    </row>
    <row r="81" spans="1:13" x14ac:dyDescent="0.25">
      <c r="A81" s="145"/>
      <c r="G81" s="115"/>
      <c r="H81" s="129">
        <v>76</v>
      </c>
      <c r="I81" s="130" t="str">
        <f t="shared" si="10"/>
        <v/>
      </c>
      <c r="J81" s="129">
        <f t="shared" si="11"/>
        <v>-5</v>
      </c>
      <c r="K81" s="129">
        <f t="shared" si="8"/>
        <v>-50</v>
      </c>
      <c r="L81" s="129"/>
      <c r="M81" s="131">
        <f t="shared" si="9"/>
        <v>0</v>
      </c>
    </row>
    <row r="82" spans="1:13" x14ac:dyDescent="0.25">
      <c r="A82" s="145"/>
      <c r="G82" s="115"/>
      <c r="H82" s="129">
        <v>77</v>
      </c>
      <c r="I82" s="130" t="str">
        <f t="shared" si="10"/>
        <v/>
      </c>
      <c r="J82" s="129">
        <f t="shared" si="11"/>
        <v>-5</v>
      </c>
      <c r="K82" s="129">
        <f t="shared" si="8"/>
        <v>-50</v>
      </c>
      <c r="L82" s="129"/>
      <c r="M82" s="131">
        <f t="shared" si="9"/>
        <v>0</v>
      </c>
    </row>
    <row r="83" spans="1:13" x14ac:dyDescent="0.25">
      <c r="A83" s="145"/>
      <c r="G83" s="115"/>
      <c r="H83" s="129">
        <v>78</v>
      </c>
      <c r="I83" s="130" t="str">
        <f t="shared" si="10"/>
        <v/>
      </c>
      <c r="J83" s="129">
        <f t="shared" si="11"/>
        <v>-5</v>
      </c>
      <c r="K83" s="129">
        <f t="shared" si="8"/>
        <v>-50</v>
      </c>
      <c r="L83" s="129"/>
      <c r="M83" s="131">
        <f t="shared" si="9"/>
        <v>0</v>
      </c>
    </row>
    <row r="84" spans="1:13" x14ac:dyDescent="0.25">
      <c r="A84" s="145"/>
      <c r="G84" s="115"/>
      <c r="H84" s="129">
        <v>79</v>
      </c>
      <c r="I84" s="130" t="str">
        <f t="shared" si="10"/>
        <v/>
      </c>
      <c r="J84" s="129">
        <f t="shared" si="11"/>
        <v>-5</v>
      </c>
      <c r="K84" s="129">
        <f t="shared" si="8"/>
        <v>-50</v>
      </c>
      <c r="L84" s="129"/>
      <c r="M84" s="131">
        <f t="shared" si="9"/>
        <v>0</v>
      </c>
    </row>
    <row r="85" spans="1:13" x14ac:dyDescent="0.25">
      <c r="A85" s="145"/>
      <c r="G85" s="115"/>
      <c r="H85" s="129">
        <v>80</v>
      </c>
      <c r="I85" s="130" t="str">
        <f t="shared" si="10"/>
        <v/>
      </c>
      <c r="J85" s="129">
        <f t="shared" si="11"/>
        <v>-5</v>
      </c>
      <c r="K85" s="129">
        <f t="shared" si="8"/>
        <v>-50</v>
      </c>
      <c r="L85" s="129"/>
      <c r="M85" s="131">
        <f t="shared" si="9"/>
        <v>0</v>
      </c>
    </row>
    <row r="86" spans="1:13" x14ac:dyDescent="0.25">
      <c r="A86" s="145"/>
      <c r="G86" s="115"/>
      <c r="H86" s="129">
        <v>81</v>
      </c>
      <c r="I86" s="130" t="str">
        <f t="shared" si="10"/>
        <v/>
      </c>
      <c r="J86" s="129">
        <f t="shared" si="11"/>
        <v>-5</v>
      </c>
      <c r="K86" s="129">
        <f t="shared" si="8"/>
        <v>-50</v>
      </c>
      <c r="L86" s="129"/>
      <c r="M86" s="131">
        <f t="shared" si="9"/>
        <v>0</v>
      </c>
    </row>
    <row r="87" spans="1:13" x14ac:dyDescent="0.25">
      <c r="A87" s="145"/>
      <c r="G87" s="115"/>
      <c r="H87" s="129">
        <v>82</v>
      </c>
      <c r="I87" s="130" t="str">
        <f t="shared" si="10"/>
        <v/>
      </c>
      <c r="J87" s="129">
        <f t="shared" si="11"/>
        <v>-5</v>
      </c>
      <c r="K87" s="129">
        <f t="shared" si="8"/>
        <v>-50</v>
      </c>
      <c r="L87" s="129"/>
      <c r="M87" s="131">
        <f t="shared" si="9"/>
        <v>0</v>
      </c>
    </row>
    <row r="88" spans="1:13" x14ac:dyDescent="0.25">
      <c r="A88" s="145"/>
      <c r="G88" s="115"/>
      <c r="H88" s="129">
        <v>83</v>
      </c>
      <c r="I88" s="130" t="str">
        <f t="shared" si="10"/>
        <v/>
      </c>
      <c r="J88" s="129">
        <f t="shared" si="11"/>
        <v>-5</v>
      </c>
      <c r="K88" s="129">
        <f t="shared" si="8"/>
        <v>-50</v>
      </c>
      <c r="L88" s="129"/>
      <c r="M88" s="131">
        <f t="shared" si="9"/>
        <v>0</v>
      </c>
    </row>
    <row r="89" spans="1:13" x14ac:dyDescent="0.25">
      <c r="A89" s="145"/>
      <c r="G89" s="115"/>
      <c r="H89" s="129">
        <v>84</v>
      </c>
      <c r="I89" s="130" t="str">
        <f t="shared" si="10"/>
        <v/>
      </c>
      <c r="J89" s="129">
        <f t="shared" si="11"/>
        <v>-5</v>
      </c>
      <c r="K89" s="129">
        <f t="shared" si="8"/>
        <v>-50</v>
      </c>
      <c r="L89" s="129"/>
      <c r="M89" s="131">
        <f t="shared" si="9"/>
        <v>0</v>
      </c>
    </row>
    <row r="90" spans="1:13" x14ac:dyDescent="0.25">
      <c r="A90" s="145"/>
      <c r="G90" s="115"/>
      <c r="H90" s="129">
        <v>85</v>
      </c>
      <c r="I90" s="130" t="str">
        <f t="shared" si="10"/>
        <v/>
      </c>
      <c r="J90" s="129">
        <f t="shared" si="11"/>
        <v>-5</v>
      </c>
      <c r="K90" s="129">
        <f t="shared" si="8"/>
        <v>-50</v>
      </c>
      <c r="L90" s="129"/>
      <c r="M90" s="131">
        <f t="shared" si="9"/>
        <v>0</v>
      </c>
    </row>
    <row r="91" spans="1:13" x14ac:dyDescent="0.25">
      <c r="A91" s="145"/>
      <c r="G91" s="115"/>
      <c r="H91" s="129">
        <v>86</v>
      </c>
      <c r="I91" s="130" t="str">
        <f t="shared" si="10"/>
        <v/>
      </c>
      <c r="J91" s="129">
        <f t="shared" si="11"/>
        <v>-5</v>
      </c>
      <c r="K91" s="129">
        <f t="shared" si="8"/>
        <v>-50</v>
      </c>
      <c r="L91" s="129"/>
      <c r="M91" s="131">
        <f t="shared" si="9"/>
        <v>0</v>
      </c>
    </row>
    <row r="92" spans="1:13" x14ac:dyDescent="0.25">
      <c r="A92" s="145"/>
      <c r="G92" s="115"/>
      <c r="H92" s="129">
        <v>87</v>
      </c>
      <c r="I92" s="130" t="str">
        <f t="shared" si="10"/>
        <v/>
      </c>
      <c r="J92" s="129">
        <f t="shared" si="11"/>
        <v>-5</v>
      </c>
      <c r="K92" s="129">
        <f t="shared" si="8"/>
        <v>-50</v>
      </c>
      <c r="L92" s="129"/>
      <c r="M92" s="131">
        <f t="shared" si="9"/>
        <v>0</v>
      </c>
    </row>
    <row r="93" spans="1:13" x14ac:dyDescent="0.25">
      <c r="A93" s="145"/>
      <c r="G93" s="115"/>
      <c r="H93" s="129">
        <v>88</v>
      </c>
      <c r="I93" s="130" t="str">
        <f t="shared" si="10"/>
        <v/>
      </c>
      <c r="J93" s="129">
        <f t="shared" si="11"/>
        <v>-5</v>
      </c>
      <c r="K93" s="129">
        <f t="shared" si="8"/>
        <v>-50</v>
      </c>
      <c r="L93" s="129"/>
      <c r="M93" s="131">
        <f t="shared" si="9"/>
        <v>0</v>
      </c>
    </row>
    <row r="94" spans="1:13" x14ac:dyDescent="0.25">
      <c r="A94" s="145"/>
      <c r="G94" s="115"/>
      <c r="H94" s="129">
        <v>89</v>
      </c>
      <c r="I94" s="130" t="str">
        <f t="shared" si="10"/>
        <v/>
      </c>
      <c r="J94" s="129">
        <f t="shared" si="11"/>
        <v>-5</v>
      </c>
      <c r="K94" s="129">
        <f t="shared" si="8"/>
        <v>-50</v>
      </c>
      <c r="L94" s="129"/>
      <c r="M94" s="131">
        <f t="shared" si="9"/>
        <v>0</v>
      </c>
    </row>
    <row r="95" spans="1:13" x14ac:dyDescent="0.25">
      <c r="A95" s="145"/>
      <c r="G95" s="115"/>
      <c r="H95" s="129">
        <v>90</v>
      </c>
      <c r="I95" s="130" t="str">
        <f t="shared" si="10"/>
        <v/>
      </c>
      <c r="J95" s="129">
        <f t="shared" si="11"/>
        <v>-5</v>
      </c>
      <c r="K95" s="129">
        <f t="shared" si="8"/>
        <v>-50</v>
      </c>
      <c r="L95" s="129"/>
      <c r="M95" s="131">
        <f t="shared" si="9"/>
        <v>0</v>
      </c>
    </row>
    <row r="96" spans="1:13" x14ac:dyDescent="0.25">
      <c r="A96" s="145"/>
      <c r="G96" s="115"/>
      <c r="H96" s="129">
        <v>91</v>
      </c>
      <c r="I96" s="130" t="str">
        <f t="shared" si="10"/>
        <v/>
      </c>
      <c r="J96" s="129">
        <f t="shared" si="11"/>
        <v>-5</v>
      </c>
      <c r="K96" s="129">
        <f t="shared" si="8"/>
        <v>-50</v>
      </c>
      <c r="L96" s="129"/>
      <c r="M96" s="131">
        <f t="shared" si="9"/>
        <v>0</v>
      </c>
    </row>
    <row r="97" spans="1:13" x14ac:dyDescent="0.25">
      <c r="A97" s="145"/>
      <c r="G97" s="115"/>
      <c r="H97" s="129">
        <v>92</v>
      </c>
      <c r="I97" s="130" t="str">
        <f t="shared" si="10"/>
        <v/>
      </c>
      <c r="J97" s="129">
        <f t="shared" si="11"/>
        <v>-5</v>
      </c>
      <c r="K97" s="129">
        <f t="shared" si="8"/>
        <v>-50</v>
      </c>
      <c r="L97" s="129"/>
      <c r="M97" s="131">
        <f t="shared" si="9"/>
        <v>0</v>
      </c>
    </row>
    <row r="98" spans="1:13" x14ac:dyDescent="0.25">
      <c r="A98" s="145"/>
      <c r="G98" s="115"/>
      <c r="H98" s="129">
        <v>93</v>
      </c>
      <c r="I98" s="130" t="str">
        <f t="shared" si="10"/>
        <v/>
      </c>
      <c r="J98" s="129">
        <f t="shared" si="11"/>
        <v>-5</v>
      </c>
      <c r="K98" s="129">
        <f t="shared" si="8"/>
        <v>-50</v>
      </c>
      <c r="L98" s="129"/>
      <c r="M98" s="131">
        <f t="shared" si="9"/>
        <v>0</v>
      </c>
    </row>
    <row r="99" spans="1:13" x14ac:dyDescent="0.25">
      <c r="A99" s="145"/>
      <c r="G99" s="115"/>
      <c r="H99" s="129">
        <v>94</v>
      </c>
      <c r="I99" s="130" t="str">
        <f t="shared" si="10"/>
        <v/>
      </c>
      <c r="J99" s="129">
        <f t="shared" si="11"/>
        <v>-5</v>
      </c>
      <c r="K99" s="129">
        <f t="shared" si="8"/>
        <v>-50</v>
      </c>
      <c r="L99" s="129"/>
      <c r="M99" s="131">
        <f t="shared" si="9"/>
        <v>0</v>
      </c>
    </row>
    <row r="100" spans="1:13" x14ac:dyDescent="0.25">
      <c r="A100" s="145"/>
      <c r="G100" s="115"/>
      <c r="H100" s="129">
        <v>95</v>
      </c>
      <c r="I100" s="130" t="str">
        <f t="shared" si="10"/>
        <v/>
      </c>
      <c r="J100" s="129">
        <f t="shared" si="11"/>
        <v>-5</v>
      </c>
      <c r="K100" s="129">
        <f t="shared" si="8"/>
        <v>-50</v>
      </c>
      <c r="L100" s="129"/>
      <c r="M100" s="131">
        <f t="shared" si="9"/>
        <v>0</v>
      </c>
    </row>
    <row r="101" spans="1:13" x14ac:dyDescent="0.25">
      <c r="A101" s="145"/>
      <c r="G101" s="115"/>
      <c r="H101" s="129">
        <v>96</v>
      </c>
      <c r="I101" s="130" t="str">
        <f t="shared" si="10"/>
        <v/>
      </c>
      <c r="J101" s="129">
        <f t="shared" si="11"/>
        <v>-5</v>
      </c>
      <c r="K101" s="129">
        <f t="shared" si="8"/>
        <v>-50</v>
      </c>
      <c r="L101" s="129"/>
      <c r="M101" s="131">
        <f t="shared" si="9"/>
        <v>0</v>
      </c>
    </row>
    <row r="102" spans="1:13" x14ac:dyDescent="0.25">
      <c r="A102" s="145"/>
      <c r="G102" s="115"/>
      <c r="H102" s="129">
        <v>97</v>
      </c>
      <c r="I102" s="130" t="str">
        <f t="shared" si="10"/>
        <v/>
      </c>
      <c r="J102" s="129">
        <f t="shared" si="11"/>
        <v>-5</v>
      </c>
      <c r="K102" s="129">
        <f t="shared" si="8"/>
        <v>-50</v>
      </c>
      <c r="L102" s="129"/>
      <c r="M102" s="131">
        <f t="shared" si="9"/>
        <v>0</v>
      </c>
    </row>
    <row r="103" spans="1:13" x14ac:dyDescent="0.25">
      <c r="A103" s="145"/>
      <c r="G103" s="115"/>
      <c r="H103" s="129">
        <v>98</v>
      </c>
      <c r="I103" s="130" t="str">
        <f t="shared" si="10"/>
        <v/>
      </c>
      <c r="J103" s="129">
        <f t="shared" si="11"/>
        <v>-5</v>
      </c>
      <c r="K103" s="129">
        <f t="shared" si="8"/>
        <v>-50</v>
      </c>
      <c r="L103" s="129"/>
      <c r="M103" s="131">
        <f t="shared" si="9"/>
        <v>0</v>
      </c>
    </row>
    <row r="104" spans="1:13" x14ac:dyDescent="0.25">
      <c r="A104" s="145"/>
      <c r="G104" s="115"/>
      <c r="H104" s="129">
        <v>99</v>
      </c>
      <c r="I104" s="130" t="str">
        <f t="shared" si="10"/>
        <v/>
      </c>
      <c r="J104" s="129">
        <f t="shared" si="11"/>
        <v>-5</v>
      </c>
      <c r="K104" s="129">
        <f t="shared" si="8"/>
        <v>-50</v>
      </c>
      <c r="L104" s="129"/>
      <c r="M104" s="131">
        <f t="shared" si="9"/>
        <v>0</v>
      </c>
    </row>
    <row r="105" spans="1:13" x14ac:dyDescent="0.25">
      <c r="A105" s="145"/>
      <c r="G105" s="115"/>
      <c r="H105" s="129">
        <v>100</v>
      </c>
      <c r="I105" s="130" t="str">
        <f t="shared" si="10"/>
        <v/>
      </c>
      <c r="J105" s="129">
        <f t="shared" si="11"/>
        <v>-5</v>
      </c>
      <c r="K105" s="129">
        <f t="shared" si="8"/>
        <v>-50</v>
      </c>
      <c r="L105" s="129"/>
      <c r="M105" s="131">
        <f t="shared" si="9"/>
        <v>0</v>
      </c>
    </row>
    <row r="106" spans="1:13" x14ac:dyDescent="0.25">
      <c r="A106" s="145"/>
      <c r="G106" s="115"/>
      <c r="H106" s="129">
        <v>101</v>
      </c>
      <c r="I106" s="130" t="str">
        <f t="shared" si="10"/>
        <v/>
      </c>
      <c r="J106" s="129">
        <f t="shared" si="11"/>
        <v>-5</v>
      </c>
      <c r="K106" s="129">
        <f t="shared" si="8"/>
        <v>-50</v>
      </c>
      <c r="L106" s="129"/>
      <c r="M106" s="131">
        <f t="shared" si="9"/>
        <v>0</v>
      </c>
    </row>
    <row r="107" spans="1:13" x14ac:dyDescent="0.25">
      <c r="A107" s="145"/>
      <c r="G107" s="115"/>
      <c r="H107" s="129">
        <v>102</v>
      </c>
      <c r="I107" s="130" t="str">
        <f t="shared" si="10"/>
        <v/>
      </c>
      <c r="J107" s="129">
        <f t="shared" si="11"/>
        <v>-5</v>
      </c>
      <c r="K107" s="129">
        <f t="shared" si="8"/>
        <v>-50</v>
      </c>
      <c r="L107" s="129"/>
      <c r="M107" s="131">
        <f t="shared" si="9"/>
        <v>0</v>
      </c>
    </row>
    <row r="108" spans="1:13" x14ac:dyDescent="0.25">
      <c r="A108" s="145"/>
      <c r="G108" s="115"/>
      <c r="H108" s="129">
        <v>103</v>
      </c>
      <c r="I108" s="130" t="str">
        <f t="shared" si="10"/>
        <v/>
      </c>
      <c r="J108" s="129">
        <f t="shared" si="11"/>
        <v>-5</v>
      </c>
      <c r="K108" s="129">
        <f t="shared" si="8"/>
        <v>-50</v>
      </c>
      <c r="L108" s="129"/>
      <c r="M108" s="131">
        <f t="shared" si="9"/>
        <v>0</v>
      </c>
    </row>
    <row r="109" spans="1:13" x14ac:dyDescent="0.25">
      <c r="A109" s="145"/>
      <c r="G109" s="115"/>
      <c r="H109" s="129">
        <v>104</v>
      </c>
      <c r="I109" s="130" t="str">
        <f t="shared" si="10"/>
        <v/>
      </c>
      <c r="J109" s="129">
        <f t="shared" si="11"/>
        <v>-5</v>
      </c>
      <c r="K109" s="129">
        <f t="shared" si="8"/>
        <v>-50</v>
      </c>
      <c r="L109" s="129"/>
      <c r="M109" s="131">
        <f t="shared" si="9"/>
        <v>0</v>
      </c>
    </row>
    <row r="110" spans="1:13" x14ac:dyDescent="0.25">
      <c r="A110" s="145"/>
      <c r="G110" s="115"/>
      <c r="H110" s="129">
        <v>105</v>
      </c>
      <c r="I110" s="130" t="str">
        <f t="shared" si="10"/>
        <v/>
      </c>
      <c r="J110" s="129">
        <f t="shared" si="11"/>
        <v>-5</v>
      </c>
      <c r="K110" s="129">
        <f t="shared" si="8"/>
        <v>-50</v>
      </c>
      <c r="L110" s="129"/>
      <c r="M110" s="131">
        <f t="shared" si="9"/>
        <v>0</v>
      </c>
    </row>
    <row r="111" spans="1:13" x14ac:dyDescent="0.25">
      <c r="A111" s="145"/>
      <c r="G111" s="115"/>
      <c r="H111" s="129">
        <v>106</v>
      </c>
      <c r="I111" s="130" t="str">
        <f t="shared" si="10"/>
        <v/>
      </c>
      <c r="J111" s="129">
        <f t="shared" si="11"/>
        <v>-5</v>
      </c>
      <c r="K111" s="129">
        <f t="shared" si="8"/>
        <v>-50</v>
      </c>
      <c r="L111" s="129"/>
      <c r="M111" s="131">
        <f t="shared" si="9"/>
        <v>0</v>
      </c>
    </row>
    <row r="112" spans="1:13" x14ac:dyDescent="0.25">
      <c r="A112" s="145"/>
      <c r="G112" s="115"/>
      <c r="H112" s="129">
        <v>107</v>
      </c>
      <c r="I112" s="130" t="str">
        <f t="shared" si="10"/>
        <v/>
      </c>
      <c r="J112" s="129">
        <f t="shared" si="11"/>
        <v>-5</v>
      </c>
      <c r="K112" s="129">
        <f t="shared" si="8"/>
        <v>-50</v>
      </c>
      <c r="L112" s="129"/>
      <c r="M112" s="131">
        <f t="shared" si="9"/>
        <v>0</v>
      </c>
    </row>
    <row r="113" spans="1:13" x14ac:dyDescent="0.25">
      <c r="A113" s="145"/>
      <c r="G113" s="115"/>
      <c r="H113" s="129">
        <v>108</v>
      </c>
      <c r="I113" s="130" t="str">
        <f t="shared" si="10"/>
        <v/>
      </c>
      <c r="J113" s="129">
        <f t="shared" si="11"/>
        <v>-5</v>
      </c>
      <c r="K113" s="129">
        <f t="shared" si="8"/>
        <v>-50</v>
      </c>
      <c r="L113" s="129"/>
      <c r="M113" s="131">
        <f t="shared" si="9"/>
        <v>0</v>
      </c>
    </row>
    <row r="114" spans="1:13" x14ac:dyDescent="0.25">
      <c r="A114" s="145"/>
      <c r="G114" s="115"/>
      <c r="H114" s="129">
        <v>109</v>
      </c>
      <c r="I114" s="130" t="str">
        <f t="shared" si="10"/>
        <v/>
      </c>
      <c r="J114" s="129">
        <f t="shared" si="11"/>
        <v>-5</v>
      </c>
      <c r="K114" s="129">
        <f t="shared" si="8"/>
        <v>-50</v>
      </c>
      <c r="L114" s="129"/>
      <c r="M114" s="131">
        <f t="shared" si="9"/>
        <v>0</v>
      </c>
    </row>
    <row r="115" spans="1:13" x14ac:dyDescent="0.25">
      <c r="A115" s="145"/>
      <c r="G115" s="115"/>
      <c r="H115" s="129">
        <v>110</v>
      </c>
      <c r="I115" s="130" t="str">
        <f t="shared" si="10"/>
        <v/>
      </c>
      <c r="J115" s="129">
        <f t="shared" si="11"/>
        <v>-5</v>
      </c>
      <c r="K115" s="129">
        <f t="shared" si="8"/>
        <v>-50</v>
      </c>
      <c r="L115" s="129"/>
      <c r="M115" s="131">
        <f t="shared" si="9"/>
        <v>0</v>
      </c>
    </row>
    <row r="116" spans="1:13" x14ac:dyDescent="0.25">
      <c r="A116" s="145"/>
      <c r="G116" s="115"/>
      <c r="H116" s="129">
        <v>111</v>
      </c>
      <c r="I116" s="130" t="str">
        <f t="shared" si="10"/>
        <v/>
      </c>
      <c r="J116" s="129">
        <f t="shared" si="11"/>
        <v>-5</v>
      </c>
      <c r="K116" s="129">
        <f t="shared" si="8"/>
        <v>-50</v>
      </c>
      <c r="L116" s="129"/>
      <c r="M116" s="131">
        <f t="shared" si="9"/>
        <v>0</v>
      </c>
    </row>
    <row r="117" spans="1:13" x14ac:dyDescent="0.25">
      <c r="A117" s="145"/>
      <c r="G117" s="115"/>
      <c r="H117" s="129">
        <v>112</v>
      </c>
      <c r="I117" s="130" t="str">
        <f t="shared" si="10"/>
        <v/>
      </c>
      <c r="J117" s="129">
        <f t="shared" si="11"/>
        <v>-5</v>
      </c>
      <c r="K117" s="129">
        <f t="shared" si="8"/>
        <v>-50</v>
      </c>
      <c r="L117" s="129"/>
      <c r="M117" s="131">
        <f t="shared" si="9"/>
        <v>0</v>
      </c>
    </row>
    <row r="118" spans="1:13" x14ac:dyDescent="0.25">
      <c r="A118" s="145"/>
      <c r="G118" s="115"/>
      <c r="H118" s="129">
        <v>113</v>
      </c>
      <c r="I118" s="130" t="str">
        <f t="shared" si="10"/>
        <v/>
      </c>
      <c r="J118" s="129">
        <f t="shared" si="11"/>
        <v>-5</v>
      </c>
      <c r="K118" s="129">
        <f t="shared" si="8"/>
        <v>-50</v>
      </c>
      <c r="L118" s="129"/>
      <c r="M118" s="131">
        <f t="shared" si="9"/>
        <v>0</v>
      </c>
    </row>
    <row r="119" spans="1:13" x14ac:dyDescent="0.25">
      <c r="A119" s="145"/>
      <c r="G119" s="115"/>
      <c r="H119" s="129">
        <v>114</v>
      </c>
      <c r="I119" s="130" t="str">
        <f t="shared" si="10"/>
        <v/>
      </c>
      <c r="J119" s="129">
        <f t="shared" si="11"/>
        <v>-5</v>
      </c>
      <c r="K119" s="129">
        <f t="shared" si="8"/>
        <v>-50</v>
      </c>
      <c r="L119" s="129"/>
      <c r="M119" s="131">
        <f t="shared" si="9"/>
        <v>0</v>
      </c>
    </row>
    <row r="120" spans="1:13" x14ac:dyDescent="0.25">
      <c r="A120" s="145"/>
      <c r="G120" s="115"/>
      <c r="H120" s="129">
        <v>115</v>
      </c>
      <c r="I120" s="130" t="str">
        <f t="shared" si="10"/>
        <v/>
      </c>
      <c r="J120" s="129">
        <f t="shared" si="11"/>
        <v>-5</v>
      </c>
      <c r="K120" s="129">
        <f t="shared" si="8"/>
        <v>-50</v>
      </c>
      <c r="L120" s="129"/>
      <c r="M120" s="131">
        <f t="shared" si="9"/>
        <v>0</v>
      </c>
    </row>
    <row r="121" spans="1:13" x14ac:dyDescent="0.25">
      <c r="A121" s="145"/>
      <c r="G121" s="115"/>
      <c r="H121" s="129">
        <v>116</v>
      </c>
      <c r="I121" s="130" t="str">
        <f t="shared" si="10"/>
        <v/>
      </c>
      <c r="J121" s="129">
        <f t="shared" si="11"/>
        <v>-5</v>
      </c>
      <c r="K121" s="129">
        <f t="shared" si="8"/>
        <v>-50</v>
      </c>
      <c r="L121" s="129"/>
      <c r="M121" s="131">
        <f t="shared" si="9"/>
        <v>0</v>
      </c>
    </row>
    <row r="122" spans="1:13" x14ac:dyDescent="0.25">
      <c r="A122" s="145"/>
      <c r="G122" s="115"/>
      <c r="H122" s="129">
        <v>117</v>
      </c>
      <c r="I122" s="130" t="str">
        <f t="shared" si="10"/>
        <v/>
      </c>
      <c r="J122" s="129">
        <f t="shared" si="11"/>
        <v>-5</v>
      </c>
      <c r="K122" s="129">
        <f t="shared" si="8"/>
        <v>-50</v>
      </c>
      <c r="L122" s="129"/>
      <c r="M122" s="131">
        <f t="shared" si="9"/>
        <v>0</v>
      </c>
    </row>
    <row r="123" spans="1:13" x14ac:dyDescent="0.25">
      <c r="A123" s="145"/>
      <c r="G123" s="115"/>
      <c r="H123" s="129">
        <v>118</v>
      </c>
      <c r="I123" s="130" t="str">
        <f t="shared" si="10"/>
        <v/>
      </c>
      <c r="J123" s="129">
        <f t="shared" si="11"/>
        <v>-5</v>
      </c>
      <c r="K123" s="129">
        <f t="shared" si="8"/>
        <v>-50</v>
      </c>
      <c r="L123" s="129"/>
      <c r="M123" s="131">
        <f t="shared" si="9"/>
        <v>0</v>
      </c>
    </row>
    <row r="124" spans="1:13" x14ac:dyDescent="0.25">
      <c r="A124" s="145"/>
      <c r="G124" s="115"/>
      <c r="H124" s="129">
        <v>119</v>
      </c>
      <c r="I124" s="130" t="str">
        <f t="shared" si="10"/>
        <v/>
      </c>
      <c r="J124" s="129">
        <f t="shared" si="11"/>
        <v>-5</v>
      </c>
      <c r="K124" s="129">
        <f t="shared" si="8"/>
        <v>-50</v>
      </c>
      <c r="L124" s="129"/>
      <c r="M124" s="131">
        <f t="shared" si="9"/>
        <v>0</v>
      </c>
    </row>
    <row r="125" spans="1:13" x14ac:dyDescent="0.25">
      <c r="A125" s="145"/>
      <c r="G125" s="115"/>
      <c r="H125" s="129">
        <v>120</v>
      </c>
      <c r="I125" s="130" t="str">
        <f t="shared" si="10"/>
        <v/>
      </c>
      <c r="J125" s="129">
        <f t="shared" si="11"/>
        <v>-5</v>
      </c>
      <c r="K125" s="129">
        <f t="shared" si="8"/>
        <v>-50</v>
      </c>
      <c r="L125" s="129"/>
      <c r="M125" s="131">
        <f t="shared" si="9"/>
        <v>0</v>
      </c>
    </row>
    <row r="126" spans="1:13" x14ac:dyDescent="0.25">
      <c r="A126" s="145"/>
      <c r="G126" s="115"/>
      <c r="H126" s="129">
        <v>121</v>
      </c>
      <c r="I126" s="130" t="str">
        <f t="shared" si="10"/>
        <v/>
      </c>
      <c r="J126" s="129">
        <f t="shared" si="11"/>
        <v>-5</v>
      </c>
      <c r="K126" s="129">
        <f t="shared" si="8"/>
        <v>-50</v>
      </c>
      <c r="L126" s="129"/>
      <c r="M126" s="131">
        <f t="shared" si="9"/>
        <v>0</v>
      </c>
    </row>
    <row r="127" spans="1:13" x14ac:dyDescent="0.25">
      <c r="A127" s="145"/>
      <c r="G127" s="115"/>
      <c r="H127" s="129">
        <v>122</v>
      </c>
      <c r="I127" s="130" t="str">
        <f t="shared" si="10"/>
        <v/>
      </c>
      <c r="J127" s="129">
        <f t="shared" si="11"/>
        <v>-5</v>
      </c>
      <c r="K127" s="129">
        <f t="shared" si="8"/>
        <v>-50</v>
      </c>
      <c r="L127" s="129"/>
      <c r="M127" s="131">
        <f t="shared" si="9"/>
        <v>0</v>
      </c>
    </row>
    <row r="128" spans="1:13" x14ac:dyDescent="0.25">
      <c r="A128" s="145"/>
      <c r="G128" s="115"/>
      <c r="H128" s="129">
        <v>123</v>
      </c>
      <c r="I128" s="130" t="str">
        <f t="shared" si="10"/>
        <v/>
      </c>
      <c r="J128" s="129">
        <f t="shared" si="11"/>
        <v>-5</v>
      </c>
      <c r="K128" s="129">
        <f t="shared" si="8"/>
        <v>-50</v>
      </c>
      <c r="L128" s="129"/>
      <c r="M128" s="131">
        <f t="shared" si="9"/>
        <v>0</v>
      </c>
    </row>
    <row r="129" spans="1:13" x14ac:dyDescent="0.25">
      <c r="A129" s="145"/>
      <c r="G129" s="115"/>
      <c r="H129" s="129">
        <v>124</v>
      </c>
      <c r="I129" s="130" t="str">
        <f t="shared" si="10"/>
        <v/>
      </c>
      <c r="J129" s="129">
        <f t="shared" si="11"/>
        <v>-5</v>
      </c>
      <c r="K129" s="129">
        <f t="shared" si="8"/>
        <v>-50</v>
      </c>
      <c r="L129" s="129"/>
      <c r="M129" s="131">
        <f t="shared" si="9"/>
        <v>0</v>
      </c>
    </row>
    <row r="130" spans="1:13" x14ac:dyDescent="0.25">
      <c r="A130" s="145"/>
      <c r="G130" s="115"/>
      <c r="H130" s="129">
        <v>125</v>
      </c>
      <c r="I130" s="130" t="str">
        <f t="shared" si="10"/>
        <v/>
      </c>
      <c r="J130" s="129">
        <f t="shared" si="11"/>
        <v>-5</v>
      </c>
      <c r="K130" s="129">
        <f t="shared" si="8"/>
        <v>-50</v>
      </c>
      <c r="L130" s="129"/>
      <c r="M130" s="131">
        <f t="shared" si="9"/>
        <v>0</v>
      </c>
    </row>
    <row r="131" spans="1:13" x14ac:dyDescent="0.25">
      <c r="A131" s="145"/>
      <c r="G131" s="115"/>
      <c r="H131" s="129">
        <v>126</v>
      </c>
      <c r="I131" s="130" t="str">
        <f t="shared" si="10"/>
        <v/>
      </c>
      <c r="J131" s="129">
        <f t="shared" si="11"/>
        <v>-5</v>
      </c>
      <c r="K131" s="129">
        <f t="shared" si="8"/>
        <v>-50</v>
      </c>
      <c r="L131" s="129"/>
      <c r="M131" s="131">
        <f t="shared" si="9"/>
        <v>0</v>
      </c>
    </row>
    <row r="132" spans="1:13" x14ac:dyDescent="0.25">
      <c r="A132" s="145"/>
      <c r="G132" s="115"/>
      <c r="H132" s="129">
        <v>127</v>
      </c>
      <c r="I132" s="130" t="str">
        <f t="shared" si="10"/>
        <v/>
      </c>
      <c r="J132" s="129">
        <f t="shared" si="11"/>
        <v>-5</v>
      </c>
      <c r="K132" s="129">
        <f t="shared" si="8"/>
        <v>-50</v>
      </c>
      <c r="L132" s="129"/>
      <c r="M132" s="131">
        <f t="shared" si="9"/>
        <v>0</v>
      </c>
    </row>
    <row r="133" spans="1:13" x14ac:dyDescent="0.25">
      <c r="A133" s="145"/>
      <c r="G133" s="115"/>
      <c r="H133" s="129">
        <v>128</v>
      </c>
      <c r="I133" s="130" t="str">
        <f t="shared" si="10"/>
        <v/>
      </c>
      <c r="J133" s="129">
        <f t="shared" si="11"/>
        <v>-5</v>
      </c>
      <c r="K133" s="129">
        <f t="shared" si="8"/>
        <v>-50</v>
      </c>
      <c r="L133" s="129"/>
      <c r="M133" s="131">
        <f t="shared" si="9"/>
        <v>0</v>
      </c>
    </row>
    <row r="134" spans="1:13" x14ac:dyDescent="0.25">
      <c r="A134" s="145"/>
      <c r="G134" s="115"/>
      <c r="H134" s="129">
        <v>129</v>
      </c>
      <c r="I134" s="130" t="str">
        <f t="shared" si="10"/>
        <v/>
      </c>
      <c r="J134" s="129">
        <f t="shared" si="11"/>
        <v>-6</v>
      </c>
      <c r="K134" s="129">
        <f t="shared" ref="K134:K197" si="12">J134*$J$2</f>
        <v>-60</v>
      </c>
      <c r="L134" s="129"/>
      <c r="M134" s="131">
        <f t="shared" ref="M134:M197" si="13">IF(I134&lt;&gt;"",K134+I134+L134,0)</f>
        <v>0</v>
      </c>
    </row>
    <row r="135" spans="1:13" x14ac:dyDescent="0.25">
      <c r="A135" s="145"/>
      <c r="G135" s="115"/>
      <c r="H135" s="129">
        <v>130</v>
      </c>
      <c r="I135" s="130" t="str">
        <f t="shared" ref="I135:I198" si="14">IF(H135&lt;$H$2+1,($I$2-($I$2-1)*(LOG(H135)/LOG($H$2))),"")</f>
        <v/>
      </c>
      <c r="J135" s="129">
        <f t="shared" ref="J135:J198" si="15">INT(LOG($H$2,2))-ROUNDUP(LOG(H135,2),0)+IF(OR($H$2=1,$H$2=2,$H$2=4,$H$2=8,$H$2=16,$H$2=32,$H$2=64,$H$2=128,$H$2=256),0,1)</f>
        <v>-6</v>
      </c>
      <c r="K135" s="129">
        <f t="shared" si="12"/>
        <v>-60</v>
      </c>
      <c r="L135" s="129"/>
      <c r="M135" s="131">
        <f t="shared" si="13"/>
        <v>0</v>
      </c>
    </row>
    <row r="136" spans="1:13" x14ac:dyDescent="0.25">
      <c r="A136" s="145"/>
      <c r="G136" s="115"/>
      <c r="H136" s="129">
        <v>131</v>
      </c>
      <c r="I136" s="130" t="str">
        <f t="shared" si="14"/>
        <v/>
      </c>
      <c r="J136" s="129">
        <f t="shared" si="15"/>
        <v>-6</v>
      </c>
      <c r="K136" s="129">
        <f t="shared" si="12"/>
        <v>-60</v>
      </c>
      <c r="L136" s="129"/>
      <c r="M136" s="131">
        <f t="shared" si="13"/>
        <v>0</v>
      </c>
    </row>
    <row r="137" spans="1:13" x14ac:dyDescent="0.25">
      <c r="A137" s="145"/>
      <c r="G137" s="115"/>
      <c r="H137" s="129">
        <v>132</v>
      </c>
      <c r="I137" s="130" t="str">
        <f t="shared" si="14"/>
        <v/>
      </c>
      <c r="J137" s="129">
        <f t="shared" si="15"/>
        <v>-6</v>
      </c>
      <c r="K137" s="129">
        <f t="shared" si="12"/>
        <v>-60</v>
      </c>
      <c r="L137" s="129"/>
      <c r="M137" s="131">
        <f t="shared" si="13"/>
        <v>0</v>
      </c>
    </row>
    <row r="138" spans="1:13" x14ac:dyDescent="0.25">
      <c r="A138" s="145"/>
      <c r="G138" s="115"/>
      <c r="H138" s="129">
        <v>133</v>
      </c>
      <c r="I138" s="130" t="str">
        <f t="shared" si="14"/>
        <v/>
      </c>
      <c r="J138" s="129">
        <f t="shared" si="15"/>
        <v>-6</v>
      </c>
      <c r="K138" s="129">
        <f t="shared" si="12"/>
        <v>-60</v>
      </c>
      <c r="L138" s="129"/>
      <c r="M138" s="131">
        <f t="shared" si="13"/>
        <v>0</v>
      </c>
    </row>
    <row r="139" spans="1:13" x14ac:dyDescent="0.25">
      <c r="A139" s="145"/>
      <c r="G139" s="115"/>
      <c r="H139" s="129">
        <v>134</v>
      </c>
      <c r="I139" s="130" t="str">
        <f t="shared" si="14"/>
        <v/>
      </c>
      <c r="J139" s="129">
        <f t="shared" si="15"/>
        <v>-6</v>
      </c>
      <c r="K139" s="129">
        <f t="shared" si="12"/>
        <v>-60</v>
      </c>
      <c r="L139" s="129"/>
      <c r="M139" s="131">
        <f t="shared" si="13"/>
        <v>0</v>
      </c>
    </row>
    <row r="140" spans="1:13" x14ac:dyDescent="0.25">
      <c r="A140" s="145"/>
      <c r="G140" s="115"/>
      <c r="H140" s="129">
        <v>135</v>
      </c>
      <c r="I140" s="130" t="str">
        <f t="shared" si="14"/>
        <v/>
      </c>
      <c r="J140" s="129">
        <f t="shared" si="15"/>
        <v>-6</v>
      </c>
      <c r="K140" s="129">
        <f t="shared" si="12"/>
        <v>-60</v>
      </c>
      <c r="L140" s="129"/>
      <c r="M140" s="131">
        <f t="shared" si="13"/>
        <v>0</v>
      </c>
    </row>
    <row r="141" spans="1:13" x14ac:dyDescent="0.25">
      <c r="A141" s="145"/>
      <c r="G141" s="115"/>
      <c r="H141" s="129">
        <v>136</v>
      </c>
      <c r="I141" s="130" t="str">
        <f t="shared" si="14"/>
        <v/>
      </c>
      <c r="J141" s="129">
        <f t="shared" si="15"/>
        <v>-6</v>
      </c>
      <c r="K141" s="129">
        <f t="shared" si="12"/>
        <v>-60</v>
      </c>
      <c r="L141" s="129"/>
      <c r="M141" s="131">
        <f t="shared" si="13"/>
        <v>0</v>
      </c>
    </row>
    <row r="142" spans="1:13" x14ac:dyDescent="0.25">
      <c r="A142" s="145"/>
      <c r="G142" s="115"/>
      <c r="H142" s="129">
        <v>137</v>
      </c>
      <c r="I142" s="130" t="str">
        <f t="shared" si="14"/>
        <v/>
      </c>
      <c r="J142" s="129">
        <f t="shared" si="15"/>
        <v>-6</v>
      </c>
      <c r="K142" s="129">
        <f t="shared" si="12"/>
        <v>-60</v>
      </c>
      <c r="L142" s="129"/>
      <c r="M142" s="131">
        <f t="shared" si="13"/>
        <v>0</v>
      </c>
    </row>
    <row r="143" spans="1:13" x14ac:dyDescent="0.25">
      <c r="A143" s="145"/>
      <c r="G143" s="115"/>
      <c r="H143" s="129">
        <v>138</v>
      </c>
      <c r="I143" s="130" t="str">
        <f t="shared" si="14"/>
        <v/>
      </c>
      <c r="J143" s="129">
        <f t="shared" si="15"/>
        <v>-6</v>
      </c>
      <c r="K143" s="129">
        <f t="shared" si="12"/>
        <v>-60</v>
      </c>
      <c r="L143" s="129"/>
      <c r="M143" s="131">
        <f t="shared" si="13"/>
        <v>0</v>
      </c>
    </row>
    <row r="144" spans="1:13" x14ac:dyDescent="0.25">
      <c r="A144" s="145"/>
      <c r="G144" s="115"/>
      <c r="H144" s="129">
        <v>139</v>
      </c>
      <c r="I144" s="130" t="str">
        <f t="shared" si="14"/>
        <v/>
      </c>
      <c r="J144" s="129">
        <f t="shared" si="15"/>
        <v>-6</v>
      </c>
      <c r="K144" s="129">
        <f t="shared" si="12"/>
        <v>-60</v>
      </c>
      <c r="L144" s="129"/>
      <c r="M144" s="131">
        <f t="shared" si="13"/>
        <v>0</v>
      </c>
    </row>
    <row r="145" spans="1:13" x14ac:dyDescent="0.25">
      <c r="A145" s="145"/>
      <c r="G145" s="115"/>
      <c r="H145" s="129">
        <v>140</v>
      </c>
      <c r="I145" s="130" t="str">
        <f t="shared" si="14"/>
        <v/>
      </c>
      <c r="J145" s="129">
        <f t="shared" si="15"/>
        <v>-6</v>
      </c>
      <c r="K145" s="129">
        <f t="shared" si="12"/>
        <v>-60</v>
      </c>
      <c r="L145" s="129"/>
      <c r="M145" s="131">
        <f t="shared" si="13"/>
        <v>0</v>
      </c>
    </row>
    <row r="146" spans="1:13" x14ac:dyDescent="0.25">
      <c r="A146" s="145"/>
      <c r="G146" s="115"/>
      <c r="H146" s="129">
        <v>141</v>
      </c>
      <c r="I146" s="130" t="str">
        <f t="shared" si="14"/>
        <v/>
      </c>
      <c r="J146" s="129">
        <f t="shared" si="15"/>
        <v>-6</v>
      </c>
      <c r="K146" s="129">
        <f t="shared" si="12"/>
        <v>-60</v>
      </c>
      <c r="L146" s="129"/>
      <c r="M146" s="131">
        <f t="shared" si="13"/>
        <v>0</v>
      </c>
    </row>
    <row r="147" spans="1:13" x14ac:dyDescent="0.25">
      <c r="A147" s="145"/>
      <c r="G147" s="115"/>
      <c r="H147" s="129">
        <v>142</v>
      </c>
      <c r="I147" s="130" t="str">
        <f t="shared" si="14"/>
        <v/>
      </c>
      <c r="J147" s="129">
        <f t="shared" si="15"/>
        <v>-6</v>
      </c>
      <c r="K147" s="129">
        <f t="shared" si="12"/>
        <v>-60</v>
      </c>
      <c r="L147" s="129"/>
      <c r="M147" s="131">
        <f t="shared" si="13"/>
        <v>0</v>
      </c>
    </row>
    <row r="148" spans="1:13" x14ac:dyDescent="0.25">
      <c r="A148" s="145"/>
      <c r="G148" s="115"/>
      <c r="H148" s="129">
        <v>143</v>
      </c>
      <c r="I148" s="130" t="str">
        <f t="shared" si="14"/>
        <v/>
      </c>
      <c r="J148" s="129">
        <f t="shared" si="15"/>
        <v>-6</v>
      </c>
      <c r="K148" s="129">
        <f t="shared" si="12"/>
        <v>-60</v>
      </c>
      <c r="L148" s="129"/>
      <c r="M148" s="131">
        <f t="shared" si="13"/>
        <v>0</v>
      </c>
    </row>
    <row r="149" spans="1:13" x14ac:dyDescent="0.25">
      <c r="A149" s="145"/>
      <c r="G149" s="115"/>
      <c r="H149" s="129">
        <v>144</v>
      </c>
      <c r="I149" s="130" t="str">
        <f t="shared" si="14"/>
        <v/>
      </c>
      <c r="J149" s="129">
        <f t="shared" si="15"/>
        <v>-6</v>
      </c>
      <c r="K149" s="129">
        <f t="shared" si="12"/>
        <v>-60</v>
      </c>
      <c r="L149" s="129"/>
      <c r="M149" s="131">
        <f t="shared" si="13"/>
        <v>0</v>
      </c>
    </row>
    <row r="150" spans="1:13" x14ac:dyDescent="0.25">
      <c r="A150" s="145"/>
      <c r="G150" s="115"/>
      <c r="H150" s="129">
        <v>145</v>
      </c>
      <c r="I150" s="130" t="str">
        <f t="shared" si="14"/>
        <v/>
      </c>
      <c r="J150" s="129">
        <f t="shared" si="15"/>
        <v>-6</v>
      </c>
      <c r="K150" s="129">
        <f t="shared" si="12"/>
        <v>-60</v>
      </c>
      <c r="L150" s="129"/>
      <c r="M150" s="131">
        <f t="shared" si="13"/>
        <v>0</v>
      </c>
    </row>
    <row r="151" spans="1:13" x14ac:dyDescent="0.25">
      <c r="A151" s="145"/>
      <c r="G151" s="115"/>
      <c r="H151" s="129">
        <v>146</v>
      </c>
      <c r="I151" s="130" t="str">
        <f t="shared" si="14"/>
        <v/>
      </c>
      <c r="J151" s="129">
        <f t="shared" si="15"/>
        <v>-6</v>
      </c>
      <c r="K151" s="129">
        <f t="shared" si="12"/>
        <v>-60</v>
      </c>
      <c r="L151" s="129"/>
      <c r="M151" s="131">
        <f t="shared" si="13"/>
        <v>0</v>
      </c>
    </row>
    <row r="152" spans="1:13" x14ac:dyDescent="0.25">
      <c r="A152" s="145"/>
      <c r="G152" s="115"/>
      <c r="H152" s="129">
        <v>147</v>
      </c>
      <c r="I152" s="130" t="str">
        <f t="shared" si="14"/>
        <v/>
      </c>
      <c r="J152" s="129">
        <f t="shared" si="15"/>
        <v>-6</v>
      </c>
      <c r="K152" s="129">
        <f t="shared" si="12"/>
        <v>-60</v>
      </c>
      <c r="L152" s="129"/>
      <c r="M152" s="131">
        <f t="shared" si="13"/>
        <v>0</v>
      </c>
    </row>
    <row r="153" spans="1:13" x14ac:dyDescent="0.25">
      <c r="A153" s="145"/>
      <c r="G153" s="115"/>
      <c r="H153" s="129">
        <v>148</v>
      </c>
      <c r="I153" s="130" t="str">
        <f t="shared" si="14"/>
        <v/>
      </c>
      <c r="J153" s="129">
        <f t="shared" si="15"/>
        <v>-6</v>
      </c>
      <c r="K153" s="129">
        <f t="shared" si="12"/>
        <v>-60</v>
      </c>
      <c r="L153" s="129"/>
      <c r="M153" s="131">
        <f t="shared" si="13"/>
        <v>0</v>
      </c>
    </row>
    <row r="154" spans="1:13" x14ac:dyDescent="0.25">
      <c r="A154" s="145"/>
      <c r="G154" s="115"/>
      <c r="H154" s="129">
        <v>149</v>
      </c>
      <c r="I154" s="130" t="str">
        <f t="shared" si="14"/>
        <v/>
      </c>
      <c r="J154" s="129">
        <f t="shared" si="15"/>
        <v>-6</v>
      </c>
      <c r="K154" s="129">
        <f t="shared" si="12"/>
        <v>-60</v>
      </c>
      <c r="L154" s="129"/>
      <c r="M154" s="131">
        <f t="shared" si="13"/>
        <v>0</v>
      </c>
    </row>
    <row r="155" spans="1:13" x14ac:dyDescent="0.25">
      <c r="A155" s="145"/>
      <c r="G155" s="115"/>
      <c r="H155" s="129">
        <v>150</v>
      </c>
      <c r="I155" s="130" t="str">
        <f t="shared" si="14"/>
        <v/>
      </c>
      <c r="J155" s="129">
        <f t="shared" si="15"/>
        <v>-6</v>
      </c>
      <c r="K155" s="129">
        <f t="shared" si="12"/>
        <v>-60</v>
      </c>
      <c r="L155" s="129"/>
      <c r="M155" s="131">
        <f t="shared" si="13"/>
        <v>0</v>
      </c>
    </row>
    <row r="156" spans="1:13" x14ac:dyDescent="0.25">
      <c r="A156" s="145"/>
      <c r="G156" s="115"/>
      <c r="H156" s="129">
        <v>151</v>
      </c>
      <c r="I156" s="130" t="str">
        <f t="shared" si="14"/>
        <v/>
      </c>
      <c r="J156" s="129">
        <f t="shared" si="15"/>
        <v>-6</v>
      </c>
      <c r="K156" s="129">
        <f t="shared" si="12"/>
        <v>-60</v>
      </c>
      <c r="L156" s="129"/>
      <c r="M156" s="131">
        <f t="shared" si="13"/>
        <v>0</v>
      </c>
    </row>
    <row r="157" spans="1:13" x14ac:dyDescent="0.25">
      <c r="A157" s="145"/>
      <c r="G157" s="115"/>
      <c r="H157" s="129">
        <v>152</v>
      </c>
      <c r="I157" s="130" t="str">
        <f t="shared" si="14"/>
        <v/>
      </c>
      <c r="J157" s="129">
        <f t="shared" si="15"/>
        <v>-6</v>
      </c>
      <c r="K157" s="129">
        <f t="shared" si="12"/>
        <v>-60</v>
      </c>
      <c r="L157" s="129"/>
      <c r="M157" s="131">
        <f t="shared" si="13"/>
        <v>0</v>
      </c>
    </row>
    <row r="158" spans="1:13" x14ac:dyDescent="0.25">
      <c r="A158" s="145"/>
      <c r="G158" s="115"/>
      <c r="H158" s="129">
        <v>153</v>
      </c>
      <c r="I158" s="130" t="str">
        <f t="shared" si="14"/>
        <v/>
      </c>
      <c r="J158" s="129">
        <f t="shared" si="15"/>
        <v>-6</v>
      </c>
      <c r="K158" s="129">
        <f t="shared" si="12"/>
        <v>-60</v>
      </c>
      <c r="L158" s="129"/>
      <c r="M158" s="131">
        <f t="shared" si="13"/>
        <v>0</v>
      </c>
    </row>
    <row r="159" spans="1:13" x14ac:dyDescent="0.25">
      <c r="A159" s="145"/>
      <c r="G159" s="115"/>
      <c r="H159" s="129">
        <v>154</v>
      </c>
      <c r="I159" s="130" t="str">
        <f t="shared" si="14"/>
        <v/>
      </c>
      <c r="J159" s="129">
        <f t="shared" si="15"/>
        <v>-6</v>
      </c>
      <c r="K159" s="129">
        <f t="shared" si="12"/>
        <v>-60</v>
      </c>
      <c r="L159" s="129"/>
      <c r="M159" s="131">
        <f t="shared" si="13"/>
        <v>0</v>
      </c>
    </row>
    <row r="160" spans="1:13" x14ac:dyDescent="0.25">
      <c r="A160" s="145"/>
      <c r="G160" s="115"/>
      <c r="H160" s="129">
        <v>155</v>
      </c>
      <c r="I160" s="130" t="str">
        <f t="shared" si="14"/>
        <v/>
      </c>
      <c r="J160" s="129">
        <f t="shared" si="15"/>
        <v>-6</v>
      </c>
      <c r="K160" s="129">
        <f t="shared" si="12"/>
        <v>-60</v>
      </c>
      <c r="L160" s="129"/>
      <c r="M160" s="131">
        <f t="shared" si="13"/>
        <v>0</v>
      </c>
    </row>
    <row r="161" spans="1:13" x14ac:dyDescent="0.25">
      <c r="A161" s="145"/>
      <c r="G161" s="115"/>
      <c r="H161" s="129">
        <v>156</v>
      </c>
      <c r="I161" s="130" t="str">
        <f t="shared" si="14"/>
        <v/>
      </c>
      <c r="J161" s="129">
        <f t="shared" si="15"/>
        <v>-6</v>
      </c>
      <c r="K161" s="129">
        <f t="shared" si="12"/>
        <v>-60</v>
      </c>
      <c r="L161" s="129"/>
      <c r="M161" s="131">
        <f t="shared" si="13"/>
        <v>0</v>
      </c>
    </row>
    <row r="162" spans="1:13" x14ac:dyDescent="0.25">
      <c r="A162" s="145"/>
      <c r="G162" s="115"/>
      <c r="H162" s="129">
        <v>157</v>
      </c>
      <c r="I162" s="130" t="str">
        <f t="shared" si="14"/>
        <v/>
      </c>
      <c r="J162" s="129">
        <f t="shared" si="15"/>
        <v>-6</v>
      </c>
      <c r="K162" s="129">
        <f t="shared" si="12"/>
        <v>-60</v>
      </c>
      <c r="L162" s="129"/>
      <c r="M162" s="131">
        <f t="shared" si="13"/>
        <v>0</v>
      </c>
    </row>
    <row r="163" spans="1:13" x14ac:dyDescent="0.25">
      <c r="A163" s="145"/>
      <c r="G163" s="115"/>
      <c r="H163" s="129">
        <v>158</v>
      </c>
      <c r="I163" s="130" t="str">
        <f t="shared" si="14"/>
        <v/>
      </c>
      <c r="J163" s="129">
        <f t="shared" si="15"/>
        <v>-6</v>
      </c>
      <c r="K163" s="129">
        <f t="shared" si="12"/>
        <v>-60</v>
      </c>
      <c r="L163" s="129"/>
      <c r="M163" s="131">
        <f t="shared" si="13"/>
        <v>0</v>
      </c>
    </row>
    <row r="164" spans="1:13" x14ac:dyDescent="0.25">
      <c r="A164" s="145"/>
      <c r="G164" s="115"/>
      <c r="H164" s="129">
        <v>159</v>
      </c>
      <c r="I164" s="130" t="str">
        <f t="shared" si="14"/>
        <v/>
      </c>
      <c r="J164" s="129">
        <f t="shared" si="15"/>
        <v>-6</v>
      </c>
      <c r="K164" s="129">
        <f t="shared" si="12"/>
        <v>-60</v>
      </c>
      <c r="L164" s="129"/>
      <c r="M164" s="131">
        <f t="shared" si="13"/>
        <v>0</v>
      </c>
    </row>
    <row r="165" spans="1:13" x14ac:dyDescent="0.25">
      <c r="A165" s="145"/>
      <c r="G165" s="115"/>
      <c r="H165" s="129">
        <v>160</v>
      </c>
      <c r="I165" s="130" t="str">
        <f t="shared" si="14"/>
        <v/>
      </c>
      <c r="J165" s="129">
        <f t="shared" si="15"/>
        <v>-6</v>
      </c>
      <c r="K165" s="129">
        <f t="shared" si="12"/>
        <v>-60</v>
      </c>
      <c r="L165" s="129"/>
      <c r="M165" s="131">
        <f t="shared" si="13"/>
        <v>0</v>
      </c>
    </row>
    <row r="166" spans="1:13" x14ac:dyDescent="0.25">
      <c r="A166" s="145"/>
      <c r="G166" s="115"/>
      <c r="H166" s="129">
        <v>161</v>
      </c>
      <c r="I166" s="130" t="str">
        <f t="shared" si="14"/>
        <v/>
      </c>
      <c r="J166" s="129">
        <f t="shared" si="15"/>
        <v>-6</v>
      </c>
      <c r="K166" s="129">
        <f t="shared" si="12"/>
        <v>-60</v>
      </c>
      <c r="L166" s="129"/>
      <c r="M166" s="131">
        <f t="shared" si="13"/>
        <v>0</v>
      </c>
    </row>
    <row r="167" spans="1:13" x14ac:dyDescent="0.25">
      <c r="A167" s="145"/>
      <c r="G167" s="115"/>
      <c r="H167" s="129">
        <v>162</v>
      </c>
      <c r="I167" s="130" t="str">
        <f t="shared" si="14"/>
        <v/>
      </c>
      <c r="J167" s="129">
        <f t="shared" si="15"/>
        <v>-6</v>
      </c>
      <c r="K167" s="129">
        <f t="shared" si="12"/>
        <v>-60</v>
      </c>
      <c r="L167" s="129"/>
      <c r="M167" s="131">
        <f t="shared" si="13"/>
        <v>0</v>
      </c>
    </row>
    <row r="168" spans="1:13" x14ac:dyDescent="0.25">
      <c r="A168" s="145"/>
      <c r="G168" s="115"/>
      <c r="H168" s="129">
        <v>163</v>
      </c>
      <c r="I168" s="130" t="str">
        <f t="shared" si="14"/>
        <v/>
      </c>
      <c r="J168" s="129">
        <f t="shared" si="15"/>
        <v>-6</v>
      </c>
      <c r="K168" s="129">
        <f t="shared" si="12"/>
        <v>-60</v>
      </c>
      <c r="L168" s="129"/>
      <c r="M168" s="131">
        <f t="shared" si="13"/>
        <v>0</v>
      </c>
    </row>
    <row r="169" spans="1:13" x14ac:dyDescent="0.25">
      <c r="A169" s="145"/>
      <c r="G169" s="115"/>
      <c r="H169" s="129">
        <v>164</v>
      </c>
      <c r="I169" s="130" t="str">
        <f t="shared" si="14"/>
        <v/>
      </c>
      <c r="J169" s="129">
        <f t="shared" si="15"/>
        <v>-6</v>
      </c>
      <c r="K169" s="129">
        <f t="shared" si="12"/>
        <v>-60</v>
      </c>
      <c r="L169" s="129"/>
      <c r="M169" s="131">
        <f t="shared" si="13"/>
        <v>0</v>
      </c>
    </row>
    <row r="170" spans="1:13" x14ac:dyDescent="0.25">
      <c r="A170" s="145"/>
      <c r="G170" s="115"/>
      <c r="H170" s="129">
        <v>165</v>
      </c>
      <c r="I170" s="130" t="str">
        <f t="shared" si="14"/>
        <v/>
      </c>
      <c r="J170" s="129">
        <f t="shared" si="15"/>
        <v>-6</v>
      </c>
      <c r="K170" s="129">
        <f t="shared" si="12"/>
        <v>-60</v>
      </c>
      <c r="L170" s="129"/>
      <c r="M170" s="131">
        <f t="shared" si="13"/>
        <v>0</v>
      </c>
    </row>
    <row r="171" spans="1:13" x14ac:dyDescent="0.25">
      <c r="A171" s="145"/>
      <c r="G171" s="115"/>
      <c r="H171" s="129">
        <v>166</v>
      </c>
      <c r="I171" s="130" t="str">
        <f t="shared" si="14"/>
        <v/>
      </c>
      <c r="J171" s="129">
        <f t="shared" si="15"/>
        <v>-6</v>
      </c>
      <c r="K171" s="129">
        <f t="shared" si="12"/>
        <v>-60</v>
      </c>
      <c r="L171" s="129"/>
      <c r="M171" s="131">
        <f t="shared" si="13"/>
        <v>0</v>
      </c>
    </row>
    <row r="172" spans="1:13" x14ac:dyDescent="0.25">
      <c r="A172" s="145"/>
      <c r="G172" s="115"/>
      <c r="H172" s="129">
        <v>167</v>
      </c>
      <c r="I172" s="130" t="str">
        <f t="shared" si="14"/>
        <v/>
      </c>
      <c r="J172" s="129">
        <f t="shared" si="15"/>
        <v>-6</v>
      </c>
      <c r="K172" s="129">
        <f t="shared" si="12"/>
        <v>-60</v>
      </c>
      <c r="L172" s="129"/>
      <c r="M172" s="131">
        <f t="shared" si="13"/>
        <v>0</v>
      </c>
    </row>
    <row r="173" spans="1:13" x14ac:dyDescent="0.25">
      <c r="A173" s="145"/>
      <c r="G173" s="115"/>
      <c r="H173" s="129">
        <v>168</v>
      </c>
      <c r="I173" s="130" t="str">
        <f t="shared" si="14"/>
        <v/>
      </c>
      <c r="J173" s="129">
        <f t="shared" si="15"/>
        <v>-6</v>
      </c>
      <c r="K173" s="129">
        <f t="shared" si="12"/>
        <v>-60</v>
      </c>
      <c r="L173" s="129"/>
      <c r="M173" s="131">
        <f t="shared" si="13"/>
        <v>0</v>
      </c>
    </row>
    <row r="174" spans="1:13" x14ac:dyDescent="0.25">
      <c r="A174" s="145"/>
      <c r="G174" s="115"/>
      <c r="H174" s="129">
        <v>169</v>
      </c>
      <c r="I174" s="130" t="str">
        <f t="shared" si="14"/>
        <v/>
      </c>
      <c r="J174" s="129">
        <f t="shared" si="15"/>
        <v>-6</v>
      </c>
      <c r="K174" s="129">
        <f t="shared" si="12"/>
        <v>-60</v>
      </c>
      <c r="L174" s="129"/>
      <c r="M174" s="131">
        <f t="shared" si="13"/>
        <v>0</v>
      </c>
    </row>
    <row r="175" spans="1:13" x14ac:dyDescent="0.25">
      <c r="A175" s="145"/>
      <c r="G175" s="115"/>
      <c r="H175" s="129">
        <v>170</v>
      </c>
      <c r="I175" s="130" t="str">
        <f t="shared" si="14"/>
        <v/>
      </c>
      <c r="J175" s="129">
        <f t="shared" si="15"/>
        <v>-6</v>
      </c>
      <c r="K175" s="129">
        <f t="shared" si="12"/>
        <v>-60</v>
      </c>
      <c r="L175" s="129"/>
      <c r="M175" s="131">
        <f t="shared" si="13"/>
        <v>0</v>
      </c>
    </row>
    <row r="176" spans="1:13" x14ac:dyDescent="0.25">
      <c r="A176" s="145"/>
      <c r="G176" s="115"/>
      <c r="H176" s="129">
        <v>171</v>
      </c>
      <c r="I176" s="130" t="str">
        <f t="shared" si="14"/>
        <v/>
      </c>
      <c r="J176" s="129">
        <f t="shared" si="15"/>
        <v>-6</v>
      </c>
      <c r="K176" s="129">
        <f t="shared" si="12"/>
        <v>-60</v>
      </c>
      <c r="L176" s="129"/>
      <c r="M176" s="131">
        <f t="shared" si="13"/>
        <v>0</v>
      </c>
    </row>
    <row r="177" spans="1:13" x14ac:dyDescent="0.25">
      <c r="A177" s="145"/>
      <c r="G177" s="115"/>
      <c r="H177" s="129">
        <v>172</v>
      </c>
      <c r="I177" s="130" t="str">
        <f t="shared" si="14"/>
        <v/>
      </c>
      <c r="J177" s="129">
        <f t="shared" si="15"/>
        <v>-6</v>
      </c>
      <c r="K177" s="129">
        <f t="shared" si="12"/>
        <v>-60</v>
      </c>
      <c r="L177" s="129"/>
      <c r="M177" s="131">
        <f t="shared" si="13"/>
        <v>0</v>
      </c>
    </row>
    <row r="178" spans="1:13" x14ac:dyDescent="0.25">
      <c r="A178" s="145"/>
      <c r="G178" s="115"/>
      <c r="H178" s="129">
        <v>173</v>
      </c>
      <c r="I178" s="130" t="str">
        <f t="shared" si="14"/>
        <v/>
      </c>
      <c r="J178" s="129">
        <f t="shared" si="15"/>
        <v>-6</v>
      </c>
      <c r="K178" s="129">
        <f t="shared" si="12"/>
        <v>-60</v>
      </c>
      <c r="L178" s="129"/>
      <c r="M178" s="131">
        <f t="shared" si="13"/>
        <v>0</v>
      </c>
    </row>
    <row r="179" spans="1:13" x14ac:dyDescent="0.25">
      <c r="A179" s="145"/>
      <c r="G179" s="115"/>
      <c r="H179" s="129">
        <v>174</v>
      </c>
      <c r="I179" s="130" t="str">
        <f t="shared" si="14"/>
        <v/>
      </c>
      <c r="J179" s="129">
        <f t="shared" si="15"/>
        <v>-6</v>
      </c>
      <c r="K179" s="129">
        <f t="shared" si="12"/>
        <v>-60</v>
      </c>
      <c r="L179" s="129"/>
      <c r="M179" s="131">
        <f t="shared" si="13"/>
        <v>0</v>
      </c>
    </row>
    <row r="180" spans="1:13" x14ac:dyDescent="0.25">
      <c r="A180" s="145"/>
      <c r="G180" s="115"/>
      <c r="H180" s="129">
        <v>175</v>
      </c>
      <c r="I180" s="130" t="str">
        <f t="shared" si="14"/>
        <v/>
      </c>
      <c r="J180" s="129">
        <f t="shared" si="15"/>
        <v>-6</v>
      </c>
      <c r="K180" s="129">
        <f t="shared" si="12"/>
        <v>-60</v>
      </c>
      <c r="L180" s="129"/>
      <c r="M180" s="131">
        <f t="shared" si="13"/>
        <v>0</v>
      </c>
    </row>
    <row r="181" spans="1:13" x14ac:dyDescent="0.25">
      <c r="A181" s="145"/>
      <c r="G181" s="115"/>
      <c r="H181" s="129">
        <v>176</v>
      </c>
      <c r="I181" s="130" t="str">
        <f t="shared" si="14"/>
        <v/>
      </c>
      <c r="J181" s="129">
        <f t="shared" si="15"/>
        <v>-6</v>
      </c>
      <c r="K181" s="129">
        <f t="shared" si="12"/>
        <v>-60</v>
      </c>
      <c r="L181" s="129"/>
      <c r="M181" s="131">
        <f t="shared" si="13"/>
        <v>0</v>
      </c>
    </row>
    <row r="182" spans="1:13" x14ac:dyDescent="0.25">
      <c r="A182" s="145"/>
      <c r="G182" s="115"/>
      <c r="H182" s="129">
        <v>177</v>
      </c>
      <c r="I182" s="130" t="str">
        <f t="shared" si="14"/>
        <v/>
      </c>
      <c r="J182" s="129">
        <f t="shared" si="15"/>
        <v>-6</v>
      </c>
      <c r="K182" s="129">
        <f t="shared" si="12"/>
        <v>-60</v>
      </c>
      <c r="L182" s="129"/>
      <c r="M182" s="131">
        <f t="shared" si="13"/>
        <v>0</v>
      </c>
    </row>
    <row r="183" spans="1:13" x14ac:dyDescent="0.25">
      <c r="A183" s="145"/>
      <c r="G183" s="115"/>
      <c r="H183" s="129">
        <v>178</v>
      </c>
      <c r="I183" s="130" t="str">
        <f t="shared" si="14"/>
        <v/>
      </c>
      <c r="J183" s="129">
        <f t="shared" si="15"/>
        <v>-6</v>
      </c>
      <c r="K183" s="129">
        <f t="shared" si="12"/>
        <v>-60</v>
      </c>
      <c r="L183" s="129"/>
      <c r="M183" s="131">
        <f t="shared" si="13"/>
        <v>0</v>
      </c>
    </row>
    <row r="184" spans="1:13" x14ac:dyDescent="0.25">
      <c r="A184" s="145"/>
      <c r="G184" s="115"/>
      <c r="H184" s="129">
        <v>179</v>
      </c>
      <c r="I184" s="130" t="str">
        <f t="shared" si="14"/>
        <v/>
      </c>
      <c r="J184" s="129">
        <f t="shared" si="15"/>
        <v>-6</v>
      </c>
      <c r="K184" s="129">
        <f t="shared" si="12"/>
        <v>-60</v>
      </c>
      <c r="L184" s="129"/>
      <c r="M184" s="131">
        <f t="shared" si="13"/>
        <v>0</v>
      </c>
    </row>
    <row r="185" spans="1:13" x14ac:dyDescent="0.25">
      <c r="A185" s="145"/>
      <c r="G185" s="115"/>
      <c r="H185" s="129">
        <v>180</v>
      </c>
      <c r="I185" s="130" t="str">
        <f t="shared" si="14"/>
        <v/>
      </c>
      <c r="J185" s="129">
        <f t="shared" si="15"/>
        <v>-6</v>
      </c>
      <c r="K185" s="129">
        <f t="shared" si="12"/>
        <v>-60</v>
      </c>
      <c r="L185" s="129"/>
      <c r="M185" s="131">
        <f t="shared" si="13"/>
        <v>0</v>
      </c>
    </row>
    <row r="186" spans="1:13" x14ac:dyDescent="0.25">
      <c r="A186" s="145"/>
      <c r="G186" s="115"/>
      <c r="H186" s="129">
        <v>181</v>
      </c>
      <c r="I186" s="130" t="str">
        <f t="shared" si="14"/>
        <v/>
      </c>
      <c r="J186" s="129">
        <f t="shared" si="15"/>
        <v>-6</v>
      </c>
      <c r="K186" s="129">
        <f t="shared" si="12"/>
        <v>-60</v>
      </c>
      <c r="L186" s="129"/>
      <c r="M186" s="131">
        <f t="shared" si="13"/>
        <v>0</v>
      </c>
    </row>
    <row r="187" spans="1:13" x14ac:dyDescent="0.25">
      <c r="A187" s="145"/>
      <c r="G187" s="115"/>
      <c r="H187" s="129">
        <v>182</v>
      </c>
      <c r="I187" s="130" t="str">
        <f t="shared" si="14"/>
        <v/>
      </c>
      <c r="J187" s="129">
        <f t="shared" si="15"/>
        <v>-6</v>
      </c>
      <c r="K187" s="129">
        <f t="shared" si="12"/>
        <v>-60</v>
      </c>
      <c r="L187" s="129"/>
      <c r="M187" s="131">
        <f t="shared" si="13"/>
        <v>0</v>
      </c>
    </row>
    <row r="188" spans="1:13" x14ac:dyDescent="0.25">
      <c r="A188" s="145"/>
      <c r="G188" s="115"/>
      <c r="H188" s="129">
        <v>183</v>
      </c>
      <c r="I188" s="130" t="str">
        <f t="shared" si="14"/>
        <v/>
      </c>
      <c r="J188" s="129">
        <f t="shared" si="15"/>
        <v>-6</v>
      </c>
      <c r="K188" s="129">
        <f t="shared" si="12"/>
        <v>-60</v>
      </c>
      <c r="L188" s="129"/>
      <c r="M188" s="131">
        <f t="shared" si="13"/>
        <v>0</v>
      </c>
    </row>
    <row r="189" spans="1:13" x14ac:dyDescent="0.25">
      <c r="A189" s="145"/>
      <c r="G189" s="115"/>
      <c r="H189" s="129">
        <v>184</v>
      </c>
      <c r="I189" s="130" t="str">
        <f t="shared" si="14"/>
        <v/>
      </c>
      <c r="J189" s="129">
        <f t="shared" si="15"/>
        <v>-6</v>
      </c>
      <c r="K189" s="129">
        <f t="shared" si="12"/>
        <v>-60</v>
      </c>
      <c r="L189" s="129"/>
      <c r="M189" s="131">
        <f t="shared" si="13"/>
        <v>0</v>
      </c>
    </row>
    <row r="190" spans="1:13" x14ac:dyDescent="0.25">
      <c r="A190" s="145"/>
      <c r="G190" s="115"/>
      <c r="H190" s="129">
        <v>185</v>
      </c>
      <c r="I190" s="130" t="str">
        <f t="shared" si="14"/>
        <v/>
      </c>
      <c r="J190" s="129">
        <f t="shared" si="15"/>
        <v>-6</v>
      </c>
      <c r="K190" s="129">
        <f t="shared" si="12"/>
        <v>-60</v>
      </c>
      <c r="L190" s="129"/>
      <c r="M190" s="131">
        <f t="shared" si="13"/>
        <v>0</v>
      </c>
    </row>
    <row r="191" spans="1:13" x14ac:dyDescent="0.25">
      <c r="A191" s="145"/>
      <c r="G191" s="115"/>
      <c r="H191" s="129">
        <v>186</v>
      </c>
      <c r="I191" s="130" t="str">
        <f t="shared" si="14"/>
        <v/>
      </c>
      <c r="J191" s="129">
        <f t="shared" si="15"/>
        <v>-6</v>
      </c>
      <c r="K191" s="129">
        <f t="shared" si="12"/>
        <v>-60</v>
      </c>
      <c r="L191" s="129"/>
      <c r="M191" s="131">
        <f t="shared" si="13"/>
        <v>0</v>
      </c>
    </row>
    <row r="192" spans="1:13" x14ac:dyDescent="0.25">
      <c r="A192" s="145"/>
      <c r="G192" s="115"/>
      <c r="H192" s="129">
        <v>187</v>
      </c>
      <c r="I192" s="130" t="str">
        <f t="shared" si="14"/>
        <v/>
      </c>
      <c r="J192" s="129">
        <f t="shared" si="15"/>
        <v>-6</v>
      </c>
      <c r="K192" s="129">
        <f t="shared" si="12"/>
        <v>-60</v>
      </c>
      <c r="L192" s="129"/>
      <c r="M192" s="131">
        <f t="shared" si="13"/>
        <v>0</v>
      </c>
    </row>
    <row r="193" spans="1:13" x14ac:dyDescent="0.25">
      <c r="A193" s="145"/>
      <c r="G193" s="115"/>
      <c r="H193" s="129">
        <v>188</v>
      </c>
      <c r="I193" s="130" t="str">
        <f t="shared" si="14"/>
        <v/>
      </c>
      <c r="J193" s="129">
        <f t="shared" si="15"/>
        <v>-6</v>
      </c>
      <c r="K193" s="129">
        <f t="shared" si="12"/>
        <v>-60</v>
      </c>
      <c r="L193" s="129"/>
      <c r="M193" s="131">
        <f t="shared" si="13"/>
        <v>0</v>
      </c>
    </row>
    <row r="194" spans="1:13" x14ac:dyDescent="0.25">
      <c r="A194" s="145"/>
      <c r="G194" s="115"/>
      <c r="H194" s="129">
        <v>189</v>
      </c>
      <c r="I194" s="130" t="str">
        <f t="shared" si="14"/>
        <v/>
      </c>
      <c r="J194" s="129">
        <f t="shared" si="15"/>
        <v>-6</v>
      </c>
      <c r="K194" s="129">
        <f t="shared" si="12"/>
        <v>-60</v>
      </c>
      <c r="L194" s="129"/>
      <c r="M194" s="131">
        <f t="shared" si="13"/>
        <v>0</v>
      </c>
    </row>
    <row r="195" spans="1:13" x14ac:dyDescent="0.25">
      <c r="A195" s="145"/>
      <c r="G195" s="115"/>
      <c r="H195" s="129">
        <v>190</v>
      </c>
      <c r="I195" s="130" t="str">
        <f t="shared" si="14"/>
        <v/>
      </c>
      <c r="J195" s="129">
        <f t="shared" si="15"/>
        <v>-6</v>
      </c>
      <c r="K195" s="129">
        <f t="shared" si="12"/>
        <v>-60</v>
      </c>
      <c r="L195" s="129"/>
      <c r="M195" s="131">
        <f t="shared" si="13"/>
        <v>0</v>
      </c>
    </row>
    <row r="196" spans="1:13" x14ac:dyDescent="0.25">
      <c r="A196" s="145"/>
      <c r="G196" s="115"/>
      <c r="H196" s="129">
        <v>191</v>
      </c>
      <c r="I196" s="130" t="str">
        <f t="shared" si="14"/>
        <v/>
      </c>
      <c r="J196" s="129">
        <f t="shared" si="15"/>
        <v>-6</v>
      </c>
      <c r="K196" s="129">
        <f t="shared" si="12"/>
        <v>-60</v>
      </c>
      <c r="L196" s="129"/>
      <c r="M196" s="131">
        <f t="shared" si="13"/>
        <v>0</v>
      </c>
    </row>
    <row r="197" spans="1:13" x14ac:dyDescent="0.25">
      <c r="A197" s="145"/>
      <c r="G197" s="115"/>
      <c r="H197" s="129">
        <v>192</v>
      </c>
      <c r="I197" s="130" t="str">
        <f t="shared" si="14"/>
        <v/>
      </c>
      <c r="J197" s="129">
        <f t="shared" si="15"/>
        <v>-6</v>
      </c>
      <c r="K197" s="129">
        <f t="shared" si="12"/>
        <v>-60</v>
      </c>
      <c r="L197" s="129"/>
      <c r="M197" s="131">
        <f t="shared" si="13"/>
        <v>0</v>
      </c>
    </row>
    <row r="198" spans="1:13" x14ac:dyDescent="0.25">
      <c r="A198" s="145"/>
      <c r="G198" s="115"/>
      <c r="H198" s="129">
        <v>193</v>
      </c>
      <c r="I198" s="130" t="str">
        <f t="shared" si="14"/>
        <v/>
      </c>
      <c r="J198" s="129">
        <f t="shared" si="15"/>
        <v>-6</v>
      </c>
      <c r="K198" s="129">
        <f t="shared" ref="K198:K261" si="16">J198*$J$2</f>
        <v>-60</v>
      </c>
      <c r="L198" s="129"/>
      <c r="M198" s="131">
        <f t="shared" ref="M198:M261" si="17">IF(I198&lt;&gt;"",K198+I198+L198,0)</f>
        <v>0</v>
      </c>
    </row>
    <row r="199" spans="1:13" x14ac:dyDescent="0.25">
      <c r="A199" s="145"/>
      <c r="G199" s="115"/>
      <c r="H199" s="129">
        <v>194</v>
      </c>
      <c r="I199" s="130" t="str">
        <f t="shared" ref="I199:I262" si="18">IF(H199&lt;$H$2+1,($I$2-($I$2-1)*(LOG(H199)/LOG($H$2))),"")</f>
        <v/>
      </c>
      <c r="J199" s="129">
        <f t="shared" ref="J199:J262" si="19">INT(LOG($H$2,2))-ROUNDUP(LOG(H199,2),0)+IF(OR($H$2=1,$H$2=2,$H$2=4,$H$2=8,$H$2=16,$H$2=32,$H$2=64,$H$2=128,$H$2=256),0,1)</f>
        <v>-6</v>
      </c>
      <c r="K199" s="129">
        <f t="shared" si="16"/>
        <v>-60</v>
      </c>
      <c r="L199" s="129"/>
      <c r="M199" s="131">
        <f t="shared" si="17"/>
        <v>0</v>
      </c>
    </row>
    <row r="200" spans="1:13" x14ac:dyDescent="0.25">
      <c r="A200" s="145"/>
      <c r="G200" s="115"/>
      <c r="H200" s="129">
        <v>195</v>
      </c>
      <c r="I200" s="130" t="str">
        <f t="shared" si="18"/>
        <v/>
      </c>
      <c r="J200" s="129">
        <f t="shared" si="19"/>
        <v>-6</v>
      </c>
      <c r="K200" s="129">
        <f t="shared" si="16"/>
        <v>-60</v>
      </c>
      <c r="L200" s="129"/>
      <c r="M200" s="131">
        <f t="shared" si="17"/>
        <v>0</v>
      </c>
    </row>
    <row r="201" spans="1:13" x14ac:dyDescent="0.25">
      <c r="A201" s="145"/>
      <c r="G201" s="115"/>
      <c r="H201" s="129">
        <v>196</v>
      </c>
      <c r="I201" s="130" t="str">
        <f t="shared" si="18"/>
        <v/>
      </c>
      <c r="J201" s="129">
        <f t="shared" si="19"/>
        <v>-6</v>
      </c>
      <c r="K201" s="129">
        <f t="shared" si="16"/>
        <v>-60</v>
      </c>
      <c r="L201" s="129"/>
      <c r="M201" s="131">
        <f t="shared" si="17"/>
        <v>0</v>
      </c>
    </row>
    <row r="202" spans="1:13" x14ac:dyDescent="0.25">
      <c r="A202" s="145"/>
      <c r="G202" s="115"/>
      <c r="H202" s="129">
        <v>197</v>
      </c>
      <c r="I202" s="130" t="str">
        <f t="shared" si="18"/>
        <v/>
      </c>
      <c r="J202" s="129">
        <f t="shared" si="19"/>
        <v>-6</v>
      </c>
      <c r="K202" s="129">
        <f t="shared" si="16"/>
        <v>-60</v>
      </c>
      <c r="L202" s="129"/>
      <c r="M202" s="131">
        <f t="shared" si="17"/>
        <v>0</v>
      </c>
    </row>
    <row r="203" spans="1:13" x14ac:dyDescent="0.25">
      <c r="A203" s="145"/>
      <c r="G203" s="115"/>
      <c r="H203" s="129">
        <v>198</v>
      </c>
      <c r="I203" s="130" t="str">
        <f t="shared" si="18"/>
        <v/>
      </c>
      <c r="J203" s="129">
        <f t="shared" si="19"/>
        <v>-6</v>
      </c>
      <c r="K203" s="129">
        <f t="shared" si="16"/>
        <v>-60</v>
      </c>
      <c r="L203" s="129"/>
      <c r="M203" s="131">
        <f t="shared" si="17"/>
        <v>0</v>
      </c>
    </row>
    <row r="204" spans="1:13" x14ac:dyDescent="0.25">
      <c r="A204" s="145"/>
      <c r="G204" s="115"/>
      <c r="H204" s="129">
        <v>199</v>
      </c>
      <c r="I204" s="130" t="str">
        <f t="shared" si="18"/>
        <v/>
      </c>
      <c r="J204" s="129">
        <f t="shared" si="19"/>
        <v>-6</v>
      </c>
      <c r="K204" s="129">
        <f t="shared" si="16"/>
        <v>-60</v>
      </c>
      <c r="L204" s="129"/>
      <c r="M204" s="131">
        <f t="shared" si="17"/>
        <v>0</v>
      </c>
    </row>
    <row r="205" spans="1:13" x14ac:dyDescent="0.25">
      <c r="A205" s="145"/>
      <c r="G205" s="115"/>
      <c r="H205" s="129">
        <v>200</v>
      </c>
      <c r="I205" s="130" t="str">
        <f t="shared" si="18"/>
        <v/>
      </c>
      <c r="J205" s="129">
        <f t="shared" si="19"/>
        <v>-6</v>
      </c>
      <c r="K205" s="129">
        <f t="shared" si="16"/>
        <v>-60</v>
      </c>
      <c r="L205" s="129"/>
      <c r="M205" s="131">
        <f t="shared" si="17"/>
        <v>0</v>
      </c>
    </row>
    <row r="206" spans="1:13" x14ac:dyDescent="0.25">
      <c r="A206" s="145"/>
      <c r="G206" s="115"/>
      <c r="H206" s="129">
        <v>201</v>
      </c>
      <c r="I206" s="130" t="str">
        <f t="shared" si="18"/>
        <v/>
      </c>
      <c r="J206" s="129">
        <f t="shared" si="19"/>
        <v>-6</v>
      </c>
      <c r="K206" s="129">
        <f t="shared" si="16"/>
        <v>-60</v>
      </c>
      <c r="L206" s="129"/>
      <c r="M206" s="131">
        <f t="shared" si="17"/>
        <v>0</v>
      </c>
    </row>
    <row r="207" spans="1:13" x14ac:dyDescent="0.25">
      <c r="A207" s="145"/>
      <c r="G207" s="115"/>
      <c r="H207" s="129">
        <v>202</v>
      </c>
      <c r="I207" s="130" t="str">
        <f t="shared" si="18"/>
        <v/>
      </c>
      <c r="J207" s="129">
        <f t="shared" si="19"/>
        <v>-6</v>
      </c>
      <c r="K207" s="129">
        <f t="shared" si="16"/>
        <v>-60</v>
      </c>
      <c r="L207" s="129"/>
      <c r="M207" s="131">
        <f t="shared" si="17"/>
        <v>0</v>
      </c>
    </row>
    <row r="208" spans="1:13" x14ac:dyDescent="0.25">
      <c r="A208" s="145"/>
      <c r="G208" s="115"/>
      <c r="H208" s="129">
        <v>203</v>
      </c>
      <c r="I208" s="130" t="str">
        <f t="shared" si="18"/>
        <v/>
      </c>
      <c r="J208" s="129">
        <f t="shared" si="19"/>
        <v>-6</v>
      </c>
      <c r="K208" s="129">
        <f t="shared" si="16"/>
        <v>-60</v>
      </c>
      <c r="L208" s="129"/>
      <c r="M208" s="131">
        <f t="shared" si="17"/>
        <v>0</v>
      </c>
    </row>
    <row r="209" spans="1:13" x14ac:dyDescent="0.25">
      <c r="A209" s="145"/>
      <c r="G209" s="115"/>
      <c r="H209" s="129">
        <v>204</v>
      </c>
      <c r="I209" s="130" t="str">
        <f t="shared" si="18"/>
        <v/>
      </c>
      <c r="J209" s="129">
        <f t="shared" si="19"/>
        <v>-6</v>
      </c>
      <c r="K209" s="129">
        <f t="shared" si="16"/>
        <v>-60</v>
      </c>
      <c r="L209" s="129"/>
      <c r="M209" s="131">
        <f t="shared" si="17"/>
        <v>0</v>
      </c>
    </row>
    <row r="210" spans="1:13" x14ac:dyDescent="0.25">
      <c r="A210" s="145"/>
      <c r="G210" s="115"/>
      <c r="H210" s="129">
        <v>205</v>
      </c>
      <c r="I210" s="130" t="str">
        <f t="shared" si="18"/>
        <v/>
      </c>
      <c r="J210" s="129">
        <f t="shared" si="19"/>
        <v>-6</v>
      </c>
      <c r="K210" s="129">
        <f t="shared" si="16"/>
        <v>-60</v>
      </c>
      <c r="L210" s="129"/>
      <c r="M210" s="131">
        <f t="shared" si="17"/>
        <v>0</v>
      </c>
    </row>
    <row r="211" spans="1:13" x14ac:dyDescent="0.25">
      <c r="A211" s="145"/>
      <c r="G211" s="115"/>
      <c r="H211" s="129">
        <v>206</v>
      </c>
      <c r="I211" s="130" t="str">
        <f t="shared" si="18"/>
        <v/>
      </c>
      <c r="J211" s="129">
        <f t="shared" si="19"/>
        <v>-6</v>
      </c>
      <c r="K211" s="129">
        <f t="shared" si="16"/>
        <v>-60</v>
      </c>
      <c r="L211" s="129"/>
      <c r="M211" s="131">
        <f t="shared" si="17"/>
        <v>0</v>
      </c>
    </row>
    <row r="212" spans="1:13" x14ac:dyDescent="0.25">
      <c r="A212" s="145"/>
      <c r="G212" s="115"/>
      <c r="H212" s="129">
        <v>207</v>
      </c>
      <c r="I212" s="130" t="str">
        <f t="shared" si="18"/>
        <v/>
      </c>
      <c r="J212" s="129">
        <f t="shared" si="19"/>
        <v>-6</v>
      </c>
      <c r="K212" s="129">
        <f t="shared" si="16"/>
        <v>-60</v>
      </c>
      <c r="L212" s="129"/>
      <c r="M212" s="131">
        <f t="shared" si="17"/>
        <v>0</v>
      </c>
    </row>
    <row r="213" spans="1:13" x14ac:dyDescent="0.25">
      <c r="A213" s="145"/>
      <c r="G213" s="115"/>
      <c r="H213" s="129">
        <v>208</v>
      </c>
      <c r="I213" s="130" t="str">
        <f t="shared" si="18"/>
        <v/>
      </c>
      <c r="J213" s="129">
        <f t="shared" si="19"/>
        <v>-6</v>
      </c>
      <c r="K213" s="129">
        <f t="shared" si="16"/>
        <v>-60</v>
      </c>
      <c r="L213" s="129"/>
      <c r="M213" s="131">
        <f t="shared" si="17"/>
        <v>0</v>
      </c>
    </row>
    <row r="214" spans="1:13" x14ac:dyDescent="0.25">
      <c r="A214" s="145"/>
      <c r="G214" s="115"/>
      <c r="H214" s="129">
        <v>209</v>
      </c>
      <c r="I214" s="130" t="str">
        <f t="shared" si="18"/>
        <v/>
      </c>
      <c r="J214" s="129">
        <f t="shared" si="19"/>
        <v>-6</v>
      </c>
      <c r="K214" s="129">
        <f t="shared" si="16"/>
        <v>-60</v>
      </c>
      <c r="L214" s="129"/>
      <c r="M214" s="131">
        <f t="shared" si="17"/>
        <v>0</v>
      </c>
    </row>
    <row r="215" spans="1:13" x14ac:dyDescent="0.25">
      <c r="A215" s="145"/>
      <c r="G215" s="115"/>
      <c r="H215" s="129">
        <v>210</v>
      </c>
      <c r="I215" s="130" t="str">
        <f t="shared" si="18"/>
        <v/>
      </c>
      <c r="J215" s="129">
        <f t="shared" si="19"/>
        <v>-6</v>
      </c>
      <c r="K215" s="129">
        <f t="shared" si="16"/>
        <v>-60</v>
      </c>
      <c r="L215" s="129"/>
      <c r="M215" s="131">
        <f t="shared" si="17"/>
        <v>0</v>
      </c>
    </row>
    <row r="216" spans="1:13" x14ac:dyDescent="0.25">
      <c r="A216" s="145"/>
      <c r="G216" s="115"/>
      <c r="H216" s="129">
        <v>211</v>
      </c>
      <c r="I216" s="130" t="str">
        <f t="shared" si="18"/>
        <v/>
      </c>
      <c r="J216" s="129">
        <f t="shared" si="19"/>
        <v>-6</v>
      </c>
      <c r="K216" s="129">
        <f t="shared" si="16"/>
        <v>-60</v>
      </c>
      <c r="L216" s="129"/>
      <c r="M216" s="131">
        <f t="shared" si="17"/>
        <v>0</v>
      </c>
    </row>
    <row r="217" spans="1:13" x14ac:dyDescent="0.25">
      <c r="A217" s="145"/>
      <c r="G217" s="115"/>
      <c r="H217" s="129">
        <v>212</v>
      </c>
      <c r="I217" s="130" t="str">
        <f t="shared" si="18"/>
        <v/>
      </c>
      <c r="J217" s="129">
        <f t="shared" si="19"/>
        <v>-6</v>
      </c>
      <c r="K217" s="129">
        <f t="shared" si="16"/>
        <v>-60</v>
      </c>
      <c r="L217" s="129"/>
      <c r="M217" s="131">
        <f t="shared" si="17"/>
        <v>0</v>
      </c>
    </row>
    <row r="218" spans="1:13" x14ac:dyDescent="0.25">
      <c r="A218" s="145"/>
      <c r="G218" s="115"/>
      <c r="H218" s="129">
        <v>213</v>
      </c>
      <c r="I218" s="130" t="str">
        <f t="shared" si="18"/>
        <v/>
      </c>
      <c r="J218" s="129">
        <f t="shared" si="19"/>
        <v>-6</v>
      </c>
      <c r="K218" s="129">
        <f t="shared" si="16"/>
        <v>-60</v>
      </c>
      <c r="L218" s="129"/>
      <c r="M218" s="131">
        <f t="shared" si="17"/>
        <v>0</v>
      </c>
    </row>
    <row r="219" spans="1:13" x14ac:dyDescent="0.25">
      <c r="A219" s="145"/>
      <c r="G219" s="115"/>
      <c r="H219" s="129">
        <v>214</v>
      </c>
      <c r="I219" s="130" t="str">
        <f t="shared" si="18"/>
        <v/>
      </c>
      <c r="J219" s="129">
        <f t="shared" si="19"/>
        <v>-6</v>
      </c>
      <c r="K219" s="129">
        <f t="shared" si="16"/>
        <v>-60</v>
      </c>
      <c r="L219" s="129"/>
      <c r="M219" s="131">
        <f t="shared" si="17"/>
        <v>0</v>
      </c>
    </row>
    <row r="220" spans="1:13" x14ac:dyDescent="0.25">
      <c r="A220" s="145"/>
      <c r="G220" s="115"/>
      <c r="H220" s="129">
        <v>215</v>
      </c>
      <c r="I220" s="130" t="str">
        <f t="shared" si="18"/>
        <v/>
      </c>
      <c r="J220" s="129">
        <f t="shared" si="19"/>
        <v>-6</v>
      </c>
      <c r="K220" s="129">
        <f t="shared" si="16"/>
        <v>-60</v>
      </c>
      <c r="L220" s="129"/>
      <c r="M220" s="131">
        <f t="shared" si="17"/>
        <v>0</v>
      </c>
    </row>
    <row r="221" spans="1:13" x14ac:dyDescent="0.25">
      <c r="A221" s="145"/>
      <c r="G221" s="115"/>
      <c r="H221" s="129">
        <v>216</v>
      </c>
      <c r="I221" s="130" t="str">
        <f t="shared" si="18"/>
        <v/>
      </c>
      <c r="J221" s="129">
        <f t="shared" si="19"/>
        <v>-6</v>
      </c>
      <c r="K221" s="129">
        <f t="shared" si="16"/>
        <v>-60</v>
      </c>
      <c r="L221" s="129"/>
      <c r="M221" s="131">
        <f t="shared" si="17"/>
        <v>0</v>
      </c>
    </row>
    <row r="222" spans="1:13" x14ac:dyDescent="0.25">
      <c r="A222" s="145"/>
      <c r="G222" s="115"/>
      <c r="H222" s="129">
        <v>217</v>
      </c>
      <c r="I222" s="130" t="str">
        <f t="shared" si="18"/>
        <v/>
      </c>
      <c r="J222" s="129">
        <f t="shared" si="19"/>
        <v>-6</v>
      </c>
      <c r="K222" s="129">
        <f t="shared" si="16"/>
        <v>-60</v>
      </c>
      <c r="L222" s="129"/>
      <c r="M222" s="131">
        <f t="shared" si="17"/>
        <v>0</v>
      </c>
    </row>
    <row r="223" spans="1:13" x14ac:dyDescent="0.25">
      <c r="A223" s="145"/>
      <c r="G223" s="115"/>
      <c r="H223" s="129">
        <v>218</v>
      </c>
      <c r="I223" s="130" t="str">
        <f t="shared" si="18"/>
        <v/>
      </c>
      <c r="J223" s="129">
        <f t="shared" si="19"/>
        <v>-6</v>
      </c>
      <c r="K223" s="129">
        <f t="shared" si="16"/>
        <v>-60</v>
      </c>
      <c r="L223" s="129"/>
      <c r="M223" s="131">
        <f t="shared" si="17"/>
        <v>0</v>
      </c>
    </row>
    <row r="224" spans="1:13" x14ac:dyDescent="0.25">
      <c r="A224" s="145"/>
      <c r="G224" s="115"/>
      <c r="H224" s="129">
        <v>219</v>
      </c>
      <c r="I224" s="130" t="str">
        <f t="shared" si="18"/>
        <v/>
      </c>
      <c r="J224" s="129">
        <f t="shared" si="19"/>
        <v>-6</v>
      </c>
      <c r="K224" s="129">
        <f t="shared" si="16"/>
        <v>-60</v>
      </c>
      <c r="L224" s="129"/>
      <c r="M224" s="131">
        <f t="shared" si="17"/>
        <v>0</v>
      </c>
    </row>
    <row r="225" spans="1:13" x14ac:dyDescent="0.25">
      <c r="A225" s="145"/>
      <c r="G225" s="115"/>
      <c r="H225" s="129">
        <v>220</v>
      </c>
      <c r="I225" s="130" t="str">
        <f t="shared" si="18"/>
        <v/>
      </c>
      <c r="J225" s="129">
        <f t="shared" si="19"/>
        <v>-6</v>
      </c>
      <c r="K225" s="129">
        <f t="shared" si="16"/>
        <v>-60</v>
      </c>
      <c r="L225" s="129"/>
      <c r="M225" s="131">
        <f t="shared" si="17"/>
        <v>0</v>
      </c>
    </row>
    <row r="226" spans="1:13" x14ac:dyDescent="0.25">
      <c r="A226" s="145"/>
      <c r="G226" s="115"/>
      <c r="H226" s="129">
        <v>221</v>
      </c>
      <c r="I226" s="130" t="str">
        <f t="shared" si="18"/>
        <v/>
      </c>
      <c r="J226" s="129">
        <f t="shared" si="19"/>
        <v>-6</v>
      </c>
      <c r="K226" s="129">
        <f t="shared" si="16"/>
        <v>-60</v>
      </c>
      <c r="L226" s="129"/>
      <c r="M226" s="131">
        <f t="shared" si="17"/>
        <v>0</v>
      </c>
    </row>
    <row r="227" spans="1:13" x14ac:dyDescent="0.25">
      <c r="A227" s="145"/>
      <c r="G227" s="115"/>
      <c r="H227" s="129">
        <v>222</v>
      </c>
      <c r="I227" s="130" t="str">
        <f t="shared" si="18"/>
        <v/>
      </c>
      <c r="J227" s="129">
        <f t="shared" si="19"/>
        <v>-6</v>
      </c>
      <c r="K227" s="129">
        <f t="shared" si="16"/>
        <v>-60</v>
      </c>
      <c r="L227" s="129"/>
      <c r="M227" s="131">
        <f t="shared" si="17"/>
        <v>0</v>
      </c>
    </row>
    <row r="228" spans="1:13" x14ac:dyDescent="0.25">
      <c r="A228" s="145"/>
      <c r="G228" s="115"/>
      <c r="H228" s="129">
        <v>223</v>
      </c>
      <c r="I228" s="130" t="str">
        <f t="shared" si="18"/>
        <v/>
      </c>
      <c r="J228" s="129">
        <f t="shared" si="19"/>
        <v>-6</v>
      </c>
      <c r="K228" s="129">
        <f t="shared" si="16"/>
        <v>-60</v>
      </c>
      <c r="L228" s="129"/>
      <c r="M228" s="131">
        <f t="shared" si="17"/>
        <v>0</v>
      </c>
    </row>
    <row r="229" spans="1:13" x14ac:dyDescent="0.25">
      <c r="A229" s="145"/>
      <c r="G229" s="115"/>
      <c r="H229" s="129">
        <v>224</v>
      </c>
      <c r="I229" s="130" t="str">
        <f t="shared" si="18"/>
        <v/>
      </c>
      <c r="J229" s="129">
        <f t="shared" si="19"/>
        <v>-6</v>
      </c>
      <c r="K229" s="129">
        <f t="shared" si="16"/>
        <v>-60</v>
      </c>
      <c r="L229" s="129"/>
      <c r="M229" s="131">
        <f t="shared" si="17"/>
        <v>0</v>
      </c>
    </row>
    <row r="230" spans="1:13" x14ac:dyDescent="0.25">
      <c r="A230" s="145"/>
      <c r="G230" s="115"/>
      <c r="H230" s="129">
        <v>225</v>
      </c>
      <c r="I230" s="130" t="str">
        <f t="shared" si="18"/>
        <v/>
      </c>
      <c r="J230" s="129">
        <f t="shared" si="19"/>
        <v>-6</v>
      </c>
      <c r="K230" s="129">
        <f t="shared" si="16"/>
        <v>-60</v>
      </c>
      <c r="L230" s="129"/>
      <c r="M230" s="131">
        <f t="shared" si="17"/>
        <v>0</v>
      </c>
    </row>
    <row r="231" spans="1:13" x14ac:dyDescent="0.25">
      <c r="A231" s="145"/>
      <c r="G231" s="115"/>
      <c r="H231" s="129">
        <v>226</v>
      </c>
      <c r="I231" s="130" t="str">
        <f t="shared" si="18"/>
        <v/>
      </c>
      <c r="J231" s="129">
        <f t="shared" si="19"/>
        <v>-6</v>
      </c>
      <c r="K231" s="129">
        <f t="shared" si="16"/>
        <v>-60</v>
      </c>
      <c r="L231" s="129"/>
      <c r="M231" s="131">
        <f t="shared" si="17"/>
        <v>0</v>
      </c>
    </row>
    <row r="232" spans="1:13" x14ac:dyDescent="0.25">
      <c r="A232" s="145"/>
      <c r="G232" s="115"/>
      <c r="H232" s="129">
        <v>227</v>
      </c>
      <c r="I232" s="130" t="str">
        <f t="shared" si="18"/>
        <v/>
      </c>
      <c r="J232" s="129">
        <f t="shared" si="19"/>
        <v>-6</v>
      </c>
      <c r="K232" s="129">
        <f t="shared" si="16"/>
        <v>-60</v>
      </c>
      <c r="L232" s="129"/>
      <c r="M232" s="131">
        <f t="shared" si="17"/>
        <v>0</v>
      </c>
    </row>
    <row r="233" spans="1:13" x14ac:dyDescent="0.25">
      <c r="A233" s="145"/>
      <c r="G233" s="115"/>
      <c r="H233" s="129">
        <v>228</v>
      </c>
      <c r="I233" s="130" t="str">
        <f t="shared" si="18"/>
        <v/>
      </c>
      <c r="J233" s="129">
        <f t="shared" si="19"/>
        <v>-6</v>
      </c>
      <c r="K233" s="129">
        <f t="shared" si="16"/>
        <v>-60</v>
      </c>
      <c r="L233" s="129"/>
      <c r="M233" s="131">
        <f t="shared" si="17"/>
        <v>0</v>
      </c>
    </row>
    <row r="234" spans="1:13" x14ac:dyDescent="0.25">
      <c r="A234" s="145"/>
      <c r="G234" s="115"/>
      <c r="H234" s="129">
        <v>229</v>
      </c>
      <c r="I234" s="130" t="str">
        <f t="shared" si="18"/>
        <v/>
      </c>
      <c r="J234" s="129">
        <f t="shared" si="19"/>
        <v>-6</v>
      </c>
      <c r="K234" s="129">
        <f t="shared" si="16"/>
        <v>-60</v>
      </c>
      <c r="L234" s="129"/>
      <c r="M234" s="131">
        <f t="shared" si="17"/>
        <v>0</v>
      </c>
    </row>
    <row r="235" spans="1:13" x14ac:dyDescent="0.25">
      <c r="A235" s="145"/>
      <c r="G235" s="115"/>
      <c r="H235" s="129">
        <v>230</v>
      </c>
      <c r="I235" s="130" t="str">
        <f t="shared" si="18"/>
        <v/>
      </c>
      <c r="J235" s="129">
        <f t="shared" si="19"/>
        <v>-6</v>
      </c>
      <c r="K235" s="129">
        <f t="shared" si="16"/>
        <v>-60</v>
      </c>
      <c r="L235" s="129"/>
      <c r="M235" s="131">
        <f t="shared" si="17"/>
        <v>0</v>
      </c>
    </row>
    <row r="236" spans="1:13" x14ac:dyDescent="0.25">
      <c r="A236" s="145"/>
      <c r="G236" s="115"/>
      <c r="H236" s="129">
        <v>231</v>
      </c>
      <c r="I236" s="130" t="str">
        <f t="shared" si="18"/>
        <v/>
      </c>
      <c r="J236" s="129">
        <f t="shared" si="19"/>
        <v>-6</v>
      </c>
      <c r="K236" s="129">
        <f t="shared" si="16"/>
        <v>-60</v>
      </c>
      <c r="L236" s="129"/>
      <c r="M236" s="131">
        <f t="shared" si="17"/>
        <v>0</v>
      </c>
    </row>
    <row r="237" spans="1:13" x14ac:dyDescent="0.25">
      <c r="A237" s="145"/>
      <c r="G237" s="115"/>
      <c r="H237" s="129">
        <v>232</v>
      </c>
      <c r="I237" s="130" t="str">
        <f t="shared" si="18"/>
        <v/>
      </c>
      <c r="J237" s="129">
        <f t="shared" si="19"/>
        <v>-6</v>
      </c>
      <c r="K237" s="129">
        <f t="shared" si="16"/>
        <v>-60</v>
      </c>
      <c r="L237" s="129"/>
      <c r="M237" s="131">
        <f t="shared" si="17"/>
        <v>0</v>
      </c>
    </row>
    <row r="238" spans="1:13" x14ac:dyDescent="0.25">
      <c r="A238" s="145"/>
      <c r="G238" s="115"/>
      <c r="H238" s="129">
        <v>233</v>
      </c>
      <c r="I238" s="130" t="str">
        <f t="shared" si="18"/>
        <v/>
      </c>
      <c r="J238" s="129">
        <f t="shared" si="19"/>
        <v>-6</v>
      </c>
      <c r="K238" s="129">
        <f t="shared" si="16"/>
        <v>-60</v>
      </c>
      <c r="L238" s="129"/>
      <c r="M238" s="131">
        <f t="shared" si="17"/>
        <v>0</v>
      </c>
    </row>
    <row r="239" spans="1:13" x14ac:dyDescent="0.25">
      <c r="A239" s="145"/>
      <c r="G239" s="115"/>
      <c r="H239" s="129">
        <v>234</v>
      </c>
      <c r="I239" s="130" t="str">
        <f t="shared" si="18"/>
        <v/>
      </c>
      <c r="J239" s="129">
        <f t="shared" si="19"/>
        <v>-6</v>
      </c>
      <c r="K239" s="129">
        <f t="shared" si="16"/>
        <v>-60</v>
      </c>
      <c r="L239" s="129"/>
      <c r="M239" s="131">
        <f t="shared" si="17"/>
        <v>0</v>
      </c>
    </row>
    <row r="240" spans="1:13" x14ac:dyDescent="0.25">
      <c r="A240" s="145"/>
      <c r="G240" s="115"/>
      <c r="H240" s="129">
        <v>235</v>
      </c>
      <c r="I240" s="130" t="str">
        <f t="shared" si="18"/>
        <v/>
      </c>
      <c r="J240" s="129">
        <f t="shared" si="19"/>
        <v>-6</v>
      </c>
      <c r="K240" s="129">
        <f t="shared" si="16"/>
        <v>-60</v>
      </c>
      <c r="L240" s="129"/>
      <c r="M240" s="131">
        <f t="shared" si="17"/>
        <v>0</v>
      </c>
    </row>
    <row r="241" spans="1:13" x14ac:dyDescent="0.25">
      <c r="A241" s="145"/>
      <c r="G241" s="115"/>
      <c r="H241" s="129">
        <v>236</v>
      </c>
      <c r="I241" s="130" t="str">
        <f t="shared" si="18"/>
        <v/>
      </c>
      <c r="J241" s="129">
        <f t="shared" si="19"/>
        <v>-6</v>
      </c>
      <c r="K241" s="129">
        <f t="shared" si="16"/>
        <v>-60</v>
      </c>
      <c r="L241" s="129"/>
      <c r="M241" s="131">
        <f t="shared" si="17"/>
        <v>0</v>
      </c>
    </row>
    <row r="242" spans="1:13" x14ac:dyDescent="0.25">
      <c r="A242" s="145"/>
      <c r="G242" s="115"/>
      <c r="H242" s="129">
        <v>237</v>
      </c>
      <c r="I242" s="130" t="str">
        <f t="shared" si="18"/>
        <v/>
      </c>
      <c r="J242" s="129">
        <f t="shared" si="19"/>
        <v>-6</v>
      </c>
      <c r="K242" s="129">
        <f t="shared" si="16"/>
        <v>-60</v>
      </c>
      <c r="L242" s="129"/>
      <c r="M242" s="131">
        <f t="shared" si="17"/>
        <v>0</v>
      </c>
    </row>
    <row r="243" spans="1:13" x14ac:dyDescent="0.25">
      <c r="A243" s="145"/>
      <c r="G243" s="115"/>
      <c r="H243" s="129">
        <v>238</v>
      </c>
      <c r="I243" s="130" t="str">
        <f t="shared" si="18"/>
        <v/>
      </c>
      <c r="J243" s="129">
        <f t="shared" si="19"/>
        <v>-6</v>
      </c>
      <c r="K243" s="129">
        <f t="shared" si="16"/>
        <v>-60</v>
      </c>
      <c r="L243" s="129"/>
      <c r="M243" s="131">
        <f t="shared" si="17"/>
        <v>0</v>
      </c>
    </row>
    <row r="244" spans="1:13" x14ac:dyDescent="0.25">
      <c r="A244" s="145"/>
      <c r="G244" s="115"/>
      <c r="H244" s="129">
        <v>239</v>
      </c>
      <c r="I244" s="130" t="str">
        <f t="shared" si="18"/>
        <v/>
      </c>
      <c r="J244" s="129">
        <f t="shared" si="19"/>
        <v>-6</v>
      </c>
      <c r="K244" s="129">
        <f t="shared" si="16"/>
        <v>-60</v>
      </c>
      <c r="L244" s="129"/>
      <c r="M244" s="131">
        <f t="shared" si="17"/>
        <v>0</v>
      </c>
    </row>
    <row r="245" spans="1:13" x14ac:dyDescent="0.25">
      <c r="A245" s="145"/>
      <c r="G245" s="115"/>
      <c r="H245" s="129">
        <v>240</v>
      </c>
      <c r="I245" s="130" t="str">
        <f t="shared" si="18"/>
        <v/>
      </c>
      <c r="J245" s="129">
        <f t="shared" si="19"/>
        <v>-6</v>
      </c>
      <c r="K245" s="129">
        <f t="shared" si="16"/>
        <v>-60</v>
      </c>
      <c r="L245" s="129"/>
      <c r="M245" s="131">
        <f t="shared" si="17"/>
        <v>0</v>
      </c>
    </row>
    <row r="246" spans="1:13" x14ac:dyDescent="0.25">
      <c r="A246" s="145"/>
      <c r="G246" s="115"/>
      <c r="H246" s="129">
        <v>241</v>
      </c>
      <c r="I246" s="130" t="str">
        <f t="shared" si="18"/>
        <v/>
      </c>
      <c r="J246" s="129">
        <f t="shared" si="19"/>
        <v>-6</v>
      </c>
      <c r="K246" s="129">
        <f t="shared" si="16"/>
        <v>-60</v>
      </c>
      <c r="L246" s="129"/>
      <c r="M246" s="131">
        <f t="shared" si="17"/>
        <v>0</v>
      </c>
    </row>
    <row r="247" spans="1:13" x14ac:dyDescent="0.25">
      <c r="A247" s="145"/>
      <c r="G247" s="115"/>
      <c r="H247" s="129">
        <v>242</v>
      </c>
      <c r="I247" s="130" t="str">
        <f t="shared" si="18"/>
        <v/>
      </c>
      <c r="J247" s="129">
        <f t="shared" si="19"/>
        <v>-6</v>
      </c>
      <c r="K247" s="129">
        <f t="shared" si="16"/>
        <v>-60</v>
      </c>
      <c r="L247" s="129"/>
      <c r="M247" s="131">
        <f t="shared" si="17"/>
        <v>0</v>
      </c>
    </row>
    <row r="248" spans="1:13" x14ac:dyDescent="0.25">
      <c r="A248" s="145"/>
      <c r="G248" s="115"/>
      <c r="H248" s="129">
        <v>243</v>
      </c>
      <c r="I248" s="130" t="str">
        <f t="shared" si="18"/>
        <v/>
      </c>
      <c r="J248" s="129">
        <f t="shared" si="19"/>
        <v>-6</v>
      </c>
      <c r="K248" s="129">
        <f t="shared" si="16"/>
        <v>-60</v>
      </c>
      <c r="L248" s="129"/>
      <c r="M248" s="131">
        <f t="shared" si="17"/>
        <v>0</v>
      </c>
    </row>
    <row r="249" spans="1:13" x14ac:dyDescent="0.25">
      <c r="A249" s="145"/>
      <c r="G249" s="115"/>
      <c r="H249" s="129">
        <v>244</v>
      </c>
      <c r="I249" s="130" t="str">
        <f t="shared" si="18"/>
        <v/>
      </c>
      <c r="J249" s="129">
        <f t="shared" si="19"/>
        <v>-6</v>
      </c>
      <c r="K249" s="129">
        <f t="shared" si="16"/>
        <v>-60</v>
      </c>
      <c r="L249" s="129"/>
      <c r="M249" s="131">
        <f t="shared" si="17"/>
        <v>0</v>
      </c>
    </row>
    <row r="250" spans="1:13" x14ac:dyDescent="0.25">
      <c r="A250" s="145"/>
      <c r="G250" s="115"/>
      <c r="H250" s="129">
        <v>245</v>
      </c>
      <c r="I250" s="130" t="str">
        <f t="shared" si="18"/>
        <v/>
      </c>
      <c r="J250" s="129">
        <f t="shared" si="19"/>
        <v>-6</v>
      </c>
      <c r="K250" s="129">
        <f t="shared" si="16"/>
        <v>-60</v>
      </c>
      <c r="L250" s="129"/>
      <c r="M250" s="131">
        <f t="shared" si="17"/>
        <v>0</v>
      </c>
    </row>
    <row r="251" spans="1:13" x14ac:dyDescent="0.25">
      <c r="A251" s="145"/>
      <c r="G251" s="115"/>
      <c r="H251" s="129">
        <v>246</v>
      </c>
      <c r="I251" s="130" t="str">
        <f t="shared" si="18"/>
        <v/>
      </c>
      <c r="J251" s="129">
        <f t="shared" si="19"/>
        <v>-6</v>
      </c>
      <c r="K251" s="129">
        <f t="shared" si="16"/>
        <v>-60</v>
      </c>
      <c r="L251" s="129"/>
      <c r="M251" s="131">
        <f t="shared" si="17"/>
        <v>0</v>
      </c>
    </row>
    <row r="252" spans="1:13" x14ac:dyDescent="0.25">
      <c r="A252" s="145"/>
      <c r="G252" s="115"/>
      <c r="H252" s="129">
        <v>247</v>
      </c>
      <c r="I252" s="130" t="str">
        <f t="shared" si="18"/>
        <v/>
      </c>
      <c r="J252" s="129">
        <f t="shared" si="19"/>
        <v>-6</v>
      </c>
      <c r="K252" s="129">
        <f t="shared" si="16"/>
        <v>-60</v>
      </c>
      <c r="L252" s="129"/>
      <c r="M252" s="131">
        <f t="shared" si="17"/>
        <v>0</v>
      </c>
    </row>
    <row r="253" spans="1:13" x14ac:dyDescent="0.25">
      <c r="A253" s="145"/>
      <c r="G253" s="115"/>
      <c r="H253" s="129">
        <v>248</v>
      </c>
      <c r="I253" s="130" t="str">
        <f t="shared" si="18"/>
        <v/>
      </c>
      <c r="J253" s="129">
        <f t="shared" si="19"/>
        <v>-6</v>
      </c>
      <c r="K253" s="129">
        <f t="shared" si="16"/>
        <v>-60</v>
      </c>
      <c r="L253" s="129"/>
      <c r="M253" s="131">
        <f t="shared" si="17"/>
        <v>0</v>
      </c>
    </row>
    <row r="254" spans="1:13" x14ac:dyDescent="0.25">
      <c r="A254" s="145"/>
      <c r="G254" s="115"/>
      <c r="H254" s="129">
        <v>249</v>
      </c>
      <c r="I254" s="130" t="str">
        <f t="shared" si="18"/>
        <v/>
      </c>
      <c r="J254" s="129">
        <f t="shared" si="19"/>
        <v>-6</v>
      </c>
      <c r="K254" s="129">
        <f t="shared" si="16"/>
        <v>-60</v>
      </c>
      <c r="L254" s="129"/>
      <c r="M254" s="131">
        <f t="shared" si="17"/>
        <v>0</v>
      </c>
    </row>
    <row r="255" spans="1:13" x14ac:dyDescent="0.25">
      <c r="A255" s="145"/>
      <c r="G255" s="115"/>
      <c r="H255" s="129">
        <v>250</v>
      </c>
      <c r="I255" s="130" t="str">
        <f t="shared" si="18"/>
        <v/>
      </c>
      <c r="J255" s="129">
        <f t="shared" si="19"/>
        <v>-6</v>
      </c>
      <c r="K255" s="129">
        <f t="shared" si="16"/>
        <v>-60</v>
      </c>
      <c r="L255" s="129"/>
      <c r="M255" s="131">
        <f t="shared" si="17"/>
        <v>0</v>
      </c>
    </row>
    <row r="256" spans="1:13" x14ac:dyDescent="0.25">
      <c r="A256" s="145"/>
      <c r="G256" s="115"/>
      <c r="H256" s="129">
        <v>251</v>
      </c>
      <c r="I256" s="130" t="str">
        <f t="shared" si="18"/>
        <v/>
      </c>
      <c r="J256" s="129">
        <f t="shared" si="19"/>
        <v>-6</v>
      </c>
      <c r="K256" s="129">
        <f t="shared" si="16"/>
        <v>-60</v>
      </c>
      <c r="L256" s="129"/>
      <c r="M256" s="131">
        <f t="shared" si="17"/>
        <v>0</v>
      </c>
    </row>
    <row r="257" spans="1:13" x14ac:dyDescent="0.25">
      <c r="A257" s="145"/>
      <c r="G257" s="115"/>
      <c r="H257" s="129">
        <v>252</v>
      </c>
      <c r="I257" s="130" t="str">
        <f t="shared" si="18"/>
        <v/>
      </c>
      <c r="J257" s="129">
        <f t="shared" si="19"/>
        <v>-6</v>
      </c>
      <c r="K257" s="129">
        <f t="shared" si="16"/>
        <v>-60</v>
      </c>
      <c r="L257" s="129"/>
      <c r="M257" s="131">
        <f t="shared" si="17"/>
        <v>0</v>
      </c>
    </row>
    <row r="258" spans="1:13" x14ac:dyDescent="0.25">
      <c r="A258" s="145"/>
      <c r="G258" s="115"/>
      <c r="H258" s="129">
        <v>253</v>
      </c>
      <c r="I258" s="130" t="str">
        <f t="shared" si="18"/>
        <v/>
      </c>
      <c r="J258" s="129">
        <f t="shared" si="19"/>
        <v>-6</v>
      </c>
      <c r="K258" s="129">
        <f t="shared" si="16"/>
        <v>-60</v>
      </c>
      <c r="L258" s="129"/>
      <c r="M258" s="131">
        <f t="shared" si="17"/>
        <v>0</v>
      </c>
    </row>
    <row r="259" spans="1:13" x14ac:dyDescent="0.25">
      <c r="A259" s="145"/>
      <c r="G259" s="115"/>
      <c r="H259" s="129">
        <v>254</v>
      </c>
      <c r="I259" s="130" t="str">
        <f t="shared" si="18"/>
        <v/>
      </c>
      <c r="J259" s="129">
        <f t="shared" si="19"/>
        <v>-6</v>
      </c>
      <c r="K259" s="129">
        <f t="shared" si="16"/>
        <v>-60</v>
      </c>
      <c r="L259" s="129"/>
      <c r="M259" s="131">
        <f t="shared" si="17"/>
        <v>0</v>
      </c>
    </row>
    <row r="260" spans="1:13" x14ac:dyDescent="0.25">
      <c r="A260" s="145"/>
      <c r="G260" s="115"/>
      <c r="H260" s="129">
        <v>255</v>
      </c>
      <c r="I260" s="130" t="str">
        <f t="shared" si="18"/>
        <v/>
      </c>
      <c r="J260" s="129">
        <f t="shared" si="19"/>
        <v>-6</v>
      </c>
      <c r="K260" s="129">
        <f t="shared" si="16"/>
        <v>-60</v>
      </c>
      <c r="L260" s="129"/>
      <c r="M260" s="131">
        <f t="shared" si="17"/>
        <v>0</v>
      </c>
    </row>
    <row r="261" spans="1:13" x14ac:dyDescent="0.25">
      <c r="A261" s="145"/>
      <c r="G261" s="115"/>
      <c r="H261" s="129">
        <v>256</v>
      </c>
      <c r="I261" s="130" t="str">
        <f t="shared" si="18"/>
        <v/>
      </c>
      <c r="J261" s="129">
        <f t="shared" si="19"/>
        <v>-6</v>
      </c>
      <c r="K261" s="129">
        <f t="shared" si="16"/>
        <v>-60</v>
      </c>
      <c r="L261" s="129"/>
      <c r="M261" s="131">
        <f t="shared" si="17"/>
        <v>0</v>
      </c>
    </row>
    <row r="262" spans="1:13" x14ac:dyDescent="0.25">
      <c r="A262" s="145"/>
      <c r="G262" s="115"/>
      <c r="H262" s="129">
        <v>257</v>
      </c>
      <c r="I262" s="130" t="str">
        <f t="shared" si="18"/>
        <v/>
      </c>
      <c r="J262" s="129">
        <f t="shared" si="19"/>
        <v>-7</v>
      </c>
      <c r="K262" s="129">
        <f t="shared" ref="K262:K305" si="20">J262*$J$2</f>
        <v>-70</v>
      </c>
      <c r="L262" s="129"/>
      <c r="M262" s="131">
        <f t="shared" ref="M262:M305" si="21">IF(I262&lt;&gt;"",K262+I262+L262,0)</f>
        <v>0</v>
      </c>
    </row>
    <row r="263" spans="1:13" x14ac:dyDescent="0.25">
      <c r="A263" s="145"/>
      <c r="G263" s="115"/>
      <c r="H263" s="129">
        <v>258</v>
      </c>
      <c r="I263" s="130" t="str">
        <f t="shared" ref="I263:I305" si="22">IF(H263&lt;$H$2+1,($I$2-($I$2-1)*(LOG(H263)/LOG($H$2))),"")</f>
        <v/>
      </c>
      <c r="J263" s="129">
        <f t="shared" ref="J263:J305" si="23">INT(LOG($H$2,2))-ROUNDUP(LOG(H263,2),0)+IF(OR($H$2=1,$H$2=2,$H$2=4,$H$2=8,$H$2=16,$H$2=32,$H$2=64,$H$2=128,$H$2=256),0,1)</f>
        <v>-7</v>
      </c>
      <c r="K263" s="129">
        <f t="shared" si="20"/>
        <v>-70</v>
      </c>
      <c r="L263" s="129"/>
      <c r="M263" s="131">
        <f t="shared" si="21"/>
        <v>0</v>
      </c>
    </row>
    <row r="264" spans="1:13" x14ac:dyDescent="0.25">
      <c r="A264" s="145"/>
      <c r="G264" s="115"/>
      <c r="H264" s="129">
        <v>259</v>
      </c>
      <c r="I264" s="130" t="str">
        <f t="shared" si="22"/>
        <v/>
      </c>
      <c r="J264" s="129">
        <f t="shared" si="23"/>
        <v>-7</v>
      </c>
      <c r="K264" s="129">
        <f t="shared" si="20"/>
        <v>-70</v>
      </c>
      <c r="L264" s="129"/>
      <c r="M264" s="131">
        <f t="shared" si="21"/>
        <v>0</v>
      </c>
    </row>
    <row r="265" spans="1:13" x14ac:dyDescent="0.25">
      <c r="A265" s="145"/>
      <c r="G265" s="115"/>
      <c r="H265" s="129">
        <v>260</v>
      </c>
      <c r="I265" s="130" t="str">
        <f t="shared" si="22"/>
        <v/>
      </c>
      <c r="J265" s="129">
        <f t="shared" si="23"/>
        <v>-7</v>
      </c>
      <c r="K265" s="129">
        <f t="shared" si="20"/>
        <v>-70</v>
      </c>
      <c r="L265" s="129"/>
      <c r="M265" s="131">
        <f t="shared" si="21"/>
        <v>0</v>
      </c>
    </row>
    <row r="266" spans="1:13" x14ac:dyDescent="0.25">
      <c r="A266" s="145"/>
      <c r="G266" s="115"/>
      <c r="H266" s="129">
        <v>261</v>
      </c>
      <c r="I266" s="130" t="str">
        <f t="shared" si="22"/>
        <v/>
      </c>
      <c r="J266" s="129">
        <f t="shared" si="23"/>
        <v>-7</v>
      </c>
      <c r="K266" s="129">
        <f t="shared" si="20"/>
        <v>-70</v>
      </c>
      <c r="L266" s="129"/>
      <c r="M266" s="131">
        <f t="shared" si="21"/>
        <v>0</v>
      </c>
    </row>
    <row r="267" spans="1:13" x14ac:dyDescent="0.25">
      <c r="A267" s="145"/>
      <c r="G267" s="115"/>
      <c r="H267" s="129">
        <v>262</v>
      </c>
      <c r="I267" s="130" t="str">
        <f t="shared" si="22"/>
        <v/>
      </c>
      <c r="J267" s="129">
        <f t="shared" si="23"/>
        <v>-7</v>
      </c>
      <c r="K267" s="129">
        <f t="shared" si="20"/>
        <v>-70</v>
      </c>
      <c r="L267" s="129"/>
      <c r="M267" s="131">
        <f t="shared" si="21"/>
        <v>0</v>
      </c>
    </row>
    <row r="268" spans="1:13" x14ac:dyDescent="0.25">
      <c r="A268" s="145"/>
      <c r="G268" s="115"/>
      <c r="H268" s="129">
        <v>263</v>
      </c>
      <c r="I268" s="130" t="str">
        <f t="shared" si="22"/>
        <v/>
      </c>
      <c r="J268" s="129">
        <f t="shared" si="23"/>
        <v>-7</v>
      </c>
      <c r="K268" s="129">
        <f t="shared" si="20"/>
        <v>-70</v>
      </c>
      <c r="L268" s="129"/>
      <c r="M268" s="131">
        <f t="shared" si="21"/>
        <v>0</v>
      </c>
    </row>
    <row r="269" spans="1:13" x14ac:dyDescent="0.25">
      <c r="A269" s="145"/>
      <c r="G269" s="115"/>
      <c r="H269" s="129">
        <v>264</v>
      </c>
      <c r="I269" s="130" t="str">
        <f t="shared" si="22"/>
        <v/>
      </c>
      <c r="J269" s="129">
        <f t="shared" si="23"/>
        <v>-7</v>
      </c>
      <c r="K269" s="129">
        <f t="shared" si="20"/>
        <v>-70</v>
      </c>
      <c r="L269" s="129"/>
      <c r="M269" s="131">
        <f t="shared" si="21"/>
        <v>0</v>
      </c>
    </row>
    <row r="270" spans="1:13" x14ac:dyDescent="0.25">
      <c r="A270" s="145"/>
      <c r="G270" s="115"/>
      <c r="H270" s="129">
        <v>265</v>
      </c>
      <c r="I270" s="130" t="str">
        <f t="shared" si="22"/>
        <v/>
      </c>
      <c r="J270" s="129">
        <f t="shared" si="23"/>
        <v>-7</v>
      </c>
      <c r="K270" s="129">
        <f t="shared" si="20"/>
        <v>-70</v>
      </c>
      <c r="L270" s="129"/>
      <c r="M270" s="131">
        <f t="shared" si="21"/>
        <v>0</v>
      </c>
    </row>
    <row r="271" spans="1:13" x14ac:dyDescent="0.25">
      <c r="A271" s="145"/>
      <c r="G271" s="115"/>
      <c r="H271" s="129">
        <v>266</v>
      </c>
      <c r="I271" s="130" t="str">
        <f t="shared" si="22"/>
        <v/>
      </c>
      <c r="J271" s="129">
        <f t="shared" si="23"/>
        <v>-7</v>
      </c>
      <c r="K271" s="129">
        <f t="shared" si="20"/>
        <v>-70</v>
      </c>
      <c r="L271" s="129"/>
      <c r="M271" s="131">
        <f t="shared" si="21"/>
        <v>0</v>
      </c>
    </row>
    <row r="272" spans="1:13" x14ac:dyDescent="0.25">
      <c r="A272" s="145"/>
      <c r="G272" s="115"/>
      <c r="H272" s="129">
        <v>267</v>
      </c>
      <c r="I272" s="130" t="str">
        <f t="shared" si="22"/>
        <v/>
      </c>
      <c r="J272" s="129">
        <f t="shared" si="23"/>
        <v>-7</v>
      </c>
      <c r="K272" s="129">
        <f t="shared" si="20"/>
        <v>-70</v>
      </c>
      <c r="L272" s="129"/>
      <c r="M272" s="131">
        <f t="shared" si="21"/>
        <v>0</v>
      </c>
    </row>
    <row r="273" spans="1:13" x14ac:dyDescent="0.25">
      <c r="A273" s="145"/>
      <c r="G273" s="115"/>
      <c r="H273" s="129">
        <v>268</v>
      </c>
      <c r="I273" s="130" t="str">
        <f t="shared" si="22"/>
        <v/>
      </c>
      <c r="J273" s="129">
        <f t="shared" si="23"/>
        <v>-7</v>
      </c>
      <c r="K273" s="129">
        <f t="shared" si="20"/>
        <v>-70</v>
      </c>
      <c r="L273" s="129"/>
      <c r="M273" s="131">
        <f t="shared" si="21"/>
        <v>0</v>
      </c>
    </row>
    <row r="274" spans="1:13" x14ac:dyDescent="0.25">
      <c r="A274" s="145"/>
      <c r="G274" s="115"/>
      <c r="H274" s="129">
        <v>269</v>
      </c>
      <c r="I274" s="130" t="str">
        <f t="shared" si="22"/>
        <v/>
      </c>
      <c r="J274" s="129">
        <f t="shared" si="23"/>
        <v>-7</v>
      </c>
      <c r="K274" s="129">
        <f t="shared" si="20"/>
        <v>-70</v>
      </c>
      <c r="L274" s="129"/>
      <c r="M274" s="131">
        <f t="shared" si="21"/>
        <v>0</v>
      </c>
    </row>
    <row r="275" spans="1:13" x14ac:dyDescent="0.25">
      <c r="A275" s="145"/>
      <c r="G275" s="115"/>
      <c r="H275" s="129">
        <v>270</v>
      </c>
      <c r="I275" s="130" t="str">
        <f t="shared" si="22"/>
        <v/>
      </c>
      <c r="J275" s="129">
        <f t="shared" si="23"/>
        <v>-7</v>
      </c>
      <c r="K275" s="129">
        <f t="shared" si="20"/>
        <v>-70</v>
      </c>
      <c r="L275" s="129"/>
      <c r="M275" s="131">
        <f t="shared" si="21"/>
        <v>0</v>
      </c>
    </row>
    <row r="276" spans="1:13" x14ac:dyDescent="0.25">
      <c r="A276" s="145"/>
      <c r="G276" s="115"/>
      <c r="H276" s="129">
        <v>271</v>
      </c>
      <c r="I276" s="130" t="str">
        <f t="shared" si="22"/>
        <v/>
      </c>
      <c r="J276" s="129">
        <f t="shared" si="23"/>
        <v>-7</v>
      </c>
      <c r="K276" s="129">
        <f t="shared" si="20"/>
        <v>-70</v>
      </c>
      <c r="L276" s="129"/>
      <c r="M276" s="131">
        <f t="shared" si="21"/>
        <v>0</v>
      </c>
    </row>
    <row r="277" spans="1:13" x14ac:dyDescent="0.25">
      <c r="A277" s="145"/>
      <c r="G277" s="115"/>
      <c r="H277" s="129">
        <v>272</v>
      </c>
      <c r="I277" s="130" t="str">
        <f t="shared" si="22"/>
        <v/>
      </c>
      <c r="J277" s="129">
        <f t="shared" si="23"/>
        <v>-7</v>
      </c>
      <c r="K277" s="129">
        <f t="shared" si="20"/>
        <v>-70</v>
      </c>
      <c r="L277" s="129"/>
      <c r="M277" s="131">
        <f t="shared" si="21"/>
        <v>0</v>
      </c>
    </row>
    <row r="278" spans="1:13" x14ac:dyDescent="0.25">
      <c r="A278" s="145"/>
      <c r="G278" s="115"/>
      <c r="H278" s="129">
        <v>273</v>
      </c>
      <c r="I278" s="130" t="str">
        <f t="shared" si="22"/>
        <v/>
      </c>
      <c r="J278" s="129">
        <f t="shared" si="23"/>
        <v>-7</v>
      </c>
      <c r="K278" s="129">
        <f t="shared" si="20"/>
        <v>-70</v>
      </c>
      <c r="L278" s="129"/>
      <c r="M278" s="131">
        <f t="shared" si="21"/>
        <v>0</v>
      </c>
    </row>
    <row r="279" spans="1:13" x14ac:dyDescent="0.25">
      <c r="A279" s="145"/>
      <c r="G279" s="115"/>
      <c r="H279" s="129">
        <v>274</v>
      </c>
      <c r="I279" s="130" t="str">
        <f t="shared" si="22"/>
        <v/>
      </c>
      <c r="J279" s="129">
        <f t="shared" si="23"/>
        <v>-7</v>
      </c>
      <c r="K279" s="129">
        <f t="shared" si="20"/>
        <v>-70</v>
      </c>
      <c r="L279" s="129"/>
      <c r="M279" s="131">
        <f t="shared" si="21"/>
        <v>0</v>
      </c>
    </row>
    <row r="280" spans="1:13" x14ac:dyDescent="0.25">
      <c r="A280" s="145"/>
      <c r="G280" s="115"/>
      <c r="H280" s="129">
        <v>275</v>
      </c>
      <c r="I280" s="130" t="str">
        <f t="shared" si="22"/>
        <v/>
      </c>
      <c r="J280" s="129">
        <f t="shared" si="23"/>
        <v>-7</v>
      </c>
      <c r="K280" s="129">
        <f t="shared" si="20"/>
        <v>-70</v>
      </c>
      <c r="L280" s="129"/>
      <c r="M280" s="131">
        <f t="shared" si="21"/>
        <v>0</v>
      </c>
    </row>
    <row r="281" spans="1:13" x14ac:dyDescent="0.25">
      <c r="A281" s="145"/>
      <c r="G281" s="115"/>
      <c r="H281" s="129">
        <v>276</v>
      </c>
      <c r="I281" s="130" t="str">
        <f t="shared" si="22"/>
        <v/>
      </c>
      <c r="J281" s="129">
        <f t="shared" si="23"/>
        <v>-7</v>
      </c>
      <c r="K281" s="129">
        <f t="shared" si="20"/>
        <v>-70</v>
      </c>
      <c r="L281" s="129"/>
      <c r="M281" s="131">
        <f t="shared" si="21"/>
        <v>0</v>
      </c>
    </row>
    <row r="282" spans="1:13" x14ac:dyDescent="0.25">
      <c r="A282" s="145"/>
      <c r="G282" s="115"/>
      <c r="H282" s="129">
        <v>277</v>
      </c>
      <c r="I282" s="130" t="str">
        <f t="shared" si="22"/>
        <v/>
      </c>
      <c r="J282" s="129">
        <f t="shared" si="23"/>
        <v>-7</v>
      </c>
      <c r="K282" s="129">
        <f t="shared" si="20"/>
        <v>-70</v>
      </c>
      <c r="L282" s="129"/>
      <c r="M282" s="131">
        <f t="shared" si="21"/>
        <v>0</v>
      </c>
    </row>
    <row r="283" spans="1:13" x14ac:dyDescent="0.25">
      <c r="A283" s="145"/>
      <c r="G283" s="115"/>
      <c r="H283" s="129">
        <v>278</v>
      </c>
      <c r="I283" s="130" t="str">
        <f t="shared" si="22"/>
        <v/>
      </c>
      <c r="J283" s="129">
        <f t="shared" si="23"/>
        <v>-7</v>
      </c>
      <c r="K283" s="129">
        <f t="shared" si="20"/>
        <v>-70</v>
      </c>
      <c r="L283" s="129"/>
      <c r="M283" s="131">
        <f t="shared" si="21"/>
        <v>0</v>
      </c>
    </row>
    <row r="284" spans="1:13" x14ac:dyDescent="0.25">
      <c r="A284" s="145"/>
      <c r="G284" s="115"/>
      <c r="H284" s="129">
        <v>279</v>
      </c>
      <c r="I284" s="130" t="str">
        <f t="shared" si="22"/>
        <v/>
      </c>
      <c r="J284" s="129">
        <f t="shared" si="23"/>
        <v>-7</v>
      </c>
      <c r="K284" s="129">
        <f t="shared" si="20"/>
        <v>-70</v>
      </c>
      <c r="L284" s="129"/>
      <c r="M284" s="131">
        <f t="shared" si="21"/>
        <v>0</v>
      </c>
    </row>
    <row r="285" spans="1:13" x14ac:dyDescent="0.25">
      <c r="A285" s="145"/>
      <c r="G285" s="115"/>
      <c r="H285" s="129">
        <v>280</v>
      </c>
      <c r="I285" s="130" t="str">
        <f t="shared" si="22"/>
        <v/>
      </c>
      <c r="J285" s="129">
        <f t="shared" si="23"/>
        <v>-7</v>
      </c>
      <c r="K285" s="129">
        <f t="shared" si="20"/>
        <v>-70</v>
      </c>
      <c r="L285" s="129"/>
      <c r="M285" s="131">
        <f t="shared" si="21"/>
        <v>0</v>
      </c>
    </row>
    <row r="286" spans="1:13" x14ac:dyDescent="0.25">
      <c r="A286" s="145"/>
      <c r="G286" s="115"/>
      <c r="H286" s="129">
        <v>281</v>
      </c>
      <c r="I286" s="130" t="str">
        <f t="shared" si="22"/>
        <v/>
      </c>
      <c r="J286" s="129">
        <f t="shared" si="23"/>
        <v>-7</v>
      </c>
      <c r="K286" s="129">
        <f t="shared" si="20"/>
        <v>-70</v>
      </c>
      <c r="L286" s="129"/>
      <c r="M286" s="131">
        <f t="shared" si="21"/>
        <v>0</v>
      </c>
    </row>
    <row r="287" spans="1:13" x14ac:dyDescent="0.25">
      <c r="A287" s="145"/>
      <c r="G287" s="115"/>
      <c r="H287" s="129">
        <v>282</v>
      </c>
      <c r="I287" s="130" t="str">
        <f t="shared" si="22"/>
        <v/>
      </c>
      <c r="J287" s="129">
        <f t="shared" si="23"/>
        <v>-7</v>
      </c>
      <c r="K287" s="129">
        <f t="shared" si="20"/>
        <v>-70</v>
      </c>
      <c r="L287" s="129"/>
      <c r="M287" s="131">
        <f t="shared" si="21"/>
        <v>0</v>
      </c>
    </row>
    <row r="288" spans="1:13" x14ac:dyDescent="0.25">
      <c r="A288" s="145"/>
      <c r="G288" s="115"/>
      <c r="H288" s="129">
        <v>283</v>
      </c>
      <c r="I288" s="130" t="str">
        <f t="shared" si="22"/>
        <v/>
      </c>
      <c r="J288" s="129">
        <f t="shared" si="23"/>
        <v>-7</v>
      </c>
      <c r="K288" s="129">
        <f t="shared" si="20"/>
        <v>-70</v>
      </c>
      <c r="L288" s="129"/>
      <c r="M288" s="131">
        <f t="shared" si="21"/>
        <v>0</v>
      </c>
    </row>
    <row r="289" spans="1:13" x14ac:dyDescent="0.25">
      <c r="A289" s="145"/>
      <c r="G289" s="115"/>
      <c r="H289" s="129">
        <v>284</v>
      </c>
      <c r="I289" s="130" t="str">
        <f t="shared" si="22"/>
        <v/>
      </c>
      <c r="J289" s="129">
        <f t="shared" si="23"/>
        <v>-7</v>
      </c>
      <c r="K289" s="129">
        <f t="shared" si="20"/>
        <v>-70</v>
      </c>
      <c r="L289" s="129"/>
      <c r="M289" s="131">
        <f t="shared" si="21"/>
        <v>0</v>
      </c>
    </row>
    <row r="290" spans="1:13" x14ac:dyDescent="0.25">
      <c r="A290" s="145"/>
      <c r="G290" s="115"/>
      <c r="H290" s="129">
        <v>285</v>
      </c>
      <c r="I290" s="130" t="str">
        <f t="shared" si="22"/>
        <v/>
      </c>
      <c r="J290" s="129">
        <f t="shared" si="23"/>
        <v>-7</v>
      </c>
      <c r="K290" s="129">
        <f t="shared" si="20"/>
        <v>-70</v>
      </c>
      <c r="L290" s="129"/>
      <c r="M290" s="131">
        <f t="shared" si="21"/>
        <v>0</v>
      </c>
    </row>
    <row r="291" spans="1:13" x14ac:dyDescent="0.25">
      <c r="A291" s="145"/>
      <c r="G291" s="115"/>
      <c r="H291" s="129">
        <v>286</v>
      </c>
      <c r="I291" s="130" t="str">
        <f t="shared" si="22"/>
        <v/>
      </c>
      <c r="J291" s="129">
        <f t="shared" si="23"/>
        <v>-7</v>
      </c>
      <c r="K291" s="129">
        <f t="shared" si="20"/>
        <v>-70</v>
      </c>
      <c r="L291" s="129"/>
      <c r="M291" s="131">
        <f t="shared" si="21"/>
        <v>0</v>
      </c>
    </row>
    <row r="292" spans="1:13" x14ac:dyDescent="0.25">
      <c r="A292" s="145"/>
      <c r="G292" s="115"/>
      <c r="H292" s="129">
        <v>287</v>
      </c>
      <c r="I292" s="130" t="str">
        <f t="shared" si="22"/>
        <v/>
      </c>
      <c r="J292" s="129">
        <f t="shared" si="23"/>
        <v>-7</v>
      </c>
      <c r="K292" s="129">
        <f t="shared" si="20"/>
        <v>-70</v>
      </c>
      <c r="L292" s="129"/>
      <c r="M292" s="131">
        <f t="shared" si="21"/>
        <v>0</v>
      </c>
    </row>
    <row r="293" spans="1:13" x14ac:dyDescent="0.25">
      <c r="A293" s="145"/>
      <c r="G293" s="115"/>
      <c r="H293" s="129">
        <v>288</v>
      </c>
      <c r="I293" s="130" t="str">
        <f t="shared" si="22"/>
        <v/>
      </c>
      <c r="J293" s="129">
        <f t="shared" si="23"/>
        <v>-7</v>
      </c>
      <c r="K293" s="129">
        <f t="shared" si="20"/>
        <v>-70</v>
      </c>
      <c r="L293" s="129"/>
      <c r="M293" s="131">
        <f t="shared" si="21"/>
        <v>0</v>
      </c>
    </row>
    <row r="294" spans="1:13" x14ac:dyDescent="0.25">
      <c r="A294" s="145"/>
      <c r="G294" s="115"/>
      <c r="H294" s="129">
        <v>289</v>
      </c>
      <c r="I294" s="130" t="str">
        <f t="shared" si="22"/>
        <v/>
      </c>
      <c r="J294" s="129">
        <f t="shared" si="23"/>
        <v>-7</v>
      </c>
      <c r="K294" s="129">
        <f t="shared" si="20"/>
        <v>-70</v>
      </c>
      <c r="L294" s="129"/>
      <c r="M294" s="131">
        <f t="shared" si="21"/>
        <v>0</v>
      </c>
    </row>
    <row r="295" spans="1:13" x14ac:dyDescent="0.25">
      <c r="A295" s="145"/>
      <c r="G295" s="115"/>
      <c r="H295" s="129">
        <v>290</v>
      </c>
      <c r="I295" s="130" t="str">
        <f t="shared" si="22"/>
        <v/>
      </c>
      <c r="J295" s="129">
        <f t="shared" si="23"/>
        <v>-7</v>
      </c>
      <c r="K295" s="129">
        <f t="shared" si="20"/>
        <v>-70</v>
      </c>
      <c r="L295" s="129"/>
      <c r="M295" s="131">
        <f t="shared" si="21"/>
        <v>0</v>
      </c>
    </row>
    <row r="296" spans="1:13" x14ac:dyDescent="0.25">
      <c r="A296" s="145"/>
      <c r="G296" s="115"/>
      <c r="H296" s="129">
        <v>291</v>
      </c>
      <c r="I296" s="130" t="str">
        <f t="shared" si="22"/>
        <v/>
      </c>
      <c r="J296" s="129">
        <f t="shared" si="23"/>
        <v>-7</v>
      </c>
      <c r="K296" s="129">
        <f t="shared" si="20"/>
        <v>-70</v>
      </c>
      <c r="L296" s="129"/>
      <c r="M296" s="131">
        <f t="shared" si="21"/>
        <v>0</v>
      </c>
    </row>
    <row r="297" spans="1:13" x14ac:dyDescent="0.25">
      <c r="A297" s="145"/>
      <c r="G297" s="115"/>
      <c r="H297" s="129">
        <v>292</v>
      </c>
      <c r="I297" s="130" t="str">
        <f t="shared" si="22"/>
        <v/>
      </c>
      <c r="J297" s="129">
        <f t="shared" si="23"/>
        <v>-7</v>
      </c>
      <c r="K297" s="129">
        <f t="shared" si="20"/>
        <v>-70</v>
      </c>
      <c r="L297" s="129"/>
      <c r="M297" s="131">
        <f t="shared" si="21"/>
        <v>0</v>
      </c>
    </row>
    <row r="298" spans="1:13" x14ac:dyDescent="0.25">
      <c r="A298" s="145"/>
      <c r="G298" s="115"/>
      <c r="H298" s="129">
        <v>293</v>
      </c>
      <c r="I298" s="130" t="str">
        <f t="shared" si="22"/>
        <v/>
      </c>
      <c r="J298" s="129">
        <f t="shared" si="23"/>
        <v>-7</v>
      </c>
      <c r="K298" s="129">
        <f t="shared" si="20"/>
        <v>-70</v>
      </c>
      <c r="L298" s="129"/>
      <c r="M298" s="131">
        <f t="shared" si="21"/>
        <v>0</v>
      </c>
    </row>
    <row r="299" spans="1:13" x14ac:dyDescent="0.25">
      <c r="A299" s="145"/>
      <c r="G299" s="115"/>
      <c r="H299" s="129">
        <v>294</v>
      </c>
      <c r="I299" s="130" t="str">
        <f t="shared" si="22"/>
        <v/>
      </c>
      <c r="J299" s="129">
        <f t="shared" si="23"/>
        <v>-7</v>
      </c>
      <c r="K299" s="129">
        <f t="shared" si="20"/>
        <v>-70</v>
      </c>
      <c r="L299" s="129"/>
      <c r="M299" s="131">
        <f t="shared" si="21"/>
        <v>0</v>
      </c>
    </row>
    <row r="300" spans="1:13" x14ac:dyDescent="0.25">
      <c r="A300" s="145"/>
      <c r="G300" s="115"/>
      <c r="H300" s="129">
        <v>295</v>
      </c>
      <c r="I300" s="130" t="str">
        <f t="shared" si="22"/>
        <v/>
      </c>
      <c r="J300" s="129">
        <f t="shared" si="23"/>
        <v>-7</v>
      </c>
      <c r="K300" s="129">
        <f t="shared" si="20"/>
        <v>-70</v>
      </c>
      <c r="L300" s="129"/>
      <c r="M300" s="131">
        <f t="shared" si="21"/>
        <v>0</v>
      </c>
    </row>
    <row r="301" spans="1:13" x14ac:dyDescent="0.25">
      <c r="A301" s="145"/>
      <c r="G301" s="115"/>
      <c r="H301" s="129">
        <v>296</v>
      </c>
      <c r="I301" s="130" t="str">
        <f t="shared" si="22"/>
        <v/>
      </c>
      <c r="J301" s="129">
        <f t="shared" si="23"/>
        <v>-7</v>
      </c>
      <c r="K301" s="129">
        <f t="shared" si="20"/>
        <v>-70</v>
      </c>
      <c r="L301" s="129"/>
      <c r="M301" s="131">
        <f t="shared" si="21"/>
        <v>0</v>
      </c>
    </row>
    <row r="302" spans="1:13" x14ac:dyDescent="0.25">
      <c r="A302" s="145"/>
      <c r="G302" s="115"/>
      <c r="H302" s="129">
        <v>297</v>
      </c>
      <c r="I302" s="130" t="str">
        <f t="shared" si="22"/>
        <v/>
      </c>
      <c r="J302" s="129">
        <f t="shared" si="23"/>
        <v>-7</v>
      </c>
      <c r="K302" s="129">
        <f t="shared" si="20"/>
        <v>-70</v>
      </c>
      <c r="L302" s="129"/>
      <c r="M302" s="131">
        <f t="shared" si="21"/>
        <v>0</v>
      </c>
    </row>
    <row r="303" spans="1:13" x14ac:dyDescent="0.25">
      <c r="A303" s="145"/>
      <c r="G303" s="115"/>
      <c r="H303" s="129">
        <v>298</v>
      </c>
      <c r="I303" s="130" t="str">
        <f t="shared" si="22"/>
        <v/>
      </c>
      <c r="J303" s="129">
        <f t="shared" si="23"/>
        <v>-7</v>
      </c>
      <c r="K303" s="129">
        <f t="shared" si="20"/>
        <v>-70</v>
      </c>
      <c r="L303" s="129"/>
      <c r="M303" s="131">
        <f t="shared" si="21"/>
        <v>0</v>
      </c>
    </row>
    <row r="304" spans="1:13" x14ac:dyDescent="0.25">
      <c r="A304" s="145"/>
      <c r="G304" s="115"/>
      <c r="H304" s="129">
        <v>299</v>
      </c>
      <c r="I304" s="130" t="str">
        <f t="shared" si="22"/>
        <v/>
      </c>
      <c r="J304" s="129">
        <f t="shared" si="23"/>
        <v>-7</v>
      </c>
      <c r="K304" s="129">
        <f t="shared" si="20"/>
        <v>-70</v>
      </c>
      <c r="L304" s="129"/>
      <c r="M304" s="131">
        <f t="shared" si="21"/>
        <v>0</v>
      </c>
    </row>
    <row r="305" spans="1:16" x14ac:dyDescent="0.25">
      <c r="A305" s="145"/>
      <c r="G305" s="115"/>
      <c r="H305" s="129">
        <v>300</v>
      </c>
      <c r="I305" s="130" t="str">
        <f t="shared" si="22"/>
        <v/>
      </c>
      <c r="J305" s="129">
        <f t="shared" si="23"/>
        <v>-7</v>
      </c>
      <c r="K305" s="129">
        <f t="shared" si="20"/>
        <v>-70</v>
      </c>
      <c r="L305" s="129"/>
      <c r="M305" s="131">
        <f t="shared" si="21"/>
        <v>0</v>
      </c>
    </row>
    <row r="306" spans="1:16" x14ac:dyDescent="0.25">
      <c r="A306" s="147"/>
    </row>
    <row r="314" spans="1:16" x14ac:dyDescent="0.25">
      <c r="L314" s="150"/>
      <c r="P314" s="140"/>
    </row>
    <row r="315" spans="1:16" x14ac:dyDescent="0.25">
      <c r="L315" s="150"/>
      <c r="P315" s="140"/>
    </row>
    <row r="316" spans="1:16" x14ac:dyDescent="0.25">
      <c r="L316" s="150"/>
      <c r="P316" s="140"/>
    </row>
    <row r="317" spans="1:16" x14ac:dyDescent="0.25">
      <c r="L317" s="150"/>
      <c r="P317" s="140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6FA77EED-0213-43A5-8D05-85CACA995962}">
      <formula1>#REF!</formula1>
    </dataValidation>
  </dataValidations>
  <hyperlinks>
    <hyperlink ref="C2:D2" r:id="rId1" display="WARSZAWA" xr:uid="{595BF36C-C445-414D-8AB2-3C0F935CD322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D9A1-9901-49B9-B50A-DB98A912E1CA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46" customWidth="1"/>
    <col min="2" max="2" width="8.25" style="146" customWidth="1"/>
    <col min="3" max="3" width="34.75" style="146" customWidth="1"/>
    <col min="4" max="4" width="11.25" style="146" customWidth="1"/>
    <col min="5" max="6" width="8.875" style="146"/>
    <col min="7" max="7" width="0.875" style="146" customWidth="1"/>
    <col min="8" max="8" width="8.875" style="148"/>
    <col min="9" max="9" width="11" style="148" customWidth="1"/>
    <col min="10" max="10" width="15.25" style="148" customWidth="1"/>
    <col min="11" max="11" width="8.75" style="148" customWidth="1"/>
    <col min="12" max="12" width="11" style="148" customWidth="1"/>
    <col min="13" max="13" width="11.75" style="149" customWidth="1"/>
    <col min="14" max="15" width="13.875" style="115" customWidth="1"/>
    <col min="16" max="18" width="8.875" style="115"/>
    <col min="19" max="20" width="8.875" style="120"/>
    <col min="21" max="21" width="12.125" style="120" customWidth="1"/>
    <col min="22" max="22" width="27.375" style="120" customWidth="1"/>
    <col min="23" max="38" width="8.875" style="120"/>
    <col min="39" max="16384" width="8.875" style="146"/>
  </cols>
  <sheetData>
    <row r="1" spans="1:36" x14ac:dyDescent="0.25">
      <c r="A1" s="115"/>
      <c r="B1" s="115"/>
      <c r="C1" s="115"/>
      <c r="D1" s="115"/>
      <c r="E1" s="115"/>
      <c r="F1" s="115"/>
      <c r="G1" s="115"/>
      <c r="H1" s="116" t="s">
        <v>25</v>
      </c>
      <c r="I1" s="117" t="s">
        <v>26</v>
      </c>
      <c r="J1" s="117" t="s">
        <v>27</v>
      </c>
      <c r="K1" s="118" t="s">
        <v>72</v>
      </c>
      <c r="L1" s="119"/>
      <c r="M1" s="119"/>
    </row>
    <row r="2" spans="1:36" ht="14.45" customHeight="1" x14ac:dyDescent="0.25">
      <c r="A2" s="115"/>
      <c r="B2" s="14" t="s">
        <v>29</v>
      </c>
      <c r="C2" s="239" t="s">
        <v>89</v>
      </c>
      <c r="D2" s="239"/>
      <c r="E2" s="15"/>
      <c r="F2" s="15"/>
      <c r="G2" s="15"/>
      <c r="H2" s="121">
        <v>1</v>
      </c>
      <c r="I2" s="122">
        <v>50</v>
      </c>
      <c r="J2" s="122">
        <v>10</v>
      </c>
      <c r="K2" s="123">
        <f>3*H2^(1/3)</f>
        <v>3</v>
      </c>
      <c r="L2" s="119"/>
      <c r="M2" s="119"/>
    </row>
    <row r="3" spans="1:36" ht="14.45" customHeight="1" x14ac:dyDescent="0.25">
      <c r="A3" s="115"/>
      <c r="B3" s="124" t="s">
        <v>31</v>
      </c>
      <c r="C3" s="240" t="s">
        <v>90</v>
      </c>
      <c r="D3" s="240"/>
      <c r="E3" s="20"/>
      <c r="F3" s="20"/>
      <c r="G3" s="20"/>
      <c r="H3" s="119"/>
      <c r="I3" s="119"/>
      <c r="J3" s="125"/>
      <c r="K3" s="119"/>
      <c r="L3" s="119"/>
      <c r="M3" s="119"/>
    </row>
    <row r="4" spans="1:36" ht="10.199999999999999" customHeight="1" x14ac:dyDescent="0.25">
      <c r="A4" s="22"/>
      <c r="B4" s="20"/>
      <c r="C4" s="22"/>
      <c r="D4" s="22"/>
      <c r="E4" s="22"/>
      <c r="F4" s="22"/>
      <c r="G4" s="22"/>
      <c r="H4" s="119"/>
      <c r="I4" s="119"/>
      <c r="J4" s="125"/>
      <c r="K4" s="119"/>
      <c r="L4" s="119"/>
      <c r="M4" s="119"/>
    </row>
    <row r="5" spans="1:36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126" t="s">
        <v>39</v>
      </c>
      <c r="I5" s="127" t="s">
        <v>40</v>
      </c>
      <c r="J5" s="128" t="s">
        <v>41</v>
      </c>
      <c r="K5" s="127" t="s">
        <v>42</v>
      </c>
      <c r="L5" s="127" t="s">
        <v>43</v>
      </c>
      <c r="M5" s="126" t="s">
        <v>44</v>
      </c>
      <c r="O5" s="192"/>
      <c r="P5" s="192"/>
      <c r="Q5" s="192"/>
    </row>
    <row r="6" spans="1:36" ht="14.45" customHeight="1" x14ac:dyDescent="0.25">
      <c r="A6" s="27">
        <f>M6</f>
        <v>59</v>
      </c>
      <c r="B6" s="28">
        <f t="shared" ref="B6:B13" si="0">IF(H6&gt;$H$2,"",(ROW()-5))</f>
        <v>1</v>
      </c>
      <c r="C6" s="29" t="s">
        <v>17</v>
      </c>
      <c r="D6" s="29" t="s">
        <v>68</v>
      </c>
      <c r="E6" s="29"/>
      <c r="F6" s="29"/>
      <c r="G6" s="22"/>
      <c r="H6" s="129">
        <v>1</v>
      </c>
      <c r="I6" s="130">
        <f>IF(H2=1,50,IF(H6&lt;$H$2+1,($I$2-($I$2-1)*(LOG(H6)/LOG($H$2))),""))</f>
        <v>50</v>
      </c>
      <c r="J6" s="129">
        <f>INT(LOG($H$2,2))-ROUNDUP(LOG(H6,2),0)+IF(OR($H$2=1,$H$2=2,$H$2=4,$H$2=8,$H$2=16,$H$2=32,$H$2=64,$H$2=128,$H$2=256),0,1)</f>
        <v>0</v>
      </c>
      <c r="K6" s="129">
        <f t="shared" ref="K6:K69" si="1">J6*$J$2</f>
        <v>0</v>
      </c>
      <c r="L6" s="131">
        <f>3*K2</f>
        <v>9</v>
      </c>
      <c r="M6" s="131">
        <f t="shared" ref="M6:M69" si="2">IF(I6&lt;&gt;"",K6+I6+L6,0)</f>
        <v>59</v>
      </c>
      <c r="O6" s="192"/>
      <c r="P6" s="192"/>
      <c r="Q6" s="192"/>
    </row>
    <row r="7" spans="1:36" ht="14.45" customHeight="1" x14ac:dyDescent="0.25">
      <c r="A7" s="33">
        <f t="shared" ref="A7:A37" si="3">M7</f>
        <v>0</v>
      </c>
      <c r="B7" s="34" t="str">
        <f t="shared" si="0"/>
        <v/>
      </c>
      <c r="C7" s="35"/>
      <c r="D7" s="35"/>
      <c r="E7" s="35"/>
      <c r="F7" s="35"/>
      <c r="G7" s="22"/>
      <c r="H7" s="132">
        <v>2</v>
      </c>
      <c r="I7" s="133" t="str">
        <f t="shared" ref="I7:I70" si="4">IF(H7&lt;$H$2+1,($I$2-($I$2-1)*(LOG(H7)/LOG($H$2))),"")</f>
        <v/>
      </c>
      <c r="J7" s="132">
        <f t="shared" ref="J7:J70" si="5">INT(LOG($H$2,2))-ROUNDUP(LOG(H7,2),0)+IF(OR($H$2=1,$H$2=2,$H$2=4,$H$2=8,$H$2=16,$H$2=32,$H$2=64,$H$2=128,$H$2=256),0,1)</f>
        <v>-1</v>
      </c>
      <c r="K7" s="132">
        <f t="shared" si="1"/>
        <v>-10</v>
      </c>
      <c r="L7" s="134">
        <f>2*K2</f>
        <v>6</v>
      </c>
      <c r="M7" s="134">
        <f t="shared" si="2"/>
        <v>0</v>
      </c>
      <c r="O7" s="192"/>
      <c r="P7" s="192"/>
      <c r="Q7" s="192"/>
    </row>
    <row r="8" spans="1:36" ht="14.45" customHeight="1" x14ac:dyDescent="0.25">
      <c r="A8" s="27">
        <f t="shared" si="3"/>
        <v>0</v>
      </c>
      <c r="B8" s="28" t="str">
        <f t="shared" si="0"/>
        <v/>
      </c>
      <c r="C8" s="29"/>
      <c r="D8" s="29"/>
      <c r="E8" s="29"/>
      <c r="F8" s="29"/>
      <c r="G8" s="22"/>
      <c r="H8" s="129">
        <v>3</v>
      </c>
      <c r="I8" s="130" t="str">
        <f t="shared" si="4"/>
        <v/>
      </c>
      <c r="J8" s="129">
        <f t="shared" si="5"/>
        <v>-2</v>
      </c>
      <c r="K8" s="129">
        <f t="shared" si="1"/>
        <v>-20</v>
      </c>
      <c r="L8" s="131">
        <f>K2</f>
        <v>3</v>
      </c>
      <c r="M8" s="131">
        <f t="shared" si="2"/>
        <v>0</v>
      </c>
    </row>
    <row r="9" spans="1:36" ht="14.45" customHeight="1" x14ac:dyDescent="0.25">
      <c r="A9" s="33">
        <f t="shared" si="3"/>
        <v>0</v>
      </c>
      <c r="B9" s="34" t="str">
        <f t="shared" si="0"/>
        <v/>
      </c>
      <c r="C9" s="35"/>
      <c r="D9" s="35"/>
      <c r="E9" s="35"/>
      <c r="F9" s="35"/>
      <c r="G9" s="22"/>
      <c r="H9" s="132">
        <v>4</v>
      </c>
      <c r="I9" s="133" t="str">
        <f t="shared" si="4"/>
        <v/>
      </c>
      <c r="J9" s="132">
        <f t="shared" si="5"/>
        <v>-2</v>
      </c>
      <c r="K9" s="132">
        <f t="shared" si="1"/>
        <v>-20</v>
      </c>
      <c r="L9" s="134"/>
      <c r="M9" s="134">
        <f t="shared" si="2"/>
        <v>0</v>
      </c>
      <c r="V9" s="135"/>
      <c r="Z9" s="136"/>
      <c r="AA9" s="136"/>
      <c r="AG9" s="137"/>
      <c r="AH9" s="120" t="s">
        <v>50</v>
      </c>
      <c r="AI9" s="120">
        <v>23</v>
      </c>
    </row>
    <row r="10" spans="1:36" ht="14.45" customHeight="1" x14ac:dyDescent="0.25">
      <c r="A10" s="27">
        <f t="shared" si="3"/>
        <v>0</v>
      </c>
      <c r="B10" s="28" t="str">
        <f t="shared" si="0"/>
        <v/>
      </c>
      <c r="C10" s="29"/>
      <c r="D10" s="29"/>
      <c r="E10" s="29"/>
      <c r="F10" s="29"/>
      <c r="G10" s="22"/>
      <c r="H10" s="129">
        <v>5</v>
      </c>
      <c r="I10" s="130" t="str">
        <f t="shared" si="4"/>
        <v/>
      </c>
      <c r="J10" s="129">
        <f t="shared" si="5"/>
        <v>-3</v>
      </c>
      <c r="K10" s="129">
        <f t="shared" si="1"/>
        <v>-30</v>
      </c>
      <c r="L10" s="129"/>
      <c r="M10" s="131">
        <f t="shared" si="2"/>
        <v>0</v>
      </c>
      <c r="V10" s="135"/>
      <c r="Z10" s="136"/>
      <c r="AA10" s="136"/>
      <c r="AG10" s="137"/>
      <c r="AH10" s="120" t="s">
        <v>52</v>
      </c>
      <c r="AI10" s="120">
        <v>45</v>
      </c>
    </row>
    <row r="11" spans="1:36" ht="14.45" customHeight="1" x14ac:dyDescent="0.25">
      <c r="A11" s="33">
        <f t="shared" si="3"/>
        <v>0</v>
      </c>
      <c r="B11" s="34" t="str">
        <f t="shared" si="0"/>
        <v/>
      </c>
      <c r="C11" s="35"/>
      <c r="D11" s="35"/>
      <c r="E11" s="35"/>
      <c r="F11" s="35"/>
      <c r="G11" s="22"/>
      <c r="H11" s="132">
        <v>6</v>
      </c>
      <c r="I11" s="133" t="str">
        <f t="shared" si="4"/>
        <v/>
      </c>
      <c r="J11" s="132">
        <f t="shared" si="5"/>
        <v>-3</v>
      </c>
      <c r="K11" s="132">
        <f t="shared" si="1"/>
        <v>-30</v>
      </c>
      <c r="L11" s="132"/>
      <c r="M11" s="134">
        <f t="shared" si="2"/>
        <v>0</v>
      </c>
      <c r="V11" s="138"/>
      <c r="Z11" s="136"/>
      <c r="AA11" s="136"/>
      <c r="AG11" s="137"/>
      <c r="AH11" s="120" t="s">
        <v>53</v>
      </c>
      <c r="AI11" s="120">
        <v>50</v>
      </c>
    </row>
    <row r="12" spans="1:36" ht="14.45" customHeight="1" x14ac:dyDescent="0.25">
      <c r="A12" s="27">
        <f t="shared" si="3"/>
        <v>0</v>
      </c>
      <c r="B12" s="28" t="str">
        <f t="shared" si="0"/>
        <v/>
      </c>
      <c r="C12" s="29"/>
      <c r="D12" s="29"/>
      <c r="E12" s="29"/>
      <c r="F12" s="29"/>
      <c r="G12" s="22"/>
      <c r="H12" s="129">
        <v>7</v>
      </c>
      <c r="I12" s="130" t="str">
        <f t="shared" si="4"/>
        <v/>
      </c>
      <c r="J12" s="129">
        <f t="shared" si="5"/>
        <v>-3</v>
      </c>
      <c r="K12" s="129">
        <f t="shared" si="1"/>
        <v>-30</v>
      </c>
      <c r="L12" s="129"/>
      <c r="M12" s="131">
        <f t="shared" si="2"/>
        <v>0</v>
      </c>
      <c r="Z12" s="136"/>
      <c r="AA12" s="136"/>
      <c r="AG12" s="137"/>
      <c r="AH12" s="120" t="s">
        <v>54</v>
      </c>
      <c r="AI12" s="120">
        <f>AI11-1</f>
        <v>49</v>
      </c>
    </row>
    <row r="13" spans="1:36" ht="14.45" customHeight="1" x14ac:dyDescent="0.25">
      <c r="A13" s="43">
        <f t="shared" si="3"/>
        <v>0</v>
      </c>
      <c r="B13" s="34" t="str">
        <f t="shared" si="0"/>
        <v/>
      </c>
      <c r="C13" s="35"/>
      <c r="D13" s="35"/>
      <c r="E13" s="35"/>
      <c r="F13" s="35"/>
      <c r="G13" s="22"/>
      <c r="H13" s="132">
        <v>8</v>
      </c>
      <c r="I13" s="133" t="str">
        <f t="shared" si="4"/>
        <v/>
      </c>
      <c r="J13" s="132">
        <f t="shared" si="5"/>
        <v>-3</v>
      </c>
      <c r="K13" s="132">
        <f t="shared" si="1"/>
        <v>-30</v>
      </c>
      <c r="L13" s="132"/>
      <c r="M13" s="134">
        <f t="shared" si="2"/>
        <v>0</v>
      </c>
      <c r="X13" s="135"/>
      <c r="AG13" s="137"/>
      <c r="AH13" s="120" t="s">
        <v>55</v>
      </c>
      <c r="AI13" s="120">
        <f>LOG(AI9)</f>
        <v>1.3617278360175928</v>
      </c>
    </row>
    <row r="14" spans="1:36" x14ac:dyDescent="0.25">
      <c r="A14" s="44">
        <f t="shared" si="3"/>
        <v>0</v>
      </c>
      <c r="B14" s="28" t="str">
        <f>IF(H14&gt;$H$2,"",(ROW()-5))</f>
        <v/>
      </c>
      <c r="C14" s="29"/>
      <c r="D14" s="29"/>
      <c r="E14" s="29"/>
      <c r="F14" s="29"/>
      <c r="G14" s="22"/>
      <c r="H14" s="129">
        <v>9</v>
      </c>
      <c r="I14" s="130" t="str">
        <f t="shared" si="4"/>
        <v/>
      </c>
      <c r="J14" s="129">
        <f t="shared" si="5"/>
        <v>-4</v>
      </c>
      <c r="K14" s="129">
        <f t="shared" si="1"/>
        <v>-40</v>
      </c>
      <c r="L14" s="129"/>
      <c r="M14" s="131">
        <f t="shared" si="2"/>
        <v>0</v>
      </c>
      <c r="X14" s="139"/>
      <c r="Z14" s="136"/>
      <c r="AA14" s="136"/>
      <c r="AG14" s="137"/>
      <c r="AH14" s="120" t="s">
        <v>56</v>
      </c>
      <c r="AI14" s="120">
        <f>LOG(AI10)</f>
        <v>1.6532125137753437</v>
      </c>
    </row>
    <row r="15" spans="1:36" x14ac:dyDescent="0.25">
      <c r="A15" s="43">
        <f t="shared" si="3"/>
        <v>0</v>
      </c>
      <c r="B15" s="34" t="str">
        <f t="shared" ref="B15:B65" si="6">IF(H15&gt;$H$2,"",(ROW()-5))</f>
        <v/>
      </c>
      <c r="C15" s="35"/>
      <c r="D15" s="35"/>
      <c r="E15" s="35"/>
      <c r="F15" s="35"/>
      <c r="G15" s="22"/>
      <c r="H15" s="132">
        <v>10</v>
      </c>
      <c r="I15" s="133" t="str">
        <f t="shared" si="4"/>
        <v/>
      </c>
      <c r="J15" s="132">
        <f t="shared" si="5"/>
        <v>-4</v>
      </c>
      <c r="K15" s="132">
        <f t="shared" si="1"/>
        <v>-40</v>
      </c>
      <c r="L15" s="132"/>
      <c r="M15" s="134">
        <f t="shared" si="2"/>
        <v>0</v>
      </c>
      <c r="X15" s="135"/>
      <c r="Z15" s="136"/>
      <c r="AA15" s="136"/>
    </row>
    <row r="16" spans="1:36" x14ac:dyDescent="0.25">
      <c r="A16" s="44">
        <f t="shared" si="3"/>
        <v>0</v>
      </c>
      <c r="B16" s="28" t="str">
        <f t="shared" si="6"/>
        <v/>
      </c>
      <c r="C16" s="29"/>
      <c r="D16" s="29"/>
      <c r="E16" s="29"/>
      <c r="F16" s="29"/>
      <c r="G16" s="22"/>
      <c r="H16" s="129">
        <v>11</v>
      </c>
      <c r="I16" s="130" t="str">
        <f t="shared" si="4"/>
        <v/>
      </c>
      <c r="J16" s="129">
        <f t="shared" si="5"/>
        <v>-4</v>
      </c>
      <c r="K16" s="129">
        <f t="shared" si="1"/>
        <v>-40</v>
      </c>
      <c r="L16" s="129"/>
      <c r="M16" s="131">
        <f t="shared" si="2"/>
        <v>0</v>
      </c>
      <c r="R16" s="140"/>
      <c r="Z16" s="136"/>
      <c r="AA16" s="136"/>
      <c r="AH16" s="141" t="s">
        <v>57</v>
      </c>
      <c r="AI16" s="120">
        <f>AI11-AI12*AI13/AI14</f>
        <v>9.6393909380186855</v>
      </c>
      <c r="AJ16" s="120" t="s">
        <v>58</v>
      </c>
    </row>
    <row r="17" spans="1:19" x14ac:dyDescent="0.25">
      <c r="A17" s="43">
        <f t="shared" si="3"/>
        <v>0</v>
      </c>
      <c r="B17" s="34" t="str">
        <f t="shared" si="6"/>
        <v/>
      </c>
      <c r="C17" s="35"/>
      <c r="D17" s="35"/>
      <c r="E17" s="35"/>
      <c r="F17" s="35"/>
      <c r="G17" s="22"/>
      <c r="H17" s="132">
        <v>12</v>
      </c>
      <c r="I17" s="133" t="str">
        <f t="shared" si="4"/>
        <v/>
      </c>
      <c r="J17" s="132">
        <f t="shared" si="5"/>
        <v>-4</v>
      </c>
      <c r="K17" s="132">
        <f t="shared" si="1"/>
        <v>-40</v>
      </c>
      <c r="L17" s="132"/>
      <c r="M17" s="134">
        <f t="shared" si="2"/>
        <v>0</v>
      </c>
    </row>
    <row r="18" spans="1:19" x14ac:dyDescent="0.25">
      <c r="A18" s="44">
        <f t="shared" si="3"/>
        <v>0</v>
      </c>
      <c r="B18" s="28" t="str">
        <f t="shared" si="6"/>
        <v/>
      </c>
      <c r="C18" s="29"/>
      <c r="D18" s="29"/>
      <c r="E18" s="29"/>
      <c r="F18" s="29"/>
      <c r="G18" s="22"/>
      <c r="H18" s="129">
        <v>13</v>
      </c>
      <c r="I18" s="130" t="str">
        <f t="shared" si="4"/>
        <v/>
      </c>
      <c r="J18" s="129">
        <f t="shared" si="5"/>
        <v>-4</v>
      </c>
      <c r="K18" s="129">
        <f t="shared" si="1"/>
        <v>-40</v>
      </c>
      <c r="L18" s="129"/>
      <c r="M18" s="131">
        <f t="shared" si="2"/>
        <v>0</v>
      </c>
    </row>
    <row r="19" spans="1:19" x14ac:dyDescent="0.25">
      <c r="A19" s="43">
        <f t="shared" si="3"/>
        <v>0</v>
      </c>
      <c r="B19" s="34" t="str">
        <f t="shared" si="6"/>
        <v/>
      </c>
      <c r="C19" s="35"/>
      <c r="D19" s="35"/>
      <c r="E19" s="35"/>
      <c r="F19" s="35"/>
      <c r="G19" s="22"/>
      <c r="H19" s="132">
        <v>14</v>
      </c>
      <c r="I19" s="133" t="str">
        <f t="shared" si="4"/>
        <v/>
      </c>
      <c r="J19" s="132">
        <f t="shared" si="5"/>
        <v>-4</v>
      </c>
      <c r="K19" s="132">
        <f t="shared" si="1"/>
        <v>-40</v>
      </c>
      <c r="L19" s="132"/>
      <c r="M19" s="134">
        <f t="shared" si="2"/>
        <v>0</v>
      </c>
    </row>
    <row r="20" spans="1:19" x14ac:dyDescent="0.25">
      <c r="A20" s="44">
        <f t="shared" si="3"/>
        <v>0</v>
      </c>
      <c r="B20" s="28" t="str">
        <f t="shared" si="6"/>
        <v/>
      </c>
      <c r="C20" s="29"/>
      <c r="D20" s="29"/>
      <c r="E20" s="29"/>
      <c r="F20" s="29"/>
      <c r="G20" s="22"/>
      <c r="H20" s="129">
        <v>15</v>
      </c>
      <c r="I20" s="130" t="str">
        <f t="shared" si="4"/>
        <v/>
      </c>
      <c r="J20" s="129">
        <f t="shared" si="5"/>
        <v>-4</v>
      </c>
      <c r="K20" s="129">
        <f t="shared" si="1"/>
        <v>-40</v>
      </c>
      <c r="L20" s="129"/>
      <c r="M20" s="131">
        <f t="shared" si="2"/>
        <v>0</v>
      </c>
      <c r="R20" s="142"/>
      <c r="S20" s="143"/>
    </row>
    <row r="21" spans="1:19" x14ac:dyDescent="0.25">
      <c r="A21" s="43">
        <f t="shared" si="3"/>
        <v>0</v>
      </c>
      <c r="B21" s="34" t="str">
        <f t="shared" si="6"/>
        <v/>
      </c>
      <c r="C21" s="35"/>
      <c r="D21" s="35"/>
      <c r="E21" s="35"/>
      <c r="F21" s="35"/>
      <c r="G21" s="22"/>
      <c r="H21" s="132">
        <v>16</v>
      </c>
      <c r="I21" s="133" t="str">
        <f t="shared" si="4"/>
        <v/>
      </c>
      <c r="J21" s="132">
        <f t="shared" si="5"/>
        <v>-4</v>
      </c>
      <c r="K21" s="132">
        <f t="shared" si="1"/>
        <v>-40</v>
      </c>
      <c r="L21" s="132"/>
      <c r="M21" s="134">
        <f t="shared" si="2"/>
        <v>0</v>
      </c>
    </row>
    <row r="22" spans="1:19" x14ac:dyDescent="0.25">
      <c r="A22" s="44">
        <f t="shared" si="3"/>
        <v>0</v>
      </c>
      <c r="B22" s="28" t="str">
        <f t="shared" si="6"/>
        <v/>
      </c>
      <c r="C22" s="29"/>
      <c r="D22" s="29"/>
      <c r="E22" s="29"/>
      <c r="F22" s="29"/>
      <c r="G22" s="22"/>
      <c r="H22" s="129">
        <v>17</v>
      </c>
      <c r="I22" s="130" t="str">
        <f t="shared" si="4"/>
        <v/>
      </c>
      <c r="J22" s="129">
        <f t="shared" si="5"/>
        <v>-5</v>
      </c>
      <c r="K22" s="129">
        <f t="shared" si="1"/>
        <v>-50</v>
      </c>
      <c r="L22" s="129"/>
      <c r="M22" s="131">
        <f t="shared" si="2"/>
        <v>0</v>
      </c>
    </row>
    <row r="23" spans="1:19" x14ac:dyDescent="0.25">
      <c r="A23" s="43">
        <f t="shared" si="3"/>
        <v>0</v>
      </c>
      <c r="B23" s="34" t="str">
        <f t="shared" si="6"/>
        <v/>
      </c>
      <c r="C23" s="35"/>
      <c r="D23" s="35"/>
      <c r="E23" s="35"/>
      <c r="F23" s="35"/>
      <c r="G23" s="22"/>
      <c r="H23" s="132">
        <v>18</v>
      </c>
      <c r="I23" s="133" t="str">
        <f t="shared" si="4"/>
        <v/>
      </c>
      <c r="J23" s="132">
        <f t="shared" si="5"/>
        <v>-5</v>
      </c>
      <c r="K23" s="132">
        <f t="shared" si="1"/>
        <v>-50</v>
      </c>
      <c r="L23" s="132"/>
      <c r="M23" s="134">
        <f t="shared" si="2"/>
        <v>0</v>
      </c>
    </row>
    <row r="24" spans="1:19" x14ac:dyDescent="0.25">
      <c r="A24" s="44">
        <f t="shared" si="3"/>
        <v>0</v>
      </c>
      <c r="B24" s="28" t="str">
        <f t="shared" si="6"/>
        <v/>
      </c>
      <c r="C24" s="29"/>
      <c r="D24" s="29"/>
      <c r="E24" s="29"/>
      <c r="F24" s="29"/>
      <c r="G24" s="22"/>
      <c r="H24" s="129">
        <v>19</v>
      </c>
      <c r="I24" s="130" t="str">
        <f t="shared" si="4"/>
        <v/>
      </c>
      <c r="J24" s="129">
        <f t="shared" si="5"/>
        <v>-5</v>
      </c>
      <c r="K24" s="129">
        <f t="shared" si="1"/>
        <v>-50</v>
      </c>
      <c r="L24" s="129"/>
      <c r="M24" s="131">
        <f t="shared" si="2"/>
        <v>0</v>
      </c>
      <c r="R24" s="142"/>
      <c r="S24" s="143"/>
    </row>
    <row r="25" spans="1:19" x14ac:dyDescent="0.25">
      <c r="A25" s="43">
        <f t="shared" si="3"/>
        <v>0</v>
      </c>
      <c r="B25" s="34" t="str">
        <f t="shared" si="6"/>
        <v/>
      </c>
      <c r="C25" s="35"/>
      <c r="D25" s="35"/>
      <c r="E25" s="35"/>
      <c r="F25" s="35"/>
      <c r="G25" s="22"/>
      <c r="H25" s="132">
        <v>20</v>
      </c>
      <c r="I25" s="133" t="str">
        <f t="shared" si="4"/>
        <v/>
      </c>
      <c r="J25" s="132">
        <f t="shared" si="5"/>
        <v>-5</v>
      </c>
      <c r="K25" s="132">
        <f t="shared" si="1"/>
        <v>-50</v>
      </c>
      <c r="L25" s="132"/>
      <c r="M25" s="134">
        <f t="shared" si="2"/>
        <v>0</v>
      </c>
    </row>
    <row r="26" spans="1:19" x14ac:dyDescent="0.25">
      <c r="A26" s="44">
        <f t="shared" si="3"/>
        <v>0</v>
      </c>
      <c r="B26" s="28" t="str">
        <f t="shared" si="6"/>
        <v/>
      </c>
      <c r="C26" s="29"/>
      <c r="D26" s="29"/>
      <c r="E26" s="29"/>
      <c r="F26" s="29"/>
      <c r="G26" s="22"/>
      <c r="H26" s="129">
        <v>21</v>
      </c>
      <c r="I26" s="130" t="str">
        <f t="shared" si="4"/>
        <v/>
      </c>
      <c r="J26" s="129">
        <f t="shared" si="5"/>
        <v>-5</v>
      </c>
      <c r="K26" s="129">
        <f t="shared" si="1"/>
        <v>-50</v>
      </c>
      <c r="L26" s="129"/>
      <c r="M26" s="131">
        <f t="shared" si="2"/>
        <v>0</v>
      </c>
    </row>
    <row r="27" spans="1:19" x14ac:dyDescent="0.25">
      <c r="A27" s="43">
        <f t="shared" si="3"/>
        <v>0</v>
      </c>
      <c r="B27" s="34" t="str">
        <f t="shared" si="6"/>
        <v/>
      </c>
      <c r="C27" s="35"/>
      <c r="D27" s="35"/>
      <c r="E27" s="35"/>
      <c r="F27" s="35"/>
      <c r="G27" s="22"/>
      <c r="H27" s="132">
        <v>22</v>
      </c>
      <c r="I27" s="133" t="str">
        <f t="shared" si="4"/>
        <v/>
      </c>
      <c r="J27" s="132">
        <f t="shared" si="5"/>
        <v>-5</v>
      </c>
      <c r="K27" s="132">
        <f t="shared" si="1"/>
        <v>-50</v>
      </c>
      <c r="L27" s="132"/>
      <c r="M27" s="134">
        <f t="shared" si="2"/>
        <v>0</v>
      </c>
    </row>
    <row r="28" spans="1:19" x14ac:dyDescent="0.25">
      <c r="A28" s="44">
        <f t="shared" si="3"/>
        <v>0</v>
      </c>
      <c r="B28" s="28" t="str">
        <f t="shared" si="6"/>
        <v/>
      </c>
      <c r="C28" s="29"/>
      <c r="D28" s="29"/>
      <c r="E28" s="29"/>
      <c r="F28" s="29"/>
      <c r="G28" s="22"/>
      <c r="H28" s="129">
        <v>23</v>
      </c>
      <c r="I28" s="130" t="str">
        <f t="shared" si="4"/>
        <v/>
      </c>
      <c r="J28" s="129">
        <f t="shared" si="5"/>
        <v>-5</v>
      </c>
      <c r="K28" s="129">
        <f t="shared" si="1"/>
        <v>-50</v>
      </c>
      <c r="L28" s="129"/>
      <c r="M28" s="131">
        <f t="shared" si="2"/>
        <v>0</v>
      </c>
      <c r="R28" s="142"/>
      <c r="S28" s="143"/>
    </row>
    <row r="29" spans="1:19" x14ac:dyDescent="0.25">
      <c r="A29" s="43">
        <f t="shared" si="3"/>
        <v>0</v>
      </c>
      <c r="B29" s="34" t="str">
        <f t="shared" si="6"/>
        <v/>
      </c>
      <c r="C29" s="35"/>
      <c r="D29" s="35"/>
      <c r="E29" s="35"/>
      <c r="F29" s="35"/>
      <c r="G29" s="115"/>
      <c r="H29" s="132">
        <v>24</v>
      </c>
      <c r="I29" s="133" t="str">
        <f t="shared" si="4"/>
        <v/>
      </c>
      <c r="J29" s="132">
        <f t="shared" si="5"/>
        <v>-5</v>
      </c>
      <c r="K29" s="132">
        <f t="shared" si="1"/>
        <v>-50</v>
      </c>
      <c r="L29" s="132"/>
      <c r="M29" s="134">
        <f t="shared" si="2"/>
        <v>0</v>
      </c>
    </row>
    <row r="30" spans="1:19" x14ac:dyDescent="0.25">
      <c r="A30" s="44">
        <f t="shared" si="3"/>
        <v>0</v>
      </c>
      <c r="B30" s="28" t="str">
        <f t="shared" si="6"/>
        <v/>
      </c>
      <c r="C30" s="29"/>
      <c r="D30" s="29"/>
      <c r="E30" s="29"/>
      <c r="F30" s="29"/>
      <c r="G30" s="115"/>
      <c r="H30" s="129">
        <v>25</v>
      </c>
      <c r="I30" s="130" t="str">
        <f t="shared" si="4"/>
        <v/>
      </c>
      <c r="J30" s="129">
        <f t="shared" si="5"/>
        <v>-5</v>
      </c>
      <c r="K30" s="129">
        <f t="shared" si="1"/>
        <v>-50</v>
      </c>
      <c r="L30" s="129"/>
      <c r="M30" s="131">
        <f t="shared" si="2"/>
        <v>0</v>
      </c>
    </row>
    <row r="31" spans="1:19" x14ac:dyDescent="0.25">
      <c r="A31" s="43">
        <f t="shared" si="3"/>
        <v>0</v>
      </c>
      <c r="B31" s="34" t="str">
        <f t="shared" si="6"/>
        <v/>
      </c>
      <c r="C31" s="35"/>
      <c r="D31" s="35"/>
      <c r="E31" s="35"/>
      <c r="F31" s="35"/>
      <c r="G31" s="115"/>
      <c r="H31" s="132">
        <v>26</v>
      </c>
      <c r="I31" s="133" t="str">
        <f t="shared" si="4"/>
        <v/>
      </c>
      <c r="J31" s="132">
        <f t="shared" si="5"/>
        <v>-5</v>
      </c>
      <c r="K31" s="132">
        <f t="shared" si="1"/>
        <v>-50</v>
      </c>
      <c r="L31" s="132"/>
      <c r="M31" s="134">
        <f t="shared" si="2"/>
        <v>0</v>
      </c>
    </row>
    <row r="32" spans="1:19" x14ac:dyDescent="0.25">
      <c r="A32" s="44">
        <f t="shared" si="3"/>
        <v>0</v>
      </c>
      <c r="B32" s="28" t="str">
        <f t="shared" si="6"/>
        <v/>
      </c>
      <c r="C32" s="29"/>
      <c r="D32" s="29"/>
      <c r="E32" s="29"/>
      <c r="F32" s="29"/>
      <c r="G32" s="115"/>
      <c r="H32" s="129">
        <v>27</v>
      </c>
      <c r="I32" s="130" t="str">
        <f t="shared" si="4"/>
        <v/>
      </c>
      <c r="J32" s="129">
        <f t="shared" si="5"/>
        <v>-5</v>
      </c>
      <c r="K32" s="129">
        <f t="shared" si="1"/>
        <v>-50</v>
      </c>
      <c r="L32" s="129"/>
      <c r="M32" s="131">
        <f t="shared" si="2"/>
        <v>0</v>
      </c>
      <c r="R32" s="142"/>
      <c r="S32" s="143"/>
    </row>
    <row r="33" spans="1:21" x14ac:dyDescent="0.25">
      <c r="A33" s="43">
        <f t="shared" si="3"/>
        <v>0</v>
      </c>
      <c r="B33" s="34" t="str">
        <f t="shared" si="6"/>
        <v/>
      </c>
      <c r="C33" s="35"/>
      <c r="D33" s="35"/>
      <c r="E33" s="35"/>
      <c r="F33" s="35"/>
      <c r="G33" s="115"/>
      <c r="H33" s="132">
        <v>28</v>
      </c>
      <c r="I33" s="133" t="str">
        <f t="shared" si="4"/>
        <v/>
      </c>
      <c r="J33" s="132">
        <f t="shared" si="5"/>
        <v>-5</v>
      </c>
      <c r="K33" s="132">
        <f t="shared" si="1"/>
        <v>-50</v>
      </c>
      <c r="L33" s="132"/>
      <c r="M33" s="134">
        <f t="shared" si="2"/>
        <v>0</v>
      </c>
    </row>
    <row r="34" spans="1:21" x14ac:dyDescent="0.25">
      <c r="A34" s="44">
        <f t="shared" si="3"/>
        <v>0</v>
      </c>
      <c r="B34" s="28" t="str">
        <f t="shared" si="6"/>
        <v/>
      </c>
      <c r="C34" s="29"/>
      <c r="D34" s="29"/>
      <c r="E34" s="29"/>
      <c r="F34" s="29"/>
      <c r="G34" s="115"/>
      <c r="H34" s="129">
        <v>29</v>
      </c>
      <c r="I34" s="130" t="str">
        <f t="shared" si="4"/>
        <v/>
      </c>
      <c r="J34" s="129">
        <f t="shared" si="5"/>
        <v>-5</v>
      </c>
      <c r="K34" s="129">
        <f t="shared" si="1"/>
        <v>-50</v>
      </c>
      <c r="L34" s="129"/>
      <c r="M34" s="131">
        <f t="shared" si="2"/>
        <v>0</v>
      </c>
    </row>
    <row r="35" spans="1:21" x14ac:dyDescent="0.25">
      <c r="A35" s="43">
        <f t="shared" si="3"/>
        <v>0</v>
      </c>
      <c r="B35" s="34" t="str">
        <f t="shared" si="6"/>
        <v/>
      </c>
      <c r="C35" s="35"/>
      <c r="D35" s="35"/>
      <c r="E35" s="35"/>
      <c r="F35" s="35"/>
      <c r="G35" s="115"/>
      <c r="H35" s="132">
        <v>30</v>
      </c>
      <c r="I35" s="133" t="str">
        <f t="shared" si="4"/>
        <v/>
      </c>
      <c r="J35" s="132">
        <f t="shared" si="5"/>
        <v>-5</v>
      </c>
      <c r="K35" s="132">
        <f t="shared" si="1"/>
        <v>-50</v>
      </c>
      <c r="L35" s="132"/>
      <c r="M35" s="134">
        <f t="shared" si="2"/>
        <v>0</v>
      </c>
    </row>
    <row r="36" spans="1:21" x14ac:dyDescent="0.25">
      <c r="A36" s="44">
        <f t="shared" si="3"/>
        <v>0</v>
      </c>
      <c r="B36" s="28" t="str">
        <f t="shared" si="6"/>
        <v/>
      </c>
      <c r="C36" s="29"/>
      <c r="D36" s="29"/>
      <c r="E36" s="29"/>
      <c r="F36" s="29"/>
      <c r="G36" s="115"/>
      <c r="H36" s="129">
        <v>31</v>
      </c>
      <c r="I36" s="130" t="str">
        <f t="shared" si="4"/>
        <v/>
      </c>
      <c r="J36" s="129">
        <f t="shared" si="5"/>
        <v>-5</v>
      </c>
      <c r="K36" s="129">
        <f t="shared" si="1"/>
        <v>-50</v>
      </c>
      <c r="L36" s="129"/>
      <c r="M36" s="131">
        <f t="shared" si="2"/>
        <v>0</v>
      </c>
      <c r="R36" s="142"/>
      <c r="S36" s="143"/>
    </row>
    <row r="37" spans="1:21" x14ac:dyDescent="0.25">
      <c r="A37" s="43">
        <f t="shared" si="3"/>
        <v>0</v>
      </c>
      <c r="B37" s="34" t="str">
        <f t="shared" si="6"/>
        <v/>
      </c>
      <c r="C37" s="35"/>
      <c r="D37" s="35"/>
      <c r="E37" s="35"/>
      <c r="F37" s="35"/>
      <c r="G37" s="115"/>
      <c r="H37" s="132">
        <v>32</v>
      </c>
      <c r="I37" s="133" t="str">
        <f t="shared" si="4"/>
        <v/>
      </c>
      <c r="J37" s="132">
        <f t="shared" si="5"/>
        <v>-5</v>
      </c>
      <c r="K37" s="132">
        <f t="shared" si="1"/>
        <v>-50</v>
      </c>
      <c r="L37" s="132"/>
      <c r="M37" s="134">
        <f t="shared" si="2"/>
        <v>0</v>
      </c>
    </row>
    <row r="38" spans="1:21" x14ac:dyDescent="0.25">
      <c r="A38" s="44"/>
      <c r="B38" s="28" t="str">
        <f t="shared" si="6"/>
        <v/>
      </c>
      <c r="C38" s="29"/>
      <c r="D38" s="29"/>
      <c r="E38" s="29"/>
      <c r="F38" s="29"/>
      <c r="G38" s="115"/>
      <c r="H38" s="129">
        <v>33</v>
      </c>
      <c r="I38" s="130" t="str">
        <f t="shared" si="4"/>
        <v/>
      </c>
      <c r="J38" s="129">
        <f t="shared" si="5"/>
        <v>-6</v>
      </c>
      <c r="K38" s="129">
        <f t="shared" si="1"/>
        <v>-60</v>
      </c>
      <c r="L38" s="129"/>
      <c r="M38" s="131">
        <f t="shared" si="2"/>
        <v>0</v>
      </c>
    </row>
    <row r="39" spans="1:21" x14ac:dyDescent="0.25">
      <c r="A39" s="43"/>
      <c r="B39" s="34" t="str">
        <f t="shared" si="6"/>
        <v/>
      </c>
      <c r="C39" s="35"/>
      <c r="D39" s="35"/>
      <c r="E39" s="35"/>
      <c r="F39" s="35"/>
      <c r="G39" s="115"/>
      <c r="H39" s="132">
        <v>34</v>
      </c>
      <c r="I39" s="133" t="str">
        <f t="shared" si="4"/>
        <v/>
      </c>
      <c r="J39" s="132">
        <f t="shared" si="5"/>
        <v>-6</v>
      </c>
      <c r="K39" s="132">
        <f t="shared" si="1"/>
        <v>-60</v>
      </c>
      <c r="L39" s="132"/>
      <c r="M39" s="134">
        <f t="shared" si="2"/>
        <v>0</v>
      </c>
    </row>
    <row r="40" spans="1:21" x14ac:dyDescent="0.25">
      <c r="A40" s="44"/>
      <c r="B40" s="28" t="str">
        <f t="shared" si="6"/>
        <v/>
      </c>
      <c r="C40" s="29"/>
      <c r="D40" s="29"/>
      <c r="E40" s="29"/>
      <c r="F40" s="29"/>
      <c r="G40" s="115"/>
      <c r="H40" s="129">
        <v>35</v>
      </c>
      <c r="I40" s="130" t="str">
        <f t="shared" si="4"/>
        <v/>
      </c>
      <c r="J40" s="129">
        <f t="shared" si="5"/>
        <v>-6</v>
      </c>
      <c r="K40" s="129">
        <f t="shared" si="1"/>
        <v>-60</v>
      </c>
      <c r="L40" s="129"/>
      <c r="M40" s="131">
        <f t="shared" si="2"/>
        <v>0</v>
      </c>
    </row>
    <row r="41" spans="1:21" x14ac:dyDescent="0.25">
      <c r="A41" s="43"/>
      <c r="B41" s="34" t="str">
        <f t="shared" si="6"/>
        <v/>
      </c>
      <c r="C41" s="35"/>
      <c r="D41" s="35"/>
      <c r="E41" s="35"/>
      <c r="F41" s="35"/>
      <c r="G41" s="115"/>
      <c r="H41" s="132">
        <v>36</v>
      </c>
      <c r="I41" s="133" t="str">
        <f t="shared" si="4"/>
        <v/>
      </c>
      <c r="J41" s="132">
        <f t="shared" si="5"/>
        <v>-6</v>
      </c>
      <c r="K41" s="132">
        <f t="shared" si="1"/>
        <v>-60</v>
      </c>
      <c r="L41" s="132"/>
      <c r="M41" s="134">
        <f t="shared" si="2"/>
        <v>0</v>
      </c>
      <c r="S41" s="144"/>
    </row>
    <row r="42" spans="1:21" x14ac:dyDescent="0.25">
      <c r="A42" s="44"/>
      <c r="B42" s="28" t="str">
        <f t="shared" si="6"/>
        <v/>
      </c>
      <c r="C42" s="29"/>
      <c r="D42" s="29"/>
      <c r="E42" s="29"/>
      <c r="F42" s="29"/>
      <c r="G42" s="115"/>
      <c r="H42" s="129">
        <v>37</v>
      </c>
      <c r="I42" s="130" t="str">
        <f t="shared" si="4"/>
        <v/>
      </c>
      <c r="J42" s="129">
        <f t="shared" si="5"/>
        <v>-6</v>
      </c>
      <c r="K42" s="129">
        <f t="shared" si="1"/>
        <v>-60</v>
      </c>
      <c r="L42" s="129"/>
      <c r="M42" s="131">
        <f t="shared" si="2"/>
        <v>0</v>
      </c>
    </row>
    <row r="43" spans="1:21" x14ac:dyDescent="0.25">
      <c r="A43" s="43"/>
      <c r="B43" s="34" t="str">
        <f t="shared" si="6"/>
        <v/>
      </c>
      <c r="C43" s="35"/>
      <c r="D43" s="35"/>
      <c r="E43" s="35"/>
      <c r="F43" s="35"/>
      <c r="G43" s="115"/>
      <c r="H43" s="132">
        <v>38</v>
      </c>
      <c r="I43" s="133" t="str">
        <f t="shared" si="4"/>
        <v/>
      </c>
      <c r="J43" s="132">
        <f t="shared" si="5"/>
        <v>-6</v>
      </c>
      <c r="K43" s="132">
        <f t="shared" si="1"/>
        <v>-60</v>
      </c>
      <c r="L43" s="132"/>
      <c r="M43" s="134">
        <f t="shared" si="2"/>
        <v>0</v>
      </c>
    </row>
    <row r="44" spans="1:21" x14ac:dyDescent="0.25">
      <c r="A44" s="44"/>
      <c r="B44" s="28" t="str">
        <f t="shared" si="6"/>
        <v/>
      </c>
      <c r="C44" s="29"/>
      <c r="D44" s="29"/>
      <c r="E44" s="29"/>
      <c r="F44" s="29"/>
      <c r="G44" s="115"/>
      <c r="H44" s="129">
        <v>39</v>
      </c>
      <c r="I44" s="130" t="str">
        <f t="shared" si="4"/>
        <v/>
      </c>
      <c r="J44" s="129">
        <f t="shared" si="5"/>
        <v>-6</v>
      </c>
      <c r="K44" s="129">
        <f t="shared" si="1"/>
        <v>-60</v>
      </c>
      <c r="L44" s="129"/>
      <c r="M44" s="131">
        <f t="shared" si="2"/>
        <v>0</v>
      </c>
    </row>
    <row r="45" spans="1:21" x14ac:dyDescent="0.25">
      <c r="A45" s="43"/>
      <c r="B45" s="34" t="str">
        <f t="shared" si="6"/>
        <v/>
      </c>
      <c r="C45" s="35"/>
      <c r="D45" s="35"/>
      <c r="E45" s="35"/>
      <c r="F45" s="35"/>
      <c r="G45" s="115"/>
      <c r="H45" s="132">
        <v>40</v>
      </c>
      <c r="I45" s="133" t="str">
        <f t="shared" si="4"/>
        <v/>
      </c>
      <c r="J45" s="132">
        <f t="shared" si="5"/>
        <v>-6</v>
      </c>
      <c r="K45" s="132">
        <f t="shared" si="1"/>
        <v>-60</v>
      </c>
      <c r="L45" s="132"/>
      <c r="M45" s="134">
        <f t="shared" si="2"/>
        <v>0</v>
      </c>
    </row>
    <row r="46" spans="1:21" x14ac:dyDescent="0.25">
      <c r="A46" s="44"/>
      <c r="B46" s="28" t="str">
        <f t="shared" si="6"/>
        <v/>
      </c>
      <c r="C46" s="29"/>
      <c r="D46" s="29"/>
      <c r="E46" s="29"/>
      <c r="F46" s="29"/>
      <c r="G46" s="115"/>
      <c r="H46" s="129">
        <v>41</v>
      </c>
      <c r="I46" s="130" t="str">
        <f t="shared" si="4"/>
        <v/>
      </c>
      <c r="J46" s="129">
        <f t="shared" si="5"/>
        <v>-6</v>
      </c>
      <c r="K46" s="129">
        <f t="shared" si="1"/>
        <v>-60</v>
      </c>
      <c r="L46" s="129"/>
      <c r="M46" s="131">
        <f t="shared" si="2"/>
        <v>0</v>
      </c>
      <c r="R46" s="115">
        <f>LOG($H$2,2)</f>
        <v>0</v>
      </c>
      <c r="T46" s="120">
        <f>LOG(H38,2)</f>
        <v>5.0443941193584534</v>
      </c>
      <c r="U46" s="120">
        <f>R46-T46</f>
        <v>-5.0443941193584534</v>
      </c>
    </row>
    <row r="47" spans="1:21" x14ac:dyDescent="0.25">
      <c r="A47" s="43"/>
      <c r="B47" s="34" t="str">
        <f t="shared" si="6"/>
        <v/>
      </c>
      <c r="C47" s="35"/>
      <c r="D47" s="35"/>
      <c r="E47" s="35"/>
      <c r="F47" s="35"/>
      <c r="G47" s="115"/>
      <c r="H47" s="132">
        <v>42</v>
      </c>
      <c r="I47" s="133" t="str">
        <f t="shared" si="4"/>
        <v/>
      </c>
      <c r="J47" s="132">
        <f t="shared" si="5"/>
        <v>-6</v>
      </c>
      <c r="K47" s="132">
        <f t="shared" si="1"/>
        <v>-60</v>
      </c>
      <c r="L47" s="132"/>
      <c r="M47" s="134">
        <f t="shared" si="2"/>
        <v>0</v>
      </c>
    </row>
    <row r="48" spans="1:21" x14ac:dyDescent="0.25">
      <c r="A48" s="44"/>
      <c r="B48" s="28" t="str">
        <f t="shared" si="6"/>
        <v/>
      </c>
      <c r="C48" s="29"/>
      <c r="D48" s="29"/>
      <c r="E48" s="29"/>
      <c r="F48" s="29"/>
      <c r="G48" s="115"/>
      <c r="H48" s="129">
        <v>43</v>
      </c>
      <c r="I48" s="130" t="str">
        <f t="shared" si="4"/>
        <v/>
      </c>
      <c r="J48" s="129">
        <f t="shared" si="5"/>
        <v>-6</v>
      </c>
      <c r="K48" s="129">
        <f t="shared" si="1"/>
        <v>-60</v>
      </c>
      <c r="L48" s="129"/>
      <c r="M48" s="131">
        <f t="shared" si="2"/>
        <v>0</v>
      </c>
    </row>
    <row r="49" spans="1:13" x14ac:dyDescent="0.25">
      <c r="A49" s="43"/>
      <c r="B49" s="34" t="str">
        <f t="shared" si="6"/>
        <v/>
      </c>
      <c r="C49" s="35"/>
      <c r="D49" s="35"/>
      <c r="E49" s="35"/>
      <c r="F49" s="35"/>
      <c r="G49" s="115"/>
      <c r="H49" s="132">
        <v>44</v>
      </c>
      <c r="I49" s="133" t="str">
        <f t="shared" si="4"/>
        <v/>
      </c>
      <c r="J49" s="132">
        <f t="shared" si="5"/>
        <v>-6</v>
      </c>
      <c r="K49" s="132">
        <f t="shared" si="1"/>
        <v>-60</v>
      </c>
      <c r="L49" s="132"/>
      <c r="M49" s="134">
        <f t="shared" si="2"/>
        <v>0</v>
      </c>
    </row>
    <row r="50" spans="1:13" x14ac:dyDescent="0.25">
      <c r="A50" s="44"/>
      <c r="B50" s="28" t="str">
        <f t="shared" si="6"/>
        <v/>
      </c>
      <c r="C50" s="29"/>
      <c r="D50" s="29"/>
      <c r="E50" s="29"/>
      <c r="F50" s="29"/>
      <c r="G50" s="115"/>
      <c r="H50" s="129">
        <v>45</v>
      </c>
      <c r="I50" s="130" t="str">
        <f t="shared" si="4"/>
        <v/>
      </c>
      <c r="J50" s="129">
        <f t="shared" si="5"/>
        <v>-6</v>
      </c>
      <c r="K50" s="129">
        <f t="shared" si="1"/>
        <v>-60</v>
      </c>
      <c r="L50" s="129"/>
      <c r="M50" s="131">
        <f t="shared" si="2"/>
        <v>0</v>
      </c>
    </row>
    <row r="51" spans="1:13" x14ac:dyDescent="0.25">
      <c r="A51" s="43"/>
      <c r="B51" s="34" t="str">
        <f t="shared" si="6"/>
        <v/>
      </c>
      <c r="C51" s="35"/>
      <c r="D51" s="35"/>
      <c r="E51" s="35"/>
      <c r="F51" s="35"/>
      <c r="G51" s="115"/>
      <c r="H51" s="132">
        <v>46</v>
      </c>
      <c r="I51" s="133" t="str">
        <f t="shared" si="4"/>
        <v/>
      </c>
      <c r="J51" s="132">
        <f t="shared" si="5"/>
        <v>-6</v>
      </c>
      <c r="K51" s="132">
        <f t="shared" si="1"/>
        <v>-60</v>
      </c>
      <c r="L51" s="132"/>
      <c r="M51" s="134">
        <f t="shared" si="2"/>
        <v>0</v>
      </c>
    </row>
    <row r="52" spans="1:13" x14ac:dyDescent="0.25">
      <c r="A52" s="44"/>
      <c r="B52" s="28" t="str">
        <f t="shared" si="6"/>
        <v/>
      </c>
      <c r="C52" s="29"/>
      <c r="D52" s="29"/>
      <c r="E52" s="29"/>
      <c r="F52" s="29"/>
      <c r="G52" s="115"/>
      <c r="H52" s="129">
        <v>47</v>
      </c>
      <c r="I52" s="130" t="str">
        <f t="shared" si="4"/>
        <v/>
      </c>
      <c r="J52" s="129">
        <f t="shared" si="5"/>
        <v>-6</v>
      </c>
      <c r="K52" s="129">
        <f t="shared" si="1"/>
        <v>-60</v>
      </c>
      <c r="L52" s="129"/>
      <c r="M52" s="131">
        <f t="shared" si="2"/>
        <v>0</v>
      </c>
    </row>
    <row r="53" spans="1:13" x14ac:dyDescent="0.25">
      <c r="A53" s="43"/>
      <c r="B53" s="34" t="str">
        <f t="shared" si="6"/>
        <v/>
      </c>
      <c r="C53" s="35"/>
      <c r="D53" s="35"/>
      <c r="E53" s="35"/>
      <c r="F53" s="35"/>
      <c r="G53" s="115"/>
      <c r="H53" s="132">
        <v>48</v>
      </c>
      <c r="I53" s="133" t="str">
        <f t="shared" si="4"/>
        <v/>
      </c>
      <c r="J53" s="132">
        <f t="shared" si="5"/>
        <v>-6</v>
      </c>
      <c r="K53" s="132">
        <f t="shared" si="1"/>
        <v>-60</v>
      </c>
      <c r="L53" s="132"/>
      <c r="M53" s="134">
        <f t="shared" si="2"/>
        <v>0</v>
      </c>
    </row>
    <row r="54" spans="1:13" x14ac:dyDescent="0.25">
      <c r="A54" s="44"/>
      <c r="B54" s="28" t="str">
        <f t="shared" si="6"/>
        <v/>
      </c>
      <c r="C54" s="29"/>
      <c r="D54" s="29"/>
      <c r="E54" s="29"/>
      <c r="F54" s="29"/>
      <c r="G54" s="115"/>
      <c r="H54" s="129">
        <v>49</v>
      </c>
      <c r="I54" s="130" t="str">
        <f t="shared" si="4"/>
        <v/>
      </c>
      <c r="J54" s="129">
        <f t="shared" si="5"/>
        <v>-6</v>
      </c>
      <c r="K54" s="129">
        <f t="shared" si="1"/>
        <v>-60</v>
      </c>
      <c r="L54" s="129"/>
      <c r="M54" s="131">
        <f t="shared" si="2"/>
        <v>0</v>
      </c>
    </row>
    <row r="55" spans="1:13" x14ac:dyDescent="0.25">
      <c r="A55" s="43"/>
      <c r="B55" s="34" t="str">
        <f t="shared" si="6"/>
        <v/>
      </c>
      <c r="C55" s="35"/>
      <c r="D55" s="35"/>
      <c r="E55" s="35"/>
      <c r="F55" s="35"/>
      <c r="G55" s="115"/>
      <c r="H55" s="132">
        <v>50</v>
      </c>
      <c r="I55" s="133" t="str">
        <f t="shared" si="4"/>
        <v/>
      </c>
      <c r="J55" s="132">
        <f t="shared" si="5"/>
        <v>-6</v>
      </c>
      <c r="K55" s="132">
        <f t="shared" si="1"/>
        <v>-60</v>
      </c>
      <c r="L55" s="132"/>
      <c r="M55" s="134">
        <f t="shared" si="2"/>
        <v>0</v>
      </c>
    </row>
    <row r="56" spans="1:13" x14ac:dyDescent="0.25">
      <c r="A56" s="44"/>
      <c r="B56" s="28" t="str">
        <f t="shared" si="6"/>
        <v/>
      </c>
      <c r="C56" s="29"/>
      <c r="D56" s="29"/>
      <c r="E56" s="29"/>
      <c r="F56" s="29"/>
      <c r="G56" s="115"/>
      <c r="H56" s="129">
        <v>51</v>
      </c>
      <c r="I56" s="130" t="str">
        <f t="shared" si="4"/>
        <v/>
      </c>
      <c r="J56" s="129">
        <f t="shared" si="5"/>
        <v>-6</v>
      </c>
      <c r="K56" s="129">
        <f t="shared" si="1"/>
        <v>-60</v>
      </c>
      <c r="L56" s="129"/>
      <c r="M56" s="131">
        <f t="shared" si="2"/>
        <v>0</v>
      </c>
    </row>
    <row r="57" spans="1:13" x14ac:dyDescent="0.25">
      <c r="A57" s="43"/>
      <c r="B57" s="34" t="str">
        <f t="shared" si="6"/>
        <v/>
      </c>
      <c r="C57" s="35"/>
      <c r="D57" s="35"/>
      <c r="E57" s="35"/>
      <c r="F57" s="35"/>
      <c r="G57" s="115"/>
      <c r="H57" s="132">
        <v>52</v>
      </c>
      <c r="I57" s="133" t="str">
        <f t="shared" si="4"/>
        <v/>
      </c>
      <c r="J57" s="132">
        <f t="shared" si="5"/>
        <v>-6</v>
      </c>
      <c r="K57" s="132">
        <f t="shared" si="1"/>
        <v>-60</v>
      </c>
      <c r="L57" s="132"/>
      <c r="M57" s="134">
        <f t="shared" si="2"/>
        <v>0</v>
      </c>
    </row>
    <row r="58" spans="1:13" x14ac:dyDescent="0.25">
      <c r="A58" s="44"/>
      <c r="B58" s="28" t="str">
        <f t="shared" si="6"/>
        <v/>
      </c>
      <c r="C58" s="29"/>
      <c r="D58" s="29"/>
      <c r="E58" s="29"/>
      <c r="F58" s="29"/>
      <c r="G58" s="115"/>
      <c r="H58" s="129">
        <v>53</v>
      </c>
      <c r="I58" s="130" t="str">
        <f t="shared" si="4"/>
        <v/>
      </c>
      <c r="J58" s="129">
        <f t="shared" si="5"/>
        <v>-6</v>
      </c>
      <c r="K58" s="129">
        <f t="shared" si="1"/>
        <v>-60</v>
      </c>
      <c r="L58" s="129"/>
      <c r="M58" s="131">
        <f t="shared" si="2"/>
        <v>0</v>
      </c>
    </row>
    <row r="59" spans="1:13" x14ac:dyDescent="0.25">
      <c r="A59" s="43"/>
      <c r="B59" s="34" t="str">
        <f t="shared" si="6"/>
        <v/>
      </c>
      <c r="C59" s="35"/>
      <c r="D59" s="35"/>
      <c r="E59" s="35"/>
      <c r="F59" s="35"/>
      <c r="G59" s="115"/>
      <c r="H59" s="132">
        <v>54</v>
      </c>
      <c r="I59" s="133" t="str">
        <f t="shared" si="4"/>
        <v/>
      </c>
      <c r="J59" s="132">
        <f t="shared" si="5"/>
        <v>-6</v>
      </c>
      <c r="K59" s="132">
        <f t="shared" si="1"/>
        <v>-60</v>
      </c>
      <c r="L59" s="132"/>
      <c r="M59" s="134">
        <f t="shared" si="2"/>
        <v>0</v>
      </c>
    </row>
    <row r="60" spans="1:13" x14ac:dyDescent="0.25">
      <c r="A60" s="44"/>
      <c r="B60" s="28" t="str">
        <f t="shared" si="6"/>
        <v/>
      </c>
      <c r="C60" s="29"/>
      <c r="D60" s="29"/>
      <c r="E60" s="29"/>
      <c r="F60" s="29"/>
      <c r="G60" s="115"/>
      <c r="H60" s="129">
        <v>55</v>
      </c>
      <c r="I60" s="130" t="str">
        <f t="shared" si="4"/>
        <v/>
      </c>
      <c r="J60" s="129">
        <f t="shared" si="5"/>
        <v>-6</v>
      </c>
      <c r="K60" s="129">
        <f t="shared" si="1"/>
        <v>-60</v>
      </c>
      <c r="L60" s="129"/>
      <c r="M60" s="131">
        <f t="shared" si="2"/>
        <v>0</v>
      </c>
    </row>
    <row r="61" spans="1:13" x14ac:dyDescent="0.25">
      <c r="A61" s="43"/>
      <c r="B61" s="34" t="str">
        <f t="shared" si="6"/>
        <v/>
      </c>
      <c r="C61" s="35"/>
      <c r="D61" s="35"/>
      <c r="E61" s="35"/>
      <c r="F61" s="35"/>
      <c r="G61" s="115"/>
      <c r="H61" s="132">
        <v>56</v>
      </c>
      <c r="I61" s="133" t="str">
        <f t="shared" si="4"/>
        <v/>
      </c>
      <c r="J61" s="132">
        <f t="shared" si="5"/>
        <v>-6</v>
      </c>
      <c r="K61" s="132">
        <f t="shared" si="1"/>
        <v>-60</v>
      </c>
      <c r="L61" s="132"/>
      <c r="M61" s="134">
        <f t="shared" si="2"/>
        <v>0</v>
      </c>
    </row>
    <row r="62" spans="1:13" x14ac:dyDescent="0.25">
      <c r="A62" s="44"/>
      <c r="B62" s="28" t="str">
        <f t="shared" si="6"/>
        <v/>
      </c>
      <c r="C62" s="29"/>
      <c r="D62" s="29"/>
      <c r="E62" s="29"/>
      <c r="F62" s="29"/>
      <c r="G62" s="115"/>
      <c r="H62" s="129">
        <v>57</v>
      </c>
      <c r="I62" s="130" t="str">
        <f t="shared" si="4"/>
        <v/>
      </c>
      <c r="J62" s="129">
        <f t="shared" si="5"/>
        <v>-6</v>
      </c>
      <c r="K62" s="129">
        <f t="shared" si="1"/>
        <v>-60</v>
      </c>
      <c r="L62" s="129"/>
      <c r="M62" s="131">
        <f t="shared" si="2"/>
        <v>0</v>
      </c>
    </row>
    <row r="63" spans="1:13" x14ac:dyDescent="0.25">
      <c r="A63" s="43"/>
      <c r="B63" s="34" t="str">
        <f t="shared" si="6"/>
        <v/>
      </c>
      <c r="C63" s="35"/>
      <c r="D63" s="35"/>
      <c r="E63" s="35"/>
      <c r="F63" s="35"/>
      <c r="G63" s="115"/>
      <c r="H63" s="132">
        <v>58</v>
      </c>
      <c r="I63" s="133" t="str">
        <f t="shared" si="4"/>
        <v/>
      </c>
      <c r="J63" s="132">
        <f t="shared" si="5"/>
        <v>-6</v>
      </c>
      <c r="K63" s="132">
        <f t="shared" si="1"/>
        <v>-60</v>
      </c>
      <c r="L63" s="132"/>
      <c r="M63" s="134">
        <f t="shared" si="2"/>
        <v>0</v>
      </c>
    </row>
    <row r="64" spans="1:13" x14ac:dyDescent="0.25">
      <c r="A64" s="44"/>
      <c r="B64" s="28" t="str">
        <f t="shared" si="6"/>
        <v/>
      </c>
      <c r="C64" s="29"/>
      <c r="D64" s="29"/>
      <c r="E64" s="29"/>
      <c r="F64" s="29"/>
      <c r="G64" s="115"/>
      <c r="H64" s="129">
        <v>59</v>
      </c>
      <c r="I64" s="130" t="str">
        <f t="shared" si="4"/>
        <v/>
      </c>
      <c r="J64" s="129">
        <f t="shared" si="5"/>
        <v>-6</v>
      </c>
      <c r="K64" s="129">
        <f t="shared" si="1"/>
        <v>-60</v>
      </c>
      <c r="L64" s="129"/>
      <c r="M64" s="131">
        <f t="shared" si="2"/>
        <v>0</v>
      </c>
    </row>
    <row r="65" spans="1:13" x14ac:dyDescent="0.25">
      <c r="A65" s="43"/>
      <c r="B65" s="34" t="str">
        <f t="shared" si="6"/>
        <v/>
      </c>
      <c r="C65" s="35"/>
      <c r="D65" s="35"/>
      <c r="E65" s="35"/>
      <c r="F65" s="35"/>
      <c r="G65" s="115"/>
      <c r="H65" s="132">
        <v>60</v>
      </c>
      <c r="I65" s="133" t="str">
        <f t="shared" si="4"/>
        <v/>
      </c>
      <c r="J65" s="132">
        <f t="shared" si="5"/>
        <v>-6</v>
      </c>
      <c r="K65" s="132">
        <f t="shared" si="1"/>
        <v>-60</v>
      </c>
      <c r="L65" s="132"/>
      <c r="M65" s="134">
        <f t="shared" si="2"/>
        <v>0</v>
      </c>
    </row>
    <row r="66" spans="1:13" x14ac:dyDescent="0.25">
      <c r="A66" s="145"/>
      <c r="B66" s="28"/>
      <c r="G66" s="115"/>
      <c r="H66" s="129">
        <v>61</v>
      </c>
      <c r="I66" s="130" t="str">
        <f t="shared" si="4"/>
        <v/>
      </c>
      <c r="J66" s="129">
        <f t="shared" si="5"/>
        <v>-6</v>
      </c>
      <c r="K66" s="129">
        <f t="shared" si="1"/>
        <v>-60</v>
      </c>
      <c r="L66" s="129"/>
      <c r="M66" s="131">
        <f t="shared" si="2"/>
        <v>0</v>
      </c>
    </row>
    <row r="67" spans="1:13" x14ac:dyDescent="0.25">
      <c r="A67" s="145"/>
      <c r="B67" s="34"/>
      <c r="G67" s="115"/>
      <c r="H67" s="129">
        <v>62</v>
      </c>
      <c r="I67" s="130" t="str">
        <f t="shared" si="4"/>
        <v/>
      </c>
      <c r="J67" s="129">
        <f t="shared" si="5"/>
        <v>-6</v>
      </c>
      <c r="K67" s="129">
        <f t="shared" si="1"/>
        <v>-60</v>
      </c>
      <c r="L67" s="129"/>
      <c r="M67" s="131">
        <f t="shared" si="2"/>
        <v>0</v>
      </c>
    </row>
    <row r="68" spans="1:13" x14ac:dyDescent="0.25">
      <c r="A68" s="145"/>
      <c r="B68" s="28"/>
      <c r="G68" s="115"/>
      <c r="H68" s="129">
        <v>63</v>
      </c>
      <c r="I68" s="130" t="str">
        <f t="shared" si="4"/>
        <v/>
      </c>
      <c r="J68" s="129">
        <f t="shared" si="5"/>
        <v>-6</v>
      </c>
      <c r="K68" s="129">
        <f t="shared" si="1"/>
        <v>-60</v>
      </c>
      <c r="L68" s="129"/>
      <c r="M68" s="131">
        <f t="shared" si="2"/>
        <v>0</v>
      </c>
    </row>
    <row r="69" spans="1:13" x14ac:dyDescent="0.25">
      <c r="A69" s="145"/>
      <c r="B69" s="34"/>
      <c r="G69" s="115"/>
      <c r="H69" s="129">
        <v>64</v>
      </c>
      <c r="I69" s="130" t="str">
        <f t="shared" si="4"/>
        <v/>
      </c>
      <c r="J69" s="129">
        <f t="shared" si="5"/>
        <v>-6</v>
      </c>
      <c r="K69" s="129">
        <f t="shared" si="1"/>
        <v>-60</v>
      </c>
      <c r="L69" s="129"/>
      <c r="M69" s="131">
        <f t="shared" si="2"/>
        <v>0</v>
      </c>
    </row>
    <row r="70" spans="1:13" x14ac:dyDescent="0.25">
      <c r="A70" s="145"/>
      <c r="G70" s="115"/>
      <c r="H70" s="129">
        <v>65</v>
      </c>
      <c r="I70" s="130" t="str">
        <f t="shared" si="4"/>
        <v/>
      </c>
      <c r="J70" s="129">
        <f t="shared" si="5"/>
        <v>-7</v>
      </c>
      <c r="K70" s="129">
        <f t="shared" ref="K70:K133" si="7">J70*$J$2</f>
        <v>-70</v>
      </c>
      <c r="L70" s="129"/>
      <c r="M70" s="131">
        <f t="shared" ref="M70:M133" si="8">IF(I70&lt;&gt;"",K70+I70+L70,0)</f>
        <v>0</v>
      </c>
    </row>
    <row r="71" spans="1:13" x14ac:dyDescent="0.25">
      <c r="A71" s="145"/>
      <c r="G71" s="115"/>
      <c r="H71" s="129">
        <v>66</v>
      </c>
      <c r="I71" s="130" t="str">
        <f t="shared" ref="I71:I134" si="9">IF(H71&lt;$H$2+1,($I$2-($I$2-1)*(LOG(H71)/LOG($H$2))),"")</f>
        <v/>
      </c>
      <c r="J71" s="129">
        <f t="shared" ref="J71:J134" si="10">INT(LOG($H$2,2))-ROUNDUP(LOG(H71,2),0)+IF(OR($H$2=1,$H$2=2,$H$2=4,$H$2=8,$H$2=16,$H$2=32,$H$2=64,$H$2=128,$H$2=256),0,1)</f>
        <v>-7</v>
      </c>
      <c r="K71" s="129">
        <f t="shared" si="7"/>
        <v>-70</v>
      </c>
      <c r="L71" s="129"/>
      <c r="M71" s="131">
        <f t="shared" si="8"/>
        <v>0</v>
      </c>
    </row>
    <row r="72" spans="1:13" x14ac:dyDescent="0.25">
      <c r="A72" s="145"/>
      <c r="G72" s="115"/>
      <c r="H72" s="129">
        <v>67</v>
      </c>
      <c r="I72" s="130" t="str">
        <f t="shared" si="9"/>
        <v/>
      </c>
      <c r="J72" s="129">
        <f t="shared" si="10"/>
        <v>-7</v>
      </c>
      <c r="K72" s="129">
        <f t="shared" si="7"/>
        <v>-70</v>
      </c>
      <c r="L72" s="129"/>
      <c r="M72" s="131">
        <f t="shared" si="8"/>
        <v>0</v>
      </c>
    </row>
    <row r="73" spans="1:13" x14ac:dyDescent="0.25">
      <c r="A73" s="145"/>
      <c r="G73" s="115"/>
      <c r="H73" s="129">
        <v>68</v>
      </c>
      <c r="I73" s="130" t="str">
        <f t="shared" si="9"/>
        <v/>
      </c>
      <c r="J73" s="129">
        <f t="shared" si="10"/>
        <v>-7</v>
      </c>
      <c r="K73" s="129">
        <f t="shared" si="7"/>
        <v>-70</v>
      </c>
      <c r="L73" s="129"/>
      <c r="M73" s="131">
        <f t="shared" si="8"/>
        <v>0</v>
      </c>
    </row>
    <row r="74" spans="1:13" x14ac:dyDescent="0.25">
      <c r="A74" s="145"/>
      <c r="G74" s="115"/>
      <c r="H74" s="129">
        <v>69</v>
      </c>
      <c r="I74" s="130" t="str">
        <f t="shared" si="9"/>
        <v/>
      </c>
      <c r="J74" s="129">
        <f t="shared" si="10"/>
        <v>-7</v>
      </c>
      <c r="K74" s="129">
        <f t="shared" si="7"/>
        <v>-70</v>
      </c>
      <c r="L74" s="129"/>
      <c r="M74" s="131">
        <f t="shared" si="8"/>
        <v>0</v>
      </c>
    </row>
    <row r="75" spans="1:13" x14ac:dyDescent="0.25">
      <c r="A75" s="145"/>
      <c r="G75" s="115"/>
      <c r="H75" s="129">
        <v>70</v>
      </c>
      <c r="I75" s="130" t="str">
        <f t="shared" si="9"/>
        <v/>
      </c>
      <c r="J75" s="129">
        <f t="shared" si="10"/>
        <v>-7</v>
      </c>
      <c r="K75" s="129">
        <f t="shared" si="7"/>
        <v>-70</v>
      </c>
      <c r="L75" s="129"/>
      <c r="M75" s="131">
        <f t="shared" si="8"/>
        <v>0</v>
      </c>
    </row>
    <row r="76" spans="1:13" x14ac:dyDescent="0.25">
      <c r="A76" s="145"/>
      <c r="G76" s="115"/>
      <c r="H76" s="129">
        <v>71</v>
      </c>
      <c r="I76" s="130" t="str">
        <f t="shared" si="9"/>
        <v/>
      </c>
      <c r="J76" s="129">
        <f t="shared" si="10"/>
        <v>-7</v>
      </c>
      <c r="K76" s="129">
        <f t="shared" si="7"/>
        <v>-70</v>
      </c>
      <c r="L76" s="129"/>
      <c r="M76" s="131">
        <f t="shared" si="8"/>
        <v>0</v>
      </c>
    </row>
    <row r="77" spans="1:13" x14ac:dyDescent="0.25">
      <c r="A77" s="145"/>
      <c r="G77" s="115"/>
      <c r="H77" s="129">
        <v>72</v>
      </c>
      <c r="I77" s="130" t="str">
        <f t="shared" si="9"/>
        <v/>
      </c>
      <c r="J77" s="129">
        <f t="shared" si="10"/>
        <v>-7</v>
      </c>
      <c r="K77" s="129">
        <f t="shared" si="7"/>
        <v>-70</v>
      </c>
      <c r="L77" s="129"/>
      <c r="M77" s="131">
        <f t="shared" si="8"/>
        <v>0</v>
      </c>
    </row>
    <row r="78" spans="1:13" x14ac:dyDescent="0.25">
      <c r="A78" s="145"/>
      <c r="G78" s="115"/>
      <c r="H78" s="129">
        <v>73</v>
      </c>
      <c r="I78" s="130" t="str">
        <f t="shared" si="9"/>
        <v/>
      </c>
      <c r="J78" s="129">
        <f t="shared" si="10"/>
        <v>-7</v>
      </c>
      <c r="K78" s="129">
        <f t="shared" si="7"/>
        <v>-70</v>
      </c>
      <c r="L78" s="129"/>
      <c r="M78" s="131">
        <f t="shared" si="8"/>
        <v>0</v>
      </c>
    </row>
    <row r="79" spans="1:13" x14ac:dyDescent="0.25">
      <c r="A79" s="145"/>
      <c r="G79" s="115"/>
      <c r="H79" s="129">
        <v>74</v>
      </c>
      <c r="I79" s="130" t="str">
        <f t="shared" si="9"/>
        <v/>
      </c>
      <c r="J79" s="129">
        <f t="shared" si="10"/>
        <v>-7</v>
      </c>
      <c r="K79" s="129">
        <f t="shared" si="7"/>
        <v>-70</v>
      </c>
      <c r="L79" s="129"/>
      <c r="M79" s="131">
        <f t="shared" si="8"/>
        <v>0</v>
      </c>
    </row>
    <row r="80" spans="1:13" x14ac:dyDescent="0.25">
      <c r="A80" s="145"/>
      <c r="G80" s="115"/>
      <c r="H80" s="129">
        <v>75</v>
      </c>
      <c r="I80" s="130" t="str">
        <f t="shared" si="9"/>
        <v/>
      </c>
      <c r="J80" s="129">
        <f t="shared" si="10"/>
        <v>-7</v>
      </c>
      <c r="K80" s="129">
        <f t="shared" si="7"/>
        <v>-70</v>
      </c>
      <c r="L80" s="129"/>
      <c r="M80" s="131">
        <f t="shared" si="8"/>
        <v>0</v>
      </c>
    </row>
    <row r="81" spans="1:13" x14ac:dyDescent="0.25">
      <c r="A81" s="145"/>
      <c r="G81" s="115"/>
      <c r="H81" s="129">
        <v>76</v>
      </c>
      <c r="I81" s="130" t="str">
        <f t="shared" si="9"/>
        <v/>
      </c>
      <c r="J81" s="129">
        <f t="shared" si="10"/>
        <v>-7</v>
      </c>
      <c r="K81" s="129">
        <f t="shared" si="7"/>
        <v>-70</v>
      </c>
      <c r="L81" s="129"/>
      <c r="M81" s="131">
        <f t="shared" si="8"/>
        <v>0</v>
      </c>
    </row>
    <row r="82" spans="1:13" x14ac:dyDescent="0.25">
      <c r="A82" s="145"/>
      <c r="G82" s="115"/>
      <c r="H82" s="129">
        <v>77</v>
      </c>
      <c r="I82" s="130" t="str">
        <f t="shared" si="9"/>
        <v/>
      </c>
      <c r="J82" s="129">
        <f t="shared" si="10"/>
        <v>-7</v>
      </c>
      <c r="K82" s="129">
        <f t="shared" si="7"/>
        <v>-70</v>
      </c>
      <c r="L82" s="129"/>
      <c r="M82" s="131">
        <f t="shared" si="8"/>
        <v>0</v>
      </c>
    </row>
    <row r="83" spans="1:13" x14ac:dyDescent="0.25">
      <c r="A83" s="145"/>
      <c r="G83" s="115"/>
      <c r="H83" s="129">
        <v>78</v>
      </c>
      <c r="I83" s="130" t="str">
        <f t="shared" si="9"/>
        <v/>
      </c>
      <c r="J83" s="129">
        <f t="shared" si="10"/>
        <v>-7</v>
      </c>
      <c r="K83" s="129">
        <f t="shared" si="7"/>
        <v>-70</v>
      </c>
      <c r="L83" s="129"/>
      <c r="M83" s="131">
        <f t="shared" si="8"/>
        <v>0</v>
      </c>
    </row>
    <row r="84" spans="1:13" x14ac:dyDescent="0.25">
      <c r="A84" s="145"/>
      <c r="G84" s="115"/>
      <c r="H84" s="129">
        <v>79</v>
      </c>
      <c r="I84" s="130" t="str">
        <f t="shared" si="9"/>
        <v/>
      </c>
      <c r="J84" s="129">
        <f t="shared" si="10"/>
        <v>-7</v>
      </c>
      <c r="K84" s="129">
        <f t="shared" si="7"/>
        <v>-70</v>
      </c>
      <c r="L84" s="129"/>
      <c r="M84" s="131">
        <f t="shared" si="8"/>
        <v>0</v>
      </c>
    </row>
    <row r="85" spans="1:13" x14ac:dyDescent="0.25">
      <c r="A85" s="145"/>
      <c r="G85" s="115"/>
      <c r="H85" s="129">
        <v>80</v>
      </c>
      <c r="I85" s="130" t="str">
        <f t="shared" si="9"/>
        <v/>
      </c>
      <c r="J85" s="129">
        <f t="shared" si="10"/>
        <v>-7</v>
      </c>
      <c r="K85" s="129">
        <f t="shared" si="7"/>
        <v>-70</v>
      </c>
      <c r="L85" s="129"/>
      <c r="M85" s="131">
        <f t="shared" si="8"/>
        <v>0</v>
      </c>
    </row>
    <row r="86" spans="1:13" x14ac:dyDescent="0.25">
      <c r="A86" s="145"/>
      <c r="G86" s="115"/>
      <c r="H86" s="129">
        <v>81</v>
      </c>
      <c r="I86" s="130" t="str">
        <f t="shared" si="9"/>
        <v/>
      </c>
      <c r="J86" s="129">
        <f t="shared" si="10"/>
        <v>-7</v>
      </c>
      <c r="K86" s="129">
        <f t="shared" si="7"/>
        <v>-70</v>
      </c>
      <c r="L86" s="129"/>
      <c r="M86" s="131">
        <f t="shared" si="8"/>
        <v>0</v>
      </c>
    </row>
    <row r="87" spans="1:13" x14ac:dyDescent="0.25">
      <c r="A87" s="145"/>
      <c r="G87" s="115"/>
      <c r="H87" s="129">
        <v>82</v>
      </c>
      <c r="I87" s="130" t="str">
        <f t="shared" si="9"/>
        <v/>
      </c>
      <c r="J87" s="129">
        <f t="shared" si="10"/>
        <v>-7</v>
      </c>
      <c r="K87" s="129">
        <f t="shared" si="7"/>
        <v>-70</v>
      </c>
      <c r="L87" s="129"/>
      <c r="M87" s="131">
        <f t="shared" si="8"/>
        <v>0</v>
      </c>
    </row>
    <row r="88" spans="1:13" x14ac:dyDescent="0.25">
      <c r="A88" s="145"/>
      <c r="G88" s="115"/>
      <c r="H88" s="129">
        <v>83</v>
      </c>
      <c r="I88" s="130" t="str">
        <f t="shared" si="9"/>
        <v/>
      </c>
      <c r="J88" s="129">
        <f t="shared" si="10"/>
        <v>-7</v>
      </c>
      <c r="K88" s="129">
        <f t="shared" si="7"/>
        <v>-70</v>
      </c>
      <c r="L88" s="129"/>
      <c r="M88" s="131">
        <f t="shared" si="8"/>
        <v>0</v>
      </c>
    </row>
    <row r="89" spans="1:13" x14ac:dyDescent="0.25">
      <c r="A89" s="145"/>
      <c r="G89" s="115"/>
      <c r="H89" s="129">
        <v>84</v>
      </c>
      <c r="I89" s="130" t="str">
        <f t="shared" si="9"/>
        <v/>
      </c>
      <c r="J89" s="129">
        <f t="shared" si="10"/>
        <v>-7</v>
      </c>
      <c r="K89" s="129">
        <f t="shared" si="7"/>
        <v>-70</v>
      </c>
      <c r="L89" s="129"/>
      <c r="M89" s="131">
        <f t="shared" si="8"/>
        <v>0</v>
      </c>
    </row>
    <row r="90" spans="1:13" x14ac:dyDescent="0.25">
      <c r="A90" s="145"/>
      <c r="G90" s="115"/>
      <c r="H90" s="129">
        <v>85</v>
      </c>
      <c r="I90" s="130" t="str">
        <f t="shared" si="9"/>
        <v/>
      </c>
      <c r="J90" s="129">
        <f t="shared" si="10"/>
        <v>-7</v>
      </c>
      <c r="K90" s="129">
        <f t="shared" si="7"/>
        <v>-70</v>
      </c>
      <c r="L90" s="129"/>
      <c r="M90" s="131">
        <f t="shared" si="8"/>
        <v>0</v>
      </c>
    </row>
    <row r="91" spans="1:13" x14ac:dyDescent="0.25">
      <c r="A91" s="145"/>
      <c r="G91" s="115"/>
      <c r="H91" s="129">
        <v>86</v>
      </c>
      <c r="I91" s="130" t="str">
        <f t="shared" si="9"/>
        <v/>
      </c>
      <c r="J91" s="129">
        <f t="shared" si="10"/>
        <v>-7</v>
      </c>
      <c r="K91" s="129">
        <f t="shared" si="7"/>
        <v>-70</v>
      </c>
      <c r="L91" s="129"/>
      <c r="M91" s="131">
        <f t="shared" si="8"/>
        <v>0</v>
      </c>
    </row>
    <row r="92" spans="1:13" x14ac:dyDescent="0.25">
      <c r="A92" s="145"/>
      <c r="G92" s="115"/>
      <c r="H92" s="129">
        <v>87</v>
      </c>
      <c r="I92" s="130" t="str">
        <f t="shared" si="9"/>
        <v/>
      </c>
      <c r="J92" s="129">
        <f t="shared" si="10"/>
        <v>-7</v>
      </c>
      <c r="K92" s="129">
        <f t="shared" si="7"/>
        <v>-70</v>
      </c>
      <c r="L92" s="129"/>
      <c r="M92" s="131">
        <f t="shared" si="8"/>
        <v>0</v>
      </c>
    </row>
    <row r="93" spans="1:13" x14ac:dyDescent="0.25">
      <c r="A93" s="145"/>
      <c r="G93" s="115"/>
      <c r="H93" s="129">
        <v>88</v>
      </c>
      <c r="I93" s="130" t="str">
        <f t="shared" si="9"/>
        <v/>
      </c>
      <c r="J93" s="129">
        <f t="shared" si="10"/>
        <v>-7</v>
      </c>
      <c r="K93" s="129">
        <f t="shared" si="7"/>
        <v>-70</v>
      </c>
      <c r="L93" s="129"/>
      <c r="M93" s="131">
        <f t="shared" si="8"/>
        <v>0</v>
      </c>
    </row>
    <row r="94" spans="1:13" x14ac:dyDescent="0.25">
      <c r="A94" s="145"/>
      <c r="G94" s="115"/>
      <c r="H94" s="129">
        <v>89</v>
      </c>
      <c r="I94" s="130" t="str">
        <f t="shared" si="9"/>
        <v/>
      </c>
      <c r="J94" s="129">
        <f t="shared" si="10"/>
        <v>-7</v>
      </c>
      <c r="K94" s="129">
        <f t="shared" si="7"/>
        <v>-70</v>
      </c>
      <c r="L94" s="129"/>
      <c r="M94" s="131">
        <f t="shared" si="8"/>
        <v>0</v>
      </c>
    </row>
    <row r="95" spans="1:13" x14ac:dyDescent="0.25">
      <c r="A95" s="145"/>
      <c r="G95" s="115"/>
      <c r="H95" s="129">
        <v>90</v>
      </c>
      <c r="I95" s="130" t="str">
        <f t="shared" si="9"/>
        <v/>
      </c>
      <c r="J95" s="129">
        <f t="shared" si="10"/>
        <v>-7</v>
      </c>
      <c r="K95" s="129">
        <f t="shared" si="7"/>
        <v>-70</v>
      </c>
      <c r="L95" s="129"/>
      <c r="M95" s="131">
        <f t="shared" si="8"/>
        <v>0</v>
      </c>
    </row>
    <row r="96" spans="1:13" x14ac:dyDescent="0.25">
      <c r="A96" s="145"/>
      <c r="G96" s="115"/>
      <c r="H96" s="129">
        <v>91</v>
      </c>
      <c r="I96" s="130" t="str">
        <f t="shared" si="9"/>
        <v/>
      </c>
      <c r="J96" s="129">
        <f t="shared" si="10"/>
        <v>-7</v>
      </c>
      <c r="K96" s="129">
        <f t="shared" si="7"/>
        <v>-70</v>
      </c>
      <c r="L96" s="129"/>
      <c r="M96" s="131">
        <f t="shared" si="8"/>
        <v>0</v>
      </c>
    </row>
    <row r="97" spans="1:13" x14ac:dyDescent="0.25">
      <c r="A97" s="145"/>
      <c r="G97" s="115"/>
      <c r="H97" s="129">
        <v>92</v>
      </c>
      <c r="I97" s="130" t="str">
        <f t="shared" si="9"/>
        <v/>
      </c>
      <c r="J97" s="129">
        <f t="shared" si="10"/>
        <v>-7</v>
      </c>
      <c r="K97" s="129">
        <f t="shared" si="7"/>
        <v>-70</v>
      </c>
      <c r="L97" s="129"/>
      <c r="M97" s="131">
        <f t="shared" si="8"/>
        <v>0</v>
      </c>
    </row>
    <row r="98" spans="1:13" x14ac:dyDescent="0.25">
      <c r="A98" s="145"/>
      <c r="G98" s="115"/>
      <c r="H98" s="129">
        <v>93</v>
      </c>
      <c r="I98" s="130" t="str">
        <f t="shared" si="9"/>
        <v/>
      </c>
      <c r="J98" s="129">
        <f t="shared" si="10"/>
        <v>-7</v>
      </c>
      <c r="K98" s="129">
        <f t="shared" si="7"/>
        <v>-70</v>
      </c>
      <c r="L98" s="129"/>
      <c r="M98" s="131">
        <f t="shared" si="8"/>
        <v>0</v>
      </c>
    </row>
    <row r="99" spans="1:13" x14ac:dyDescent="0.25">
      <c r="A99" s="145"/>
      <c r="G99" s="115"/>
      <c r="H99" s="129">
        <v>94</v>
      </c>
      <c r="I99" s="130" t="str">
        <f t="shared" si="9"/>
        <v/>
      </c>
      <c r="J99" s="129">
        <f t="shared" si="10"/>
        <v>-7</v>
      </c>
      <c r="K99" s="129">
        <f t="shared" si="7"/>
        <v>-70</v>
      </c>
      <c r="L99" s="129"/>
      <c r="M99" s="131">
        <f t="shared" si="8"/>
        <v>0</v>
      </c>
    </row>
    <row r="100" spans="1:13" x14ac:dyDescent="0.25">
      <c r="A100" s="145"/>
      <c r="G100" s="115"/>
      <c r="H100" s="129">
        <v>95</v>
      </c>
      <c r="I100" s="130" t="str">
        <f t="shared" si="9"/>
        <v/>
      </c>
      <c r="J100" s="129">
        <f t="shared" si="10"/>
        <v>-7</v>
      </c>
      <c r="K100" s="129">
        <f t="shared" si="7"/>
        <v>-70</v>
      </c>
      <c r="L100" s="129"/>
      <c r="M100" s="131">
        <f t="shared" si="8"/>
        <v>0</v>
      </c>
    </row>
    <row r="101" spans="1:13" x14ac:dyDescent="0.25">
      <c r="A101" s="145"/>
      <c r="G101" s="115"/>
      <c r="H101" s="129">
        <v>96</v>
      </c>
      <c r="I101" s="130" t="str">
        <f t="shared" si="9"/>
        <v/>
      </c>
      <c r="J101" s="129">
        <f t="shared" si="10"/>
        <v>-7</v>
      </c>
      <c r="K101" s="129">
        <f t="shared" si="7"/>
        <v>-70</v>
      </c>
      <c r="L101" s="129"/>
      <c r="M101" s="131">
        <f t="shared" si="8"/>
        <v>0</v>
      </c>
    </row>
    <row r="102" spans="1:13" x14ac:dyDescent="0.25">
      <c r="A102" s="145"/>
      <c r="G102" s="115"/>
      <c r="H102" s="129">
        <v>97</v>
      </c>
      <c r="I102" s="130" t="str">
        <f t="shared" si="9"/>
        <v/>
      </c>
      <c r="J102" s="129">
        <f t="shared" si="10"/>
        <v>-7</v>
      </c>
      <c r="K102" s="129">
        <f t="shared" si="7"/>
        <v>-70</v>
      </c>
      <c r="L102" s="129"/>
      <c r="M102" s="131">
        <f t="shared" si="8"/>
        <v>0</v>
      </c>
    </row>
    <row r="103" spans="1:13" x14ac:dyDescent="0.25">
      <c r="A103" s="145"/>
      <c r="G103" s="115"/>
      <c r="H103" s="129">
        <v>98</v>
      </c>
      <c r="I103" s="130" t="str">
        <f t="shared" si="9"/>
        <v/>
      </c>
      <c r="J103" s="129">
        <f t="shared" si="10"/>
        <v>-7</v>
      </c>
      <c r="K103" s="129">
        <f t="shared" si="7"/>
        <v>-70</v>
      </c>
      <c r="L103" s="129"/>
      <c r="M103" s="131">
        <f t="shared" si="8"/>
        <v>0</v>
      </c>
    </row>
    <row r="104" spans="1:13" x14ac:dyDescent="0.25">
      <c r="A104" s="145"/>
      <c r="G104" s="115"/>
      <c r="H104" s="129">
        <v>99</v>
      </c>
      <c r="I104" s="130" t="str">
        <f t="shared" si="9"/>
        <v/>
      </c>
      <c r="J104" s="129">
        <f t="shared" si="10"/>
        <v>-7</v>
      </c>
      <c r="K104" s="129">
        <f t="shared" si="7"/>
        <v>-70</v>
      </c>
      <c r="L104" s="129"/>
      <c r="M104" s="131">
        <f t="shared" si="8"/>
        <v>0</v>
      </c>
    </row>
    <row r="105" spans="1:13" x14ac:dyDescent="0.25">
      <c r="A105" s="145"/>
      <c r="G105" s="115"/>
      <c r="H105" s="129">
        <v>100</v>
      </c>
      <c r="I105" s="130" t="str">
        <f t="shared" si="9"/>
        <v/>
      </c>
      <c r="J105" s="129">
        <f t="shared" si="10"/>
        <v>-7</v>
      </c>
      <c r="K105" s="129">
        <f t="shared" si="7"/>
        <v>-70</v>
      </c>
      <c r="L105" s="129"/>
      <c r="M105" s="131">
        <f t="shared" si="8"/>
        <v>0</v>
      </c>
    </row>
    <row r="106" spans="1:13" x14ac:dyDescent="0.25">
      <c r="A106" s="145"/>
      <c r="G106" s="115"/>
      <c r="H106" s="129">
        <v>101</v>
      </c>
      <c r="I106" s="130" t="str">
        <f t="shared" si="9"/>
        <v/>
      </c>
      <c r="J106" s="129">
        <f t="shared" si="10"/>
        <v>-7</v>
      </c>
      <c r="K106" s="129">
        <f t="shared" si="7"/>
        <v>-70</v>
      </c>
      <c r="L106" s="129"/>
      <c r="M106" s="131">
        <f t="shared" si="8"/>
        <v>0</v>
      </c>
    </row>
    <row r="107" spans="1:13" x14ac:dyDescent="0.25">
      <c r="A107" s="145"/>
      <c r="G107" s="115"/>
      <c r="H107" s="129">
        <v>102</v>
      </c>
      <c r="I107" s="130" t="str">
        <f t="shared" si="9"/>
        <v/>
      </c>
      <c r="J107" s="129">
        <f t="shared" si="10"/>
        <v>-7</v>
      </c>
      <c r="K107" s="129">
        <f t="shared" si="7"/>
        <v>-70</v>
      </c>
      <c r="L107" s="129"/>
      <c r="M107" s="131">
        <f t="shared" si="8"/>
        <v>0</v>
      </c>
    </row>
    <row r="108" spans="1:13" x14ac:dyDescent="0.25">
      <c r="A108" s="145"/>
      <c r="G108" s="115"/>
      <c r="H108" s="129">
        <v>103</v>
      </c>
      <c r="I108" s="130" t="str">
        <f t="shared" si="9"/>
        <v/>
      </c>
      <c r="J108" s="129">
        <f t="shared" si="10"/>
        <v>-7</v>
      </c>
      <c r="K108" s="129">
        <f t="shared" si="7"/>
        <v>-70</v>
      </c>
      <c r="L108" s="129"/>
      <c r="M108" s="131">
        <f t="shared" si="8"/>
        <v>0</v>
      </c>
    </row>
    <row r="109" spans="1:13" x14ac:dyDescent="0.25">
      <c r="A109" s="145"/>
      <c r="G109" s="115"/>
      <c r="H109" s="129">
        <v>104</v>
      </c>
      <c r="I109" s="130" t="str">
        <f t="shared" si="9"/>
        <v/>
      </c>
      <c r="J109" s="129">
        <f t="shared" si="10"/>
        <v>-7</v>
      </c>
      <c r="K109" s="129">
        <f t="shared" si="7"/>
        <v>-70</v>
      </c>
      <c r="L109" s="129"/>
      <c r="M109" s="131">
        <f t="shared" si="8"/>
        <v>0</v>
      </c>
    </row>
    <row r="110" spans="1:13" x14ac:dyDescent="0.25">
      <c r="A110" s="145"/>
      <c r="G110" s="115"/>
      <c r="H110" s="129">
        <v>105</v>
      </c>
      <c r="I110" s="130" t="str">
        <f t="shared" si="9"/>
        <v/>
      </c>
      <c r="J110" s="129">
        <f t="shared" si="10"/>
        <v>-7</v>
      </c>
      <c r="K110" s="129">
        <f t="shared" si="7"/>
        <v>-70</v>
      </c>
      <c r="L110" s="129"/>
      <c r="M110" s="131">
        <f t="shared" si="8"/>
        <v>0</v>
      </c>
    </row>
    <row r="111" spans="1:13" x14ac:dyDescent="0.25">
      <c r="A111" s="145"/>
      <c r="G111" s="115"/>
      <c r="H111" s="129">
        <v>106</v>
      </c>
      <c r="I111" s="130" t="str">
        <f t="shared" si="9"/>
        <v/>
      </c>
      <c r="J111" s="129">
        <f t="shared" si="10"/>
        <v>-7</v>
      </c>
      <c r="K111" s="129">
        <f t="shared" si="7"/>
        <v>-70</v>
      </c>
      <c r="L111" s="129"/>
      <c r="M111" s="131">
        <f t="shared" si="8"/>
        <v>0</v>
      </c>
    </row>
    <row r="112" spans="1:13" x14ac:dyDescent="0.25">
      <c r="A112" s="145"/>
      <c r="G112" s="115"/>
      <c r="H112" s="129">
        <v>107</v>
      </c>
      <c r="I112" s="130" t="str">
        <f t="shared" si="9"/>
        <v/>
      </c>
      <c r="J112" s="129">
        <f t="shared" si="10"/>
        <v>-7</v>
      </c>
      <c r="K112" s="129">
        <f t="shared" si="7"/>
        <v>-70</v>
      </c>
      <c r="L112" s="129"/>
      <c r="M112" s="131">
        <f t="shared" si="8"/>
        <v>0</v>
      </c>
    </row>
    <row r="113" spans="1:13" x14ac:dyDescent="0.25">
      <c r="A113" s="145"/>
      <c r="G113" s="115"/>
      <c r="H113" s="129">
        <v>108</v>
      </c>
      <c r="I113" s="130" t="str">
        <f t="shared" si="9"/>
        <v/>
      </c>
      <c r="J113" s="129">
        <f t="shared" si="10"/>
        <v>-7</v>
      </c>
      <c r="K113" s="129">
        <f t="shared" si="7"/>
        <v>-70</v>
      </c>
      <c r="L113" s="129"/>
      <c r="M113" s="131">
        <f t="shared" si="8"/>
        <v>0</v>
      </c>
    </row>
    <row r="114" spans="1:13" x14ac:dyDescent="0.25">
      <c r="A114" s="145"/>
      <c r="G114" s="115"/>
      <c r="H114" s="129">
        <v>109</v>
      </c>
      <c r="I114" s="130" t="str">
        <f t="shared" si="9"/>
        <v/>
      </c>
      <c r="J114" s="129">
        <f t="shared" si="10"/>
        <v>-7</v>
      </c>
      <c r="K114" s="129">
        <f t="shared" si="7"/>
        <v>-70</v>
      </c>
      <c r="L114" s="129"/>
      <c r="M114" s="131">
        <f t="shared" si="8"/>
        <v>0</v>
      </c>
    </row>
    <row r="115" spans="1:13" x14ac:dyDescent="0.25">
      <c r="A115" s="145"/>
      <c r="G115" s="115"/>
      <c r="H115" s="129">
        <v>110</v>
      </c>
      <c r="I115" s="130" t="str">
        <f t="shared" si="9"/>
        <v/>
      </c>
      <c r="J115" s="129">
        <f t="shared" si="10"/>
        <v>-7</v>
      </c>
      <c r="K115" s="129">
        <f t="shared" si="7"/>
        <v>-70</v>
      </c>
      <c r="L115" s="129"/>
      <c r="M115" s="131">
        <f t="shared" si="8"/>
        <v>0</v>
      </c>
    </row>
    <row r="116" spans="1:13" x14ac:dyDescent="0.25">
      <c r="A116" s="145"/>
      <c r="G116" s="115"/>
      <c r="H116" s="129">
        <v>111</v>
      </c>
      <c r="I116" s="130" t="str">
        <f t="shared" si="9"/>
        <v/>
      </c>
      <c r="J116" s="129">
        <f t="shared" si="10"/>
        <v>-7</v>
      </c>
      <c r="K116" s="129">
        <f t="shared" si="7"/>
        <v>-70</v>
      </c>
      <c r="L116" s="129"/>
      <c r="M116" s="131">
        <f t="shared" si="8"/>
        <v>0</v>
      </c>
    </row>
    <row r="117" spans="1:13" x14ac:dyDescent="0.25">
      <c r="A117" s="145"/>
      <c r="G117" s="115"/>
      <c r="H117" s="129">
        <v>112</v>
      </c>
      <c r="I117" s="130" t="str">
        <f t="shared" si="9"/>
        <v/>
      </c>
      <c r="J117" s="129">
        <f t="shared" si="10"/>
        <v>-7</v>
      </c>
      <c r="K117" s="129">
        <f t="shared" si="7"/>
        <v>-70</v>
      </c>
      <c r="L117" s="129"/>
      <c r="M117" s="131">
        <f t="shared" si="8"/>
        <v>0</v>
      </c>
    </row>
    <row r="118" spans="1:13" x14ac:dyDescent="0.25">
      <c r="A118" s="145"/>
      <c r="G118" s="115"/>
      <c r="H118" s="129">
        <v>113</v>
      </c>
      <c r="I118" s="130" t="str">
        <f t="shared" si="9"/>
        <v/>
      </c>
      <c r="J118" s="129">
        <f t="shared" si="10"/>
        <v>-7</v>
      </c>
      <c r="K118" s="129">
        <f t="shared" si="7"/>
        <v>-70</v>
      </c>
      <c r="L118" s="129"/>
      <c r="M118" s="131">
        <f t="shared" si="8"/>
        <v>0</v>
      </c>
    </row>
    <row r="119" spans="1:13" x14ac:dyDescent="0.25">
      <c r="A119" s="145"/>
      <c r="G119" s="115"/>
      <c r="H119" s="129">
        <v>114</v>
      </c>
      <c r="I119" s="130" t="str">
        <f t="shared" si="9"/>
        <v/>
      </c>
      <c r="J119" s="129">
        <f t="shared" si="10"/>
        <v>-7</v>
      </c>
      <c r="K119" s="129">
        <f t="shared" si="7"/>
        <v>-70</v>
      </c>
      <c r="L119" s="129"/>
      <c r="M119" s="131">
        <f t="shared" si="8"/>
        <v>0</v>
      </c>
    </row>
    <row r="120" spans="1:13" x14ac:dyDescent="0.25">
      <c r="A120" s="145"/>
      <c r="G120" s="115"/>
      <c r="H120" s="129">
        <v>115</v>
      </c>
      <c r="I120" s="130" t="str">
        <f t="shared" si="9"/>
        <v/>
      </c>
      <c r="J120" s="129">
        <f t="shared" si="10"/>
        <v>-7</v>
      </c>
      <c r="K120" s="129">
        <f t="shared" si="7"/>
        <v>-70</v>
      </c>
      <c r="L120" s="129"/>
      <c r="M120" s="131">
        <f t="shared" si="8"/>
        <v>0</v>
      </c>
    </row>
    <row r="121" spans="1:13" x14ac:dyDescent="0.25">
      <c r="A121" s="145"/>
      <c r="G121" s="115"/>
      <c r="H121" s="129">
        <v>116</v>
      </c>
      <c r="I121" s="130" t="str">
        <f t="shared" si="9"/>
        <v/>
      </c>
      <c r="J121" s="129">
        <f t="shared" si="10"/>
        <v>-7</v>
      </c>
      <c r="K121" s="129">
        <f t="shared" si="7"/>
        <v>-70</v>
      </c>
      <c r="L121" s="129"/>
      <c r="M121" s="131">
        <f t="shared" si="8"/>
        <v>0</v>
      </c>
    </row>
    <row r="122" spans="1:13" x14ac:dyDescent="0.25">
      <c r="A122" s="145"/>
      <c r="G122" s="115"/>
      <c r="H122" s="129">
        <v>117</v>
      </c>
      <c r="I122" s="130" t="str">
        <f t="shared" si="9"/>
        <v/>
      </c>
      <c r="J122" s="129">
        <f t="shared" si="10"/>
        <v>-7</v>
      </c>
      <c r="K122" s="129">
        <f t="shared" si="7"/>
        <v>-70</v>
      </c>
      <c r="L122" s="129"/>
      <c r="M122" s="131">
        <f t="shared" si="8"/>
        <v>0</v>
      </c>
    </row>
    <row r="123" spans="1:13" x14ac:dyDescent="0.25">
      <c r="A123" s="145"/>
      <c r="G123" s="115"/>
      <c r="H123" s="129">
        <v>118</v>
      </c>
      <c r="I123" s="130" t="str">
        <f t="shared" si="9"/>
        <v/>
      </c>
      <c r="J123" s="129">
        <f t="shared" si="10"/>
        <v>-7</v>
      </c>
      <c r="K123" s="129">
        <f t="shared" si="7"/>
        <v>-70</v>
      </c>
      <c r="L123" s="129"/>
      <c r="M123" s="131">
        <f t="shared" si="8"/>
        <v>0</v>
      </c>
    </row>
    <row r="124" spans="1:13" x14ac:dyDescent="0.25">
      <c r="A124" s="145"/>
      <c r="G124" s="115"/>
      <c r="H124" s="129">
        <v>119</v>
      </c>
      <c r="I124" s="130" t="str">
        <f t="shared" si="9"/>
        <v/>
      </c>
      <c r="J124" s="129">
        <f t="shared" si="10"/>
        <v>-7</v>
      </c>
      <c r="K124" s="129">
        <f t="shared" si="7"/>
        <v>-70</v>
      </c>
      <c r="L124" s="129"/>
      <c r="M124" s="131">
        <f t="shared" si="8"/>
        <v>0</v>
      </c>
    </row>
    <row r="125" spans="1:13" x14ac:dyDescent="0.25">
      <c r="A125" s="145"/>
      <c r="G125" s="115"/>
      <c r="H125" s="129">
        <v>120</v>
      </c>
      <c r="I125" s="130" t="str">
        <f t="shared" si="9"/>
        <v/>
      </c>
      <c r="J125" s="129">
        <f t="shared" si="10"/>
        <v>-7</v>
      </c>
      <c r="K125" s="129">
        <f t="shared" si="7"/>
        <v>-70</v>
      </c>
      <c r="L125" s="129"/>
      <c r="M125" s="131">
        <f t="shared" si="8"/>
        <v>0</v>
      </c>
    </row>
    <row r="126" spans="1:13" x14ac:dyDescent="0.25">
      <c r="A126" s="145"/>
      <c r="G126" s="115"/>
      <c r="H126" s="129">
        <v>121</v>
      </c>
      <c r="I126" s="130" t="str">
        <f t="shared" si="9"/>
        <v/>
      </c>
      <c r="J126" s="129">
        <f t="shared" si="10"/>
        <v>-7</v>
      </c>
      <c r="K126" s="129">
        <f t="shared" si="7"/>
        <v>-70</v>
      </c>
      <c r="L126" s="129"/>
      <c r="M126" s="131">
        <f t="shared" si="8"/>
        <v>0</v>
      </c>
    </row>
    <row r="127" spans="1:13" x14ac:dyDescent="0.25">
      <c r="A127" s="145"/>
      <c r="G127" s="115"/>
      <c r="H127" s="129">
        <v>122</v>
      </c>
      <c r="I127" s="130" t="str">
        <f t="shared" si="9"/>
        <v/>
      </c>
      <c r="J127" s="129">
        <f t="shared" si="10"/>
        <v>-7</v>
      </c>
      <c r="K127" s="129">
        <f t="shared" si="7"/>
        <v>-70</v>
      </c>
      <c r="L127" s="129"/>
      <c r="M127" s="131">
        <f t="shared" si="8"/>
        <v>0</v>
      </c>
    </row>
    <row r="128" spans="1:13" x14ac:dyDescent="0.25">
      <c r="A128" s="145"/>
      <c r="G128" s="115"/>
      <c r="H128" s="129">
        <v>123</v>
      </c>
      <c r="I128" s="130" t="str">
        <f t="shared" si="9"/>
        <v/>
      </c>
      <c r="J128" s="129">
        <f t="shared" si="10"/>
        <v>-7</v>
      </c>
      <c r="K128" s="129">
        <f t="shared" si="7"/>
        <v>-70</v>
      </c>
      <c r="L128" s="129"/>
      <c r="M128" s="131">
        <f t="shared" si="8"/>
        <v>0</v>
      </c>
    </row>
    <row r="129" spans="1:13" x14ac:dyDescent="0.25">
      <c r="A129" s="145"/>
      <c r="G129" s="115"/>
      <c r="H129" s="129">
        <v>124</v>
      </c>
      <c r="I129" s="130" t="str">
        <f t="shared" si="9"/>
        <v/>
      </c>
      <c r="J129" s="129">
        <f t="shared" si="10"/>
        <v>-7</v>
      </c>
      <c r="K129" s="129">
        <f t="shared" si="7"/>
        <v>-70</v>
      </c>
      <c r="L129" s="129"/>
      <c r="M129" s="131">
        <f t="shared" si="8"/>
        <v>0</v>
      </c>
    </row>
    <row r="130" spans="1:13" x14ac:dyDescent="0.25">
      <c r="A130" s="145"/>
      <c r="G130" s="115"/>
      <c r="H130" s="129">
        <v>125</v>
      </c>
      <c r="I130" s="130" t="str">
        <f t="shared" si="9"/>
        <v/>
      </c>
      <c r="J130" s="129">
        <f t="shared" si="10"/>
        <v>-7</v>
      </c>
      <c r="K130" s="129">
        <f t="shared" si="7"/>
        <v>-70</v>
      </c>
      <c r="L130" s="129"/>
      <c r="M130" s="131">
        <f t="shared" si="8"/>
        <v>0</v>
      </c>
    </row>
    <row r="131" spans="1:13" x14ac:dyDescent="0.25">
      <c r="A131" s="145"/>
      <c r="G131" s="115"/>
      <c r="H131" s="129">
        <v>126</v>
      </c>
      <c r="I131" s="130" t="str">
        <f t="shared" si="9"/>
        <v/>
      </c>
      <c r="J131" s="129">
        <f t="shared" si="10"/>
        <v>-7</v>
      </c>
      <c r="K131" s="129">
        <f t="shared" si="7"/>
        <v>-70</v>
      </c>
      <c r="L131" s="129"/>
      <c r="M131" s="131">
        <f t="shared" si="8"/>
        <v>0</v>
      </c>
    </row>
    <row r="132" spans="1:13" x14ac:dyDescent="0.25">
      <c r="A132" s="145"/>
      <c r="G132" s="115"/>
      <c r="H132" s="129">
        <v>127</v>
      </c>
      <c r="I132" s="130" t="str">
        <f t="shared" si="9"/>
        <v/>
      </c>
      <c r="J132" s="129">
        <f t="shared" si="10"/>
        <v>-7</v>
      </c>
      <c r="K132" s="129">
        <f t="shared" si="7"/>
        <v>-70</v>
      </c>
      <c r="L132" s="129"/>
      <c r="M132" s="131">
        <f t="shared" si="8"/>
        <v>0</v>
      </c>
    </row>
    <row r="133" spans="1:13" x14ac:dyDescent="0.25">
      <c r="A133" s="145"/>
      <c r="G133" s="115"/>
      <c r="H133" s="129">
        <v>128</v>
      </c>
      <c r="I133" s="130" t="str">
        <f t="shared" si="9"/>
        <v/>
      </c>
      <c r="J133" s="129">
        <f t="shared" si="10"/>
        <v>-7</v>
      </c>
      <c r="K133" s="129">
        <f t="shared" si="7"/>
        <v>-70</v>
      </c>
      <c r="L133" s="129"/>
      <c r="M133" s="131">
        <f t="shared" si="8"/>
        <v>0</v>
      </c>
    </row>
    <row r="134" spans="1:13" x14ac:dyDescent="0.25">
      <c r="A134" s="145"/>
      <c r="G134" s="115"/>
      <c r="H134" s="129">
        <v>129</v>
      </c>
      <c r="I134" s="130" t="str">
        <f t="shared" si="9"/>
        <v/>
      </c>
      <c r="J134" s="129">
        <f t="shared" si="10"/>
        <v>-8</v>
      </c>
      <c r="K134" s="129">
        <f t="shared" ref="K134:K197" si="11">J134*$J$2</f>
        <v>-80</v>
      </c>
      <c r="L134" s="129"/>
      <c r="M134" s="131">
        <f t="shared" ref="M134:M197" si="12">IF(I134&lt;&gt;"",K134+I134+L134,0)</f>
        <v>0</v>
      </c>
    </row>
    <row r="135" spans="1:13" x14ac:dyDescent="0.25">
      <c r="A135" s="145"/>
      <c r="G135" s="115"/>
      <c r="H135" s="129">
        <v>130</v>
      </c>
      <c r="I135" s="130" t="str">
        <f t="shared" ref="I135:I198" si="13">IF(H135&lt;$H$2+1,($I$2-($I$2-1)*(LOG(H135)/LOG($H$2))),"")</f>
        <v/>
      </c>
      <c r="J135" s="129">
        <f t="shared" ref="J135:J198" si="14">INT(LOG($H$2,2))-ROUNDUP(LOG(H135,2),0)+IF(OR($H$2=1,$H$2=2,$H$2=4,$H$2=8,$H$2=16,$H$2=32,$H$2=64,$H$2=128,$H$2=256),0,1)</f>
        <v>-8</v>
      </c>
      <c r="K135" s="129">
        <f t="shared" si="11"/>
        <v>-80</v>
      </c>
      <c r="L135" s="129"/>
      <c r="M135" s="131">
        <f t="shared" si="12"/>
        <v>0</v>
      </c>
    </row>
    <row r="136" spans="1:13" x14ac:dyDescent="0.25">
      <c r="A136" s="145"/>
      <c r="G136" s="115"/>
      <c r="H136" s="129">
        <v>131</v>
      </c>
      <c r="I136" s="130" t="str">
        <f t="shared" si="13"/>
        <v/>
      </c>
      <c r="J136" s="129">
        <f t="shared" si="14"/>
        <v>-8</v>
      </c>
      <c r="K136" s="129">
        <f t="shared" si="11"/>
        <v>-80</v>
      </c>
      <c r="L136" s="129"/>
      <c r="M136" s="131">
        <f t="shared" si="12"/>
        <v>0</v>
      </c>
    </row>
    <row r="137" spans="1:13" x14ac:dyDescent="0.25">
      <c r="A137" s="145"/>
      <c r="G137" s="115"/>
      <c r="H137" s="129">
        <v>132</v>
      </c>
      <c r="I137" s="130" t="str">
        <f t="shared" si="13"/>
        <v/>
      </c>
      <c r="J137" s="129">
        <f t="shared" si="14"/>
        <v>-8</v>
      </c>
      <c r="K137" s="129">
        <f t="shared" si="11"/>
        <v>-80</v>
      </c>
      <c r="L137" s="129"/>
      <c r="M137" s="131">
        <f t="shared" si="12"/>
        <v>0</v>
      </c>
    </row>
    <row r="138" spans="1:13" x14ac:dyDescent="0.25">
      <c r="A138" s="145"/>
      <c r="G138" s="115"/>
      <c r="H138" s="129">
        <v>133</v>
      </c>
      <c r="I138" s="130" t="str">
        <f t="shared" si="13"/>
        <v/>
      </c>
      <c r="J138" s="129">
        <f t="shared" si="14"/>
        <v>-8</v>
      </c>
      <c r="K138" s="129">
        <f t="shared" si="11"/>
        <v>-80</v>
      </c>
      <c r="L138" s="129"/>
      <c r="M138" s="131">
        <f t="shared" si="12"/>
        <v>0</v>
      </c>
    </row>
    <row r="139" spans="1:13" x14ac:dyDescent="0.25">
      <c r="A139" s="145"/>
      <c r="G139" s="115"/>
      <c r="H139" s="129">
        <v>134</v>
      </c>
      <c r="I139" s="130" t="str">
        <f t="shared" si="13"/>
        <v/>
      </c>
      <c r="J139" s="129">
        <f t="shared" si="14"/>
        <v>-8</v>
      </c>
      <c r="K139" s="129">
        <f t="shared" si="11"/>
        <v>-80</v>
      </c>
      <c r="L139" s="129"/>
      <c r="M139" s="131">
        <f t="shared" si="12"/>
        <v>0</v>
      </c>
    </row>
    <row r="140" spans="1:13" x14ac:dyDescent="0.25">
      <c r="A140" s="145"/>
      <c r="G140" s="115"/>
      <c r="H140" s="129">
        <v>135</v>
      </c>
      <c r="I140" s="130" t="str">
        <f t="shared" si="13"/>
        <v/>
      </c>
      <c r="J140" s="129">
        <f t="shared" si="14"/>
        <v>-8</v>
      </c>
      <c r="K140" s="129">
        <f t="shared" si="11"/>
        <v>-80</v>
      </c>
      <c r="L140" s="129"/>
      <c r="M140" s="131">
        <f t="shared" si="12"/>
        <v>0</v>
      </c>
    </row>
    <row r="141" spans="1:13" x14ac:dyDescent="0.25">
      <c r="A141" s="145"/>
      <c r="G141" s="115"/>
      <c r="H141" s="129">
        <v>136</v>
      </c>
      <c r="I141" s="130" t="str">
        <f t="shared" si="13"/>
        <v/>
      </c>
      <c r="J141" s="129">
        <f t="shared" si="14"/>
        <v>-8</v>
      </c>
      <c r="K141" s="129">
        <f t="shared" si="11"/>
        <v>-80</v>
      </c>
      <c r="L141" s="129"/>
      <c r="M141" s="131">
        <f t="shared" si="12"/>
        <v>0</v>
      </c>
    </row>
    <row r="142" spans="1:13" x14ac:dyDescent="0.25">
      <c r="A142" s="145"/>
      <c r="G142" s="115"/>
      <c r="H142" s="129">
        <v>137</v>
      </c>
      <c r="I142" s="130" t="str">
        <f t="shared" si="13"/>
        <v/>
      </c>
      <c r="J142" s="129">
        <f t="shared" si="14"/>
        <v>-8</v>
      </c>
      <c r="K142" s="129">
        <f t="shared" si="11"/>
        <v>-80</v>
      </c>
      <c r="L142" s="129"/>
      <c r="M142" s="131">
        <f t="shared" si="12"/>
        <v>0</v>
      </c>
    </row>
    <row r="143" spans="1:13" x14ac:dyDescent="0.25">
      <c r="A143" s="145"/>
      <c r="G143" s="115"/>
      <c r="H143" s="129">
        <v>138</v>
      </c>
      <c r="I143" s="130" t="str">
        <f t="shared" si="13"/>
        <v/>
      </c>
      <c r="J143" s="129">
        <f t="shared" si="14"/>
        <v>-8</v>
      </c>
      <c r="K143" s="129">
        <f t="shared" si="11"/>
        <v>-80</v>
      </c>
      <c r="L143" s="129"/>
      <c r="M143" s="131">
        <f t="shared" si="12"/>
        <v>0</v>
      </c>
    </row>
    <row r="144" spans="1:13" x14ac:dyDescent="0.25">
      <c r="A144" s="145"/>
      <c r="G144" s="115"/>
      <c r="H144" s="129">
        <v>139</v>
      </c>
      <c r="I144" s="130" t="str">
        <f t="shared" si="13"/>
        <v/>
      </c>
      <c r="J144" s="129">
        <f t="shared" si="14"/>
        <v>-8</v>
      </c>
      <c r="K144" s="129">
        <f t="shared" si="11"/>
        <v>-80</v>
      </c>
      <c r="L144" s="129"/>
      <c r="M144" s="131">
        <f t="shared" si="12"/>
        <v>0</v>
      </c>
    </row>
    <row r="145" spans="1:13" x14ac:dyDescent="0.25">
      <c r="A145" s="145"/>
      <c r="G145" s="115"/>
      <c r="H145" s="129">
        <v>140</v>
      </c>
      <c r="I145" s="130" t="str">
        <f t="shared" si="13"/>
        <v/>
      </c>
      <c r="J145" s="129">
        <f t="shared" si="14"/>
        <v>-8</v>
      </c>
      <c r="K145" s="129">
        <f t="shared" si="11"/>
        <v>-80</v>
      </c>
      <c r="L145" s="129"/>
      <c r="M145" s="131">
        <f t="shared" si="12"/>
        <v>0</v>
      </c>
    </row>
    <row r="146" spans="1:13" x14ac:dyDescent="0.25">
      <c r="A146" s="145"/>
      <c r="G146" s="115"/>
      <c r="H146" s="129">
        <v>141</v>
      </c>
      <c r="I146" s="130" t="str">
        <f t="shared" si="13"/>
        <v/>
      </c>
      <c r="J146" s="129">
        <f t="shared" si="14"/>
        <v>-8</v>
      </c>
      <c r="K146" s="129">
        <f t="shared" si="11"/>
        <v>-80</v>
      </c>
      <c r="L146" s="129"/>
      <c r="M146" s="131">
        <f t="shared" si="12"/>
        <v>0</v>
      </c>
    </row>
    <row r="147" spans="1:13" x14ac:dyDescent="0.25">
      <c r="A147" s="145"/>
      <c r="G147" s="115"/>
      <c r="H147" s="129">
        <v>142</v>
      </c>
      <c r="I147" s="130" t="str">
        <f t="shared" si="13"/>
        <v/>
      </c>
      <c r="J147" s="129">
        <f t="shared" si="14"/>
        <v>-8</v>
      </c>
      <c r="K147" s="129">
        <f t="shared" si="11"/>
        <v>-80</v>
      </c>
      <c r="L147" s="129"/>
      <c r="M147" s="131">
        <f t="shared" si="12"/>
        <v>0</v>
      </c>
    </row>
    <row r="148" spans="1:13" x14ac:dyDescent="0.25">
      <c r="A148" s="145"/>
      <c r="G148" s="115"/>
      <c r="H148" s="129">
        <v>143</v>
      </c>
      <c r="I148" s="130" t="str">
        <f t="shared" si="13"/>
        <v/>
      </c>
      <c r="J148" s="129">
        <f t="shared" si="14"/>
        <v>-8</v>
      </c>
      <c r="K148" s="129">
        <f t="shared" si="11"/>
        <v>-80</v>
      </c>
      <c r="L148" s="129"/>
      <c r="M148" s="131">
        <f t="shared" si="12"/>
        <v>0</v>
      </c>
    </row>
    <row r="149" spans="1:13" x14ac:dyDescent="0.25">
      <c r="A149" s="145"/>
      <c r="G149" s="115"/>
      <c r="H149" s="129">
        <v>144</v>
      </c>
      <c r="I149" s="130" t="str">
        <f t="shared" si="13"/>
        <v/>
      </c>
      <c r="J149" s="129">
        <f t="shared" si="14"/>
        <v>-8</v>
      </c>
      <c r="K149" s="129">
        <f t="shared" si="11"/>
        <v>-80</v>
      </c>
      <c r="L149" s="129"/>
      <c r="M149" s="131">
        <f t="shared" si="12"/>
        <v>0</v>
      </c>
    </row>
    <row r="150" spans="1:13" x14ac:dyDescent="0.25">
      <c r="A150" s="145"/>
      <c r="G150" s="115"/>
      <c r="H150" s="129">
        <v>145</v>
      </c>
      <c r="I150" s="130" t="str">
        <f t="shared" si="13"/>
        <v/>
      </c>
      <c r="J150" s="129">
        <f t="shared" si="14"/>
        <v>-8</v>
      </c>
      <c r="K150" s="129">
        <f t="shared" si="11"/>
        <v>-80</v>
      </c>
      <c r="L150" s="129"/>
      <c r="M150" s="131">
        <f t="shared" si="12"/>
        <v>0</v>
      </c>
    </row>
    <row r="151" spans="1:13" x14ac:dyDescent="0.25">
      <c r="A151" s="145"/>
      <c r="G151" s="115"/>
      <c r="H151" s="129">
        <v>146</v>
      </c>
      <c r="I151" s="130" t="str">
        <f t="shared" si="13"/>
        <v/>
      </c>
      <c r="J151" s="129">
        <f t="shared" si="14"/>
        <v>-8</v>
      </c>
      <c r="K151" s="129">
        <f t="shared" si="11"/>
        <v>-80</v>
      </c>
      <c r="L151" s="129"/>
      <c r="M151" s="131">
        <f t="shared" si="12"/>
        <v>0</v>
      </c>
    </row>
    <row r="152" spans="1:13" x14ac:dyDescent="0.25">
      <c r="A152" s="145"/>
      <c r="G152" s="115"/>
      <c r="H152" s="129">
        <v>147</v>
      </c>
      <c r="I152" s="130" t="str">
        <f t="shared" si="13"/>
        <v/>
      </c>
      <c r="J152" s="129">
        <f t="shared" si="14"/>
        <v>-8</v>
      </c>
      <c r="K152" s="129">
        <f t="shared" si="11"/>
        <v>-80</v>
      </c>
      <c r="L152" s="129"/>
      <c r="M152" s="131">
        <f t="shared" si="12"/>
        <v>0</v>
      </c>
    </row>
    <row r="153" spans="1:13" x14ac:dyDescent="0.25">
      <c r="A153" s="145"/>
      <c r="G153" s="115"/>
      <c r="H153" s="129">
        <v>148</v>
      </c>
      <c r="I153" s="130" t="str">
        <f t="shared" si="13"/>
        <v/>
      </c>
      <c r="J153" s="129">
        <f t="shared" si="14"/>
        <v>-8</v>
      </c>
      <c r="K153" s="129">
        <f t="shared" si="11"/>
        <v>-80</v>
      </c>
      <c r="L153" s="129"/>
      <c r="M153" s="131">
        <f t="shared" si="12"/>
        <v>0</v>
      </c>
    </row>
    <row r="154" spans="1:13" x14ac:dyDescent="0.25">
      <c r="A154" s="145"/>
      <c r="G154" s="115"/>
      <c r="H154" s="129">
        <v>149</v>
      </c>
      <c r="I154" s="130" t="str">
        <f t="shared" si="13"/>
        <v/>
      </c>
      <c r="J154" s="129">
        <f t="shared" si="14"/>
        <v>-8</v>
      </c>
      <c r="K154" s="129">
        <f t="shared" si="11"/>
        <v>-80</v>
      </c>
      <c r="L154" s="129"/>
      <c r="M154" s="131">
        <f t="shared" si="12"/>
        <v>0</v>
      </c>
    </row>
    <row r="155" spans="1:13" x14ac:dyDescent="0.25">
      <c r="A155" s="145"/>
      <c r="G155" s="115"/>
      <c r="H155" s="129">
        <v>150</v>
      </c>
      <c r="I155" s="130" t="str">
        <f t="shared" si="13"/>
        <v/>
      </c>
      <c r="J155" s="129">
        <f t="shared" si="14"/>
        <v>-8</v>
      </c>
      <c r="K155" s="129">
        <f t="shared" si="11"/>
        <v>-80</v>
      </c>
      <c r="L155" s="129"/>
      <c r="M155" s="131">
        <f t="shared" si="12"/>
        <v>0</v>
      </c>
    </row>
    <row r="156" spans="1:13" x14ac:dyDescent="0.25">
      <c r="A156" s="145"/>
      <c r="G156" s="115"/>
      <c r="H156" s="129">
        <v>151</v>
      </c>
      <c r="I156" s="130" t="str">
        <f t="shared" si="13"/>
        <v/>
      </c>
      <c r="J156" s="129">
        <f t="shared" si="14"/>
        <v>-8</v>
      </c>
      <c r="K156" s="129">
        <f t="shared" si="11"/>
        <v>-80</v>
      </c>
      <c r="L156" s="129"/>
      <c r="M156" s="131">
        <f t="shared" si="12"/>
        <v>0</v>
      </c>
    </row>
    <row r="157" spans="1:13" x14ac:dyDescent="0.25">
      <c r="A157" s="145"/>
      <c r="G157" s="115"/>
      <c r="H157" s="129">
        <v>152</v>
      </c>
      <c r="I157" s="130" t="str">
        <f t="shared" si="13"/>
        <v/>
      </c>
      <c r="J157" s="129">
        <f t="shared" si="14"/>
        <v>-8</v>
      </c>
      <c r="K157" s="129">
        <f t="shared" si="11"/>
        <v>-80</v>
      </c>
      <c r="L157" s="129"/>
      <c r="M157" s="131">
        <f t="shared" si="12"/>
        <v>0</v>
      </c>
    </row>
    <row r="158" spans="1:13" x14ac:dyDescent="0.25">
      <c r="A158" s="145"/>
      <c r="G158" s="115"/>
      <c r="H158" s="129">
        <v>153</v>
      </c>
      <c r="I158" s="130" t="str">
        <f t="shared" si="13"/>
        <v/>
      </c>
      <c r="J158" s="129">
        <f t="shared" si="14"/>
        <v>-8</v>
      </c>
      <c r="K158" s="129">
        <f t="shared" si="11"/>
        <v>-80</v>
      </c>
      <c r="L158" s="129"/>
      <c r="M158" s="131">
        <f t="shared" si="12"/>
        <v>0</v>
      </c>
    </row>
    <row r="159" spans="1:13" x14ac:dyDescent="0.25">
      <c r="A159" s="145"/>
      <c r="G159" s="115"/>
      <c r="H159" s="129">
        <v>154</v>
      </c>
      <c r="I159" s="130" t="str">
        <f t="shared" si="13"/>
        <v/>
      </c>
      <c r="J159" s="129">
        <f t="shared" si="14"/>
        <v>-8</v>
      </c>
      <c r="K159" s="129">
        <f t="shared" si="11"/>
        <v>-80</v>
      </c>
      <c r="L159" s="129"/>
      <c r="M159" s="131">
        <f t="shared" si="12"/>
        <v>0</v>
      </c>
    </row>
    <row r="160" spans="1:13" x14ac:dyDescent="0.25">
      <c r="A160" s="145"/>
      <c r="G160" s="115"/>
      <c r="H160" s="129">
        <v>155</v>
      </c>
      <c r="I160" s="130" t="str">
        <f t="shared" si="13"/>
        <v/>
      </c>
      <c r="J160" s="129">
        <f t="shared" si="14"/>
        <v>-8</v>
      </c>
      <c r="K160" s="129">
        <f t="shared" si="11"/>
        <v>-80</v>
      </c>
      <c r="L160" s="129"/>
      <c r="M160" s="131">
        <f t="shared" si="12"/>
        <v>0</v>
      </c>
    </row>
    <row r="161" spans="1:13" x14ac:dyDescent="0.25">
      <c r="A161" s="145"/>
      <c r="G161" s="115"/>
      <c r="H161" s="129">
        <v>156</v>
      </c>
      <c r="I161" s="130" t="str">
        <f t="shared" si="13"/>
        <v/>
      </c>
      <c r="J161" s="129">
        <f t="shared" si="14"/>
        <v>-8</v>
      </c>
      <c r="K161" s="129">
        <f t="shared" si="11"/>
        <v>-80</v>
      </c>
      <c r="L161" s="129"/>
      <c r="M161" s="131">
        <f t="shared" si="12"/>
        <v>0</v>
      </c>
    </row>
    <row r="162" spans="1:13" x14ac:dyDescent="0.25">
      <c r="A162" s="145"/>
      <c r="G162" s="115"/>
      <c r="H162" s="129">
        <v>157</v>
      </c>
      <c r="I162" s="130" t="str">
        <f t="shared" si="13"/>
        <v/>
      </c>
      <c r="J162" s="129">
        <f t="shared" si="14"/>
        <v>-8</v>
      </c>
      <c r="K162" s="129">
        <f t="shared" si="11"/>
        <v>-80</v>
      </c>
      <c r="L162" s="129"/>
      <c r="M162" s="131">
        <f t="shared" si="12"/>
        <v>0</v>
      </c>
    </row>
    <row r="163" spans="1:13" x14ac:dyDescent="0.25">
      <c r="A163" s="145"/>
      <c r="G163" s="115"/>
      <c r="H163" s="129">
        <v>158</v>
      </c>
      <c r="I163" s="130" t="str">
        <f t="shared" si="13"/>
        <v/>
      </c>
      <c r="J163" s="129">
        <f t="shared" si="14"/>
        <v>-8</v>
      </c>
      <c r="K163" s="129">
        <f t="shared" si="11"/>
        <v>-80</v>
      </c>
      <c r="L163" s="129"/>
      <c r="M163" s="131">
        <f t="shared" si="12"/>
        <v>0</v>
      </c>
    </row>
    <row r="164" spans="1:13" x14ac:dyDescent="0.25">
      <c r="A164" s="145"/>
      <c r="G164" s="115"/>
      <c r="H164" s="129">
        <v>159</v>
      </c>
      <c r="I164" s="130" t="str">
        <f t="shared" si="13"/>
        <v/>
      </c>
      <c r="J164" s="129">
        <f t="shared" si="14"/>
        <v>-8</v>
      </c>
      <c r="K164" s="129">
        <f t="shared" si="11"/>
        <v>-80</v>
      </c>
      <c r="L164" s="129"/>
      <c r="M164" s="131">
        <f t="shared" si="12"/>
        <v>0</v>
      </c>
    </row>
    <row r="165" spans="1:13" x14ac:dyDescent="0.25">
      <c r="A165" s="145"/>
      <c r="G165" s="115"/>
      <c r="H165" s="129">
        <v>160</v>
      </c>
      <c r="I165" s="130" t="str">
        <f t="shared" si="13"/>
        <v/>
      </c>
      <c r="J165" s="129">
        <f t="shared" si="14"/>
        <v>-8</v>
      </c>
      <c r="K165" s="129">
        <f t="shared" si="11"/>
        <v>-80</v>
      </c>
      <c r="L165" s="129"/>
      <c r="M165" s="131">
        <f t="shared" si="12"/>
        <v>0</v>
      </c>
    </row>
    <row r="166" spans="1:13" x14ac:dyDescent="0.25">
      <c r="A166" s="145"/>
      <c r="G166" s="115"/>
      <c r="H166" s="129">
        <v>161</v>
      </c>
      <c r="I166" s="130" t="str">
        <f t="shared" si="13"/>
        <v/>
      </c>
      <c r="J166" s="129">
        <f t="shared" si="14"/>
        <v>-8</v>
      </c>
      <c r="K166" s="129">
        <f t="shared" si="11"/>
        <v>-80</v>
      </c>
      <c r="L166" s="129"/>
      <c r="M166" s="131">
        <f t="shared" si="12"/>
        <v>0</v>
      </c>
    </row>
    <row r="167" spans="1:13" x14ac:dyDescent="0.25">
      <c r="A167" s="145"/>
      <c r="G167" s="115"/>
      <c r="H167" s="129">
        <v>162</v>
      </c>
      <c r="I167" s="130" t="str">
        <f t="shared" si="13"/>
        <v/>
      </c>
      <c r="J167" s="129">
        <f t="shared" si="14"/>
        <v>-8</v>
      </c>
      <c r="K167" s="129">
        <f t="shared" si="11"/>
        <v>-80</v>
      </c>
      <c r="L167" s="129"/>
      <c r="M167" s="131">
        <f t="shared" si="12"/>
        <v>0</v>
      </c>
    </row>
    <row r="168" spans="1:13" x14ac:dyDescent="0.25">
      <c r="A168" s="145"/>
      <c r="G168" s="115"/>
      <c r="H168" s="129">
        <v>163</v>
      </c>
      <c r="I168" s="130" t="str">
        <f t="shared" si="13"/>
        <v/>
      </c>
      <c r="J168" s="129">
        <f t="shared" si="14"/>
        <v>-8</v>
      </c>
      <c r="K168" s="129">
        <f t="shared" si="11"/>
        <v>-80</v>
      </c>
      <c r="L168" s="129"/>
      <c r="M168" s="131">
        <f t="shared" si="12"/>
        <v>0</v>
      </c>
    </row>
    <row r="169" spans="1:13" x14ac:dyDescent="0.25">
      <c r="A169" s="145"/>
      <c r="G169" s="115"/>
      <c r="H169" s="129">
        <v>164</v>
      </c>
      <c r="I169" s="130" t="str">
        <f t="shared" si="13"/>
        <v/>
      </c>
      <c r="J169" s="129">
        <f t="shared" si="14"/>
        <v>-8</v>
      </c>
      <c r="K169" s="129">
        <f t="shared" si="11"/>
        <v>-80</v>
      </c>
      <c r="L169" s="129"/>
      <c r="M169" s="131">
        <f t="shared" si="12"/>
        <v>0</v>
      </c>
    </row>
    <row r="170" spans="1:13" x14ac:dyDescent="0.25">
      <c r="A170" s="145"/>
      <c r="G170" s="115"/>
      <c r="H170" s="129">
        <v>165</v>
      </c>
      <c r="I170" s="130" t="str">
        <f t="shared" si="13"/>
        <v/>
      </c>
      <c r="J170" s="129">
        <f t="shared" si="14"/>
        <v>-8</v>
      </c>
      <c r="K170" s="129">
        <f t="shared" si="11"/>
        <v>-80</v>
      </c>
      <c r="L170" s="129"/>
      <c r="M170" s="131">
        <f t="shared" si="12"/>
        <v>0</v>
      </c>
    </row>
    <row r="171" spans="1:13" x14ac:dyDescent="0.25">
      <c r="A171" s="145"/>
      <c r="G171" s="115"/>
      <c r="H171" s="129">
        <v>166</v>
      </c>
      <c r="I171" s="130" t="str">
        <f t="shared" si="13"/>
        <v/>
      </c>
      <c r="J171" s="129">
        <f t="shared" si="14"/>
        <v>-8</v>
      </c>
      <c r="K171" s="129">
        <f t="shared" si="11"/>
        <v>-80</v>
      </c>
      <c r="L171" s="129"/>
      <c r="M171" s="131">
        <f t="shared" si="12"/>
        <v>0</v>
      </c>
    </row>
    <row r="172" spans="1:13" x14ac:dyDescent="0.25">
      <c r="A172" s="145"/>
      <c r="G172" s="115"/>
      <c r="H172" s="129">
        <v>167</v>
      </c>
      <c r="I172" s="130" t="str">
        <f t="shared" si="13"/>
        <v/>
      </c>
      <c r="J172" s="129">
        <f t="shared" si="14"/>
        <v>-8</v>
      </c>
      <c r="K172" s="129">
        <f t="shared" si="11"/>
        <v>-80</v>
      </c>
      <c r="L172" s="129"/>
      <c r="M172" s="131">
        <f t="shared" si="12"/>
        <v>0</v>
      </c>
    </row>
    <row r="173" spans="1:13" x14ac:dyDescent="0.25">
      <c r="A173" s="145"/>
      <c r="G173" s="115"/>
      <c r="H173" s="129">
        <v>168</v>
      </c>
      <c r="I173" s="130" t="str">
        <f t="shared" si="13"/>
        <v/>
      </c>
      <c r="J173" s="129">
        <f t="shared" si="14"/>
        <v>-8</v>
      </c>
      <c r="K173" s="129">
        <f t="shared" si="11"/>
        <v>-80</v>
      </c>
      <c r="L173" s="129"/>
      <c r="M173" s="131">
        <f t="shared" si="12"/>
        <v>0</v>
      </c>
    </row>
    <row r="174" spans="1:13" x14ac:dyDescent="0.25">
      <c r="A174" s="145"/>
      <c r="G174" s="115"/>
      <c r="H174" s="129">
        <v>169</v>
      </c>
      <c r="I174" s="130" t="str">
        <f t="shared" si="13"/>
        <v/>
      </c>
      <c r="J174" s="129">
        <f t="shared" si="14"/>
        <v>-8</v>
      </c>
      <c r="K174" s="129">
        <f t="shared" si="11"/>
        <v>-80</v>
      </c>
      <c r="L174" s="129"/>
      <c r="M174" s="131">
        <f t="shared" si="12"/>
        <v>0</v>
      </c>
    </row>
    <row r="175" spans="1:13" x14ac:dyDescent="0.25">
      <c r="A175" s="145"/>
      <c r="G175" s="115"/>
      <c r="H175" s="129">
        <v>170</v>
      </c>
      <c r="I175" s="130" t="str">
        <f t="shared" si="13"/>
        <v/>
      </c>
      <c r="J175" s="129">
        <f t="shared" si="14"/>
        <v>-8</v>
      </c>
      <c r="K175" s="129">
        <f t="shared" si="11"/>
        <v>-80</v>
      </c>
      <c r="L175" s="129"/>
      <c r="M175" s="131">
        <f t="shared" si="12"/>
        <v>0</v>
      </c>
    </row>
    <row r="176" spans="1:13" x14ac:dyDescent="0.25">
      <c r="A176" s="145"/>
      <c r="G176" s="115"/>
      <c r="H176" s="129">
        <v>171</v>
      </c>
      <c r="I176" s="130" t="str">
        <f t="shared" si="13"/>
        <v/>
      </c>
      <c r="J176" s="129">
        <f t="shared" si="14"/>
        <v>-8</v>
      </c>
      <c r="K176" s="129">
        <f t="shared" si="11"/>
        <v>-80</v>
      </c>
      <c r="L176" s="129"/>
      <c r="M176" s="131">
        <f t="shared" si="12"/>
        <v>0</v>
      </c>
    </row>
    <row r="177" spans="1:13" x14ac:dyDescent="0.25">
      <c r="A177" s="145"/>
      <c r="G177" s="115"/>
      <c r="H177" s="129">
        <v>172</v>
      </c>
      <c r="I177" s="130" t="str">
        <f t="shared" si="13"/>
        <v/>
      </c>
      <c r="J177" s="129">
        <f t="shared" si="14"/>
        <v>-8</v>
      </c>
      <c r="K177" s="129">
        <f t="shared" si="11"/>
        <v>-80</v>
      </c>
      <c r="L177" s="129"/>
      <c r="M177" s="131">
        <f t="shared" si="12"/>
        <v>0</v>
      </c>
    </row>
    <row r="178" spans="1:13" x14ac:dyDescent="0.25">
      <c r="A178" s="145"/>
      <c r="G178" s="115"/>
      <c r="H178" s="129">
        <v>173</v>
      </c>
      <c r="I178" s="130" t="str">
        <f t="shared" si="13"/>
        <v/>
      </c>
      <c r="J178" s="129">
        <f t="shared" si="14"/>
        <v>-8</v>
      </c>
      <c r="K178" s="129">
        <f t="shared" si="11"/>
        <v>-80</v>
      </c>
      <c r="L178" s="129"/>
      <c r="M178" s="131">
        <f t="shared" si="12"/>
        <v>0</v>
      </c>
    </row>
    <row r="179" spans="1:13" x14ac:dyDescent="0.25">
      <c r="A179" s="145"/>
      <c r="G179" s="115"/>
      <c r="H179" s="129">
        <v>174</v>
      </c>
      <c r="I179" s="130" t="str">
        <f t="shared" si="13"/>
        <v/>
      </c>
      <c r="J179" s="129">
        <f t="shared" si="14"/>
        <v>-8</v>
      </c>
      <c r="K179" s="129">
        <f t="shared" si="11"/>
        <v>-80</v>
      </c>
      <c r="L179" s="129"/>
      <c r="M179" s="131">
        <f t="shared" si="12"/>
        <v>0</v>
      </c>
    </row>
    <row r="180" spans="1:13" x14ac:dyDescent="0.25">
      <c r="A180" s="145"/>
      <c r="G180" s="115"/>
      <c r="H180" s="129">
        <v>175</v>
      </c>
      <c r="I180" s="130" t="str">
        <f t="shared" si="13"/>
        <v/>
      </c>
      <c r="J180" s="129">
        <f t="shared" si="14"/>
        <v>-8</v>
      </c>
      <c r="K180" s="129">
        <f t="shared" si="11"/>
        <v>-80</v>
      </c>
      <c r="L180" s="129"/>
      <c r="M180" s="131">
        <f t="shared" si="12"/>
        <v>0</v>
      </c>
    </row>
    <row r="181" spans="1:13" x14ac:dyDescent="0.25">
      <c r="A181" s="145"/>
      <c r="G181" s="115"/>
      <c r="H181" s="129">
        <v>176</v>
      </c>
      <c r="I181" s="130" t="str">
        <f t="shared" si="13"/>
        <v/>
      </c>
      <c r="J181" s="129">
        <f t="shared" si="14"/>
        <v>-8</v>
      </c>
      <c r="K181" s="129">
        <f t="shared" si="11"/>
        <v>-80</v>
      </c>
      <c r="L181" s="129"/>
      <c r="M181" s="131">
        <f t="shared" si="12"/>
        <v>0</v>
      </c>
    </row>
    <row r="182" spans="1:13" x14ac:dyDescent="0.25">
      <c r="A182" s="145"/>
      <c r="G182" s="115"/>
      <c r="H182" s="129">
        <v>177</v>
      </c>
      <c r="I182" s="130" t="str">
        <f t="shared" si="13"/>
        <v/>
      </c>
      <c r="J182" s="129">
        <f t="shared" si="14"/>
        <v>-8</v>
      </c>
      <c r="K182" s="129">
        <f t="shared" si="11"/>
        <v>-80</v>
      </c>
      <c r="L182" s="129"/>
      <c r="M182" s="131">
        <f t="shared" si="12"/>
        <v>0</v>
      </c>
    </row>
    <row r="183" spans="1:13" x14ac:dyDescent="0.25">
      <c r="A183" s="145"/>
      <c r="G183" s="115"/>
      <c r="H183" s="129">
        <v>178</v>
      </c>
      <c r="I183" s="130" t="str">
        <f t="shared" si="13"/>
        <v/>
      </c>
      <c r="J183" s="129">
        <f t="shared" si="14"/>
        <v>-8</v>
      </c>
      <c r="K183" s="129">
        <f t="shared" si="11"/>
        <v>-80</v>
      </c>
      <c r="L183" s="129"/>
      <c r="M183" s="131">
        <f t="shared" si="12"/>
        <v>0</v>
      </c>
    </row>
    <row r="184" spans="1:13" x14ac:dyDescent="0.25">
      <c r="A184" s="145"/>
      <c r="G184" s="115"/>
      <c r="H184" s="129">
        <v>179</v>
      </c>
      <c r="I184" s="130" t="str">
        <f t="shared" si="13"/>
        <v/>
      </c>
      <c r="J184" s="129">
        <f t="shared" si="14"/>
        <v>-8</v>
      </c>
      <c r="K184" s="129">
        <f t="shared" si="11"/>
        <v>-80</v>
      </c>
      <c r="L184" s="129"/>
      <c r="M184" s="131">
        <f t="shared" si="12"/>
        <v>0</v>
      </c>
    </row>
    <row r="185" spans="1:13" x14ac:dyDescent="0.25">
      <c r="A185" s="145"/>
      <c r="G185" s="115"/>
      <c r="H185" s="129">
        <v>180</v>
      </c>
      <c r="I185" s="130" t="str">
        <f t="shared" si="13"/>
        <v/>
      </c>
      <c r="J185" s="129">
        <f t="shared" si="14"/>
        <v>-8</v>
      </c>
      <c r="K185" s="129">
        <f t="shared" si="11"/>
        <v>-80</v>
      </c>
      <c r="L185" s="129"/>
      <c r="M185" s="131">
        <f t="shared" si="12"/>
        <v>0</v>
      </c>
    </row>
    <row r="186" spans="1:13" x14ac:dyDescent="0.25">
      <c r="A186" s="145"/>
      <c r="G186" s="115"/>
      <c r="H186" s="129">
        <v>181</v>
      </c>
      <c r="I186" s="130" t="str">
        <f t="shared" si="13"/>
        <v/>
      </c>
      <c r="J186" s="129">
        <f t="shared" si="14"/>
        <v>-8</v>
      </c>
      <c r="K186" s="129">
        <f t="shared" si="11"/>
        <v>-80</v>
      </c>
      <c r="L186" s="129"/>
      <c r="M186" s="131">
        <f t="shared" si="12"/>
        <v>0</v>
      </c>
    </row>
    <row r="187" spans="1:13" x14ac:dyDescent="0.25">
      <c r="A187" s="145"/>
      <c r="G187" s="115"/>
      <c r="H187" s="129">
        <v>182</v>
      </c>
      <c r="I187" s="130" t="str">
        <f t="shared" si="13"/>
        <v/>
      </c>
      <c r="J187" s="129">
        <f t="shared" si="14"/>
        <v>-8</v>
      </c>
      <c r="K187" s="129">
        <f t="shared" si="11"/>
        <v>-80</v>
      </c>
      <c r="L187" s="129"/>
      <c r="M187" s="131">
        <f t="shared" si="12"/>
        <v>0</v>
      </c>
    </row>
    <row r="188" spans="1:13" x14ac:dyDescent="0.25">
      <c r="A188" s="145"/>
      <c r="G188" s="115"/>
      <c r="H188" s="129">
        <v>183</v>
      </c>
      <c r="I188" s="130" t="str">
        <f t="shared" si="13"/>
        <v/>
      </c>
      <c r="J188" s="129">
        <f t="shared" si="14"/>
        <v>-8</v>
      </c>
      <c r="K188" s="129">
        <f t="shared" si="11"/>
        <v>-80</v>
      </c>
      <c r="L188" s="129"/>
      <c r="M188" s="131">
        <f t="shared" si="12"/>
        <v>0</v>
      </c>
    </row>
    <row r="189" spans="1:13" x14ac:dyDescent="0.25">
      <c r="A189" s="145"/>
      <c r="G189" s="115"/>
      <c r="H189" s="129">
        <v>184</v>
      </c>
      <c r="I189" s="130" t="str">
        <f t="shared" si="13"/>
        <v/>
      </c>
      <c r="J189" s="129">
        <f t="shared" si="14"/>
        <v>-8</v>
      </c>
      <c r="K189" s="129">
        <f t="shared" si="11"/>
        <v>-80</v>
      </c>
      <c r="L189" s="129"/>
      <c r="M189" s="131">
        <f t="shared" si="12"/>
        <v>0</v>
      </c>
    </row>
    <row r="190" spans="1:13" x14ac:dyDescent="0.25">
      <c r="A190" s="145"/>
      <c r="G190" s="115"/>
      <c r="H190" s="129">
        <v>185</v>
      </c>
      <c r="I190" s="130" t="str">
        <f t="shared" si="13"/>
        <v/>
      </c>
      <c r="J190" s="129">
        <f t="shared" si="14"/>
        <v>-8</v>
      </c>
      <c r="K190" s="129">
        <f t="shared" si="11"/>
        <v>-80</v>
      </c>
      <c r="L190" s="129"/>
      <c r="M190" s="131">
        <f t="shared" si="12"/>
        <v>0</v>
      </c>
    </row>
    <row r="191" spans="1:13" x14ac:dyDescent="0.25">
      <c r="A191" s="145"/>
      <c r="G191" s="115"/>
      <c r="H191" s="129">
        <v>186</v>
      </c>
      <c r="I191" s="130" t="str">
        <f t="shared" si="13"/>
        <v/>
      </c>
      <c r="J191" s="129">
        <f t="shared" si="14"/>
        <v>-8</v>
      </c>
      <c r="K191" s="129">
        <f t="shared" si="11"/>
        <v>-80</v>
      </c>
      <c r="L191" s="129"/>
      <c r="M191" s="131">
        <f t="shared" si="12"/>
        <v>0</v>
      </c>
    </row>
    <row r="192" spans="1:13" x14ac:dyDescent="0.25">
      <c r="A192" s="145"/>
      <c r="G192" s="115"/>
      <c r="H192" s="129">
        <v>187</v>
      </c>
      <c r="I192" s="130" t="str">
        <f t="shared" si="13"/>
        <v/>
      </c>
      <c r="J192" s="129">
        <f t="shared" si="14"/>
        <v>-8</v>
      </c>
      <c r="K192" s="129">
        <f t="shared" si="11"/>
        <v>-80</v>
      </c>
      <c r="L192" s="129"/>
      <c r="M192" s="131">
        <f t="shared" si="12"/>
        <v>0</v>
      </c>
    </row>
    <row r="193" spans="1:13" x14ac:dyDescent="0.25">
      <c r="A193" s="145"/>
      <c r="G193" s="115"/>
      <c r="H193" s="129">
        <v>188</v>
      </c>
      <c r="I193" s="130" t="str">
        <f t="shared" si="13"/>
        <v/>
      </c>
      <c r="J193" s="129">
        <f t="shared" si="14"/>
        <v>-8</v>
      </c>
      <c r="K193" s="129">
        <f t="shared" si="11"/>
        <v>-80</v>
      </c>
      <c r="L193" s="129"/>
      <c r="M193" s="131">
        <f t="shared" si="12"/>
        <v>0</v>
      </c>
    </row>
    <row r="194" spans="1:13" x14ac:dyDescent="0.25">
      <c r="A194" s="145"/>
      <c r="G194" s="115"/>
      <c r="H194" s="129">
        <v>189</v>
      </c>
      <c r="I194" s="130" t="str">
        <f t="shared" si="13"/>
        <v/>
      </c>
      <c r="J194" s="129">
        <f t="shared" si="14"/>
        <v>-8</v>
      </c>
      <c r="K194" s="129">
        <f t="shared" si="11"/>
        <v>-80</v>
      </c>
      <c r="L194" s="129"/>
      <c r="M194" s="131">
        <f t="shared" si="12"/>
        <v>0</v>
      </c>
    </row>
    <row r="195" spans="1:13" x14ac:dyDescent="0.25">
      <c r="A195" s="145"/>
      <c r="G195" s="115"/>
      <c r="H195" s="129">
        <v>190</v>
      </c>
      <c r="I195" s="130" t="str">
        <f t="shared" si="13"/>
        <v/>
      </c>
      <c r="J195" s="129">
        <f t="shared" si="14"/>
        <v>-8</v>
      </c>
      <c r="K195" s="129">
        <f t="shared" si="11"/>
        <v>-80</v>
      </c>
      <c r="L195" s="129"/>
      <c r="M195" s="131">
        <f t="shared" si="12"/>
        <v>0</v>
      </c>
    </row>
    <row r="196" spans="1:13" x14ac:dyDescent="0.25">
      <c r="A196" s="145"/>
      <c r="G196" s="115"/>
      <c r="H196" s="129">
        <v>191</v>
      </c>
      <c r="I196" s="130" t="str">
        <f t="shared" si="13"/>
        <v/>
      </c>
      <c r="J196" s="129">
        <f t="shared" si="14"/>
        <v>-8</v>
      </c>
      <c r="K196" s="129">
        <f t="shared" si="11"/>
        <v>-80</v>
      </c>
      <c r="L196" s="129"/>
      <c r="M196" s="131">
        <f t="shared" si="12"/>
        <v>0</v>
      </c>
    </row>
    <row r="197" spans="1:13" x14ac:dyDescent="0.25">
      <c r="A197" s="145"/>
      <c r="G197" s="115"/>
      <c r="H197" s="129">
        <v>192</v>
      </c>
      <c r="I197" s="130" t="str">
        <f t="shared" si="13"/>
        <v/>
      </c>
      <c r="J197" s="129">
        <f t="shared" si="14"/>
        <v>-8</v>
      </c>
      <c r="K197" s="129">
        <f t="shared" si="11"/>
        <v>-80</v>
      </c>
      <c r="L197" s="129"/>
      <c r="M197" s="131">
        <f t="shared" si="12"/>
        <v>0</v>
      </c>
    </row>
    <row r="198" spans="1:13" x14ac:dyDescent="0.25">
      <c r="A198" s="145"/>
      <c r="G198" s="115"/>
      <c r="H198" s="129">
        <v>193</v>
      </c>
      <c r="I198" s="130" t="str">
        <f t="shared" si="13"/>
        <v/>
      </c>
      <c r="J198" s="129">
        <f t="shared" si="14"/>
        <v>-8</v>
      </c>
      <c r="K198" s="129">
        <f t="shared" ref="K198:K261" si="15">J198*$J$2</f>
        <v>-80</v>
      </c>
      <c r="L198" s="129"/>
      <c r="M198" s="131">
        <f t="shared" ref="M198:M261" si="16">IF(I198&lt;&gt;"",K198+I198+L198,0)</f>
        <v>0</v>
      </c>
    </row>
    <row r="199" spans="1:13" x14ac:dyDescent="0.25">
      <c r="A199" s="145"/>
      <c r="G199" s="115"/>
      <c r="H199" s="129">
        <v>194</v>
      </c>
      <c r="I199" s="130" t="str">
        <f t="shared" ref="I199:I262" si="17">IF(H199&lt;$H$2+1,($I$2-($I$2-1)*(LOG(H199)/LOG($H$2))),"")</f>
        <v/>
      </c>
      <c r="J199" s="129">
        <f t="shared" ref="J199:J262" si="18">INT(LOG($H$2,2))-ROUNDUP(LOG(H199,2),0)+IF(OR($H$2=1,$H$2=2,$H$2=4,$H$2=8,$H$2=16,$H$2=32,$H$2=64,$H$2=128,$H$2=256),0,1)</f>
        <v>-8</v>
      </c>
      <c r="K199" s="129">
        <f t="shared" si="15"/>
        <v>-80</v>
      </c>
      <c r="L199" s="129"/>
      <c r="M199" s="131">
        <f t="shared" si="16"/>
        <v>0</v>
      </c>
    </row>
    <row r="200" spans="1:13" x14ac:dyDescent="0.25">
      <c r="A200" s="145"/>
      <c r="G200" s="115"/>
      <c r="H200" s="129">
        <v>195</v>
      </c>
      <c r="I200" s="130" t="str">
        <f t="shared" si="17"/>
        <v/>
      </c>
      <c r="J200" s="129">
        <f t="shared" si="18"/>
        <v>-8</v>
      </c>
      <c r="K200" s="129">
        <f t="shared" si="15"/>
        <v>-80</v>
      </c>
      <c r="L200" s="129"/>
      <c r="M200" s="131">
        <f t="shared" si="16"/>
        <v>0</v>
      </c>
    </row>
    <row r="201" spans="1:13" x14ac:dyDescent="0.25">
      <c r="A201" s="145"/>
      <c r="G201" s="115"/>
      <c r="H201" s="129">
        <v>196</v>
      </c>
      <c r="I201" s="130" t="str">
        <f t="shared" si="17"/>
        <v/>
      </c>
      <c r="J201" s="129">
        <f t="shared" si="18"/>
        <v>-8</v>
      </c>
      <c r="K201" s="129">
        <f t="shared" si="15"/>
        <v>-80</v>
      </c>
      <c r="L201" s="129"/>
      <c r="M201" s="131">
        <f t="shared" si="16"/>
        <v>0</v>
      </c>
    </row>
    <row r="202" spans="1:13" x14ac:dyDescent="0.25">
      <c r="A202" s="145"/>
      <c r="G202" s="115"/>
      <c r="H202" s="129">
        <v>197</v>
      </c>
      <c r="I202" s="130" t="str">
        <f t="shared" si="17"/>
        <v/>
      </c>
      <c r="J202" s="129">
        <f t="shared" si="18"/>
        <v>-8</v>
      </c>
      <c r="K202" s="129">
        <f t="shared" si="15"/>
        <v>-80</v>
      </c>
      <c r="L202" s="129"/>
      <c r="M202" s="131">
        <f t="shared" si="16"/>
        <v>0</v>
      </c>
    </row>
    <row r="203" spans="1:13" x14ac:dyDescent="0.25">
      <c r="A203" s="145"/>
      <c r="G203" s="115"/>
      <c r="H203" s="129">
        <v>198</v>
      </c>
      <c r="I203" s="130" t="str">
        <f t="shared" si="17"/>
        <v/>
      </c>
      <c r="J203" s="129">
        <f t="shared" si="18"/>
        <v>-8</v>
      </c>
      <c r="K203" s="129">
        <f t="shared" si="15"/>
        <v>-80</v>
      </c>
      <c r="L203" s="129"/>
      <c r="M203" s="131">
        <f t="shared" si="16"/>
        <v>0</v>
      </c>
    </row>
    <row r="204" spans="1:13" x14ac:dyDescent="0.25">
      <c r="A204" s="145"/>
      <c r="G204" s="115"/>
      <c r="H204" s="129">
        <v>199</v>
      </c>
      <c r="I204" s="130" t="str">
        <f t="shared" si="17"/>
        <v/>
      </c>
      <c r="J204" s="129">
        <f t="shared" si="18"/>
        <v>-8</v>
      </c>
      <c r="K204" s="129">
        <f t="shared" si="15"/>
        <v>-80</v>
      </c>
      <c r="L204" s="129"/>
      <c r="M204" s="131">
        <f t="shared" si="16"/>
        <v>0</v>
      </c>
    </row>
    <row r="205" spans="1:13" x14ac:dyDescent="0.25">
      <c r="A205" s="145"/>
      <c r="G205" s="115"/>
      <c r="H205" s="129">
        <v>200</v>
      </c>
      <c r="I205" s="130" t="str">
        <f t="shared" si="17"/>
        <v/>
      </c>
      <c r="J205" s="129">
        <f t="shared" si="18"/>
        <v>-8</v>
      </c>
      <c r="K205" s="129">
        <f t="shared" si="15"/>
        <v>-80</v>
      </c>
      <c r="L205" s="129"/>
      <c r="M205" s="131">
        <f t="shared" si="16"/>
        <v>0</v>
      </c>
    </row>
    <row r="206" spans="1:13" x14ac:dyDescent="0.25">
      <c r="A206" s="145"/>
      <c r="G206" s="115"/>
      <c r="H206" s="129">
        <v>201</v>
      </c>
      <c r="I206" s="130" t="str">
        <f t="shared" si="17"/>
        <v/>
      </c>
      <c r="J206" s="129">
        <f t="shared" si="18"/>
        <v>-8</v>
      </c>
      <c r="K206" s="129">
        <f t="shared" si="15"/>
        <v>-80</v>
      </c>
      <c r="L206" s="129"/>
      <c r="M206" s="131">
        <f t="shared" si="16"/>
        <v>0</v>
      </c>
    </row>
    <row r="207" spans="1:13" x14ac:dyDescent="0.25">
      <c r="A207" s="145"/>
      <c r="G207" s="115"/>
      <c r="H207" s="129">
        <v>202</v>
      </c>
      <c r="I207" s="130" t="str">
        <f t="shared" si="17"/>
        <v/>
      </c>
      <c r="J207" s="129">
        <f t="shared" si="18"/>
        <v>-8</v>
      </c>
      <c r="K207" s="129">
        <f t="shared" si="15"/>
        <v>-80</v>
      </c>
      <c r="L207" s="129"/>
      <c r="M207" s="131">
        <f t="shared" si="16"/>
        <v>0</v>
      </c>
    </row>
    <row r="208" spans="1:13" x14ac:dyDescent="0.25">
      <c r="A208" s="145"/>
      <c r="G208" s="115"/>
      <c r="H208" s="129">
        <v>203</v>
      </c>
      <c r="I208" s="130" t="str">
        <f t="shared" si="17"/>
        <v/>
      </c>
      <c r="J208" s="129">
        <f t="shared" si="18"/>
        <v>-8</v>
      </c>
      <c r="K208" s="129">
        <f t="shared" si="15"/>
        <v>-80</v>
      </c>
      <c r="L208" s="129"/>
      <c r="M208" s="131">
        <f t="shared" si="16"/>
        <v>0</v>
      </c>
    </row>
    <row r="209" spans="1:13" x14ac:dyDescent="0.25">
      <c r="A209" s="145"/>
      <c r="G209" s="115"/>
      <c r="H209" s="129">
        <v>204</v>
      </c>
      <c r="I209" s="130" t="str">
        <f t="shared" si="17"/>
        <v/>
      </c>
      <c r="J209" s="129">
        <f t="shared" si="18"/>
        <v>-8</v>
      </c>
      <c r="K209" s="129">
        <f t="shared" si="15"/>
        <v>-80</v>
      </c>
      <c r="L209" s="129"/>
      <c r="M209" s="131">
        <f t="shared" si="16"/>
        <v>0</v>
      </c>
    </row>
    <row r="210" spans="1:13" x14ac:dyDescent="0.25">
      <c r="A210" s="145"/>
      <c r="G210" s="115"/>
      <c r="H210" s="129">
        <v>205</v>
      </c>
      <c r="I210" s="130" t="str">
        <f t="shared" si="17"/>
        <v/>
      </c>
      <c r="J210" s="129">
        <f t="shared" si="18"/>
        <v>-8</v>
      </c>
      <c r="K210" s="129">
        <f t="shared" si="15"/>
        <v>-80</v>
      </c>
      <c r="L210" s="129"/>
      <c r="M210" s="131">
        <f t="shared" si="16"/>
        <v>0</v>
      </c>
    </row>
    <row r="211" spans="1:13" x14ac:dyDescent="0.25">
      <c r="A211" s="145"/>
      <c r="G211" s="115"/>
      <c r="H211" s="129">
        <v>206</v>
      </c>
      <c r="I211" s="130" t="str">
        <f t="shared" si="17"/>
        <v/>
      </c>
      <c r="J211" s="129">
        <f t="shared" si="18"/>
        <v>-8</v>
      </c>
      <c r="K211" s="129">
        <f t="shared" si="15"/>
        <v>-80</v>
      </c>
      <c r="L211" s="129"/>
      <c r="M211" s="131">
        <f t="shared" si="16"/>
        <v>0</v>
      </c>
    </row>
    <row r="212" spans="1:13" x14ac:dyDescent="0.25">
      <c r="A212" s="145"/>
      <c r="G212" s="115"/>
      <c r="H212" s="129">
        <v>207</v>
      </c>
      <c r="I212" s="130" t="str">
        <f t="shared" si="17"/>
        <v/>
      </c>
      <c r="J212" s="129">
        <f t="shared" si="18"/>
        <v>-8</v>
      </c>
      <c r="K212" s="129">
        <f t="shared" si="15"/>
        <v>-80</v>
      </c>
      <c r="L212" s="129"/>
      <c r="M212" s="131">
        <f t="shared" si="16"/>
        <v>0</v>
      </c>
    </row>
    <row r="213" spans="1:13" x14ac:dyDescent="0.25">
      <c r="A213" s="145"/>
      <c r="G213" s="115"/>
      <c r="H213" s="129">
        <v>208</v>
      </c>
      <c r="I213" s="130" t="str">
        <f t="shared" si="17"/>
        <v/>
      </c>
      <c r="J213" s="129">
        <f t="shared" si="18"/>
        <v>-8</v>
      </c>
      <c r="K213" s="129">
        <f t="shared" si="15"/>
        <v>-80</v>
      </c>
      <c r="L213" s="129"/>
      <c r="M213" s="131">
        <f t="shared" si="16"/>
        <v>0</v>
      </c>
    </row>
    <row r="214" spans="1:13" x14ac:dyDescent="0.25">
      <c r="A214" s="145"/>
      <c r="G214" s="115"/>
      <c r="H214" s="129">
        <v>209</v>
      </c>
      <c r="I214" s="130" t="str">
        <f t="shared" si="17"/>
        <v/>
      </c>
      <c r="J214" s="129">
        <f t="shared" si="18"/>
        <v>-8</v>
      </c>
      <c r="K214" s="129">
        <f t="shared" si="15"/>
        <v>-80</v>
      </c>
      <c r="L214" s="129"/>
      <c r="M214" s="131">
        <f t="shared" si="16"/>
        <v>0</v>
      </c>
    </row>
    <row r="215" spans="1:13" x14ac:dyDescent="0.25">
      <c r="A215" s="145"/>
      <c r="G215" s="115"/>
      <c r="H215" s="129">
        <v>210</v>
      </c>
      <c r="I215" s="130" t="str">
        <f t="shared" si="17"/>
        <v/>
      </c>
      <c r="J215" s="129">
        <f t="shared" si="18"/>
        <v>-8</v>
      </c>
      <c r="K215" s="129">
        <f t="shared" si="15"/>
        <v>-80</v>
      </c>
      <c r="L215" s="129"/>
      <c r="M215" s="131">
        <f t="shared" si="16"/>
        <v>0</v>
      </c>
    </row>
    <row r="216" spans="1:13" x14ac:dyDescent="0.25">
      <c r="A216" s="145"/>
      <c r="G216" s="115"/>
      <c r="H216" s="129">
        <v>211</v>
      </c>
      <c r="I216" s="130" t="str">
        <f t="shared" si="17"/>
        <v/>
      </c>
      <c r="J216" s="129">
        <f t="shared" si="18"/>
        <v>-8</v>
      </c>
      <c r="K216" s="129">
        <f t="shared" si="15"/>
        <v>-80</v>
      </c>
      <c r="L216" s="129"/>
      <c r="M216" s="131">
        <f t="shared" si="16"/>
        <v>0</v>
      </c>
    </row>
    <row r="217" spans="1:13" x14ac:dyDescent="0.25">
      <c r="A217" s="145"/>
      <c r="G217" s="115"/>
      <c r="H217" s="129">
        <v>212</v>
      </c>
      <c r="I217" s="130" t="str">
        <f t="shared" si="17"/>
        <v/>
      </c>
      <c r="J217" s="129">
        <f t="shared" si="18"/>
        <v>-8</v>
      </c>
      <c r="K217" s="129">
        <f t="shared" si="15"/>
        <v>-80</v>
      </c>
      <c r="L217" s="129"/>
      <c r="M217" s="131">
        <f t="shared" si="16"/>
        <v>0</v>
      </c>
    </row>
    <row r="218" spans="1:13" x14ac:dyDescent="0.25">
      <c r="A218" s="145"/>
      <c r="G218" s="115"/>
      <c r="H218" s="129">
        <v>213</v>
      </c>
      <c r="I218" s="130" t="str">
        <f t="shared" si="17"/>
        <v/>
      </c>
      <c r="J218" s="129">
        <f t="shared" si="18"/>
        <v>-8</v>
      </c>
      <c r="K218" s="129">
        <f t="shared" si="15"/>
        <v>-80</v>
      </c>
      <c r="L218" s="129"/>
      <c r="M218" s="131">
        <f t="shared" si="16"/>
        <v>0</v>
      </c>
    </row>
    <row r="219" spans="1:13" x14ac:dyDescent="0.25">
      <c r="A219" s="145"/>
      <c r="G219" s="115"/>
      <c r="H219" s="129">
        <v>214</v>
      </c>
      <c r="I219" s="130" t="str">
        <f t="shared" si="17"/>
        <v/>
      </c>
      <c r="J219" s="129">
        <f t="shared" si="18"/>
        <v>-8</v>
      </c>
      <c r="K219" s="129">
        <f t="shared" si="15"/>
        <v>-80</v>
      </c>
      <c r="L219" s="129"/>
      <c r="M219" s="131">
        <f t="shared" si="16"/>
        <v>0</v>
      </c>
    </row>
    <row r="220" spans="1:13" x14ac:dyDescent="0.25">
      <c r="A220" s="145"/>
      <c r="G220" s="115"/>
      <c r="H220" s="129">
        <v>215</v>
      </c>
      <c r="I220" s="130" t="str">
        <f t="shared" si="17"/>
        <v/>
      </c>
      <c r="J220" s="129">
        <f t="shared" si="18"/>
        <v>-8</v>
      </c>
      <c r="K220" s="129">
        <f t="shared" si="15"/>
        <v>-80</v>
      </c>
      <c r="L220" s="129"/>
      <c r="M220" s="131">
        <f t="shared" si="16"/>
        <v>0</v>
      </c>
    </row>
    <row r="221" spans="1:13" x14ac:dyDescent="0.25">
      <c r="A221" s="145"/>
      <c r="G221" s="115"/>
      <c r="H221" s="129">
        <v>216</v>
      </c>
      <c r="I221" s="130" t="str">
        <f t="shared" si="17"/>
        <v/>
      </c>
      <c r="J221" s="129">
        <f t="shared" si="18"/>
        <v>-8</v>
      </c>
      <c r="K221" s="129">
        <f t="shared" si="15"/>
        <v>-80</v>
      </c>
      <c r="L221" s="129"/>
      <c r="M221" s="131">
        <f t="shared" si="16"/>
        <v>0</v>
      </c>
    </row>
    <row r="222" spans="1:13" x14ac:dyDescent="0.25">
      <c r="A222" s="145"/>
      <c r="G222" s="115"/>
      <c r="H222" s="129">
        <v>217</v>
      </c>
      <c r="I222" s="130" t="str">
        <f t="shared" si="17"/>
        <v/>
      </c>
      <c r="J222" s="129">
        <f t="shared" si="18"/>
        <v>-8</v>
      </c>
      <c r="K222" s="129">
        <f t="shared" si="15"/>
        <v>-80</v>
      </c>
      <c r="L222" s="129"/>
      <c r="M222" s="131">
        <f t="shared" si="16"/>
        <v>0</v>
      </c>
    </row>
    <row r="223" spans="1:13" x14ac:dyDescent="0.25">
      <c r="A223" s="145"/>
      <c r="G223" s="115"/>
      <c r="H223" s="129">
        <v>218</v>
      </c>
      <c r="I223" s="130" t="str">
        <f t="shared" si="17"/>
        <v/>
      </c>
      <c r="J223" s="129">
        <f t="shared" si="18"/>
        <v>-8</v>
      </c>
      <c r="K223" s="129">
        <f t="shared" si="15"/>
        <v>-80</v>
      </c>
      <c r="L223" s="129"/>
      <c r="M223" s="131">
        <f t="shared" si="16"/>
        <v>0</v>
      </c>
    </row>
    <row r="224" spans="1:13" x14ac:dyDescent="0.25">
      <c r="A224" s="145"/>
      <c r="G224" s="115"/>
      <c r="H224" s="129">
        <v>219</v>
      </c>
      <c r="I224" s="130" t="str">
        <f t="shared" si="17"/>
        <v/>
      </c>
      <c r="J224" s="129">
        <f t="shared" si="18"/>
        <v>-8</v>
      </c>
      <c r="K224" s="129">
        <f t="shared" si="15"/>
        <v>-80</v>
      </c>
      <c r="L224" s="129"/>
      <c r="M224" s="131">
        <f t="shared" si="16"/>
        <v>0</v>
      </c>
    </row>
    <row r="225" spans="1:13" x14ac:dyDescent="0.25">
      <c r="A225" s="145"/>
      <c r="G225" s="115"/>
      <c r="H225" s="129">
        <v>220</v>
      </c>
      <c r="I225" s="130" t="str">
        <f t="shared" si="17"/>
        <v/>
      </c>
      <c r="J225" s="129">
        <f t="shared" si="18"/>
        <v>-8</v>
      </c>
      <c r="K225" s="129">
        <f t="shared" si="15"/>
        <v>-80</v>
      </c>
      <c r="L225" s="129"/>
      <c r="M225" s="131">
        <f t="shared" si="16"/>
        <v>0</v>
      </c>
    </row>
    <row r="226" spans="1:13" x14ac:dyDescent="0.25">
      <c r="A226" s="145"/>
      <c r="G226" s="115"/>
      <c r="H226" s="129">
        <v>221</v>
      </c>
      <c r="I226" s="130" t="str">
        <f t="shared" si="17"/>
        <v/>
      </c>
      <c r="J226" s="129">
        <f t="shared" si="18"/>
        <v>-8</v>
      </c>
      <c r="K226" s="129">
        <f t="shared" si="15"/>
        <v>-80</v>
      </c>
      <c r="L226" s="129"/>
      <c r="M226" s="131">
        <f t="shared" si="16"/>
        <v>0</v>
      </c>
    </row>
    <row r="227" spans="1:13" x14ac:dyDescent="0.25">
      <c r="A227" s="145"/>
      <c r="G227" s="115"/>
      <c r="H227" s="129">
        <v>222</v>
      </c>
      <c r="I227" s="130" t="str">
        <f t="shared" si="17"/>
        <v/>
      </c>
      <c r="J227" s="129">
        <f t="shared" si="18"/>
        <v>-8</v>
      </c>
      <c r="K227" s="129">
        <f t="shared" si="15"/>
        <v>-80</v>
      </c>
      <c r="L227" s="129"/>
      <c r="M227" s="131">
        <f t="shared" si="16"/>
        <v>0</v>
      </c>
    </row>
    <row r="228" spans="1:13" x14ac:dyDescent="0.25">
      <c r="A228" s="145"/>
      <c r="G228" s="115"/>
      <c r="H228" s="129">
        <v>223</v>
      </c>
      <c r="I228" s="130" t="str">
        <f t="shared" si="17"/>
        <v/>
      </c>
      <c r="J228" s="129">
        <f t="shared" si="18"/>
        <v>-8</v>
      </c>
      <c r="K228" s="129">
        <f t="shared" si="15"/>
        <v>-80</v>
      </c>
      <c r="L228" s="129"/>
      <c r="M228" s="131">
        <f t="shared" si="16"/>
        <v>0</v>
      </c>
    </row>
    <row r="229" spans="1:13" x14ac:dyDescent="0.25">
      <c r="A229" s="145"/>
      <c r="G229" s="115"/>
      <c r="H229" s="129">
        <v>224</v>
      </c>
      <c r="I229" s="130" t="str">
        <f t="shared" si="17"/>
        <v/>
      </c>
      <c r="J229" s="129">
        <f t="shared" si="18"/>
        <v>-8</v>
      </c>
      <c r="K229" s="129">
        <f t="shared" si="15"/>
        <v>-80</v>
      </c>
      <c r="L229" s="129"/>
      <c r="M229" s="131">
        <f t="shared" si="16"/>
        <v>0</v>
      </c>
    </row>
    <row r="230" spans="1:13" x14ac:dyDescent="0.25">
      <c r="A230" s="145"/>
      <c r="G230" s="115"/>
      <c r="H230" s="129">
        <v>225</v>
      </c>
      <c r="I230" s="130" t="str">
        <f t="shared" si="17"/>
        <v/>
      </c>
      <c r="J230" s="129">
        <f t="shared" si="18"/>
        <v>-8</v>
      </c>
      <c r="K230" s="129">
        <f t="shared" si="15"/>
        <v>-80</v>
      </c>
      <c r="L230" s="129"/>
      <c r="M230" s="131">
        <f t="shared" si="16"/>
        <v>0</v>
      </c>
    </row>
    <row r="231" spans="1:13" x14ac:dyDescent="0.25">
      <c r="A231" s="145"/>
      <c r="G231" s="115"/>
      <c r="H231" s="129">
        <v>226</v>
      </c>
      <c r="I231" s="130" t="str">
        <f t="shared" si="17"/>
        <v/>
      </c>
      <c r="J231" s="129">
        <f t="shared" si="18"/>
        <v>-8</v>
      </c>
      <c r="K231" s="129">
        <f t="shared" si="15"/>
        <v>-80</v>
      </c>
      <c r="L231" s="129"/>
      <c r="M231" s="131">
        <f t="shared" si="16"/>
        <v>0</v>
      </c>
    </row>
    <row r="232" spans="1:13" x14ac:dyDescent="0.25">
      <c r="A232" s="145"/>
      <c r="G232" s="115"/>
      <c r="H232" s="129">
        <v>227</v>
      </c>
      <c r="I232" s="130" t="str">
        <f t="shared" si="17"/>
        <v/>
      </c>
      <c r="J232" s="129">
        <f t="shared" si="18"/>
        <v>-8</v>
      </c>
      <c r="K232" s="129">
        <f t="shared" si="15"/>
        <v>-80</v>
      </c>
      <c r="L232" s="129"/>
      <c r="M232" s="131">
        <f t="shared" si="16"/>
        <v>0</v>
      </c>
    </row>
    <row r="233" spans="1:13" x14ac:dyDescent="0.25">
      <c r="A233" s="145"/>
      <c r="G233" s="115"/>
      <c r="H233" s="129">
        <v>228</v>
      </c>
      <c r="I233" s="130" t="str">
        <f t="shared" si="17"/>
        <v/>
      </c>
      <c r="J233" s="129">
        <f t="shared" si="18"/>
        <v>-8</v>
      </c>
      <c r="K233" s="129">
        <f t="shared" si="15"/>
        <v>-80</v>
      </c>
      <c r="L233" s="129"/>
      <c r="M233" s="131">
        <f t="shared" si="16"/>
        <v>0</v>
      </c>
    </row>
    <row r="234" spans="1:13" x14ac:dyDescent="0.25">
      <c r="A234" s="145"/>
      <c r="G234" s="115"/>
      <c r="H234" s="129">
        <v>229</v>
      </c>
      <c r="I234" s="130" t="str">
        <f t="shared" si="17"/>
        <v/>
      </c>
      <c r="J234" s="129">
        <f t="shared" si="18"/>
        <v>-8</v>
      </c>
      <c r="K234" s="129">
        <f t="shared" si="15"/>
        <v>-80</v>
      </c>
      <c r="L234" s="129"/>
      <c r="M234" s="131">
        <f t="shared" si="16"/>
        <v>0</v>
      </c>
    </row>
    <row r="235" spans="1:13" x14ac:dyDescent="0.25">
      <c r="A235" s="145"/>
      <c r="G235" s="115"/>
      <c r="H235" s="129">
        <v>230</v>
      </c>
      <c r="I235" s="130" t="str">
        <f t="shared" si="17"/>
        <v/>
      </c>
      <c r="J235" s="129">
        <f t="shared" si="18"/>
        <v>-8</v>
      </c>
      <c r="K235" s="129">
        <f t="shared" si="15"/>
        <v>-80</v>
      </c>
      <c r="L235" s="129"/>
      <c r="M235" s="131">
        <f t="shared" si="16"/>
        <v>0</v>
      </c>
    </row>
    <row r="236" spans="1:13" x14ac:dyDescent="0.25">
      <c r="A236" s="145"/>
      <c r="G236" s="115"/>
      <c r="H236" s="129">
        <v>231</v>
      </c>
      <c r="I236" s="130" t="str">
        <f t="shared" si="17"/>
        <v/>
      </c>
      <c r="J236" s="129">
        <f t="shared" si="18"/>
        <v>-8</v>
      </c>
      <c r="K236" s="129">
        <f t="shared" si="15"/>
        <v>-80</v>
      </c>
      <c r="L236" s="129"/>
      <c r="M236" s="131">
        <f t="shared" si="16"/>
        <v>0</v>
      </c>
    </row>
    <row r="237" spans="1:13" x14ac:dyDescent="0.25">
      <c r="A237" s="145"/>
      <c r="G237" s="115"/>
      <c r="H237" s="129">
        <v>232</v>
      </c>
      <c r="I237" s="130" t="str">
        <f t="shared" si="17"/>
        <v/>
      </c>
      <c r="J237" s="129">
        <f t="shared" si="18"/>
        <v>-8</v>
      </c>
      <c r="K237" s="129">
        <f t="shared" si="15"/>
        <v>-80</v>
      </c>
      <c r="L237" s="129"/>
      <c r="M237" s="131">
        <f t="shared" si="16"/>
        <v>0</v>
      </c>
    </row>
    <row r="238" spans="1:13" x14ac:dyDescent="0.25">
      <c r="A238" s="145"/>
      <c r="G238" s="115"/>
      <c r="H238" s="129">
        <v>233</v>
      </c>
      <c r="I238" s="130" t="str">
        <f t="shared" si="17"/>
        <v/>
      </c>
      <c r="J238" s="129">
        <f t="shared" si="18"/>
        <v>-8</v>
      </c>
      <c r="K238" s="129">
        <f t="shared" si="15"/>
        <v>-80</v>
      </c>
      <c r="L238" s="129"/>
      <c r="M238" s="131">
        <f t="shared" si="16"/>
        <v>0</v>
      </c>
    </row>
    <row r="239" spans="1:13" x14ac:dyDescent="0.25">
      <c r="A239" s="145"/>
      <c r="G239" s="115"/>
      <c r="H239" s="129">
        <v>234</v>
      </c>
      <c r="I239" s="130" t="str">
        <f t="shared" si="17"/>
        <v/>
      </c>
      <c r="J239" s="129">
        <f t="shared" si="18"/>
        <v>-8</v>
      </c>
      <c r="K239" s="129">
        <f t="shared" si="15"/>
        <v>-80</v>
      </c>
      <c r="L239" s="129"/>
      <c r="M239" s="131">
        <f t="shared" si="16"/>
        <v>0</v>
      </c>
    </row>
    <row r="240" spans="1:13" x14ac:dyDescent="0.25">
      <c r="A240" s="145"/>
      <c r="G240" s="115"/>
      <c r="H240" s="129">
        <v>235</v>
      </c>
      <c r="I240" s="130" t="str">
        <f t="shared" si="17"/>
        <v/>
      </c>
      <c r="J240" s="129">
        <f t="shared" si="18"/>
        <v>-8</v>
      </c>
      <c r="K240" s="129">
        <f t="shared" si="15"/>
        <v>-80</v>
      </c>
      <c r="L240" s="129"/>
      <c r="M240" s="131">
        <f t="shared" si="16"/>
        <v>0</v>
      </c>
    </row>
    <row r="241" spans="1:13" x14ac:dyDescent="0.25">
      <c r="A241" s="145"/>
      <c r="G241" s="115"/>
      <c r="H241" s="129">
        <v>236</v>
      </c>
      <c r="I241" s="130" t="str">
        <f t="shared" si="17"/>
        <v/>
      </c>
      <c r="J241" s="129">
        <f t="shared" si="18"/>
        <v>-8</v>
      </c>
      <c r="K241" s="129">
        <f t="shared" si="15"/>
        <v>-80</v>
      </c>
      <c r="L241" s="129"/>
      <c r="M241" s="131">
        <f t="shared" si="16"/>
        <v>0</v>
      </c>
    </row>
    <row r="242" spans="1:13" x14ac:dyDescent="0.25">
      <c r="A242" s="145"/>
      <c r="G242" s="115"/>
      <c r="H242" s="129">
        <v>237</v>
      </c>
      <c r="I242" s="130" t="str">
        <f t="shared" si="17"/>
        <v/>
      </c>
      <c r="J242" s="129">
        <f t="shared" si="18"/>
        <v>-8</v>
      </c>
      <c r="K242" s="129">
        <f t="shared" si="15"/>
        <v>-80</v>
      </c>
      <c r="L242" s="129"/>
      <c r="M242" s="131">
        <f t="shared" si="16"/>
        <v>0</v>
      </c>
    </row>
    <row r="243" spans="1:13" x14ac:dyDescent="0.25">
      <c r="A243" s="145"/>
      <c r="G243" s="115"/>
      <c r="H243" s="129">
        <v>238</v>
      </c>
      <c r="I243" s="130" t="str">
        <f t="shared" si="17"/>
        <v/>
      </c>
      <c r="J243" s="129">
        <f t="shared" si="18"/>
        <v>-8</v>
      </c>
      <c r="K243" s="129">
        <f t="shared" si="15"/>
        <v>-80</v>
      </c>
      <c r="L243" s="129"/>
      <c r="M243" s="131">
        <f t="shared" si="16"/>
        <v>0</v>
      </c>
    </row>
    <row r="244" spans="1:13" x14ac:dyDescent="0.25">
      <c r="A244" s="145"/>
      <c r="G244" s="115"/>
      <c r="H244" s="129">
        <v>239</v>
      </c>
      <c r="I244" s="130" t="str">
        <f t="shared" si="17"/>
        <v/>
      </c>
      <c r="J244" s="129">
        <f t="shared" si="18"/>
        <v>-8</v>
      </c>
      <c r="K244" s="129">
        <f t="shared" si="15"/>
        <v>-80</v>
      </c>
      <c r="L244" s="129"/>
      <c r="M244" s="131">
        <f t="shared" si="16"/>
        <v>0</v>
      </c>
    </row>
    <row r="245" spans="1:13" x14ac:dyDescent="0.25">
      <c r="A245" s="145"/>
      <c r="G245" s="115"/>
      <c r="H245" s="129">
        <v>240</v>
      </c>
      <c r="I245" s="130" t="str">
        <f t="shared" si="17"/>
        <v/>
      </c>
      <c r="J245" s="129">
        <f t="shared" si="18"/>
        <v>-8</v>
      </c>
      <c r="K245" s="129">
        <f t="shared" si="15"/>
        <v>-80</v>
      </c>
      <c r="L245" s="129"/>
      <c r="M245" s="131">
        <f t="shared" si="16"/>
        <v>0</v>
      </c>
    </row>
    <row r="246" spans="1:13" x14ac:dyDescent="0.25">
      <c r="A246" s="145"/>
      <c r="G246" s="115"/>
      <c r="H246" s="129">
        <v>241</v>
      </c>
      <c r="I246" s="130" t="str">
        <f t="shared" si="17"/>
        <v/>
      </c>
      <c r="J246" s="129">
        <f t="shared" si="18"/>
        <v>-8</v>
      </c>
      <c r="K246" s="129">
        <f t="shared" si="15"/>
        <v>-80</v>
      </c>
      <c r="L246" s="129"/>
      <c r="M246" s="131">
        <f t="shared" si="16"/>
        <v>0</v>
      </c>
    </row>
    <row r="247" spans="1:13" x14ac:dyDescent="0.25">
      <c r="A247" s="145"/>
      <c r="G247" s="115"/>
      <c r="H247" s="129">
        <v>242</v>
      </c>
      <c r="I247" s="130" t="str">
        <f t="shared" si="17"/>
        <v/>
      </c>
      <c r="J247" s="129">
        <f t="shared" si="18"/>
        <v>-8</v>
      </c>
      <c r="K247" s="129">
        <f t="shared" si="15"/>
        <v>-80</v>
      </c>
      <c r="L247" s="129"/>
      <c r="M247" s="131">
        <f t="shared" si="16"/>
        <v>0</v>
      </c>
    </row>
    <row r="248" spans="1:13" x14ac:dyDescent="0.25">
      <c r="A248" s="145"/>
      <c r="G248" s="115"/>
      <c r="H248" s="129">
        <v>243</v>
      </c>
      <c r="I248" s="130" t="str">
        <f t="shared" si="17"/>
        <v/>
      </c>
      <c r="J248" s="129">
        <f t="shared" si="18"/>
        <v>-8</v>
      </c>
      <c r="K248" s="129">
        <f t="shared" si="15"/>
        <v>-80</v>
      </c>
      <c r="L248" s="129"/>
      <c r="M248" s="131">
        <f t="shared" si="16"/>
        <v>0</v>
      </c>
    </row>
    <row r="249" spans="1:13" x14ac:dyDescent="0.25">
      <c r="A249" s="145"/>
      <c r="G249" s="115"/>
      <c r="H249" s="129">
        <v>244</v>
      </c>
      <c r="I249" s="130" t="str">
        <f t="shared" si="17"/>
        <v/>
      </c>
      <c r="J249" s="129">
        <f t="shared" si="18"/>
        <v>-8</v>
      </c>
      <c r="K249" s="129">
        <f t="shared" si="15"/>
        <v>-80</v>
      </c>
      <c r="L249" s="129"/>
      <c r="M249" s="131">
        <f t="shared" si="16"/>
        <v>0</v>
      </c>
    </row>
    <row r="250" spans="1:13" x14ac:dyDescent="0.25">
      <c r="A250" s="145"/>
      <c r="G250" s="115"/>
      <c r="H250" s="129">
        <v>245</v>
      </c>
      <c r="I250" s="130" t="str">
        <f t="shared" si="17"/>
        <v/>
      </c>
      <c r="J250" s="129">
        <f t="shared" si="18"/>
        <v>-8</v>
      </c>
      <c r="K250" s="129">
        <f t="shared" si="15"/>
        <v>-80</v>
      </c>
      <c r="L250" s="129"/>
      <c r="M250" s="131">
        <f t="shared" si="16"/>
        <v>0</v>
      </c>
    </row>
    <row r="251" spans="1:13" x14ac:dyDescent="0.25">
      <c r="A251" s="145"/>
      <c r="G251" s="115"/>
      <c r="H251" s="129">
        <v>246</v>
      </c>
      <c r="I251" s="130" t="str">
        <f t="shared" si="17"/>
        <v/>
      </c>
      <c r="J251" s="129">
        <f t="shared" si="18"/>
        <v>-8</v>
      </c>
      <c r="K251" s="129">
        <f t="shared" si="15"/>
        <v>-80</v>
      </c>
      <c r="L251" s="129"/>
      <c r="M251" s="131">
        <f t="shared" si="16"/>
        <v>0</v>
      </c>
    </row>
    <row r="252" spans="1:13" x14ac:dyDescent="0.25">
      <c r="A252" s="145"/>
      <c r="G252" s="115"/>
      <c r="H252" s="129">
        <v>247</v>
      </c>
      <c r="I252" s="130" t="str">
        <f t="shared" si="17"/>
        <v/>
      </c>
      <c r="J252" s="129">
        <f t="shared" si="18"/>
        <v>-8</v>
      </c>
      <c r="K252" s="129">
        <f t="shared" si="15"/>
        <v>-80</v>
      </c>
      <c r="L252" s="129"/>
      <c r="M252" s="131">
        <f t="shared" si="16"/>
        <v>0</v>
      </c>
    </row>
    <row r="253" spans="1:13" x14ac:dyDescent="0.25">
      <c r="A253" s="145"/>
      <c r="G253" s="115"/>
      <c r="H253" s="129">
        <v>248</v>
      </c>
      <c r="I253" s="130" t="str">
        <f t="shared" si="17"/>
        <v/>
      </c>
      <c r="J253" s="129">
        <f t="shared" si="18"/>
        <v>-8</v>
      </c>
      <c r="K253" s="129">
        <f t="shared" si="15"/>
        <v>-80</v>
      </c>
      <c r="L253" s="129"/>
      <c r="M253" s="131">
        <f t="shared" si="16"/>
        <v>0</v>
      </c>
    </row>
    <row r="254" spans="1:13" x14ac:dyDescent="0.25">
      <c r="A254" s="145"/>
      <c r="G254" s="115"/>
      <c r="H254" s="129">
        <v>249</v>
      </c>
      <c r="I254" s="130" t="str">
        <f t="shared" si="17"/>
        <v/>
      </c>
      <c r="J254" s="129">
        <f t="shared" si="18"/>
        <v>-8</v>
      </c>
      <c r="K254" s="129">
        <f t="shared" si="15"/>
        <v>-80</v>
      </c>
      <c r="L254" s="129"/>
      <c r="M254" s="131">
        <f t="shared" si="16"/>
        <v>0</v>
      </c>
    </row>
    <row r="255" spans="1:13" x14ac:dyDescent="0.25">
      <c r="A255" s="145"/>
      <c r="G255" s="115"/>
      <c r="H255" s="129">
        <v>250</v>
      </c>
      <c r="I255" s="130" t="str">
        <f t="shared" si="17"/>
        <v/>
      </c>
      <c r="J255" s="129">
        <f t="shared" si="18"/>
        <v>-8</v>
      </c>
      <c r="K255" s="129">
        <f t="shared" si="15"/>
        <v>-80</v>
      </c>
      <c r="L255" s="129"/>
      <c r="M255" s="131">
        <f t="shared" si="16"/>
        <v>0</v>
      </c>
    </row>
    <row r="256" spans="1:13" x14ac:dyDescent="0.25">
      <c r="A256" s="145"/>
      <c r="G256" s="115"/>
      <c r="H256" s="129">
        <v>251</v>
      </c>
      <c r="I256" s="130" t="str">
        <f t="shared" si="17"/>
        <v/>
      </c>
      <c r="J256" s="129">
        <f t="shared" si="18"/>
        <v>-8</v>
      </c>
      <c r="K256" s="129">
        <f t="shared" si="15"/>
        <v>-80</v>
      </c>
      <c r="L256" s="129"/>
      <c r="M256" s="131">
        <f t="shared" si="16"/>
        <v>0</v>
      </c>
    </row>
    <row r="257" spans="1:13" x14ac:dyDescent="0.25">
      <c r="A257" s="145"/>
      <c r="G257" s="115"/>
      <c r="H257" s="129">
        <v>252</v>
      </c>
      <c r="I257" s="130" t="str">
        <f t="shared" si="17"/>
        <v/>
      </c>
      <c r="J257" s="129">
        <f t="shared" si="18"/>
        <v>-8</v>
      </c>
      <c r="K257" s="129">
        <f t="shared" si="15"/>
        <v>-80</v>
      </c>
      <c r="L257" s="129"/>
      <c r="M257" s="131">
        <f t="shared" si="16"/>
        <v>0</v>
      </c>
    </row>
    <row r="258" spans="1:13" x14ac:dyDescent="0.25">
      <c r="A258" s="145"/>
      <c r="G258" s="115"/>
      <c r="H258" s="129">
        <v>253</v>
      </c>
      <c r="I258" s="130" t="str">
        <f t="shared" si="17"/>
        <v/>
      </c>
      <c r="J258" s="129">
        <f t="shared" si="18"/>
        <v>-8</v>
      </c>
      <c r="K258" s="129">
        <f t="shared" si="15"/>
        <v>-80</v>
      </c>
      <c r="L258" s="129"/>
      <c r="M258" s="131">
        <f t="shared" si="16"/>
        <v>0</v>
      </c>
    </row>
    <row r="259" spans="1:13" x14ac:dyDescent="0.25">
      <c r="A259" s="145"/>
      <c r="G259" s="115"/>
      <c r="H259" s="129">
        <v>254</v>
      </c>
      <c r="I259" s="130" t="str">
        <f t="shared" si="17"/>
        <v/>
      </c>
      <c r="J259" s="129">
        <f t="shared" si="18"/>
        <v>-8</v>
      </c>
      <c r="K259" s="129">
        <f t="shared" si="15"/>
        <v>-80</v>
      </c>
      <c r="L259" s="129"/>
      <c r="M259" s="131">
        <f t="shared" si="16"/>
        <v>0</v>
      </c>
    </row>
    <row r="260" spans="1:13" x14ac:dyDescent="0.25">
      <c r="A260" s="145"/>
      <c r="G260" s="115"/>
      <c r="H260" s="129">
        <v>255</v>
      </c>
      <c r="I260" s="130" t="str">
        <f t="shared" si="17"/>
        <v/>
      </c>
      <c r="J260" s="129">
        <f t="shared" si="18"/>
        <v>-8</v>
      </c>
      <c r="K260" s="129">
        <f t="shared" si="15"/>
        <v>-80</v>
      </c>
      <c r="L260" s="129"/>
      <c r="M260" s="131">
        <f t="shared" si="16"/>
        <v>0</v>
      </c>
    </row>
    <row r="261" spans="1:13" x14ac:dyDescent="0.25">
      <c r="A261" s="145"/>
      <c r="G261" s="115"/>
      <c r="H261" s="129">
        <v>256</v>
      </c>
      <c r="I261" s="130" t="str">
        <f t="shared" si="17"/>
        <v/>
      </c>
      <c r="J261" s="129">
        <f t="shared" si="18"/>
        <v>-8</v>
      </c>
      <c r="K261" s="129">
        <f t="shared" si="15"/>
        <v>-80</v>
      </c>
      <c r="L261" s="129"/>
      <c r="M261" s="131">
        <f t="shared" si="16"/>
        <v>0</v>
      </c>
    </row>
    <row r="262" spans="1:13" x14ac:dyDescent="0.25">
      <c r="A262" s="145"/>
      <c r="G262" s="115"/>
      <c r="H262" s="129">
        <v>257</v>
      </c>
      <c r="I262" s="130" t="str">
        <f t="shared" si="17"/>
        <v/>
      </c>
      <c r="J262" s="129">
        <f t="shared" si="18"/>
        <v>-9</v>
      </c>
      <c r="K262" s="129">
        <f t="shared" ref="K262:K305" si="19">J262*$J$2</f>
        <v>-90</v>
      </c>
      <c r="L262" s="129"/>
      <c r="M262" s="131">
        <f t="shared" ref="M262:M305" si="20">IF(I262&lt;&gt;"",K262+I262+L262,0)</f>
        <v>0</v>
      </c>
    </row>
    <row r="263" spans="1:13" x14ac:dyDescent="0.25">
      <c r="A263" s="145"/>
      <c r="G263" s="115"/>
      <c r="H263" s="129">
        <v>258</v>
      </c>
      <c r="I263" s="130" t="str">
        <f t="shared" ref="I263:I305" si="21">IF(H263&lt;$H$2+1,($I$2-($I$2-1)*(LOG(H263)/LOG($H$2))),"")</f>
        <v/>
      </c>
      <c r="J263" s="129">
        <f t="shared" ref="J263:J305" si="22">INT(LOG($H$2,2))-ROUNDUP(LOG(H263,2),0)+IF(OR($H$2=1,$H$2=2,$H$2=4,$H$2=8,$H$2=16,$H$2=32,$H$2=64,$H$2=128,$H$2=256),0,1)</f>
        <v>-9</v>
      </c>
      <c r="K263" s="129">
        <f t="shared" si="19"/>
        <v>-90</v>
      </c>
      <c r="L263" s="129"/>
      <c r="M263" s="131">
        <f t="shared" si="20"/>
        <v>0</v>
      </c>
    </row>
    <row r="264" spans="1:13" x14ac:dyDescent="0.25">
      <c r="A264" s="145"/>
      <c r="G264" s="115"/>
      <c r="H264" s="129">
        <v>259</v>
      </c>
      <c r="I264" s="130" t="str">
        <f t="shared" si="21"/>
        <v/>
      </c>
      <c r="J264" s="129">
        <f t="shared" si="22"/>
        <v>-9</v>
      </c>
      <c r="K264" s="129">
        <f t="shared" si="19"/>
        <v>-90</v>
      </c>
      <c r="L264" s="129"/>
      <c r="M264" s="131">
        <f t="shared" si="20"/>
        <v>0</v>
      </c>
    </row>
    <row r="265" spans="1:13" x14ac:dyDescent="0.25">
      <c r="A265" s="145"/>
      <c r="G265" s="115"/>
      <c r="H265" s="129">
        <v>260</v>
      </c>
      <c r="I265" s="130" t="str">
        <f t="shared" si="21"/>
        <v/>
      </c>
      <c r="J265" s="129">
        <f t="shared" si="22"/>
        <v>-9</v>
      </c>
      <c r="K265" s="129">
        <f t="shared" si="19"/>
        <v>-90</v>
      </c>
      <c r="L265" s="129"/>
      <c r="M265" s="131">
        <f t="shared" si="20"/>
        <v>0</v>
      </c>
    </row>
    <row r="266" spans="1:13" x14ac:dyDescent="0.25">
      <c r="A266" s="145"/>
      <c r="G266" s="115"/>
      <c r="H266" s="129">
        <v>261</v>
      </c>
      <c r="I266" s="130" t="str">
        <f t="shared" si="21"/>
        <v/>
      </c>
      <c r="J266" s="129">
        <f t="shared" si="22"/>
        <v>-9</v>
      </c>
      <c r="K266" s="129">
        <f t="shared" si="19"/>
        <v>-90</v>
      </c>
      <c r="L266" s="129"/>
      <c r="M266" s="131">
        <f t="shared" si="20"/>
        <v>0</v>
      </c>
    </row>
    <row r="267" spans="1:13" x14ac:dyDescent="0.25">
      <c r="A267" s="145"/>
      <c r="G267" s="115"/>
      <c r="H267" s="129">
        <v>262</v>
      </c>
      <c r="I267" s="130" t="str">
        <f t="shared" si="21"/>
        <v/>
      </c>
      <c r="J267" s="129">
        <f t="shared" si="22"/>
        <v>-9</v>
      </c>
      <c r="K267" s="129">
        <f t="shared" si="19"/>
        <v>-90</v>
      </c>
      <c r="L267" s="129"/>
      <c r="M267" s="131">
        <f t="shared" si="20"/>
        <v>0</v>
      </c>
    </row>
    <row r="268" spans="1:13" x14ac:dyDescent="0.25">
      <c r="A268" s="145"/>
      <c r="G268" s="115"/>
      <c r="H268" s="129">
        <v>263</v>
      </c>
      <c r="I268" s="130" t="str">
        <f t="shared" si="21"/>
        <v/>
      </c>
      <c r="J268" s="129">
        <f t="shared" si="22"/>
        <v>-9</v>
      </c>
      <c r="K268" s="129">
        <f t="shared" si="19"/>
        <v>-90</v>
      </c>
      <c r="L268" s="129"/>
      <c r="M268" s="131">
        <f t="shared" si="20"/>
        <v>0</v>
      </c>
    </row>
    <row r="269" spans="1:13" x14ac:dyDescent="0.25">
      <c r="A269" s="145"/>
      <c r="G269" s="115"/>
      <c r="H269" s="129">
        <v>264</v>
      </c>
      <c r="I269" s="130" t="str">
        <f t="shared" si="21"/>
        <v/>
      </c>
      <c r="J269" s="129">
        <f t="shared" si="22"/>
        <v>-9</v>
      </c>
      <c r="K269" s="129">
        <f t="shared" si="19"/>
        <v>-90</v>
      </c>
      <c r="L269" s="129"/>
      <c r="M269" s="131">
        <f t="shared" si="20"/>
        <v>0</v>
      </c>
    </row>
    <row r="270" spans="1:13" x14ac:dyDescent="0.25">
      <c r="A270" s="145"/>
      <c r="G270" s="115"/>
      <c r="H270" s="129">
        <v>265</v>
      </c>
      <c r="I270" s="130" t="str">
        <f t="shared" si="21"/>
        <v/>
      </c>
      <c r="J270" s="129">
        <f t="shared" si="22"/>
        <v>-9</v>
      </c>
      <c r="K270" s="129">
        <f t="shared" si="19"/>
        <v>-90</v>
      </c>
      <c r="L270" s="129"/>
      <c r="M270" s="131">
        <f t="shared" si="20"/>
        <v>0</v>
      </c>
    </row>
    <row r="271" spans="1:13" x14ac:dyDescent="0.25">
      <c r="A271" s="145"/>
      <c r="G271" s="115"/>
      <c r="H271" s="129">
        <v>266</v>
      </c>
      <c r="I271" s="130" t="str">
        <f t="shared" si="21"/>
        <v/>
      </c>
      <c r="J271" s="129">
        <f t="shared" si="22"/>
        <v>-9</v>
      </c>
      <c r="K271" s="129">
        <f t="shared" si="19"/>
        <v>-90</v>
      </c>
      <c r="L271" s="129"/>
      <c r="M271" s="131">
        <f t="shared" si="20"/>
        <v>0</v>
      </c>
    </row>
    <row r="272" spans="1:13" x14ac:dyDescent="0.25">
      <c r="A272" s="145"/>
      <c r="G272" s="115"/>
      <c r="H272" s="129">
        <v>267</v>
      </c>
      <c r="I272" s="130" t="str">
        <f t="shared" si="21"/>
        <v/>
      </c>
      <c r="J272" s="129">
        <f t="shared" si="22"/>
        <v>-9</v>
      </c>
      <c r="K272" s="129">
        <f t="shared" si="19"/>
        <v>-90</v>
      </c>
      <c r="L272" s="129"/>
      <c r="M272" s="131">
        <f t="shared" si="20"/>
        <v>0</v>
      </c>
    </row>
    <row r="273" spans="1:13" x14ac:dyDescent="0.25">
      <c r="A273" s="145"/>
      <c r="G273" s="115"/>
      <c r="H273" s="129">
        <v>268</v>
      </c>
      <c r="I273" s="130" t="str">
        <f t="shared" si="21"/>
        <v/>
      </c>
      <c r="J273" s="129">
        <f t="shared" si="22"/>
        <v>-9</v>
      </c>
      <c r="K273" s="129">
        <f t="shared" si="19"/>
        <v>-90</v>
      </c>
      <c r="L273" s="129"/>
      <c r="M273" s="131">
        <f t="shared" si="20"/>
        <v>0</v>
      </c>
    </row>
    <row r="274" spans="1:13" x14ac:dyDescent="0.25">
      <c r="A274" s="145"/>
      <c r="G274" s="115"/>
      <c r="H274" s="129">
        <v>269</v>
      </c>
      <c r="I274" s="130" t="str">
        <f t="shared" si="21"/>
        <v/>
      </c>
      <c r="J274" s="129">
        <f t="shared" si="22"/>
        <v>-9</v>
      </c>
      <c r="K274" s="129">
        <f t="shared" si="19"/>
        <v>-90</v>
      </c>
      <c r="L274" s="129"/>
      <c r="M274" s="131">
        <f t="shared" si="20"/>
        <v>0</v>
      </c>
    </row>
    <row r="275" spans="1:13" x14ac:dyDescent="0.25">
      <c r="A275" s="145"/>
      <c r="G275" s="115"/>
      <c r="H275" s="129">
        <v>270</v>
      </c>
      <c r="I275" s="130" t="str">
        <f t="shared" si="21"/>
        <v/>
      </c>
      <c r="J275" s="129">
        <f t="shared" si="22"/>
        <v>-9</v>
      </c>
      <c r="K275" s="129">
        <f t="shared" si="19"/>
        <v>-90</v>
      </c>
      <c r="L275" s="129"/>
      <c r="M275" s="131">
        <f t="shared" si="20"/>
        <v>0</v>
      </c>
    </row>
    <row r="276" spans="1:13" x14ac:dyDescent="0.25">
      <c r="A276" s="145"/>
      <c r="G276" s="115"/>
      <c r="H276" s="129">
        <v>271</v>
      </c>
      <c r="I276" s="130" t="str">
        <f t="shared" si="21"/>
        <v/>
      </c>
      <c r="J276" s="129">
        <f t="shared" si="22"/>
        <v>-9</v>
      </c>
      <c r="K276" s="129">
        <f t="shared" si="19"/>
        <v>-90</v>
      </c>
      <c r="L276" s="129"/>
      <c r="M276" s="131">
        <f t="shared" si="20"/>
        <v>0</v>
      </c>
    </row>
    <row r="277" spans="1:13" x14ac:dyDescent="0.25">
      <c r="A277" s="145"/>
      <c r="G277" s="115"/>
      <c r="H277" s="129">
        <v>272</v>
      </c>
      <c r="I277" s="130" t="str">
        <f t="shared" si="21"/>
        <v/>
      </c>
      <c r="J277" s="129">
        <f t="shared" si="22"/>
        <v>-9</v>
      </c>
      <c r="K277" s="129">
        <f t="shared" si="19"/>
        <v>-90</v>
      </c>
      <c r="L277" s="129"/>
      <c r="M277" s="131">
        <f t="shared" si="20"/>
        <v>0</v>
      </c>
    </row>
    <row r="278" spans="1:13" x14ac:dyDescent="0.25">
      <c r="A278" s="145"/>
      <c r="G278" s="115"/>
      <c r="H278" s="129">
        <v>273</v>
      </c>
      <c r="I278" s="130" t="str">
        <f t="shared" si="21"/>
        <v/>
      </c>
      <c r="J278" s="129">
        <f t="shared" si="22"/>
        <v>-9</v>
      </c>
      <c r="K278" s="129">
        <f t="shared" si="19"/>
        <v>-90</v>
      </c>
      <c r="L278" s="129"/>
      <c r="M278" s="131">
        <f t="shared" si="20"/>
        <v>0</v>
      </c>
    </row>
    <row r="279" spans="1:13" x14ac:dyDescent="0.25">
      <c r="A279" s="145"/>
      <c r="G279" s="115"/>
      <c r="H279" s="129">
        <v>274</v>
      </c>
      <c r="I279" s="130" t="str">
        <f t="shared" si="21"/>
        <v/>
      </c>
      <c r="J279" s="129">
        <f t="shared" si="22"/>
        <v>-9</v>
      </c>
      <c r="K279" s="129">
        <f t="shared" si="19"/>
        <v>-90</v>
      </c>
      <c r="L279" s="129"/>
      <c r="M279" s="131">
        <f t="shared" si="20"/>
        <v>0</v>
      </c>
    </row>
    <row r="280" spans="1:13" x14ac:dyDescent="0.25">
      <c r="A280" s="145"/>
      <c r="G280" s="115"/>
      <c r="H280" s="129">
        <v>275</v>
      </c>
      <c r="I280" s="130" t="str">
        <f t="shared" si="21"/>
        <v/>
      </c>
      <c r="J280" s="129">
        <f t="shared" si="22"/>
        <v>-9</v>
      </c>
      <c r="K280" s="129">
        <f t="shared" si="19"/>
        <v>-90</v>
      </c>
      <c r="L280" s="129"/>
      <c r="M280" s="131">
        <f t="shared" si="20"/>
        <v>0</v>
      </c>
    </row>
    <row r="281" spans="1:13" x14ac:dyDescent="0.25">
      <c r="A281" s="145"/>
      <c r="G281" s="115"/>
      <c r="H281" s="129">
        <v>276</v>
      </c>
      <c r="I281" s="130" t="str">
        <f t="shared" si="21"/>
        <v/>
      </c>
      <c r="J281" s="129">
        <f t="shared" si="22"/>
        <v>-9</v>
      </c>
      <c r="K281" s="129">
        <f t="shared" si="19"/>
        <v>-90</v>
      </c>
      <c r="L281" s="129"/>
      <c r="M281" s="131">
        <f t="shared" si="20"/>
        <v>0</v>
      </c>
    </row>
    <row r="282" spans="1:13" x14ac:dyDescent="0.25">
      <c r="A282" s="145"/>
      <c r="G282" s="115"/>
      <c r="H282" s="129">
        <v>277</v>
      </c>
      <c r="I282" s="130" t="str">
        <f t="shared" si="21"/>
        <v/>
      </c>
      <c r="J282" s="129">
        <f t="shared" si="22"/>
        <v>-9</v>
      </c>
      <c r="K282" s="129">
        <f t="shared" si="19"/>
        <v>-90</v>
      </c>
      <c r="L282" s="129"/>
      <c r="M282" s="131">
        <f t="shared" si="20"/>
        <v>0</v>
      </c>
    </row>
    <row r="283" spans="1:13" x14ac:dyDescent="0.25">
      <c r="A283" s="145"/>
      <c r="G283" s="115"/>
      <c r="H283" s="129">
        <v>278</v>
      </c>
      <c r="I283" s="130" t="str">
        <f t="shared" si="21"/>
        <v/>
      </c>
      <c r="J283" s="129">
        <f t="shared" si="22"/>
        <v>-9</v>
      </c>
      <c r="K283" s="129">
        <f t="shared" si="19"/>
        <v>-90</v>
      </c>
      <c r="L283" s="129"/>
      <c r="M283" s="131">
        <f t="shared" si="20"/>
        <v>0</v>
      </c>
    </row>
    <row r="284" spans="1:13" x14ac:dyDescent="0.25">
      <c r="A284" s="145"/>
      <c r="G284" s="115"/>
      <c r="H284" s="129">
        <v>279</v>
      </c>
      <c r="I284" s="130" t="str">
        <f t="shared" si="21"/>
        <v/>
      </c>
      <c r="J284" s="129">
        <f t="shared" si="22"/>
        <v>-9</v>
      </c>
      <c r="K284" s="129">
        <f t="shared" si="19"/>
        <v>-90</v>
      </c>
      <c r="L284" s="129"/>
      <c r="M284" s="131">
        <f t="shared" si="20"/>
        <v>0</v>
      </c>
    </row>
    <row r="285" spans="1:13" x14ac:dyDescent="0.25">
      <c r="A285" s="145"/>
      <c r="G285" s="115"/>
      <c r="H285" s="129">
        <v>280</v>
      </c>
      <c r="I285" s="130" t="str">
        <f t="shared" si="21"/>
        <v/>
      </c>
      <c r="J285" s="129">
        <f t="shared" si="22"/>
        <v>-9</v>
      </c>
      <c r="K285" s="129">
        <f t="shared" si="19"/>
        <v>-90</v>
      </c>
      <c r="L285" s="129"/>
      <c r="M285" s="131">
        <f t="shared" si="20"/>
        <v>0</v>
      </c>
    </row>
    <row r="286" spans="1:13" x14ac:dyDescent="0.25">
      <c r="A286" s="145"/>
      <c r="G286" s="115"/>
      <c r="H286" s="129">
        <v>281</v>
      </c>
      <c r="I286" s="130" t="str">
        <f t="shared" si="21"/>
        <v/>
      </c>
      <c r="J286" s="129">
        <f t="shared" si="22"/>
        <v>-9</v>
      </c>
      <c r="K286" s="129">
        <f t="shared" si="19"/>
        <v>-90</v>
      </c>
      <c r="L286" s="129"/>
      <c r="M286" s="131">
        <f t="shared" si="20"/>
        <v>0</v>
      </c>
    </row>
    <row r="287" spans="1:13" x14ac:dyDescent="0.25">
      <c r="A287" s="145"/>
      <c r="G287" s="115"/>
      <c r="H287" s="129">
        <v>282</v>
      </c>
      <c r="I287" s="130" t="str">
        <f t="shared" si="21"/>
        <v/>
      </c>
      <c r="J287" s="129">
        <f t="shared" si="22"/>
        <v>-9</v>
      </c>
      <c r="K287" s="129">
        <f t="shared" si="19"/>
        <v>-90</v>
      </c>
      <c r="L287" s="129"/>
      <c r="M287" s="131">
        <f t="shared" si="20"/>
        <v>0</v>
      </c>
    </row>
    <row r="288" spans="1:13" x14ac:dyDescent="0.25">
      <c r="A288" s="145"/>
      <c r="G288" s="115"/>
      <c r="H288" s="129">
        <v>283</v>
      </c>
      <c r="I288" s="130" t="str">
        <f t="shared" si="21"/>
        <v/>
      </c>
      <c r="J288" s="129">
        <f t="shared" si="22"/>
        <v>-9</v>
      </c>
      <c r="K288" s="129">
        <f t="shared" si="19"/>
        <v>-90</v>
      </c>
      <c r="L288" s="129"/>
      <c r="M288" s="131">
        <f t="shared" si="20"/>
        <v>0</v>
      </c>
    </row>
    <row r="289" spans="1:13" x14ac:dyDescent="0.25">
      <c r="A289" s="145"/>
      <c r="G289" s="115"/>
      <c r="H289" s="129">
        <v>284</v>
      </c>
      <c r="I289" s="130" t="str">
        <f t="shared" si="21"/>
        <v/>
      </c>
      <c r="J289" s="129">
        <f t="shared" si="22"/>
        <v>-9</v>
      </c>
      <c r="K289" s="129">
        <f t="shared" si="19"/>
        <v>-90</v>
      </c>
      <c r="L289" s="129"/>
      <c r="M289" s="131">
        <f t="shared" si="20"/>
        <v>0</v>
      </c>
    </row>
    <row r="290" spans="1:13" x14ac:dyDescent="0.25">
      <c r="A290" s="145"/>
      <c r="G290" s="115"/>
      <c r="H290" s="129">
        <v>285</v>
      </c>
      <c r="I290" s="130" t="str">
        <f t="shared" si="21"/>
        <v/>
      </c>
      <c r="J290" s="129">
        <f t="shared" si="22"/>
        <v>-9</v>
      </c>
      <c r="K290" s="129">
        <f t="shared" si="19"/>
        <v>-90</v>
      </c>
      <c r="L290" s="129"/>
      <c r="M290" s="131">
        <f t="shared" si="20"/>
        <v>0</v>
      </c>
    </row>
    <row r="291" spans="1:13" x14ac:dyDescent="0.25">
      <c r="A291" s="145"/>
      <c r="G291" s="115"/>
      <c r="H291" s="129">
        <v>286</v>
      </c>
      <c r="I291" s="130" t="str">
        <f t="shared" si="21"/>
        <v/>
      </c>
      <c r="J291" s="129">
        <f t="shared" si="22"/>
        <v>-9</v>
      </c>
      <c r="K291" s="129">
        <f t="shared" si="19"/>
        <v>-90</v>
      </c>
      <c r="L291" s="129"/>
      <c r="M291" s="131">
        <f t="shared" si="20"/>
        <v>0</v>
      </c>
    </row>
    <row r="292" spans="1:13" x14ac:dyDescent="0.25">
      <c r="A292" s="145"/>
      <c r="G292" s="115"/>
      <c r="H292" s="129">
        <v>287</v>
      </c>
      <c r="I292" s="130" t="str">
        <f t="shared" si="21"/>
        <v/>
      </c>
      <c r="J292" s="129">
        <f t="shared" si="22"/>
        <v>-9</v>
      </c>
      <c r="K292" s="129">
        <f t="shared" si="19"/>
        <v>-90</v>
      </c>
      <c r="L292" s="129"/>
      <c r="M292" s="131">
        <f t="shared" si="20"/>
        <v>0</v>
      </c>
    </row>
    <row r="293" spans="1:13" x14ac:dyDescent="0.25">
      <c r="A293" s="145"/>
      <c r="G293" s="115"/>
      <c r="H293" s="129">
        <v>288</v>
      </c>
      <c r="I293" s="130" t="str">
        <f t="shared" si="21"/>
        <v/>
      </c>
      <c r="J293" s="129">
        <f t="shared" si="22"/>
        <v>-9</v>
      </c>
      <c r="K293" s="129">
        <f t="shared" si="19"/>
        <v>-90</v>
      </c>
      <c r="L293" s="129"/>
      <c r="M293" s="131">
        <f t="shared" si="20"/>
        <v>0</v>
      </c>
    </row>
    <row r="294" spans="1:13" x14ac:dyDescent="0.25">
      <c r="A294" s="145"/>
      <c r="G294" s="115"/>
      <c r="H294" s="129">
        <v>289</v>
      </c>
      <c r="I294" s="130" t="str">
        <f t="shared" si="21"/>
        <v/>
      </c>
      <c r="J294" s="129">
        <f t="shared" si="22"/>
        <v>-9</v>
      </c>
      <c r="K294" s="129">
        <f t="shared" si="19"/>
        <v>-90</v>
      </c>
      <c r="L294" s="129"/>
      <c r="M294" s="131">
        <f t="shared" si="20"/>
        <v>0</v>
      </c>
    </row>
    <row r="295" spans="1:13" x14ac:dyDescent="0.25">
      <c r="A295" s="145"/>
      <c r="G295" s="115"/>
      <c r="H295" s="129">
        <v>290</v>
      </c>
      <c r="I295" s="130" t="str">
        <f t="shared" si="21"/>
        <v/>
      </c>
      <c r="J295" s="129">
        <f t="shared" si="22"/>
        <v>-9</v>
      </c>
      <c r="K295" s="129">
        <f t="shared" si="19"/>
        <v>-90</v>
      </c>
      <c r="L295" s="129"/>
      <c r="M295" s="131">
        <f t="shared" si="20"/>
        <v>0</v>
      </c>
    </row>
    <row r="296" spans="1:13" x14ac:dyDescent="0.25">
      <c r="A296" s="145"/>
      <c r="G296" s="115"/>
      <c r="H296" s="129">
        <v>291</v>
      </c>
      <c r="I296" s="130" t="str">
        <f t="shared" si="21"/>
        <v/>
      </c>
      <c r="J296" s="129">
        <f t="shared" si="22"/>
        <v>-9</v>
      </c>
      <c r="K296" s="129">
        <f t="shared" si="19"/>
        <v>-90</v>
      </c>
      <c r="L296" s="129"/>
      <c r="M296" s="131">
        <f t="shared" si="20"/>
        <v>0</v>
      </c>
    </row>
    <row r="297" spans="1:13" x14ac:dyDescent="0.25">
      <c r="A297" s="145"/>
      <c r="G297" s="115"/>
      <c r="H297" s="129">
        <v>292</v>
      </c>
      <c r="I297" s="130" t="str">
        <f t="shared" si="21"/>
        <v/>
      </c>
      <c r="J297" s="129">
        <f t="shared" si="22"/>
        <v>-9</v>
      </c>
      <c r="K297" s="129">
        <f t="shared" si="19"/>
        <v>-90</v>
      </c>
      <c r="L297" s="129"/>
      <c r="M297" s="131">
        <f t="shared" si="20"/>
        <v>0</v>
      </c>
    </row>
    <row r="298" spans="1:13" x14ac:dyDescent="0.25">
      <c r="A298" s="145"/>
      <c r="G298" s="115"/>
      <c r="H298" s="129">
        <v>293</v>
      </c>
      <c r="I298" s="130" t="str">
        <f t="shared" si="21"/>
        <v/>
      </c>
      <c r="J298" s="129">
        <f t="shared" si="22"/>
        <v>-9</v>
      </c>
      <c r="K298" s="129">
        <f t="shared" si="19"/>
        <v>-90</v>
      </c>
      <c r="L298" s="129"/>
      <c r="M298" s="131">
        <f t="shared" si="20"/>
        <v>0</v>
      </c>
    </row>
    <row r="299" spans="1:13" x14ac:dyDescent="0.25">
      <c r="A299" s="145"/>
      <c r="G299" s="115"/>
      <c r="H299" s="129">
        <v>294</v>
      </c>
      <c r="I299" s="130" t="str">
        <f t="shared" si="21"/>
        <v/>
      </c>
      <c r="J299" s="129">
        <f t="shared" si="22"/>
        <v>-9</v>
      </c>
      <c r="K299" s="129">
        <f t="shared" si="19"/>
        <v>-90</v>
      </c>
      <c r="L299" s="129"/>
      <c r="M299" s="131">
        <f t="shared" si="20"/>
        <v>0</v>
      </c>
    </row>
    <row r="300" spans="1:13" x14ac:dyDescent="0.25">
      <c r="A300" s="145"/>
      <c r="G300" s="115"/>
      <c r="H300" s="129">
        <v>295</v>
      </c>
      <c r="I300" s="130" t="str">
        <f t="shared" si="21"/>
        <v/>
      </c>
      <c r="J300" s="129">
        <f t="shared" si="22"/>
        <v>-9</v>
      </c>
      <c r="K300" s="129">
        <f t="shared" si="19"/>
        <v>-90</v>
      </c>
      <c r="L300" s="129"/>
      <c r="M300" s="131">
        <f t="shared" si="20"/>
        <v>0</v>
      </c>
    </row>
    <row r="301" spans="1:13" x14ac:dyDescent="0.25">
      <c r="A301" s="145"/>
      <c r="G301" s="115"/>
      <c r="H301" s="129">
        <v>296</v>
      </c>
      <c r="I301" s="130" t="str">
        <f t="shared" si="21"/>
        <v/>
      </c>
      <c r="J301" s="129">
        <f t="shared" si="22"/>
        <v>-9</v>
      </c>
      <c r="K301" s="129">
        <f t="shared" si="19"/>
        <v>-90</v>
      </c>
      <c r="L301" s="129"/>
      <c r="M301" s="131">
        <f t="shared" si="20"/>
        <v>0</v>
      </c>
    </row>
    <row r="302" spans="1:13" x14ac:dyDescent="0.25">
      <c r="A302" s="145"/>
      <c r="G302" s="115"/>
      <c r="H302" s="129">
        <v>297</v>
      </c>
      <c r="I302" s="130" t="str">
        <f t="shared" si="21"/>
        <v/>
      </c>
      <c r="J302" s="129">
        <f t="shared" si="22"/>
        <v>-9</v>
      </c>
      <c r="K302" s="129">
        <f t="shared" si="19"/>
        <v>-90</v>
      </c>
      <c r="L302" s="129"/>
      <c r="M302" s="131">
        <f t="shared" si="20"/>
        <v>0</v>
      </c>
    </row>
    <row r="303" spans="1:13" x14ac:dyDescent="0.25">
      <c r="A303" s="145"/>
      <c r="G303" s="115"/>
      <c r="H303" s="129">
        <v>298</v>
      </c>
      <c r="I303" s="130" t="str">
        <f t="shared" si="21"/>
        <v/>
      </c>
      <c r="J303" s="129">
        <f t="shared" si="22"/>
        <v>-9</v>
      </c>
      <c r="K303" s="129">
        <f t="shared" si="19"/>
        <v>-90</v>
      </c>
      <c r="L303" s="129"/>
      <c r="M303" s="131">
        <f t="shared" si="20"/>
        <v>0</v>
      </c>
    </row>
    <row r="304" spans="1:13" x14ac:dyDescent="0.25">
      <c r="A304" s="145"/>
      <c r="G304" s="115"/>
      <c r="H304" s="129">
        <v>299</v>
      </c>
      <c r="I304" s="130" t="str">
        <f t="shared" si="21"/>
        <v/>
      </c>
      <c r="J304" s="129">
        <f t="shared" si="22"/>
        <v>-9</v>
      </c>
      <c r="K304" s="129">
        <f t="shared" si="19"/>
        <v>-90</v>
      </c>
      <c r="L304" s="129"/>
      <c r="M304" s="131">
        <f t="shared" si="20"/>
        <v>0</v>
      </c>
    </row>
    <row r="305" spans="1:16" x14ac:dyDescent="0.25">
      <c r="A305" s="145"/>
      <c r="G305" s="115"/>
      <c r="H305" s="129">
        <v>300</v>
      </c>
      <c r="I305" s="130" t="str">
        <f t="shared" si="21"/>
        <v/>
      </c>
      <c r="J305" s="129">
        <f t="shared" si="22"/>
        <v>-9</v>
      </c>
      <c r="K305" s="129">
        <f t="shared" si="19"/>
        <v>-90</v>
      </c>
      <c r="L305" s="129"/>
      <c r="M305" s="131">
        <f t="shared" si="20"/>
        <v>0</v>
      </c>
    </row>
    <row r="306" spans="1:16" x14ac:dyDescent="0.25">
      <c r="A306" s="147"/>
    </row>
    <row r="314" spans="1:16" x14ac:dyDescent="0.25">
      <c r="L314" s="150"/>
      <c r="P314" s="140"/>
    </row>
    <row r="315" spans="1:16" x14ac:dyDescent="0.25">
      <c r="L315" s="150"/>
      <c r="P315" s="140"/>
    </row>
    <row r="316" spans="1:16" x14ac:dyDescent="0.25">
      <c r="L316" s="150"/>
      <c r="P316" s="140"/>
    </row>
    <row r="317" spans="1:16" x14ac:dyDescent="0.25">
      <c r="L317" s="150"/>
      <c r="P317" s="140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CD5A8755-6B05-4938-BB21-B3FE1E18EA6A}">
      <formula1>#REF!</formula1>
    </dataValidation>
  </dataValidations>
  <hyperlinks>
    <hyperlink ref="C2:D2" r:id="rId1" display="SZCZECIN" xr:uid="{8CFAA3AA-A36F-427D-8097-BCA77ABB4E99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topLeftCell="M1" workbookViewId="0">
      <selection activeCell="P5" sqref="P5:S10"/>
    </sheetView>
  </sheetViews>
  <sheetFormatPr defaultColWidth="8.875" defaultRowHeight="14.3" x14ac:dyDescent="0.25"/>
  <cols>
    <col min="1" max="1" width="8" style="52" customWidth="1"/>
    <col min="2" max="2" width="8.25" style="52" customWidth="1"/>
    <col min="3" max="3" width="34.75" style="52" customWidth="1"/>
    <col min="4" max="4" width="11.25" style="52" customWidth="1"/>
    <col min="5" max="6" width="8.875" style="52"/>
    <col min="7" max="7" width="0.875" style="52" customWidth="1"/>
    <col min="8" max="8" width="8.875" style="54"/>
    <col min="9" max="9" width="11" style="54" customWidth="1"/>
    <col min="10" max="10" width="15.25" style="54" customWidth="1"/>
    <col min="11" max="11" width="8.75" style="54" customWidth="1"/>
    <col min="12" max="12" width="11" style="54" customWidth="1"/>
    <col min="13" max="13" width="11.75" style="54" customWidth="1"/>
    <col min="14" max="14" width="11.75" style="55" customWidth="1"/>
    <col min="15" max="16" width="13.875" style="8" customWidth="1"/>
    <col min="17" max="19" width="8.875" style="8"/>
    <col min="20" max="21" width="8.875" style="13"/>
    <col min="22" max="22" width="12.125" style="13" customWidth="1"/>
    <col min="23" max="23" width="27.375" style="13" customWidth="1"/>
    <col min="24" max="39" width="8.875" style="13"/>
    <col min="40" max="16384" width="8.875" style="52"/>
  </cols>
  <sheetData>
    <row r="1" spans="1:37" x14ac:dyDescent="0.25">
      <c r="A1" s="8"/>
      <c r="B1" s="8"/>
      <c r="C1" s="8"/>
      <c r="D1" s="8"/>
      <c r="E1" s="8"/>
      <c r="F1" s="8"/>
      <c r="G1" s="8"/>
      <c r="H1" s="9" t="s">
        <v>25</v>
      </c>
      <c r="I1" s="10" t="s">
        <v>26</v>
      </c>
      <c r="J1" s="10" t="s">
        <v>27</v>
      </c>
      <c r="K1" s="11" t="s">
        <v>91</v>
      </c>
      <c r="L1" s="57" t="s">
        <v>92</v>
      </c>
      <c r="M1" s="58"/>
      <c r="N1" s="12"/>
    </row>
    <row r="2" spans="1:37" x14ac:dyDescent="0.25">
      <c r="A2" s="8"/>
      <c r="B2" s="14" t="s">
        <v>29</v>
      </c>
      <c r="C2" s="241" t="s">
        <v>142</v>
      </c>
      <c r="D2" s="241"/>
      <c r="E2" s="15"/>
      <c r="F2" s="15"/>
      <c r="G2" s="15"/>
      <c r="H2" s="16">
        <v>4</v>
      </c>
      <c r="I2" s="17">
        <v>50</v>
      </c>
      <c r="J2" s="17">
        <v>10</v>
      </c>
      <c r="K2" s="18">
        <f>3*H2^(1/3)</f>
        <v>4.7622031559045981</v>
      </c>
      <c r="L2" s="59">
        <f>1.2</f>
        <v>1.2</v>
      </c>
      <c r="M2" s="12"/>
      <c r="N2" s="12"/>
    </row>
    <row r="3" spans="1:37" ht="14.3" customHeight="1" x14ac:dyDescent="0.25">
      <c r="A3" s="8"/>
      <c r="B3" s="19" t="s">
        <v>31</v>
      </c>
      <c r="C3" s="242" t="s">
        <v>143</v>
      </c>
      <c r="D3" s="242"/>
      <c r="E3" s="20"/>
      <c r="F3" s="20"/>
      <c r="G3" s="20"/>
      <c r="H3" s="12"/>
      <c r="I3" s="12"/>
      <c r="J3" s="21"/>
      <c r="K3" s="12"/>
      <c r="L3" s="12"/>
      <c r="M3" s="12"/>
      <c r="N3" s="12"/>
    </row>
    <row r="4" spans="1:37" ht="10.199999999999999" customHeight="1" x14ac:dyDescent="0.25">
      <c r="A4" s="22"/>
      <c r="B4" s="20"/>
      <c r="C4" s="22"/>
      <c r="D4" s="22"/>
      <c r="E4" s="22"/>
      <c r="F4" s="22"/>
      <c r="G4" s="22"/>
      <c r="H4" s="12"/>
      <c r="I4" s="12"/>
      <c r="J4" s="21"/>
      <c r="K4" s="12"/>
      <c r="L4" s="12"/>
      <c r="M4" s="12"/>
      <c r="N4" s="12"/>
    </row>
    <row r="5" spans="1:37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24" t="s">
        <v>39</v>
      </c>
      <c r="I5" s="25" t="s">
        <v>40</v>
      </c>
      <c r="J5" s="26" t="s">
        <v>41</v>
      </c>
      <c r="K5" s="25" t="s">
        <v>42</v>
      </c>
      <c r="L5" s="25" t="s">
        <v>43</v>
      </c>
      <c r="M5" s="24" t="s">
        <v>44</v>
      </c>
      <c r="N5" s="24" t="s">
        <v>93</v>
      </c>
      <c r="P5" s="196" t="s">
        <v>94</v>
      </c>
      <c r="Q5" s="197" t="s">
        <v>81</v>
      </c>
      <c r="R5" s="196" t="s">
        <v>82</v>
      </c>
      <c r="S5" s="197" t="s">
        <v>95</v>
      </c>
    </row>
    <row r="6" spans="1:37" ht="14.45" customHeight="1" x14ac:dyDescent="0.25">
      <c r="A6" s="27">
        <f t="shared" ref="A6:A11" si="0">N6</f>
        <v>113.14393136125655</v>
      </c>
      <c r="B6" s="28">
        <f t="shared" ref="B6:B11" si="1">IF(H6&gt;$H$2,"",(ROW()-5))</f>
        <v>1</v>
      </c>
      <c r="C6" s="29" t="s">
        <v>16</v>
      </c>
      <c r="D6" s="29" t="s">
        <v>146</v>
      </c>
      <c r="E6" s="29" t="s">
        <v>46</v>
      </c>
      <c r="F6" s="29"/>
      <c r="G6" s="22"/>
      <c r="H6" s="30">
        <v>1</v>
      </c>
      <c r="I6" s="31">
        <f>IF(H2=1,50,IF(H6&lt;$H$2+1,($I$2-($I$2-1)*(LOG(H6)/LOG($H$2))),""))</f>
        <v>50</v>
      </c>
      <c r="J6" s="221">
        <v>3</v>
      </c>
      <c r="K6" s="30">
        <f t="shared" ref="K6:K69" si="2">J6*$J$2</f>
        <v>30</v>
      </c>
      <c r="L6" s="32">
        <f>3*K2</f>
        <v>14.286609467713795</v>
      </c>
      <c r="M6" s="32">
        <f t="shared" ref="M6:M69" si="3">IF(I6&lt;&gt;"",K6+I6+L6,0)</f>
        <v>94.286609467713788</v>
      </c>
      <c r="N6" s="32">
        <f t="shared" ref="N6:N69" si="4">IF(I6&lt;&gt;"",M6*L$2,0)</f>
        <v>113.14393136125655</v>
      </c>
      <c r="P6" s="196">
        <v>1</v>
      </c>
      <c r="Q6" s="198" t="s">
        <v>63</v>
      </c>
      <c r="R6" s="199">
        <v>3</v>
      </c>
      <c r="S6" s="200">
        <v>30</v>
      </c>
    </row>
    <row r="7" spans="1:37" ht="14.45" customHeight="1" x14ac:dyDescent="0.25">
      <c r="A7" s="33">
        <f t="shared" si="0"/>
        <v>66.029287574171036</v>
      </c>
      <c r="B7" s="34">
        <f t="shared" si="1"/>
        <v>2</v>
      </c>
      <c r="C7" s="35" t="s">
        <v>17</v>
      </c>
      <c r="D7" s="35" t="s">
        <v>68</v>
      </c>
      <c r="E7" s="35" t="s">
        <v>46</v>
      </c>
      <c r="F7" s="35"/>
      <c r="G7" s="22"/>
      <c r="H7" s="36">
        <v>2</v>
      </c>
      <c r="I7" s="37">
        <f t="shared" ref="I7:I69" si="5">IF(H7&lt;$H$2+1,($I$2-($I$2-1)*(LOG(H7)/LOG($H$2))),"")</f>
        <v>25.5</v>
      </c>
      <c r="J7" s="222">
        <v>2</v>
      </c>
      <c r="K7" s="36">
        <f t="shared" si="2"/>
        <v>20</v>
      </c>
      <c r="L7" s="38">
        <f>2*K2</f>
        <v>9.5244063118091962</v>
      </c>
      <c r="M7" s="38">
        <f t="shared" si="3"/>
        <v>55.024406311809194</v>
      </c>
      <c r="N7" s="38">
        <f t="shared" si="4"/>
        <v>66.029287574171036</v>
      </c>
      <c r="P7" s="196">
        <v>2</v>
      </c>
      <c r="Q7" s="198" t="s">
        <v>69</v>
      </c>
      <c r="R7" s="199">
        <v>2</v>
      </c>
      <c r="S7" s="198">
        <v>20</v>
      </c>
    </row>
    <row r="8" spans="1:37" ht="14.45" customHeight="1" x14ac:dyDescent="0.25">
      <c r="A8" s="27">
        <f t="shared" si="0"/>
        <v>31.116746265883524</v>
      </c>
      <c r="B8" s="28">
        <f t="shared" si="1"/>
        <v>3</v>
      </c>
      <c r="C8" s="29" t="s">
        <v>20</v>
      </c>
      <c r="D8" s="29" t="s">
        <v>77</v>
      </c>
      <c r="E8" s="29" t="s">
        <v>46</v>
      </c>
      <c r="F8" s="29"/>
      <c r="G8" s="22"/>
      <c r="H8" s="30">
        <v>3</v>
      </c>
      <c r="I8" s="31">
        <f t="shared" si="5"/>
        <v>11.168418732331673</v>
      </c>
      <c r="J8" s="221">
        <v>1</v>
      </c>
      <c r="K8" s="30">
        <f t="shared" si="2"/>
        <v>10</v>
      </c>
      <c r="L8" s="32">
        <f>K2</f>
        <v>4.7622031559045981</v>
      </c>
      <c r="M8" s="32">
        <f t="shared" si="3"/>
        <v>25.930621888236271</v>
      </c>
      <c r="N8" s="32">
        <f t="shared" si="4"/>
        <v>31.116746265883524</v>
      </c>
      <c r="P8" s="196">
        <v>3</v>
      </c>
      <c r="Q8" s="198" t="s">
        <v>147</v>
      </c>
      <c r="R8" s="199">
        <v>1</v>
      </c>
      <c r="S8" s="200">
        <v>10</v>
      </c>
    </row>
    <row r="9" spans="1:37" ht="14.45" customHeight="1" x14ac:dyDescent="0.25">
      <c r="A9" s="33">
        <f t="shared" si="0"/>
        <v>1.2</v>
      </c>
      <c r="B9" s="34">
        <f t="shared" si="1"/>
        <v>4</v>
      </c>
      <c r="C9" s="35" t="s">
        <v>22</v>
      </c>
      <c r="D9" s="35" t="s">
        <v>149</v>
      </c>
      <c r="E9" s="35" t="s">
        <v>46</v>
      </c>
      <c r="F9" s="35"/>
      <c r="G9" s="22"/>
      <c r="H9" s="36">
        <v>4</v>
      </c>
      <c r="I9" s="37">
        <f t="shared" si="5"/>
        <v>1</v>
      </c>
      <c r="J9" s="36">
        <f t="shared" ref="J9:J70" si="6">INT(LOG($H$2,2))-ROUNDUP(LOG(H9,2),0)+IF(OR($H$2=1,$H$2=2,$H$2=4,$H$2=8,$H$2=16,$H$2=32,$H$2=64,$H$2=128,$H$2=256),0,1)</f>
        <v>0</v>
      </c>
      <c r="K9" s="36">
        <f t="shared" si="2"/>
        <v>0</v>
      </c>
      <c r="L9" s="36"/>
      <c r="M9" s="38">
        <f t="shared" si="3"/>
        <v>1</v>
      </c>
      <c r="N9" s="38">
        <f t="shared" si="4"/>
        <v>1.2</v>
      </c>
      <c r="P9" s="196">
        <v>4</v>
      </c>
      <c r="Q9" s="198" t="s">
        <v>148</v>
      </c>
      <c r="R9" s="199">
        <v>1</v>
      </c>
      <c r="S9" s="198">
        <v>10</v>
      </c>
      <c r="W9" s="42"/>
      <c r="AA9" s="40"/>
      <c r="AB9" s="40"/>
      <c r="AH9" s="41"/>
      <c r="AI9" s="13" t="s">
        <v>50</v>
      </c>
      <c r="AJ9" s="13">
        <v>23</v>
      </c>
    </row>
    <row r="10" spans="1:37" ht="14.45" customHeight="1" x14ac:dyDescent="0.25">
      <c r="A10" s="27">
        <f t="shared" ref="A10:A70" si="7">N10</f>
        <v>0</v>
      </c>
      <c r="B10" s="28" t="str">
        <f t="shared" si="1"/>
        <v/>
      </c>
      <c r="C10" s="29"/>
      <c r="D10" s="29"/>
      <c r="E10" s="29"/>
      <c r="F10" s="29"/>
      <c r="G10" s="22"/>
      <c r="H10" s="30">
        <v>5</v>
      </c>
      <c r="I10" s="31" t="str">
        <f t="shared" si="5"/>
        <v/>
      </c>
      <c r="J10" s="30">
        <f t="shared" si="6"/>
        <v>-1</v>
      </c>
      <c r="K10" s="30">
        <f t="shared" si="2"/>
        <v>-10</v>
      </c>
      <c r="L10" s="30"/>
      <c r="M10" s="32">
        <f t="shared" si="3"/>
        <v>0</v>
      </c>
      <c r="N10" s="32">
        <f t="shared" si="4"/>
        <v>0</v>
      </c>
      <c r="P10" s="196">
        <v>5</v>
      </c>
      <c r="Q10" s="198" t="s">
        <v>71</v>
      </c>
      <c r="R10" s="199">
        <v>0</v>
      </c>
      <c r="S10" s="200">
        <v>0</v>
      </c>
      <c r="W10" s="39"/>
      <c r="AA10" s="40"/>
      <c r="AB10" s="40"/>
      <c r="AH10" s="41"/>
      <c r="AI10" s="13" t="s">
        <v>52</v>
      </c>
      <c r="AJ10" s="13">
        <v>45</v>
      </c>
    </row>
    <row r="11" spans="1:37" ht="14.45" customHeight="1" x14ac:dyDescent="0.25">
      <c r="A11" s="33">
        <f t="shared" si="0"/>
        <v>0</v>
      </c>
      <c r="B11" s="34" t="str">
        <f t="shared" si="1"/>
        <v/>
      </c>
      <c r="C11" s="35"/>
      <c r="D11" s="35"/>
      <c r="E11" s="35"/>
      <c r="F11" s="35"/>
      <c r="G11" s="22"/>
      <c r="H11" s="36">
        <v>6</v>
      </c>
      <c r="I11" s="37" t="str">
        <f t="shared" si="5"/>
        <v/>
      </c>
      <c r="J11" s="36">
        <f t="shared" si="6"/>
        <v>-1</v>
      </c>
      <c r="K11" s="36">
        <f t="shared" si="2"/>
        <v>-10</v>
      </c>
      <c r="L11" s="36"/>
      <c r="M11" s="38">
        <f t="shared" si="3"/>
        <v>0</v>
      </c>
      <c r="N11" s="38">
        <f t="shared" si="4"/>
        <v>0</v>
      </c>
      <c r="P11" s="196"/>
      <c r="Q11" s="198"/>
      <c r="R11" s="199"/>
      <c r="S11" s="198"/>
      <c r="W11" s="42"/>
      <c r="AA11" s="40"/>
      <c r="AB11" s="40"/>
      <c r="AH11" s="41"/>
      <c r="AI11" s="13" t="s">
        <v>53</v>
      </c>
      <c r="AJ11" s="13">
        <v>50</v>
      </c>
    </row>
    <row r="12" spans="1:37" ht="14.45" customHeight="1" x14ac:dyDescent="0.25">
      <c r="A12" s="27">
        <f t="shared" si="7"/>
        <v>0</v>
      </c>
      <c r="B12" s="28" t="str">
        <f t="shared" ref="B12:B13" si="8">IF(H12&gt;$H$2,"",(ROW()-5))</f>
        <v/>
      </c>
      <c r="C12" s="29"/>
      <c r="D12" s="29"/>
      <c r="E12" s="29"/>
      <c r="F12" s="29"/>
      <c r="G12" s="22"/>
      <c r="H12" s="30">
        <v>7</v>
      </c>
      <c r="I12" s="31" t="str">
        <f t="shared" si="5"/>
        <v/>
      </c>
      <c r="J12" s="30">
        <f t="shared" si="6"/>
        <v>-1</v>
      </c>
      <c r="K12" s="30">
        <f t="shared" si="2"/>
        <v>-10</v>
      </c>
      <c r="L12" s="30"/>
      <c r="M12" s="32">
        <f t="shared" si="3"/>
        <v>0</v>
      </c>
      <c r="N12" s="32">
        <f t="shared" si="4"/>
        <v>0</v>
      </c>
      <c r="P12" s="196"/>
      <c r="Q12" s="198"/>
      <c r="R12" s="199"/>
      <c r="S12" s="200"/>
      <c r="AA12" s="40"/>
      <c r="AB12" s="40"/>
      <c r="AH12" s="41"/>
      <c r="AI12" s="13" t="s">
        <v>54</v>
      </c>
      <c r="AJ12" s="13">
        <f>AJ11-1</f>
        <v>49</v>
      </c>
    </row>
    <row r="13" spans="1:37" ht="14.45" customHeight="1" x14ac:dyDescent="0.25">
      <c r="A13" s="43">
        <f t="shared" si="7"/>
        <v>0</v>
      </c>
      <c r="B13" s="34" t="str">
        <f t="shared" si="8"/>
        <v/>
      </c>
      <c r="C13" s="35"/>
      <c r="D13" s="35"/>
      <c r="E13" s="35"/>
      <c r="F13" s="35"/>
      <c r="G13" s="22"/>
      <c r="H13" s="36">
        <v>8</v>
      </c>
      <c r="I13" s="37" t="str">
        <f t="shared" si="5"/>
        <v/>
      </c>
      <c r="J13" s="36">
        <f t="shared" si="6"/>
        <v>-1</v>
      </c>
      <c r="K13" s="36">
        <f t="shared" si="2"/>
        <v>-10</v>
      </c>
      <c r="L13" s="36"/>
      <c r="M13" s="38">
        <f t="shared" si="3"/>
        <v>0</v>
      </c>
      <c r="N13" s="38">
        <f t="shared" si="4"/>
        <v>0</v>
      </c>
      <c r="Y13" s="39"/>
      <c r="AH13" s="41"/>
      <c r="AI13" s="13" t="s">
        <v>55</v>
      </c>
      <c r="AJ13" s="13">
        <f>LOG(AJ9)</f>
        <v>1.3617278360175928</v>
      </c>
    </row>
    <row r="14" spans="1:37" x14ac:dyDescent="0.25">
      <c r="A14" s="44">
        <f t="shared" si="7"/>
        <v>0</v>
      </c>
      <c r="B14" s="28" t="str">
        <f>IF(H14&gt;$H$2,"",(ROW()-5))</f>
        <v/>
      </c>
      <c r="C14" s="29"/>
      <c r="D14" s="29"/>
      <c r="E14" s="29"/>
      <c r="F14" s="29"/>
      <c r="G14" s="22"/>
      <c r="H14" s="30">
        <v>9</v>
      </c>
      <c r="I14" s="31" t="str">
        <f t="shared" si="5"/>
        <v/>
      </c>
      <c r="J14" s="30">
        <f t="shared" si="6"/>
        <v>-2</v>
      </c>
      <c r="K14" s="30">
        <f t="shared" si="2"/>
        <v>-20</v>
      </c>
      <c r="L14" s="30"/>
      <c r="M14" s="32">
        <f t="shared" si="3"/>
        <v>0</v>
      </c>
      <c r="N14" s="32">
        <f t="shared" si="4"/>
        <v>0</v>
      </c>
      <c r="Y14" s="45"/>
      <c r="AA14" s="40"/>
      <c r="AB14" s="40"/>
      <c r="AH14" s="41"/>
      <c r="AI14" s="13" t="s">
        <v>56</v>
      </c>
      <c r="AJ14" s="13">
        <f>LOG(AJ10)</f>
        <v>1.6532125137753437</v>
      </c>
    </row>
    <row r="15" spans="1:37" x14ac:dyDescent="0.25">
      <c r="A15" s="43">
        <f t="shared" si="7"/>
        <v>0</v>
      </c>
      <c r="B15" s="34" t="str">
        <f t="shared" ref="B15:B65" si="9">IF(H15&gt;$H$2,"",(ROW()-5))</f>
        <v/>
      </c>
      <c r="C15" s="35"/>
      <c r="D15" s="35"/>
      <c r="E15" s="35"/>
      <c r="F15" s="35"/>
      <c r="G15" s="22"/>
      <c r="H15" s="36">
        <v>10</v>
      </c>
      <c r="I15" s="37" t="str">
        <f t="shared" si="5"/>
        <v/>
      </c>
      <c r="J15" s="36">
        <f t="shared" si="6"/>
        <v>-2</v>
      </c>
      <c r="K15" s="36">
        <f t="shared" si="2"/>
        <v>-20</v>
      </c>
      <c r="L15" s="36"/>
      <c r="M15" s="38">
        <f t="shared" si="3"/>
        <v>0</v>
      </c>
      <c r="N15" s="38">
        <f t="shared" si="4"/>
        <v>0</v>
      </c>
      <c r="Y15" s="39"/>
      <c r="AA15" s="40"/>
      <c r="AB15" s="40"/>
    </row>
    <row r="16" spans="1:37" x14ac:dyDescent="0.25">
      <c r="A16" s="44">
        <f t="shared" si="7"/>
        <v>0</v>
      </c>
      <c r="B16" s="28" t="str">
        <f t="shared" si="9"/>
        <v/>
      </c>
      <c r="C16" s="29"/>
      <c r="D16" s="29"/>
      <c r="E16" s="29"/>
      <c r="F16" s="29"/>
      <c r="G16" s="22"/>
      <c r="H16" s="30">
        <v>11</v>
      </c>
      <c r="I16" s="31" t="str">
        <f t="shared" si="5"/>
        <v/>
      </c>
      <c r="J16" s="30">
        <f t="shared" si="6"/>
        <v>-2</v>
      </c>
      <c r="K16" s="30">
        <f t="shared" si="2"/>
        <v>-20</v>
      </c>
      <c r="L16" s="30"/>
      <c r="M16" s="32">
        <f t="shared" si="3"/>
        <v>0</v>
      </c>
      <c r="N16" s="32">
        <f t="shared" si="4"/>
        <v>0</v>
      </c>
      <c r="S16" s="46"/>
      <c r="AA16" s="40"/>
      <c r="AB16" s="40"/>
      <c r="AI16" s="47" t="s">
        <v>57</v>
      </c>
      <c r="AJ16" s="13">
        <f>AJ11-AJ12*AJ13/AJ14</f>
        <v>9.6393909380186855</v>
      </c>
      <c r="AK16" s="13" t="s">
        <v>58</v>
      </c>
    </row>
    <row r="17" spans="1:20" x14ac:dyDescent="0.25">
      <c r="A17" s="43">
        <f t="shared" si="7"/>
        <v>0</v>
      </c>
      <c r="B17" s="34" t="str">
        <f t="shared" si="9"/>
        <v/>
      </c>
      <c r="C17" s="35"/>
      <c r="D17" s="35"/>
      <c r="E17" s="35"/>
      <c r="F17" s="35"/>
      <c r="G17" s="22"/>
      <c r="H17" s="36">
        <v>12</v>
      </c>
      <c r="I17" s="37" t="str">
        <f t="shared" si="5"/>
        <v/>
      </c>
      <c r="J17" s="36">
        <f t="shared" si="6"/>
        <v>-2</v>
      </c>
      <c r="K17" s="36">
        <f t="shared" si="2"/>
        <v>-20</v>
      </c>
      <c r="L17" s="36"/>
      <c r="M17" s="38">
        <f t="shared" si="3"/>
        <v>0</v>
      </c>
      <c r="N17" s="38">
        <f t="shared" si="4"/>
        <v>0</v>
      </c>
    </row>
    <row r="18" spans="1:20" x14ac:dyDescent="0.25">
      <c r="A18" s="44">
        <f t="shared" si="7"/>
        <v>0</v>
      </c>
      <c r="B18" s="28" t="str">
        <f t="shared" si="9"/>
        <v/>
      </c>
      <c r="C18" s="29"/>
      <c r="D18" s="29"/>
      <c r="E18" s="29"/>
      <c r="F18" s="29"/>
      <c r="G18" s="22"/>
      <c r="H18" s="30">
        <v>13</v>
      </c>
      <c r="I18" s="31" t="str">
        <f t="shared" si="5"/>
        <v/>
      </c>
      <c r="J18" s="30">
        <f t="shared" si="6"/>
        <v>-2</v>
      </c>
      <c r="K18" s="30">
        <f t="shared" si="2"/>
        <v>-20</v>
      </c>
      <c r="L18" s="30"/>
      <c r="M18" s="32">
        <f t="shared" si="3"/>
        <v>0</v>
      </c>
      <c r="N18" s="32">
        <f t="shared" si="4"/>
        <v>0</v>
      </c>
    </row>
    <row r="19" spans="1:20" x14ac:dyDescent="0.25">
      <c r="A19" s="43">
        <f t="shared" si="7"/>
        <v>0</v>
      </c>
      <c r="B19" s="34" t="str">
        <f t="shared" si="9"/>
        <v/>
      </c>
      <c r="C19" s="35"/>
      <c r="D19" s="35"/>
      <c r="E19" s="35"/>
      <c r="F19" s="35"/>
      <c r="G19" s="22"/>
      <c r="H19" s="36">
        <v>14</v>
      </c>
      <c r="I19" s="37" t="str">
        <f t="shared" si="5"/>
        <v/>
      </c>
      <c r="J19" s="36">
        <f t="shared" si="6"/>
        <v>-2</v>
      </c>
      <c r="K19" s="36">
        <f t="shared" si="2"/>
        <v>-20</v>
      </c>
      <c r="L19" s="36"/>
      <c r="M19" s="38">
        <f t="shared" si="3"/>
        <v>0</v>
      </c>
      <c r="N19" s="38">
        <f t="shared" si="4"/>
        <v>0</v>
      </c>
    </row>
    <row r="20" spans="1:20" x14ac:dyDescent="0.25">
      <c r="A20" s="44">
        <f t="shared" si="7"/>
        <v>0</v>
      </c>
      <c r="B20" s="28" t="str">
        <f t="shared" si="9"/>
        <v/>
      </c>
      <c r="C20" s="29"/>
      <c r="D20" s="29"/>
      <c r="E20" s="29"/>
      <c r="F20" s="29"/>
      <c r="G20" s="22"/>
      <c r="H20" s="30">
        <v>15</v>
      </c>
      <c r="I20" s="31" t="str">
        <f t="shared" si="5"/>
        <v/>
      </c>
      <c r="J20" s="30">
        <f t="shared" si="6"/>
        <v>-2</v>
      </c>
      <c r="K20" s="30">
        <f t="shared" si="2"/>
        <v>-20</v>
      </c>
      <c r="L20" s="30"/>
      <c r="M20" s="32">
        <f t="shared" si="3"/>
        <v>0</v>
      </c>
      <c r="N20" s="32">
        <f t="shared" si="4"/>
        <v>0</v>
      </c>
      <c r="S20" s="48"/>
      <c r="T20" s="49"/>
    </row>
    <row r="21" spans="1:20" x14ac:dyDescent="0.25">
      <c r="A21" s="43">
        <f t="shared" si="7"/>
        <v>0</v>
      </c>
      <c r="B21" s="34" t="str">
        <f t="shared" si="9"/>
        <v/>
      </c>
      <c r="C21" s="35"/>
      <c r="D21" s="35"/>
      <c r="E21" s="35"/>
      <c r="F21" s="35"/>
      <c r="G21" s="22"/>
      <c r="H21" s="36">
        <v>16</v>
      </c>
      <c r="I21" s="37" t="str">
        <f t="shared" si="5"/>
        <v/>
      </c>
      <c r="J21" s="36">
        <f t="shared" si="6"/>
        <v>-2</v>
      </c>
      <c r="K21" s="36">
        <f t="shared" si="2"/>
        <v>-20</v>
      </c>
      <c r="L21" s="36"/>
      <c r="M21" s="38">
        <f t="shared" si="3"/>
        <v>0</v>
      </c>
      <c r="N21" s="38">
        <f t="shared" si="4"/>
        <v>0</v>
      </c>
    </row>
    <row r="22" spans="1:20" x14ac:dyDescent="0.25">
      <c r="A22" s="44">
        <f t="shared" si="7"/>
        <v>0</v>
      </c>
      <c r="B22" s="28" t="str">
        <f t="shared" si="9"/>
        <v/>
      </c>
      <c r="C22" s="29"/>
      <c r="D22" s="29"/>
      <c r="E22" s="29"/>
      <c r="F22" s="29"/>
      <c r="G22" s="22"/>
      <c r="H22" s="30">
        <v>17</v>
      </c>
      <c r="I22" s="31" t="str">
        <f t="shared" si="5"/>
        <v/>
      </c>
      <c r="J22" s="30">
        <f t="shared" si="6"/>
        <v>-3</v>
      </c>
      <c r="K22" s="30">
        <f t="shared" si="2"/>
        <v>-30</v>
      </c>
      <c r="L22" s="30"/>
      <c r="M22" s="32">
        <f t="shared" si="3"/>
        <v>0</v>
      </c>
      <c r="N22" s="32">
        <f t="shared" si="4"/>
        <v>0</v>
      </c>
    </row>
    <row r="23" spans="1:20" x14ac:dyDescent="0.25">
      <c r="A23" s="43">
        <f t="shared" si="7"/>
        <v>0</v>
      </c>
      <c r="B23" s="34" t="str">
        <f t="shared" si="9"/>
        <v/>
      </c>
      <c r="C23" s="35"/>
      <c r="D23" s="35"/>
      <c r="E23" s="35"/>
      <c r="F23" s="35"/>
      <c r="G23" s="22"/>
      <c r="H23" s="36">
        <v>18</v>
      </c>
      <c r="I23" s="37" t="str">
        <f t="shared" si="5"/>
        <v/>
      </c>
      <c r="J23" s="36">
        <f t="shared" si="6"/>
        <v>-3</v>
      </c>
      <c r="K23" s="36">
        <f t="shared" si="2"/>
        <v>-30</v>
      </c>
      <c r="L23" s="36"/>
      <c r="M23" s="38">
        <f t="shared" si="3"/>
        <v>0</v>
      </c>
      <c r="N23" s="38">
        <f t="shared" si="4"/>
        <v>0</v>
      </c>
    </row>
    <row r="24" spans="1:20" x14ac:dyDescent="0.25">
      <c r="A24" s="44">
        <f t="shared" si="7"/>
        <v>0</v>
      </c>
      <c r="B24" s="28" t="str">
        <f t="shared" si="9"/>
        <v/>
      </c>
      <c r="C24" s="29"/>
      <c r="D24" s="29"/>
      <c r="E24" s="29"/>
      <c r="F24" s="29"/>
      <c r="G24" s="22"/>
      <c r="H24" s="30">
        <v>19</v>
      </c>
      <c r="I24" s="31" t="str">
        <f t="shared" si="5"/>
        <v/>
      </c>
      <c r="J24" s="30">
        <f t="shared" si="6"/>
        <v>-3</v>
      </c>
      <c r="K24" s="30">
        <f t="shared" si="2"/>
        <v>-30</v>
      </c>
      <c r="L24" s="30"/>
      <c r="M24" s="32">
        <f t="shared" si="3"/>
        <v>0</v>
      </c>
      <c r="N24" s="32">
        <f t="shared" si="4"/>
        <v>0</v>
      </c>
      <c r="S24" s="48"/>
      <c r="T24" s="49"/>
    </row>
    <row r="25" spans="1:20" x14ac:dyDescent="0.25">
      <c r="A25" s="43">
        <f t="shared" si="7"/>
        <v>0</v>
      </c>
      <c r="B25" s="34" t="str">
        <f t="shared" si="9"/>
        <v/>
      </c>
      <c r="C25" s="35"/>
      <c r="D25" s="35"/>
      <c r="E25" s="35"/>
      <c r="F25" s="35"/>
      <c r="G25" s="22"/>
      <c r="H25" s="36">
        <v>20</v>
      </c>
      <c r="I25" s="37" t="str">
        <f t="shared" si="5"/>
        <v/>
      </c>
      <c r="J25" s="36">
        <f t="shared" si="6"/>
        <v>-3</v>
      </c>
      <c r="K25" s="36">
        <f t="shared" si="2"/>
        <v>-30</v>
      </c>
      <c r="L25" s="36"/>
      <c r="M25" s="38">
        <f t="shared" si="3"/>
        <v>0</v>
      </c>
      <c r="N25" s="38">
        <f t="shared" si="4"/>
        <v>0</v>
      </c>
    </row>
    <row r="26" spans="1:20" x14ac:dyDescent="0.25">
      <c r="A26" s="44">
        <f t="shared" si="7"/>
        <v>0</v>
      </c>
      <c r="B26" s="28" t="str">
        <f t="shared" si="9"/>
        <v/>
      </c>
      <c r="C26" s="29"/>
      <c r="D26" s="29"/>
      <c r="E26" s="29"/>
      <c r="F26" s="29"/>
      <c r="G26" s="22"/>
      <c r="H26" s="30">
        <v>21</v>
      </c>
      <c r="I26" s="31" t="str">
        <f t="shared" si="5"/>
        <v/>
      </c>
      <c r="J26" s="30">
        <f t="shared" si="6"/>
        <v>-3</v>
      </c>
      <c r="K26" s="30">
        <f t="shared" si="2"/>
        <v>-30</v>
      </c>
      <c r="L26" s="30"/>
      <c r="M26" s="32">
        <f t="shared" si="3"/>
        <v>0</v>
      </c>
      <c r="N26" s="32">
        <f t="shared" si="4"/>
        <v>0</v>
      </c>
    </row>
    <row r="27" spans="1:20" x14ac:dyDescent="0.25">
      <c r="A27" s="43">
        <f t="shared" si="7"/>
        <v>0</v>
      </c>
      <c r="B27" s="34" t="str">
        <f t="shared" si="9"/>
        <v/>
      </c>
      <c r="C27" s="35"/>
      <c r="D27" s="35"/>
      <c r="E27" s="35"/>
      <c r="F27" s="35"/>
      <c r="G27" s="22"/>
      <c r="H27" s="36">
        <v>22</v>
      </c>
      <c r="I27" s="37" t="str">
        <f t="shared" si="5"/>
        <v/>
      </c>
      <c r="J27" s="36">
        <f t="shared" si="6"/>
        <v>-3</v>
      </c>
      <c r="K27" s="36">
        <f t="shared" si="2"/>
        <v>-30</v>
      </c>
      <c r="L27" s="36"/>
      <c r="M27" s="38">
        <f t="shared" si="3"/>
        <v>0</v>
      </c>
      <c r="N27" s="38">
        <f t="shared" si="4"/>
        <v>0</v>
      </c>
    </row>
    <row r="28" spans="1:20" x14ac:dyDescent="0.25">
      <c r="A28" s="44">
        <f t="shared" si="7"/>
        <v>0</v>
      </c>
      <c r="B28" s="28" t="str">
        <f t="shared" si="9"/>
        <v/>
      </c>
      <c r="C28" s="29"/>
      <c r="D28" s="29"/>
      <c r="E28" s="29"/>
      <c r="F28" s="29"/>
      <c r="G28" s="22"/>
      <c r="H28" s="30">
        <v>23</v>
      </c>
      <c r="I28" s="31" t="str">
        <f t="shared" si="5"/>
        <v/>
      </c>
      <c r="J28" s="30">
        <f t="shared" si="6"/>
        <v>-3</v>
      </c>
      <c r="K28" s="30">
        <f t="shared" si="2"/>
        <v>-30</v>
      </c>
      <c r="L28" s="30"/>
      <c r="M28" s="32">
        <f t="shared" si="3"/>
        <v>0</v>
      </c>
      <c r="N28" s="32">
        <f t="shared" si="4"/>
        <v>0</v>
      </c>
      <c r="S28" s="48"/>
      <c r="T28" s="49"/>
    </row>
    <row r="29" spans="1:20" x14ac:dyDescent="0.25">
      <c r="A29" s="43">
        <f t="shared" si="7"/>
        <v>0</v>
      </c>
      <c r="B29" s="34" t="str">
        <f t="shared" si="9"/>
        <v/>
      </c>
      <c r="C29" s="35"/>
      <c r="D29" s="35"/>
      <c r="E29" s="35"/>
      <c r="F29" s="35"/>
      <c r="G29" s="8"/>
      <c r="H29" s="36">
        <v>24</v>
      </c>
      <c r="I29" s="37" t="str">
        <f t="shared" si="5"/>
        <v/>
      </c>
      <c r="J29" s="36">
        <f t="shared" si="6"/>
        <v>-3</v>
      </c>
      <c r="K29" s="36">
        <f t="shared" si="2"/>
        <v>-30</v>
      </c>
      <c r="L29" s="36"/>
      <c r="M29" s="38">
        <f t="shared" si="3"/>
        <v>0</v>
      </c>
      <c r="N29" s="38">
        <f t="shared" si="4"/>
        <v>0</v>
      </c>
    </row>
    <row r="30" spans="1:20" x14ac:dyDescent="0.25">
      <c r="A30" s="44">
        <f t="shared" si="7"/>
        <v>0</v>
      </c>
      <c r="B30" s="28" t="str">
        <f t="shared" si="9"/>
        <v/>
      </c>
      <c r="C30" s="29"/>
      <c r="D30" s="29"/>
      <c r="E30" s="29"/>
      <c r="F30" s="29"/>
      <c r="G30" s="8"/>
      <c r="H30" s="30">
        <v>25</v>
      </c>
      <c r="I30" s="31" t="str">
        <f t="shared" si="5"/>
        <v/>
      </c>
      <c r="J30" s="30">
        <f t="shared" si="6"/>
        <v>-3</v>
      </c>
      <c r="K30" s="30">
        <f t="shared" si="2"/>
        <v>-30</v>
      </c>
      <c r="L30" s="30"/>
      <c r="M30" s="32">
        <f t="shared" si="3"/>
        <v>0</v>
      </c>
      <c r="N30" s="32">
        <f t="shared" si="4"/>
        <v>0</v>
      </c>
    </row>
    <row r="31" spans="1:20" x14ac:dyDescent="0.25">
      <c r="A31" s="43">
        <f t="shared" si="7"/>
        <v>0</v>
      </c>
      <c r="B31" s="34" t="str">
        <f t="shared" si="9"/>
        <v/>
      </c>
      <c r="C31" s="35"/>
      <c r="D31" s="35"/>
      <c r="E31" s="35"/>
      <c r="F31" s="35"/>
      <c r="G31" s="8"/>
      <c r="H31" s="36">
        <v>26</v>
      </c>
      <c r="I31" s="37" t="str">
        <f t="shared" si="5"/>
        <v/>
      </c>
      <c r="J31" s="36">
        <f t="shared" si="6"/>
        <v>-3</v>
      </c>
      <c r="K31" s="36">
        <f t="shared" si="2"/>
        <v>-30</v>
      </c>
      <c r="L31" s="36"/>
      <c r="M31" s="38">
        <f t="shared" si="3"/>
        <v>0</v>
      </c>
      <c r="N31" s="38">
        <f t="shared" si="4"/>
        <v>0</v>
      </c>
    </row>
    <row r="32" spans="1:20" x14ac:dyDescent="0.25">
      <c r="A32" s="44">
        <f t="shared" si="7"/>
        <v>0</v>
      </c>
      <c r="B32" s="28" t="str">
        <f t="shared" si="9"/>
        <v/>
      </c>
      <c r="C32" s="29"/>
      <c r="D32" s="29"/>
      <c r="E32" s="29"/>
      <c r="F32" s="29"/>
      <c r="G32" s="8"/>
      <c r="H32" s="30">
        <v>27</v>
      </c>
      <c r="I32" s="31" t="str">
        <f t="shared" si="5"/>
        <v/>
      </c>
      <c r="J32" s="30">
        <f t="shared" si="6"/>
        <v>-3</v>
      </c>
      <c r="K32" s="30">
        <f t="shared" si="2"/>
        <v>-30</v>
      </c>
      <c r="L32" s="30"/>
      <c r="M32" s="32">
        <f t="shared" si="3"/>
        <v>0</v>
      </c>
      <c r="N32" s="32">
        <f t="shared" si="4"/>
        <v>0</v>
      </c>
      <c r="S32" s="48"/>
      <c r="T32" s="49"/>
    </row>
    <row r="33" spans="1:22" x14ac:dyDescent="0.25">
      <c r="A33" s="43">
        <f t="shared" si="7"/>
        <v>0</v>
      </c>
      <c r="B33" s="34" t="str">
        <f t="shared" si="9"/>
        <v/>
      </c>
      <c r="C33" s="35"/>
      <c r="D33" s="35"/>
      <c r="E33" s="35"/>
      <c r="F33" s="35"/>
      <c r="G33" s="8"/>
      <c r="H33" s="36">
        <v>28</v>
      </c>
      <c r="I33" s="37" t="str">
        <f t="shared" si="5"/>
        <v/>
      </c>
      <c r="J33" s="36">
        <f t="shared" si="6"/>
        <v>-3</v>
      </c>
      <c r="K33" s="36">
        <f t="shared" si="2"/>
        <v>-30</v>
      </c>
      <c r="L33" s="36"/>
      <c r="M33" s="38">
        <f t="shared" si="3"/>
        <v>0</v>
      </c>
      <c r="N33" s="38">
        <f t="shared" si="4"/>
        <v>0</v>
      </c>
    </row>
    <row r="34" spans="1:22" x14ac:dyDescent="0.25">
      <c r="A34" s="44">
        <f t="shared" si="7"/>
        <v>0</v>
      </c>
      <c r="B34" s="28" t="str">
        <f t="shared" si="9"/>
        <v/>
      </c>
      <c r="C34" s="29"/>
      <c r="D34" s="29"/>
      <c r="E34" s="29"/>
      <c r="F34" s="29"/>
      <c r="G34" s="8"/>
      <c r="H34" s="30">
        <v>29</v>
      </c>
      <c r="I34" s="31" t="str">
        <f t="shared" si="5"/>
        <v/>
      </c>
      <c r="J34" s="30">
        <f t="shared" si="6"/>
        <v>-3</v>
      </c>
      <c r="K34" s="30">
        <f t="shared" si="2"/>
        <v>-30</v>
      </c>
      <c r="L34" s="30"/>
      <c r="M34" s="32">
        <f t="shared" si="3"/>
        <v>0</v>
      </c>
      <c r="N34" s="32">
        <f t="shared" si="4"/>
        <v>0</v>
      </c>
    </row>
    <row r="35" spans="1:22" x14ac:dyDescent="0.25">
      <c r="A35" s="43">
        <f t="shared" si="7"/>
        <v>0</v>
      </c>
      <c r="B35" s="34" t="str">
        <f t="shared" si="9"/>
        <v/>
      </c>
      <c r="C35" s="35"/>
      <c r="D35" s="35"/>
      <c r="E35" s="35"/>
      <c r="F35" s="35"/>
      <c r="G35" s="8"/>
      <c r="H35" s="36">
        <v>30</v>
      </c>
      <c r="I35" s="37" t="str">
        <f t="shared" si="5"/>
        <v/>
      </c>
      <c r="J35" s="36">
        <f t="shared" si="6"/>
        <v>-3</v>
      </c>
      <c r="K35" s="36">
        <f t="shared" si="2"/>
        <v>-30</v>
      </c>
      <c r="L35" s="36"/>
      <c r="M35" s="38">
        <f t="shared" si="3"/>
        <v>0</v>
      </c>
      <c r="N35" s="38">
        <f t="shared" si="4"/>
        <v>0</v>
      </c>
    </row>
    <row r="36" spans="1:22" x14ac:dyDescent="0.25">
      <c r="A36" s="44">
        <f t="shared" si="7"/>
        <v>0</v>
      </c>
      <c r="B36" s="28" t="str">
        <f t="shared" si="9"/>
        <v/>
      </c>
      <c r="C36" s="29"/>
      <c r="D36" s="29"/>
      <c r="E36" s="29"/>
      <c r="F36" s="29"/>
      <c r="G36" s="8"/>
      <c r="H36" s="30">
        <v>31</v>
      </c>
      <c r="I36" s="31" t="str">
        <f t="shared" si="5"/>
        <v/>
      </c>
      <c r="J36" s="30">
        <f t="shared" si="6"/>
        <v>-3</v>
      </c>
      <c r="K36" s="30">
        <f t="shared" si="2"/>
        <v>-30</v>
      </c>
      <c r="L36" s="30"/>
      <c r="M36" s="32">
        <f t="shared" si="3"/>
        <v>0</v>
      </c>
      <c r="N36" s="32">
        <f t="shared" si="4"/>
        <v>0</v>
      </c>
      <c r="S36" s="48"/>
      <c r="T36" s="49"/>
    </row>
    <row r="37" spans="1:22" x14ac:dyDescent="0.25">
      <c r="A37" s="43">
        <f t="shared" si="7"/>
        <v>0</v>
      </c>
      <c r="B37" s="34" t="str">
        <f t="shared" si="9"/>
        <v/>
      </c>
      <c r="C37" s="35"/>
      <c r="D37" s="35"/>
      <c r="E37" s="35"/>
      <c r="F37" s="35"/>
      <c r="G37" s="8"/>
      <c r="H37" s="36">
        <v>32</v>
      </c>
      <c r="I37" s="37" t="str">
        <f t="shared" si="5"/>
        <v/>
      </c>
      <c r="J37" s="36">
        <f t="shared" si="6"/>
        <v>-3</v>
      </c>
      <c r="K37" s="36">
        <f t="shared" si="2"/>
        <v>-30</v>
      </c>
      <c r="L37" s="36"/>
      <c r="M37" s="38">
        <f t="shared" si="3"/>
        <v>0</v>
      </c>
      <c r="N37" s="38">
        <f t="shared" si="4"/>
        <v>0</v>
      </c>
    </row>
    <row r="38" spans="1:22" x14ac:dyDescent="0.25">
      <c r="A38" s="44">
        <f t="shared" si="7"/>
        <v>0</v>
      </c>
      <c r="B38" s="28" t="str">
        <f t="shared" si="9"/>
        <v/>
      </c>
      <c r="C38" s="29"/>
      <c r="D38" s="29"/>
      <c r="E38" s="29"/>
      <c r="F38" s="29"/>
      <c r="G38" s="8"/>
      <c r="H38" s="30">
        <v>33</v>
      </c>
      <c r="I38" s="31" t="str">
        <f t="shared" si="5"/>
        <v/>
      </c>
      <c r="J38" s="30">
        <f t="shared" si="6"/>
        <v>-4</v>
      </c>
      <c r="K38" s="30">
        <f t="shared" si="2"/>
        <v>-40</v>
      </c>
      <c r="L38" s="30"/>
      <c r="M38" s="32">
        <f t="shared" si="3"/>
        <v>0</v>
      </c>
      <c r="N38" s="32">
        <f t="shared" si="4"/>
        <v>0</v>
      </c>
    </row>
    <row r="39" spans="1:22" x14ac:dyDescent="0.25">
      <c r="A39" s="43">
        <f t="shared" si="7"/>
        <v>0</v>
      </c>
      <c r="B39" s="34" t="str">
        <f t="shared" si="9"/>
        <v/>
      </c>
      <c r="C39" s="35"/>
      <c r="D39" s="35"/>
      <c r="E39" s="35"/>
      <c r="F39" s="35"/>
      <c r="G39" s="8"/>
      <c r="H39" s="36">
        <v>34</v>
      </c>
      <c r="I39" s="37" t="str">
        <f t="shared" si="5"/>
        <v/>
      </c>
      <c r="J39" s="36">
        <f t="shared" si="6"/>
        <v>-4</v>
      </c>
      <c r="K39" s="36">
        <f t="shared" si="2"/>
        <v>-40</v>
      </c>
      <c r="L39" s="36"/>
      <c r="M39" s="38">
        <f t="shared" si="3"/>
        <v>0</v>
      </c>
      <c r="N39" s="38">
        <f t="shared" si="4"/>
        <v>0</v>
      </c>
    </row>
    <row r="40" spans="1:22" x14ac:dyDescent="0.25">
      <c r="A40" s="44">
        <f t="shared" si="7"/>
        <v>0</v>
      </c>
      <c r="B40" s="28" t="str">
        <f t="shared" si="9"/>
        <v/>
      </c>
      <c r="C40" s="29"/>
      <c r="D40" s="29"/>
      <c r="E40" s="29"/>
      <c r="F40" s="29"/>
      <c r="G40" s="8"/>
      <c r="H40" s="30">
        <v>35</v>
      </c>
      <c r="I40" s="31" t="str">
        <f t="shared" si="5"/>
        <v/>
      </c>
      <c r="J40" s="30">
        <f t="shared" si="6"/>
        <v>-4</v>
      </c>
      <c r="K40" s="30">
        <f t="shared" si="2"/>
        <v>-40</v>
      </c>
      <c r="L40" s="30"/>
      <c r="M40" s="32">
        <f t="shared" si="3"/>
        <v>0</v>
      </c>
      <c r="N40" s="32">
        <f t="shared" si="4"/>
        <v>0</v>
      </c>
    </row>
    <row r="41" spans="1:22" x14ac:dyDescent="0.25">
      <c r="A41" s="43">
        <f t="shared" si="7"/>
        <v>0</v>
      </c>
      <c r="B41" s="34" t="str">
        <f t="shared" si="9"/>
        <v/>
      </c>
      <c r="C41" s="35"/>
      <c r="D41" s="35"/>
      <c r="E41" s="35"/>
      <c r="F41" s="35"/>
      <c r="G41" s="8"/>
      <c r="H41" s="36">
        <v>36</v>
      </c>
      <c r="I41" s="37" t="str">
        <f t="shared" si="5"/>
        <v/>
      </c>
      <c r="J41" s="36">
        <f t="shared" si="6"/>
        <v>-4</v>
      </c>
      <c r="K41" s="36">
        <f t="shared" si="2"/>
        <v>-40</v>
      </c>
      <c r="L41" s="36"/>
      <c r="M41" s="38">
        <f t="shared" si="3"/>
        <v>0</v>
      </c>
      <c r="N41" s="38">
        <f t="shared" si="4"/>
        <v>0</v>
      </c>
      <c r="T41" s="50"/>
    </row>
    <row r="42" spans="1:22" x14ac:dyDescent="0.25">
      <c r="A42" s="44">
        <f t="shared" si="7"/>
        <v>0</v>
      </c>
      <c r="B42" s="28" t="str">
        <f t="shared" si="9"/>
        <v/>
      </c>
      <c r="C42" s="29"/>
      <c r="D42" s="29"/>
      <c r="E42" s="29"/>
      <c r="F42" s="29"/>
      <c r="G42" s="8"/>
      <c r="H42" s="30">
        <v>37</v>
      </c>
      <c r="I42" s="31" t="str">
        <f t="shared" si="5"/>
        <v/>
      </c>
      <c r="J42" s="30">
        <f t="shared" si="6"/>
        <v>-4</v>
      </c>
      <c r="K42" s="30">
        <f t="shared" si="2"/>
        <v>-40</v>
      </c>
      <c r="L42" s="30"/>
      <c r="M42" s="32">
        <f t="shared" si="3"/>
        <v>0</v>
      </c>
      <c r="N42" s="32">
        <f t="shared" si="4"/>
        <v>0</v>
      </c>
    </row>
    <row r="43" spans="1:22" x14ac:dyDescent="0.25">
      <c r="A43" s="43">
        <f t="shared" si="7"/>
        <v>0</v>
      </c>
      <c r="B43" s="34" t="str">
        <f t="shared" si="9"/>
        <v/>
      </c>
      <c r="C43" s="35"/>
      <c r="D43" s="35"/>
      <c r="E43" s="35"/>
      <c r="F43" s="35"/>
      <c r="G43" s="8"/>
      <c r="H43" s="36">
        <v>38</v>
      </c>
      <c r="I43" s="37" t="str">
        <f t="shared" si="5"/>
        <v/>
      </c>
      <c r="J43" s="36">
        <f t="shared" si="6"/>
        <v>-4</v>
      </c>
      <c r="K43" s="36">
        <f t="shared" si="2"/>
        <v>-40</v>
      </c>
      <c r="L43" s="36"/>
      <c r="M43" s="38">
        <f t="shared" si="3"/>
        <v>0</v>
      </c>
      <c r="N43" s="38">
        <f t="shared" si="4"/>
        <v>0</v>
      </c>
    </row>
    <row r="44" spans="1:22" x14ac:dyDescent="0.25">
      <c r="A44" s="44">
        <f t="shared" si="7"/>
        <v>0</v>
      </c>
      <c r="B44" s="28" t="str">
        <f t="shared" si="9"/>
        <v/>
      </c>
      <c r="C44" s="29"/>
      <c r="D44" s="29"/>
      <c r="E44" s="29"/>
      <c r="F44" s="29"/>
      <c r="G44" s="8"/>
      <c r="H44" s="30">
        <v>39</v>
      </c>
      <c r="I44" s="31" t="str">
        <f t="shared" si="5"/>
        <v/>
      </c>
      <c r="J44" s="30">
        <f t="shared" si="6"/>
        <v>-4</v>
      </c>
      <c r="K44" s="30">
        <f t="shared" si="2"/>
        <v>-40</v>
      </c>
      <c r="L44" s="30"/>
      <c r="M44" s="32">
        <f t="shared" si="3"/>
        <v>0</v>
      </c>
      <c r="N44" s="32">
        <f t="shared" si="4"/>
        <v>0</v>
      </c>
    </row>
    <row r="45" spans="1:22" x14ac:dyDescent="0.25">
      <c r="A45" s="43">
        <f t="shared" si="7"/>
        <v>0</v>
      </c>
      <c r="B45" s="34" t="str">
        <f t="shared" si="9"/>
        <v/>
      </c>
      <c r="C45" s="35"/>
      <c r="D45" s="35"/>
      <c r="E45" s="35"/>
      <c r="F45" s="35"/>
      <c r="G45" s="8"/>
      <c r="H45" s="36">
        <v>40</v>
      </c>
      <c r="I45" s="37" t="str">
        <f t="shared" si="5"/>
        <v/>
      </c>
      <c r="J45" s="36">
        <f t="shared" si="6"/>
        <v>-4</v>
      </c>
      <c r="K45" s="36">
        <f t="shared" si="2"/>
        <v>-40</v>
      </c>
      <c r="L45" s="36"/>
      <c r="M45" s="38">
        <f t="shared" si="3"/>
        <v>0</v>
      </c>
      <c r="N45" s="38">
        <f t="shared" si="4"/>
        <v>0</v>
      </c>
    </row>
    <row r="46" spans="1:22" x14ac:dyDescent="0.25">
      <c r="A46" s="44">
        <f t="shared" si="7"/>
        <v>0</v>
      </c>
      <c r="B46" s="28" t="str">
        <f t="shared" si="9"/>
        <v/>
      </c>
      <c r="C46" s="29"/>
      <c r="D46" s="29"/>
      <c r="E46" s="29"/>
      <c r="F46" s="29"/>
      <c r="G46" s="8"/>
      <c r="H46" s="30">
        <v>41</v>
      </c>
      <c r="I46" s="31" t="str">
        <f t="shared" si="5"/>
        <v/>
      </c>
      <c r="J46" s="30">
        <f t="shared" si="6"/>
        <v>-4</v>
      </c>
      <c r="K46" s="30">
        <f t="shared" si="2"/>
        <v>-40</v>
      </c>
      <c r="L46" s="30"/>
      <c r="M46" s="32">
        <f t="shared" si="3"/>
        <v>0</v>
      </c>
      <c r="N46" s="32">
        <f t="shared" si="4"/>
        <v>0</v>
      </c>
      <c r="S46" s="8">
        <f>LOG($H$2,2)</f>
        <v>2</v>
      </c>
      <c r="U46" s="13">
        <f>LOG(H38,2)</f>
        <v>5.0443941193584534</v>
      </c>
      <c r="V46" s="13">
        <f>S46-U46</f>
        <v>-3.0443941193584534</v>
      </c>
    </row>
    <row r="47" spans="1:22" x14ac:dyDescent="0.25">
      <c r="A47" s="43">
        <f t="shared" si="7"/>
        <v>0</v>
      </c>
      <c r="B47" s="34" t="str">
        <f t="shared" si="9"/>
        <v/>
      </c>
      <c r="C47" s="35"/>
      <c r="D47" s="35"/>
      <c r="E47" s="35"/>
      <c r="F47" s="35"/>
      <c r="G47" s="8"/>
      <c r="H47" s="36">
        <v>42</v>
      </c>
      <c r="I47" s="37" t="str">
        <f t="shared" si="5"/>
        <v/>
      </c>
      <c r="J47" s="36">
        <f t="shared" si="6"/>
        <v>-4</v>
      </c>
      <c r="K47" s="36">
        <f t="shared" si="2"/>
        <v>-40</v>
      </c>
      <c r="L47" s="36"/>
      <c r="M47" s="38">
        <f t="shared" si="3"/>
        <v>0</v>
      </c>
      <c r="N47" s="38">
        <f t="shared" si="4"/>
        <v>0</v>
      </c>
    </row>
    <row r="48" spans="1:22" x14ac:dyDescent="0.25">
      <c r="A48" s="44">
        <f t="shared" si="7"/>
        <v>0</v>
      </c>
      <c r="B48" s="28" t="str">
        <f t="shared" si="9"/>
        <v/>
      </c>
      <c r="C48" s="29"/>
      <c r="D48" s="29"/>
      <c r="E48" s="29"/>
      <c r="F48" s="29"/>
      <c r="G48" s="8"/>
      <c r="H48" s="30">
        <v>43</v>
      </c>
      <c r="I48" s="31" t="str">
        <f t="shared" si="5"/>
        <v/>
      </c>
      <c r="J48" s="30">
        <f t="shared" si="6"/>
        <v>-4</v>
      </c>
      <c r="K48" s="30">
        <f t="shared" si="2"/>
        <v>-40</v>
      </c>
      <c r="L48" s="30"/>
      <c r="M48" s="32">
        <f t="shared" si="3"/>
        <v>0</v>
      </c>
      <c r="N48" s="32">
        <f t="shared" si="4"/>
        <v>0</v>
      </c>
    </row>
    <row r="49" spans="1:14" x14ac:dyDescent="0.25">
      <c r="A49" s="43">
        <f t="shared" si="7"/>
        <v>0</v>
      </c>
      <c r="B49" s="34" t="str">
        <f t="shared" si="9"/>
        <v/>
      </c>
      <c r="C49" s="35"/>
      <c r="D49" s="35"/>
      <c r="E49" s="35"/>
      <c r="F49" s="35"/>
      <c r="G49" s="8"/>
      <c r="H49" s="36">
        <v>44</v>
      </c>
      <c r="I49" s="37" t="str">
        <f t="shared" si="5"/>
        <v/>
      </c>
      <c r="J49" s="36">
        <f t="shared" si="6"/>
        <v>-4</v>
      </c>
      <c r="K49" s="36">
        <f t="shared" si="2"/>
        <v>-40</v>
      </c>
      <c r="L49" s="36"/>
      <c r="M49" s="38">
        <f t="shared" si="3"/>
        <v>0</v>
      </c>
      <c r="N49" s="38">
        <f t="shared" si="4"/>
        <v>0</v>
      </c>
    </row>
    <row r="50" spans="1:14" x14ac:dyDescent="0.25">
      <c r="A50" s="44">
        <f t="shared" si="7"/>
        <v>0</v>
      </c>
      <c r="B50" s="28" t="str">
        <f t="shared" si="9"/>
        <v/>
      </c>
      <c r="C50" s="29"/>
      <c r="D50" s="29"/>
      <c r="E50" s="29"/>
      <c r="F50" s="29"/>
      <c r="G50" s="8"/>
      <c r="H50" s="30">
        <v>45</v>
      </c>
      <c r="I50" s="31" t="str">
        <f t="shared" si="5"/>
        <v/>
      </c>
      <c r="J50" s="30">
        <f t="shared" si="6"/>
        <v>-4</v>
      </c>
      <c r="K50" s="30">
        <f t="shared" si="2"/>
        <v>-40</v>
      </c>
      <c r="L50" s="30"/>
      <c r="M50" s="32">
        <f t="shared" si="3"/>
        <v>0</v>
      </c>
      <c r="N50" s="32">
        <f t="shared" si="4"/>
        <v>0</v>
      </c>
    </row>
    <row r="51" spans="1:14" x14ac:dyDescent="0.25">
      <c r="A51" s="43">
        <f t="shared" si="7"/>
        <v>0</v>
      </c>
      <c r="B51" s="34" t="str">
        <f t="shared" si="9"/>
        <v/>
      </c>
      <c r="C51" s="35"/>
      <c r="D51" s="35"/>
      <c r="E51" s="35"/>
      <c r="F51" s="35"/>
      <c r="G51" s="8"/>
      <c r="H51" s="36">
        <v>46</v>
      </c>
      <c r="I51" s="37" t="str">
        <f t="shared" si="5"/>
        <v/>
      </c>
      <c r="J51" s="36">
        <f t="shared" si="6"/>
        <v>-4</v>
      </c>
      <c r="K51" s="36">
        <f t="shared" si="2"/>
        <v>-40</v>
      </c>
      <c r="L51" s="36"/>
      <c r="M51" s="38">
        <f t="shared" si="3"/>
        <v>0</v>
      </c>
      <c r="N51" s="38">
        <f t="shared" si="4"/>
        <v>0</v>
      </c>
    </row>
    <row r="52" spans="1:14" x14ac:dyDescent="0.25">
      <c r="A52" s="44">
        <f t="shared" si="7"/>
        <v>0</v>
      </c>
      <c r="B52" s="28" t="str">
        <f t="shared" si="9"/>
        <v/>
      </c>
      <c r="C52" s="29"/>
      <c r="D52" s="29"/>
      <c r="E52" s="29"/>
      <c r="F52" s="29"/>
      <c r="G52" s="8"/>
      <c r="H52" s="30">
        <v>47</v>
      </c>
      <c r="I52" s="31" t="str">
        <f t="shared" si="5"/>
        <v/>
      </c>
      <c r="J52" s="30">
        <f t="shared" si="6"/>
        <v>-4</v>
      </c>
      <c r="K52" s="30">
        <f t="shared" si="2"/>
        <v>-40</v>
      </c>
      <c r="L52" s="30"/>
      <c r="M52" s="32">
        <f t="shared" si="3"/>
        <v>0</v>
      </c>
      <c r="N52" s="32">
        <f t="shared" si="4"/>
        <v>0</v>
      </c>
    </row>
    <row r="53" spans="1:14" x14ac:dyDescent="0.25">
      <c r="A53" s="43">
        <f t="shared" si="7"/>
        <v>0</v>
      </c>
      <c r="B53" s="34" t="str">
        <f t="shared" si="9"/>
        <v/>
      </c>
      <c r="C53" s="35"/>
      <c r="D53" s="35"/>
      <c r="E53" s="35"/>
      <c r="F53" s="35"/>
      <c r="G53" s="8"/>
      <c r="H53" s="36">
        <v>48</v>
      </c>
      <c r="I53" s="37" t="str">
        <f t="shared" si="5"/>
        <v/>
      </c>
      <c r="J53" s="36">
        <f t="shared" si="6"/>
        <v>-4</v>
      </c>
      <c r="K53" s="36">
        <f t="shared" si="2"/>
        <v>-40</v>
      </c>
      <c r="L53" s="36"/>
      <c r="M53" s="38">
        <f t="shared" si="3"/>
        <v>0</v>
      </c>
      <c r="N53" s="38">
        <f t="shared" si="4"/>
        <v>0</v>
      </c>
    </row>
    <row r="54" spans="1:14" x14ac:dyDescent="0.25">
      <c r="A54" s="44">
        <f t="shared" si="7"/>
        <v>0</v>
      </c>
      <c r="B54" s="28" t="str">
        <f t="shared" si="9"/>
        <v/>
      </c>
      <c r="C54" s="29"/>
      <c r="D54" s="29"/>
      <c r="E54" s="29"/>
      <c r="F54" s="29"/>
      <c r="G54" s="8"/>
      <c r="H54" s="30">
        <v>49</v>
      </c>
      <c r="I54" s="31" t="str">
        <f t="shared" si="5"/>
        <v/>
      </c>
      <c r="J54" s="30">
        <f t="shared" si="6"/>
        <v>-4</v>
      </c>
      <c r="K54" s="30">
        <f t="shared" si="2"/>
        <v>-40</v>
      </c>
      <c r="L54" s="30"/>
      <c r="M54" s="32">
        <f t="shared" si="3"/>
        <v>0</v>
      </c>
      <c r="N54" s="32">
        <f t="shared" si="4"/>
        <v>0</v>
      </c>
    </row>
    <row r="55" spans="1:14" x14ac:dyDescent="0.25">
      <c r="A55" s="43">
        <f t="shared" si="7"/>
        <v>0</v>
      </c>
      <c r="B55" s="34" t="str">
        <f t="shared" si="9"/>
        <v/>
      </c>
      <c r="C55" s="35"/>
      <c r="D55" s="35"/>
      <c r="E55" s="35"/>
      <c r="F55" s="35"/>
      <c r="G55" s="8"/>
      <c r="H55" s="36">
        <v>50</v>
      </c>
      <c r="I55" s="37" t="str">
        <f t="shared" si="5"/>
        <v/>
      </c>
      <c r="J55" s="36">
        <f t="shared" si="6"/>
        <v>-4</v>
      </c>
      <c r="K55" s="36">
        <f t="shared" si="2"/>
        <v>-40</v>
      </c>
      <c r="L55" s="36"/>
      <c r="M55" s="38">
        <f t="shared" si="3"/>
        <v>0</v>
      </c>
      <c r="N55" s="38">
        <f t="shared" si="4"/>
        <v>0</v>
      </c>
    </row>
    <row r="56" spans="1:14" x14ac:dyDescent="0.25">
      <c r="A56" s="44">
        <f t="shared" si="7"/>
        <v>0</v>
      </c>
      <c r="B56" s="28" t="str">
        <f t="shared" si="9"/>
        <v/>
      </c>
      <c r="C56" s="29"/>
      <c r="D56" s="29"/>
      <c r="E56" s="29"/>
      <c r="F56" s="29"/>
      <c r="G56" s="8"/>
      <c r="H56" s="30">
        <v>51</v>
      </c>
      <c r="I56" s="31" t="str">
        <f t="shared" si="5"/>
        <v/>
      </c>
      <c r="J56" s="30">
        <f t="shared" si="6"/>
        <v>-4</v>
      </c>
      <c r="K56" s="30">
        <f t="shared" si="2"/>
        <v>-40</v>
      </c>
      <c r="L56" s="30"/>
      <c r="M56" s="32">
        <f t="shared" si="3"/>
        <v>0</v>
      </c>
      <c r="N56" s="32">
        <f t="shared" si="4"/>
        <v>0</v>
      </c>
    </row>
    <row r="57" spans="1:14" x14ac:dyDescent="0.25">
      <c r="A57" s="43">
        <f t="shared" si="7"/>
        <v>0</v>
      </c>
      <c r="B57" s="34" t="str">
        <f t="shared" si="9"/>
        <v/>
      </c>
      <c r="C57" s="35"/>
      <c r="D57" s="35"/>
      <c r="E57" s="35"/>
      <c r="F57" s="35"/>
      <c r="G57" s="8"/>
      <c r="H57" s="36">
        <v>52</v>
      </c>
      <c r="I57" s="37" t="str">
        <f t="shared" si="5"/>
        <v/>
      </c>
      <c r="J57" s="36">
        <f t="shared" si="6"/>
        <v>-4</v>
      </c>
      <c r="K57" s="36">
        <f t="shared" si="2"/>
        <v>-40</v>
      </c>
      <c r="L57" s="36"/>
      <c r="M57" s="38">
        <f t="shared" si="3"/>
        <v>0</v>
      </c>
      <c r="N57" s="38">
        <f t="shared" si="4"/>
        <v>0</v>
      </c>
    </row>
    <row r="58" spans="1:14" x14ac:dyDescent="0.25">
      <c r="A58" s="44">
        <f t="shared" si="7"/>
        <v>0</v>
      </c>
      <c r="B58" s="28" t="str">
        <f t="shared" si="9"/>
        <v/>
      </c>
      <c r="C58" s="29"/>
      <c r="D58" s="29"/>
      <c r="E58" s="29"/>
      <c r="F58" s="29"/>
      <c r="G58" s="8"/>
      <c r="H58" s="30">
        <v>53</v>
      </c>
      <c r="I58" s="31" t="str">
        <f t="shared" si="5"/>
        <v/>
      </c>
      <c r="J58" s="30">
        <f t="shared" si="6"/>
        <v>-4</v>
      </c>
      <c r="K58" s="30">
        <f t="shared" si="2"/>
        <v>-40</v>
      </c>
      <c r="L58" s="30"/>
      <c r="M58" s="32">
        <f t="shared" si="3"/>
        <v>0</v>
      </c>
      <c r="N58" s="32">
        <f t="shared" si="4"/>
        <v>0</v>
      </c>
    </row>
    <row r="59" spans="1:14" x14ac:dyDescent="0.25">
      <c r="A59" s="43">
        <f t="shared" si="7"/>
        <v>0</v>
      </c>
      <c r="B59" s="34" t="str">
        <f t="shared" si="9"/>
        <v/>
      </c>
      <c r="C59" s="35"/>
      <c r="D59" s="35"/>
      <c r="E59" s="35"/>
      <c r="F59" s="35"/>
      <c r="G59" s="8"/>
      <c r="H59" s="36">
        <v>54</v>
      </c>
      <c r="I59" s="37" t="str">
        <f t="shared" si="5"/>
        <v/>
      </c>
      <c r="J59" s="36">
        <f t="shared" si="6"/>
        <v>-4</v>
      </c>
      <c r="K59" s="36">
        <f t="shared" si="2"/>
        <v>-40</v>
      </c>
      <c r="L59" s="36"/>
      <c r="M59" s="38">
        <f t="shared" si="3"/>
        <v>0</v>
      </c>
      <c r="N59" s="38">
        <f t="shared" si="4"/>
        <v>0</v>
      </c>
    </row>
    <row r="60" spans="1:14" x14ac:dyDescent="0.25">
      <c r="A60" s="44">
        <f t="shared" si="7"/>
        <v>0</v>
      </c>
      <c r="B60" s="28" t="str">
        <f t="shared" si="9"/>
        <v/>
      </c>
      <c r="C60" s="29"/>
      <c r="D60" s="29"/>
      <c r="E60" s="29"/>
      <c r="F60" s="29"/>
      <c r="G60" s="8"/>
      <c r="H60" s="30">
        <v>55</v>
      </c>
      <c r="I60" s="31" t="str">
        <f t="shared" si="5"/>
        <v/>
      </c>
      <c r="J60" s="30">
        <f t="shared" si="6"/>
        <v>-4</v>
      </c>
      <c r="K60" s="30">
        <f t="shared" si="2"/>
        <v>-40</v>
      </c>
      <c r="L60" s="30"/>
      <c r="M60" s="32">
        <f t="shared" si="3"/>
        <v>0</v>
      </c>
      <c r="N60" s="32">
        <f t="shared" si="4"/>
        <v>0</v>
      </c>
    </row>
    <row r="61" spans="1:14" x14ac:dyDescent="0.25">
      <c r="A61" s="43">
        <f t="shared" si="7"/>
        <v>0</v>
      </c>
      <c r="B61" s="34" t="str">
        <f t="shared" si="9"/>
        <v/>
      </c>
      <c r="C61" s="35"/>
      <c r="D61" s="35"/>
      <c r="E61" s="35"/>
      <c r="F61" s="35"/>
      <c r="G61" s="8"/>
      <c r="H61" s="36">
        <v>56</v>
      </c>
      <c r="I61" s="37" t="str">
        <f t="shared" si="5"/>
        <v/>
      </c>
      <c r="J61" s="36">
        <f t="shared" si="6"/>
        <v>-4</v>
      </c>
      <c r="K61" s="36">
        <f t="shared" si="2"/>
        <v>-40</v>
      </c>
      <c r="L61" s="36"/>
      <c r="M61" s="38">
        <f t="shared" si="3"/>
        <v>0</v>
      </c>
      <c r="N61" s="38">
        <f t="shared" si="4"/>
        <v>0</v>
      </c>
    </row>
    <row r="62" spans="1:14" x14ac:dyDescent="0.25">
      <c r="A62" s="44">
        <f t="shared" si="7"/>
        <v>0</v>
      </c>
      <c r="B62" s="28" t="str">
        <f t="shared" si="9"/>
        <v/>
      </c>
      <c r="C62" s="29"/>
      <c r="D62" s="29"/>
      <c r="E62" s="29"/>
      <c r="F62" s="29"/>
      <c r="G62" s="8"/>
      <c r="H62" s="30">
        <v>57</v>
      </c>
      <c r="I62" s="31" t="str">
        <f t="shared" si="5"/>
        <v/>
      </c>
      <c r="J62" s="30">
        <f t="shared" si="6"/>
        <v>-4</v>
      </c>
      <c r="K62" s="30">
        <f t="shared" si="2"/>
        <v>-40</v>
      </c>
      <c r="L62" s="30"/>
      <c r="M62" s="32">
        <f t="shared" si="3"/>
        <v>0</v>
      </c>
      <c r="N62" s="32">
        <f t="shared" si="4"/>
        <v>0</v>
      </c>
    </row>
    <row r="63" spans="1:14" x14ac:dyDescent="0.25">
      <c r="A63" s="43">
        <f t="shared" si="7"/>
        <v>0</v>
      </c>
      <c r="B63" s="34" t="str">
        <f t="shared" si="9"/>
        <v/>
      </c>
      <c r="C63" s="35"/>
      <c r="D63" s="35"/>
      <c r="E63" s="35"/>
      <c r="F63" s="35"/>
      <c r="G63" s="8"/>
      <c r="H63" s="36">
        <v>58</v>
      </c>
      <c r="I63" s="37" t="str">
        <f t="shared" si="5"/>
        <v/>
      </c>
      <c r="J63" s="36">
        <f t="shared" si="6"/>
        <v>-4</v>
      </c>
      <c r="K63" s="36">
        <f t="shared" si="2"/>
        <v>-40</v>
      </c>
      <c r="L63" s="36"/>
      <c r="M63" s="38">
        <f t="shared" si="3"/>
        <v>0</v>
      </c>
      <c r="N63" s="38">
        <f t="shared" si="4"/>
        <v>0</v>
      </c>
    </row>
    <row r="64" spans="1:14" x14ac:dyDescent="0.25">
      <c r="A64" s="44">
        <f t="shared" si="7"/>
        <v>0</v>
      </c>
      <c r="B64" s="28" t="str">
        <f t="shared" si="9"/>
        <v/>
      </c>
      <c r="C64" s="29"/>
      <c r="D64" s="29"/>
      <c r="E64" s="29"/>
      <c r="F64" s="29"/>
      <c r="G64" s="8"/>
      <c r="H64" s="30">
        <v>59</v>
      </c>
      <c r="I64" s="31" t="str">
        <f t="shared" si="5"/>
        <v/>
      </c>
      <c r="J64" s="30">
        <f t="shared" si="6"/>
        <v>-4</v>
      </c>
      <c r="K64" s="30">
        <f t="shared" si="2"/>
        <v>-40</v>
      </c>
      <c r="L64" s="30"/>
      <c r="M64" s="32">
        <f t="shared" si="3"/>
        <v>0</v>
      </c>
      <c r="N64" s="32">
        <f t="shared" si="4"/>
        <v>0</v>
      </c>
    </row>
    <row r="65" spans="1:14" x14ac:dyDescent="0.25">
      <c r="A65" s="43">
        <f t="shared" si="7"/>
        <v>0</v>
      </c>
      <c r="B65" s="34" t="str">
        <f t="shared" si="9"/>
        <v/>
      </c>
      <c r="C65" s="35"/>
      <c r="D65" s="35"/>
      <c r="E65" s="35"/>
      <c r="F65" s="35"/>
      <c r="G65" s="8"/>
      <c r="H65" s="36">
        <v>60</v>
      </c>
      <c r="I65" s="37" t="str">
        <f t="shared" si="5"/>
        <v/>
      </c>
      <c r="J65" s="36">
        <f t="shared" si="6"/>
        <v>-4</v>
      </c>
      <c r="K65" s="36">
        <f t="shared" si="2"/>
        <v>-40</v>
      </c>
      <c r="L65" s="36"/>
      <c r="M65" s="38">
        <f t="shared" si="3"/>
        <v>0</v>
      </c>
      <c r="N65" s="38">
        <f t="shared" si="4"/>
        <v>0</v>
      </c>
    </row>
    <row r="66" spans="1:14" x14ac:dyDescent="0.25">
      <c r="A66" s="51">
        <f t="shared" si="7"/>
        <v>0</v>
      </c>
      <c r="B66" s="28"/>
      <c r="G66" s="8"/>
      <c r="H66" s="30">
        <v>61</v>
      </c>
      <c r="I66" s="31" t="str">
        <f t="shared" si="5"/>
        <v/>
      </c>
      <c r="J66" s="30">
        <f t="shared" si="6"/>
        <v>-4</v>
      </c>
      <c r="K66" s="30">
        <f t="shared" si="2"/>
        <v>-40</v>
      </c>
      <c r="L66" s="30"/>
      <c r="M66" s="32">
        <f t="shared" si="3"/>
        <v>0</v>
      </c>
      <c r="N66" s="32">
        <f t="shared" si="4"/>
        <v>0</v>
      </c>
    </row>
    <row r="67" spans="1:14" x14ac:dyDescent="0.25">
      <c r="A67" s="51">
        <f t="shared" si="7"/>
        <v>0</v>
      </c>
      <c r="B67" s="34"/>
      <c r="G67" s="8"/>
      <c r="H67" s="30">
        <v>62</v>
      </c>
      <c r="I67" s="31" t="str">
        <f t="shared" si="5"/>
        <v/>
      </c>
      <c r="J67" s="30">
        <f t="shared" si="6"/>
        <v>-4</v>
      </c>
      <c r="K67" s="30">
        <f t="shared" si="2"/>
        <v>-40</v>
      </c>
      <c r="L67" s="30"/>
      <c r="M67" s="32">
        <f t="shared" si="3"/>
        <v>0</v>
      </c>
      <c r="N67" s="32">
        <f t="shared" si="4"/>
        <v>0</v>
      </c>
    </row>
    <row r="68" spans="1:14" x14ac:dyDescent="0.25">
      <c r="A68" s="51">
        <f t="shared" si="7"/>
        <v>0</v>
      </c>
      <c r="B68" s="28"/>
      <c r="G68" s="8"/>
      <c r="H68" s="30">
        <v>63</v>
      </c>
      <c r="I68" s="31" t="str">
        <f t="shared" si="5"/>
        <v/>
      </c>
      <c r="J68" s="30">
        <f t="shared" si="6"/>
        <v>-4</v>
      </c>
      <c r="K68" s="30">
        <f t="shared" si="2"/>
        <v>-40</v>
      </c>
      <c r="L68" s="30"/>
      <c r="M68" s="32">
        <f t="shared" si="3"/>
        <v>0</v>
      </c>
      <c r="N68" s="32">
        <f t="shared" si="4"/>
        <v>0</v>
      </c>
    </row>
    <row r="69" spans="1:14" x14ac:dyDescent="0.25">
      <c r="A69" s="51">
        <f t="shared" si="7"/>
        <v>0</v>
      </c>
      <c r="B69" s="34"/>
      <c r="G69" s="8"/>
      <c r="H69" s="30">
        <v>64</v>
      </c>
      <c r="I69" s="31" t="str">
        <f t="shared" si="5"/>
        <v/>
      </c>
      <c r="J69" s="30">
        <f t="shared" si="6"/>
        <v>-4</v>
      </c>
      <c r="K69" s="30">
        <f t="shared" si="2"/>
        <v>-40</v>
      </c>
      <c r="L69" s="30"/>
      <c r="M69" s="32">
        <f t="shared" si="3"/>
        <v>0</v>
      </c>
      <c r="N69" s="32">
        <f t="shared" si="4"/>
        <v>0</v>
      </c>
    </row>
    <row r="70" spans="1:14" x14ac:dyDescent="0.25">
      <c r="A70" s="51">
        <f t="shared" si="7"/>
        <v>0</v>
      </c>
      <c r="G70" s="8"/>
      <c r="H70" s="30">
        <v>65</v>
      </c>
      <c r="I70" s="31" t="str">
        <f t="shared" ref="I70:I133" si="10">IF(H70&lt;$H$2+1,($I$2-($I$2-1)*(LOG(H70)/LOG($H$2))),"")</f>
        <v/>
      </c>
      <c r="J70" s="30">
        <f t="shared" si="6"/>
        <v>-5</v>
      </c>
      <c r="K70" s="30">
        <f t="shared" ref="K70:K133" si="11">J70*$J$2</f>
        <v>-50</v>
      </c>
      <c r="L70" s="30"/>
      <c r="M70" s="32">
        <f t="shared" ref="M70:M133" si="12">IF(I70&lt;&gt;"",K70+I70+L70,0)</f>
        <v>0</v>
      </c>
      <c r="N70" s="32">
        <f t="shared" ref="N70:N133" si="13">IF(I70&lt;&gt;"",M70*L$2,0)</f>
        <v>0</v>
      </c>
    </row>
    <row r="71" spans="1:14" x14ac:dyDescent="0.25">
      <c r="A71" s="51">
        <f t="shared" ref="A71:A134" si="14">N71</f>
        <v>0</v>
      </c>
      <c r="G71" s="8"/>
      <c r="H71" s="30">
        <v>66</v>
      </c>
      <c r="I71" s="31" t="str">
        <f t="shared" si="10"/>
        <v/>
      </c>
      <c r="J71" s="30">
        <f t="shared" ref="J71:J134" si="15">INT(LOG($H$2,2))-ROUNDUP(LOG(H71,2),0)+IF(OR($H$2=1,$H$2=2,$H$2=4,$H$2=8,$H$2=16,$H$2=32,$H$2=64,$H$2=128,$H$2=256),0,1)</f>
        <v>-5</v>
      </c>
      <c r="K71" s="30">
        <f t="shared" si="11"/>
        <v>-50</v>
      </c>
      <c r="L71" s="30"/>
      <c r="M71" s="32">
        <f t="shared" si="12"/>
        <v>0</v>
      </c>
      <c r="N71" s="32">
        <f t="shared" si="13"/>
        <v>0</v>
      </c>
    </row>
    <row r="72" spans="1:14" x14ac:dyDescent="0.25">
      <c r="A72" s="51">
        <f t="shared" si="14"/>
        <v>0</v>
      </c>
      <c r="G72" s="8"/>
      <c r="H72" s="30">
        <v>67</v>
      </c>
      <c r="I72" s="31" t="str">
        <f t="shared" si="10"/>
        <v/>
      </c>
      <c r="J72" s="30">
        <f t="shared" si="15"/>
        <v>-5</v>
      </c>
      <c r="K72" s="30">
        <f t="shared" si="11"/>
        <v>-50</v>
      </c>
      <c r="L72" s="30"/>
      <c r="M72" s="32">
        <f t="shared" si="12"/>
        <v>0</v>
      </c>
      <c r="N72" s="32">
        <f t="shared" si="13"/>
        <v>0</v>
      </c>
    </row>
    <row r="73" spans="1:14" x14ac:dyDescent="0.25">
      <c r="A73" s="51">
        <f t="shared" si="14"/>
        <v>0</v>
      </c>
      <c r="G73" s="8"/>
      <c r="H73" s="30">
        <v>68</v>
      </c>
      <c r="I73" s="31" t="str">
        <f t="shared" si="10"/>
        <v/>
      </c>
      <c r="J73" s="30">
        <f t="shared" si="15"/>
        <v>-5</v>
      </c>
      <c r="K73" s="30">
        <f t="shared" si="11"/>
        <v>-50</v>
      </c>
      <c r="L73" s="30"/>
      <c r="M73" s="32">
        <f t="shared" si="12"/>
        <v>0</v>
      </c>
      <c r="N73" s="32">
        <f t="shared" si="13"/>
        <v>0</v>
      </c>
    </row>
    <row r="74" spans="1:14" x14ac:dyDescent="0.25">
      <c r="A74" s="51">
        <f t="shared" si="14"/>
        <v>0</v>
      </c>
      <c r="G74" s="8"/>
      <c r="H74" s="30">
        <v>69</v>
      </c>
      <c r="I74" s="31" t="str">
        <f t="shared" si="10"/>
        <v/>
      </c>
      <c r="J74" s="30">
        <f t="shared" si="15"/>
        <v>-5</v>
      </c>
      <c r="K74" s="30">
        <f t="shared" si="11"/>
        <v>-50</v>
      </c>
      <c r="L74" s="30"/>
      <c r="M74" s="32">
        <f t="shared" si="12"/>
        <v>0</v>
      </c>
      <c r="N74" s="32">
        <f t="shared" si="13"/>
        <v>0</v>
      </c>
    </row>
    <row r="75" spans="1:14" x14ac:dyDescent="0.25">
      <c r="A75" s="51">
        <f t="shared" si="14"/>
        <v>0</v>
      </c>
      <c r="G75" s="8"/>
      <c r="H75" s="30">
        <v>70</v>
      </c>
      <c r="I75" s="31" t="str">
        <f t="shared" si="10"/>
        <v/>
      </c>
      <c r="J75" s="30">
        <f t="shared" si="15"/>
        <v>-5</v>
      </c>
      <c r="K75" s="30">
        <f t="shared" si="11"/>
        <v>-50</v>
      </c>
      <c r="L75" s="30"/>
      <c r="M75" s="32">
        <f t="shared" si="12"/>
        <v>0</v>
      </c>
      <c r="N75" s="32">
        <f t="shared" si="13"/>
        <v>0</v>
      </c>
    </row>
    <row r="76" spans="1:14" x14ac:dyDescent="0.25">
      <c r="A76" s="51">
        <f t="shared" si="14"/>
        <v>0</v>
      </c>
      <c r="G76" s="8"/>
      <c r="H76" s="30">
        <v>71</v>
      </c>
      <c r="I76" s="31" t="str">
        <f t="shared" si="10"/>
        <v/>
      </c>
      <c r="J76" s="30">
        <f t="shared" si="15"/>
        <v>-5</v>
      </c>
      <c r="K76" s="30">
        <f t="shared" si="11"/>
        <v>-50</v>
      </c>
      <c r="L76" s="30"/>
      <c r="M76" s="32">
        <f t="shared" si="12"/>
        <v>0</v>
      </c>
      <c r="N76" s="32">
        <f t="shared" si="13"/>
        <v>0</v>
      </c>
    </row>
    <row r="77" spans="1:14" x14ac:dyDescent="0.25">
      <c r="A77" s="51">
        <f t="shared" si="14"/>
        <v>0</v>
      </c>
      <c r="G77" s="8"/>
      <c r="H77" s="30">
        <v>72</v>
      </c>
      <c r="I77" s="31" t="str">
        <f t="shared" si="10"/>
        <v/>
      </c>
      <c r="J77" s="30">
        <f t="shared" si="15"/>
        <v>-5</v>
      </c>
      <c r="K77" s="30">
        <f t="shared" si="11"/>
        <v>-50</v>
      </c>
      <c r="L77" s="30"/>
      <c r="M77" s="32">
        <f t="shared" si="12"/>
        <v>0</v>
      </c>
      <c r="N77" s="32">
        <f t="shared" si="13"/>
        <v>0</v>
      </c>
    </row>
    <row r="78" spans="1:14" x14ac:dyDescent="0.25">
      <c r="A78" s="51">
        <f t="shared" si="14"/>
        <v>0</v>
      </c>
      <c r="G78" s="8"/>
      <c r="H78" s="30">
        <v>73</v>
      </c>
      <c r="I78" s="31" t="str">
        <f t="shared" si="10"/>
        <v/>
      </c>
      <c r="J78" s="30">
        <f t="shared" si="15"/>
        <v>-5</v>
      </c>
      <c r="K78" s="30">
        <f t="shared" si="11"/>
        <v>-50</v>
      </c>
      <c r="L78" s="30"/>
      <c r="M78" s="32">
        <f t="shared" si="12"/>
        <v>0</v>
      </c>
      <c r="N78" s="32">
        <f t="shared" si="13"/>
        <v>0</v>
      </c>
    </row>
    <row r="79" spans="1:14" x14ac:dyDescent="0.25">
      <c r="A79" s="51">
        <f t="shared" si="14"/>
        <v>0</v>
      </c>
      <c r="G79" s="8"/>
      <c r="H79" s="30">
        <v>74</v>
      </c>
      <c r="I79" s="31" t="str">
        <f t="shared" si="10"/>
        <v/>
      </c>
      <c r="J79" s="30">
        <f t="shared" si="15"/>
        <v>-5</v>
      </c>
      <c r="K79" s="30">
        <f t="shared" si="11"/>
        <v>-50</v>
      </c>
      <c r="L79" s="30"/>
      <c r="M79" s="32">
        <f t="shared" si="12"/>
        <v>0</v>
      </c>
      <c r="N79" s="32">
        <f t="shared" si="13"/>
        <v>0</v>
      </c>
    </row>
    <row r="80" spans="1:14" x14ac:dyDescent="0.25">
      <c r="A80" s="51">
        <f t="shared" si="14"/>
        <v>0</v>
      </c>
      <c r="G80" s="8"/>
      <c r="H80" s="30">
        <v>75</v>
      </c>
      <c r="I80" s="31" t="str">
        <f t="shared" si="10"/>
        <v/>
      </c>
      <c r="J80" s="30">
        <f t="shared" si="15"/>
        <v>-5</v>
      </c>
      <c r="K80" s="30">
        <f t="shared" si="11"/>
        <v>-50</v>
      </c>
      <c r="L80" s="30"/>
      <c r="M80" s="32">
        <f t="shared" si="12"/>
        <v>0</v>
      </c>
      <c r="N80" s="32">
        <f t="shared" si="13"/>
        <v>0</v>
      </c>
    </row>
    <row r="81" spans="1:14" x14ac:dyDescent="0.25">
      <c r="A81" s="51">
        <f t="shared" si="14"/>
        <v>0</v>
      </c>
      <c r="G81" s="8"/>
      <c r="H81" s="30">
        <v>76</v>
      </c>
      <c r="I81" s="31" t="str">
        <f t="shared" si="10"/>
        <v/>
      </c>
      <c r="J81" s="30">
        <f t="shared" si="15"/>
        <v>-5</v>
      </c>
      <c r="K81" s="30">
        <f t="shared" si="11"/>
        <v>-50</v>
      </c>
      <c r="L81" s="30"/>
      <c r="M81" s="32">
        <f t="shared" si="12"/>
        <v>0</v>
      </c>
      <c r="N81" s="32">
        <f t="shared" si="13"/>
        <v>0</v>
      </c>
    </row>
    <row r="82" spans="1:14" x14ac:dyDescent="0.25">
      <c r="A82" s="51">
        <f t="shared" si="14"/>
        <v>0</v>
      </c>
      <c r="G82" s="8"/>
      <c r="H82" s="30">
        <v>77</v>
      </c>
      <c r="I82" s="31" t="str">
        <f t="shared" si="10"/>
        <v/>
      </c>
      <c r="J82" s="30">
        <f t="shared" si="15"/>
        <v>-5</v>
      </c>
      <c r="K82" s="30">
        <f t="shared" si="11"/>
        <v>-50</v>
      </c>
      <c r="L82" s="30"/>
      <c r="M82" s="32">
        <f t="shared" si="12"/>
        <v>0</v>
      </c>
      <c r="N82" s="32">
        <f t="shared" si="13"/>
        <v>0</v>
      </c>
    </row>
    <row r="83" spans="1:14" x14ac:dyDescent="0.25">
      <c r="A83" s="51">
        <f t="shared" si="14"/>
        <v>0</v>
      </c>
      <c r="G83" s="8"/>
      <c r="H83" s="30">
        <v>78</v>
      </c>
      <c r="I83" s="31" t="str">
        <f t="shared" si="10"/>
        <v/>
      </c>
      <c r="J83" s="30">
        <f t="shared" si="15"/>
        <v>-5</v>
      </c>
      <c r="K83" s="30">
        <f t="shared" si="11"/>
        <v>-50</v>
      </c>
      <c r="L83" s="30"/>
      <c r="M83" s="32">
        <f t="shared" si="12"/>
        <v>0</v>
      </c>
      <c r="N83" s="32">
        <f t="shared" si="13"/>
        <v>0</v>
      </c>
    </row>
    <row r="84" spans="1:14" x14ac:dyDescent="0.25">
      <c r="A84" s="51">
        <f t="shared" si="14"/>
        <v>0</v>
      </c>
      <c r="G84" s="8"/>
      <c r="H84" s="30">
        <v>79</v>
      </c>
      <c r="I84" s="31" t="str">
        <f t="shared" si="10"/>
        <v/>
      </c>
      <c r="J84" s="30">
        <f t="shared" si="15"/>
        <v>-5</v>
      </c>
      <c r="K84" s="30">
        <f t="shared" si="11"/>
        <v>-50</v>
      </c>
      <c r="L84" s="30"/>
      <c r="M84" s="32">
        <f t="shared" si="12"/>
        <v>0</v>
      </c>
      <c r="N84" s="32">
        <f t="shared" si="13"/>
        <v>0</v>
      </c>
    </row>
    <row r="85" spans="1:14" x14ac:dyDescent="0.25">
      <c r="A85" s="51">
        <f t="shared" si="14"/>
        <v>0</v>
      </c>
      <c r="G85" s="8"/>
      <c r="H85" s="30">
        <v>80</v>
      </c>
      <c r="I85" s="31" t="str">
        <f t="shared" si="10"/>
        <v/>
      </c>
      <c r="J85" s="30">
        <f t="shared" si="15"/>
        <v>-5</v>
      </c>
      <c r="K85" s="30">
        <f t="shared" si="11"/>
        <v>-50</v>
      </c>
      <c r="L85" s="30"/>
      <c r="M85" s="32">
        <f t="shared" si="12"/>
        <v>0</v>
      </c>
      <c r="N85" s="32">
        <f t="shared" si="13"/>
        <v>0</v>
      </c>
    </row>
    <row r="86" spans="1:14" x14ac:dyDescent="0.25">
      <c r="A86" s="51">
        <f t="shared" si="14"/>
        <v>0</v>
      </c>
      <c r="G86" s="8"/>
      <c r="H86" s="30">
        <v>81</v>
      </c>
      <c r="I86" s="31" t="str">
        <f t="shared" si="10"/>
        <v/>
      </c>
      <c r="J86" s="30">
        <f t="shared" si="15"/>
        <v>-5</v>
      </c>
      <c r="K86" s="30">
        <f t="shared" si="11"/>
        <v>-50</v>
      </c>
      <c r="L86" s="30"/>
      <c r="M86" s="32">
        <f t="shared" si="12"/>
        <v>0</v>
      </c>
      <c r="N86" s="32">
        <f t="shared" si="13"/>
        <v>0</v>
      </c>
    </row>
    <row r="87" spans="1:14" x14ac:dyDescent="0.25">
      <c r="A87" s="51">
        <f t="shared" si="14"/>
        <v>0</v>
      </c>
      <c r="G87" s="8"/>
      <c r="H87" s="30">
        <v>82</v>
      </c>
      <c r="I87" s="31" t="str">
        <f t="shared" si="10"/>
        <v/>
      </c>
      <c r="J87" s="30">
        <f t="shared" si="15"/>
        <v>-5</v>
      </c>
      <c r="K87" s="30">
        <f t="shared" si="11"/>
        <v>-50</v>
      </c>
      <c r="L87" s="30"/>
      <c r="M87" s="32">
        <f t="shared" si="12"/>
        <v>0</v>
      </c>
      <c r="N87" s="32">
        <f t="shared" si="13"/>
        <v>0</v>
      </c>
    </row>
    <row r="88" spans="1:14" x14ac:dyDescent="0.25">
      <c r="A88" s="51">
        <f t="shared" si="14"/>
        <v>0</v>
      </c>
      <c r="G88" s="8"/>
      <c r="H88" s="30">
        <v>83</v>
      </c>
      <c r="I88" s="31" t="str">
        <f t="shared" si="10"/>
        <v/>
      </c>
      <c r="J88" s="30">
        <f t="shared" si="15"/>
        <v>-5</v>
      </c>
      <c r="K88" s="30">
        <f t="shared" si="11"/>
        <v>-50</v>
      </c>
      <c r="L88" s="30"/>
      <c r="M88" s="32">
        <f t="shared" si="12"/>
        <v>0</v>
      </c>
      <c r="N88" s="32">
        <f t="shared" si="13"/>
        <v>0</v>
      </c>
    </row>
    <row r="89" spans="1:14" x14ac:dyDescent="0.25">
      <c r="A89" s="51">
        <f t="shared" si="14"/>
        <v>0</v>
      </c>
      <c r="G89" s="8"/>
      <c r="H89" s="30">
        <v>84</v>
      </c>
      <c r="I89" s="31" t="str">
        <f t="shared" si="10"/>
        <v/>
      </c>
      <c r="J89" s="30">
        <f t="shared" si="15"/>
        <v>-5</v>
      </c>
      <c r="K89" s="30">
        <f t="shared" si="11"/>
        <v>-50</v>
      </c>
      <c r="L89" s="30"/>
      <c r="M89" s="32">
        <f t="shared" si="12"/>
        <v>0</v>
      </c>
      <c r="N89" s="32">
        <f t="shared" si="13"/>
        <v>0</v>
      </c>
    </row>
    <row r="90" spans="1:14" x14ac:dyDescent="0.25">
      <c r="A90" s="51">
        <f t="shared" si="14"/>
        <v>0</v>
      </c>
      <c r="G90" s="8"/>
      <c r="H90" s="30">
        <v>85</v>
      </c>
      <c r="I90" s="31" t="str">
        <f t="shared" si="10"/>
        <v/>
      </c>
      <c r="J90" s="30">
        <f t="shared" si="15"/>
        <v>-5</v>
      </c>
      <c r="K90" s="30">
        <f t="shared" si="11"/>
        <v>-50</v>
      </c>
      <c r="L90" s="30"/>
      <c r="M90" s="32">
        <f t="shared" si="12"/>
        <v>0</v>
      </c>
      <c r="N90" s="32">
        <f t="shared" si="13"/>
        <v>0</v>
      </c>
    </row>
    <row r="91" spans="1:14" x14ac:dyDescent="0.25">
      <c r="A91" s="51">
        <f t="shared" si="14"/>
        <v>0</v>
      </c>
      <c r="G91" s="8"/>
      <c r="H91" s="30">
        <v>86</v>
      </c>
      <c r="I91" s="31" t="str">
        <f t="shared" si="10"/>
        <v/>
      </c>
      <c r="J91" s="30">
        <f t="shared" si="15"/>
        <v>-5</v>
      </c>
      <c r="K91" s="30">
        <f t="shared" si="11"/>
        <v>-50</v>
      </c>
      <c r="L91" s="30"/>
      <c r="M91" s="32">
        <f t="shared" si="12"/>
        <v>0</v>
      </c>
      <c r="N91" s="32">
        <f t="shared" si="13"/>
        <v>0</v>
      </c>
    </row>
    <row r="92" spans="1:14" x14ac:dyDescent="0.25">
      <c r="A92" s="51">
        <f t="shared" si="14"/>
        <v>0</v>
      </c>
      <c r="G92" s="8"/>
      <c r="H92" s="30">
        <v>87</v>
      </c>
      <c r="I92" s="31" t="str">
        <f t="shared" si="10"/>
        <v/>
      </c>
      <c r="J92" s="30">
        <f t="shared" si="15"/>
        <v>-5</v>
      </c>
      <c r="K92" s="30">
        <f t="shared" si="11"/>
        <v>-50</v>
      </c>
      <c r="L92" s="30"/>
      <c r="M92" s="32">
        <f t="shared" si="12"/>
        <v>0</v>
      </c>
      <c r="N92" s="32">
        <f t="shared" si="13"/>
        <v>0</v>
      </c>
    </row>
    <row r="93" spans="1:14" x14ac:dyDescent="0.25">
      <c r="A93" s="51">
        <f t="shared" si="14"/>
        <v>0</v>
      </c>
      <c r="G93" s="8"/>
      <c r="H93" s="30">
        <v>88</v>
      </c>
      <c r="I93" s="31" t="str">
        <f t="shared" si="10"/>
        <v/>
      </c>
      <c r="J93" s="30">
        <f t="shared" si="15"/>
        <v>-5</v>
      </c>
      <c r="K93" s="30">
        <f t="shared" si="11"/>
        <v>-50</v>
      </c>
      <c r="L93" s="30"/>
      <c r="M93" s="32">
        <f t="shared" si="12"/>
        <v>0</v>
      </c>
      <c r="N93" s="32">
        <f t="shared" si="13"/>
        <v>0</v>
      </c>
    </row>
    <row r="94" spans="1:14" x14ac:dyDescent="0.25">
      <c r="A94" s="51">
        <f t="shared" si="14"/>
        <v>0</v>
      </c>
      <c r="G94" s="8"/>
      <c r="H94" s="30">
        <v>89</v>
      </c>
      <c r="I94" s="31" t="str">
        <f t="shared" si="10"/>
        <v/>
      </c>
      <c r="J94" s="30">
        <f t="shared" si="15"/>
        <v>-5</v>
      </c>
      <c r="K94" s="30">
        <f t="shared" si="11"/>
        <v>-50</v>
      </c>
      <c r="L94" s="30"/>
      <c r="M94" s="32">
        <f t="shared" si="12"/>
        <v>0</v>
      </c>
      <c r="N94" s="32">
        <f t="shared" si="13"/>
        <v>0</v>
      </c>
    </row>
    <row r="95" spans="1:14" x14ac:dyDescent="0.25">
      <c r="A95" s="51">
        <f t="shared" si="14"/>
        <v>0</v>
      </c>
      <c r="G95" s="8"/>
      <c r="H95" s="30">
        <v>90</v>
      </c>
      <c r="I95" s="31" t="str">
        <f t="shared" si="10"/>
        <v/>
      </c>
      <c r="J95" s="30">
        <f t="shared" si="15"/>
        <v>-5</v>
      </c>
      <c r="K95" s="30">
        <f t="shared" si="11"/>
        <v>-50</v>
      </c>
      <c r="L95" s="30"/>
      <c r="M95" s="32">
        <f t="shared" si="12"/>
        <v>0</v>
      </c>
      <c r="N95" s="32">
        <f t="shared" si="13"/>
        <v>0</v>
      </c>
    </row>
    <row r="96" spans="1:14" x14ac:dyDescent="0.25">
      <c r="A96" s="51">
        <f t="shared" si="14"/>
        <v>0</v>
      </c>
      <c r="G96" s="8"/>
      <c r="H96" s="30">
        <v>91</v>
      </c>
      <c r="I96" s="31" t="str">
        <f t="shared" si="10"/>
        <v/>
      </c>
      <c r="J96" s="30">
        <f t="shared" si="15"/>
        <v>-5</v>
      </c>
      <c r="K96" s="30">
        <f t="shared" si="11"/>
        <v>-50</v>
      </c>
      <c r="L96" s="30"/>
      <c r="M96" s="32">
        <f t="shared" si="12"/>
        <v>0</v>
      </c>
      <c r="N96" s="32">
        <f t="shared" si="13"/>
        <v>0</v>
      </c>
    </row>
    <row r="97" spans="1:14" x14ac:dyDescent="0.25">
      <c r="A97" s="51">
        <f t="shared" si="14"/>
        <v>0</v>
      </c>
      <c r="G97" s="8"/>
      <c r="H97" s="30">
        <v>92</v>
      </c>
      <c r="I97" s="31" t="str">
        <f t="shared" si="10"/>
        <v/>
      </c>
      <c r="J97" s="30">
        <f t="shared" si="15"/>
        <v>-5</v>
      </c>
      <c r="K97" s="30">
        <f t="shared" si="11"/>
        <v>-50</v>
      </c>
      <c r="L97" s="30"/>
      <c r="M97" s="32">
        <f t="shared" si="12"/>
        <v>0</v>
      </c>
      <c r="N97" s="32">
        <f t="shared" si="13"/>
        <v>0</v>
      </c>
    </row>
    <row r="98" spans="1:14" x14ac:dyDescent="0.25">
      <c r="A98" s="51">
        <f t="shared" si="14"/>
        <v>0</v>
      </c>
      <c r="G98" s="8"/>
      <c r="H98" s="30">
        <v>93</v>
      </c>
      <c r="I98" s="31" t="str">
        <f t="shared" si="10"/>
        <v/>
      </c>
      <c r="J98" s="30">
        <f t="shared" si="15"/>
        <v>-5</v>
      </c>
      <c r="K98" s="30">
        <f t="shared" si="11"/>
        <v>-50</v>
      </c>
      <c r="L98" s="30"/>
      <c r="M98" s="32">
        <f t="shared" si="12"/>
        <v>0</v>
      </c>
      <c r="N98" s="32">
        <f t="shared" si="13"/>
        <v>0</v>
      </c>
    </row>
    <row r="99" spans="1:14" x14ac:dyDescent="0.25">
      <c r="A99" s="51">
        <f t="shared" si="14"/>
        <v>0</v>
      </c>
      <c r="G99" s="8"/>
      <c r="H99" s="30">
        <v>94</v>
      </c>
      <c r="I99" s="31" t="str">
        <f t="shared" si="10"/>
        <v/>
      </c>
      <c r="J99" s="30">
        <f t="shared" si="15"/>
        <v>-5</v>
      </c>
      <c r="K99" s="30">
        <f t="shared" si="11"/>
        <v>-50</v>
      </c>
      <c r="L99" s="30"/>
      <c r="M99" s="32">
        <f t="shared" si="12"/>
        <v>0</v>
      </c>
      <c r="N99" s="32">
        <f t="shared" si="13"/>
        <v>0</v>
      </c>
    </row>
    <row r="100" spans="1:14" x14ac:dyDescent="0.25">
      <c r="A100" s="51">
        <f t="shared" si="14"/>
        <v>0</v>
      </c>
      <c r="G100" s="8"/>
      <c r="H100" s="30">
        <v>95</v>
      </c>
      <c r="I100" s="31" t="str">
        <f t="shared" si="10"/>
        <v/>
      </c>
      <c r="J100" s="30">
        <f t="shared" si="15"/>
        <v>-5</v>
      </c>
      <c r="K100" s="30">
        <f t="shared" si="11"/>
        <v>-50</v>
      </c>
      <c r="L100" s="30"/>
      <c r="M100" s="32">
        <f t="shared" si="12"/>
        <v>0</v>
      </c>
      <c r="N100" s="32">
        <f t="shared" si="13"/>
        <v>0</v>
      </c>
    </row>
    <row r="101" spans="1:14" x14ac:dyDescent="0.25">
      <c r="A101" s="51">
        <f t="shared" si="14"/>
        <v>0</v>
      </c>
      <c r="G101" s="8"/>
      <c r="H101" s="30">
        <v>96</v>
      </c>
      <c r="I101" s="31" t="str">
        <f t="shared" si="10"/>
        <v/>
      </c>
      <c r="J101" s="30">
        <f t="shared" si="15"/>
        <v>-5</v>
      </c>
      <c r="K101" s="30">
        <f t="shared" si="11"/>
        <v>-50</v>
      </c>
      <c r="L101" s="30"/>
      <c r="M101" s="32">
        <f t="shared" si="12"/>
        <v>0</v>
      </c>
      <c r="N101" s="32">
        <f t="shared" si="13"/>
        <v>0</v>
      </c>
    </row>
    <row r="102" spans="1:14" x14ac:dyDescent="0.25">
      <c r="A102" s="51">
        <f t="shared" si="14"/>
        <v>0</v>
      </c>
      <c r="G102" s="8"/>
      <c r="H102" s="30">
        <v>97</v>
      </c>
      <c r="I102" s="31" t="str">
        <f t="shared" si="10"/>
        <v/>
      </c>
      <c r="J102" s="30">
        <f t="shared" si="15"/>
        <v>-5</v>
      </c>
      <c r="K102" s="30">
        <f t="shared" si="11"/>
        <v>-50</v>
      </c>
      <c r="L102" s="30"/>
      <c r="M102" s="32">
        <f t="shared" si="12"/>
        <v>0</v>
      </c>
      <c r="N102" s="32">
        <f t="shared" si="13"/>
        <v>0</v>
      </c>
    </row>
    <row r="103" spans="1:14" x14ac:dyDescent="0.25">
      <c r="A103" s="51">
        <f t="shared" si="14"/>
        <v>0</v>
      </c>
      <c r="G103" s="8"/>
      <c r="H103" s="30">
        <v>98</v>
      </c>
      <c r="I103" s="31" t="str">
        <f t="shared" si="10"/>
        <v/>
      </c>
      <c r="J103" s="30">
        <f t="shared" si="15"/>
        <v>-5</v>
      </c>
      <c r="K103" s="30">
        <f t="shared" si="11"/>
        <v>-50</v>
      </c>
      <c r="L103" s="30"/>
      <c r="M103" s="32">
        <f t="shared" si="12"/>
        <v>0</v>
      </c>
      <c r="N103" s="32">
        <f t="shared" si="13"/>
        <v>0</v>
      </c>
    </row>
    <row r="104" spans="1:14" x14ac:dyDescent="0.25">
      <c r="A104" s="51">
        <f t="shared" si="14"/>
        <v>0</v>
      </c>
      <c r="G104" s="8"/>
      <c r="H104" s="30">
        <v>99</v>
      </c>
      <c r="I104" s="31" t="str">
        <f t="shared" si="10"/>
        <v/>
      </c>
      <c r="J104" s="30">
        <f t="shared" si="15"/>
        <v>-5</v>
      </c>
      <c r="K104" s="30">
        <f t="shared" si="11"/>
        <v>-50</v>
      </c>
      <c r="L104" s="30"/>
      <c r="M104" s="32">
        <f t="shared" si="12"/>
        <v>0</v>
      </c>
      <c r="N104" s="32">
        <f t="shared" si="13"/>
        <v>0</v>
      </c>
    </row>
    <row r="105" spans="1:14" x14ac:dyDescent="0.25">
      <c r="A105" s="51">
        <f t="shared" si="14"/>
        <v>0</v>
      </c>
      <c r="G105" s="8"/>
      <c r="H105" s="30">
        <v>100</v>
      </c>
      <c r="I105" s="31" t="str">
        <f t="shared" si="10"/>
        <v/>
      </c>
      <c r="J105" s="30">
        <f t="shared" si="15"/>
        <v>-5</v>
      </c>
      <c r="K105" s="30">
        <f t="shared" si="11"/>
        <v>-50</v>
      </c>
      <c r="L105" s="30"/>
      <c r="M105" s="32">
        <f t="shared" si="12"/>
        <v>0</v>
      </c>
      <c r="N105" s="32">
        <f t="shared" si="13"/>
        <v>0</v>
      </c>
    </row>
    <row r="106" spans="1:14" x14ac:dyDescent="0.25">
      <c r="A106" s="51">
        <f t="shared" si="14"/>
        <v>0</v>
      </c>
      <c r="G106" s="8"/>
      <c r="H106" s="30">
        <v>101</v>
      </c>
      <c r="I106" s="31" t="str">
        <f t="shared" si="10"/>
        <v/>
      </c>
      <c r="J106" s="30">
        <f t="shared" si="15"/>
        <v>-5</v>
      </c>
      <c r="K106" s="30">
        <f t="shared" si="11"/>
        <v>-50</v>
      </c>
      <c r="L106" s="30"/>
      <c r="M106" s="32">
        <f t="shared" si="12"/>
        <v>0</v>
      </c>
      <c r="N106" s="32">
        <f t="shared" si="13"/>
        <v>0</v>
      </c>
    </row>
    <row r="107" spans="1:14" x14ac:dyDescent="0.25">
      <c r="A107" s="51">
        <f t="shared" si="14"/>
        <v>0</v>
      </c>
      <c r="G107" s="8"/>
      <c r="H107" s="30">
        <v>102</v>
      </c>
      <c r="I107" s="31" t="str">
        <f t="shared" si="10"/>
        <v/>
      </c>
      <c r="J107" s="30">
        <f t="shared" si="15"/>
        <v>-5</v>
      </c>
      <c r="K107" s="30">
        <f t="shared" si="11"/>
        <v>-50</v>
      </c>
      <c r="L107" s="30"/>
      <c r="M107" s="32">
        <f t="shared" si="12"/>
        <v>0</v>
      </c>
      <c r="N107" s="32">
        <f t="shared" si="13"/>
        <v>0</v>
      </c>
    </row>
    <row r="108" spans="1:14" x14ac:dyDescent="0.25">
      <c r="A108" s="51">
        <f t="shared" si="14"/>
        <v>0</v>
      </c>
      <c r="G108" s="8"/>
      <c r="H108" s="30">
        <v>103</v>
      </c>
      <c r="I108" s="31" t="str">
        <f t="shared" si="10"/>
        <v/>
      </c>
      <c r="J108" s="30">
        <f t="shared" si="15"/>
        <v>-5</v>
      </c>
      <c r="K108" s="30">
        <f t="shared" si="11"/>
        <v>-50</v>
      </c>
      <c r="L108" s="30"/>
      <c r="M108" s="32">
        <f t="shared" si="12"/>
        <v>0</v>
      </c>
      <c r="N108" s="32">
        <f t="shared" si="13"/>
        <v>0</v>
      </c>
    </row>
    <row r="109" spans="1:14" x14ac:dyDescent="0.25">
      <c r="A109" s="51">
        <f t="shared" si="14"/>
        <v>0</v>
      </c>
      <c r="G109" s="8"/>
      <c r="H109" s="30">
        <v>104</v>
      </c>
      <c r="I109" s="31" t="str">
        <f t="shared" si="10"/>
        <v/>
      </c>
      <c r="J109" s="30">
        <f t="shared" si="15"/>
        <v>-5</v>
      </c>
      <c r="K109" s="30">
        <f t="shared" si="11"/>
        <v>-50</v>
      </c>
      <c r="L109" s="30"/>
      <c r="M109" s="32">
        <f t="shared" si="12"/>
        <v>0</v>
      </c>
      <c r="N109" s="32">
        <f t="shared" si="13"/>
        <v>0</v>
      </c>
    </row>
    <row r="110" spans="1:14" x14ac:dyDescent="0.25">
      <c r="A110" s="51">
        <f t="shared" si="14"/>
        <v>0</v>
      </c>
      <c r="G110" s="8"/>
      <c r="H110" s="30">
        <v>105</v>
      </c>
      <c r="I110" s="31" t="str">
        <f t="shared" si="10"/>
        <v/>
      </c>
      <c r="J110" s="30">
        <f t="shared" si="15"/>
        <v>-5</v>
      </c>
      <c r="K110" s="30">
        <f t="shared" si="11"/>
        <v>-50</v>
      </c>
      <c r="L110" s="30"/>
      <c r="M110" s="32">
        <f t="shared" si="12"/>
        <v>0</v>
      </c>
      <c r="N110" s="32">
        <f t="shared" si="13"/>
        <v>0</v>
      </c>
    </row>
    <row r="111" spans="1:14" x14ac:dyDescent="0.25">
      <c r="A111" s="51">
        <f t="shared" si="14"/>
        <v>0</v>
      </c>
      <c r="G111" s="8"/>
      <c r="H111" s="30">
        <v>106</v>
      </c>
      <c r="I111" s="31" t="str">
        <f t="shared" si="10"/>
        <v/>
      </c>
      <c r="J111" s="30">
        <f t="shared" si="15"/>
        <v>-5</v>
      </c>
      <c r="K111" s="30">
        <f t="shared" si="11"/>
        <v>-50</v>
      </c>
      <c r="L111" s="30"/>
      <c r="M111" s="32">
        <f t="shared" si="12"/>
        <v>0</v>
      </c>
      <c r="N111" s="32">
        <f t="shared" si="13"/>
        <v>0</v>
      </c>
    </row>
    <row r="112" spans="1:14" x14ac:dyDescent="0.25">
      <c r="A112" s="51">
        <f t="shared" si="14"/>
        <v>0</v>
      </c>
      <c r="G112" s="8"/>
      <c r="H112" s="30">
        <v>107</v>
      </c>
      <c r="I112" s="31" t="str">
        <f t="shared" si="10"/>
        <v/>
      </c>
      <c r="J112" s="30">
        <f t="shared" si="15"/>
        <v>-5</v>
      </c>
      <c r="K112" s="30">
        <f t="shared" si="11"/>
        <v>-50</v>
      </c>
      <c r="L112" s="30"/>
      <c r="M112" s="32">
        <f t="shared" si="12"/>
        <v>0</v>
      </c>
      <c r="N112" s="32">
        <f t="shared" si="13"/>
        <v>0</v>
      </c>
    </row>
    <row r="113" spans="1:14" x14ac:dyDescent="0.25">
      <c r="A113" s="51">
        <f t="shared" si="14"/>
        <v>0</v>
      </c>
      <c r="G113" s="8"/>
      <c r="H113" s="30">
        <v>108</v>
      </c>
      <c r="I113" s="31" t="str">
        <f t="shared" si="10"/>
        <v/>
      </c>
      <c r="J113" s="30">
        <f t="shared" si="15"/>
        <v>-5</v>
      </c>
      <c r="K113" s="30">
        <f t="shared" si="11"/>
        <v>-50</v>
      </c>
      <c r="L113" s="30"/>
      <c r="M113" s="32">
        <f t="shared" si="12"/>
        <v>0</v>
      </c>
      <c r="N113" s="32">
        <f t="shared" si="13"/>
        <v>0</v>
      </c>
    </row>
    <row r="114" spans="1:14" x14ac:dyDescent="0.25">
      <c r="A114" s="51">
        <f t="shared" si="14"/>
        <v>0</v>
      </c>
      <c r="G114" s="8"/>
      <c r="H114" s="30">
        <v>109</v>
      </c>
      <c r="I114" s="31" t="str">
        <f t="shared" si="10"/>
        <v/>
      </c>
      <c r="J114" s="30">
        <f t="shared" si="15"/>
        <v>-5</v>
      </c>
      <c r="K114" s="30">
        <f t="shared" si="11"/>
        <v>-50</v>
      </c>
      <c r="L114" s="30"/>
      <c r="M114" s="32">
        <f t="shared" si="12"/>
        <v>0</v>
      </c>
      <c r="N114" s="32">
        <f t="shared" si="13"/>
        <v>0</v>
      </c>
    </row>
    <row r="115" spans="1:14" x14ac:dyDescent="0.25">
      <c r="A115" s="51">
        <f t="shared" si="14"/>
        <v>0</v>
      </c>
      <c r="G115" s="8"/>
      <c r="H115" s="30">
        <v>110</v>
      </c>
      <c r="I115" s="31" t="str">
        <f t="shared" si="10"/>
        <v/>
      </c>
      <c r="J115" s="30">
        <f t="shared" si="15"/>
        <v>-5</v>
      </c>
      <c r="K115" s="30">
        <f t="shared" si="11"/>
        <v>-50</v>
      </c>
      <c r="L115" s="30"/>
      <c r="M115" s="32">
        <f t="shared" si="12"/>
        <v>0</v>
      </c>
      <c r="N115" s="32">
        <f t="shared" si="13"/>
        <v>0</v>
      </c>
    </row>
    <row r="116" spans="1:14" x14ac:dyDescent="0.25">
      <c r="A116" s="51">
        <f t="shared" si="14"/>
        <v>0</v>
      </c>
      <c r="G116" s="8"/>
      <c r="H116" s="30">
        <v>111</v>
      </c>
      <c r="I116" s="31" t="str">
        <f t="shared" si="10"/>
        <v/>
      </c>
      <c r="J116" s="30">
        <f t="shared" si="15"/>
        <v>-5</v>
      </c>
      <c r="K116" s="30">
        <f t="shared" si="11"/>
        <v>-50</v>
      </c>
      <c r="L116" s="30"/>
      <c r="M116" s="32">
        <f t="shared" si="12"/>
        <v>0</v>
      </c>
      <c r="N116" s="32">
        <f t="shared" si="13"/>
        <v>0</v>
      </c>
    </row>
    <row r="117" spans="1:14" x14ac:dyDescent="0.25">
      <c r="A117" s="51">
        <f t="shared" si="14"/>
        <v>0</v>
      </c>
      <c r="G117" s="8"/>
      <c r="H117" s="30">
        <v>112</v>
      </c>
      <c r="I117" s="31" t="str">
        <f t="shared" si="10"/>
        <v/>
      </c>
      <c r="J117" s="30">
        <f t="shared" si="15"/>
        <v>-5</v>
      </c>
      <c r="K117" s="30">
        <f t="shared" si="11"/>
        <v>-50</v>
      </c>
      <c r="L117" s="30"/>
      <c r="M117" s="32">
        <f t="shared" si="12"/>
        <v>0</v>
      </c>
      <c r="N117" s="32">
        <f t="shared" si="13"/>
        <v>0</v>
      </c>
    </row>
    <row r="118" spans="1:14" x14ac:dyDescent="0.25">
      <c r="A118" s="51">
        <f t="shared" si="14"/>
        <v>0</v>
      </c>
      <c r="G118" s="8"/>
      <c r="H118" s="30">
        <v>113</v>
      </c>
      <c r="I118" s="31" t="str">
        <f t="shared" si="10"/>
        <v/>
      </c>
      <c r="J118" s="30">
        <f t="shared" si="15"/>
        <v>-5</v>
      </c>
      <c r="K118" s="30">
        <f t="shared" si="11"/>
        <v>-50</v>
      </c>
      <c r="L118" s="30"/>
      <c r="M118" s="32">
        <f t="shared" si="12"/>
        <v>0</v>
      </c>
      <c r="N118" s="32">
        <f t="shared" si="13"/>
        <v>0</v>
      </c>
    </row>
    <row r="119" spans="1:14" x14ac:dyDescent="0.25">
      <c r="A119" s="51">
        <f t="shared" si="14"/>
        <v>0</v>
      </c>
      <c r="G119" s="8"/>
      <c r="H119" s="30">
        <v>114</v>
      </c>
      <c r="I119" s="31" t="str">
        <f t="shared" si="10"/>
        <v/>
      </c>
      <c r="J119" s="30">
        <f t="shared" si="15"/>
        <v>-5</v>
      </c>
      <c r="K119" s="30">
        <f t="shared" si="11"/>
        <v>-50</v>
      </c>
      <c r="L119" s="30"/>
      <c r="M119" s="32">
        <f t="shared" si="12"/>
        <v>0</v>
      </c>
      <c r="N119" s="32">
        <f t="shared" si="13"/>
        <v>0</v>
      </c>
    </row>
    <row r="120" spans="1:14" x14ac:dyDescent="0.25">
      <c r="A120" s="51">
        <f t="shared" si="14"/>
        <v>0</v>
      </c>
      <c r="G120" s="8"/>
      <c r="H120" s="30">
        <v>115</v>
      </c>
      <c r="I120" s="31" t="str">
        <f t="shared" si="10"/>
        <v/>
      </c>
      <c r="J120" s="30">
        <f t="shared" si="15"/>
        <v>-5</v>
      </c>
      <c r="K120" s="30">
        <f t="shared" si="11"/>
        <v>-50</v>
      </c>
      <c r="L120" s="30"/>
      <c r="M120" s="32">
        <f t="shared" si="12"/>
        <v>0</v>
      </c>
      <c r="N120" s="32">
        <f t="shared" si="13"/>
        <v>0</v>
      </c>
    </row>
    <row r="121" spans="1:14" x14ac:dyDescent="0.25">
      <c r="A121" s="51">
        <f t="shared" si="14"/>
        <v>0</v>
      </c>
      <c r="G121" s="8"/>
      <c r="H121" s="30">
        <v>116</v>
      </c>
      <c r="I121" s="31" t="str">
        <f t="shared" si="10"/>
        <v/>
      </c>
      <c r="J121" s="30">
        <f t="shared" si="15"/>
        <v>-5</v>
      </c>
      <c r="K121" s="30">
        <f t="shared" si="11"/>
        <v>-50</v>
      </c>
      <c r="L121" s="30"/>
      <c r="M121" s="32">
        <f t="shared" si="12"/>
        <v>0</v>
      </c>
      <c r="N121" s="32">
        <f t="shared" si="13"/>
        <v>0</v>
      </c>
    </row>
    <row r="122" spans="1:14" x14ac:dyDescent="0.25">
      <c r="A122" s="51">
        <f t="shared" si="14"/>
        <v>0</v>
      </c>
      <c r="G122" s="8"/>
      <c r="H122" s="30">
        <v>117</v>
      </c>
      <c r="I122" s="31" t="str">
        <f t="shared" si="10"/>
        <v/>
      </c>
      <c r="J122" s="30">
        <f t="shared" si="15"/>
        <v>-5</v>
      </c>
      <c r="K122" s="30">
        <f t="shared" si="11"/>
        <v>-50</v>
      </c>
      <c r="L122" s="30"/>
      <c r="M122" s="32">
        <f t="shared" si="12"/>
        <v>0</v>
      </c>
      <c r="N122" s="32">
        <f t="shared" si="13"/>
        <v>0</v>
      </c>
    </row>
    <row r="123" spans="1:14" x14ac:dyDescent="0.25">
      <c r="A123" s="51">
        <f t="shared" si="14"/>
        <v>0</v>
      </c>
      <c r="G123" s="8"/>
      <c r="H123" s="30">
        <v>118</v>
      </c>
      <c r="I123" s="31" t="str">
        <f t="shared" si="10"/>
        <v/>
      </c>
      <c r="J123" s="30">
        <f t="shared" si="15"/>
        <v>-5</v>
      </c>
      <c r="K123" s="30">
        <f t="shared" si="11"/>
        <v>-50</v>
      </c>
      <c r="L123" s="30"/>
      <c r="M123" s="32">
        <f t="shared" si="12"/>
        <v>0</v>
      </c>
      <c r="N123" s="32">
        <f t="shared" si="13"/>
        <v>0</v>
      </c>
    </row>
    <row r="124" spans="1:14" x14ac:dyDescent="0.25">
      <c r="A124" s="51">
        <f t="shared" si="14"/>
        <v>0</v>
      </c>
      <c r="G124" s="8"/>
      <c r="H124" s="30">
        <v>119</v>
      </c>
      <c r="I124" s="31" t="str">
        <f t="shared" si="10"/>
        <v/>
      </c>
      <c r="J124" s="30">
        <f t="shared" si="15"/>
        <v>-5</v>
      </c>
      <c r="K124" s="30">
        <f t="shared" si="11"/>
        <v>-50</v>
      </c>
      <c r="L124" s="30"/>
      <c r="M124" s="32">
        <f t="shared" si="12"/>
        <v>0</v>
      </c>
      <c r="N124" s="32">
        <f t="shared" si="13"/>
        <v>0</v>
      </c>
    </row>
    <row r="125" spans="1:14" x14ac:dyDescent="0.25">
      <c r="A125" s="51">
        <f t="shared" si="14"/>
        <v>0</v>
      </c>
      <c r="G125" s="8"/>
      <c r="H125" s="30">
        <v>120</v>
      </c>
      <c r="I125" s="31" t="str">
        <f t="shared" si="10"/>
        <v/>
      </c>
      <c r="J125" s="30">
        <f t="shared" si="15"/>
        <v>-5</v>
      </c>
      <c r="K125" s="30">
        <f t="shared" si="11"/>
        <v>-50</v>
      </c>
      <c r="L125" s="30"/>
      <c r="M125" s="32">
        <f t="shared" si="12"/>
        <v>0</v>
      </c>
      <c r="N125" s="32">
        <f t="shared" si="13"/>
        <v>0</v>
      </c>
    </row>
    <row r="126" spans="1:14" x14ac:dyDescent="0.25">
      <c r="A126" s="51">
        <f t="shared" si="14"/>
        <v>0</v>
      </c>
      <c r="G126" s="8"/>
      <c r="H126" s="30">
        <v>121</v>
      </c>
      <c r="I126" s="31" t="str">
        <f t="shared" si="10"/>
        <v/>
      </c>
      <c r="J126" s="30">
        <f t="shared" si="15"/>
        <v>-5</v>
      </c>
      <c r="K126" s="30">
        <f t="shared" si="11"/>
        <v>-50</v>
      </c>
      <c r="L126" s="30"/>
      <c r="M126" s="32">
        <f t="shared" si="12"/>
        <v>0</v>
      </c>
      <c r="N126" s="32">
        <f t="shared" si="13"/>
        <v>0</v>
      </c>
    </row>
    <row r="127" spans="1:14" x14ac:dyDescent="0.25">
      <c r="A127" s="51">
        <f t="shared" si="14"/>
        <v>0</v>
      </c>
      <c r="G127" s="8"/>
      <c r="H127" s="30">
        <v>122</v>
      </c>
      <c r="I127" s="31" t="str">
        <f t="shared" si="10"/>
        <v/>
      </c>
      <c r="J127" s="30">
        <f t="shared" si="15"/>
        <v>-5</v>
      </c>
      <c r="K127" s="30">
        <f t="shared" si="11"/>
        <v>-50</v>
      </c>
      <c r="L127" s="30"/>
      <c r="M127" s="32">
        <f t="shared" si="12"/>
        <v>0</v>
      </c>
      <c r="N127" s="32">
        <f t="shared" si="13"/>
        <v>0</v>
      </c>
    </row>
    <row r="128" spans="1:14" x14ac:dyDescent="0.25">
      <c r="A128" s="51">
        <f t="shared" si="14"/>
        <v>0</v>
      </c>
      <c r="G128" s="8"/>
      <c r="H128" s="30">
        <v>123</v>
      </c>
      <c r="I128" s="31" t="str">
        <f t="shared" si="10"/>
        <v/>
      </c>
      <c r="J128" s="30">
        <f t="shared" si="15"/>
        <v>-5</v>
      </c>
      <c r="K128" s="30">
        <f t="shared" si="11"/>
        <v>-50</v>
      </c>
      <c r="L128" s="30"/>
      <c r="M128" s="32">
        <f t="shared" si="12"/>
        <v>0</v>
      </c>
      <c r="N128" s="32">
        <f t="shared" si="13"/>
        <v>0</v>
      </c>
    </row>
    <row r="129" spans="1:14" x14ac:dyDescent="0.25">
      <c r="A129" s="51">
        <f t="shared" si="14"/>
        <v>0</v>
      </c>
      <c r="G129" s="8"/>
      <c r="H129" s="30">
        <v>124</v>
      </c>
      <c r="I129" s="31" t="str">
        <f t="shared" si="10"/>
        <v/>
      </c>
      <c r="J129" s="30">
        <f t="shared" si="15"/>
        <v>-5</v>
      </c>
      <c r="K129" s="30">
        <f t="shared" si="11"/>
        <v>-50</v>
      </c>
      <c r="L129" s="30"/>
      <c r="M129" s="32">
        <f t="shared" si="12"/>
        <v>0</v>
      </c>
      <c r="N129" s="32">
        <f t="shared" si="13"/>
        <v>0</v>
      </c>
    </row>
    <row r="130" spans="1:14" x14ac:dyDescent="0.25">
      <c r="A130" s="51">
        <f t="shared" si="14"/>
        <v>0</v>
      </c>
      <c r="G130" s="8"/>
      <c r="H130" s="30">
        <v>125</v>
      </c>
      <c r="I130" s="31" t="str">
        <f t="shared" si="10"/>
        <v/>
      </c>
      <c r="J130" s="30">
        <f t="shared" si="15"/>
        <v>-5</v>
      </c>
      <c r="K130" s="30">
        <f t="shared" si="11"/>
        <v>-50</v>
      </c>
      <c r="L130" s="30"/>
      <c r="M130" s="32">
        <f t="shared" si="12"/>
        <v>0</v>
      </c>
      <c r="N130" s="32">
        <f t="shared" si="13"/>
        <v>0</v>
      </c>
    </row>
    <row r="131" spans="1:14" x14ac:dyDescent="0.25">
      <c r="A131" s="51">
        <f t="shared" si="14"/>
        <v>0</v>
      </c>
      <c r="G131" s="8"/>
      <c r="H131" s="30">
        <v>126</v>
      </c>
      <c r="I131" s="31" t="str">
        <f t="shared" si="10"/>
        <v/>
      </c>
      <c r="J131" s="30">
        <f t="shared" si="15"/>
        <v>-5</v>
      </c>
      <c r="K131" s="30">
        <f t="shared" si="11"/>
        <v>-50</v>
      </c>
      <c r="L131" s="30"/>
      <c r="M131" s="32">
        <f t="shared" si="12"/>
        <v>0</v>
      </c>
      <c r="N131" s="32">
        <f t="shared" si="13"/>
        <v>0</v>
      </c>
    </row>
    <row r="132" spans="1:14" x14ac:dyDescent="0.25">
      <c r="A132" s="51">
        <f t="shared" si="14"/>
        <v>0</v>
      </c>
      <c r="G132" s="8"/>
      <c r="H132" s="30">
        <v>127</v>
      </c>
      <c r="I132" s="31" t="str">
        <f t="shared" si="10"/>
        <v/>
      </c>
      <c r="J132" s="30">
        <f t="shared" si="15"/>
        <v>-5</v>
      </c>
      <c r="K132" s="30">
        <f t="shared" si="11"/>
        <v>-50</v>
      </c>
      <c r="L132" s="30"/>
      <c r="M132" s="32">
        <f t="shared" si="12"/>
        <v>0</v>
      </c>
      <c r="N132" s="32">
        <f t="shared" si="13"/>
        <v>0</v>
      </c>
    </row>
    <row r="133" spans="1:14" x14ac:dyDescent="0.25">
      <c r="A133" s="51">
        <f t="shared" si="14"/>
        <v>0</v>
      </c>
      <c r="G133" s="8"/>
      <c r="H133" s="30">
        <v>128</v>
      </c>
      <c r="I133" s="31" t="str">
        <f t="shared" si="10"/>
        <v/>
      </c>
      <c r="J133" s="30">
        <f t="shared" si="15"/>
        <v>-5</v>
      </c>
      <c r="K133" s="30">
        <f t="shared" si="11"/>
        <v>-50</v>
      </c>
      <c r="L133" s="30"/>
      <c r="M133" s="32">
        <f t="shared" si="12"/>
        <v>0</v>
      </c>
      <c r="N133" s="32">
        <f t="shared" si="13"/>
        <v>0</v>
      </c>
    </row>
    <row r="134" spans="1:14" x14ac:dyDescent="0.25">
      <c r="A134" s="51">
        <f t="shared" si="14"/>
        <v>0</v>
      </c>
      <c r="G134" s="8"/>
      <c r="H134" s="30">
        <v>129</v>
      </c>
      <c r="I134" s="31" t="str">
        <f t="shared" ref="I134:I197" si="16">IF(H134&lt;$H$2+1,($I$2-($I$2-1)*(LOG(H134)/LOG($H$2))),"")</f>
        <v/>
      </c>
      <c r="J134" s="30">
        <f t="shared" si="15"/>
        <v>-6</v>
      </c>
      <c r="K134" s="30">
        <f t="shared" ref="K134:K197" si="17">J134*$J$2</f>
        <v>-60</v>
      </c>
      <c r="L134" s="30"/>
      <c r="M134" s="32">
        <f t="shared" ref="M134:M197" si="18">IF(I134&lt;&gt;"",K134+I134+L134,0)</f>
        <v>0</v>
      </c>
      <c r="N134" s="32">
        <f t="shared" ref="N134:N197" si="19">IF(I134&lt;&gt;"",M134*L$2,0)</f>
        <v>0</v>
      </c>
    </row>
    <row r="135" spans="1:14" x14ac:dyDescent="0.25">
      <c r="A135" s="51">
        <f t="shared" ref="A135:A198" si="20">N135</f>
        <v>0</v>
      </c>
      <c r="G135" s="8"/>
      <c r="H135" s="30">
        <v>130</v>
      </c>
      <c r="I135" s="31" t="str">
        <f t="shared" si="16"/>
        <v/>
      </c>
      <c r="J135" s="30">
        <f t="shared" ref="J135:J198" si="21">INT(LOG($H$2,2))-ROUNDUP(LOG(H135,2),0)+IF(OR($H$2=1,$H$2=2,$H$2=4,$H$2=8,$H$2=16,$H$2=32,$H$2=64,$H$2=128,$H$2=256),0,1)</f>
        <v>-6</v>
      </c>
      <c r="K135" s="30">
        <f t="shared" si="17"/>
        <v>-60</v>
      </c>
      <c r="L135" s="30"/>
      <c r="M135" s="32">
        <f t="shared" si="18"/>
        <v>0</v>
      </c>
      <c r="N135" s="32">
        <f t="shared" si="19"/>
        <v>0</v>
      </c>
    </row>
    <row r="136" spans="1:14" x14ac:dyDescent="0.25">
      <c r="A136" s="51">
        <f t="shared" si="20"/>
        <v>0</v>
      </c>
      <c r="G136" s="8"/>
      <c r="H136" s="30">
        <v>131</v>
      </c>
      <c r="I136" s="31" t="str">
        <f t="shared" si="16"/>
        <v/>
      </c>
      <c r="J136" s="30">
        <f t="shared" si="21"/>
        <v>-6</v>
      </c>
      <c r="K136" s="30">
        <f t="shared" si="17"/>
        <v>-60</v>
      </c>
      <c r="L136" s="30"/>
      <c r="M136" s="32">
        <f t="shared" si="18"/>
        <v>0</v>
      </c>
      <c r="N136" s="32">
        <f t="shared" si="19"/>
        <v>0</v>
      </c>
    </row>
    <row r="137" spans="1:14" x14ac:dyDescent="0.25">
      <c r="A137" s="51">
        <f t="shared" si="20"/>
        <v>0</v>
      </c>
      <c r="G137" s="8"/>
      <c r="H137" s="30">
        <v>132</v>
      </c>
      <c r="I137" s="31" t="str">
        <f t="shared" si="16"/>
        <v/>
      </c>
      <c r="J137" s="30">
        <f t="shared" si="21"/>
        <v>-6</v>
      </c>
      <c r="K137" s="30">
        <f t="shared" si="17"/>
        <v>-60</v>
      </c>
      <c r="L137" s="30"/>
      <c r="M137" s="32">
        <f t="shared" si="18"/>
        <v>0</v>
      </c>
      <c r="N137" s="32">
        <f t="shared" si="19"/>
        <v>0</v>
      </c>
    </row>
    <row r="138" spans="1:14" x14ac:dyDescent="0.25">
      <c r="A138" s="51">
        <f t="shared" si="20"/>
        <v>0</v>
      </c>
      <c r="G138" s="8"/>
      <c r="H138" s="30">
        <v>133</v>
      </c>
      <c r="I138" s="31" t="str">
        <f t="shared" si="16"/>
        <v/>
      </c>
      <c r="J138" s="30">
        <f t="shared" si="21"/>
        <v>-6</v>
      </c>
      <c r="K138" s="30">
        <f t="shared" si="17"/>
        <v>-60</v>
      </c>
      <c r="L138" s="30"/>
      <c r="M138" s="32">
        <f t="shared" si="18"/>
        <v>0</v>
      </c>
      <c r="N138" s="32">
        <f t="shared" si="19"/>
        <v>0</v>
      </c>
    </row>
    <row r="139" spans="1:14" x14ac:dyDescent="0.25">
      <c r="A139" s="51">
        <f t="shared" si="20"/>
        <v>0</v>
      </c>
      <c r="G139" s="8"/>
      <c r="H139" s="30">
        <v>134</v>
      </c>
      <c r="I139" s="31" t="str">
        <f t="shared" si="16"/>
        <v/>
      </c>
      <c r="J139" s="30">
        <f t="shared" si="21"/>
        <v>-6</v>
      </c>
      <c r="K139" s="30">
        <f t="shared" si="17"/>
        <v>-60</v>
      </c>
      <c r="L139" s="30"/>
      <c r="M139" s="32">
        <f t="shared" si="18"/>
        <v>0</v>
      </c>
      <c r="N139" s="32">
        <f t="shared" si="19"/>
        <v>0</v>
      </c>
    </row>
    <row r="140" spans="1:14" x14ac:dyDescent="0.25">
      <c r="A140" s="51">
        <f t="shared" si="20"/>
        <v>0</v>
      </c>
      <c r="G140" s="8"/>
      <c r="H140" s="30">
        <v>135</v>
      </c>
      <c r="I140" s="31" t="str">
        <f t="shared" si="16"/>
        <v/>
      </c>
      <c r="J140" s="30">
        <f t="shared" si="21"/>
        <v>-6</v>
      </c>
      <c r="K140" s="30">
        <f t="shared" si="17"/>
        <v>-60</v>
      </c>
      <c r="L140" s="30"/>
      <c r="M140" s="32">
        <f t="shared" si="18"/>
        <v>0</v>
      </c>
      <c r="N140" s="32">
        <f t="shared" si="19"/>
        <v>0</v>
      </c>
    </row>
    <row r="141" spans="1:14" x14ac:dyDescent="0.25">
      <c r="A141" s="51">
        <f t="shared" si="20"/>
        <v>0</v>
      </c>
      <c r="G141" s="8"/>
      <c r="H141" s="30">
        <v>136</v>
      </c>
      <c r="I141" s="31" t="str">
        <f t="shared" si="16"/>
        <v/>
      </c>
      <c r="J141" s="30">
        <f t="shared" si="21"/>
        <v>-6</v>
      </c>
      <c r="K141" s="30">
        <f t="shared" si="17"/>
        <v>-60</v>
      </c>
      <c r="L141" s="30"/>
      <c r="M141" s="32">
        <f t="shared" si="18"/>
        <v>0</v>
      </c>
      <c r="N141" s="32">
        <f t="shared" si="19"/>
        <v>0</v>
      </c>
    </row>
    <row r="142" spans="1:14" x14ac:dyDescent="0.25">
      <c r="A142" s="51">
        <f t="shared" si="20"/>
        <v>0</v>
      </c>
      <c r="G142" s="8"/>
      <c r="H142" s="30">
        <v>137</v>
      </c>
      <c r="I142" s="31" t="str">
        <f t="shared" si="16"/>
        <v/>
      </c>
      <c r="J142" s="30">
        <f t="shared" si="21"/>
        <v>-6</v>
      </c>
      <c r="K142" s="30">
        <f t="shared" si="17"/>
        <v>-60</v>
      </c>
      <c r="L142" s="30"/>
      <c r="M142" s="32">
        <f t="shared" si="18"/>
        <v>0</v>
      </c>
      <c r="N142" s="32">
        <f t="shared" si="19"/>
        <v>0</v>
      </c>
    </row>
    <row r="143" spans="1:14" x14ac:dyDescent="0.25">
      <c r="A143" s="51">
        <f t="shared" si="20"/>
        <v>0</v>
      </c>
      <c r="G143" s="8"/>
      <c r="H143" s="30">
        <v>138</v>
      </c>
      <c r="I143" s="31" t="str">
        <f t="shared" si="16"/>
        <v/>
      </c>
      <c r="J143" s="30">
        <f t="shared" si="21"/>
        <v>-6</v>
      </c>
      <c r="K143" s="30">
        <f t="shared" si="17"/>
        <v>-60</v>
      </c>
      <c r="L143" s="30"/>
      <c r="M143" s="32">
        <f t="shared" si="18"/>
        <v>0</v>
      </c>
      <c r="N143" s="32">
        <f t="shared" si="19"/>
        <v>0</v>
      </c>
    </row>
    <row r="144" spans="1:14" x14ac:dyDescent="0.25">
      <c r="A144" s="51">
        <f t="shared" si="20"/>
        <v>0</v>
      </c>
      <c r="G144" s="8"/>
      <c r="H144" s="30">
        <v>139</v>
      </c>
      <c r="I144" s="31" t="str">
        <f t="shared" si="16"/>
        <v/>
      </c>
      <c r="J144" s="30">
        <f t="shared" si="21"/>
        <v>-6</v>
      </c>
      <c r="K144" s="30">
        <f t="shared" si="17"/>
        <v>-60</v>
      </c>
      <c r="L144" s="30"/>
      <c r="M144" s="32">
        <f t="shared" si="18"/>
        <v>0</v>
      </c>
      <c r="N144" s="32">
        <f t="shared" si="19"/>
        <v>0</v>
      </c>
    </row>
    <row r="145" spans="1:14" x14ac:dyDescent="0.25">
      <c r="A145" s="51">
        <f t="shared" si="20"/>
        <v>0</v>
      </c>
      <c r="G145" s="8"/>
      <c r="H145" s="30">
        <v>140</v>
      </c>
      <c r="I145" s="31" t="str">
        <f t="shared" si="16"/>
        <v/>
      </c>
      <c r="J145" s="30">
        <f t="shared" si="21"/>
        <v>-6</v>
      </c>
      <c r="K145" s="30">
        <f t="shared" si="17"/>
        <v>-60</v>
      </c>
      <c r="L145" s="30"/>
      <c r="M145" s="32">
        <f t="shared" si="18"/>
        <v>0</v>
      </c>
      <c r="N145" s="32">
        <f t="shared" si="19"/>
        <v>0</v>
      </c>
    </row>
    <row r="146" spans="1:14" x14ac:dyDescent="0.25">
      <c r="A146" s="51">
        <f t="shared" si="20"/>
        <v>0</v>
      </c>
      <c r="G146" s="8"/>
      <c r="H146" s="30">
        <v>141</v>
      </c>
      <c r="I146" s="31" t="str">
        <f t="shared" si="16"/>
        <v/>
      </c>
      <c r="J146" s="30">
        <f t="shared" si="21"/>
        <v>-6</v>
      </c>
      <c r="K146" s="30">
        <f t="shared" si="17"/>
        <v>-60</v>
      </c>
      <c r="L146" s="30"/>
      <c r="M146" s="32">
        <f t="shared" si="18"/>
        <v>0</v>
      </c>
      <c r="N146" s="32">
        <f t="shared" si="19"/>
        <v>0</v>
      </c>
    </row>
    <row r="147" spans="1:14" x14ac:dyDescent="0.25">
      <c r="A147" s="51">
        <f t="shared" si="20"/>
        <v>0</v>
      </c>
      <c r="G147" s="8"/>
      <c r="H147" s="30">
        <v>142</v>
      </c>
      <c r="I147" s="31" t="str">
        <f t="shared" si="16"/>
        <v/>
      </c>
      <c r="J147" s="30">
        <f t="shared" si="21"/>
        <v>-6</v>
      </c>
      <c r="K147" s="30">
        <f t="shared" si="17"/>
        <v>-60</v>
      </c>
      <c r="L147" s="30"/>
      <c r="M147" s="32">
        <f t="shared" si="18"/>
        <v>0</v>
      </c>
      <c r="N147" s="32">
        <f t="shared" si="19"/>
        <v>0</v>
      </c>
    </row>
    <row r="148" spans="1:14" x14ac:dyDescent="0.25">
      <c r="A148" s="51">
        <f t="shared" si="20"/>
        <v>0</v>
      </c>
      <c r="G148" s="8"/>
      <c r="H148" s="30">
        <v>143</v>
      </c>
      <c r="I148" s="31" t="str">
        <f t="shared" si="16"/>
        <v/>
      </c>
      <c r="J148" s="30">
        <f t="shared" si="21"/>
        <v>-6</v>
      </c>
      <c r="K148" s="30">
        <f t="shared" si="17"/>
        <v>-60</v>
      </c>
      <c r="L148" s="30"/>
      <c r="M148" s="32">
        <f t="shared" si="18"/>
        <v>0</v>
      </c>
      <c r="N148" s="32">
        <f t="shared" si="19"/>
        <v>0</v>
      </c>
    </row>
    <row r="149" spans="1:14" x14ac:dyDescent="0.25">
      <c r="A149" s="51">
        <f t="shared" si="20"/>
        <v>0</v>
      </c>
      <c r="G149" s="8"/>
      <c r="H149" s="30">
        <v>144</v>
      </c>
      <c r="I149" s="31" t="str">
        <f t="shared" si="16"/>
        <v/>
      </c>
      <c r="J149" s="30">
        <f t="shared" si="21"/>
        <v>-6</v>
      </c>
      <c r="K149" s="30">
        <f t="shared" si="17"/>
        <v>-60</v>
      </c>
      <c r="L149" s="30"/>
      <c r="M149" s="32">
        <f t="shared" si="18"/>
        <v>0</v>
      </c>
      <c r="N149" s="32">
        <f t="shared" si="19"/>
        <v>0</v>
      </c>
    </row>
    <row r="150" spans="1:14" x14ac:dyDescent="0.25">
      <c r="A150" s="51">
        <f t="shared" si="20"/>
        <v>0</v>
      </c>
      <c r="G150" s="8"/>
      <c r="H150" s="30">
        <v>145</v>
      </c>
      <c r="I150" s="31" t="str">
        <f t="shared" si="16"/>
        <v/>
      </c>
      <c r="J150" s="30">
        <f t="shared" si="21"/>
        <v>-6</v>
      </c>
      <c r="K150" s="30">
        <f t="shared" si="17"/>
        <v>-60</v>
      </c>
      <c r="L150" s="30"/>
      <c r="M150" s="32">
        <f t="shared" si="18"/>
        <v>0</v>
      </c>
      <c r="N150" s="32">
        <f t="shared" si="19"/>
        <v>0</v>
      </c>
    </row>
    <row r="151" spans="1:14" x14ac:dyDescent="0.25">
      <c r="A151" s="51">
        <f t="shared" si="20"/>
        <v>0</v>
      </c>
      <c r="G151" s="8"/>
      <c r="H151" s="30">
        <v>146</v>
      </c>
      <c r="I151" s="31" t="str">
        <f t="shared" si="16"/>
        <v/>
      </c>
      <c r="J151" s="30">
        <f t="shared" si="21"/>
        <v>-6</v>
      </c>
      <c r="K151" s="30">
        <f t="shared" si="17"/>
        <v>-60</v>
      </c>
      <c r="L151" s="30"/>
      <c r="M151" s="32">
        <f t="shared" si="18"/>
        <v>0</v>
      </c>
      <c r="N151" s="32">
        <f t="shared" si="19"/>
        <v>0</v>
      </c>
    </row>
    <row r="152" spans="1:14" x14ac:dyDescent="0.25">
      <c r="A152" s="51">
        <f t="shared" si="20"/>
        <v>0</v>
      </c>
      <c r="G152" s="8"/>
      <c r="H152" s="30">
        <v>147</v>
      </c>
      <c r="I152" s="31" t="str">
        <f t="shared" si="16"/>
        <v/>
      </c>
      <c r="J152" s="30">
        <f t="shared" si="21"/>
        <v>-6</v>
      </c>
      <c r="K152" s="30">
        <f t="shared" si="17"/>
        <v>-60</v>
      </c>
      <c r="L152" s="30"/>
      <c r="M152" s="32">
        <f t="shared" si="18"/>
        <v>0</v>
      </c>
      <c r="N152" s="32">
        <f t="shared" si="19"/>
        <v>0</v>
      </c>
    </row>
    <row r="153" spans="1:14" x14ac:dyDescent="0.25">
      <c r="A153" s="51">
        <f t="shared" si="20"/>
        <v>0</v>
      </c>
      <c r="G153" s="8"/>
      <c r="H153" s="30">
        <v>148</v>
      </c>
      <c r="I153" s="31" t="str">
        <f t="shared" si="16"/>
        <v/>
      </c>
      <c r="J153" s="30">
        <f t="shared" si="21"/>
        <v>-6</v>
      </c>
      <c r="K153" s="30">
        <f t="shared" si="17"/>
        <v>-60</v>
      </c>
      <c r="L153" s="30"/>
      <c r="M153" s="32">
        <f t="shared" si="18"/>
        <v>0</v>
      </c>
      <c r="N153" s="32">
        <f t="shared" si="19"/>
        <v>0</v>
      </c>
    </row>
    <row r="154" spans="1:14" x14ac:dyDescent="0.25">
      <c r="A154" s="51">
        <f t="shared" si="20"/>
        <v>0</v>
      </c>
      <c r="G154" s="8"/>
      <c r="H154" s="30">
        <v>149</v>
      </c>
      <c r="I154" s="31" t="str">
        <f t="shared" si="16"/>
        <v/>
      </c>
      <c r="J154" s="30">
        <f t="shared" si="21"/>
        <v>-6</v>
      </c>
      <c r="K154" s="30">
        <f t="shared" si="17"/>
        <v>-60</v>
      </c>
      <c r="L154" s="30"/>
      <c r="M154" s="32">
        <f t="shared" si="18"/>
        <v>0</v>
      </c>
      <c r="N154" s="32">
        <f t="shared" si="19"/>
        <v>0</v>
      </c>
    </row>
    <row r="155" spans="1:14" x14ac:dyDescent="0.25">
      <c r="A155" s="51">
        <f t="shared" si="20"/>
        <v>0</v>
      </c>
      <c r="G155" s="8"/>
      <c r="H155" s="30">
        <v>150</v>
      </c>
      <c r="I155" s="31" t="str">
        <f t="shared" si="16"/>
        <v/>
      </c>
      <c r="J155" s="30">
        <f t="shared" si="21"/>
        <v>-6</v>
      </c>
      <c r="K155" s="30">
        <f t="shared" si="17"/>
        <v>-60</v>
      </c>
      <c r="L155" s="30"/>
      <c r="M155" s="32">
        <f t="shared" si="18"/>
        <v>0</v>
      </c>
      <c r="N155" s="32">
        <f t="shared" si="19"/>
        <v>0</v>
      </c>
    </row>
    <row r="156" spans="1:14" x14ac:dyDescent="0.25">
      <c r="A156" s="51">
        <f t="shared" si="20"/>
        <v>0</v>
      </c>
      <c r="G156" s="8"/>
      <c r="H156" s="30">
        <v>151</v>
      </c>
      <c r="I156" s="31" t="str">
        <f t="shared" si="16"/>
        <v/>
      </c>
      <c r="J156" s="30">
        <f t="shared" si="21"/>
        <v>-6</v>
      </c>
      <c r="K156" s="30">
        <f t="shared" si="17"/>
        <v>-60</v>
      </c>
      <c r="L156" s="30"/>
      <c r="M156" s="32">
        <f t="shared" si="18"/>
        <v>0</v>
      </c>
      <c r="N156" s="32">
        <f t="shared" si="19"/>
        <v>0</v>
      </c>
    </row>
    <row r="157" spans="1:14" x14ac:dyDescent="0.25">
      <c r="A157" s="51">
        <f t="shared" si="20"/>
        <v>0</v>
      </c>
      <c r="G157" s="8"/>
      <c r="H157" s="30">
        <v>152</v>
      </c>
      <c r="I157" s="31" t="str">
        <f t="shared" si="16"/>
        <v/>
      </c>
      <c r="J157" s="30">
        <f t="shared" si="21"/>
        <v>-6</v>
      </c>
      <c r="K157" s="30">
        <f t="shared" si="17"/>
        <v>-60</v>
      </c>
      <c r="L157" s="30"/>
      <c r="M157" s="32">
        <f t="shared" si="18"/>
        <v>0</v>
      </c>
      <c r="N157" s="32">
        <f t="shared" si="19"/>
        <v>0</v>
      </c>
    </row>
    <row r="158" spans="1:14" x14ac:dyDescent="0.25">
      <c r="A158" s="51">
        <f t="shared" si="20"/>
        <v>0</v>
      </c>
      <c r="G158" s="8"/>
      <c r="H158" s="30">
        <v>153</v>
      </c>
      <c r="I158" s="31" t="str">
        <f t="shared" si="16"/>
        <v/>
      </c>
      <c r="J158" s="30">
        <f t="shared" si="21"/>
        <v>-6</v>
      </c>
      <c r="K158" s="30">
        <f t="shared" si="17"/>
        <v>-60</v>
      </c>
      <c r="L158" s="30"/>
      <c r="M158" s="32">
        <f t="shared" si="18"/>
        <v>0</v>
      </c>
      <c r="N158" s="32">
        <f t="shared" si="19"/>
        <v>0</v>
      </c>
    </row>
    <row r="159" spans="1:14" x14ac:dyDescent="0.25">
      <c r="A159" s="51">
        <f t="shared" si="20"/>
        <v>0</v>
      </c>
      <c r="G159" s="8"/>
      <c r="H159" s="30">
        <v>154</v>
      </c>
      <c r="I159" s="31" t="str">
        <f t="shared" si="16"/>
        <v/>
      </c>
      <c r="J159" s="30">
        <f t="shared" si="21"/>
        <v>-6</v>
      </c>
      <c r="K159" s="30">
        <f t="shared" si="17"/>
        <v>-60</v>
      </c>
      <c r="L159" s="30"/>
      <c r="M159" s="32">
        <f t="shared" si="18"/>
        <v>0</v>
      </c>
      <c r="N159" s="32">
        <f t="shared" si="19"/>
        <v>0</v>
      </c>
    </row>
    <row r="160" spans="1:14" x14ac:dyDescent="0.25">
      <c r="A160" s="51">
        <f t="shared" si="20"/>
        <v>0</v>
      </c>
      <c r="G160" s="8"/>
      <c r="H160" s="30">
        <v>155</v>
      </c>
      <c r="I160" s="31" t="str">
        <f t="shared" si="16"/>
        <v/>
      </c>
      <c r="J160" s="30">
        <f t="shared" si="21"/>
        <v>-6</v>
      </c>
      <c r="K160" s="30">
        <f t="shared" si="17"/>
        <v>-60</v>
      </c>
      <c r="L160" s="30"/>
      <c r="M160" s="32">
        <f t="shared" si="18"/>
        <v>0</v>
      </c>
      <c r="N160" s="32">
        <f t="shared" si="19"/>
        <v>0</v>
      </c>
    </row>
    <row r="161" spans="1:14" x14ac:dyDescent="0.25">
      <c r="A161" s="51">
        <f t="shared" si="20"/>
        <v>0</v>
      </c>
      <c r="G161" s="8"/>
      <c r="H161" s="30">
        <v>156</v>
      </c>
      <c r="I161" s="31" t="str">
        <f t="shared" si="16"/>
        <v/>
      </c>
      <c r="J161" s="30">
        <f t="shared" si="21"/>
        <v>-6</v>
      </c>
      <c r="K161" s="30">
        <f t="shared" si="17"/>
        <v>-60</v>
      </c>
      <c r="L161" s="30"/>
      <c r="M161" s="32">
        <f t="shared" si="18"/>
        <v>0</v>
      </c>
      <c r="N161" s="32">
        <f t="shared" si="19"/>
        <v>0</v>
      </c>
    </row>
    <row r="162" spans="1:14" x14ac:dyDescent="0.25">
      <c r="A162" s="51">
        <f t="shared" si="20"/>
        <v>0</v>
      </c>
      <c r="G162" s="8"/>
      <c r="H162" s="30">
        <v>157</v>
      </c>
      <c r="I162" s="31" t="str">
        <f t="shared" si="16"/>
        <v/>
      </c>
      <c r="J162" s="30">
        <f t="shared" si="21"/>
        <v>-6</v>
      </c>
      <c r="K162" s="30">
        <f t="shared" si="17"/>
        <v>-60</v>
      </c>
      <c r="L162" s="30"/>
      <c r="M162" s="32">
        <f t="shared" si="18"/>
        <v>0</v>
      </c>
      <c r="N162" s="32">
        <f t="shared" si="19"/>
        <v>0</v>
      </c>
    </row>
    <row r="163" spans="1:14" x14ac:dyDescent="0.25">
      <c r="A163" s="51">
        <f t="shared" si="20"/>
        <v>0</v>
      </c>
      <c r="G163" s="8"/>
      <c r="H163" s="30">
        <v>158</v>
      </c>
      <c r="I163" s="31" t="str">
        <f t="shared" si="16"/>
        <v/>
      </c>
      <c r="J163" s="30">
        <f t="shared" si="21"/>
        <v>-6</v>
      </c>
      <c r="K163" s="30">
        <f t="shared" si="17"/>
        <v>-60</v>
      </c>
      <c r="L163" s="30"/>
      <c r="M163" s="32">
        <f t="shared" si="18"/>
        <v>0</v>
      </c>
      <c r="N163" s="32">
        <f t="shared" si="19"/>
        <v>0</v>
      </c>
    </row>
    <row r="164" spans="1:14" x14ac:dyDescent="0.25">
      <c r="A164" s="51">
        <f t="shared" si="20"/>
        <v>0</v>
      </c>
      <c r="G164" s="8"/>
      <c r="H164" s="30">
        <v>159</v>
      </c>
      <c r="I164" s="31" t="str">
        <f t="shared" si="16"/>
        <v/>
      </c>
      <c r="J164" s="30">
        <f t="shared" si="21"/>
        <v>-6</v>
      </c>
      <c r="K164" s="30">
        <f t="shared" si="17"/>
        <v>-60</v>
      </c>
      <c r="L164" s="30"/>
      <c r="M164" s="32">
        <f t="shared" si="18"/>
        <v>0</v>
      </c>
      <c r="N164" s="32">
        <f t="shared" si="19"/>
        <v>0</v>
      </c>
    </row>
    <row r="165" spans="1:14" x14ac:dyDescent="0.25">
      <c r="A165" s="51">
        <f t="shared" si="20"/>
        <v>0</v>
      </c>
      <c r="G165" s="8"/>
      <c r="H165" s="30">
        <v>160</v>
      </c>
      <c r="I165" s="31" t="str">
        <f t="shared" si="16"/>
        <v/>
      </c>
      <c r="J165" s="30">
        <f t="shared" si="21"/>
        <v>-6</v>
      </c>
      <c r="K165" s="30">
        <f t="shared" si="17"/>
        <v>-60</v>
      </c>
      <c r="L165" s="30"/>
      <c r="M165" s="32">
        <f t="shared" si="18"/>
        <v>0</v>
      </c>
      <c r="N165" s="32">
        <f t="shared" si="19"/>
        <v>0</v>
      </c>
    </row>
    <row r="166" spans="1:14" x14ac:dyDescent="0.25">
      <c r="A166" s="51">
        <f t="shared" si="20"/>
        <v>0</v>
      </c>
      <c r="G166" s="8"/>
      <c r="H166" s="30">
        <v>161</v>
      </c>
      <c r="I166" s="31" t="str">
        <f t="shared" si="16"/>
        <v/>
      </c>
      <c r="J166" s="30">
        <f t="shared" si="21"/>
        <v>-6</v>
      </c>
      <c r="K166" s="30">
        <f t="shared" si="17"/>
        <v>-60</v>
      </c>
      <c r="L166" s="30"/>
      <c r="M166" s="32">
        <f t="shared" si="18"/>
        <v>0</v>
      </c>
      <c r="N166" s="32">
        <f t="shared" si="19"/>
        <v>0</v>
      </c>
    </row>
    <row r="167" spans="1:14" x14ac:dyDescent="0.25">
      <c r="A167" s="51">
        <f t="shared" si="20"/>
        <v>0</v>
      </c>
      <c r="G167" s="8"/>
      <c r="H167" s="30">
        <v>162</v>
      </c>
      <c r="I167" s="31" t="str">
        <f t="shared" si="16"/>
        <v/>
      </c>
      <c r="J167" s="30">
        <f t="shared" si="21"/>
        <v>-6</v>
      </c>
      <c r="K167" s="30">
        <f t="shared" si="17"/>
        <v>-60</v>
      </c>
      <c r="L167" s="30"/>
      <c r="M167" s="32">
        <f t="shared" si="18"/>
        <v>0</v>
      </c>
      <c r="N167" s="32">
        <f t="shared" si="19"/>
        <v>0</v>
      </c>
    </row>
    <row r="168" spans="1:14" x14ac:dyDescent="0.25">
      <c r="A168" s="51">
        <f t="shared" si="20"/>
        <v>0</v>
      </c>
      <c r="G168" s="8"/>
      <c r="H168" s="30">
        <v>163</v>
      </c>
      <c r="I168" s="31" t="str">
        <f t="shared" si="16"/>
        <v/>
      </c>
      <c r="J168" s="30">
        <f t="shared" si="21"/>
        <v>-6</v>
      </c>
      <c r="K168" s="30">
        <f t="shared" si="17"/>
        <v>-60</v>
      </c>
      <c r="L168" s="30"/>
      <c r="M168" s="32">
        <f t="shared" si="18"/>
        <v>0</v>
      </c>
      <c r="N168" s="32">
        <f t="shared" si="19"/>
        <v>0</v>
      </c>
    </row>
    <row r="169" spans="1:14" x14ac:dyDescent="0.25">
      <c r="A169" s="51">
        <f t="shared" si="20"/>
        <v>0</v>
      </c>
      <c r="G169" s="8"/>
      <c r="H169" s="30">
        <v>164</v>
      </c>
      <c r="I169" s="31" t="str">
        <f t="shared" si="16"/>
        <v/>
      </c>
      <c r="J169" s="30">
        <f t="shared" si="21"/>
        <v>-6</v>
      </c>
      <c r="K169" s="30">
        <f t="shared" si="17"/>
        <v>-60</v>
      </c>
      <c r="L169" s="30"/>
      <c r="M169" s="32">
        <f t="shared" si="18"/>
        <v>0</v>
      </c>
      <c r="N169" s="32">
        <f t="shared" si="19"/>
        <v>0</v>
      </c>
    </row>
    <row r="170" spans="1:14" x14ac:dyDescent="0.25">
      <c r="A170" s="51">
        <f t="shared" si="20"/>
        <v>0</v>
      </c>
      <c r="G170" s="8"/>
      <c r="H170" s="30">
        <v>165</v>
      </c>
      <c r="I170" s="31" t="str">
        <f t="shared" si="16"/>
        <v/>
      </c>
      <c r="J170" s="30">
        <f t="shared" si="21"/>
        <v>-6</v>
      </c>
      <c r="K170" s="30">
        <f t="shared" si="17"/>
        <v>-60</v>
      </c>
      <c r="L170" s="30"/>
      <c r="M170" s="32">
        <f t="shared" si="18"/>
        <v>0</v>
      </c>
      <c r="N170" s="32">
        <f t="shared" si="19"/>
        <v>0</v>
      </c>
    </row>
    <row r="171" spans="1:14" x14ac:dyDescent="0.25">
      <c r="A171" s="51">
        <f t="shared" si="20"/>
        <v>0</v>
      </c>
      <c r="G171" s="8"/>
      <c r="H171" s="30">
        <v>166</v>
      </c>
      <c r="I171" s="31" t="str">
        <f t="shared" si="16"/>
        <v/>
      </c>
      <c r="J171" s="30">
        <f t="shared" si="21"/>
        <v>-6</v>
      </c>
      <c r="K171" s="30">
        <f t="shared" si="17"/>
        <v>-60</v>
      </c>
      <c r="L171" s="30"/>
      <c r="M171" s="32">
        <f t="shared" si="18"/>
        <v>0</v>
      </c>
      <c r="N171" s="32">
        <f t="shared" si="19"/>
        <v>0</v>
      </c>
    </row>
    <row r="172" spans="1:14" x14ac:dyDescent="0.25">
      <c r="A172" s="51">
        <f t="shared" si="20"/>
        <v>0</v>
      </c>
      <c r="G172" s="8"/>
      <c r="H172" s="30">
        <v>167</v>
      </c>
      <c r="I172" s="31" t="str">
        <f t="shared" si="16"/>
        <v/>
      </c>
      <c r="J172" s="30">
        <f t="shared" si="21"/>
        <v>-6</v>
      </c>
      <c r="K172" s="30">
        <f t="shared" si="17"/>
        <v>-60</v>
      </c>
      <c r="L172" s="30"/>
      <c r="M172" s="32">
        <f t="shared" si="18"/>
        <v>0</v>
      </c>
      <c r="N172" s="32">
        <f t="shared" si="19"/>
        <v>0</v>
      </c>
    </row>
    <row r="173" spans="1:14" x14ac:dyDescent="0.25">
      <c r="A173" s="51">
        <f t="shared" si="20"/>
        <v>0</v>
      </c>
      <c r="G173" s="8"/>
      <c r="H173" s="30">
        <v>168</v>
      </c>
      <c r="I173" s="31" t="str">
        <f t="shared" si="16"/>
        <v/>
      </c>
      <c r="J173" s="30">
        <f t="shared" si="21"/>
        <v>-6</v>
      </c>
      <c r="K173" s="30">
        <f t="shared" si="17"/>
        <v>-60</v>
      </c>
      <c r="L173" s="30"/>
      <c r="M173" s="32">
        <f t="shared" si="18"/>
        <v>0</v>
      </c>
      <c r="N173" s="32">
        <f t="shared" si="19"/>
        <v>0</v>
      </c>
    </row>
    <row r="174" spans="1:14" x14ac:dyDescent="0.25">
      <c r="A174" s="51">
        <f t="shared" si="20"/>
        <v>0</v>
      </c>
      <c r="G174" s="8"/>
      <c r="H174" s="30">
        <v>169</v>
      </c>
      <c r="I174" s="31" t="str">
        <f t="shared" si="16"/>
        <v/>
      </c>
      <c r="J174" s="30">
        <f t="shared" si="21"/>
        <v>-6</v>
      </c>
      <c r="K174" s="30">
        <f t="shared" si="17"/>
        <v>-60</v>
      </c>
      <c r="L174" s="30"/>
      <c r="M174" s="32">
        <f t="shared" si="18"/>
        <v>0</v>
      </c>
      <c r="N174" s="32">
        <f t="shared" si="19"/>
        <v>0</v>
      </c>
    </row>
    <row r="175" spans="1:14" x14ac:dyDescent="0.25">
      <c r="A175" s="51">
        <f t="shared" si="20"/>
        <v>0</v>
      </c>
      <c r="G175" s="8"/>
      <c r="H175" s="30">
        <v>170</v>
      </c>
      <c r="I175" s="31" t="str">
        <f t="shared" si="16"/>
        <v/>
      </c>
      <c r="J175" s="30">
        <f t="shared" si="21"/>
        <v>-6</v>
      </c>
      <c r="K175" s="30">
        <f t="shared" si="17"/>
        <v>-60</v>
      </c>
      <c r="L175" s="30"/>
      <c r="M175" s="32">
        <f t="shared" si="18"/>
        <v>0</v>
      </c>
      <c r="N175" s="32">
        <f t="shared" si="19"/>
        <v>0</v>
      </c>
    </row>
    <row r="176" spans="1:14" x14ac:dyDescent="0.25">
      <c r="A176" s="51">
        <f t="shared" si="20"/>
        <v>0</v>
      </c>
      <c r="G176" s="8"/>
      <c r="H176" s="30">
        <v>171</v>
      </c>
      <c r="I176" s="31" t="str">
        <f t="shared" si="16"/>
        <v/>
      </c>
      <c r="J176" s="30">
        <f t="shared" si="21"/>
        <v>-6</v>
      </c>
      <c r="K176" s="30">
        <f t="shared" si="17"/>
        <v>-60</v>
      </c>
      <c r="L176" s="30"/>
      <c r="M176" s="32">
        <f t="shared" si="18"/>
        <v>0</v>
      </c>
      <c r="N176" s="32">
        <f t="shared" si="19"/>
        <v>0</v>
      </c>
    </row>
    <row r="177" spans="1:14" x14ac:dyDescent="0.25">
      <c r="A177" s="51">
        <f t="shared" si="20"/>
        <v>0</v>
      </c>
      <c r="G177" s="8"/>
      <c r="H177" s="30">
        <v>172</v>
      </c>
      <c r="I177" s="31" t="str">
        <f t="shared" si="16"/>
        <v/>
      </c>
      <c r="J177" s="30">
        <f t="shared" si="21"/>
        <v>-6</v>
      </c>
      <c r="K177" s="30">
        <f t="shared" si="17"/>
        <v>-60</v>
      </c>
      <c r="L177" s="30"/>
      <c r="M177" s="32">
        <f t="shared" si="18"/>
        <v>0</v>
      </c>
      <c r="N177" s="32">
        <f t="shared" si="19"/>
        <v>0</v>
      </c>
    </row>
    <row r="178" spans="1:14" x14ac:dyDescent="0.25">
      <c r="A178" s="51">
        <f t="shared" si="20"/>
        <v>0</v>
      </c>
      <c r="G178" s="8"/>
      <c r="H178" s="30">
        <v>173</v>
      </c>
      <c r="I178" s="31" t="str">
        <f t="shared" si="16"/>
        <v/>
      </c>
      <c r="J178" s="30">
        <f t="shared" si="21"/>
        <v>-6</v>
      </c>
      <c r="K178" s="30">
        <f t="shared" si="17"/>
        <v>-60</v>
      </c>
      <c r="L178" s="30"/>
      <c r="M178" s="32">
        <f t="shared" si="18"/>
        <v>0</v>
      </c>
      <c r="N178" s="32">
        <f t="shared" si="19"/>
        <v>0</v>
      </c>
    </row>
    <row r="179" spans="1:14" x14ac:dyDescent="0.25">
      <c r="A179" s="51">
        <f t="shared" si="20"/>
        <v>0</v>
      </c>
      <c r="G179" s="8"/>
      <c r="H179" s="30">
        <v>174</v>
      </c>
      <c r="I179" s="31" t="str">
        <f t="shared" si="16"/>
        <v/>
      </c>
      <c r="J179" s="30">
        <f t="shared" si="21"/>
        <v>-6</v>
      </c>
      <c r="K179" s="30">
        <f t="shared" si="17"/>
        <v>-60</v>
      </c>
      <c r="L179" s="30"/>
      <c r="M179" s="32">
        <f t="shared" si="18"/>
        <v>0</v>
      </c>
      <c r="N179" s="32">
        <f t="shared" si="19"/>
        <v>0</v>
      </c>
    </row>
    <row r="180" spans="1:14" x14ac:dyDescent="0.25">
      <c r="A180" s="51">
        <f t="shared" si="20"/>
        <v>0</v>
      </c>
      <c r="G180" s="8"/>
      <c r="H180" s="30">
        <v>175</v>
      </c>
      <c r="I180" s="31" t="str">
        <f t="shared" si="16"/>
        <v/>
      </c>
      <c r="J180" s="30">
        <f t="shared" si="21"/>
        <v>-6</v>
      </c>
      <c r="K180" s="30">
        <f t="shared" si="17"/>
        <v>-60</v>
      </c>
      <c r="L180" s="30"/>
      <c r="M180" s="32">
        <f t="shared" si="18"/>
        <v>0</v>
      </c>
      <c r="N180" s="32">
        <f t="shared" si="19"/>
        <v>0</v>
      </c>
    </row>
    <row r="181" spans="1:14" x14ac:dyDescent="0.25">
      <c r="A181" s="51">
        <f t="shared" si="20"/>
        <v>0</v>
      </c>
      <c r="G181" s="8"/>
      <c r="H181" s="30">
        <v>176</v>
      </c>
      <c r="I181" s="31" t="str">
        <f t="shared" si="16"/>
        <v/>
      </c>
      <c r="J181" s="30">
        <f t="shared" si="21"/>
        <v>-6</v>
      </c>
      <c r="K181" s="30">
        <f t="shared" si="17"/>
        <v>-60</v>
      </c>
      <c r="L181" s="30"/>
      <c r="M181" s="32">
        <f t="shared" si="18"/>
        <v>0</v>
      </c>
      <c r="N181" s="32">
        <f t="shared" si="19"/>
        <v>0</v>
      </c>
    </row>
    <row r="182" spans="1:14" x14ac:dyDescent="0.25">
      <c r="A182" s="51">
        <f t="shared" si="20"/>
        <v>0</v>
      </c>
      <c r="G182" s="8"/>
      <c r="H182" s="30">
        <v>177</v>
      </c>
      <c r="I182" s="31" t="str">
        <f t="shared" si="16"/>
        <v/>
      </c>
      <c r="J182" s="30">
        <f t="shared" si="21"/>
        <v>-6</v>
      </c>
      <c r="K182" s="30">
        <f t="shared" si="17"/>
        <v>-60</v>
      </c>
      <c r="L182" s="30"/>
      <c r="M182" s="32">
        <f t="shared" si="18"/>
        <v>0</v>
      </c>
      <c r="N182" s="32">
        <f t="shared" si="19"/>
        <v>0</v>
      </c>
    </row>
    <row r="183" spans="1:14" x14ac:dyDescent="0.25">
      <c r="A183" s="51">
        <f t="shared" si="20"/>
        <v>0</v>
      </c>
      <c r="G183" s="8"/>
      <c r="H183" s="30">
        <v>178</v>
      </c>
      <c r="I183" s="31" t="str">
        <f t="shared" si="16"/>
        <v/>
      </c>
      <c r="J183" s="30">
        <f t="shared" si="21"/>
        <v>-6</v>
      </c>
      <c r="K183" s="30">
        <f t="shared" si="17"/>
        <v>-60</v>
      </c>
      <c r="L183" s="30"/>
      <c r="M183" s="32">
        <f t="shared" si="18"/>
        <v>0</v>
      </c>
      <c r="N183" s="32">
        <f t="shared" si="19"/>
        <v>0</v>
      </c>
    </row>
    <row r="184" spans="1:14" x14ac:dyDescent="0.25">
      <c r="A184" s="51">
        <f t="shared" si="20"/>
        <v>0</v>
      </c>
      <c r="G184" s="8"/>
      <c r="H184" s="30">
        <v>179</v>
      </c>
      <c r="I184" s="31" t="str">
        <f t="shared" si="16"/>
        <v/>
      </c>
      <c r="J184" s="30">
        <f t="shared" si="21"/>
        <v>-6</v>
      </c>
      <c r="K184" s="30">
        <f t="shared" si="17"/>
        <v>-60</v>
      </c>
      <c r="L184" s="30"/>
      <c r="M184" s="32">
        <f t="shared" si="18"/>
        <v>0</v>
      </c>
      <c r="N184" s="32">
        <f t="shared" si="19"/>
        <v>0</v>
      </c>
    </row>
    <row r="185" spans="1:14" x14ac:dyDescent="0.25">
      <c r="A185" s="51">
        <f t="shared" si="20"/>
        <v>0</v>
      </c>
      <c r="G185" s="8"/>
      <c r="H185" s="30">
        <v>180</v>
      </c>
      <c r="I185" s="31" t="str">
        <f t="shared" si="16"/>
        <v/>
      </c>
      <c r="J185" s="30">
        <f t="shared" si="21"/>
        <v>-6</v>
      </c>
      <c r="K185" s="30">
        <f t="shared" si="17"/>
        <v>-60</v>
      </c>
      <c r="L185" s="30"/>
      <c r="M185" s="32">
        <f t="shared" si="18"/>
        <v>0</v>
      </c>
      <c r="N185" s="32">
        <f t="shared" si="19"/>
        <v>0</v>
      </c>
    </row>
    <row r="186" spans="1:14" x14ac:dyDescent="0.25">
      <c r="A186" s="51">
        <f t="shared" si="20"/>
        <v>0</v>
      </c>
      <c r="G186" s="8"/>
      <c r="H186" s="30">
        <v>181</v>
      </c>
      <c r="I186" s="31" t="str">
        <f t="shared" si="16"/>
        <v/>
      </c>
      <c r="J186" s="30">
        <f t="shared" si="21"/>
        <v>-6</v>
      </c>
      <c r="K186" s="30">
        <f t="shared" si="17"/>
        <v>-60</v>
      </c>
      <c r="L186" s="30"/>
      <c r="M186" s="32">
        <f t="shared" si="18"/>
        <v>0</v>
      </c>
      <c r="N186" s="32">
        <f t="shared" si="19"/>
        <v>0</v>
      </c>
    </row>
    <row r="187" spans="1:14" x14ac:dyDescent="0.25">
      <c r="A187" s="51">
        <f t="shared" si="20"/>
        <v>0</v>
      </c>
      <c r="G187" s="8"/>
      <c r="H187" s="30">
        <v>182</v>
      </c>
      <c r="I187" s="31" t="str">
        <f t="shared" si="16"/>
        <v/>
      </c>
      <c r="J187" s="30">
        <f t="shared" si="21"/>
        <v>-6</v>
      </c>
      <c r="K187" s="30">
        <f t="shared" si="17"/>
        <v>-60</v>
      </c>
      <c r="L187" s="30"/>
      <c r="M187" s="32">
        <f t="shared" si="18"/>
        <v>0</v>
      </c>
      <c r="N187" s="32">
        <f t="shared" si="19"/>
        <v>0</v>
      </c>
    </row>
    <row r="188" spans="1:14" x14ac:dyDescent="0.25">
      <c r="A188" s="51">
        <f t="shared" si="20"/>
        <v>0</v>
      </c>
      <c r="G188" s="8"/>
      <c r="H188" s="30">
        <v>183</v>
      </c>
      <c r="I188" s="31" t="str">
        <f t="shared" si="16"/>
        <v/>
      </c>
      <c r="J188" s="30">
        <f t="shared" si="21"/>
        <v>-6</v>
      </c>
      <c r="K188" s="30">
        <f t="shared" si="17"/>
        <v>-60</v>
      </c>
      <c r="L188" s="30"/>
      <c r="M188" s="32">
        <f t="shared" si="18"/>
        <v>0</v>
      </c>
      <c r="N188" s="32">
        <f t="shared" si="19"/>
        <v>0</v>
      </c>
    </row>
    <row r="189" spans="1:14" x14ac:dyDescent="0.25">
      <c r="A189" s="51">
        <f t="shared" si="20"/>
        <v>0</v>
      </c>
      <c r="G189" s="8"/>
      <c r="H189" s="30">
        <v>184</v>
      </c>
      <c r="I189" s="31" t="str">
        <f t="shared" si="16"/>
        <v/>
      </c>
      <c r="J189" s="30">
        <f t="shared" si="21"/>
        <v>-6</v>
      </c>
      <c r="K189" s="30">
        <f t="shared" si="17"/>
        <v>-60</v>
      </c>
      <c r="L189" s="30"/>
      <c r="M189" s="32">
        <f t="shared" si="18"/>
        <v>0</v>
      </c>
      <c r="N189" s="32">
        <f t="shared" si="19"/>
        <v>0</v>
      </c>
    </row>
    <row r="190" spans="1:14" x14ac:dyDescent="0.25">
      <c r="A190" s="51">
        <f t="shared" si="20"/>
        <v>0</v>
      </c>
      <c r="G190" s="8"/>
      <c r="H190" s="30">
        <v>185</v>
      </c>
      <c r="I190" s="31" t="str">
        <f t="shared" si="16"/>
        <v/>
      </c>
      <c r="J190" s="30">
        <f t="shared" si="21"/>
        <v>-6</v>
      </c>
      <c r="K190" s="30">
        <f t="shared" si="17"/>
        <v>-60</v>
      </c>
      <c r="L190" s="30"/>
      <c r="M190" s="32">
        <f t="shared" si="18"/>
        <v>0</v>
      </c>
      <c r="N190" s="32">
        <f t="shared" si="19"/>
        <v>0</v>
      </c>
    </row>
    <row r="191" spans="1:14" x14ac:dyDescent="0.25">
      <c r="A191" s="51">
        <f t="shared" si="20"/>
        <v>0</v>
      </c>
      <c r="G191" s="8"/>
      <c r="H191" s="30">
        <v>186</v>
      </c>
      <c r="I191" s="31" t="str">
        <f t="shared" si="16"/>
        <v/>
      </c>
      <c r="J191" s="30">
        <f t="shared" si="21"/>
        <v>-6</v>
      </c>
      <c r="K191" s="30">
        <f t="shared" si="17"/>
        <v>-60</v>
      </c>
      <c r="L191" s="30"/>
      <c r="M191" s="32">
        <f t="shared" si="18"/>
        <v>0</v>
      </c>
      <c r="N191" s="32">
        <f t="shared" si="19"/>
        <v>0</v>
      </c>
    </row>
    <row r="192" spans="1:14" x14ac:dyDescent="0.25">
      <c r="A192" s="51">
        <f t="shared" si="20"/>
        <v>0</v>
      </c>
      <c r="G192" s="8"/>
      <c r="H192" s="30">
        <v>187</v>
      </c>
      <c r="I192" s="31" t="str">
        <f t="shared" si="16"/>
        <v/>
      </c>
      <c r="J192" s="30">
        <f t="shared" si="21"/>
        <v>-6</v>
      </c>
      <c r="K192" s="30">
        <f t="shared" si="17"/>
        <v>-60</v>
      </c>
      <c r="L192" s="30"/>
      <c r="M192" s="32">
        <f t="shared" si="18"/>
        <v>0</v>
      </c>
      <c r="N192" s="32">
        <f t="shared" si="19"/>
        <v>0</v>
      </c>
    </row>
    <row r="193" spans="1:14" x14ac:dyDescent="0.25">
      <c r="A193" s="51">
        <f t="shared" si="20"/>
        <v>0</v>
      </c>
      <c r="G193" s="8"/>
      <c r="H193" s="30">
        <v>188</v>
      </c>
      <c r="I193" s="31" t="str">
        <f t="shared" si="16"/>
        <v/>
      </c>
      <c r="J193" s="30">
        <f t="shared" si="21"/>
        <v>-6</v>
      </c>
      <c r="K193" s="30">
        <f t="shared" si="17"/>
        <v>-60</v>
      </c>
      <c r="L193" s="30"/>
      <c r="M193" s="32">
        <f t="shared" si="18"/>
        <v>0</v>
      </c>
      <c r="N193" s="32">
        <f t="shared" si="19"/>
        <v>0</v>
      </c>
    </row>
    <row r="194" spans="1:14" x14ac:dyDescent="0.25">
      <c r="A194" s="51">
        <f t="shared" si="20"/>
        <v>0</v>
      </c>
      <c r="G194" s="8"/>
      <c r="H194" s="30">
        <v>189</v>
      </c>
      <c r="I194" s="31" t="str">
        <f t="shared" si="16"/>
        <v/>
      </c>
      <c r="J194" s="30">
        <f t="shared" si="21"/>
        <v>-6</v>
      </c>
      <c r="K194" s="30">
        <f t="shared" si="17"/>
        <v>-60</v>
      </c>
      <c r="L194" s="30"/>
      <c r="M194" s="32">
        <f t="shared" si="18"/>
        <v>0</v>
      </c>
      <c r="N194" s="32">
        <f t="shared" si="19"/>
        <v>0</v>
      </c>
    </row>
    <row r="195" spans="1:14" x14ac:dyDescent="0.25">
      <c r="A195" s="51">
        <f t="shared" si="20"/>
        <v>0</v>
      </c>
      <c r="G195" s="8"/>
      <c r="H195" s="30">
        <v>190</v>
      </c>
      <c r="I195" s="31" t="str">
        <f t="shared" si="16"/>
        <v/>
      </c>
      <c r="J195" s="30">
        <f t="shared" si="21"/>
        <v>-6</v>
      </c>
      <c r="K195" s="30">
        <f t="shared" si="17"/>
        <v>-60</v>
      </c>
      <c r="L195" s="30"/>
      <c r="M195" s="32">
        <f t="shared" si="18"/>
        <v>0</v>
      </c>
      <c r="N195" s="32">
        <f t="shared" si="19"/>
        <v>0</v>
      </c>
    </row>
    <row r="196" spans="1:14" x14ac:dyDescent="0.25">
      <c r="A196" s="51">
        <f t="shared" si="20"/>
        <v>0</v>
      </c>
      <c r="G196" s="8"/>
      <c r="H196" s="30">
        <v>191</v>
      </c>
      <c r="I196" s="31" t="str">
        <f t="shared" si="16"/>
        <v/>
      </c>
      <c r="J196" s="30">
        <f t="shared" si="21"/>
        <v>-6</v>
      </c>
      <c r="K196" s="30">
        <f t="shared" si="17"/>
        <v>-60</v>
      </c>
      <c r="L196" s="30"/>
      <c r="M196" s="32">
        <f t="shared" si="18"/>
        <v>0</v>
      </c>
      <c r="N196" s="32">
        <f t="shared" si="19"/>
        <v>0</v>
      </c>
    </row>
    <row r="197" spans="1:14" x14ac:dyDescent="0.25">
      <c r="A197" s="51">
        <f t="shared" si="20"/>
        <v>0</v>
      </c>
      <c r="G197" s="8"/>
      <c r="H197" s="30">
        <v>192</v>
      </c>
      <c r="I197" s="31" t="str">
        <f t="shared" si="16"/>
        <v/>
      </c>
      <c r="J197" s="30">
        <f t="shared" si="21"/>
        <v>-6</v>
      </c>
      <c r="K197" s="30">
        <f t="shared" si="17"/>
        <v>-60</v>
      </c>
      <c r="L197" s="30"/>
      <c r="M197" s="32">
        <f t="shared" si="18"/>
        <v>0</v>
      </c>
      <c r="N197" s="32">
        <f t="shared" si="19"/>
        <v>0</v>
      </c>
    </row>
    <row r="198" spans="1:14" x14ac:dyDescent="0.25">
      <c r="A198" s="51">
        <f t="shared" si="20"/>
        <v>0</v>
      </c>
      <c r="G198" s="8"/>
      <c r="H198" s="30">
        <v>193</v>
      </c>
      <c r="I198" s="31" t="str">
        <f t="shared" ref="I198:I261" si="22">IF(H198&lt;$H$2+1,($I$2-($I$2-1)*(LOG(H198)/LOG($H$2))),"")</f>
        <v/>
      </c>
      <c r="J198" s="30">
        <f t="shared" si="21"/>
        <v>-6</v>
      </c>
      <c r="K198" s="30">
        <f t="shared" ref="K198:K261" si="23">J198*$J$2</f>
        <v>-60</v>
      </c>
      <c r="L198" s="30"/>
      <c r="M198" s="32">
        <f t="shared" ref="M198:M261" si="24">IF(I198&lt;&gt;"",K198+I198+L198,0)</f>
        <v>0</v>
      </c>
      <c r="N198" s="32">
        <f t="shared" ref="N198:N261" si="25">IF(I198&lt;&gt;"",M198*L$2,0)</f>
        <v>0</v>
      </c>
    </row>
    <row r="199" spans="1:14" x14ac:dyDescent="0.25">
      <c r="A199" s="51">
        <f t="shared" ref="A199:A262" si="26">N199</f>
        <v>0</v>
      </c>
      <c r="G199" s="8"/>
      <c r="H199" s="30">
        <v>194</v>
      </c>
      <c r="I199" s="31" t="str">
        <f t="shared" si="22"/>
        <v/>
      </c>
      <c r="J199" s="30">
        <f t="shared" ref="J199:J262" si="27">INT(LOG($H$2,2))-ROUNDUP(LOG(H199,2),0)+IF(OR($H$2=1,$H$2=2,$H$2=4,$H$2=8,$H$2=16,$H$2=32,$H$2=64,$H$2=128,$H$2=256),0,1)</f>
        <v>-6</v>
      </c>
      <c r="K199" s="30">
        <f t="shared" si="23"/>
        <v>-60</v>
      </c>
      <c r="L199" s="30"/>
      <c r="M199" s="32">
        <f t="shared" si="24"/>
        <v>0</v>
      </c>
      <c r="N199" s="32">
        <f t="shared" si="25"/>
        <v>0</v>
      </c>
    </row>
    <row r="200" spans="1:14" x14ac:dyDescent="0.25">
      <c r="A200" s="51">
        <f t="shared" si="26"/>
        <v>0</v>
      </c>
      <c r="G200" s="8"/>
      <c r="H200" s="30">
        <v>195</v>
      </c>
      <c r="I200" s="31" t="str">
        <f t="shared" si="22"/>
        <v/>
      </c>
      <c r="J200" s="30">
        <f t="shared" si="27"/>
        <v>-6</v>
      </c>
      <c r="K200" s="30">
        <f t="shared" si="23"/>
        <v>-60</v>
      </c>
      <c r="L200" s="30"/>
      <c r="M200" s="32">
        <f t="shared" si="24"/>
        <v>0</v>
      </c>
      <c r="N200" s="32">
        <f t="shared" si="25"/>
        <v>0</v>
      </c>
    </row>
    <row r="201" spans="1:14" x14ac:dyDescent="0.25">
      <c r="A201" s="51">
        <f t="shared" si="26"/>
        <v>0</v>
      </c>
      <c r="G201" s="8"/>
      <c r="H201" s="30">
        <v>196</v>
      </c>
      <c r="I201" s="31" t="str">
        <f t="shared" si="22"/>
        <v/>
      </c>
      <c r="J201" s="30">
        <f t="shared" si="27"/>
        <v>-6</v>
      </c>
      <c r="K201" s="30">
        <f t="shared" si="23"/>
        <v>-60</v>
      </c>
      <c r="L201" s="30"/>
      <c r="M201" s="32">
        <f t="shared" si="24"/>
        <v>0</v>
      </c>
      <c r="N201" s="32">
        <f t="shared" si="25"/>
        <v>0</v>
      </c>
    </row>
    <row r="202" spans="1:14" x14ac:dyDescent="0.25">
      <c r="A202" s="51">
        <f t="shared" si="26"/>
        <v>0</v>
      </c>
      <c r="G202" s="8"/>
      <c r="H202" s="30">
        <v>197</v>
      </c>
      <c r="I202" s="31" t="str">
        <f t="shared" si="22"/>
        <v/>
      </c>
      <c r="J202" s="30">
        <f t="shared" si="27"/>
        <v>-6</v>
      </c>
      <c r="K202" s="30">
        <f t="shared" si="23"/>
        <v>-60</v>
      </c>
      <c r="L202" s="30"/>
      <c r="M202" s="32">
        <f t="shared" si="24"/>
        <v>0</v>
      </c>
      <c r="N202" s="32">
        <f t="shared" si="25"/>
        <v>0</v>
      </c>
    </row>
    <row r="203" spans="1:14" x14ac:dyDescent="0.25">
      <c r="A203" s="51">
        <f t="shared" si="26"/>
        <v>0</v>
      </c>
      <c r="G203" s="8"/>
      <c r="H203" s="30">
        <v>198</v>
      </c>
      <c r="I203" s="31" t="str">
        <f t="shared" si="22"/>
        <v/>
      </c>
      <c r="J203" s="30">
        <f t="shared" si="27"/>
        <v>-6</v>
      </c>
      <c r="K203" s="30">
        <f t="shared" si="23"/>
        <v>-60</v>
      </c>
      <c r="L203" s="30"/>
      <c r="M203" s="32">
        <f t="shared" si="24"/>
        <v>0</v>
      </c>
      <c r="N203" s="32">
        <f t="shared" si="25"/>
        <v>0</v>
      </c>
    </row>
    <row r="204" spans="1:14" x14ac:dyDescent="0.25">
      <c r="A204" s="51">
        <f t="shared" si="26"/>
        <v>0</v>
      </c>
      <c r="G204" s="8"/>
      <c r="H204" s="30">
        <v>199</v>
      </c>
      <c r="I204" s="31" t="str">
        <f t="shared" si="22"/>
        <v/>
      </c>
      <c r="J204" s="30">
        <f t="shared" si="27"/>
        <v>-6</v>
      </c>
      <c r="K204" s="30">
        <f t="shared" si="23"/>
        <v>-60</v>
      </c>
      <c r="L204" s="30"/>
      <c r="M204" s="32">
        <f t="shared" si="24"/>
        <v>0</v>
      </c>
      <c r="N204" s="32">
        <f t="shared" si="25"/>
        <v>0</v>
      </c>
    </row>
    <row r="205" spans="1:14" x14ac:dyDescent="0.25">
      <c r="A205" s="51">
        <f t="shared" si="26"/>
        <v>0</v>
      </c>
      <c r="G205" s="8"/>
      <c r="H205" s="30">
        <v>200</v>
      </c>
      <c r="I205" s="31" t="str">
        <f t="shared" si="22"/>
        <v/>
      </c>
      <c r="J205" s="30">
        <f t="shared" si="27"/>
        <v>-6</v>
      </c>
      <c r="K205" s="30">
        <f t="shared" si="23"/>
        <v>-60</v>
      </c>
      <c r="L205" s="30"/>
      <c r="M205" s="32">
        <f t="shared" si="24"/>
        <v>0</v>
      </c>
      <c r="N205" s="32">
        <f t="shared" si="25"/>
        <v>0</v>
      </c>
    </row>
    <row r="206" spans="1:14" x14ac:dyDescent="0.25">
      <c r="A206" s="51">
        <f t="shared" si="26"/>
        <v>0</v>
      </c>
      <c r="G206" s="8"/>
      <c r="H206" s="30">
        <v>201</v>
      </c>
      <c r="I206" s="31" t="str">
        <f t="shared" si="22"/>
        <v/>
      </c>
      <c r="J206" s="30">
        <f t="shared" si="27"/>
        <v>-6</v>
      </c>
      <c r="K206" s="30">
        <f t="shared" si="23"/>
        <v>-60</v>
      </c>
      <c r="L206" s="30"/>
      <c r="M206" s="32">
        <f t="shared" si="24"/>
        <v>0</v>
      </c>
      <c r="N206" s="32">
        <f t="shared" si="25"/>
        <v>0</v>
      </c>
    </row>
    <row r="207" spans="1:14" x14ac:dyDescent="0.25">
      <c r="A207" s="51">
        <f t="shared" si="26"/>
        <v>0</v>
      </c>
      <c r="G207" s="8"/>
      <c r="H207" s="30">
        <v>202</v>
      </c>
      <c r="I207" s="31" t="str">
        <f t="shared" si="22"/>
        <v/>
      </c>
      <c r="J207" s="30">
        <f t="shared" si="27"/>
        <v>-6</v>
      </c>
      <c r="K207" s="30">
        <f t="shared" si="23"/>
        <v>-60</v>
      </c>
      <c r="L207" s="30"/>
      <c r="M207" s="32">
        <f t="shared" si="24"/>
        <v>0</v>
      </c>
      <c r="N207" s="32">
        <f t="shared" si="25"/>
        <v>0</v>
      </c>
    </row>
    <row r="208" spans="1:14" x14ac:dyDescent="0.25">
      <c r="A208" s="51">
        <f t="shared" si="26"/>
        <v>0</v>
      </c>
      <c r="G208" s="8"/>
      <c r="H208" s="30">
        <v>203</v>
      </c>
      <c r="I208" s="31" t="str">
        <f t="shared" si="22"/>
        <v/>
      </c>
      <c r="J208" s="30">
        <f t="shared" si="27"/>
        <v>-6</v>
      </c>
      <c r="K208" s="30">
        <f t="shared" si="23"/>
        <v>-60</v>
      </c>
      <c r="L208" s="30"/>
      <c r="M208" s="32">
        <f t="shared" si="24"/>
        <v>0</v>
      </c>
      <c r="N208" s="32">
        <f t="shared" si="25"/>
        <v>0</v>
      </c>
    </row>
    <row r="209" spans="1:14" x14ac:dyDescent="0.25">
      <c r="A209" s="51">
        <f t="shared" si="26"/>
        <v>0</v>
      </c>
      <c r="G209" s="8"/>
      <c r="H209" s="30">
        <v>204</v>
      </c>
      <c r="I209" s="31" t="str">
        <f t="shared" si="22"/>
        <v/>
      </c>
      <c r="J209" s="30">
        <f t="shared" si="27"/>
        <v>-6</v>
      </c>
      <c r="K209" s="30">
        <f t="shared" si="23"/>
        <v>-60</v>
      </c>
      <c r="L209" s="30"/>
      <c r="M209" s="32">
        <f t="shared" si="24"/>
        <v>0</v>
      </c>
      <c r="N209" s="32">
        <f t="shared" si="25"/>
        <v>0</v>
      </c>
    </row>
    <row r="210" spans="1:14" x14ac:dyDescent="0.25">
      <c r="A210" s="51">
        <f t="shared" si="26"/>
        <v>0</v>
      </c>
      <c r="G210" s="8"/>
      <c r="H210" s="30">
        <v>205</v>
      </c>
      <c r="I210" s="31" t="str">
        <f t="shared" si="22"/>
        <v/>
      </c>
      <c r="J210" s="30">
        <f t="shared" si="27"/>
        <v>-6</v>
      </c>
      <c r="K210" s="30">
        <f t="shared" si="23"/>
        <v>-60</v>
      </c>
      <c r="L210" s="30"/>
      <c r="M210" s="32">
        <f t="shared" si="24"/>
        <v>0</v>
      </c>
      <c r="N210" s="32">
        <f t="shared" si="25"/>
        <v>0</v>
      </c>
    </row>
    <row r="211" spans="1:14" x14ac:dyDescent="0.25">
      <c r="A211" s="51">
        <f t="shared" si="26"/>
        <v>0</v>
      </c>
      <c r="G211" s="8"/>
      <c r="H211" s="30">
        <v>206</v>
      </c>
      <c r="I211" s="31" t="str">
        <f t="shared" si="22"/>
        <v/>
      </c>
      <c r="J211" s="30">
        <f t="shared" si="27"/>
        <v>-6</v>
      </c>
      <c r="K211" s="30">
        <f t="shared" si="23"/>
        <v>-60</v>
      </c>
      <c r="L211" s="30"/>
      <c r="M211" s="32">
        <f t="shared" si="24"/>
        <v>0</v>
      </c>
      <c r="N211" s="32">
        <f t="shared" si="25"/>
        <v>0</v>
      </c>
    </row>
    <row r="212" spans="1:14" x14ac:dyDescent="0.25">
      <c r="A212" s="51">
        <f t="shared" si="26"/>
        <v>0</v>
      </c>
      <c r="G212" s="8"/>
      <c r="H212" s="30">
        <v>207</v>
      </c>
      <c r="I212" s="31" t="str">
        <f t="shared" si="22"/>
        <v/>
      </c>
      <c r="J212" s="30">
        <f t="shared" si="27"/>
        <v>-6</v>
      </c>
      <c r="K212" s="30">
        <f t="shared" si="23"/>
        <v>-60</v>
      </c>
      <c r="L212" s="30"/>
      <c r="M212" s="32">
        <f t="shared" si="24"/>
        <v>0</v>
      </c>
      <c r="N212" s="32">
        <f t="shared" si="25"/>
        <v>0</v>
      </c>
    </row>
    <row r="213" spans="1:14" x14ac:dyDescent="0.25">
      <c r="A213" s="51">
        <f t="shared" si="26"/>
        <v>0</v>
      </c>
      <c r="G213" s="8"/>
      <c r="H213" s="30">
        <v>208</v>
      </c>
      <c r="I213" s="31" t="str">
        <f t="shared" si="22"/>
        <v/>
      </c>
      <c r="J213" s="30">
        <f t="shared" si="27"/>
        <v>-6</v>
      </c>
      <c r="K213" s="30">
        <f t="shared" si="23"/>
        <v>-60</v>
      </c>
      <c r="L213" s="30"/>
      <c r="M213" s="32">
        <f t="shared" si="24"/>
        <v>0</v>
      </c>
      <c r="N213" s="32">
        <f t="shared" si="25"/>
        <v>0</v>
      </c>
    </row>
    <row r="214" spans="1:14" x14ac:dyDescent="0.25">
      <c r="A214" s="51">
        <f t="shared" si="26"/>
        <v>0</v>
      </c>
      <c r="G214" s="8"/>
      <c r="H214" s="30">
        <v>209</v>
      </c>
      <c r="I214" s="31" t="str">
        <f t="shared" si="22"/>
        <v/>
      </c>
      <c r="J214" s="30">
        <f t="shared" si="27"/>
        <v>-6</v>
      </c>
      <c r="K214" s="30">
        <f t="shared" si="23"/>
        <v>-60</v>
      </c>
      <c r="L214" s="30"/>
      <c r="M214" s="32">
        <f t="shared" si="24"/>
        <v>0</v>
      </c>
      <c r="N214" s="32">
        <f t="shared" si="25"/>
        <v>0</v>
      </c>
    </row>
    <row r="215" spans="1:14" x14ac:dyDescent="0.25">
      <c r="A215" s="51">
        <f t="shared" si="26"/>
        <v>0</v>
      </c>
      <c r="G215" s="8"/>
      <c r="H215" s="30">
        <v>210</v>
      </c>
      <c r="I215" s="31" t="str">
        <f t="shared" si="22"/>
        <v/>
      </c>
      <c r="J215" s="30">
        <f t="shared" si="27"/>
        <v>-6</v>
      </c>
      <c r="K215" s="30">
        <f t="shared" si="23"/>
        <v>-60</v>
      </c>
      <c r="L215" s="30"/>
      <c r="M215" s="32">
        <f t="shared" si="24"/>
        <v>0</v>
      </c>
      <c r="N215" s="32">
        <f t="shared" si="25"/>
        <v>0</v>
      </c>
    </row>
    <row r="216" spans="1:14" x14ac:dyDescent="0.25">
      <c r="A216" s="51">
        <f t="shared" si="26"/>
        <v>0</v>
      </c>
      <c r="G216" s="8"/>
      <c r="H216" s="30">
        <v>211</v>
      </c>
      <c r="I216" s="31" t="str">
        <f t="shared" si="22"/>
        <v/>
      </c>
      <c r="J216" s="30">
        <f t="shared" si="27"/>
        <v>-6</v>
      </c>
      <c r="K216" s="30">
        <f t="shared" si="23"/>
        <v>-60</v>
      </c>
      <c r="L216" s="30"/>
      <c r="M216" s="32">
        <f t="shared" si="24"/>
        <v>0</v>
      </c>
      <c r="N216" s="32">
        <f t="shared" si="25"/>
        <v>0</v>
      </c>
    </row>
    <row r="217" spans="1:14" x14ac:dyDescent="0.25">
      <c r="A217" s="51">
        <f t="shared" si="26"/>
        <v>0</v>
      </c>
      <c r="G217" s="8"/>
      <c r="H217" s="30">
        <v>212</v>
      </c>
      <c r="I217" s="31" t="str">
        <f t="shared" si="22"/>
        <v/>
      </c>
      <c r="J217" s="30">
        <f t="shared" si="27"/>
        <v>-6</v>
      </c>
      <c r="K217" s="30">
        <f t="shared" si="23"/>
        <v>-60</v>
      </c>
      <c r="L217" s="30"/>
      <c r="M217" s="32">
        <f t="shared" si="24"/>
        <v>0</v>
      </c>
      <c r="N217" s="32">
        <f t="shared" si="25"/>
        <v>0</v>
      </c>
    </row>
    <row r="218" spans="1:14" x14ac:dyDescent="0.25">
      <c r="A218" s="51">
        <f t="shared" si="26"/>
        <v>0</v>
      </c>
      <c r="G218" s="8"/>
      <c r="H218" s="30">
        <v>213</v>
      </c>
      <c r="I218" s="31" t="str">
        <f t="shared" si="22"/>
        <v/>
      </c>
      <c r="J218" s="30">
        <f t="shared" si="27"/>
        <v>-6</v>
      </c>
      <c r="K218" s="30">
        <f t="shared" si="23"/>
        <v>-60</v>
      </c>
      <c r="L218" s="30"/>
      <c r="M218" s="32">
        <f t="shared" si="24"/>
        <v>0</v>
      </c>
      <c r="N218" s="32">
        <f t="shared" si="25"/>
        <v>0</v>
      </c>
    </row>
    <row r="219" spans="1:14" x14ac:dyDescent="0.25">
      <c r="A219" s="51">
        <f t="shared" si="26"/>
        <v>0</v>
      </c>
      <c r="G219" s="8"/>
      <c r="H219" s="30">
        <v>214</v>
      </c>
      <c r="I219" s="31" t="str">
        <f t="shared" si="22"/>
        <v/>
      </c>
      <c r="J219" s="30">
        <f t="shared" si="27"/>
        <v>-6</v>
      </c>
      <c r="K219" s="30">
        <f t="shared" si="23"/>
        <v>-60</v>
      </c>
      <c r="L219" s="30"/>
      <c r="M219" s="32">
        <f t="shared" si="24"/>
        <v>0</v>
      </c>
      <c r="N219" s="32">
        <f t="shared" si="25"/>
        <v>0</v>
      </c>
    </row>
    <row r="220" spans="1:14" x14ac:dyDescent="0.25">
      <c r="A220" s="51">
        <f t="shared" si="26"/>
        <v>0</v>
      </c>
      <c r="G220" s="8"/>
      <c r="H220" s="30">
        <v>215</v>
      </c>
      <c r="I220" s="31" t="str">
        <f t="shared" si="22"/>
        <v/>
      </c>
      <c r="J220" s="30">
        <f t="shared" si="27"/>
        <v>-6</v>
      </c>
      <c r="K220" s="30">
        <f t="shared" si="23"/>
        <v>-60</v>
      </c>
      <c r="L220" s="30"/>
      <c r="M220" s="32">
        <f t="shared" si="24"/>
        <v>0</v>
      </c>
      <c r="N220" s="32">
        <f t="shared" si="25"/>
        <v>0</v>
      </c>
    </row>
    <row r="221" spans="1:14" x14ac:dyDescent="0.25">
      <c r="A221" s="51">
        <f t="shared" si="26"/>
        <v>0</v>
      </c>
      <c r="G221" s="8"/>
      <c r="H221" s="30">
        <v>216</v>
      </c>
      <c r="I221" s="31" t="str">
        <f t="shared" si="22"/>
        <v/>
      </c>
      <c r="J221" s="30">
        <f t="shared" si="27"/>
        <v>-6</v>
      </c>
      <c r="K221" s="30">
        <f t="shared" si="23"/>
        <v>-60</v>
      </c>
      <c r="L221" s="30"/>
      <c r="M221" s="32">
        <f t="shared" si="24"/>
        <v>0</v>
      </c>
      <c r="N221" s="32">
        <f t="shared" si="25"/>
        <v>0</v>
      </c>
    </row>
    <row r="222" spans="1:14" x14ac:dyDescent="0.25">
      <c r="A222" s="51">
        <f t="shared" si="26"/>
        <v>0</v>
      </c>
      <c r="G222" s="8"/>
      <c r="H222" s="30">
        <v>217</v>
      </c>
      <c r="I222" s="31" t="str">
        <f t="shared" si="22"/>
        <v/>
      </c>
      <c r="J222" s="30">
        <f t="shared" si="27"/>
        <v>-6</v>
      </c>
      <c r="K222" s="30">
        <f t="shared" si="23"/>
        <v>-60</v>
      </c>
      <c r="L222" s="30"/>
      <c r="M222" s="32">
        <f t="shared" si="24"/>
        <v>0</v>
      </c>
      <c r="N222" s="32">
        <f t="shared" si="25"/>
        <v>0</v>
      </c>
    </row>
    <row r="223" spans="1:14" x14ac:dyDescent="0.25">
      <c r="A223" s="51">
        <f t="shared" si="26"/>
        <v>0</v>
      </c>
      <c r="G223" s="8"/>
      <c r="H223" s="30">
        <v>218</v>
      </c>
      <c r="I223" s="31" t="str">
        <f t="shared" si="22"/>
        <v/>
      </c>
      <c r="J223" s="30">
        <f t="shared" si="27"/>
        <v>-6</v>
      </c>
      <c r="K223" s="30">
        <f t="shared" si="23"/>
        <v>-60</v>
      </c>
      <c r="L223" s="30"/>
      <c r="M223" s="32">
        <f t="shared" si="24"/>
        <v>0</v>
      </c>
      <c r="N223" s="32">
        <f t="shared" si="25"/>
        <v>0</v>
      </c>
    </row>
    <row r="224" spans="1:14" x14ac:dyDescent="0.25">
      <c r="A224" s="51">
        <f t="shared" si="26"/>
        <v>0</v>
      </c>
      <c r="G224" s="8"/>
      <c r="H224" s="30">
        <v>219</v>
      </c>
      <c r="I224" s="31" t="str">
        <f t="shared" si="22"/>
        <v/>
      </c>
      <c r="J224" s="30">
        <f t="shared" si="27"/>
        <v>-6</v>
      </c>
      <c r="K224" s="30">
        <f t="shared" si="23"/>
        <v>-60</v>
      </c>
      <c r="L224" s="30"/>
      <c r="M224" s="32">
        <f t="shared" si="24"/>
        <v>0</v>
      </c>
      <c r="N224" s="32">
        <f t="shared" si="25"/>
        <v>0</v>
      </c>
    </row>
    <row r="225" spans="1:14" x14ac:dyDescent="0.25">
      <c r="A225" s="51">
        <f t="shared" si="26"/>
        <v>0</v>
      </c>
      <c r="G225" s="8"/>
      <c r="H225" s="30">
        <v>220</v>
      </c>
      <c r="I225" s="31" t="str">
        <f t="shared" si="22"/>
        <v/>
      </c>
      <c r="J225" s="30">
        <f t="shared" si="27"/>
        <v>-6</v>
      </c>
      <c r="K225" s="30">
        <f t="shared" si="23"/>
        <v>-60</v>
      </c>
      <c r="L225" s="30"/>
      <c r="M225" s="32">
        <f t="shared" si="24"/>
        <v>0</v>
      </c>
      <c r="N225" s="32">
        <f t="shared" si="25"/>
        <v>0</v>
      </c>
    </row>
    <row r="226" spans="1:14" x14ac:dyDescent="0.25">
      <c r="A226" s="51">
        <f t="shared" si="26"/>
        <v>0</v>
      </c>
      <c r="G226" s="8"/>
      <c r="H226" s="30">
        <v>221</v>
      </c>
      <c r="I226" s="31" t="str">
        <f t="shared" si="22"/>
        <v/>
      </c>
      <c r="J226" s="30">
        <f t="shared" si="27"/>
        <v>-6</v>
      </c>
      <c r="K226" s="30">
        <f t="shared" si="23"/>
        <v>-60</v>
      </c>
      <c r="L226" s="30"/>
      <c r="M226" s="32">
        <f t="shared" si="24"/>
        <v>0</v>
      </c>
      <c r="N226" s="32">
        <f t="shared" si="25"/>
        <v>0</v>
      </c>
    </row>
    <row r="227" spans="1:14" x14ac:dyDescent="0.25">
      <c r="A227" s="51">
        <f t="shared" si="26"/>
        <v>0</v>
      </c>
      <c r="G227" s="8"/>
      <c r="H227" s="30">
        <v>222</v>
      </c>
      <c r="I227" s="31" t="str">
        <f t="shared" si="22"/>
        <v/>
      </c>
      <c r="J227" s="30">
        <f t="shared" si="27"/>
        <v>-6</v>
      </c>
      <c r="K227" s="30">
        <f t="shared" si="23"/>
        <v>-60</v>
      </c>
      <c r="L227" s="30"/>
      <c r="M227" s="32">
        <f t="shared" si="24"/>
        <v>0</v>
      </c>
      <c r="N227" s="32">
        <f t="shared" si="25"/>
        <v>0</v>
      </c>
    </row>
    <row r="228" spans="1:14" x14ac:dyDescent="0.25">
      <c r="A228" s="51">
        <f t="shared" si="26"/>
        <v>0</v>
      </c>
      <c r="G228" s="8"/>
      <c r="H228" s="30">
        <v>223</v>
      </c>
      <c r="I228" s="31" t="str">
        <f t="shared" si="22"/>
        <v/>
      </c>
      <c r="J228" s="30">
        <f t="shared" si="27"/>
        <v>-6</v>
      </c>
      <c r="K228" s="30">
        <f t="shared" si="23"/>
        <v>-60</v>
      </c>
      <c r="L228" s="30"/>
      <c r="M228" s="32">
        <f t="shared" si="24"/>
        <v>0</v>
      </c>
      <c r="N228" s="32">
        <f t="shared" si="25"/>
        <v>0</v>
      </c>
    </row>
    <row r="229" spans="1:14" x14ac:dyDescent="0.25">
      <c r="A229" s="51">
        <f t="shared" si="26"/>
        <v>0</v>
      </c>
      <c r="G229" s="8"/>
      <c r="H229" s="30">
        <v>224</v>
      </c>
      <c r="I229" s="31" t="str">
        <f t="shared" si="22"/>
        <v/>
      </c>
      <c r="J229" s="30">
        <f t="shared" si="27"/>
        <v>-6</v>
      </c>
      <c r="K229" s="30">
        <f t="shared" si="23"/>
        <v>-60</v>
      </c>
      <c r="L229" s="30"/>
      <c r="M229" s="32">
        <f t="shared" si="24"/>
        <v>0</v>
      </c>
      <c r="N229" s="32">
        <f t="shared" si="25"/>
        <v>0</v>
      </c>
    </row>
    <row r="230" spans="1:14" x14ac:dyDescent="0.25">
      <c r="A230" s="51">
        <f t="shared" si="26"/>
        <v>0</v>
      </c>
      <c r="G230" s="8"/>
      <c r="H230" s="30">
        <v>225</v>
      </c>
      <c r="I230" s="31" t="str">
        <f t="shared" si="22"/>
        <v/>
      </c>
      <c r="J230" s="30">
        <f t="shared" si="27"/>
        <v>-6</v>
      </c>
      <c r="K230" s="30">
        <f t="shared" si="23"/>
        <v>-60</v>
      </c>
      <c r="L230" s="30"/>
      <c r="M230" s="32">
        <f t="shared" si="24"/>
        <v>0</v>
      </c>
      <c r="N230" s="32">
        <f t="shared" si="25"/>
        <v>0</v>
      </c>
    </row>
    <row r="231" spans="1:14" x14ac:dyDescent="0.25">
      <c r="A231" s="51">
        <f t="shared" si="26"/>
        <v>0</v>
      </c>
      <c r="G231" s="8"/>
      <c r="H231" s="30">
        <v>226</v>
      </c>
      <c r="I231" s="31" t="str">
        <f t="shared" si="22"/>
        <v/>
      </c>
      <c r="J231" s="30">
        <f t="shared" si="27"/>
        <v>-6</v>
      </c>
      <c r="K231" s="30">
        <f t="shared" si="23"/>
        <v>-60</v>
      </c>
      <c r="L231" s="30"/>
      <c r="M231" s="32">
        <f t="shared" si="24"/>
        <v>0</v>
      </c>
      <c r="N231" s="32">
        <f t="shared" si="25"/>
        <v>0</v>
      </c>
    </row>
    <row r="232" spans="1:14" x14ac:dyDescent="0.25">
      <c r="A232" s="51">
        <f t="shared" si="26"/>
        <v>0</v>
      </c>
      <c r="G232" s="8"/>
      <c r="H232" s="30">
        <v>227</v>
      </c>
      <c r="I232" s="31" t="str">
        <f t="shared" si="22"/>
        <v/>
      </c>
      <c r="J232" s="30">
        <f t="shared" si="27"/>
        <v>-6</v>
      </c>
      <c r="K232" s="30">
        <f t="shared" si="23"/>
        <v>-60</v>
      </c>
      <c r="L232" s="30"/>
      <c r="M232" s="32">
        <f t="shared" si="24"/>
        <v>0</v>
      </c>
      <c r="N232" s="32">
        <f t="shared" si="25"/>
        <v>0</v>
      </c>
    </row>
    <row r="233" spans="1:14" x14ac:dyDescent="0.25">
      <c r="A233" s="51">
        <f t="shared" si="26"/>
        <v>0</v>
      </c>
      <c r="G233" s="8"/>
      <c r="H233" s="30">
        <v>228</v>
      </c>
      <c r="I233" s="31" t="str">
        <f t="shared" si="22"/>
        <v/>
      </c>
      <c r="J233" s="30">
        <f t="shared" si="27"/>
        <v>-6</v>
      </c>
      <c r="K233" s="30">
        <f t="shared" si="23"/>
        <v>-60</v>
      </c>
      <c r="L233" s="30"/>
      <c r="M233" s="32">
        <f t="shared" si="24"/>
        <v>0</v>
      </c>
      <c r="N233" s="32">
        <f t="shared" si="25"/>
        <v>0</v>
      </c>
    </row>
    <row r="234" spans="1:14" x14ac:dyDescent="0.25">
      <c r="A234" s="51">
        <f t="shared" si="26"/>
        <v>0</v>
      </c>
      <c r="G234" s="8"/>
      <c r="H234" s="30">
        <v>229</v>
      </c>
      <c r="I234" s="31" t="str">
        <f t="shared" si="22"/>
        <v/>
      </c>
      <c r="J234" s="30">
        <f t="shared" si="27"/>
        <v>-6</v>
      </c>
      <c r="K234" s="30">
        <f t="shared" si="23"/>
        <v>-60</v>
      </c>
      <c r="L234" s="30"/>
      <c r="M234" s="32">
        <f t="shared" si="24"/>
        <v>0</v>
      </c>
      <c r="N234" s="32">
        <f t="shared" si="25"/>
        <v>0</v>
      </c>
    </row>
    <row r="235" spans="1:14" x14ac:dyDescent="0.25">
      <c r="A235" s="51">
        <f t="shared" si="26"/>
        <v>0</v>
      </c>
      <c r="G235" s="8"/>
      <c r="H235" s="30">
        <v>230</v>
      </c>
      <c r="I235" s="31" t="str">
        <f t="shared" si="22"/>
        <v/>
      </c>
      <c r="J235" s="30">
        <f t="shared" si="27"/>
        <v>-6</v>
      </c>
      <c r="K235" s="30">
        <f t="shared" si="23"/>
        <v>-60</v>
      </c>
      <c r="L235" s="30"/>
      <c r="M235" s="32">
        <f t="shared" si="24"/>
        <v>0</v>
      </c>
      <c r="N235" s="32">
        <f t="shared" si="25"/>
        <v>0</v>
      </c>
    </row>
    <row r="236" spans="1:14" x14ac:dyDescent="0.25">
      <c r="A236" s="51">
        <f t="shared" si="26"/>
        <v>0</v>
      </c>
      <c r="G236" s="8"/>
      <c r="H236" s="30">
        <v>231</v>
      </c>
      <c r="I236" s="31" t="str">
        <f t="shared" si="22"/>
        <v/>
      </c>
      <c r="J236" s="30">
        <f t="shared" si="27"/>
        <v>-6</v>
      </c>
      <c r="K236" s="30">
        <f t="shared" si="23"/>
        <v>-60</v>
      </c>
      <c r="L236" s="30"/>
      <c r="M236" s="32">
        <f t="shared" si="24"/>
        <v>0</v>
      </c>
      <c r="N236" s="32">
        <f t="shared" si="25"/>
        <v>0</v>
      </c>
    </row>
    <row r="237" spans="1:14" x14ac:dyDescent="0.25">
      <c r="A237" s="51">
        <f t="shared" si="26"/>
        <v>0</v>
      </c>
      <c r="G237" s="8"/>
      <c r="H237" s="30">
        <v>232</v>
      </c>
      <c r="I237" s="31" t="str">
        <f t="shared" si="22"/>
        <v/>
      </c>
      <c r="J237" s="30">
        <f t="shared" si="27"/>
        <v>-6</v>
      </c>
      <c r="K237" s="30">
        <f t="shared" si="23"/>
        <v>-60</v>
      </c>
      <c r="L237" s="30"/>
      <c r="M237" s="32">
        <f t="shared" si="24"/>
        <v>0</v>
      </c>
      <c r="N237" s="32">
        <f t="shared" si="25"/>
        <v>0</v>
      </c>
    </row>
    <row r="238" spans="1:14" x14ac:dyDescent="0.25">
      <c r="A238" s="51">
        <f t="shared" si="26"/>
        <v>0</v>
      </c>
      <c r="G238" s="8"/>
      <c r="H238" s="30">
        <v>233</v>
      </c>
      <c r="I238" s="31" t="str">
        <f t="shared" si="22"/>
        <v/>
      </c>
      <c r="J238" s="30">
        <f t="shared" si="27"/>
        <v>-6</v>
      </c>
      <c r="K238" s="30">
        <f t="shared" si="23"/>
        <v>-60</v>
      </c>
      <c r="L238" s="30"/>
      <c r="M238" s="32">
        <f t="shared" si="24"/>
        <v>0</v>
      </c>
      <c r="N238" s="32">
        <f t="shared" si="25"/>
        <v>0</v>
      </c>
    </row>
    <row r="239" spans="1:14" x14ac:dyDescent="0.25">
      <c r="A239" s="51">
        <f t="shared" si="26"/>
        <v>0</v>
      </c>
      <c r="G239" s="8"/>
      <c r="H239" s="30">
        <v>234</v>
      </c>
      <c r="I239" s="31" t="str">
        <f t="shared" si="22"/>
        <v/>
      </c>
      <c r="J239" s="30">
        <f t="shared" si="27"/>
        <v>-6</v>
      </c>
      <c r="K239" s="30">
        <f t="shared" si="23"/>
        <v>-60</v>
      </c>
      <c r="L239" s="30"/>
      <c r="M239" s="32">
        <f t="shared" si="24"/>
        <v>0</v>
      </c>
      <c r="N239" s="32">
        <f t="shared" si="25"/>
        <v>0</v>
      </c>
    </row>
    <row r="240" spans="1:14" x14ac:dyDescent="0.25">
      <c r="A240" s="51">
        <f t="shared" si="26"/>
        <v>0</v>
      </c>
      <c r="G240" s="8"/>
      <c r="H240" s="30">
        <v>235</v>
      </c>
      <c r="I240" s="31" t="str">
        <f t="shared" si="22"/>
        <v/>
      </c>
      <c r="J240" s="30">
        <f t="shared" si="27"/>
        <v>-6</v>
      </c>
      <c r="K240" s="30">
        <f t="shared" si="23"/>
        <v>-60</v>
      </c>
      <c r="L240" s="30"/>
      <c r="M240" s="32">
        <f t="shared" si="24"/>
        <v>0</v>
      </c>
      <c r="N240" s="32">
        <f t="shared" si="25"/>
        <v>0</v>
      </c>
    </row>
    <row r="241" spans="1:14" x14ac:dyDescent="0.25">
      <c r="A241" s="51">
        <f t="shared" si="26"/>
        <v>0</v>
      </c>
      <c r="G241" s="8"/>
      <c r="H241" s="30">
        <v>236</v>
      </c>
      <c r="I241" s="31" t="str">
        <f t="shared" si="22"/>
        <v/>
      </c>
      <c r="J241" s="30">
        <f t="shared" si="27"/>
        <v>-6</v>
      </c>
      <c r="K241" s="30">
        <f t="shared" si="23"/>
        <v>-60</v>
      </c>
      <c r="L241" s="30"/>
      <c r="M241" s="32">
        <f t="shared" si="24"/>
        <v>0</v>
      </c>
      <c r="N241" s="32">
        <f t="shared" si="25"/>
        <v>0</v>
      </c>
    </row>
    <row r="242" spans="1:14" x14ac:dyDescent="0.25">
      <c r="A242" s="51">
        <f t="shared" si="26"/>
        <v>0</v>
      </c>
      <c r="G242" s="8"/>
      <c r="H242" s="30">
        <v>237</v>
      </c>
      <c r="I242" s="31" t="str">
        <f t="shared" si="22"/>
        <v/>
      </c>
      <c r="J242" s="30">
        <f t="shared" si="27"/>
        <v>-6</v>
      </c>
      <c r="K242" s="30">
        <f t="shared" si="23"/>
        <v>-60</v>
      </c>
      <c r="L242" s="30"/>
      <c r="M242" s="32">
        <f t="shared" si="24"/>
        <v>0</v>
      </c>
      <c r="N242" s="32">
        <f t="shared" si="25"/>
        <v>0</v>
      </c>
    </row>
    <row r="243" spans="1:14" x14ac:dyDescent="0.25">
      <c r="A243" s="51">
        <f t="shared" si="26"/>
        <v>0</v>
      </c>
      <c r="G243" s="8"/>
      <c r="H243" s="30">
        <v>238</v>
      </c>
      <c r="I243" s="31" t="str">
        <f t="shared" si="22"/>
        <v/>
      </c>
      <c r="J243" s="30">
        <f t="shared" si="27"/>
        <v>-6</v>
      </c>
      <c r="K243" s="30">
        <f t="shared" si="23"/>
        <v>-60</v>
      </c>
      <c r="L243" s="30"/>
      <c r="M243" s="32">
        <f t="shared" si="24"/>
        <v>0</v>
      </c>
      <c r="N243" s="32">
        <f t="shared" si="25"/>
        <v>0</v>
      </c>
    </row>
    <row r="244" spans="1:14" x14ac:dyDescent="0.25">
      <c r="A244" s="51">
        <f t="shared" si="26"/>
        <v>0</v>
      </c>
      <c r="G244" s="8"/>
      <c r="H244" s="30">
        <v>239</v>
      </c>
      <c r="I244" s="31" t="str">
        <f t="shared" si="22"/>
        <v/>
      </c>
      <c r="J244" s="30">
        <f t="shared" si="27"/>
        <v>-6</v>
      </c>
      <c r="K244" s="30">
        <f t="shared" si="23"/>
        <v>-60</v>
      </c>
      <c r="L244" s="30"/>
      <c r="M244" s="32">
        <f t="shared" si="24"/>
        <v>0</v>
      </c>
      <c r="N244" s="32">
        <f t="shared" si="25"/>
        <v>0</v>
      </c>
    </row>
    <row r="245" spans="1:14" x14ac:dyDescent="0.25">
      <c r="A245" s="51">
        <f t="shared" si="26"/>
        <v>0</v>
      </c>
      <c r="G245" s="8"/>
      <c r="H245" s="30">
        <v>240</v>
      </c>
      <c r="I245" s="31" t="str">
        <f t="shared" si="22"/>
        <v/>
      </c>
      <c r="J245" s="30">
        <f t="shared" si="27"/>
        <v>-6</v>
      </c>
      <c r="K245" s="30">
        <f t="shared" si="23"/>
        <v>-60</v>
      </c>
      <c r="L245" s="30"/>
      <c r="M245" s="32">
        <f t="shared" si="24"/>
        <v>0</v>
      </c>
      <c r="N245" s="32">
        <f t="shared" si="25"/>
        <v>0</v>
      </c>
    </row>
    <row r="246" spans="1:14" x14ac:dyDescent="0.25">
      <c r="A246" s="51">
        <f t="shared" si="26"/>
        <v>0</v>
      </c>
      <c r="G246" s="8"/>
      <c r="H246" s="30">
        <v>241</v>
      </c>
      <c r="I246" s="31" t="str">
        <f t="shared" si="22"/>
        <v/>
      </c>
      <c r="J246" s="30">
        <f t="shared" si="27"/>
        <v>-6</v>
      </c>
      <c r="K246" s="30">
        <f t="shared" si="23"/>
        <v>-60</v>
      </c>
      <c r="L246" s="30"/>
      <c r="M246" s="32">
        <f t="shared" si="24"/>
        <v>0</v>
      </c>
      <c r="N246" s="32">
        <f t="shared" si="25"/>
        <v>0</v>
      </c>
    </row>
    <row r="247" spans="1:14" x14ac:dyDescent="0.25">
      <c r="A247" s="51">
        <f t="shared" si="26"/>
        <v>0</v>
      </c>
      <c r="G247" s="8"/>
      <c r="H247" s="30">
        <v>242</v>
      </c>
      <c r="I247" s="31" t="str">
        <f t="shared" si="22"/>
        <v/>
      </c>
      <c r="J247" s="30">
        <f t="shared" si="27"/>
        <v>-6</v>
      </c>
      <c r="K247" s="30">
        <f t="shared" si="23"/>
        <v>-60</v>
      </c>
      <c r="L247" s="30"/>
      <c r="M247" s="32">
        <f t="shared" si="24"/>
        <v>0</v>
      </c>
      <c r="N247" s="32">
        <f t="shared" si="25"/>
        <v>0</v>
      </c>
    </row>
    <row r="248" spans="1:14" x14ac:dyDescent="0.25">
      <c r="A248" s="51">
        <f t="shared" si="26"/>
        <v>0</v>
      </c>
      <c r="G248" s="8"/>
      <c r="H248" s="30">
        <v>243</v>
      </c>
      <c r="I248" s="31" t="str">
        <f t="shared" si="22"/>
        <v/>
      </c>
      <c r="J248" s="30">
        <f t="shared" si="27"/>
        <v>-6</v>
      </c>
      <c r="K248" s="30">
        <f t="shared" si="23"/>
        <v>-60</v>
      </c>
      <c r="L248" s="30"/>
      <c r="M248" s="32">
        <f t="shared" si="24"/>
        <v>0</v>
      </c>
      <c r="N248" s="32">
        <f t="shared" si="25"/>
        <v>0</v>
      </c>
    </row>
    <row r="249" spans="1:14" x14ac:dyDescent="0.25">
      <c r="A249" s="51">
        <f t="shared" si="26"/>
        <v>0</v>
      </c>
      <c r="G249" s="8"/>
      <c r="H249" s="30">
        <v>244</v>
      </c>
      <c r="I249" s="31" t="str">
        <f t="shared" si="22"/>
        <v/>
      </c>
      <c r="J249" s="30">
        <f t="shared" si="27"/>
        <v>-6</v>
      </c>
      <c r="K249" s="30">
        <f t="shared" si="23"/>
        <v>-60</v>
      </c>
      <c r="L249" s="30"/>
      <c r="M249" s="32">
        <f t="shared" si="24"/>
        <v>0</v>
      </c>
      <c r="N249" s="32">
        <f t="shared" si="25"/>
        <v>0</v>
      </c>
    </row>
    <row r="250" spans="1:14" x14ac:dyDescent="0.25">
      <c r="A250" s="51">
        <f t="shared" si="26"/>
        <v>0</v>
      </c>
      <c r="G250" s="8"/>
      <c r="H250" s="30">
        <v>245</v>
      </c>
      <c r="I250" s="31" t="str">
        <f t="shared" si="22"/>
        <v/>
      </c>
      <c r="J250" s="30">
        <f t="shared" si="27"/>
        <v>-6</v>
      </c>
      <c r="K250" s="30">
        <f t="shared" si="23"/>
        <v>-60</v>
      </c>
      <c r="L250" s="30"/>
      <c r="M250" s="32">
        <f t="shared" si="24"/>
        <v>0</v>
      </c>
      <c r="N250" s="32">
        <f t="shared" si="25"/>
        <v>0</v>
      </c>
    </row>
    <row r="251" spans="1:14" x14ac:dyDescent="0.25">
      <c r="A251" s="51">
        <f t="shared" si="26"/>
        <v>0</v>
      </c>
      <c r="G251" s="8"/>
      <c r="H251" s="30">
        <v>246</v>
      </c>
      <c r="I251" s="31" t="str">
        <f t="shared" si="22"/>
        <v/>
      </c>
      <c r="J251" s="30">
        <f t="shared" si="27"/>
        <v>-6</v>
      </c>
      <c r="K251" s="30">
        <f t="shared" si="23"/>
        <v>-60</v>
      </c>
      <c r="L251" s="30"/>
      <c r="M251" s="32">
        <f t="shared" si="24"/>
        <v>0</v>
      </c>
      <c r="N251" s="32">
        <f t="shared" si="25"/>
        <v>0</v>
      </c>
    </row>
    <row r="252" spans="1:14" x14ac:dyDescent="0.25">
      <c r="A252" s="51">
        <f t="shared" si="26"/>
        <v>0</v>
      </c>
      <c r="G252" s="8"/>
      <c r="H252" s="30">
        <v>247</v>
      </c>
      <c r="I252" s="31" t="str">
        <f t="shared" si="22"/>
        <v/>
      </c>
      <c r="J252" s="30">
        <f t="shared" si="27"/>
        <v>-6</v>
      </c>
      <c r="K252" s="30">
        <f t="shared" si="23"/>
        <v>-60</v>
      </c>
      <c r="L252" s="30"/>
      <c r="M252" s="32">
        <f t="shared" si="24"/>
        <v>0</v>
      </c>
      <c r="N252" s="32">
        <f t="shared" si="25"/>
        <v>0</v>
      </c>
    </row>
    <row r="253" spans="1:14" x14ac:dyDescent="0.25">
      <c r="A253" s="51">
        <f t="shared" si="26"/>
        <v>0</v>
      </c>
      <c r="G253" s="8"/>
      <c r="H253" s="30">
        <v>248</v>
      </c>
      <c r="I253" s="31" t="str">
        <f t="shared" si="22"/>
        <v/>
      </c>
      <c r="J253" s="30">
        <f t="shared" si="27"/>
        <v>-6</v>
      </c>
      <c r="K253" s="30">
        <f t="shared" si="23"/>
        <v>-60</v>
      </c>
      <c r="L253" s="30"/>
      <c r="M253" s="32">
        <f t="shared" si="24"/>
        <v>0</v>
      </c>
      <c r="N253" s="32">
        <f t="shared" si="25"/>
        <v>0</v>
      </c>
    </row>
    <row r="254" spans="1:14" x14ac:dyDescent="0.25">
      <c r="A254" s="51">
        <f t="shared" si="26"/>
        <v>0</v>
      </c>
      <c r="G254" s="8"/>
      <c r="H254" s="30">
        <v>249</v>
      </c>
      <c r="I254" s="31" t="str">
        <f t="shared" si="22"/>
        <v/>
      </c>
      <c r="J254" s="30">
        <f t="shared" si="27"/>
        <v>-6</v>
      </c>
      <c r="K254" s="30">
        <f t="shared" si="23"/>
        <v>-60</v>
      </c>
      <c r="L254" s="30"/>
      <c r="M254" s="32">
        <f t="shared" si="24"/>
        <v>0</v>
      </c>
      <c r="N254" s="32">
        <f t="shared" si="25"/>
        <v>0</v>
      </c>
    </row>
    <row r="255" spans="1:14" x14ac:dyDescent="0.25">
      <c r="A255" s="51">
        <f t="shared" si="26"/>
        <v>0</v>
      </c>
      <c r="G255" s="8"/>
      <c r="H255" s="30">
        <v>250</v>
      </c>
      <c r="I255" s="31" t="str">
        <f t="shared" si="22"/>
        <v/>
      </c>
      <c r="J255" s="30">
        <f t="shared" si="27"/>
        <v>-6</v>
      </c>
      <c r="K255" s="30">
        <f t="shared" si="23"/>
        <v>-60</v>
      </c>
      <c r="L255" s="30"/>
      <c r="M255" s="32">
        <f t="shared" si="24"/>
        <v>0</v>
      </c>
      <c r="N255" s="32">
        <f t="shared" si="25"/>
        <v>0</v>
      </c>
    </row>
    <row r="256" spans="1:14" x14ac:dyDescent="0.25">
      <c r="A256" s="51">
        <f t="shared" si="26"/>
        <v>0</v>
      </c>
      <c r="G256" s="8"/>
      <c r="H256" s="30">
        <v>251</v>
      </c>
      <c r="I256" s="31" t="str">
        <f t="shared" si="22"/>
        <v/>
      </c>
      <c r="J256" s="30">
        <f t="shared" si="27"/>
        <v>-6</v>
      </c>
      <c r="K256" s="30">
        <f t="shared" si="23"/>
        <v>-60</v>
      </c>
      <c r="L256" s="30"/>
      <c r="M256" s="32">
        <f t="shared" si="24"/>
        <v>0</v>
      </c>
      <c r="N256" s="32">
        <f t="shared" si="25"/>
        <v>0</v>
      </c>
    </row>
    <row r="257" spans="1:14" x14ac:dyDescent="0.25">
      <c r="A257" s="51">
        <f t="shared" si="26"/>
        <v>0</v>
      </c>
      <c r="G257" s="8"/>
      <c r="H257" s="30">
        <v>252</v>
      </c>
      <c r="I257" s="31" t="str">
        <f t="shared" si="22"/>
        <v/>
      </c>
      <c r="J257" s="30">
        <f t="shared" si="27"/>
        <v>-6</v>
      </c>
      <c r="K257" s="30">
        <f t="shared" si="23"/>
        <v>-60</v>
      </c>
      <c r="L257" s="30"/>
      <c r="M257" s="32">
        <f t="shared" si="24"/>
        <v>0</v>
      </c>
      <c r="N257" s="32">
        <f t="shared" si="25"/>
        <v>0</v>
      </c>
    </row>
    <row r="258" spans="1:14" x14ac:dyDescent="0.25">
      <c r="A258" s="51">
        <f t="shared" si="26"/>
        <v>0</v>
      </c>
      <c r="G258" s="8"/>
      <c r="H258" s="30">
        <v>253</v>
      </c>
      <c r="I258" s="31" t="str">
        <f t="shared" si="22"/>
        <v/>
      </c>
      <c r="J258" s="30">
        <f t="shared" si="27"/>
        <v>-6</v>
      </c>
      <c r="K258" s="30">
        <f t="shared" si="23"/>
        <v>-60</v>
      </c>
      <c r="L258" s="30"/>
      <c r="M258" s="32">
        <f t="shared" si="24"/>
        <v>0</v>
      </c>
      <c r="N258" s="32">
        <f t="shared" si="25"/>
        <v>0</v>
      </c>
    </row>
    <row r="259" spans="1:14" x14ac:dyDescent="0.25">
      <c r="A259" s="51">
        <f t="shared" si="26"/>
        <v>0</v>
      </c>
      <c r="G259" s="8"/>
      <c r="H259" s="30">
        <v>254</v>
      </c>
      <c r="I259" s="31" t="str">
        <f t="shared" si="22"/>
        <v/>
      </c>
      <c r="J259" s="30">
        <f t="shared" si="27"/>
        <v>-6</v>
      </c>
      <c r="K259" s="30">
        <f t="shared" si="23"/>
        <v>-60</v>
      </c>
      <c r="L259" s="30"/>
      <c r="M259" s="32">
        <f t="shared" si="24"/>
        <v>0</v>
      </c>
      <c r="N259" s="32">
        <f t="shared" si="25"/>
        <v>0</v>
      </c>
    </row>
    <row r="260" spans="1:14" x14ac:dyDescent="0.25">
      <c r="A260" s="51">
        <f t="shared" si="26"/>
        <v>0</v>
      </c>
      <c r="G260" s="8"/>
      <c r="H260" s="30">
        <v>255</v>
      </c>
      <c r="I260" s="31" t="str">
        <f t="shared" si="22"/>
        <v/>
      </c>
      <c r="J260" s="30">
        <f t="shared" si="27"/>
        <v>-6</v>
      </c>
      <c r="K260" s="30">
        <f t="shared" si="23"/>
        <v>-60</v>
      </c>
      <c r="L260" s="30"/>
      <c r="M260" s="32">
        <f t="shared" si="24"/>
        <v>0</v>
      </c>
      <c r="N260" s="32">
        <f t="shared" si="25"/>
        <v>0</v>
      </c>
    </row>
    <row r="261" spans="1:14" x14ac:dyDescent="0.25">
      <c r="A261" s="51">
        <f t="shared" si="26"/>
        <v>0</v>
      </c>
      <c r="G261" s="8"/>
      <c r="H261" s="30">
        <v>256</v>
      </c>
      <c r="I261" s="31" t="str">
        <f t="shared" si="22"/>
        <v/>
      </c>
      <c r="J261" s="30">
        <f t="shared" si="27"/>
        <v>-6</v>
      </c>
      <c r="K261" s="30">
        <f t="shared" si="23"/>
        <v>-60</v>
      </c>
      <c r="L261" s="30"/>
      <c r="M261" s="32">
        <f t="shared" si="24"/>
        <v>0</v>
      </c>
      <c r="N261" s="32">
        <f t="shared" si="25"/>
        <v>0</v>
      </c>
    </row>
    <row r="262" spans="1:14" x14ac:dyDescent="0.25">
      <c r="A262" s="51">
        <f t="shared" si="26"/>
        <v>0</v>
      </c>
      <c r="G262" s="8"/>
      <c r="H262" s="30">
        <v>257</v>
      </c>
      <c r="I262" s="31" t="str">
        <f t="shared" ref="I262:I305" si="28">IF(H262&lt;$H$2+1,($I$2-($I$2-1)*(LOG(H262)/LOG($H$2))),"")</f>
        <v/>
      </c>
      <c r="J262" s="30">
        <f t="shared" si="27"/>
        <v>-7</v>
      </c>
      <c r="K262" s="30">
        <f t="shared" ref="K262:K305" si="29">J262*$J$2</f>
        <v>-70</v>
      </c>
      <c r="L262" s="30"/>
      <c r="M262" s="32">
        <f t="shared" ref="M262:M305" si="30">IF(I262&lt;&gt;"",K262+I262+L262,0)</f>
        <v>0</v>
      </c>
      <c r="N262" s="32">
        <f t="shared" ref="N262:N305" si="31">IF(I262&lt;&gt;"",M262*L$2,0)</f>
        <v>0</v>
      </c>
    </row>
    <row r="263" spans="1:14" x14ac:dyDescent="0.25">
      <c r="A263" s="51">
        <f t="shared" ref="A263:A305" si="32">N263</f>
        <v>0</v>
      </c>
      <c r="G263" s="8"/>
      <c r="H263" s="30">
        <v>258</v>
      </c>
      <c r="I263" s="31" t="str">
        <f t="shared" si="28"/>
        <v/>
      </c>
      <c r="J263" s="30">
        <f t="shared" ref="J263:J305" si="33">INT(LOG($H$2,2))-ROUNDUP(LOG(H263,2),0)+IF(OR($H$2=1,$H$2=2,$H$2=4,$H$2=8,$H$2=16,$H$2=32,$H$2=64,$H$2=128,$H$2=256),0,1)</f>
        <v>-7</v>
      </c>
      <c r="K263" s="30">
        <f t="shared" si="29"/>
        <v>-70</v>
      </c>
      <c r="L263" s="30"/>
      <c r="M263" s="32">
        <f t="shared" si="30"/>
        <v>0</v>
      </c>
      <c r="N263" s="32">
        <f t="shared" si="31"/>
        <v>0</v>
      </c>
    </row>
    <row r="264" spans="1:14" x14ac:dyDescent="0.25">
      <c r="A264" s="51">
        <f t="shared" si="32"/>
        <v>0</v>
      </c>
      <c r="G264" s="8"/>
      <c r="H264" s="30">
        <v>259</v>
      </c>
      <c r="I264" s="31" t="str">
        <f t="shared" si="28"/>
        <v/>
      </c>
      <c r="J264" s="30">
        <f t="shared" si="33"/>
        <v>-7</v>
      </c>
      <c r="K264" s="30">
        <f t="shared" si="29"/>
        <v>-70</v>
      </c>
      <c r="L264" s="30"/>
      <c r="M264" s="32">
        <f t="shared" si="30"/>
        <v>0</v>
      </c>
      <c r="N264" s="32">
        <f t="shared" si="31"/>
        <v>0</v>
      </c>
    </row>
    <row r="265" spans="1:14" x14ac:dyDescent="0.25">
      <c r="A265" s="51">
        <f t="shared" si="32"/>
        <v>0</v>
      </c>
      <c r="G265" s="8"/>
      <c r="H265" s="30">
        <v>260</v>
      </c>
      <c r="I265" s="31" t="str">
        <f t="shared" si="28"/>
        <v/>
      </c>
      <c r="J265" s="30">
        <f t="shared" si="33"/>
        <v>-7</v>
      </c>
      <c r="K265" s="30">
        <f t="shared" si="29"/>
        <v>-70</v>
      </c>
      <c r="L265" s="30"/>
      <c r="M265" s="32">
        <f t="shared" si="30"/>
        <v>0</v>
      </c>
      <c r="N265" s="32">
        <f t="shared" si="31"/>
        <v>0</v>
      </c>
    </row>
    <row r="266" spans="1:14" x14ac:dyDescent="0.25">
      <c r="A266" s="51">
        <f t="shared" si="32"/>
        <v>0</v>
      </c>
      <c r="G266" s="8"/>
      <c r="H266" s="30">
        <v>261</v>
      </c>
      <c r="I266" s="31" t="str">
        <f t="shared" si="28"/>
        <v/>
      </c>
      <c r="J266" s="30">
        <f t="shared" si="33"/>
        <v>-7</v>
      </c>
      <c r="K266" s="30">
        <f t="shared" si="29"/>
        <v>-70</v>
      </c>
      <c r="L266" s="30"/>
      <c r="M266" s="32">
        <f t="shared" si="30"/>
        <v>0</v>
      </c>
      <c r="N266" s="32">
        <f t="shared" si="31"/>
        <v>0</v>
      </c>
    </row>
    <row r="267" spans="1:14" x14ac:dyDescent="0.25">
      <c r="A267" s="51">
        <f t="shared" si="32"/>
        <v>0</v>
      </c>
      <c r="G267" s="8"/>
      <c r="H267" s="30">
        <v>262</v>
      </c>
      <c r="I267" s="31" t="str">
        <f t="shared" si="28"/>
        <v/>
      </c>
      <c r="J267" s="30">
        <f t="shared" si="33"/>
        <v>-7</v>
      </c>
      <c r="K267" s="30">
        <f t="shared" si="29"/>
        <v>-70</v>
      </c>
      <c r="L267" s="30"/>
      <c r="M267" s="32">
        <f t="shared" si="30"/>
        <v>0</v>
      </c>
      <c r="N267" s="32">
        <f t="shared" si="31"/>
        <v>0</v>
      </c>
    </row>
    <row r="268" spans="1:14" x14ac:dyDescent="0.25">
      <c r="A268" s="51">
        <f t="shared" si="32"/>
        <v>0</v>
      </c>
      <c r="G268" s="8"/>
      <c r="H268" s="30">
        <v>263</v>
      </c>
      <c r="I268" s="31" t="str">
        <f t="shared" si="28"/>
        <v/>
      </c>
      <c r="J268" s="30">
        <f t="shared" si="33"/>
        <v>-7</v>
      </c>
      <c r="K268" s="30">
        <f t="shared" si="29"/>
        <v>-70</v>
      </c>
      <c r="L268" s="30"/>
      <c r="M268" s="32">
        <f t="shared" si="30"/>
        <v>0</v>
      </c>
      <c r="N268" s="32">
        <f t="shared" si="31"/>
        <v>0</v>
      </c>
    </row>
    <row r="269" spans="1:14" x14ac:dyDescent="0.25">
      <c r="A269" s="51">
        <f t="shared" si="32"/>
        <v>0</v>
      </c>
      <c r="G269" s="8"/>
      <c r="H269" s="30">
        <v>264</v>
      </c>
      <c r="I269" s="31" t="str">
        <f t="shared" si="28"/>
        <v/>
      </c>
      <c r="J269" s="30">
        <f t="shared" si="33"/>
        <v>-7</v>
      </c>
      <c r="K269" s="30">
        <f t="shared" si="29"/>
        <v>-70</v>
      </c>
      <c r="L269" s="30"/>
      <c r="M269" s="32">
        <f t="shared" si="30"/>
        <v>0</v>
      </c>
      <c r="N269" s="32">
        <f t="shared" si="31"/>
        <v>0</v>
      </c>
    </row>
    <row r="270" spans="1:14" x14ac:dyDescent="0.25">
      <c r="A270" s="51">
        <f t="shared" si="32"/>
        <v>0</v>
      </c>
      <c r="G270" s="8"/>
      <c r="H270" s="30">
        <v>265</v>
      </c>
      <c r="I270" s="31" t="str">
        <f t="shared" si="28"/>
        <v/>
      </c>
      <c r="J270" s="30">
        <f t="shared" si="33"/>
        <v>-7</v>
      </c>
      <c r="K270" s="30">
        <f t="shared" si="29"/>
        <v>-70</v>
      </c>
      <c r="L270" s="30"/>
      <c r="M270" s="32">
        <f t="shared" si="30"/>
        <v>0</v>
      </c>
      <c r="N270" s="32">
        <f t="shared" si="31"/>
        <v>0</v>
      </c>
    </row>
    <row r="271" spans="1:14" x14ac:dyDescent="0.25">
      <c r="A271" s="51">
        <f t="shared" si="32"/>
        <v>0</v>
      </c>
      <c r="G271" s="8"/>
      <c r="H271" s="30">
        <v>266</v>
      </c>
      <c r="I271" s="31" t="str">
        <f t="shared" si="28"/>
        <v/>
      </c>
      <c r="J271" s="30">
        <f t="shared" si="33"/>
        <v>-7</v>
      </c>
      <c r="K271" s="30">
        <f t="shared" si="29"/>
        <v>-70</v>
      </c>
      <c r="L271" s="30"/>
      <c r="M271" s="32">
        <f t="shared" si="30"/>
        <v>0</v>
      </c>
      <c r="N271" s="32">
        <f t="shared" si="31"/>
        <v>0</v>
      </c>
    </row>
    <row r="272" spans="1:14" x14ac:dyDescent="0.25">
      <c r="A272" s="51">
        <f t="shared" si="32"/>
        <v>0</v>
      </c>
      <c r="G272" s="8"/>
      <c r="H272" s="30">
        <v>267</v>
      </c>
      <c r="I272" s="31" t="str">
        <f t="shared" si="28"/>
        <v/>
      </c>
      <c r="J272" s="30">
        <f t="shared" si="33"/>
        <v>-7</v>
      </c>
      <c r="K272" s="30">
        <f t="shared" si="29"/>
        <v>-70</v>
      </c>
      <c r="L272" s="30"/>
      <c r="M272" s="32">
        <f t="shared" si="30"/>
        <v>0</v>
      </c>
      <c r="N272" s="32">
        <f t="shared" si="31"/>
        <v>0</v>
      </c>
    </row>
    <row r="273" spans="1:14" x14ac:dyDescent="0.25">
      <c r="A273" s="51">
        <f t="shared" si="32"/>
        <v>0</v>
      </c>
      <c r="G273" s="8"/>
      <c r="H273" s="30">
        <v>268</v>
      </c>
      <c r="I273" s="31" t="str">
        <f t="shared" si="28"/>
        <v/>
      </c>
      <c r="J273" s="30">
        <f t="shared" si="33"/>
        <v>-7</v>
      </c>
      <c r="K273" s="30">
        <f t="shared" si="29"/>
        <v>-70</v>
      </c>
      <c r="L273" s="30"/>
      <c r="M273" s="32">
        <f t="shared" si="30"/>
        <v>0</v>
      </c>
      <c r="N273" s="32">
        <f t="shared" si="31"/>
        <v>0</v>
      </c>
    </row>
    <row r="274" spans="1:14" x14ac:dyDescent="0.25">
      <c r="A274" s="51">
        <f t="shared" si="32"/>
        <v>0</v>
      </c>
      <c r="G274" s="8"/>
      <c r="H274" s="30">
        <v>269</v>
      </c>
      <c r="I274" s="31" t="str">
        <f t="shared" si="28"/>
        <v/>
      </c>
      <c r="J274" s="30">
        <f t="shared" si="33"/>
        <v>-7</v>
      </c>
      <c r="K274" s="30">
        <f t="shared" si="29"/>
        <v>-70</v>
      </c>
      <c r="L274" s="30"/>
      <c r="M274" s="32">
        <f t="shared" si="30"/>
        <v>0</v>
      </c>
      <c r="N274" s="32">
        <f t="shared" si="31"/>
        <v>0</v>
      </c>
    </row>
    <row r="275" spans="1:14" x14ac:dyDescent="0.25">
      <c r="A275" s="51">
        <f t="shared" si="32"/>
        <v>0</v>
      </c>
      <c r="G275" s="8"/>
      <c r="H275" s="30">
        <v>270</v>
      </c>
      <c r="I275" s="31" t="str">
        <f t="shared" si="28"/>
        <v/>
      </c>
      <c r="J275" s="30">
        <f t="shared" si="33"/>
        <v>-7</v>
      </c>
      <c r="K275" s="30">
        <f t="shared" si="29"/>
        <v>-70</v>
      </c>
      <c r="L275" s="30"/>
      <c r="M275" s="32">
        <f t="shared" si="30"/>
        <v>0</v>
      </c>
      <c r="N275" s="32">
        <f t="shared" si="31"/>
        <v>0</v>
      </c>
    </row>
    <row r="276" spans="1:14" x14ac:dyDescent="0.25">
      <c r="A276" s="51">
        <f t="shared" si="32"/>
        <v>0</v>
      </c>
      <c r="G276" s="8"/>
      <c r="H276" s="30">
        <v>271</v>
      </c>
      <c r="I276" s="31" t="str">
        <f t="shared" si="28"/>
        <v/>
      </c>
      <c r="J276" s="30">
        <f t="shared" si="33"/>
        <v>-7</v>
      </c>
      <c r="K276" s="30">
        <f t="shared" si="29"/>
        <v>-70</v>
      </c>
      <c r="L276" s="30"/>
      <c r="M276" s="32">
        <f t="shared" si="30"/>
        <v>0</v>
      </c>
      <c r="N276" s="32">
        <f t="shared" si="31"/>
        <v>0</v>
      </c>
    </row>
    <row r="277" spans="1:14" x14ac:dyDescent="0.25">
      <c r="A277" s="51">
        <f t="shared" si="32"/>
        <v>0</v>
      </c>
      <c r="G277" s="8"/>
      <c r="H277" s="30">
        <v>272</v>
      </c>
      <c r="I277" s="31" t="str">
        <f t="shared" si="28"/>
        <v/>
      </c>
      <c r="J277" s="30">
        <f t="shared" si="33"/>
        <v>-7</v>
      </c>
      <c r="K277" s="30">
        <f t="shared" si="29"/>
        <v>-70</v>
      </c>
      <c r="L277" s="30"/>
      <c r="M277" s="32">
        <f t="shared" si="30"/>
        <v>0</v>
      </c>
      <c r="N277" s="32">
        <f t="shared" si="31"/>
        <v>0</v>
      </c>
    </row>
    <row r="278" spans="1:14" x14ac:dyDescent="0.25">
      <c r="A278" s="51">
        <f t="shared" si="32"/>
        <v>0</v>
      </c>
      <c r="G278" s="8"/>
      <c r="H278" s="30">
        <v>273</v>
      </c>
      <c r="I278" s="31" t="str">
        <f t="shared" si="28"/>
        <v/>
      </c>
      <c r="J278" s="30">
        <f t="shared" si="33"/>
        <v>-7</v>
      </c>
      <c r="K278" s="30">
        <f t="shared" si="29"/>
        <v>-70</v>
      </c>
      <c r="L278" s="30"/>
      <c r="M278" s="32">
        <f t="shared" si="30"/>
        <v>0</v>
      </c>
      <c r="N278" s="32">
        <f t="shared" si="31"/>
        <v>0</v>
      </c>
    </row>
    <row r="279" spans="1:14" x14ac:dyDescent="0.25">
      <c r="A279" s="51">
        <f t="shared" si="32"/>
        <v>0</v>
      </c>
      <c r="G279" s="8"/>
      <c r="H279" s="30">
        <v>274</v>
      </c>
      <c r="I279" s="31" t="str">
        <f t="shared" si="28"/>
        <v/>
      </c>
      <c r="J279" s="30">
        <f t="shared" si="33"/>
        <v>-7</v>
      </c>
      <c r="K279" s="30">
        <f t="shared" si="29"/>
        <v>-70</v>
      </c>
      <c r="L279" s="30"/>
      <c r="M279" s="32">
        <f t="shared" si="30"/>
        <v>0</v>
      </c>
      <c r="N279" s="32">
        <f t="shared" si="31"/>
        <v>0</v>
      </c>
    </row>
    <row r="280" spans="1:14" x14ac:dyDescent="0.25">
      <c r="A280" s="51">
        <f t="shared" si="32"/>
        <v>0</v>
      </c>
      <c r="G280" s="8"/>
      <c r="H280" s="30">
        <v>275</v>
      </c>
      <c r="I280" s="31" t="str">
        <f t="shared" si="28"/>
        <v/>
      </c>
      <c r="J280" s="30">
        <f t="shared" si="33"/>
        <v>-7</v>
      </c>
      <c r="K280" s="30">
        <f t="shared" si="29"/>
        <v>-70</v>
      </c>
      <c r="L280" s="30"/>
      <c r="M280" s="32">
        <f t="shared" si="30"/>
        <v>0</v>
      </c>
      <c r="N280" s="32">
        <f t="shared" si="31"/>
        <v>0</v>
      </c>
    </row>
    <row r="281" spans="1:14" x14ac:dyDescent="0.25">
      <c r="A281" s="51">
        <f t="shared" si="32"/>
        <v>0</v>
      </c>
      <c r="G281" s="8"/>
      <c r="H281" s="30">
        <v>276</v>
      </c>
      <c r="I281" s="31" t="str">
        <f t="shared" si="28"/>
        <v/>
      </c>
      <c r="J281" s="30">
        <f t="shared" si="33"/>
        <v>-7</v>
      </c>
      <c r="K281" s="30">
        <f t="shared" si="29"/>
        <v>-70</v>
      </c>
      <c r="L281" s="30"/>
      <c r="M281" s="32">
        <f t="shared" si="30"/>
        <v>0</v>
      </c>
      <c r="N281" s="32">
        <f t="shared" si="31"/>
        <v>0</v>
      </c>
    </row>
    <row r="282" spans="1:14" x14ac:dyDescent="0.25">
      <c r="A282" s="51">
        <f t="shared" si="32"/>
        <v>0</v>
      </c>
      <c r="G282" s="8"/>
      <c r="H282" s="30">
        <v>277</v>
      </c>
      <c r="I282" s="31" t="str">
        <f t="shared" si="28"/>
        <v/>
      </c>
      <c r="J282" s="30">
        <f t="shared" si="33"/>
        <v>-7</v>
      </c>
      <c r="K282" s="30">
        <f t="shared" si="29"/>
        <v>-70</v>
      </c>
      <c r="L282" s="30"/>
      <c r="M282" s="32">
        <f t="shared" si="30"/>
        <v>0</v>
      </c>
      <c r="N282" s="32">
        <f t="shared" si="31"/>
        <v>0</v>
      </c>
    </row>
    <row r="283" spans="1:14" x14ac:dyDescent="0.25">
      <c r="A283" s="51">
        <f t="shared" si="32"/>
        <v>0</v>
      </c>
      <c r="G283" s="8"/>
      <c r="H283" s="30">
        <v>278</v>
      </c>
      <c r="I283" s="31" t="str">
        <f t="shared" si="28"/>
        <v/>
      </c>
      <c r="J283" s="30">
        <f t="shared" si="33"/>
        <v>-7</v>
      </c>
      <c r="K283" s="30">
        <f t="shared" si="29"/>
        <v>-70</v>
      </c>
      <c r="L283" s="30"/>
      <c r="M283" s="32">
        <f t="shared" si="30"/>
        <v>0</v>
      </c>
      <c r="N283" s="32">
        <f t="shared" si="31"/>
        <v>0</v>
      </c>
    </row>
    <row r="284" spans="1:14" x14ac:dyDescent="0.25">
      <c r="A284" s="51">
        <f t="shared" si="32"/>
        <v>0</v>
      </c>
      <c r="G284" s="8"/>
      <c r="H284" s="30">
        <v>279</v>
      </c>
      <c r="I284" s="31" t="str">
        <f t="shared" si="28"/>
        <v/>
      </c>
      <c r="J284" s="30">
        <f t="shared" si="33"/>
        <v>-7</v>
      </c>
      <c r="K284" s="30">
        <f t="shared" si="29"/>
        <v>-70</v>
      </c>
      <c r="L284" s="30"/>
      <c r="M284" s="32">
        <f t="shared" si="30"/>
        <v>0</v>
      </c>
      <c r="N284" s="32">
        <f t="shared" si="31"/>
        <v>0</v>
      </c>
    </row>
    <row r="285" spans="1:14" x14ac:dyDescent="0.25">
      <c r="A285" s="51">
        <f t="shared" si="32"/>
        <v>0</v>
      </c>
      <c r="G285" s="8"/>
      <c r="H285" s="30">
        <v>280</v>
      </c>
      <c r="I285" s="31" t="str">
        <f t="shared" si="28"/>
        <v/>
      </c>
      <c r="J285" s="30">
        <f t="shared" si="33"/>
        <v>-7</v>
      </c>
      <c r="K285" s="30">
        <f t="shared" si="29"/>
        <v>-70</v>
      </c>
      <c r="L285" s="30"/>
      <c r="M285" s="32">
        <f t="shared" si="30"/>
        <v>0</v>
      </c>
      <c r="N285" s="32">
        <f t="shared" si="31"/>
        <v>0</v>
      </c>
    </row>
    <row r="286" spans="1:14" x14ac:dyDescent="0.25">
      <c r="A286" s="51">
        <f t="shared" si="32"/>
        <v>0</v>
      </c>
      <c r="G286" s="8"/>
      <c r="H286" s="30">
        <v>281</v>
      </c>
      <c r="I286" s="31" t="str">
        <f t="shared" si="28"/>
        <v/>
      </c>
      <c r="J286" s="30">
        <f t="shared" si="33"/>
        <v>-7</v>
      </c>
      <c r="K286" s="30">
        <f t="shared" si="29"/>
        <v>-70</v>
      </c>
      <c r="L286" s="30"/>
      <c r="M286" s="32">
        <f t="shared" si="30"/>
        <v>0</v>
      </c>
      <c r="N286" s="32">
        <f t="shared" si="31"/>
        <v>0</v>
      </c>
    </row>
    <row r="287" spans="1:14" x14ac:dyDescent="0.25">
      <c r="A287" s="51">
        <f t="shared" si="32"/>
        <v>0</v>
      </c>
      <c r="G287" s="8"/>
      <c r="H287" s="30">
        <v>282</v>
      </c>
      <c r="I287" s="31" t="str">
        <f t="shared" si="28"/>
        <v/>
      </c>
      <c r="J287" s="30">
        <f t="shared" si="33"/>
        <v>-7</v>
      </c>
      <c r="K287" s="30">
        <f t="shared" si="29"/>
        <v>-70</v>
      </c>
      <c r="L287" s="30"/>
      <c r="M287" s="32">
        <f t="shared" si="30"/>
        <v>0</v>
      </c>
      <c r="N287" s="32">
        <f t="shared" si="31"/>
        <v>0</v>
      </c>
    </row>
    <row r="288" spans="1:14" x14ac:dyDescent="0.25">
      <c r="A288" s="51">
        <f t="shared" si="32"/>
        <v>0</v>
      </c>
      <c r="G288" s="8"/>
      <c r="H288" s="30">
        <v>283</v>
      </c>
      <c r="I288" s="31" t="str">
        <f t="shared" si="28"/>
        <v/>
      </c>
      <c r="J288" s="30">
        <f t="shared" si="33"/>
        <v>-7</v>
      </c>
      <c r="K288" s="30">
        <f t="shared" si="29"/>
        <v>-70</v>
      </c>
      <c r="L288" s="30"/>
      <c r="M288" s="32">
        <f t="shared" si="30"/>
        <v>0</v>
      </c>
      <c r="N288" s="32">
        <f t="shared" si="31"/>
        <v>0</v>
      </c>
    </row>
    <row r="289" spans="1:14" x14ac:dyDescent="0.25">
      <c r="A289" s="51">
        <f t="shared" si="32"/>
        <v>0</v>
      </c>
      <c r="G289" s="8"/>
      <c r="H289" s="30">
        <v>284</v>
      </c>
      <c r="I289" s="31" t="str">
        <f t="shared" si="28"/>
        <v/>
      </c>
      <c r="J289" s="30">
        <f t="shared" si="33"/>
        <v>-7</v>
      </c>
      <c r="K289" s="30">
        <f t="shared" si="29"/>
        <v>-70</v>
      </c>
      <c r="L289" s="30"/>
      <c r="M289" s="32">
        <f t="shared" si="30"/>
        <v>0</v>
      </c>
      <c r="N289" s="32">
        <f t="shared" si="31"/>
        <v>0</v>
      </c>
    </row>
    <row r="290" spans="1:14" x14ac:dyDescent="0.25">
      <c r="A290" s="51">
        <f t="shared" si="32"/>
        <v>0</v>
      </c>
      <c r="G290" s="8"/>
      <c r="H290" s="30">
        <v>285</v>
      </c>
      <c r="I290" s="31" t="str">
        <f t="shared" si="28"/>
        <v/>
      </c>
      <c r="J290" s="30">
        <f t="shared" si="33"/>
        <v>-7</v>
      </c>
      <c r="K290" s="30">
        <f t="shared" si="29"/>
        <v>-70</v>
      </c>
      <c r="L290" s="30"/>
      <c r="M290" s="32">
        <f t="shared" si="30"/>
        <v>0</v>
      </c>
      <c r="N290" s="32">
        <f t="shared" si="31"/>
        <v>0</v>
      </c>
    </row>
    <row r="291" spans="1:14" x14ac:dyDescent="0.25">
      <c r="A291" s="51">
        <f t="shared" si="32"/>
        <v>0</v>
      </c>
      <c r="G291" s="8"/>
      <c r="H291" s="30">
        <v>286</v>
      </c>
      <c r="I291" s="31" t="str">
        <f t="shared" si="28"/>
        <v/>
      </c>
      <c r="J291" s="30">
        <f t="shared" si="33"/>
        <v>-7</v>
      </c>
      <c r="K291" s="30">
        <f t="shared" si="29"/>
        <v>-70</v>
      </c>
      <c r="L291" s="30"/>
      <c r="M291" s="32">
        <f t="shared" si="30"/>
        <v>0</v>
      </c>
      <c r="N291" s="32">
        <f t="shared" si="31"/>
        <v>0</v>
      </c>
    </row>
    <row r="292" spans="1:14" x14ac:dyDescent="0.25">
      <c r="A292" s="51">
        <f t="shared" si="32"/>
        <v>0</v>
      </c>
      <c r="G292" s="8"/>
      <c r="H292" s="30">
        <v>287</v>
      </c>
      <c r="I292" s="31" t="str">
        <f t="shared" si="28"/>
        <v/>
      </c>
      <c r="J292" s="30">
        <f t="shared" si="33"/>
        <v>-7</v>
      </c>
      <c r="K292" s="30">
        <f t="shared" si="29"/>
        <v>-70</v>
      </c>
      <c r="L292" s="30"/>
      <c r="M292" s="32">
        <f t="shared" si="30"/>
        <v>0</v>
      </c>
      <c r="N292" s="32">
        <f t="shared" si="31"/>
        <v>0</v>
      </c>
    </row>
    <row r="293" spans="1:14" x14ac:dyDescent="0.25">
      <c r="A293" s="51">
        <f t="shared" si="32"/>
        <v>0</v>
      </c>
      <c r="G293" s="8"/>
      <c r="H293" s="30">
        <v>288</v>
      </c>
      <c r="I293" s="31" t="str">
        <f t="shared" si="28"/>
        <v/>
      </c>
      <c r="J293" s="30">
        <f t="shared" si="33"/>
        <v>-7</v>
      </c>
      <c r="K293" s="30">
        <f t="shared" si="29"/>
        <v>-70</v>
      </c>
      <c r="L293" s="30"/>
      <c r="M293" s="32">
        <f t="shared" si="30"/>
        <v>0</v>
      </c>
      <c r="N293" s="32">
        <f t="shared" si="31"/>
        <v>0</v>
      </c>
    </row>
    <row r="294" spans="1:14" x14ac:dyDescent="0.25">
      <c r="A294" s="51">
        <f t="shared" si="32"/>
        <v>0</v>
      </c>
      <c r="G294" s="8"/>
      <c r="H294" s="30">
        <v>289</v>
      </c>
      <c r="I294" s="31" t="str">
        <f t="shared" si="28"/>
        <v/>
      </c>
      <c r="J294" s="30">
        <f t="shared" si="33"/>
        <v>-7</v>
      </c>
      <c r="K294" s="30">
        <f t="shared" si="29"/>
        <v>-70</v>
      </c>
      <c r="L294" s="30"/>
      <c r="M294" s="32">
        <f t="shared" si="30"/>
        <v>0</v>
      </c>
      <c r="N294" s="32">
        <f t="shared" si="31"/>
        <v>0</v>
      </c>
    </row>
    <row r="295" spans="1:14" x14ac:dyDescent="0.25">
      <c r="A295" s="51">
        <f t="shared" si="32"/>
        <v>0</v>
      </c>
      <c r="G295" s="8"/>
      <c r="H295" s="30">
        <v>290</v>
      </c>
      <c r="I295" s="31" t="str">
        <f t="shared" si="28"/>
        <v/>
      </c>
      <c r="J295" s="30">
        <f t="shared" si="33"/>
        <v>-7</v>
      </c>
      <c r="K295" s="30">
        <f t="shared" si="29"/>
        <v>-70</v>
      </c>
      <c r="L295" s="30"/>
      <c r="M295" s="32">
        <f t="shared" si="30"/>
        <v>0</v>
      </c>
      <c r="N295" s="32">
        <f t="shared" si="31"/>
        <v>0</v>
      </c>
    </row>
    <row r="296" spans="1:14" x14ac:dyDescent="0.25">
      <c r="A296" s="51">
        <f t="shared" si="32"/>
        <v>0</v>
      </c>
      <c r="G296" s="8"/>
      <c r="H296" s="30">
        <v>291</v>
      </c>
      <c r="I296" s="31" t="str">
        <f t="shared" si="28"/>
        <v/>
      </c>
      <c r="J296" s="30">
        <f t="shared" si="33"/>
        <v>-7</v>
      </c>
      <c r="K296" s="30">
        <f t="shared" si="29"/>
        <v>-70</v>
      </c>
      <c r="L296" s="30"/>
      <c r="M296" s="32">
        <f t="shared" si="30"/>
        <v>0</v>
      </c>
      <c r="N296" s="32">
        <f t="shared" si="31"/>
        <v>0</v>
      </c>
    </row>
    <row r="297" spans="1:14" x14ac:dyDescent="0.25">
      <c r="A297" s="51">
        <f t="shared" si="32"/>
        <v>0</v>
      </c>
      <c r="G297" s="8"/>
      <c r="H297" s="30">
        <v>292</v>
      </c>
      <c r="I297" s="31" t="str">
        <f t="shared" si="28"/>
        <v/>
      </c>
      <c r="J297" s="30">
        <f t="shared" si="33"/>
        <v>-7</v>
      </c>
      <c r="K297" s="30">
        <f t="shared" si="29"/>
        <v>-70</v>
      </c>
      <c r="L297" s="30"/>
      <c r="M297" s="32">
        <f t="shared" si="30"/>
        <v>0</v>
      </c>
      <c r="N297" s="32">
        <f t="shared" si="31"/>
        <v>0</v>
      </c>
    </row>
    <row r="298" spans="1:14" x14ac:dyDescent="0.25">
      <c r="A298" s="51">
        <f t="shared" si="32"/>
        <v>0</v>
      </c>
      <c r="G298" s="8"/>
      <c r="H298" s="30">
        <v>293</v>
      </c>
      <c r="I298" s="31" t="str">
        <f t="shared" si="28"/>
        <v/>
      </c>
      <c r="J298" s="30">
        <f t="shared" si="33"/>
        <v>-7</v>
      </c>
      <c r="K298" s="30">
        <f t="shared" si="29"/>
        <v>-70</v>
      </c>
      <c r="L298" s="30"/>
      <c r="M298" s="32">
        <f t="shared" si="30"/>
        <v>0</v>
      </c>
      <c r="N298" s="32">
        <f t="shared" si="31"/>
        <v>0</v>
      </c>
    </row>
    <row r="299" spans="1:14" x14ac:dyDescent="0.25">
      <c r="A299" s="51">
        <f t="shared" si="32"/>
        <v>0</v>
      </c>
      <c r="G299" s="8"/>
      <c r="H299" s="30">
        <v>294</v>
      </c>
      <c r="I299" s="31" t="str">
        <f t="shared" si="28"/>
        <v/>
      </c>
      <c r="J299" s="30">
        <f t="shared" si="33"/>
        <v>-7</v>
      </c>
      <c r="K299" s="30">
        <f t="shared" si="29"/>
        <v>-70</v>
      </c>
      <c r="L299" s="30"/>
      <c r="M299" s="32">
        <f t="shared" si="30"/>
        <v>0</v>
      </c>
      <c r="N299" s="32">
        <f t="shared" si="31"/>
        <v>0</v>
      </c>
    </row>
    <row r="300" spans="1:14" x14ac:dyDescent="0.25">
      <c r="A300" s="51">
        <f t="shared" si="32"/>
        <v>0</v>
      </c>
      <c r="G300" s="8"/>
      <c r="H300" s="30">
        <v>295</v>
      </c>
      <c r="I300" s="31" t="str">
        <f t="shared" si="28"/>
        <v/>
      </c>
      <c r="J300" s="30">
        <f t="shared" si="33"/>
        <v>-7</v>
      </c>
      <c r="K300" s="30">
        <f t="shared" si="29"/>
        <v>-70</v>
      </c>
      <c r="L300" s="30"/>
      <c r="M300" s="32">
        <f t="shared" si="30"/>
        <v>0</v>
      </c>
      <c r="N300" s="32">
        <f t="shared" si="31"/>
        <v>0</v>
      </c>
    </row>
    <row r="301" spans="1:14" x14ac:dyDescent="0.25">
      <c r="A301" s="51">
        <f t="shared" si="32"/>
        <v>0</v>
      </c>
      <c r="G301" s="8"/>
      <c r="H301" s="30">
        <v>296</v>
      </c>
      <c r="I301" s="31" t="str">
        <f t="shared" si="28"/>
        <v/>
      </c>
      <c r="J301" s="30">
        <f t="shared" si="33"/>
        <v>-7</v>
      </c>
      <c r="K301" s="30">
        <f t="shared" si="29"/>
        <v>-70</v>
      </c>
      <c r="L301" s="30"/>
      <c r="M301" s="32">
        <f t="shared" si="30"/>
        <v>0</v>
      </c>
      <c r="N301" s="32">
        <f t="shared" si="31"/>
        <v>0</v>
      </c>
    </row>
    <row r="302" spans="1:14" x14ac:dyDescent="0.25">
      <c r="A302" s="51">
        <f t="shared" si="32"/>
        <v>0</v>
      </c>
      <c r="G302" s="8"/>
      <c r="H302" s="30">
        <v>297</v>
      </c>
      <c r="I302" s="31" t="str">
        <f t="shared" si="28"/>
        <v/>
      </c>
      <c r="J302" s="30">
        <f t="shared" si="33"/>
        <v>-7</v>
      </c>
      <c r="K302" s="30">
        <f t="shared" si="29"/>
        <v>-70</v>
      </c>
      <c r="L302" s="30"/>
      <c r="M302" s="32">
        <f t="shared" si="30"/>
        <v>0</v>
      </c>
      <c r="N302" s="32">
        <f t="shared" si="31"/>
        <v>0</v>
      </c>
    </row>
    <row r="303" spans="1:14" x14ac:dyDescent="0.25">
      <c r="A303" s="51">
        <f t="shared" si="32"/>
        <v>0</v>
      </c>
      <c r="G303" s="8"/>
      <c r="H303" s="30">
        <v>298</v>
      </c>
      <c r="I303" s="31" t="str">
        <f t="shared" si="28"/>
        <v/>
      </c>
      <c r="J303" s="30">
        <f t="shared" si="33"/>
        <v>-7</v>
      </c>
      <c r="K303" s="30">
        <f t="shared" si="29"/>
        <v>-70</v>
      </c>
      <c r="L303" s="30"/>
      <c r="M303" s="32">
        <f t="shared" si="30"/>
        <v>0</v>
      </c>
      <c r="N303" s="32">
        <f t="shared" si="31"/>
        <v>0</v>
      </c>
    </row>
    <row r="304" spans="1:14" x14ac:dyDescent="0.25">
      <c r="A304" s="51">
        <f t="shared" si="32"/>
        <v>0</v>
      </c>
      <c r="G304" s="8"/>
      <c r="H304" s="30">
        <v>299</v>
      </c>
      <c r="I304" s="31" t="str">
        <f t="shared" si="28"/>
        <v/>
      </c>
      <c r="J304" s="30">
        <f t="shared" si="33"/>
        <v>-7</v>
      </c>
      <c r="K304" s="30">
        <f t="shared" si="29"/>
        <v>-70</v>
      </c>
      <c r="L304" s="30"/>
      <c r="M304" s="32">
        <f t="shared" si="30"/>
        <v>0</v>
      </c>
      <c r="N304" s="32">
        <f t="shared" si="31"/>
        <v>0</v>
      </c>
    </row>
    <row r="305" spans="1:17" x14ac:dyDescent="0.25">
      <c r="A305" s="51">
        <f t="shared" si="32"/>
        <v>0</v>
      </c>
      <c r="G305" s="8"/>
      <c r="H305" s="30">
        <v>300</v>
      </c>
      <c r="I305" s="31" t="str">
        <f t="shared" si="28"/>
        <v/>
      </c>
      <c r="J305" s="30">
        <f t="shared" si="33"/>
        <v>-7</v>
      </c>
      <c r="K305" s="30">
        <f t="shared" si="29"/>
        <v>-70</v>
      </c>
      <c r="L305" s="30"/>
      <c r="M305" s="32">
        <f t="shared" si="30"/>
        <v>0</v>
      </c>
      <c r="N305" s="32">
        <f t="shared" si="31"/>
        <v>0</v>
      </c>
    </row>
    <row r="306" spans="1:17" x14ac:dyDescent="0.25">
      <c r="A306" s="53"/>
    </row>
    <row r="314" spans="1:17" x14ac:dyDescent="0.25">
      <c r="L314" s="56"/>
      <c r="M314" s="56"/>
      <c r="Q314" s="46"/>
    </row>
    <row r="315" spans="1:17" x14ac:dyDescent="0.25">
      <c r="L315" s="56"/>
      <c r="M315" s="56"/>
      <c r="Q315" s="46"/>
    </row>
    <row r="316" spans="1:17" x14ac:dyDescent="0.25">
      <c r="L316" s="56"/>
      <c r="M316" s="56"/>
      <c r="Q316" s="46"/>
    </row>
    <row r="317" spans="1:17" x14ac:dyDescent="0.25">
      <c r="L317" s="56"/>
      <c r="M317" s="56"/>
      <c r="Q317" s="46"/>
    </row>
  </sheetData>
  <mergeCells count="2">
    <mergeCell ref="C2:D2"/>
    <mergeCell ref="C3:D3"/>
  </mergeCells>
  <conditionalFormatting sqref="J6:N305">
    <cfRule type="cellIs" dxfId="18" priority="1" operator="lessThanOrEqual">
      <formula>0</formula>
    </cfRule>
  </conditionalFormatting>
  <dataValidations disablePrompts="1" count="1">
    <dataValidation type="list" allowBlank="1" showInputMessage="1" showErrorMessage="1" sqref="C38:C69" xr:uid="{383167B7-37C6-473F-B9FE-61AA76750CC8}">
      <formula1>#REF!</formula1>
    </dataValidation>
  </dataValidations>
  <hyperlinks>
    <hyperlink ref="C2" r:id="rId1" location="today" display="https://www.fencingtimelive.com/tournaments/eventSchedule/B2C615704AB84D0F85BBFF395C07BA41 - today" xr:uid="{83E0780B-3F74-4ED3-B972-E3CE99B225B5}"/>
    <hyperlink ref="C2:D2" r:id="rId2" display="PABIANICE" xr:uid="{4C3BBB19-C0F6-40E4-9B01-34167C52F5C4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46A3-359B-40B8-B1CC-0207BD530121}">
  <dimension ref="A1:AI39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15" width="5.125" customWidth="1"/>
    <col min="16" max="16" width="6.5" bestFit="1" customWidth="1"/>
    <col min="17" max="17" width="2" customWidth="1"/>
    <col min="18" max="35" width="5.125" customWidth="1"/>
  </cols>
  <sheetData>
    <row r="1" spans="1:35" ht="13.75" customHeight="1" thickTop="1" x14ac:dyDescent="0.2">
      <c r="A1" s="2"/>
      <c r="B1" s="2"/>
      <c r="C1" s="2"/>
      <c r="D1" s="248" t="s">
        <v>96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R1" s="251" t="s">
        <v>152</v>
      </c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3"/>
    </row>
    <row r="2" spans="1:35" ht="13.75" customHeight="1" x14ac:dyDescent="0.2">
      <c r="A2" s="2"/>
      <c r="B2" s="215" t="s">
        <v>0</v>
      </c>
      <c r="C2" s="2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R2" s="254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6"/>
    </row>
    <row r="3" spans="1:35" ht="13.75" customHeight="1" thickBot="1" x14ac:dyDescent="0.3">
      <c r="A3" s="2"/>
      <c r="B3" s="2"/>
      <c r="C3" s="2"/>
      <c r="D3" s="103" t="s">
        <v>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R3" s="257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258"/>
      <c r="AE3" s="258"/>
      <c r="AF3" s="258"/>
      <c r="AG3" s="258"/>
      <c r="AH3" s="258"/>
      <c r="AI3" s="259"/>
    </row>
    <row r="4" spans="1:35" ht="24.8" customHeight="1" thickTop="1" x14ac:dyDescent="0.2">
      <c r="A4" s="243" t="s">
        <v>4</v>
      </c>
      <c r="B4" s="245" t="s">
        <v>5</v>
      </c>
      <c r="C4" s="245" t="s">
        <v>6</v>
      </c>
      <c r="D4" s="245" t="s">
        <v>7</v>
      </c>
      <c r="E4" s="249" t="s">
        <v>8</v>
      </c>
      <c r="F4" s="250"/>
      <c r="G4" s="249" t="s">
        <v>9</v>
      </c>
      <c r="H4" s="250"/>
      <c r="I4" s="249" t="s">
        <v>10</v>
      </c>
      <c r="J4" s="250"/>
      <c r="K4" s="237" t="s">
        <v>11</v>
      </c>
      <c r="L4" s="238"/>
      <c r="M4" s="237" t="s">
        <v>12</v>
      </c>
      <c r="N4" s="238"/>
      <c r="O4" s="249" t="s">
        <v>13</v>
      </c>
      <c r="P4" s="250"/>
      <c r="R4" s="260" t="s">
        <v>97</v>
      </c>
      <c r="S4" s="261"/>
      <c r="T4" s="260" t="s">
        <v>98</v>
      </c>
      <c r="U4" s="261"/>
      <c r="V4" s="260" t="s">
        <v>99</v>
      </c>
      <c r="W4" s="261"/>
      <c r="X4" s="260" t="s">
        <v>100</v>
      </c>
      <c r="Y4" s="261"/>
      <c r="Z4" s="260" t="s">
        <v>101</v>
      </c>
      <c r="AA4" s="261"/>
      <c r="AB4" s="260" t="s">
        <v>102</v>
      </c>
      <c r="AC4" s="261"/>
      <c r="AD4" s="260" t="s">
        <v>103</v>
      </c>
      <c r="AE4" s="261"/>
      <c r="AF4" s="260" t="s">
        <v>153</v>
      </c>
      <c r="AG4" s="261"/>
      <c r="AH4" s="260" t="s">
        <v>104</v>
      </c>
      <c r="AI4" s="261"/>
    </row>
    <row r="5" spans="1:35" ht="18" customHeight="1" x14ac:dyDescent="0.2">
      <c r="A5" s="244"/>
      <c r="B5" s="246"/>
      <c r="C5" s="246"/>
      <c r="D5" s="247"/>
      <c r="E5" s="216" t="s">
        <v>14</v>
      </c>
      <c r="F5" s="216" t="s">
        <v>15</v>
      </c>
      <c r="G5" s="216" t="s">
        <v>14</v>
      </c>
      <c r="H5" s="217" t="s">
        <v>15</v>
      </c>
      <c r="I5" s="210" t="s">
        <v>14</v>
      </c>
      <c r="J5" s="211" t="s">
        <v>15</v>
      </c>
      <c r="K5" s="210" t="s">
        <v>14</v>
      </c>
      <c r="L5" s="211" t="s">
        <v>15</v>
      </c>
      <c r="M5" s="210" t="s">
        <v>14</v>
      </c>
      <c r="N5" s="211" t="s">
        <v>15</v>
      </c>
      <c r="O5" s="216" t="s">
        <v>14</v>
      </c>
      <c r="P5" s="217" t="s">
        <v>15</v>
      </c>
      <c r="R5" s="218" t="s">
        <v>14</v>
      </c>
      <c r="S5" s="219" t="s">
        <v>15</v>
      </c>
      <c r="T5" s="218" t="s">
        <v>14</v>
      </c>
      <c r="U5" s="219" t="s">
        <v>15</v>
      </c>
      <c r="V5" s="218" t="s">
        <v>14</v>
      </c>
      <c r="W5" s="219" t="s">
        <v>15</v>
      </c>
      <c r="X5" s="218" t="s">
        <v>14</v>
      </c>
      <c r="Y5" s="219" t="s">
        <v>15</v>
      </c>
      <c r="Z5" s="218" t="s">
        <v>14</v>
      </c>
      <c r="AA5" s="219" t="s">
        <v>15</v>
      </c>
      <c r="AB5" s="218" t="s">
        <v>14</v>
      </c>
      <c r="AC5" s="219" t="s">
        <v>15</v>
      </c>
      <c r="AD5" s="218" t="s">
        <v>14</v>
      </c>
      <c r="AE5" s="219" t="s">
        <v>15</v>
      </c>
      <c r="AF5" s="218" t="s">
        <v>14</v>
      </c>
      <c r="AG5" s="219" t="s">
        <v>15</v>
      </c>
      <c r="AH5" s="218" t="s">
        <v>14</v>
      </c>
      <c r="AI5" s="219" t="s">
        <v>15</v>
      </c>
    </row>
    <row r="6" spans="1:35" ht="14.8" customHeight="1" x14ac:dyDescent="0.25">
      <c r="A6" s="212">
        <f t="shared" ref="A6:A23" si="0">ROW()-5</f>
        <v>1</v>
      </c>
      <c r="B6" s="5" t="s">
        <v>16</v>
      </c>
      <c r="C6" s="205"/>
      <c r="D6" s="105">
        <f>SUM(F6,H6,J6,L6,N6,P6)-MIN(F6,H6,J6,L6,N6)+SUM(LARGE((S6,U6,W6,Y6,AA6,AC6,AE6,AG6),1),LARGE((S6,U6,W6,Y6,AA6,AC6,AE6,AG6),2),LARGE((S6,U6,W6,Y6,AA6,AC6,AE6,AG6),3),AI6)</f>
        <v>599.19671255329024</v>
      </c>
      <c r="E6" s="6">
        <f>_xlfn.XLOOKUP($B6,'PP1'!$C$6:$C$101,'PP1'!$B$6:$B$101,"")</f>
        <v>1</v>
      </c>
      <c r="F6" s="104">
        <f>_xlfn.XLOOKUP(E6,'PP1'!$B$6:$B$55,'PP1'!$A$6:$A$55,0)</f>
        <v>95.389783520090276</v>
      </c>
      <c r="G6" s="6">
        <f>_xlfn.XLOOKUP($B6,'PP2'!$C$6:$C$101,'PP2'!$B$6:$B$101,"")</f>
        <v>1</v>
      </c>
      <c r="H6" s="104">
        <f>_xlfn.XLOOKUP(G6,'PP2'!$B$6:$B$55,'PP2'!$A$6:$A$55,0)</f>
        <v>95.389783520090276</v>
      </c>
      <c r="I6" s="6">
        <f>_xlfn.XLOOKUP($B6,'PP3'!$C$6:$C$101,'PP3'!$B$6:$B$101,"")</f>
        <v>1</v>
      </c>
      <c r="J6" s="104">
        <f>_xlfn.XLOOKUP(I6,'PP3'!$B$6:$B$55,'PP3'!$A$6:$A$55,0)</f>
        <v>96.354085335489259</v>
      </c>
      <c r="K6" s="6">
        <f>_xlfn.XLOOKUP($B6,'PP4'!$C$6:$C$101,'PP4'!$B$6:$B$101,"")</f>
        <v>1</v>
      </c>
      <c r="L6" s="104">
        <f>_xlfn.XLOOKUP(K6,'PP4'!$B$6:$B$55,'PP4'!$A$6:$A$55,0)</f>
        <v>94.286609467713788</v>
      </c>
      <c r="M6" s="6" t="str">
        <f>_xlfn.XLOOKUP($B6,'PP5'!$C$6:$C$101,'PP5'!$B$6:$B$101,"")</f>
        <v/>
      </c>
      <c r="N6" s="104">
        <f>_xlfn.XLOOKUP(M6,'PP5'!$B$6:$B$55,'PP5'!$A$6:$A$55,0)</f>
        <v>0</v>
      </c>
      <c r="O6" s="6">
        <f>_xlfn.XLOOKUP(B6,MPW!C$6:C$101,MPW!B$6:B$101,"")</f>
        <v>1</v>
      </c>
      <c r="P6" s="106">
        <f>_xlfn.XLOOKUP(O6,MPW!$B$6:$B$55,MPW!$A$6:$A$55,0)</f>
        <v>113.14393136125655</v>
      </c>
      <c r="R6" s="6">
        <f>_xlfn.XLOOKUP($B6,'PEW1'!$C$6:$C$101,'PEW1'!$B$6:$B$101,"")</f>
        <v>8</v>
      </c>
      <c r="S6" s="107">
        <f>_xlfn.XLOOKUP(R6,'PEW1'!$B$6:$B$55,'PEW1'!$A$6:$A$55,0)</f>
        <v>35.394889735104179</v>
      </c>
      <c r="T6" s="6" t="str">
        <f>_xlfn.XLOOKUP($B6,'PEW2'!$C$6:$C$101,'PEW2'!$B$6:$B$101,"")</f>
        <v/>
      </c>
      <c r="U6" s="107">
        <f>_xlfn.XLOOKUP(T6,'PEW2'!$B$6:$B$55,'PEW2'!$A$6:$A$55,0)</f>
        <v>0</v>
      </c>
      <c r="V6" s="6" t="str">
        <f>_xlfn.XLOOKUP($B6,'PEW3'!$C$6:$C$101,'PEW3'!$B$6:$B$101,"")</f>
        <v/>
      </c>
      <c r="W6" s="107">
        <f>_xlfn.XLOOKUP(V6,'PEW3'!$B$6:$B$55,'PEW3'!$A$6:$A$55,0)</f>
        <v>0</v>
      </c>
      <c r="X6" s="6" t="str">
        <f>_xlfn.XLOOKUP($B6,'PEW4'!$C$6:$C$101,'PEW4'!$B$6:$B$101,"")</f>
        <v/>
      </c>
      <c r="Y6" s="107">
        <f>_xlfn.XLOOKUP(X6,'PEW4'!$B$6:$B$55,'PEW4'!$A$6:$A$55,0)</f>
        <v>0</v>
      </c>
      <c r="Z6" s="6" t="str">
        <f>_xlfn.XLOOKUP($B6,'PEW5'!$C$6:$C$101,'PEW5'!$B$6:$B$101,"")</f>
        <v/>
      </c>
      <c r="AA6" s="107">
        <f>_xlfn.XLOOKUP(Z6,'PEW5'!$B$6:$B$55,'PEW5'!$A$6:$A$55,0)</f>
        <v>0</v>
      </c>
      <c r="AB6" s="6">
        <f>_xlfn.XLOOKUP($B6,'PEW6'!$C$6:$C$101,'PEW6'!$B$6:$B$101,"")</f>
        <v>3</v>
      </c>
      <c r="AC6" s="107">
        <f>_xlfn.XLOOKUP(AB6,'PEW6'!$B$6:$B$55,'PEW6'!$A$6:$A$55,0)</f>
        <v>69.237629613545906</v>
      </c>
      <c r="AD6" s="6" t="str">
        <f>_xlfn.XLOOKUP($B6,'PEW7'!$C$6:$C$101,'PEW7'!$B$6:$B$101,"")</f>
        <v/>
      </c>
      <c r="AE6" s="107">
        <f>_xlfn.XLOOKUP(AD6,'PEW7'!$B$6:$B$55,'PEW7'!$A$6:$A$55,0)</f>
        <v>0</v>
      </c>
      <c r="AF6" s="6" t="str">
        <f>_xlfn.XLOOKUP($B6,PS!$C$6:$C$101,PS!$B$6:$B$101,"")</f>
        <v/>
      </c>
      <c r="AG6" s="107">
        <f>_xlfn.XLOOKUP(AF6,PS!$B$6:$B$55,PS!$A$6:$A$55,0)</f>
        <v>0</v>
      </c>
      <c r="AH6" s="6" t="str" cm="1">
        <f t="array" ref="AH6">_xlfn.XLOOKUP($B6,IMEW!C$6:C$200,IMEW!$B$6:B$200,"")</f>
        <v/>
      </c>
      <c r="AI6" s="108">
        <f>_xlfn.XLOOKUP(AH6,IMEW!$B$6:$B$200,IMEW!$A$6:$A$200,0)</f>
        <v>0</v>
      </c>
    </row>
    <row r="7" spans="1:35" ht="14.8" customHeight="1" x14ac:dyDescent="0.25">
      <c r="A7" s="212">
        <f t="shared" si="0"/>
        <v>2</v>
      </c>
      <c r="B7" s="5" t="s">
        <v>17</v>
      </c>
      <c r="C7" s="213"/>
      <c r="D7" s="105">
        <f>SUM(F7,H7,J7,L7,N7,P7)-MIN(F7,H7,J7,L7,N7)+SUM(LARGE((S7,U7,W7,Y7,AA7,AC7,AE7,AG7),1),LARGE((S7,U7,W7,Y7,AA7,AC7,AE7,AG7),2),LARGE((S7,U7,W7,Y7,AA7,AC7,AE7,AG7),3),AI7)</f>
        <v>319.6665313860492</v>
      </c>
      <c r="E7" s="6">
        <f>_xlfn.XLOOKUP($B7,'PP1'!$C$6:$C$101,'PP1'!$B$6:$B$101,"")</f>
        <v>2</v>
      </c>
      <c r="F7" s="104">
        <f>_xlfn.XLOOKUP(E7,'PP1'!$B$6:$B$55,'PP1'!$A$6:$A$55,0)</f>
        <v>59.156704334463925</v>
      </c>
      <c r="G7" s="6">
        <f>_xlfn.XLOOKUP($B7,'PP2'!$C$6:$C$101,'PP2'!$B$6:$B$101,"")</f>
        <v>4</v>
      </c>
      <c r="H7" s="104">
        <f>_xlfn.XLOOKUP(G7,'PP2'!$B$6:$B$55,'PP2'!$A$6:$A$55,0)</f>
        <v>17.793697308807488</v>
      </c>
      <c r="I7" s="6">
        <f>_xlfn.XLOOKUP($B7,'PP3'!$C$6:$C$101,'PP3'!$B$6:$B$101,"")</f>
        <v>3</v>
      </c>
      <c r="J7" s="104">
        <f>_xlfn.XLOOKUP(I7,'PP3'!$B$6:$B$55,'PP3'!$A$6:$A$55,0)</f>
        <v>35.407149332988958</v>
      </c>
      <c r="K7" s="6">
        <f>_xlfn.XLOOKUP($B7,'PP4'!$C$6:$C$101,'PP4'!$B$6:$B$101,"")</f>
        <v>2</v>
      </c>
      <c r="L7" s="104">
        <f>_xlfn.XLOOKUP(K7,'PP4'!$B$6:$B$55,'PP4'!$A$6:$A$55,0)</f>
        <v>55.024406311809194</v>
      </c>
      <c r="M7" s="6">
        <f>_xlfn.XLOOKUP($B7,'PP5'!$C$6:$C$101,'PP5'!$B$6:$B$101,"")</f>
        <v>1</v>
      </c>
      <c r="N7" s="104">
        <f>_xlfn.XLOOKUP(M7,'PP5'!$B$6:$B$55,'PP5'!$A$6:$A$55,0)</f>
        <v>59</v>
      </c>
      <c r="O7" s="6">
        <f>_xlfn.XLOOKUP(B7,MPW!C$6:C$101,MPW!B$6:B$101,"")</f>
        <v>2</v>
      </c>
      <c r="P7" s="106">
        <f>_xlfn.XLOOKUP(O7,MPW!$B$6:$B$55,MPW!$A$6:$A$55,0)</f>
        <v>66.029287574171036</v>
      </c>
      <c r="R7" s="6">
        <f>_xlfn.XLOOKUP($B7,'PEW1'!$C$6:$C$101,'PEW1'!$B$6:$B$101,"")</f>
        <v>17</v>
      </c>
      <c r="S7" s="107">
        <f>_xlfn.XLOOKUP(R7,'PEW1'!$B$6:$B$55,'PEW1'!$A$6:$A$55,0)</f>
        <v>2.8509658916225433</v>
      </c>
      <c r="T7" s="6">
        <f>_xlfn.XLOOKUP($B7,'PEW2'!$C$6:$C$101,'PEW2'!$B$6:$B$101,"")</f>
        <v>22</v>
      </c>
      <c r="U7" s="107">
        <f>_xlfn.XLOOKUP(T7,'PEW2'!$B$6:$B$55,'PEW2'!$A$6:$A$55,0)</f>
        <v>5.4683062408630647</v>
      </c>
      <c r="V7" s="6" t="str">
        <f>_xlfn.XLOOKUP($B7,'PEW3'!$C$6:$C$101,'PEW3'!$B$6:$B$101,"")</f>
        <v/>
      </c>
      <c r="W7" s="107">
        <f>_xlfn.XLOOKUP(V7,'PEW3'!$B$6:$B$55,'PEW3'!$A$6:$A$55,0)</f>
        <v>0</v>
      </c>
      <c r="X7" s="6" t="str">
        <f>_xlfn.XLOOKUP($B7,'PEW4'!$C$6:$C$101,'PEW4'!$B$6:$B$101,"")</f>
        <v/>
      </c>
      <c r="Y7" s="107">
        <f>_xlfn.XLOOKUP(X7,'PEW4'!$B$6:$B$55,'PEW4'!$A$6:$A$55,0)</f>
        <v>0</v>
      </c>
      <c r="Z7" s="6" t="str">
        <f>_xlfn.XLOOKUP($B7,'PEW5'!$C$6:$C$101,'PEW5'!$B$6:$B$101,"")</f>
        <v/>
      </c>
      <c r="AA7" s="107">
        <f>_xlfn.XLOOKUP(Z7,'PEW5'!$B$6:$B$55,'PEW5'!$A$6:$A$55,0)</f>
        <v>0</v>
      </c>
      <c r="AB7" s="6">
        <f>_xlfn.XLOOKUP($B7,'PEW6'!$C$6:$C$101,'PEW6'!$B$6:$B$101,"")</f>
        <v>13</v>
      </c>
      <c r="AC7" s="107">
        <f>_xlfn.XLOOKUP(AB7,'PEW6'!$B$6:$B$55,'PEW6'!$A$6:$A$55,0)</f>
        <v>16.51683276648928</v>
      </c>
      <c r="AD7" s="6" t="str">
        <f>_xlfn.XLOOKUP($B7,'PEW7'!$C$6:$C$101,'PEW7'!$B$6:$B$101,"")</f>
        <v/>
      </c>
      <c r="AE7" s="107">
        <f>_xlfn.XLOOKUP(AD7,'PEW7'!$B$6:$B$55,'PEW7'!$A$6:$A$55,0)</f>
        <v>0</v>
      </c>
      <c r="AF7" s="6" t="str">
        <f>_xlfn.XLOOKUP($B7,PS!$C$6:$C$101,PS!$B$6:$B$101,"")</f>
        <v/>
      </c>
      <c r="AG7" s="107">
        <f>_xlfn.XLOOKUP(AF7,PS!$B$6:$B$55,PS!$A$6:$A$55,0)</f>
        <v>0</v>
      </c>
      <c r="AH7" s="6" cm="1">
        <f t="array" ref="AH7">_xlfn.XLOOKUP($B7,IMEW!C$6:C$200,IMEW!$B$6:B$200,"")</f>
        <v>49</v>
      </c>
      <c r="AI7" s="108">
        <f>_xlfn.XLOOKUP(AH7,IMEW!$B$6:$B$200,IMEW!$A$6:$A$200,0)</f>
        <v>20.212878933641218</v>
      </c>
    </row>
    <row r="8" spans="1:35" ht="15.8" customHeight="1" x14ac:dyDescent="0.25">
      <c r="A8" s="212">
        <f t="shared" si="0"/>
        <v>3</v>
      </c>
      <c r="B8" s="5" t="s">
        <v>18</v>
      </c>
      <c r="C8" s="213"/>
      <c r="D8" s="105">
        <f>SUM(F8,H8,J8,L8,N8,P8)-MIN(F8,H8,J8,L8,N8)+SUM(LARGE((S8,U8,W8,Y8,AA8,AC8,AE8,AG8),1),LARGE((S8,U8,W8,Y8,AA8,AC8,AE8,AG8),2),LARGE((S8,U8,W8,Y8,AA8,AC8,AE8,AG8),3),AI8)</f>
        <v>121.10364033696422</v>
      </c>
      <c r="E8" s="6" t="str">
        <f>_xlfn.XLOOKUP($B8,'PP1'!$C$6:$C$101,'PP1'!$B$6:$B$101,"")</f>
        <v/>
      </c>
      <c r="F8" s="104">
        <f>_xlfn.XLOOKUP(E8,'PP1'!$B$6:$B$55,'PP1'!$A$6:$A$55,0)</f>
        <v>0</v>
      </c>
      <c r="G8" s="6">
        <f>_xlfn.XLOOKUP($B8,'PP2'!$C$6:$C$101,'PP2'!$B$6:$B$101,"")</f>
        <v>2</v>
      </c>
      <c r="H8" s="104">
        <f>_xlfn.XLOOKUP(G8,'PP2'!$B$6:$B$55,'PP2'!$A$6:$A$55,0)</f>
        <v>59.156704334463925</v>
      </c>
      <c r="I8" s="6">
        <f>_xlfn.XLOOKUP($B8,'PP3'!$C$6:$C$101,'PP3'!$B$6:$B$101,"")</f>
        <v>2</v>
      </c>
      <c r="J8" s="104">
        <f>_xlfn.XLOOKUP(I8,'PP3'!$B$6:$B$55,'PP3'!$A$6:$A$55,0)</f>
        <v>61.946936002500301</v>
      </c>
      <c r="K8" s="6" t="str">
        <f>_xlfn.XLOOKUP($B8,'PP4'!$C$6:$C$101,'PP4'!$B$6:$B$101,"")</f>
        <v/>
      </c>
      <c r="L8" s="104">
        <f>_xlfn.XLOOKUP(K8,'PP4'!$B$6:$B$55,'PP4'!$A$6:$A$55,0)</f>
        <v>0</v>
      </c>
      <c r="M8" s="6" t="str">
        <f>_xlfn.XLOOKUP($B8,'PP5'!$C$6:$C$101,'PP5'!$B$6:$B$101,"")</f>
        <v/>
      </c>
      <c r="N8" s="104">
        <f>_xlfn.XLOOKUP(M8,'PP5'!$B$6:$B$55,'PP5'!$A$6:$A$55,0)</f>
        <v>0</v>
      </c>
      <c r="O8" s="6" t="str">
        <f>_xlfn.XLOOKUP(B8,MPW!C$6:C$101,MPW!B$6:B$101,"")</f>
        <v/>
      </c>
      <c r="P8" s="106">
        <f>_xlfn.XLOOKUP(O8,MPW!$B$6:$B$55,MPW!$A$6:$A$55,0)</f>
        <v>0</v>
      </c>
      <c r="R8" s="6" t="str">
        <f>_xlfn.XLOOKUP($B8,'PEW1'!$C$6:$C$101,'PEW1'!$B$6:$B$101,"")</f>
        <v/>
      </c>
      <c r="S8" s="107">
        <f>_xlfn.XLOOKUP(R8,'PEW1'!$B$6:$B$55,'PEW1'!$A$6:$A$55,0)</f>
        <v>0</v>
      </c>
      <c r="T8" s="6" t="str">
        <f>_xlfn.XLOOKUP($B8,'PEW2'!$C$6:$C$101,'PEW2'!$B$6:$B$101,"")</f>
        <v/>
      </c>
      <c r="U8" s="107">
        <f>_xlfn.XLOOKUP(T8,'PEW2'!$B$6:$B$55,'PEW2'!$A$6:$A$55,0)</f>
        <v>0</v>
      </c>
      <c r="V8" s="6" t="str">
        <f>_xlfn.XLOOKUP($B8,'PEW3'!$C$6:$C$101,'PEW3'!$B$6:$B$101,"")</f>
        <v/>
      </c>
      <c r="W8" s="107">
        <f>_xlfn.XLOOKUP(V8,'PEW3'!$B$6:$B$55,'PEW3'!$A$6:$A$55,0)</f>
        <v>0</v>
      </c>
      <c r="X8" s="6" t="str">
        <f>_xlfn.XLOOKUP($B8,'PEW4'!$C$6:$C$101,'PEW4'!$B$6:$B$101,"")</f>
        <v/>
      </c>
      <c r="Y8" s="107">
        <f>_xlfn.XLOOKUP(X8,'PEW4'!$B$6:$B$55,'PEW4'!$A$6:$A$55,0)</f>
        <v>0</v>
      </c>
      <c r="Z8" s="6" t="str">
        <f>_xlfn.XLOOKUP($B8,'PEW5'!$C$6:$C$101,'PEW5'!$B$6:$B$101,"")</f>
        <v/>
      </c>
      <c r="AA8" s="107">
        <f>_xlfn.XLOOKUP(Z8,'PEW5'!$B$6:$B$55,'PEW5'!$A$6:$A$55,0)</f>
        <v>0</v>
      </c>
      <c r="AB8" s="6" t="str">
        <f>_xlfn.XLOOKUP($B8,'PEW6'!$C$6:$C$101,'PEW6'!$B$6:$B$101,"")</f>
        <v/>
      </c>
      <c r="AC8" s="107">
        <f>_xlfn.XLOOKUP(AB8,'PEW6'!$B$6:$B$55,'PEW6'!$A$6:$A$55,0)</f>
        <v>0</v>
      </c>
      <c r="AD8" s="6" t="str">
        <f>_xlfn.XLOOKUP($B8,'PEW7'!$C$6:$C$101,'PEW7'!$B$6:$B$101,"")</f>
        <v/>
      </c>
      <c r="AE8" s="107">
        <f>_xlfn.XLOOKUP(AD8,'PEW7'!$B$6:$B$55,'PEW7'!$A$6:$A$55,0)</f>
        <v>0</v>
      </c>
      <c r="AF8" s="6" t="str">
        <f>_xlfn.XLOOKUP($B8,PS!$C$6:$C$101,PS!$B$6:$B$101,"")</f>
        <v/>
      </c>
      <c r="AG8" s="107">
        <f>_xlfn.XLOOKUP(AF8,PS!$B$6:$B$55,PS!$A$6:$A$55,0)</f>
        <v>0</v>
      </c>
      <c r="AH8" s="6" t="str" cm="1">
        <f t="array" ref="AH8">_xlfn.XLOOKUP($B8,IMEW!C$6:C$200,IMEW!$B$6:B$200,"")</f>
        <v/>
      </c>
      <c r="AI8" s="108">
        <f>_xlfn.XLOOKUP(AH8,IMEW!$B$6:$B$200,IMEW!$A$6:$A$200,0)</f>
        <v>0</v>
      </c>
    </row>
    <row r="9" spans="1:35" ht="14.8" customHeight="1" x14ac:dyDescent="0.25">
      <c r="A9" s="212">
        <f t="shared" si="0"/>
        <v>4</v>
      </c>
      <c r="B9" s="5" t="s">
        <v>20</v>
      </c>
      <c r="C9" s="213"/>
      <c r="D9" s="105">
        <f>SUM(F9,H9,J9,L9,N9,P9)-MIN(F9,H9,J9,L9,N9)+SUM(LARGE((S9,U9,W9,Y9,AA9,AC9,AE9,AG9),1),LARGE((S9,U9,W9,Y9,AA9,AC9,AE9,AG9),2),LARGE((S9,U9,W9,Y9,AA9,AC9,AE9,AG9),3),AI9)</f>
        <v>78.293884897638804</v>
      </c>
      <c r="E9" s="6" t="str">
        <f>_xlfn.XLOOKUP($B9,'PP1'!$C$6:$C$101,'PP1'!$B$6:$B$101,"")</f>
        <v/>
      </c>
      <c r="F9" s="104">
        <f>_xlfn.XLOOKUP(E9,'PP1'!$B$6:$B$55,'PP1'!$A$6:$A$55,0)</f>
        <v>0</v>
      </c>
      <c r="G9" s="6" t="str">
        <f>_xlfn.XLOOKUP($B9,'PP2'!$C$6:$C$101,'PP2'!$B$6:$B$101,"")</f>
        <v/>
      </c>
      <c r="H9" s="104">
        <f>_xlfn.XLOOKUP(G9,'PP2'!$B$6:$B$55,'PP2'!$A$6:$A$55,0)</f>
        <v>0</v>
      </c>
      <c r="I9" s="6">
        <f>_xlfn.XLOOKUP($B9,'PP3'!$C$6:$C$101,'PP3'!$B$6:$B$101,"")</f>
        <v>5</v>
      </c>
      <c r="J9" s="104">
        <f>_xlfn.XLOOKUP(I9,'PP3'!$B$6:$B$55,'PP3'!$A$6:$A$55,0)</f>
        <v>5.9860243165075602</v>
      </c>
      <c r="K9" s="6">
        <f>_xlfn.XLOOKUP($B9,'PP4'!$C$6:$C$101,'PP4'!$B$6:$B$101,"")</f>
        <v>3</v>
      </c>
      <c r="L9" s="104">
        <f>_xlfn.XLOOKUP(K9,'PP4'!$B$6:$B$55,'PP4'!$A$6:$A$55,0)</f>
        <v>25.930621888236271</v>
      </c>
      <c r="M9" s="6" t="str">
        <f>_xlfn.XLOOKUP($B9,'PP5'!$C$6:$C$101,'PP5'!$B$6:$B$101,"")</f>
        <v/>
      </c>
      <c r="N9" s="104">
        <f>_xlfn.XLOOKUP(M9,'PP5'!$B$6:$B$55,'PP5'!$A$6:$A$55,0)</f>
        <v>0</v>
      </c>
      <c r="O9" s="6">
        <f>_xlfn.XLOOKUP(B9,MPW!C$6:C$101,MPW!B$6:B$101,"")</f>
        <v>3</v>
      </c>
      <c r="P9" s="106">
        <f>_xlfn.XLOOKUP(O9,MPW!$B$6:$B$55,MPW!$A$6:$A$55,0)</f>
        <v>31.116746265883524</v>
      </c>
      <c r="R9" s="6" t="str">
        <f>_xlfn.XLOOKUP($B9,'PEW1'!$C$6:$C$101,'PEW1'!$B$6:$B$101,"")</f>
        <v/>
      </c>
      <c r="S9" s="107">
        <f>_xlfn.XLOOKUP(R9,'PEW1'!$B$6:$B$55,'PEW1'!$A$6:$A$55,0)</f>
        <v>0</v>
      </c>
      <c r="T9" s="6" t="str">
        <f>_xlfn.XLOOKUP($B9,'PEW2'!$C$6:$C$101,'PEW2'!$B$6:$B$101,"")</f>
        <v/>
      </c>
      <c r="U9" s="107">
        <f>_xlfn.XLOOKUP(T9,'PEW2'!$B$6:$B$55,'PEW2'!$A$6:$A$55,0)</f>
        <v>0</v>
      </c>
      <c r="V9" s="6" t="str">
        <f>_xlfn.XLOOKUP($B9,'PEW3'!$C$6:$C$101,'PEW3'!$B$6:$B$101,"")</f>
        <v/>
      </c>
      <c r="W9" s="107">
        <f>_xlfn.XLOOKUP(V9,'PEW3'!$B$6:$B$55,'PEW3'!$A$6:$A$55,0)</f>
        <v>0</v>
      </c>
      <c r="X9" s="6" t="str">
        <f>_xlfn.XLOOKUP($B9,'PEW4'!$C$6:$C$101,'PEW4'!$B$6:$B$101,"")</f>
        <v/>
      </c>
      <c r="Y9" s="107">
        <f>_xlfn.XLOOKUP(X9,'PEW4'!$B$6:$B$55,'PEW4'!$A$6:$A$55,0)</f>
        <v>0</v>
      </c>
      <c r="Z9" s="6" t="str">
        <f>_xlfn.XLOOKUP($B9,'PEW5'!$C$6:$C$101,'PEW5'!$B$6:$B$101,"")</f>
        <v/>
      </c>
      <c r="AA9" s="107">
        <f>_xlfn.XLOOKUP(Z9,'PEW5'!$B$6:$B$55,'PEW5'!$A$6:$A$55,0)</f>
        <v>0</v>
      </c>
      <c r="AB9" s="6">
        <f>_xlfn.XLOOKUP($B9,'PEW6'!$C$6:$C$101,'PEW6'!$B$6:$B$101,"")</f>
        <v>14</v>
      </c>
      <c r="AC9" s="107">
        <f>_xlfn.XLOOKUP(AB9,'PEW6'!$B$6:$B$55,'PEW6'!$A$6:$A$55,0)</f>
        <v>15.260492427011457</v>
      </c>
      <c r="AD9" s="6" t="str">
        <f>_xlfn.XLOOKUP($B9,'PEW7'!$C$6:$C$101,'PEW7'!$B$6:$B$101,"")</f>
        <v/>
      </c>
      <c r="AE9" s="107">
        <f>_xlfn.XLOOKUP(AD9,'PEW7'!$B$6:$B$55,'PEW7'!$A$6:$A$55,0)</f>
        <v>0</v>
      </c>
      <c r="AF9" s="6" t="str">
        <f>_xlfn.XLOOKUP($B9,PS!$C$6:$C$101,PS!$B$6:$B$101,"")</f>
        <v/>
      </c>
      <c r="AG9" s="107">
        <f>_xlfn.XLOOKUP(AF9,PS!$B$6:$B$55,PS!$A$6:$A$55,0)</f>
        <v>0</v>
      </c>
      <c r="AH9" s="6" t="str" cm="1">
        <f t="array" ref="AH9">_xlfn.XLOOKUP($B9,IMEW!C$6:C$200,IMEW!$B$6:B$200,"")</f>
        <v/>
      </c>
      <c r="AI9" s="108">
        <f>_xlfn.XLOOKUP(AH9,IMEW!$B$6:$B$200,IMEW!$A$6:$A$200,0)</f>
        <v>0</v>
      </c>
    </row>
    <row r="10" spans="1:35" ht="14.8" customHeight="1" x14ac:dyDescent="0.25">
      <c r="A10" s="212">
        <f t="shared" si="0"/>
        <v>5</v>
      </c>
      <c r="B10" s="202" t="s">
        <v>19</v>
      </c>
      <c r="C10" s="213"/>
      <c r="D10" s="105">
        <f>SUM(F10,H10,J10,L10,N10,P10)-MIN(F10,H10,J10,L10,N10)+SUM(LARGE((S10,U10,W10,Y10,AA10,AC10,AE10,AG10),1),LARGE((S10,U10,W10,Y10,AA10,AC10,AE10,AG10),2),LARGE((S10,U10,W10,Y10,AA10,AC10,AE10,AG10),3),AI10)</f>
        <v>74.082242911779517</v>
      </c>
      <c r="E10" s="6">
        <f>_xlfn.XLOOKUP($B10,'PP1'!$C$6:$C$101,'PP1'!$B$6:$B$101,"")</f>
        <v>4</v>
      </c>
      <c r="F10" s="104">
        <f>_xlfn.XLOOKUP(E10,'PP1'!$B$6:$B$55,'PP1'!$A$6:$A$55,0)</f>
        <v>17.793697308807488</v>
      </c>
      <c r="G10" s="6">
        <f>_xlfn.XLOOKUP($B10,'PP2'!$C$6:$C$101,'PP2'!$B$6:$B$101,"")</f>
        <v>3</v>
      </c>
      <c r="H10" s="104">
        <f>_xlfn.XLOOKUP(G10,'PP2'!$B$6:$B$55,'PP2'!$A$6:$A$55,0)</f>
        <v>31.682224310216817</v>
      </c>
      <c r="I10" s="6">
        <f>_xlfn.XLOOKUP($B10,'PP3'!$C$6:$C$101,'PP3'!$B$6:$B$101,"")</f>
        <v>4</v>
      </c>
      <c r="J10" s="104">
        <f>_xlfn.XLOOKUP(I10,'PP3'!$B$6:$B$55,'PP3'!$A$6:$A$55,0)</f>
        <v>22.088424891014924</v>
      </c>
      <c r="K10" s="6" t="str">
        <f>_xlfn.XLOOKUP($B10,'PP4'!$C$6:$C$101,'PP4'!$B$6:$B$101,"")</f>
        <v/>
      </c>
      <c r="L10" s="104">
        <f>_xlfn.XLOOKUP(K10,'PP4'!$B$6:$B$55,'PP4'!$A$6:$A$55,0)</f>
        <v>0</v>
      </c>
      <c r="M10" s="6" t="str">
        <f>_xlfn.XLOOKUP($B10,'PP5'!$C$6:$C$101,'PP5'!$B$6:$B$101,"")</f>
        <v/>
      </c>
      <c r="N10" s="104">
        <f>_xlfn.XLOOKUP(M10,'PP5'!$B$6:$B$55,'PP5'!$A$6:$A$55,0)</f>
        <v>0</v>
      </c>
      <c r="O10" s="6" t="str">
        <f>_xlfn.XLOOKUP(B10,MPW!C$6:C$101,MPW!B$6:B$101,"")</f>
        <v/>
      </c>
      <c r="P10" s="106">
        <f>_xlfn.XLOOKUP(O10,MPW!$B$6:$B$55,MPW!$A$6:$A$55,0)</f>
        <v>0</v>
      </c>
      <c r="R10" s="6" t="str">
        <f>_xlfn.XLOOKUP($B10,'PEW1'!$C$6:$C$101,'PEW1'!$B$6:$B$101,"")</f>
        <v/>
      </c>
      <c r="S10" s="107">
        <f>_xlfn.XLOOKUP(R10,'PEW1'!$B$6:$B$55,'PEW1'!$A$6:$A$55,0)</f>
        <v>0</v>
      </c>
      <c r="T10" s="6">
        <f>_xlfn.XLOOKUP($B10,'PEW2'!$C$6:$C$101,'PEW2'!$B$6:$B$101,"")</f>
        <v>27</v>
      </c>
      <c r="U10" s="107">
        <f>_xlfn.XLOOKUP(T10,'PEW2'!$B$6:$B$55,'PEW2'!$A$6:$A$55,0)</f>
        <v>2.5178964017402876</v>
      </c>
      <c r="V10" s="6" t="str">
        <f>_xlfn.XLOOKUP($B10,'PEW3'!$C$6:$C$101,'PEW3'!$B$6:$B$101,"")</f>
        <v/>
      </c>
      <c r="W10" s="107">
        <f>_xlfn.XLOOKUP(V10,'PEW3'!$B$6:$B$55,'PEW3'!$A$6:$A$55,0)</f>
        <v>0</v>
      </c>
      <c r="X10" s="6" t="str">
        <f>_xlfn.XLOOKUP($B10,'PEW4'!$C$6:$C$101,'PEW4'!$B$6:$B$101,"")</f>
        <v/>
      </c>
      <c r="Y10" s="107">
        <f>_xlfn.XLOOKUP(X10,'PEW4'!$B$6:$B$55,'PEW4'!$A$6:$A$55,0)</f>
        <v>0</v>
      </c>
      <c r="Z10" s="6" t="str">
        <f>_xlfn.XLOOKUP($B10,'PEW5'!$C$6:$C$101,'PEW5'!$B$6:$B$101,"")</f>
        <v/>
      </c>
      <c r="AA10" s="107">
        <f>_xlfn.XLOOKUP(Z10,'PEW5'!$B$6:$B$55,'PEW5'!$A$6:$A$55,0)</f>
        <v>0</v>
      </c>
      <c r="AB10" s="6" t="str">
        <f>_xlfn.XLOOKUP($B10,'PEW6'!$C$6:$C$101,'PEW6'!$B$6:$B$101,"")</f>
        <v/>
      </c>
      <c r="AC10" s="107">
        <f>_xlfn.XLOOKUP(AB10,'PEW6'!$B$6:$B$55,'PEW6'!$A$6:$A$55,0)</f>
        <v>0</v>
      </c>
      <c r="AD10" s="6" t="str">
        <f>_xlfn.XLOOKUP($B10,'PEW7'!$C$6:$C$101,'PEW7'!$B$6:$B$101,"")</f>
        <v/>
      </c>
      <c r="AE10" s="107">
        <f>_xlfn.XLOOKUP(AD10,'PEW7'!$B$6:$B$55,'PEW7'!$A$6:$A$55,0)</f>
        <v>0</v>
      </c>
      <c r="AF10" s="6" t="str">
        <f>_xlfn.XLOOKUP($B10,PS!$C$6:$C$101,PS!$B$6:$B$101,"")</f>
        <v/>
      </c>
      <c r="AG10" s="107">
        <f>_xlfn.XLOOKUP(AF10,PS!$B$6:$B$55,PS!$A$6:$A$55,0)</f>
        <v>0</v>
      </c>
      <c r="AH10" s="6" t="str" cm="1">
        <f t="array" ref="AH10">_xlfn.XLOOKUP($B10,IMEW!C$6:C$200,IMEW!$B$6:B$200,"")</f>
        <v/>
      </c>
      <c r="AI10" s="108">
        <f>_xlfn.XLOOKUP(AH10,IMEW!$B$6:$B$200,IMEW!$A$6:$A$200,0)</f>
        <v>0</v>
      </c>
    </row>
    <row r="11" spans="1:35" ht="14.8" customHeight="1" x14ac:dyDescent="0.25">
      <c r="A11" s="212">
        <f t="shared" si="0"/>
        <v>6</v>
      </c>
      <c r="B11" s="5" t="s">
        <v>23</v>
      </c>
      <c r="C11" s="213"/>
      <c r="D11" s="105">
        <f>SUM(F11,H11,J11,L11,N11,P11)-MIN(F11,H11,J11,L11,N11)+SUM(LARGE((S11,U11,W11,Y11,AA11,AC11,AE11,AG11),1),LARGE((S11,U11,W11,Y11,AA11,AC11,AE11,AG11),2),LARGE((S11,U11,W11,Y11,AA11,AC11,AE11,AG11),3),AI11)</f>
        <v>13.996756552646232</v>
      </c>
      <c r="E11" s="6" t="str">
        <f>_xlfn.XLOOKUP($B11,'PP1'!$C$6:$C$101,'PP1'!$B$6:$B$101,"")</f>
        <v/>
      </c>
      <c r="F11" s="104">
        <f>_xlfn.XLOOKUP(E11,'PP1'!$B$6:$B$55,'PP1'!$A$6:$A$55,0)</f>
        <v>0</v>
      </c>
      <c r="G11" s="6" t="str">
        <f>_xlfn.XLOOKUP($B11,'PP2'!$C$6:$C$101,'PP2'!$B$6:$B$101,"")</f>
        <v/>
      </c>
      <c r="H11" s="104">
        <f>_xlfn.XLOOKUP(G11,'PP2'!$B$6:$B$55,'PP2'!$A$6:$A$55,0)</f>
        <v>0</v>
      </c>
      <c r="I11" s="6">
        <f>_xlfn.XLOOKUP($B11,'PP3'!$C$6:$C$101,'PP3'!$B$6:$B$101,"")</f>
        <v>6</v>
      </c>
      <c r="J11" s="104">
        <f>_xlfn.XLOOKUP(I11,'PP3'!$B$6:$B$55,'PP3'!$A$6:$A$55,0)</f>
        <v>1</v>
      </c>
      <c r="K11" s="6" t="str">
        <f>_xlfn.XLOOKUP($B11,'PP4'!$C$6:$C$101,'PP4'!$B$6:$B$101,"")</f>
        <v/>
      </c>
      <c r="L11" s="104">
        <f>_xlfn.XLOOKUP(K11,'PP4'!$B$6:$B$55,'PP4'!$A$6:$A$55,0)</f>
        <v>0</v>
      </c>
      <c r="M11" s="6" t="str">
        <f>_xlfn.XLOOKUP($B11,'PP5'!$C$6:$C$101,'PP5'!$B$6:$B$101,"")</f>
        <v/>
      </c>
      <c r="N11" s="104">
        <f>_xlfn.XLOOKUP(M11,'PP5'!$B$6:$B$55,'PP5'!$A$6:$A$55,0)</f>
        <v>0</v>
      </c>
      <c r="O11" s="6" t="str">
        <f>_xlfn.XLOOKUP(B11,MPW!C$6:C$101,MPW!B$6:B$101,"")</f>
        <v/>
      </c>
      <c r="P11" s="106">
        <f>_xlfn.XLOOKUP(O11,MPW!$B$6:$B$55,MPW!$A$6:$A$55,0)</f>
        <v>0</v>
      </c>
      <c r="R11" s="6" t="str">
        <f>_xlfn.XLOOKUP($B11,'PEW1'!$C$6:$C$101,'PEW1'!$B$6:$B$101,"")</f>
        <v/>
      </c>
      <c r="S11" s="107">
        <f>_xlfn.XLOOKUP(R11,'PEW1'!$B$6:$B$55,'PEW1'!$A$6:$A$55,0)</f>
        <v>0</v>
      </c>
      <c r="T11" s="6" t="str">
        <f>_xlfn.XLOOKUP($B11,'PEW2'!$C$6:$C$101,'PEW2'!$B$6:$B$101,"")</f>
        <v/>
      </c>
      <c r="U11" s="107">
        <f>_xlfn.XLOOKUP(T11,'PEW2'!$B$6:$B$55,'PEW2'!$A$6:$A$55,0)</f>
        <v>0</v>
      </c>
      <c r="V11" s="6" t="str">
        <f>_xlfn.XLOOKUP($B11,'PEW3'!$C$6:$C$101,'PEW3'!$B$6:$B$101,"")</f>
        <v/>
      </c>
      <c r="W11" s="107">
        <f>_xlfn.XLOOKUP(V11,'PEW3'!$B$6:$B$55,'PEW3'!$A$6:$A$55,0)</f>
        <v>0</v>
      </c>
      <c r="X11" s="6" t="str">
        <f>_xlfn.XLOOKUP($B11,'PEW4'!$C$6:$C$101,'PEW4'!$B$6:$B$101,"")</f>
        <v/>
      </c>
      <c r="Y11" s="107">
        <f>_xlfn.XLOOKUP(X11,'PEW4'!$B$6:$B$55,'PEW4'!$A$6:$A$55,0)</f>
        <v>0</v>
      </c>
      <c r="Z11" s="6" t="str">
        <f>_xlfn.XLOOKUP($B11,'PEW5'!$C$6:$C$101,'PEW5'!$B$6:$B$101,"")</f>
        <v/>
      </c>
      <c r="AA11" s="107">
        <f>_xlfn.XLOOKUP(Z11,'PEW5'!$B$6:$B$55,'PEW5'!$A$6:$A$55,0)</f>
        <v>0</v>
      </c>
      <c r="AB11" s="6">
        <f>_xlfn.XLOOKUP($B11,'PEW6'!$C$6:$C$101,'PEW6'!$B$6:$B$101,"")</f>
        <v>16</v>
      </c>
      <c r="AC11" s="107">
        <f>_xlfn.XLOOKUP(AB11,'PEW6'!$B$6:$B$55,'PEW6'!$A$6:$A$55,0)</f>
        <v>12.996756552646232</v>
      </c>
      <c r="AD11" s="6" t="str">
        <f>_xlfn.XLOOKUP($B11,'PEW7'!$C$6:$C$101,'PEW7'!$B$6:$B$101,"")</f>
        <v/>
      </c>
      <c r="AE11" s="107">
        <f>_xlfn.XLOOKUP(AD11,'PEW7'!$B$6:$B$55,'PEW7'!$A$6:$A$55,0)</f>
        <v>0</v>
      </c>
      <c r="AF11" s="6" t="str">
        <f>_xlfn.XLOOKUP($B11,PS!$C$6:$C$101,PS!$B$6:$B$101,"")</f>
        <v/>
      </c>
      <c r="AG11" s="107">
        <f>_xlfn.XLOOKUP(AF11,PS!$B$6:$B$55,PS!$A$6:$A$55,0)</f>
        <v>0</v>
      </c>
      <c r="AH11" s="6" t="str" cm="1">
        <f t="array" ref="AH11">_xlfn.XLOOKUP($B11,IMEW!C$6:C$200,IMEW!$B$6:B$200,"")</f>
        <v/>
      </c>
      <c r="AI11" s="108">
        <f>_xlfn.XLOOKUP(AH11,IMEW!$B$6:$B$200,IMEW!$A$6:$A$200,0)</f>
        <v>0</v>
      </c>
    </row>
    <row r="12" spans="1:35" ht="14.8" customHeight="1" x14ac:dyDescent="0.25">
      <c r="A12" s="212">
        <f t="shared" si="0"/>
        <v>7</v>
      </c>
      <c r="B12" s="5" t="s">
        <v>22</v>
      </c>
      <c r="C12" s="213"/>
      <c r="D12" s="105">
        <f>SUM(F12,H12,J12,L12,N12,P12)-MIN(F12,H12,J12,L12,N12)+SUM(LARGE((S12,U12,W12,Y12,AA12,AC12,AE12,AG12),1),LARGE((S12,U12,W12,Y12,AA12,AC12,AE12,AG12),2),LARGE((S12,U12,W12,Y12,AA12,AC12,AE12,AG12),3),AI12)</f>
        <v>6.1689972476744943</v>
      </c>
      <c r="E12" s="6">
        <f>_xlfn.XLOOKUP($B12,'PP1'!$C$6:$C$101,'PP1'!$B$6:$B$101,"")</f>
        <v>5</v>
      </c>
      <c r="F12" s="104">
        <f>_xlfn.XLOOKUP(E12,'PP1'!$B$6:$B$55,'PP1'!$A$6:$A$55,0)</f>
        <v>1</v>
      </c>
      <c r="G12" s="6">
        <f>_xlfn.XLOOKUP($B12,'PP2'!$C$6:$C$101,'PP2'!$B$6:$B$101,"")</f>
        <v>5</v>
      </c>
      <c r="H12" s="104">
        <f>_xlfn.XLOOKUP(G12,'PP2'!$B$6:$B$55,'PP2'!$A$6:$A$55,0)</f>
        <v>1</v>
      </c>
      <c r="I12" s="6" t="str">
        <f>_xlfn.XLOOKUP($B12,'PP3'!$C$6:$C$101,'PP3'!$B$6:$B$101,"")</f>
        <v/>
      </c>
      <c r="J12" s="104">
        <f>_xlfn.XLOOKUP(I12,'PP3'!$B$6:$B$55,'PP3'!$A$6:$A$55,0)</f>
        <v>0</v>
      </c>
      <c r="K12" s="6">
        <f>_xlfn.XLOOKUP($B12,'PP4'!$C$6:$C$101,'PP4'!$B$6:$B$101,"")</f>
        <v>4</v>
      </c>
      <c r="L12" s="104">
        <f>_xlfn.XLOOKUP(K12,'PP4'!$B$6:$B$55,'PP4'!$A$6:$A$55,0)</f>
        <v>1</v>
      </c>
      <c r="M12" s="6" t="str">
        <f>_xlfn.XLOOKUP($B12,'PP5'!$C$6:$C$101,'PP5'!$B$6:$B$101,"")</f>
        <v/>
      </c>
      <c r="N12" s="104">
        <f>_xlfn.XLOOKUP(M12,'PP5'!$B$6:$B$55,'PP5'!$A$6:$A$55,0)</f>
        <v>0</v>
      </c>
      <c r="O12" s="6">
        <f>_xlfn.XLOOKUP(B12,MPW!C$6:C$101,MPW!B$6:B$101,"")</f>
        <v>4</v>
      </c>
      <c r="P12" s="106">
        <f>_xlfn.XLOOKUP(O12,MPW!$B$6:$B$55,MPW!$A$6:$A$55,0)</f>
        <v>1.2</v>
      </c>
      <c r="R12" s="6" t="str">
        <f>_xlfn.XLOOKUP($B12,'PEW1'!$C$6:$C$101,'PEW1'!$B$6:$B$101,"")</f>
        <v/>
      </c>
      <c r="S12" s="107">
        <f>_xlfn.XLOOKUP(R12,'PEW1'!$B$6:$B$55,'PEW1'!$A$6:$A$55,0)</f>
        <v>0</v>
      </c>
      <c r="T12" s="6" t="str">
        <f>_xlfn.XLOOKUP($B12,'PEW2'!$C$6:$C$101,'PEW2'!$B$6:$B$101,"")</f>
        <v/>
      </c>
      <c r="U12" s="107">
        <f>_xlfn.XLOOKUP(T12,'PEW2'!$B$6:$B$55,'PEW2'!$A$6:$A$55,0)</f>
        <v>0</v>
      </c>
      <c r="V12" s="6" t="str">
        <f>_xlfn.XLOOKUP($B12,'PEW3'!$C$6:$C$101,'PEW3'!$B$6:$B$101,"")</f>
        <v/>
      </c>
      <c r="W12" s="107">
        <f>_xlfn.XLOOKUP(V12,'PEW3'!$B$6:$B$55,'PEW3'!$A$6:$A$55,0)</f>
        <v>0</v>
      </c>
      <c r="X12" s="6" t="str">
        <f>_xlfn.XLOOKUP($B12,'PEW4'!$C$6:$C$101,'PEW4'!$B$6:$B$101,"")</f>
        <v/>
      </c>
      <c r="Y12" s="107">
        <f>_xlfn.XLOOKUP(X12,'PEW4'!$B$6:$B$55,'PEW4'!$A$6:$A$55,0)</f>
        <v>0</v>
      </c>
      <c r="Z12" s="6" t="str">
        <f>_xlfn.XLOOKUP($B12,'PEW5'!$C$6:$C$101,'PEW5'!$B$6:$B$101,"")</f>
        <v/>
      </c>
      <c r="AA12" s="107">
        <f>_xlfn.XLOOKUP(Z12,'PEW5'!$B$6:$B$55,'PEW5'!$A$6:$A$55,0)</f>
        <v>0</v>
      </c>
      <c r="AB12" s="6">
        <f>_xlfn.XLOOKUP($B12,'PEW6'!$C$6:$C$101,'PEW6'!$B$6:$B$101,"")</f>
        <v>17</v>
      </c>
      <c r="AC12" s="107">
        <f>_xlfn.XLOOKUP(AB12,'PEW6'!$B$6:$B$55,'PEW6'!$A$6:$A$55,0)</f>
        <v>1.9689972476744941</v>
      </c>
      <c r="AD12" s="6" t="str">
        <f>_xlfn.XLOOKUP($B12,'PEW7'!$C$6:$C$101,'PEW7'!$B$6:$B$101,"")</f>
        <v/>
      </c>
      <c r="AE12" s="107">
        <f>_xlfn.XLOOKUP(AD12,'PEW7'!$B$6:$B$55,'PEW7'!$A$6:$A$55,0)</f>
        <v>0</v>
      </c>
      <c r="AF12" s="6" t="str">
        <f>_xlfn.XLOOKUP($B12,PS!$C$6:$C$101,PS!$B$6:$B$101,"")</f>
        <v/>
      </c>
      <c r="AG12" s="107">
        <f>_xlfn.XLOOKUP(AF12,PS!$B$6:$B$55,PS!$A$6:$A$55,0)</f>
        <v>0</v>
      </c>
      <c r="AH12" s="6" t="str" cm="1">
        <f t="array" ref="AH12">_xlfn.XLOOKUP($B12,IMEW!C$6:C$200,IMEW!$B$6:B$200,"")</f>
        <v/>
      </c>
      <c r="AI12" s="108">
        <f>_xlfn.XLOOKUP(AH12,IMEW!$B$6:$B$200,IMEW!$A$6:$A$200,0)</f>
        <v>0</v>
      </c>
    </row>
    <row r="13" spans="1:35" ht="14.8" customHeight="1" x14ac:dyDescent="0.25">
      <c r="A13" s="212">
        <f t="shared" si="0"/>
        <v>8</v>
      </c>
      <c r="B13" s="220"/>
      <c r="C13" s="213"/>
      <c r="D13" s="105">
        <f>SUM(F13,H13,J13,L13,N13,P13)-MIN(F13,H13,J13,L13,N13)+SUM(LARGE((S13,U13,W13,Y13,AA13,AC13,AE13,AG13),1),LARGE((S13,U13,W13,Y13,AA13,AC13,AE13,AG13),2),LARGE((S13,U13,W13,Y13,AA13,AC13,AE13,AG13),3),AI13)</f>
        <v>0</v>
      </c>
      <c r="E13" s="6" t="str">
        <f>_xlfn.XLOOKUP($B13,'PP1'!$C$6:$C$101,'PP1'!$B$6:$B$101,"")</f>
        <v/>
      </c>
      <c r="F13" s="104">
        <f>_xlfn.XLOOKUP(E13,'PP1'!$B$6:$B$55,'PP1'!$A$6:$A$55,0)</f>
        <v>0</v>
      </c>
      <c r="G13" s="6" t="str">
        <f>_xlfn.XLOOKUP($B13,'PP2'!$C$6:$C$101,'PP2'!$B$6:$B$101,"")</f>
        <v/>
      </c>
      <c r="H13" s="104">
        <f>_xlfn.XLOOKUP(G13,'PP2'!$B$6:$B$55,'PP2'!$A$6:$A$55,0)</f>
        <v>0</v>
      </c>
      <c r="I13" s="6" t="str">
        <f>_xlfn.XLOOKUP($B13,'PP3'!$C$6:$C$101,'PP3'!$B$6:$B$101,"")</f>
        <v/>
      </c>
      <c r="J13" s="104">
        <f>_xlfn.XLOOKUP(I13,'PP3'!$B$6:$B$55,'PP3'!$A$6:$A$55,0)</f>
        <v>0</v>
      </c>
      <c r="K13" s="6" t="str">
        <f>_xlfn.XLOOKUP($B13,'PP4'!$C$6:$C$101,'PP4'!$B$6:$B$101,"")</f>
        <v/>
      </c>
      <c r="L13" s="104">
        <f>_xlfn.XLOOKUP(K13,'PP4'!$B$6:$B$55,'PP4'!$A$6:$A$55,0)</f>
        <v>0</v>
      </c>
      <c r="M13" s="6" t="str">
        <f>_xlfn.XLOOKUP($B13,'PP5'!$C$6:$C$101,'PP5'!$B$6:$B$101,"")</f>
        <v/>
      </c>
      <c r="N13" s="104">
        <f>_xlfn.XLOOKUP(M13,'PP5'!$B$6:$B$55,'PP5'!$A$6:$A$55,0)</f>
        <v>0</v>
      </c>
      <c r="O13" s="6" t="str">
        <f>_xlfn.XLOOKUP(B13,MPW!C$6:C$101,MPW!B$6:B$101,"")</f>
        <v/>
      </c>
      <c r="P13" s="106">
        <f>_xlfn.XLOOKUP(O13,MPW!$B$6:$B$55,MPW!$A$6:$A$55,0)</f>
        <v>0</v>
      </c>
      <c r="R13" s="6" t="str">
        <f>_xlfn.XLOOKUP($B13,'PEW1'!$C$6:$C$101,'PEW1'!$B$6:$B$101,"")</f>
        <v/>
      </c>
      <c r="S13" s="107">
        <f>_xlfn.XLOOKUP(R13,'PEW1'!$B$6:$B$55,'PEW1'!$A$6:$A$55,0)</f>
        <v>0</v>
      </c>
      <c r="T13" s="6" t="str">
        <f>_xlfn.XLOOKUP($B13,'PEW2'!$C$6:$C$101,'PEW2'!$B$6:$B$101,"")</f>
        <v/>
      </c>
      <c r="U13" s="107">
        <f>_xlfn.XLOOKUP(T13,'PEW2'!$B$6:$B$55,'PEW2'!$A$6:$A$55,0)</f>
        <v>0</v>
      </c>
      <c r="V13" s="6" t="str">
        <f>_xlfn.XLOOKUP($B13,'PEW3'!$C$6:$C$101,'PEW3'!$B$6:$B$101,"")</f>
        <v/>
      </c>
      <c r="W13" s="107">
        <f>_xlfn.XLOOKUP(V13,'PEW3'!$B$6:$B$55,'PEW3'!$A$6:$A$55,0)</f>
        <v>0</v>
      </c>
      <c r="X13" s="6" t="str">
        <f>_xlfn.XLOOKUP($B13,'PEW4'!$C$6:$C$101,'PEW4'!$B$6:$B$101,"")</f>
        <v/>
      </c>
      <c r="Y13" s="107">
        <f>_xlfn.XLOOKUP(X13,'PEW4'!$B$6:$B$55,'PEW4'!$A$6:$A$55,0)</f>
        <v>0</v>
      </c>
      <c r="Z13" s="6" t="str">
        <f>_xlfn.XLOOKUP($B13,'PEW5'!$C$6:$C$101,'PEW5'!$B$6:$B$101,"")</f>
        <v/>
      </c>
      <c r="AA13" s="107">
        <f>_xlfn.XLOOKUP(Z13,'PEW5'!$B$6:$B$55,'PEW5'!$A$6:$A$55,0)</f>
        <v>0</v>
      </c>
      <c r="AB13" s="6" t="str">
        <f>_xlfn.XLOOKUP($B13,'PEW6'!$C$6:$C$101,'PEW6'!$B$6:$B$101,"")</f>
        <v/>
      </c>
      <c r="AC13" s="107">
        <f>_xlfn.XLOOKUP(AB13,'PEW6'!$B$6:$B$55,'PEW6'!$A$6:$A$55,0)</f>
        <v>0</v>
      </c>
      <c r="AD13" s="6" t="str">
        <f>_xlfn.XLOOKUP($B13,'PEW7'!$C$6:$C$101,'PEW7'!$B$6:$B$101,"")</f>
        <v/>
      </c>
      <c r="AE13" s="107">
        <f>_xlfn.XLOOKUP(AD13,'PEW7'!$B$6:$B$55,'PEW7'!$A$6:$A$55,0)</f>
        <v>0</v>
      </c>
      <c r="AF13" s="6" t="str">
        <f>_xlfn.XLOOKUP($B13,PS!$C$6:$C$101,PS!$B$6:$B$101,"")</f>
        <v/>
      </c>
      <c r="AG13" s="107">
        <f>_xlfn.XLOOKUP(AF13,PS!$B$6:$B$55,PS!$A$6:$A$55,0)</f>
        <v>0</v>
      </c>
      <c r="AH13" s="6" t="str" cm="1">
        <f t="array" ref="AH13">_xlfn.XLOOKUP($B13,IMEW!C$6:C$200,IMEW!$B$6:B$200,"")</f>
        <v/>
      </c>
      <c r="AI13" s="108">
        <f>_xlfn.XLOOKUP(AH13,IMEW!$B$6:$B$200,IMEW!$A$6:$A$200,0)</f>
        <v>0</v>
      </c>
    </row>
    <row r="14" spans="1:35" ht="14.8" customHeight="1" x14ac:dyDescent="0.25">
      <c r="A14" s="212">
        <f t="shared" si="0"/>
        <v>9</v>
      </c>
      <c r="B14" s="5"/>
      <c r="C14" s="213"/>
      <c r="D14" s="105">
        <f>SUM(F14,H14,J14,L14,N14,P14)-MIN(F14,H14,J14,L14,N14)+SUM(LARGE((S14,U14,W14,Y14,AA14,AC14,AE14,AG14),1),LARGE((S14,U14,W14,Y14,AA14,AC14,AE14,AG14),2),LARGE((S14,U14,W14,Y14,AA14,AC14,AE14,AG14),3),AI14)</f>
        <v>0</v>
      </c>
      <c r="E14" s="6" t="str">
        <f>_xlfn.XLOOKUP($B14,'PP1'!$C$6:$C$101,'PP1'!$B$6:$B$101,"")</f>
        <v/>
      </c>
      <c r="F14" s="104">
        <f>_xlfn.XLOOKUP(E14,'PP1'!$B$6:$B$55,'PP1'!$A$6:$A$55,0)</f>
        <v>0</v>
      </c>
      <c r="G14" s="6" t="str">
        <f>_xlfn.XLOOKUP($B14,'PP2'!$C$6:$C$101,'PP2'!$B$6:$B$101,"")</f>
        <v/>
      </c>
      <c r="H14" s="104">
        <f>_xlfn.XLOOKUP(G14,'PP2'!$B$6:$B$55,'PP2'!$A$6:$A$55,0)</f>
        <v>0</v>
      </c>
      <c r="I14" s="6" t="str">
        <f>_xlfn.XLOOKUP($B14,'PP3'!$C$6:$C$101,'PP3'!$B$6:$B$101,"")</f>
        <v/>
      </c>
      <c r="J14" s="104">
        <f>_xlfn.XLOOKUP(I14,'PP3'!$B$6:$B$55,'PP3'!$A$6:$A$55,0)</f>
        <v>0</v>
      </c>
      <c r="K14" s="6" t="str">
        <f>_xlfn.XLOOKUP($B14,'PP4'!$C$6:$C$101,'PP4'!$B$6:$B$101,"")</f>
        <v/>
      </c>
      <c r="L14" s="104">
        <f>_xlfn.XLOOKUP(K14,'PP4'!$B$6:$B$55,'PP4'!$A$6:$A$55,0)</f>
        <v>0</v>
      </c>
      <c r="M14" s="6" t="str">
        <f>_xlfn.XLOOKUP($B14,'PP5'!$C$6:$C$101,'PP5'!$B$6:$B$101,"")</f>
        <v/>
      </c>
      <c r="N14" s="104">
        <f>_xlfn.XLOOKUP(M14,'PP5'!$B$6:$B$55,'PP5'!$A$6:$A$55,0)</f>
        <v>0</v>
      </c>
      <c r="O14" s="6" t="str">
        <f>_xlfn.XLOOKUP(B14,MPW!C$6:C$101,MPW!B$6:B$101,"")</f>
        <v/>
      </c>
      <c r="P14" s="106">
        <f>_xlfn.XLOOKUP(O14,MPW!$B$6:$B$55,MPW!$A$6:$A$55,0)</f>
        <v>0</v>
      </c>
      <c r="R14" s="6" t="str">
        <f>_xlfn.XLOOKUP($B14,'PEW1'!$C$6:$C$101,'PEW1'!$B$6:$B$101,"")</f>
        <v/>
      </c>
      <c r="S14" s="107">
        <f>_xlfn.XLOOKUP(R14,'PEW1'!$B$6:$B$55,'PEW1'!$A$6:$A$55,0)</f>
        <v>0</v>
      </c>
      <c r="T14" s="6" t="str">
        <f>_xlfn.XLOOKUP($B14,'PEW2'!$C$6:$C$101,'PEW2'!$B$6:$B$101,"")</f>
        <v/>
      </c>
      <c r="U14" s="107">
        <f>_xlfn.XLOOKUP(T14,'PEW2'!$B$6:$B$55,'PEW2'!$A$6:$A$55,0)</f>
        <v>0</v>
      </c>
      <c r="V14" s="6" t="str">
        <f>_xlfn.XLOOKUP($B14,'PEW3'!$C$6:$C$101,'PEW3'!$B$6:$B$101,"")</f>
        <v/>
      </c>
      <c r="W14" s="107">
        <f>_xlfn.XLOOKUP(V14,'PEW3'!$B$6:$B$55,'PEW3'!$A$6:$A$55,0)</f>
        <v>0</v>
      </c>
      <c r="X14" s="6" t="str">
        <f>_xlfn.XLOOKUP($B14,'PEW4'!$C$6:$C$101,'PEW4'!$B$6:$B$101,"")</f>
        <v/>
      </c>
      <c r="Y14" s="107">
        <f>_xlfn.XLOOKUP(X14,'PEW4'!$B$6:$B$55,'PEW4'!$A$6:$A$55,0)</f>
        <v>0</v>
      </c>
      <c r="Z14" s="6" t="str">
        <f>_xlfn.XLOOKUP($B14,'PEW5'!$C$6:$C$101,'PEW5'!$B$6:$B$101,"")</f>
        <v/>
      </c>
      <c r="AA14" s="107">
        <f>_xlfn.XLOOKUP(Z14,'PEW5'!$B$6:$B$55,'PEW5'!$A$6:$A$55,0)</f>
        <v>0</v>
      </c>
      <c r="AB14" s="6" t="str">
        <f>_xlfn.XLOOKUP($B14,'PEW6'!$C$6:$C$101,'PEW6'!$B$6:$B$101,"")</f>
        <v/>
      </c>
      <c r="AC14" s="107">
        <f>_xlfn.XLOOKUP(AB14,'PEW6'!$B$6:$B$55,'PEW6'!$A$6:$A$55,0)</f>
        <v>0</v>
      </c>
      <c r="AD14" s="6" t="str">
        <f>_xlfn.XLOOKUP($B14,'PEW7'!$C$6:$C$101,'PEW7'!$B$6:$B$101,"")</f>
        <v/>
      </c>
      <c r="AE14" s="107">
        <f>_xlfn.XLOOKUP(AD14,'PEW7'!$B$6:$B$55,'PEW7'!$A$6:$A$55,0)</f>
        <v>0</v>
      </c>
      <c r="AF14" s="6" t="str">
        <f>_xlfn.XLOOKUP($B14,PS!$C$6:$C$101,PS!$B$6:$B$101,"")</f>
        <v/>
      </c>
      <c r="AG14" s="107">
        <f>_xlfn.XLOOKUP(AF14,PS!$B$6:$B$55,PS!$A$6:$A$55,0)</f>
        <v>0</v>
      </c>
      <c r="AH14" s="6" t="str" cm="1">
        <f t="array" ref="AH14">_xlfn.XLOOKUP($B14,IMEW!C$6:C$200,IMEW!$B$6:B$200,"")</f>
        <v/>
      </c>
      <c r="AI14" s="108">
        <f>_xlfn.XLOOKUP(AH14,IMEW!$B$6:$B$200,IMEW!$A$6:$A$200,0)</f>
        <v>0</v>
      </c>
    </row>
    <row r="15" spans="1:35" ht="14.8" customHeight="1" x14ac:dyDescent="0.25">
      <c r="A15" s="212">
        <f t="shared" si="0"/>
        <v>10</v>
      </c>
      <c r="B15" s="5"/>
      <c r="C15" s="213"/>
      <c r="D15" s="105">
        <f>SUM(F15,H15,J15,L15,N15,P15)-MIN(F15,H15,J15,L15,N15)+SUM(LARGE((S15,U15,W15,Y15,AA15,AC15,AE15,AG15),1),LARGE((S15,U15,W15,Y15,AA15,AC15,AE15,AG15),2),LARGE((S15,U15,W15,Y15,AA15,AC15,AE15,AG15),3),AI15)</f>
        <v>0</v>
      </c>
      <c r="E15" s="6" t="str">
        <f>_xlfn.XLOOKUP($B15,'PP1'!$C$6:$C$101,'PP1'!$B$6:$B$101,"")</f>
        <v/>
      </c>
      <c r="F15" s="104">
        <f>_xlfn.XLOOKUP(E15,'PP1'!$B$6:$B$55,'PP1'!$A$6:$A$55,0)</f>
        <v>0</v>
      </c>
      <c r="G15" s="6" t="str">
        <f>_xlfn.XLOOKUP($B15,'PP2'!$C$6:$C$101,'PP2'!$B$6:$B$101,"")</f>
        <v/>
      </c>
      <c r="H15" s="104">
        <f>_xlfn.XLOOKUP(G15,'PP2'!$B$6:$B$55,'PP2'!$A$6:$A$55,0)</f>
        <v>0</v>
      </c>
      <c r="I15" s="6" t="str">
        <f>_xlfn.XLOOKUP($B15,'PP3'!$C$6:$C$101,'PP3'!$B$6:$B$101,"")</f>
        <v/>
      </c>
      <c r="J15" s="104">
        <f>_xlfn.XLOOKUP(I15,'PP3'!$B$6:$B$55,'PP3'!$A$6:$A$55,0)</f>
        <v>0</v>
      </c>
      <c r="K15" s="6" t="str">
        <f>_xlfn.XLOOKUP($B15,'PP4'!$C$6:$C$101,'PP4'!$B$6:$B$101,"")</f>
        <v/>
      </c>
      <c r="L15" s="104">
        <f>_xlfn.XLOOKUP(K15,'PP4'!$B$6:$B$55,'PP4'!$A$6:$A$55,0)</f>
        <v>0</v>
      </c>
      <c r="M15" s="6" t="str">
        <f>_xlfn.XLOOKUP($B15,'PP5'!$C$6:$C$101,'PP5'!$B$6:$B$101,"")</f>
        <v/>
      </c>
      <c r="N15" s="104">
        <f>_xlfn.XLOOKUP(M15,'PP5'!$B$6:$B$55,'PP5'!$A$6:$A$55,0)</f>
        <v>0</v>
      </c>
      <c r="O15" s="6" t="str">
        <f>_xlfn.XLOOKUP(B15,MPW!C$6:C$101,MPW!B$6:B$101,"")</f>
        <v/>
      </c>
      <c r="P15" s="106">
        <f>_xlfn.XLOOKUP(O15,MPW!$B$6:$B$55,MPW!$A$6:$A$55,0)</f>
        <v>0</v>
      </c>
      <c r="R15" s="6" t="str">
        <f>_xlfn.XLOOKUP($B15,'PEW1'!$C$6:$C$101,'PEW1'!$B$6:$B$101,"")</f>
        <v/>
      </c>
      <c r="S15" s="107">
        <f>_xlfn.XLOOKUP(R15,'PEW1'!$B$6:$B$55,'PEW1'!$A$6:$A$55,0)</f>
        <v>0</v>
      </c>
      <c r="T15" s="6" t="str">
        <f>_xlfn.XLOOKUP($B15,'PEW2'!$C$6:$C$101,'PEW2'!$B$6:$B$101,"")</f>
        <v/>
      </c>
      <c r="U15" s="107">
        <f>_xlfn.XLOOKUP(T15,'PEW2'!$B$6:$B$55,'PEW2'!$A$6:$A$55,0)</f>
        <v>0</v>
      </c>
      <c r="V15" s="6" t="str">
        <f>_xlfn.XLOOKUP($B15,'PEW3'!$C$6:$C$101,'PEW3'!$B$6:$B$101,"")</f>
        <v/>
      </c>
      <c r="W15" s="107">
        <f>_xlfn.XLOOKUP(V15,'PEW3'!$B$6:$B$55,'PEW3'!$A$6:$A$55,0)</f>
        <v>0</v>
      </c>
      <c r="X15" s="6" t="str">
        <f>_xlfn.XLOOKUP($B15,'PEW4'!$C$6:$C$101,'PEW4'!$B$6:$B$101,"")</f>
        <v/>
      </c>
      <c r="Y15" s="107">
        <f>_xlfn.XLOOKUP(X15,'PEW4'!$B$6:$B$55,'PEW4'!$A$6:$A$55,0)</f>
        <v>0</v>
      </c>
      <c r="Z15" s="6" t="str">
        <f>_xlfn.XLOOKUP($B15,'PEW5'!$C$6:$C$101,'PEW5'!$B$6:$B$101,"")</f>
        <v/>
      </c>
      <c r="AA15" s="107">
        <f>_xlfn.XLOOKUP(Z15,'PEW5'!$B$6:$B$55,'PEW5'!$A$6:$A$55,0)</f>
        <v>0</v>
      </c>
      <c r="AB15" s="6" t="str">
        <f>_xlfn.XLOOKUP($B15,'PEW6'!$C$6:$C$101,'PEW6'!$B$6:$B$101,"")</f>
        <v/>
      </c>
      <c r="AC15" s="107">
        <f>_xlfn.XLOOKUP(AB15,'PEW6'!$B$6:$B$55,'PEW6'!$A$6:$A$55,0)</f>
        <v>0</v>
      </c>
      <c r="AD15" s="6" t="str">
        <f>_xlfn.XLOOKUP($B15,'PEW7'!$C$6:$C$101,'PEW7'!$B$6:$B$101,"")</f>
        <v/>
      </c>
      <c r="AE15" s="107">
        <f>_xlfn.XLOOKUP(AD15,'PEW7'!$B$6:$B$55,'PEW7'!$A$6:$A$55,0)</f>
        <v>0</v>
      </c>
      <c r="AF15" s="6" t="str">
        <f>_xlfn.XLOOKUP($B15,PS!$C$6:$C$101,PS!$B$6:$B$101,"")</f>
        <v/>
      </c>
      <c r="AG15" s="107">
        <f>_xlfn.XLOOKUP(AF15,PS!$B$6:$B$55,PS!$A$6:$A$55,0)</f>
        <v>0</v>
      </c>
      <c r="AH15" s="6" t="str" cm="1">
        <f t="array" ref="AH15">_xlfn.XLOOKUP($B15,IMEW!C$6:C$200,IMEW!$B$6:B$200,"")</f>
        <v/>
      </c>
      <c r="AI15" s="108">
        <f>_xlfn.XLOOKUP(AH15,IMEW!$B$6:$B$200,IMEW!$A$6:$A$200,0)</f>
        <v>0</v>
      </c>
    </row>
    <row r="16" spans="1:35" ht="14.8" customHeight="1" x14ac:dyDescent="0.25">
      <c r="A16" s="212">
        <f t="shared" si="0"/>
        <v>11</v>
      </c>
      <c r="B16" s="5"/>
      <c r="C16" s="213"/>
      <c r="D16" s="105">
        <f>SUM(F16,H16,J16,L16,N16,P16)-MIN(F16,H16,J16,L16,N16)+SUM(LARGE((S16,U16,W16,Y16,AA16,AC16,AE16,AG16),1),LARGE((S16,U16,W16,Y16,AA16,AC16,AE16,AG16),2),LARGE((S16,U16,W16,Y16,AA16,AC16,AE16,AG16),3),AI16)</f>
        <v>0</v>
      </c>
      <c r="E16" s="6" t="str">
        <f>_xlfn.XLOOKUP($B16,'PP1'!$C$6:$C$101,'PP1'!$B$6:$B$101,"")</f>
        <v/>
      </c>
      <c r="F16" s="104">
        <f>_xlfn.XLOOKUP(E16,'PP1'!$B$6:$B$55,'PP1'!$A$6:$A$55,0)</f>
        <v>0</v>
      </c>
      <c r="G16" s="6" t="str">
        <f>_xlfn.XLOOKUP($B16,'PP2'!$C$6:$C$101,'PP2'!$B$6:$B$101,"")</f>
        <v/>
      </c>
      <c r="H16" s="104">
        <f>_xlfn.XLOOKUP(G16,'PP2'!$B$6:$B$55,'PP2'!$A$6:$A$55,0)</f>
        <v>0</v>
      </c>
      <c r="I16" s="6" t="str">
        <f>_xlfn.XLOOKUP($B16,'PP3'!$C$6:$C$101,'PP3'!$B$6:$B$101,"")</f>
        <v/>
      </c>
      <c r="J16" s="104">
        <f>_xlfn.XLOOKUP(I16,'PP3'!$B$6:$B$55,'PP3'!$A$6:$A$55,0)</f>
        <v>0</v>
      </c>
      <c r="K16" s="6" t="str">
        <f>_xlfn.XLOOKUP($B16,'PP4'!$C$6:$C$101,'PP4'!$B$6:$B$101,"")</f>
        <v/>
      </c>
      <c r="L16" s="104">
        <f>_xlfn.XLOOKUP(K16,'PP4'!$B$6:$B$55,'PP4'!$A$6:$A$55,0)</f>
        <v>0</v>
      </c>
      <c r="M16" s="6" t="str">
        <f>_xlfn.XLOOKUP($B16,'PP5'!$C$6:$C$101,'PP5'!$B$6:$B$101,"")</f>
        <v/>
      </c>
      <c r="N16" s="104">
        <f>_xlfn.XLOOKUP(M16,'PP5'!$B$6:$B$55,'PP5'!$A$6:$A$55,0)</f>
        <v>0</v>
      </c>
      <c r="O16" s="6" t="str">
        <f>_xlfn.XLOOKUP(B16,MPW!C$6:C$101,MPW!B$6:B$101,"")</f>
        <v/>
      </c>
      <c r="P16" s="106">
        <f>_xlfn.XLOOKUP(O16,MPW!$B$6:$B$55,MPW!$A$6:$A$55,0)</f>
        <v>0</v>
      </c>
      <c r="R16" s="6" t="str">
        <f>_xlfn.XLOOKUP($B16,'PEW1'!$C$6:$C$101,'PEW1'!$B$6:$B$101,"")</f>
        <v/>
      </c>
      <c r="S16" s="107">
        <f>_xlfn.XLOOKUP(R16,'PEW1'!$B$6:$B$55,'PEW1'!$A$6:$A$55,0)</f>
        <v>0</v>
      </c>
      <c r="T16" s="6" t="str">
        <f>_xlfn.XLOOKUP($B16,'PEW2'!$C$6:$C$101,'PEW2'!$B$6:$B$101,"")</f>
        <v/>
      </c>
      <c r="U16" s="107">
        <f>_xlfn.XLOOKUP(T16,'PEW2'!$B$6:$B$55,'PEW2'!$A$6:$A$55,0)</f>
        <v>0</v>
      </c>
      <c r="V16" s="6" t="str">
        <f>_xlfn.XLOOKUP($B16,'PEW3'!$C$6:$C$101,'PEW3'!$B$6:$B$101,"")</f>
        <v/>
      </c>
      <c r="W16" s="107">
        <f>_xlfn.XLOOKUP(V16,'PEW3'!$B$6:$B$55,'PEW3'!$A$6:$A$55,0)</f>
        <v>0</v>
      </c>
      <c r="X16" s="6" t="str">
        <f>_xlfn.XLOOKUP($B16,'PEW4'!$C$6:$C$101,'PEW4'!$B$6:$B$101,"")</f>
        <v/>
      </c>
      <c r="Y16" s="107">
        <f>_xlfn.XLOOKUP(X16,'PEW4'!$B$6:$B$55,'PEW4'!$A$6:$A$55,0)</f>
        <v>0</v>
      </c>
      <c r="Z16" s="6" t="str">
        <f>_xlfn.XLOOKUP($B16,'PEW5'!$C$6:$C$101,'PEW5'!$B$6:$B$101,"")</f>
        <v/>
      </c>
      <c r="AA16" s="107">
        <f>_xlfn.XLOOKUP(Z16,'PEW5'!$B$6:$B$55,'PEW5'!$A$6:$A$55,0)</f>
        <v>0</v>
      </c>
      <c r="AB16" s="6" t="str">
        <f>_xlfn.XLOOKUP($B16,'PEW6'!$C$6:$C$101,'PEW6'!$B$6:$B$101,"")</f>
        <v/>
      </c>
      <c r="AC16" s="107">
        <f>_xlfn.XLOOKUP(AB16,'PEW6'!$B$6:$B$55,'PEW6'!$A$6:$A$55,0)</f>
        <v>0</v>
      </c>
      <c r="AD16" s="6" t="str">
        <f>_xlfn.XLOOKUP($B16,'PEW7'!$C$6:$C$101,'PEW7'!$B$6:$B$101,"")</f>
        <v/>
      </c>
      <c r="AE16" s="107">
        <f>_xlfn.XLOOKUP(AD16,'PEW7'!$B$6:$B$55,'PEW7'!$A$6:$A$55,0)</f>
        <v>0</v>
      </c>
      <c r="AF16" s="6" t="str">
        <f>_xlfn.XLOOKUP($B16,PS!$C$6:$C$101,PS!$B$6:$B$101,"")</f>
        <v/>
      </c>
      <c r="AG16" s="107">
        <f>_xlfn.XLOOKUP(AF16,PS!$B$6:$B$55,PS!$A$6:$A$55,0)</f>
        <v>0</v>
      </c>
      <c r="AH16" s="6" t="str" cm="1">
        <f t="array" ref="AH16">_xlfn.XLOOKUP($B16,IMEW!C$6:C$200,IMEW!$B$6:B$200,"")</f>
        <v/>
      </c>
      <c r="AI16" s="108">
        <f>_xlfn.XLOOKUP(AH16,IMEW!$B$6:$B$200,IMEW!$A$6:$A$200,0)</f>
        <v>0</v>
      </c>
    </row>
    <row r="17" spans="1:35" ht="14.8" customHeight="1" x14ac:dyDescent="0.25">
      <c r="A17" s="212">
        <f t="shared" si="0"/>
        <v>12</v>
      </c>
      <c r="B17" s="5"/>
      <c r="C17" s="213"/>
      <c r="D17" s="105">
        <f>SUM(F17,H17,J17,L17,N17,P17)-MIN(F17,H17,J17,L17,N17)+SUM(LARGE((S17,U17,W17,Y17,AA17,AC17,AE17,AG17),1),LARGE((S17,U17,W17,Y17,AA17,AC17,AE17,AG17),2),LARGE((S17,U17,W17,Y17,AA17,AC17,AE17,AG17),3),AI17)</f>
        <v>0</v>
      </c>
      <c r="E17" s="6" t="str">
        <f>_xlfn.XLOOKUP($B17,'PP1'!$C$6:$C$101,'PP1'!$B$6:$B$101,"")</f>
        <v/>
      </c>
      <c r="F17" s="104">
        <f>_xlfn.XLOOKUP(E17,'PP1'!$B$6:$B$55,'PP1'!$A$6:$A$55,0)</f>
        <v>0</v>
      </c>
      <c r="G17" s="6" t="str">
        <f>_xlfn.XLOOKUP($B17,'PP2'!$C$6:$C$101,'PP2'!$B$6:$B$101,"")</f>
        <v/>
      </c>
      <c r="H17" s="104">
        <f>_xlfn.XLOOKUP(G17,'PP2'!$B$6:$B$55,'PP2'!$A$6:$A$55,0)</f>
        <v>0</v>
      </c>
      <c r="I17" s="6" t="str">
        <f>_xlfn.XLOOKUP($B17,'PP3'!$C$6:$C$101,'PP3'!$B$6:$B$101,"")</f>
        <v/>
      </c>
      <c r="J17" s="104">
        <f>_xlfn.XLOOKUP(I17,'PP3'!$B$6:$B$55,'PP3'!$A$6:$A$55,0)</f>
        <v>0</v>
      </c>
      <c r="K17" s="6" t="str">
        <f>_xlfn.XLOOKUP($B17,'PP4'!$C$6:$C$101,'PP4'!$B$6:$B$101,"")</f>
        <v/>
      </c>
      <c r="L17" s="104">
        <f>_xlfn.XLOOKUP(K17,'PP4'!$B$6:$B$55,'PP4'!$A$6:$A$55,0)</f>
        <v>0</v>
      </c>
      <c r="M17" s="6" t="str">
        <f>_xlfn.XLOOKUP($B17,'PP5'!$C$6:$C$101,'PP5'!$B$6:$B$101,"")</f>
        <v/>
      </c>
      <c r="N17" s="104">
        <f>_xlfn.XLOOKUP(M17,'PP5'!$B$6:$B$55,'PP5'!$A$6:$A$55,0)</f>
        <v>0</v>
      </c>
      <c r="O17" s="6" t="str">
        <f>_xlfn.XLOOKUP(B17,MPW!C$6:C$101,MPW!B$6:B$101,"")</f>
        <v/>
      </c>
      <c r="P17" s="106">
        <f>_xlfn.XLOOKUP(O17,MPW!$B$6:$B$55,MPW!$A$6:$A$55,0)</f>
        <v>0</v>
      </c>
      <c r="R17" s="6" t="str">
        <f>_xlfn.XLOOKUP($B17,'PEW1'!$C$6:$C$101,'PEW1'!$B$6:$B$101,"")</f>
        <v/>
      </c>
      <c r="S17" s="107">
        <f>_xlfn.XLOOKUP(R17,'PEW1'!$B$6:$B$55,'PEW1'!$A$6:$A$55,0)</f>
        <v>0</v>
      </c>
      <c r="T17" s="6" t="str">
        <f>_xlfn.XLOOKUP($B17,'PEW2'!$C$6:$C$101,'PEW2'!$B$6:$B$101,"")</f>
        <v/>
      </c>
      <c r="U17" s="107">
        <f>_xlfn.XLOOKUP(T17,'PEW2'!$B$6:$B$55,'PEW2'!$A$6:$A$55,0)</f>
        <v>0</v>
      </c>
      <c r="V17" s="6" t="str">
        <f>_xlfn.XLOOKUP($B17,'PEW3'!$C$6:$C$101,'PEW3'!$B$6:$B$101,"")</f>
        <v/>
      </c>
      <c r="W17" s="107">
        <f>_xlfn.XLOOKUP(V17,'PEW3'!$B$6:$B$55,'PEW3'!$A$6:$A$55,0)</f>
        <v>0</v>
      </c>
      <c r="X17" s="6" t="str">
        <f>_xlfn.XLOOKUP($B17,'PEW4'!$C$6:$C$101,'PEW4'!$B$6:$B$101,"")</f>
        <v/>
      </c>
      <c r="Y17" s="107">
        <f>_xlfn.XLOOKUP(X17,'PEW4'!$B$6:$B$55,'PEW4'!$A$6:$A$55,0)</f>
        <v>0</v>
      </c>
      <c r="Z17" s="6" t="str">
        <f>_xlfn.XLOOKUP($B17,'PEW5'!$C$6:$C$101,'PEW5'!$B$6:$B$101,"")</f>
        <v/>
      </c>
      <c r="AA17" s="107">
        <f>_xlfn.XLOOKUP(Z17,'PEW5'!$B$6:$B$55,'PEW5'!$A$6:$A$55,0)</f>
        <v>0</v>
      </c>
      <c r="AB17" s="6" t="str">
        <f>_xlfn.XLOOKUP($B17,'PEW6'!$C$6:$C$101,'PEW6'!$B$6:$B$101,"")</f>
        <v/>
      </c>
      <c r="AC17" s="107">
        <f>_xlfn.XLOOKUP(AB17,'PEW6'!$B$6:$B$55,'PEW6'!$A$6:$A$55,0)</f>
        <v>0</v>
      </c>
      <c r="AD17" s="6" t="str">
        <f>_xlfn.XLOOKUP($B17,'PEW7'!$C$6:$C$101,'PEW7'!$B$6:$B$101,"")</f>
        <v/>
      </c>
      <c r="AE17" s="107">
        <f>_xlfn.XLOOKUP(AD17,'PEW7'!$B$6:$B$55,'PEW7'!$A$6:$A$55,0)</f>
        <v>0</v>
      </c>
      <c r="AF17" s="6" t="str">
        <f>_xlfn.XLOOKUP($B17,PS!$C$6:$C$101,PS!$B$6:$B$101,"")</f>
        <v/>
      </c>
      <c r="AG17" s="107">
        <f>_xlfn.XLOOKUP(AF17,PS!$B$6:$B$55,PS!$A$6:$A$55,0)</f>
        <v>0</v>
      </c>
      <c r="AH17" s="6" t="str" cm="1">
        <f t="array" ref="AH17">_xlfn.XLOOKUP($B17,IMEW!C$6:C$200,IMEW!$B$6:B$200,"")</f>
        <v/>
      </c>
      <c r="AI17" s="108">
        <f>_xlfn.XLOOKUP(AH17,IMEW!$B$6:$B$200,IMEW!$A$6:$A$200,0)</f>
        <v>0</v>
      </c>
    </row>
    <row r="18" spans="1:35" ht="14.8" customHeight="1" x14ac:dyDescent="0.25">
      <c r="A18" s="212">
        <f t="shared" si="0"/>
        <v>13</v>
      </c>
      <c r="B18" s="5" t="s">
        <v>24</v>
      </c>
      <c r="C18" s="213"/>
      <c r="D18" s="105">
        <f>SUM(F18,H18,J18,L18,N18,P18)-MIN(F18,H18,J18,L18,N18)+SUM(LARGE((S18,U18,W18,Y18,AA18,AC18,AE18,AG18),1),LARGE((S18,U18,W18,Y18,AA18,AC18,AE18,AG18),2),LARGE((S18,U18,W18,Y18,AA18,AC18,AE18,AG18),3),AI18)</f>
        <v>0</v>
      </c>
      <c r="E18" s="6" t="str">
        <f>_xlfn.XLOOKUP($B18,'PP1'!$C$6:$C$101,'PP1'!$B$6:$B$101,"")</f>
        <v/>
      </c>
      <c r="F18" s="104">
        <f>_xlfn.XLOOKUP(E18,'PP1'!$B$6:$B$55,'PP1'!$A$6:$A$55,0)</f>
        <v>0</v>
      </c>
      <c r="G18" s="6" t="str">
        <f>_xlfn.XLOOKUP($B18,'PP2'!$C$6:$C$101,'PP2'!$B$6:$B$101,"")</f>
        <v/>
      </c>
      <c r="H18" s="104">
        <f>_xlfn.XLOOKUP(G18,'PP2'!$B$6:$B$55,'PP2'!$A$6:$A$55,0)</f>
        <v>0</v>
      </c>
      <c r="I18" s="6" t="str">
        <f>_xlfn.XLOOKUP($B18,'PP3'!$C$6:$C$101,'PP3'!$B$6:$B$101,"")</f>
        <v/>
      </c>
      <c r="J18" s="104">
        <f>_xlfn.XLOOKUP(I18,'PP3'!$B$6:$B$55,'PP3'!$A$6:$A$55,0)</f>
        <v>0</v>
      </c>
      <c r="K18" s="6" t="str">
        <f>_xlfn.XLOOKUP($B18,'PP4'!$C$6:$C$101,'PP4'!$B$6:$B$101,"")</f>
        <v/>
      </c>
      <c r="L18" s="104">
        <f>_xlfn.XLOOKUP(K18,'PP4'!$B$6:$B$55,'PP4'!$A$6:$A$55,0)</f>
        <v>0</v>
      </c>
      <c r="M18" s="6" t="str">
        <f>_xlfn.XLOOKUP($B18,'PP5'!$C$6:$C$101,'PP5'!$B$6:$B$101,"")</f>
        <v/>
      </c>
      <c r="N18" s="104">
        <f>_xlfn.XLOOKUP(M18,'PP5'!$B$6:$B$55,'PP5'!$A$6:$A$55,0)</f>
        <v>0</v>
      </c>
      <c r="O18" s="6" t="str">
        <f>_xlfn.XLOOKUP(B18,MPW!C$6:C$101,MPW!B$6:B$101,"")</f>
        <v/>
      </c>
      <c r="P18" s="106">
        <f>_xlfn.XLOOKUP(O18,MPW!$B$6:$B$55,MPW!$A$6:$A$55,0)</f>
        <v>0</v>
      </c>
      <c r="R18" s="6" t="str">
        <f>_xlfn.XLOOKUP($B18,'PEW1'!$C$6:$C$101,'PEW1'!$B$6:$B$101,"")</f>
        <v/>
      </c>
      <c r="S18" s="107">
        <f>_xlfn.XLOOKUP(R18,'PEW1'!$B$6:$B$55,'PEW1'!$A$6:$A$55,0)</f>
        <v>0</v>
      </c>
      <c r="T18" s="6" t="str">
        <f>_xlfn.XLOOKUP($B18,'PEW2'!$C$6:$C$101,'PEW2'!$B$6:$B$101,"")</f>
        <v/>
      </c>
      <c r="U18" s="107">
        <f>_xlfn.XLOOKUP(T18,'PEW2'!$B$6:$B$55,'PEW2'!$A$6:$A$55,0)</f>
        <v>0</v>
      </c>
      <c r="V18" s="6" t="str">
        <f>_xlfn.XLOOKUP($B18,'PEW3'!$C$6:$C$101,'PEW3'!$B$6:$B$101,"")</f>
        <v/>
      </c>
      <c r="W18" s="107">
        <f>_xlfn.XLOOKUP(V18,'PEW3'!$B$6:$B$55,'PEW3'!$A$6:$A$55,0)</f>
        <v>0</v>
      </c>
      <c r="X18" s="6" t="str">
        <f>_xlfn.XLOOKUP($B18,'PEW4'!$C$6:$C$101,'PEW4'!$B$6:$B$101,"")</f>
        <v/>
      </c>
      <c r="Y18" s="107">
        <f>_xlfn.XLOOKUP(X18,'PEW4'!$B$6:$B$55,'PEW4'!$A$6:$A$55,0)</f>
        <v>0</v>
      </c>
      <c r="Z18" s="6" t="str">
        <f>_xlfn.XLOOKUP($B18,'PEW5'!$C$6:$C$101,'PEW5'!$B$6:$B$101,"")</f>
        <v/>
      </c>
      <c r="AA18" s="107">
        <f>_xlfn.XLOOKUP(Z18,'PEW5'!$B$6:$B$55,'PEW5'!$A$6:$A$55,0)</f>
        <v>0</v>
      </c>
      <c r="AB18" s="6" t="str">
        <f>_xlfn.XLOOKUP($B18,'PEW6'!$C$6:$C$101,'PEW6'!$B$6:$B$101,"")</f>
        <v/>
      </c>
      <c r="AC18" s="107">
        <f>_xlfn.XLOOKUP(AB18,'PEW6'!$B$6:$B$55,'PEW6'!$A$6:$A$55,0)</f>
        <v>0</v>
      </c>
      <c r="AD18" s="6" t="str">
        <f>_xlfn.XLOOKUP($B18,'PEW7'!$C$6:$C$101,'PEW7'!$B$6:$B$101,"")</f>
        <v/>
      </c>
      <c r="AE18" s="107">
        <f>_xlfn.XLOOKUP(AD18,'PEW7'!$B$6:$B$55,'PEW7'!$A$6:$A$55,0)</f>
        <v>0</v>
      </c>
      <c r="AF18" s="6" t="str">
        <f>_xlfn.XLOOKUP($B18,PS!$C$6:$C$101,PS!$B$6:$B$101,"")</f>
        <v/>
      </c>
      <c r="AG18" s="107">
        <f>_xlfn.XLOOKUP(AF18,PS!$B$6:$B$55,PS!$A$6:$A$55,0)</f>
        <v>0</v>
      </c>
      <c r="AH18" s="6" t="str" cm="1">
        <f t="array" ref="AH18">_xlfn.XLOOKUP($B18,IMEW!C$6:C$200,IMEW!$B$6:B$200,"")</f>
        <v/>
      </c>
      <c r="AI18" s="108">
        <f>_xlfn.XLOOKUP(AH18,IMEW!$B$6:$B$200,IMEW!$A$6:$A$200,0)</f>
        <v>0</v>
      </c>
    </row>
    <row r="19" spans="1:35" ht="14.8" customHeight="1" x14ac:dyDescent="0.25">
      <c r="A19" s="212">
        <f t="shared" si="0"/>
        <v>14</v>
      </c>
      <c r="B19" s="5" t="s">
        <v>24</v>
      </c>
      <c r="C19" s="213"/>
      <c r="D19" s="105">
        <f>SUM(F19,H19,J19,L19,N19,P19)-MIN(F19,H19,J19,L19,N19)+SUM(LARGE((S19,U19,W19,Y19,AA19,AC19,AE19,AG19),1),LARGE((S19,U19,W19,Y19,AA19,AC19,AE19,AG19),2),LARGE((S19,U19,W19,Y19,AA19,AC19,AE19,AG19),3),AI19)</f>
        <v>0</v>
      </c>
      <c r="E19" s="6" t="str">
        <f>_xlfn.XLOOKUP($B19,'PP1'!$C$6:$C$101,'PP1'!$B$6:$B$101,"")</f>
        <v/>
      </c>
      <c r="F19" s="104">
        <f>_xlfn.XLOOKUP(E19,'PP1'!$B$6:$B$55,'PP1'!$A$6:$A$55,0)</f>
        <v>0</v>
      </c>
      <c r="G19" s="6" t="str">
        <f>_xlfn.XLOOKUP($B19,'PP2'!$C$6:$C$101,'PP2'!$B$6:$B$101,"")</f>
        <v/>
      </c>
      <c r="H19" s="104">
        <f>_xlfn.XLOOKUP(G19,'PP2'!$B$6:$B$55,'PP2'!$A$6:$A$55,0)</f>
        <v>0</v>
      </c>
      <c r="I19" s="6" t="str">
        <f>_xlfn.XLOOKUP($B19,'PP3'!$C$6:$C$101,'PP3'!$B$6:$B$101,"")</f>
        <v/>
      </c>
      <c r="J19" s="104">
        <f>_xlfn.XLOOKUP(I19,'PP3'!$B$6:$B$55,'PP3'!$A$6:$A$55,0)</f>
        <v>0</v>
      </c>
      <c r="K19" s="6" t="str">
        <f>_xlfn.XLOOKUP($B19,'PP4'!$C$6:$C$101,'PP4'!$B$6:$B$101,"")</f>
        <v/>
      </c>
      <c r="L19" s="104">
        <f>_xlfn.XLOOKUP(K19,'PP4'!$B$6:$B$55,'PP4'!$A$6:$A$55,0)</f>
        <v>0</v>
      </c>
      <c r="M19" s="6" t="str">
        <f>_xlfn.XLOOKUP($B19,'PP5'!$C$6:$C$101,'PP5'!$B$6:$B$101,"")</f>
        <v/>
      </c>
      <c r="N19" s="104">
        <f>_xlfn.XLOOKUP(M19,'PP5'!$B$6:$B$55,'PP5'!$A$6:$A$55,0)</f>
        <v>0</v>
      </c>
      <c r="O19" s="6" t="str">
        <f>_xlfn.XLOOKUP(B19,MPW!C$6:C$101,MPW!B$6:B$101,"")</f>
        <v/>
      </c>
      <c r="P19" s="106">
        <f>_xlfn.XLOOKUP(O19,MPW!$B$6:$B$55,MPW!$A$6:$A$55,0)</f>
        <v>0</v>
      </c>
      <c r="R19" s="6" t="str">
        <f>_xlfn.XLOOKUP($B19,'PEW1'!$C$6:$C$101,'PEW1'!$B$6:$B$101,"")</f>
        <v/>
      </c>
      <c r="S19" s="107">
        <f>_xlfn.XLOOKUP(R19,'PEW1'!$B$6:$B$55,'PEW1'!$A$6:$A$55,0)</f>
        <v>0</v>
      </c>
      <c r="T19" s="6" t="str">
        <f>_xlfn.XLOOKUP($B19,'PEW2'!$C$6:$C$101,'PEW2'!$B$6:$B$101,"")</f>
        <v/>
      </c>
      <c r="U19" s="107">
        <f>_xlfn.XLOOKUP(T19,'PEW2'!$B$6:$B$55,'PEW2'!$A$6:$A$55,0)</f>
        <v>0</v>
      </c>
      <c r="V19" s="6" t="str">
        <f>_xlfn.XLOOKUP($B19,'PEW3'!$C$6:$C$101,'PEW3'!$B$6:$B$101,"")</f>
        <v/>
      </c>
      <c r="W19" s="107">
        <f>_xlfn.XLOOKUP(V19,'PEW3'!$B$6:$B$55,'PEW3'!$A$6:$A$55,0)</f>
        <v>0</v>
      </c>
      <c r="X19" s="6" t="str">
        <f>_xlfn.XLOOKUP($B19,'PEW4'!$C$6:$C$101,'PEW4'!$B$6:$B$101,"")</f>
        <v/>
      </c>
      <c r="Y19" s="107">
        <f>_xlfn.XLOOKUP(X19,'PEW4'!$B$6:$B$55,'PEW4'!$A$6:$A$55,0)</f>
        <v>0</v>
      </c>
      <c r="Z19" s="6" t="str">
        <f>_xlfn.XLOOKUP($B19,'PEW5'!$C$6:$C$101,'PEW5'!$B$6:$B$101,"")</f>
        <v/>
      </c>
      <c r="AA19" s="107">
        <f>_xlfn.XLOOKUP(Z19,'PEW5'!$B$6:$B$55,'PEW5'!$A$6:$A$55,0)</f>
        <v>0</v>
      </c>
      <c r="AB19" s="6" t="str">
        <f>_xlfn.XLOOKUP($B19,'PEW6'!$C$6:$C$101,'PEW6'!$B$6:$B$101,"")</f>
        <v/>
      </c>
      <c r="AC19" s="107">
        <f>_xlfn.XLOOKUP(AB19,'PEW6'!$B$6:$B$55,'PEW6'!$A$6:$A$55,0)</f>
        <v>0</v>
      </c>
      <c r="AD19" s="6" t="str">
        <f>_xlfn.XLOOKUP($B19,'PEW7'!$C$6:$C$101,'PEW7'!$B$6:$B$101,"")</f>
        <v/>
      </c>
      <c r="AE19" s="107">
        <f>_xlfn.XLOOKUP(AD19,'PEW7'!$B$6:$B$55,'PEW7'!$A$6:$A$55,0)</f>
        <v>0</v>
      </c>
      <c r="AF19" s="6" t="str">
        <f>_xlfn.XLOOKUP($B19,PS!$C$6:$C$101,PS!$B$6:$B$101,"")</f>
        <v/>
      </c>
      <c r="AG19" s="107">
        <f>_xlfn.XLOOKUP(AF19,PS!$B$6:$B$55,PS!$A$6:$A$55,0)</f>
        <v>0</v>
      </c>
      <c r="AH19" s="6" t="str" cm="1">
        <f t="array" ref="AH19">_xlfn.XLOOKUP($B19,IMEW!C$6:C$200,IMEW!$B$6:B$200,"")</f>
        <v/>
      </c>
      <c r="AI19" s="108">
        <f>_xlfn.XLOOKUP(AH19,IMEW!$B$6:$B$200,IMEW!$A$6:$A$200,0)</f>
        <v>0</v>
      </c>
    </row>
    <row r="20" spans="1:35" ht="14.8" customHeight="1" x14ac:dyDescent="0.25">
      <c r="A20" s="212">
        <f t="shared" si="0"/>
        <v>15</v>
      </c>
      <c r="B20" s="5" t="s">
        <v>24</v>
      </c>
      <c r="C20" s="213"/>
      <c r="D20" s="105">
        <f>SUM(F20,H20,J20,L20,N20,P20)-MIN(F20,H20,J20,L20,N20)+SUM(LARGE((S20,U20,W20,Y20,AA20,AC20,AE20,AG20),1),LARGE((S20,U20,W20,Y20,AA20,AC20,AE20,AG20),2),LARGE((S20,U20,W20,Y20,AA20,AC20,AE20,AG20),3),AI20)</f>
        <v>0</v>
      </c>
      <c r="E20" s="6" t="str">
        <f>_xlfn.XLOOKUP($B20,'PP1'!$C$6:$C$101,'PP1'!$B$6:$B$101,"")</f>
        <v/>
      </c>
      <c r="F20" s="104">
        <f>_xlfn.XLOOKUP(E20,'PP1'!$B$6:$B$55,'PP1'!$A$6:$A$55,0)</f>
        <v>0</v>
      </c>
      <c r="G20" s="6" t="str">
        <f>_xlfn.XLOOKUP($B20,'PP2'!$C$6:$C$101,'PP2'!$B$6:$B$101,"")</f>
        <v/>
      </c>
      <c r="H20" s="104">
        <f>_xlfn.XLOOKUP(G20,'PP2'!$B$6:$B$55,'PP2'!$A$6:$A$55,0)</f>
        <v>0</v>
      </c>
      <c r="I20" s="6" t="str">
        <f>_xlfn.XLOOKUP($B20,'PP3'!$C$6:$C$101,'PP3'!$B$6:$B$101,"")</f>
        <v/>
      </c>
      <c r="J20" s="104">
        <f>_xlfn.XLOOKUP(I20,'PP3'!$B$6:$B$55,'PP3'!$A$6:$A$55,0)</f>
        <v>0</v>
      </c>
      <c r="K20" s="6" t="str">
        <f>_xlfn.XLOOKUP($B20,'PP4'!$C$6:$C$101,'PP4'!$B$6:$B$101,"")</f>
        <v/>
      </c>
      <c r="L20" s="104">
        <f>_xlfn.XLOOKUP(K20,'PP4'!$B$6:$B$55,'PP4'!$A$6:$A$55,0)</f>
        <v>0</v>
      </c>
      <c r="M20" s="6" t="str">
        <f>_xlfn.XLOOKUP($B20,'PP5'!$C$6:$C$101,'PP5'!$B$6:$B$101,"")</f>
        <v/>
      </c>
      <c r="N20" s="104">
        <f>_xlfn.XLOOKUP(M20,'PP5'!$B$6:$B$55,'PP5'!$A$6:$A$55,0)</f>
        <v>0</v>
      </c>
      <c r="O20" s="6" t="str">
        <f>_xlfn.XLOOKUP(B20,MPW!C$6:C$101,MPW!B$6:B$101,"")</f>
        <v/>
      </c>
      <c r="P20" s="106">
        <f>_xlfn.XLOOKUP(O20,MPW!$B$6:$B$55,MPW!$A$6:$A$55,0)</f>
        <v>0</v>
      </c>
      <c r="R20" s="6" t="str">
        <f>_xlfn.XLOOKUP($B20,'PEW1'!$C$6:$C$101,'PEW1'!$B$6:$B$101,"")</f>
        <v/>
      </c>
      <c r="S20" s="107">
        <f>_xlfn.XLOOKUP(R20,'PEW1'!$B$6:$B$55,'PEW1'!$A$6:$A$55,0)</f>
        <v>0</v>
      </c>
      <c r="T20" s="6" t="str">
        <f>_xlfn.XLOOKUP($B20,'PEW2'!$C$6:$C$101,'PEW2'!$B$6:$B$101,"")</f>
        <v/>
      </c>
      <c r="U20" s="107">
        <f>_xlfn.XLOOKUP(T20,'PEW2'!$B$6:$B$55,'PEW2'!$A$6:$A$55,0)</f>
        <v>0</v>
      </c>
      <c r="V20" s="6" t="str">
        <f>_xlfn.XLOOKUP($B20,'PEW3'!$C$6:$C$101,'PEW3'!$B$6:$B$101,"")</f>
        <v/>
      </c>
      <c r="W20" s="107">
        <f>_xlfn.XLOOKUP(V20,'PEW3'!$B$6:$B$55,'PEW3'!$A$6:$A$55,0)</f>
        <v>0</v>
      </c>
      <c r="X20" s="6" t="str">
        <f>_xlfn.XLOOKUP($B20,'PEW4'!$C$6:$C$101,'PEW4'!$B$6:$B$101,"")</f>
        <v/>
      </c>
      <c r="Y20" s="107">
        <f>_xlfn.XLOOKUP(X20,'PEW4'!$B$6:$B$55,'PEW4'!$A$6:$A$55,0)</f>
        <v>0</v>
      </c>
      <c r="Z20" s="6" t="str">
        <f>_xlfn.XLOOKUP($B20,'PEW5'!$C$6:$C$101,'PEW5'!$B$6:$B$101,"")</f>
        <v/>
      </c>
      <c r="AA20" s="107">
        <f>_xlfn.XLOOKUP(Z20,'PEW5'!$B$6:$B$55,'PEW5'!$A$6:$A$55,0)</f>
        <v>0</v>
      </c>
      <c r="AB20" s="6" t="str">
        <f>_xlfn.XLOOKUP($B20,'PEW6'!$C$6:$C$101,'PEW6'!$B$6:$B$101,"")</f>
        <v/>
      </c>
      <c r="AC20" s="107">
        <f>_xlfn.XLOOKUP(AB20,'PEW6'!$B$6:$B$55,'PEW6'!$A$6:$A$55,0)</f>
        <v>0</v>
      </c>
      <c r="AD20" s="6" t="str">
        <f>_xlfn.XLOOKUP($B20,'PEW7'!$C$6:$C$101,'PEW7'!$B$6:$B$101,"")</f>
        <v/>
      </c>
      <c r="AE20" s="107">
        <f>_xlfn.XLOOKUP(AD20,'PEW7'!$B$6:$B$55,'PEW7'!$A$6:$A$55,0)</f>
        <v>0</v>
      </c>
      <c r="AF20" s="6" t="str">
        <f>_xlfn.XLOOKUP($B20,PS!$C$6:$C$101,PS!$B$6:$B$101,"")</f>
        <v/>
      </c>
      <c r="AG20" s="107">
        <f>_xlfn.XLOOKUP(AF20,PS!$B$6:$B$55,PS!$A$6:$A$55,0)</f>
        <v>0</v>
      </c>
      <c r="AH20" s="6" t="str" cm="1">
        <f t="array" ref="AH20">_xlfn.XLOOKUP($B20,IMEW!C$6:C$200,IMEW!$B$6:B$200,"")</f>
        <v/>
      </c>
      <c r="AI20" s="108">
        <f>_xlfn.XLOOKUP(AH20,IMEW!$B$6:$B$200,IMEW!$A$6:$A$200,0)</f>
        <v>0</v>
      </c>
    </row>
    <row r="21" spans="1:35" ht="14.8" customHeight="1" x14ac:dyDescent="0.25">
      <c r="A21" s="212">
        <f t="shared" si="0"/>
        <v>16</v>
      </c>
      <c r="B21" s="5" t="s">
        <v>24</v>
      </c>
      <c r="C21" s="213"/>
      <c r="D21" s="105">
        <f>SUM(F21,H21,J21,L21,N21,P21)-MIN(F21,H21,J21,L21,N21)+SUM(LARGE((S21,U21,W21,Y21,AA21,AC21,AE21,AG21),1),LARGE((S21,U21,W21,Y21,AA21,AC21,AE21,AG21),2),LARGE((S21,U21,W21,Y21,AA21,AC21,AE21,AG21),3),AI21)</f>
        <v>0</v>
      </c>
      <c r="E21" s="6" t="str">
        <f>_xlfn.XLOOKUP($B21,'PP1'!$C$6:$C$101,'PP1'!$B$6:$B$101,"")</f>
        <v/>
      </c>
      <c r="F21" s="104">
        <f>_xlfn.XLOOKUP(E21,'PP1'!$B$6:$B$55,'PP1'!$A$6:$A$55,0)</f>
        <v>0</v>
      </c>
      <c r="G21" s="6" t="str">
        <f>_xlfn.XLOOKUP($B21,'PP2'!$C$6:$C$101,'PP2'!$B$6:$B$101,"")</f>
        <v/>
      </c>
      <c r="H21" s="104">
        <f>_xlfn.XLOOKUP(G21,'PP2'!$B$6:$B$55,'PP2'!$A$6:$A$55,0)</f>
        <v>0</v>
      </c>
      <c r="I21" s="6" t="str">
        <f>_xlfn.XLOOKUP($B21,'PP3'!$C$6:$C$101,'PP3'!$B$6:$B$101,"")</f>
        <v/>
      </c>
      <c r="J21" s="104">
        <f>_xlfn.XLOOKUP(I21,'PP3'!$B$6:$B$55,'PP3'!$A$6:$A$55,0)</f>
        <v>0</v>
      </c>
      <c r="K21" s="6" t="str">
        <f>_xlfn.XLOOKUP($B21,'PP4'!$C$6:$C$101,'PP4'!$B$6:$B$101,"")</f>
        <v/>
      </c>
      <c r="L21" s="104">
        <f>_xlfn.XLOOKUP(K21,'PP4'!$B$6:$B$55,'PP4'!$A$6:$A$55,0)</f>
        <v>0</v>
      </c>
      <c r="M21" s="6" t="str">
        <f>_xlfn.XLOOKUP($B21,'PP5'!$C$6:$C$101,'PP5'!$B$6:$B$101,"")</f>
        <v/>
      </c>
      <c r="N21" s="104">
        <f>_xlfn.XLOOKUP(M21,'PP5'!$B$6:$B$55,'PP5'!$A$6:$A$55,0)</f>
        <v>0</v>
      </c>
      <c r="O21" s="6" t="str">
        <f>_xlfn.XLOOKUP(B21,MPW!C$6:C$101,MPW!B$6:B$101,"")</f>
        <v/>
      </c>
      <c r="P21" s="106">
        <f>_xlfn.XLOOKUP(O21,MPW!$B$6:$B$55,MPW!$A$6:$A$55,0)</f>
        <v>0</v>
      </c>
      <c r="R21" s="6" t="str">
        <f>_xlfn.XLOOKUP($B21,'PEW1'!$C$6:$C$101,'PEW1'!$B$6:$B$101,"")</f>
        <v/>
      </c>
      <c r="S21" s="107">
        <f>_xlfn.XLOOKUP(R21,'PEW1'!$B$6:$B$55,'PEW1'!$A$6:$A$55,0)</f>
        <v>0</v>
      </c>
      <c r="T21" s="6" t="str">
        <f>_xlfn.XLOOKUP($B21,'PEW2'!$C$6:$C$101,'PEW2'!$B$6:$B$101,"")</f>
        <v/>
      </c>
      <c r="U21" s="107">
        <f>_xlfn.XLOOKUP(T21,'PEW2'!$B$6:$B$55,'PEW2'!$A$6:$A$55,0)</f>
        <v>0</v>
      </c>
      <c r="V21" s="6" t="str">
        <f>_xlfn.XLOOKUP($B21,'PEW3'!$C$6:$C$101,'PEW3'!$B$6:$B$101,"")</f>
        <v/>
      </c>
      <c r="W21" s="107">
        <f>_xlfn.XLOOKUP(V21,'PEW3'!$B$6:$B$55,'PEW3'!$A$6:$A$55,0)</f>
        <v>0</v>
      </c>
      <c r="X21" s="6" t="str">
        <f>_xlfn.XLOOKUP($B21,'PEW4'!$C$6:$C$101,'PEW4'!$B$6:$B$101,"")</f>
        <v/>
      </c>
      <c r="Y21" s="107">
        <f>_xlfn.XLOOKUP(X21,'PEW4'!$B$6:$B$55,'PEW4'!$A$6:$A$55,0)</f>
        <v>0</v>
      </c>
      <c r="Z21" s="6" t="str">
        <f>_xlfn.XLOOKUP($B21,'PEW5'!$C$6:$C$101,'PEW5'!$B$6:$B$101,"")</f>
        <v/>
      </c>
      <c r="AA21" s="107">
        <f>_xlfn.XLOOKUP(Z21,'PEW5'!$B$6:$B$55,'PEW5'!$A$6:$A$55,0)</f>
        <v>0</v>
      </c>
      <c r="AB21" s="6" t="str">
        <f>_xlfn.XLOOKUP($B21,'PEW6'!$C$6:$C$101,'PEW6'!$B$6:$B$101,"")</f>
        <v/>
      </c>
      <c r="AC21" s="107">
        <f>_xlfn.XLOOKUP(AB21,'PEW6'!$B$6:$B$55,'PEW6'!$A$6:$A$55,0)</f>
        <v>0</v>
      </c>
      <c r="AD21" s="6" t="str">
        <f>_xlfn.XLOOKUP($B21,'PEW7'!$C$6:$C$101,'PEW7'!$B$6:$B$101,"")</f>
        <v/>
      </c>
      <c r="AE21" s="107">
        <f>_xlfn.XLOOKUP(AD21,'PEW7'!$B$6:$B$55,'PEW7'!$A$6:$A$55,0)</f>
        <v>0</v>
      </c>
      <c r="AF21" s="6" t="str">
        <f>_xlfn.XLOOKUP($B21,PS!$C$6:$C$101,PS!$B$6:$B$101,"")</f>
        <v/>
      </c>
      <c r="AG21" s="107">
        <f>_xlfn.XLOOKUP(AF21,PS!$B$6:$B$55,PS!$A$6:$A$55,0)</f>
        <v>0</v>
      </c>
      <c r="AH21" s="6" t="str" cm="1">
        <f t="array" ref="AH21">_xlfn.XLOOKUP($B21,IMEW!C$6:C$200,IMEW!$B$6:B$200,"")</f>
        <v/>
      </c>
      <c r="AI21" s="108">
        <f>_xlfn.XLOOKUP(AH21,IMEW!$B$6:$B$200,IMEW!$A$6:$A$200,0)</f>
        <v>0</v>
      </c>
    </row>
    <row r="22" spans="1:35" ht="14.8" customHeight="1" x14ac:dyDescent="0.25">
      <c r="A22" s="212">
        <f t="shared" si="0"/>
        <v>17</v>
      </c>
      <c r="B22" s="5" t="s">
        <v>24</v>
      </c>
      <c r="C22" s="213"/>
      <c r="D22" s="105">
        <f>SUM(F22,H22,J22,L22,N22,P22)-MIN(F22,H22,J22,L22,N22)+SUM(LARGE((S22,U22,W22,Y22,AA22,AC22,AE22,AG22),1),LARGE((S22,U22,W22,Y22,AA22,AC22,AE22,AG22),2),LARGE((S22,U22,W22,Y22,AA22,AC22,AE22,AG22),3),AI22)</f>
        <v>0</v>
      </c>
      <c r="E22" s="6" t="str">
        <f>_xlfn.XLOOKUP($B22,'PP1'!$C$6:$C$101,'PP1'!$B$6:$B$101,"")</f>
        <v/>
      </c>
      <c r="F22" s="104">
        <f>_xlfn.XLOOKUP(E22,'PP1'!$B$6:$B$55,'PP1'!$A$6:$A$55,0)</f>
        <v>0</v>
      </c>
      <c r="G22" s="6" t="str">
        <f>_xlfn.XLOOKUP($B22,'PP2'!$C$6:$C$101,'PP2'!$B$6:$B$101,"")</f>
        <v/>
      </c>
      <c r="H22" s="104">
        <f>_xlfn.XLOOKUP(G22,'PP2'!$B$6:$B$55,'PP2'!$A$6:$A$55,0)</f>
        <v>0</v>
      </c>
      <c r="I22" s="6" t="str">
        <f>_xlfn.XLOOKUP($B22,'PP3'!$C$6:$C$101,'PP3'!$B$6:$B$101,"")</f>
        <v/>
      </c>
      <c r="J22" s="104">
        <f>_xlfn.XLOOKUP(I22,'PP3'!$B$6:$B$55,'PP3'!$A$6:$A$55,0)</f>
        <v>0</v>
      </c>
      <c r="K22" s="6" t="str">
        <f>_xlfn.XLOOKUP($B22,'PP4'!$C$6:$C$101,'PP4'!$B$6:$B$101,"")</f>
        <v/>
      </c>
      <c r="L22" s="104">
        <f>_xlfn.XLOOKUP(K22,'PP4'!$B$6:$B$55,'PP4'!$A$6:$A$55,0)</f>
        <v>0</v>
      </c>
      <c r="M22" s="6" t="str">
        <f>_xlfn.XLOOKUP($B22,'PP5'!$C$6:$C$101,'PP5'!$B$6:$B$101,"")</f>
        <v/>
      </c>
      <c r="N22" s="104">
        <f>_xlfn.XLOOKUP(M22,'PP5'!$B$6:$B$55,'PP5'!$A$6:$A$55,0)</f>
        <v>0</v>
      </c>
      <c r="O22" s="6" t="str">
        <f>_xlfn.XLOOKUP(B22,MPW!C$6:C$101,MPW!B$6:B$101,"")</f>
        <v/>
      </c>
      <c r="P22" s="106">
        <f>_xlfn.XLOOKUP(O22,MPW!$B$6:$B$55,MPW!$A$6:$A$55,0)</f>
        <v>0</v>
      </c>
      <c r="R22" s="6" t="str">
        <f>_xlfn.XLOOKUP($B22,'PEW1'!$C$6:$C$101,'PEW1'!$B$6:$B$101,"")</f>
        <v/>
      </c>
      <c r="S22" s="107">
        <f>_xlfn.XLOOKUP(R22,'PEW1'!$B$6:$B$55,'PEW1'!$A$6:$A$55,0)</f>
        <v>0</v>
      </c>
      <c r="T22" s="6" t="str">
        <f>_xlfn.XLOOKUP($B22,'PEW2'!$C$6:$C$101,'PEW2'!$B$6:$B$101,"")</f>
        <v/>
      </c>
      <c r="U22" s="107">
        <f>_xlfn.XLOOKUP(T22,'PEW2'!$B$6:$B$55,'PEW2'!$A$6:$A$55,0)</f>
        <v>0</v>
      </c>
      <c r="V22" s="6" t="str">
        <f>_xlfn.XLOOKUP($B22,'PEW3'!$C$6:$C$101,'PEW3'!$B$6:$B$101,"")</f>
        <v/>
      </c>
      <c r="W22" s="107">
        <f>_xlfn.XLOOKUP(V22,'PEW3'!$B$6:$B$55,'PEW3'!$A$6:$A$55,0)</f>
        <v>0</v>
      </c>
      <c r="X22" s="6" t="str">
        <f>_xlfn.XLOOKUP($B22,'PEW4'!$C$6:$C$101,'PEW4'!$B$6:$B$101,"")</f>
        <v/>
      </c>
      <c r="Y22" s="107">
        <f>_xlfn.XLOOKUP(X22,'PEW4'!$B$6:$B$55,'PEW4'!$A$6:$A$55,0)</f>
        <v>0</v>
      </c>
      <c r="Z22" s="6" t="str">
        <f>_xlfn.XLOOKUP($B22,'PEW5'!$C$6:$C$101,'PEW5'!$B$6:$B$101,"")</f>
        <v/>
      </c>
      <c r="AA22" s="107">
        <f>_xlfn.XLOOKUP(Z22,'PEW5'!$B$6:$B$55,'PEW5'!$A$6:$A$55,0)</f>
        <v>0</v>
      </c>
      <c r="AB22" s="6" t="str">
        <f>_xlfn.XLOOKUP($B22,'PEW6'!$C$6:$C$101,'PEW6'!$B$6:$B$101,"")</f>
        <v/>
      </c>
      <c r="AC22" s="107">
        <f>_xlfn.XLOOKUP(AB22,'PEW6'!$B$6:$B$55,'PEW6'!$A$6:$A$55,0)</f>
        <v>0</v>
      </c>
      <c r="AD22" s="6" t="str">
        <f>_xlfn.XLOOKUP($B22,'PEW7'!$C$6:$C$101,'PEW7'!$B$6:$B$101,"")</f>
        <v/>
      </c>
      <c r="AE22" s="107">
        <f>_xlfn.XLOOKUP(AD22,'PEW7'!$B$6:$B$55,'PEW7'!$A$6:$A$55,0)</f>
        <v>0</v>
      </c>
      <c r="AF22" s="6" t="str">
        <f>_xlfn.XLOOKUP($B22,PS!$C$6:$C$101,PS!$B$6:$B$101,"")</f>
        <v/>
      </c>
      <c r="AG22" s="107">
        <f>_xlfn.XLOOKUP(AF22,PS!$B$6:$B$55,PS!$A$6:$A$55,0)</f>
        <v>0</v>
      </c>
      <c r="AH22" s="6" t="str" cm="1">
        <f t="array" ref="AH22">_xlfn.XLOOKUP($B22,IMEW!C$6:C$200,IMEW!$B$6:B$200,"")</f>
        <v/>
      </c>
      <c r="AI22" s="108">
        <f>_xlfn.XLOOKUP(AH22,IMEW!$B$6:$B$200,IMEW!$A$6:$A$200,0)</f>
        <v>0</v>
      </c>
    </row>
    <row r="23" spans="1:35" ht="14.8" customHeight="1" x14ac:dyDescent="0.25">
      <c r="A23" s="212">
        <f t="shared" si="0"/>
        <v>18</v>
      </c>
      <c r="B23" s="220" t="s">
        <v>24</v>
      </c>
      <c r="C23" s="213"/>
      <c r="D23" s="105">
        <f>SUM(F23,H23,J23,L23,N23,P23)-MIN(F23,H23,J23,L23,N23)+SUM(LARGE((S23,U23,W23,Y23,AA23,AC23,AE23,AG23),1),LARGE((S23,U23,W23,Y23,AA23,AC23,AE23,AG23),2),LARGE((S23,U23,W23,Y23,AA23,AC23,AE23,AG23),3),AI23)</f>
        <v>0</v>
      </c>
      <c r="E23" s="6" t="str">
        <f>_xlfn.XLOOKUP($B23,'PP1'!$C$6:$C$101,'PP1'!$B$6:$B$101,"")</f>
        <v/>
      </c>
      <c r="F23" s="104">
        <f>_xlfn.XLOOKUP(E23,'PP1'!$B$6:$B$55,'PP1'!$A$6:$A$55,0)</f>
        <v>0</v>
      </c>
      <c r="G23" s="6" t="str">
        <f>_xlfn.XLOOKUP($B23,'PP2'!$C$6:$C$101,'PP2'!$B$6:$B$101,"")</f>
        <v/>
      </c>
      <c r="H23" s="104">
        <f>_xlfn.XLOOKUP(G23,'PP2'!$B$6:$B$55,'PP2'!$A$6:$A$55,0)</f>
        <v>0</v>
      </c>
      <c r="I23" s="6" t="str">
        <f>_xlfn.XLOOKUP($B23,'PP3'!$C$6:$C$101,'PP3'!$B$6:$B$101,"")</f>
        <v/>
      </c>
      <c r="J23" s="104">
        <f>_xlfn.XLOOKUP(I23,'PP3'!$B$6:$B$55,'PP3'!$A$6:$A$55,0)</f>
        <v>0</v>
      </c>
      <c r="K23" s="6" t="str">
        <f>_xlfn.XLOOKUP($B23,'PP4'!$C$6:$C$101,'PP4'!$B$6:$B$101,"")</f>
        <v/>
      </c>
      <c r="L23" s="104">
        <f>_xlfn.XLOOKUP(K23,'PP4'!$B$6:$B$55,'PP4'!$A$6:$A$55,0)</f>
        <v>0</v>
      </c>
      <c r="M23" s="6" t="str">
        <f>_xlfn.XLOOKUP($B23,'PP5'!$C$6:$C$101,'PP5'!$B$6:$B$101,"")</f>
        <v/>
      </c>
      <c r="N23" s="104">
        <f>_xlfn.XLOOKUP(M23,'PP5'!$B$6:$B$55,'PP5'!$A$6:$A$55,0)</f>
        <v>0</v>
      </c>
      <c r="O23" s="6" t="str">
        <f>_xlfn.XLOOKUP(B23,MPW!C$6:C$101,MPW!B$6:B$101,"")</f>
        <v/>
      </c>
      <c r="P23" s="106">
        <f>_xlfn.XLOOKUP(O23,MPW!$B$6:$B$55,MPW!$A$6:$A$55,0)</f>
        <v>0</v>
      </c>
      <c r="R23" s="6" t="str">
        <f>_xlfn.XLOOKUP($B23,'PEW1'!$C$6:$C$101,'PEW1'!$B$6:$B$101,"")</f>
        <v/>
      </c>
      <c r="S23" s="107">
        <f>_xlfn.XLOOKUP(R23,'PEW1'!$B$6:$B$55,'PEW1'!$A$6:$A$55,0)</f>
        <v>0</v>
      </c>
      <c r="T23" s="6" t="str">
        <f>_xlfn.XLOOKUP($B23,'PEW2'!$C$6:$C$101,'PEW2'!$B$6:$B$101,"")</f>
        <v/>
      </c>
      <c r="U23" s="107">
        <f>_xlfn.XLOOKUP(T23,'PEW2'!$B$6:$B$55,'PEW2'!$A$6:$A$55,0)</f>
        <v>0</v>
      </c>
      <c r="V23" s="6" t="str">
        <f>_xlfn.XLOOKUP($B23,'PEW3'!$C$6:$C$101,'PEW3'!$B$6:$B$101,"")</f>
        <v/>
      </c>
      <c r="W23" s="107">
        <f>_xlfn.XLOOKUP(V23,'PEW3'!$B$6:$B$55,'PEW3'!$A$6:$A$55,0)</f>
        <v>0</v>
      </c>
      <c r="X23" s="6" t="str">
        <f>_xlfn.XLOOKUP($B23,'PEW4'!$C$6:$C$101,'PEW4'!$B$6:$B$101,"")</f>
        <v/>
      </c>
      <c r="Y23" s="107">
        <f>_xlfn.XLOOKUP(X23,'PEW4'!$B$6:$B$55,'PEW4'!$A$6:$A$55,0)</f>
        <v>0</v>
      </c>
      <c r="Z23" s="6" t="str">
        <f>_xlfn.XLOOKUP($B23,'PEW5'!$C$6:$C$101,'PEW5'!$B$6:$B$101,"")</f>
        <v/>
      </c>
      <c r="AA23" s="107">
        <f>_xlfn.XLOOKUP(Z23,'PEW5'!$B$6:$B$55,'PEW5'!$A$6:$A$55,0)</f>
        <v>0</v>
      </c>
      <c r="AB23" s="6" t="str">
        <f>_xlfn.XLOOKUP($B23,'PEW6'!$C$6:$C$101,'PEW6'!$B$6:$B$101,"")</f>
        <v/>
      </c>
      <c r="AC23" s="107">
        <f>_xlfn.XLOOKUP(AB23,'PEW6'!$B$6:$B$55,'PEW6'!$A$6:$A$55,0)</f>
        <v>0</v>
      </c>
      <c r="AD23" s="6" t="str">
        <f>_xlfn.XLOOKUP($B23,'PEW7'!$C$6:$C$101,'PEW7'!$B$6:$B$101,"")</f>
        <v/>
      </c>
      <c r="AE23" s="107">
        <f>_xlfn.XLOOKUP(AD23,'PEW7'!$B$6:$B$55,'PEW7'!$A$6:$A$55,0)</f>
        <v>0</v>
      </c>
      <c r="AF23" s="6" t="str">
        <f>_xlfn.XLOOKUP($B23,PS!$C$6:$C$101,PS!$B$6:$B$101,"")</f>
        <v/>
      </c>
      <c r="AG23" s="107">
        <f>_xlfn.XLOOKUP(AF23,PS!$B$6:$B$55,PS!$A$6:$A$55,0)</f>
        <v>0</v>
      </c>
      <c r="AH23" s="6" t="str" cm="1">
        <f t="array" ref="AH23">_xlfn.XLOOKUP($B23,IMEW!C$6:C$200,IMEW!$B$6:B$200,"")</f>
        <v/>
      </c>
      <c r="AI23" s="108">
        <f>_xlfn.XLOOKUP(AH23,IMEW!$B$6:$B$200,IMEW!$A$6:$A$200,0)</f>
        <v>0</v>
      </c>
    </row>
    <row r="24" spans="1:35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35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35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35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35" ht="65.400000000000006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35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35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35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35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</sheetData>
  <autoFilter ref="A5:AI5" xr:uid="{3A0A20B3-5AAD-4C6E-AC99-1ABF64677A16}">
    <sortState xmlns:xlrd2="http://schemas.microsoft.com/office/spreadsheetml/2017/richdata2" ref="A7:AI23">
      <sortCondition descending="1" ref="D5"/>
    </sortState>
  </autoFilter>
  <mergeCells count="21">
    <mergeCell ref="R1:AI3"/>
    <mergeCell ref="AH4:AI4"/>
    <mergeCell ref="AD4:AE4"/>
    <mergeCell ref="T4:U4"/>
    <mergeCell ref="V4:W4"/>
    <mergeCell ref="R4:S4"/>
    <mergeCell ref="X4:Y4"/>
    <mergeCell ref="Z4:AA4"/>
    <mergeCell ref="AB4:AC4"/>
    <mergeCell ref="AF4:AG4"/>
    <mergeCell ref="A4:A5"/>
    <mergeCell ref="B4:B5"/>
    <mergeCell ref="C4:C5"/>
    <mergeCell ref="D4:D5"/>
    <mergeCell ref="D1:P2"/>
    <mergeCell ref="E4:F4"/>
    <mergeCell ref="G4:H4"/>
    <mergeCell ref="O4:P4"/>
    <mergeCell ref="I4:J4"/>
    <mergeCell ref="K4:L4"/>
    <mergeCell ref="M4:N4"/>
  </mergeCells>
  <conditionalFormatting sqref="A6:A23">
    <cfRule type="cellIs" dxfId="17" priority="9" operator="equal">
      <formula>3</formula>
    </cfRule>
    <cfRule type="cellIs" dxfId="16" priority="10" operator="equal">
      <formula>2</formula>
    </cfRule>
    <cfRule type="cellIs" dxfId="15" priority="11" operator="equal">
      <formula>1</formula>
    </cfRule>
  </conditionalFormatting>
  <conditionalFormatting sqref="R6:AI23 D6:P23">
    <cfRule type="cellIs" dxfId="1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60D0E-B49B-4E1B-BEA7-6E4DEB20344C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98" customWidth="1"/>
    <col min="2" max="2" width="8.25" style="98" customWidth="1"/>
    <col min="3" max="3" width="34.75" style="98" customWidth="1"/>
    <col min="4" max="4" width="11.25" style="98" customWidth="1"/>
    <col min="5" max="6" width="8.875" style="98"/>
    <col min="7" max="7" width="0.875" style="98" customWidth="1"/>
    <col min="8" max="8" width="8.875" style="100"/>
    <col min="9" max="9" width="11" style="100" customWidth="1"/>
    <col min="10" max="10" width="15.25" style="100" customWidth="1"/>
    <col min="11" max="11" width="8.75" style="100" customWidth="1"/>
    <col min="12" max="12" width="11" style="100" customWidth="1"/>
    <col min="13" max="13" width="12.25" style="101" customWidth="1"/>
    <col min="14" max="15" width="13.875" style="64" customWidth="1"/>
    <col min="16" max="18" width="8.875" style="64"/>
    <col min="19" max="20" width="8.875" style="71"/>
    <col min="21" max="21" width="12.125" style="71" customWidth="1"/>
    <col min="22" max="22" width="27.375" style="71" customWidth="1"/>
    <col min="23" max="38" width="8.875" style="71"/>
    <col min="39" max="16384" width="8.875" style="98"/>
  </cols>
  <sheetData>
    <row r="1" spans="1:36" x14ac:dyDescent="0.25">
      <c r="A1" s="64"/>
      <c r="B1" s="64"/>
      <c r="C1" s="64"/>
      <c r="D1" s="64"/>
      <c r="E1" s="64"/>
      <c r="F1" s="64"/>
      <c r="G1" s="64"/>
      <c r="H1" s="65" t="s">
        <v>25</v>
      </c>
      <c r="I1" s="66" t="s">
        <v>26</v>
      </c>
      <c r="J1" s="66" t="s">
        <v>27</v>
      </c>
      <c r="K1" s="67" t="s">
        <v>28</v>
      </c>
      <c r="L1" s="70"/>
      <c r="M1" s="70"/>
    </row>
    <row r="2" spans="1:36" ht="14.45" customHeight="1" x14ac:dyDescent="0.25">
      <c r="A2" s="64"/>
      <c r="B2" s="14" t="s">
        <v>29</v>
      </c>
      <c r="C2" s="262" t="s">
        <v>105</v>
      </c>
      <c r="D2" s="262"/>
      <c r="E2" s="15"/>
      <c r="F2" s="15"/>
      <c r="G2" s="15"/>
      <c r="H2" s="72">
        <v>19</v>
      </c>
      <c r="I2" s="73">
        <v>50</v>
      </c>
      <c r="J2" s="73">
        <v>10</v>
      </c>
      <c r="K2" s="74">
        <f>3*H2^(1/3)</f>
        <v>8.0052049461658328</v>
      </c>
      <c r="L2" s="70"/>
      <c r="M2" s="70"/>
    </row>
    <row r="3" spans="1:36" ht="14.45" customHeight="1" x14ac:dyDescent="0.25">
      <c r="A3" s="64"/>
      <c r="B3" s="76" t="s">
        <v>31</v>
      </c>
      <c r="C3" s="240" t="s">
        <v>106</v>
      </c>
      <c r="D3" s="240"/>
      <c r="E3" s="20"/>
      <c r="F3" s="20"/>
      <c r="G3" s="20"/>
      <c r="H3" s="70"/>
      <c r="I3" s="70"/>
      <c r="J3" s="77"/>
      <c r="K3" s="70"/>
      <c r="L3" s="70"/>
      <c r="M3" s="70"/>
    </row>
    <row r="4" spans="1:36" ht="10.199999999999999" customHeight="1" x14ac:dyDescent="0.25">
      <c r="A4" s="22"/>
      <c r="B4" s="20"/>
      <c r="C4" s="22"/>
      <c r="D4" s="22"/>
      <c r="E4" s="22"/>
      <c r="F4" s="22"/>
      <c r="G4" s="22"/>
      <c r="H4" s="70"/>
      <c r="I4" s="70"/>
      <c r="J4" s="77"/>
      <c r="K4" s="70"/>
      <c r="L4" s="70"/>
      <c r="M4" s="70"/>
    </row>
    <row r="5" spans="1:36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78" t="s">
        <v>39</v>
      </c>
      <c r="I5" s="79" t="s">
        <v>40</v>
      </c>
      <c r="J5" s="80" t="s">
        <v>41</v>
      </c>
      <c r="K5" s="79" t="s">
        <v>42</v>
      </c>
      <c r="L5" s="79" t="s">
        <v>43</v>
      </c>
      <c r="M5" s="78" t="s">
        <v>44</v>
      </c>
    </row>
    <row r="6" spans="1:36" ht="14.45" customHeight="1" x14ac:dyDescent="0.25">
      <c r="A6" s="109">
        <f>M6</f>
        <v>124.0156148384975</v>
      </c>
      <c r="B6" s="28">
        <f t="shared" ref="B6:B65" si="0">IF(H6&gt;$H$2,"",(ROW()-5))</f>
        <v>1</v>
      </c>
      <c r="C6" s="29" t="s">
        <v>50</v>
      </c>
      <c r="D6" s="29"/>
      <c r="E6" s="29"/>
      <c r="F6" s="29"/>
      <c r="G6" s="22"/>
      <c r="H6" s="81">
        <v>1</v>
      </c>
      <c r="I6" s="82">
        <f t="shared" ref="I6:I69" si="1">IF(H6&lt;$H$2+1,($I$2-($I$2-1)*(LOG(H6)/LOG($H$2))),"")</f>
        <v>50</v>
      </c>
      <c r="J6" s="81">
        <f>INT(LOG($H$2,2))-ROUNDUP(LOG(H6,2),0)+IF(OR($H$2=1,$H$2=2,$H$2=4,$H$2=8,$H$2=16,$H$2=32,$H$2=64,$H$2=128,$H$2=256),0,1)</f>
        <v>5</v>
      </c>
      <c r="K6" s="81">
        <f t="shared" ref="K6:K69" si="2">J6*$J$2</f>
        <v>50</v>
      </c>
      <c r="L6" s="83">
        <f>3*K2</f>
        <v>24.015614838497498</v>
      </c>
      <c r="M6" s="83">
        <f t="shared" ref="M6:M69" si="3">IF(I6&lt;&gt;"",K6+I6+L6,0)</f>
        <v>124.0156148384975</v>
      </c>
    </row>
    <row r="7" spans="1:36" ht="14.45" customHeight="1" x14ac:dyDescent="0.25">
      <c r="A7" s="110">
        <f t="shared" ref="A7:A37" si="4">M7</f>
        <v>94.47537313736639</v>
      </c>
      <c r="B7" s="34">
        <f t="shared" si="0"/>
        <v>2</v>
      </c>
      <c r="C7" s="35" t="s">
        <v>50</v>
      </c>
      <c r="D7" s="35"/>
      <c r="E7" s="35"/>
      <c r="F7" s="35"/>
      <c r="G7" s="22"/>
      <c r="H7" s="84">
        <v>2</v>
      </c>
      <c r="I7" s="85">
        <f t="shared" si="1"/>
        <v>38.464963245034724</v>
      </c>
      <c r="J7" s="84">
        <f t="shared" ref="J7:J70" si="5">INT(LOG($H$2,2))-ROUNDUP(LOG(H7,2),0)+IF(OR($H$2=1,$H$2=2,$H$2=4,$H$2=8,$H$2=16,$H$2=32,$H$2=64,$H$2=128,$H$2=256),0,1)</f>
        <v>4</v>
      </c>
      <c r="K7" s="84">
        <f t="shared" si="2"/>
        <v>40</v>
      </c>
      <c r="L7" s="86">
        <f>2*K2</f>
        <v>16.010409892331666</v>
      </c>
      <c r="M7" s="86">
        <f t="shared" si="3"/>
        <v>94.47537313736639</v>
      </c>
    </row>
    <row r="8" spans="1:36" ht="14.45" customHeight="1" x14ac:dyDescent="0.25">
      <c r="A8" s="109">
        <f t="shared" si="4"/>
        <v>69.722604245105629</v>
      </c>
      <c r="B8" s="28">
        <f t="shared" si="0"/>
        <v>3</v>
      </c>
      <c r="C8" s="29" t="s">
        <v>50</v>
      </c>
      <c r="D8" s="29"/>
      <c r="E8" s="29"/>
      <c r="F8" s="29"/>
      <c r="G8" s="22"/>
      <c r="H8" s="81">
        <v>3</v>
      </c>
      <c r="I8" s="82">
        <f t="shared" si="1"/>
        <v>31.717399298939789</v>
      </c>
      <c r="J8" s="81">
        <f t="shared" si="5"/>
        <v>3</v>
      </c>
      <c r="K8" s="81">
        <f t="shared" si="2"/>
        <v>30</v>
      </c>
      <c r="L8" s="83">
        <f>K2</f>
        <v>8.0052049461658328</v>
      </c>
      <c r="M8" s="83">
        <f t="shared" si="3"/>
        <v>69.722604245105629</v>
      </c>
    </row>
    <row r="9" spans="1:36" s="71" customFormat="1" ht="14.45" customHeight="1" x14ac:dyDescent="0.25">
      <c r="A9" s="110">
        <f t="shared" si="4"/>
        <v>69.722604245105629</v>
      </c>
      <c r="B9" s="34">
        <f>IF(H9&gt;$H$2,"",3)</f>
        <v>3</v>
      </c>
      <c r="C9" s="35" t="s">
        <v>50</v>
      </c>
      <c r="D9" s="35"/>
      <c r="E9" s="35"/>
      <c r="F9" s="35"/>
      <c r="G9" s="22"/>
      <c r="H9" s="84">
        <v>3</v>
      </c>
      <c r="I9" s="85">
        <f t="shared" si="1"/>
        <v>31.717399298939789</v>
      </c>
      <c r="J9" s="84">
        <f t="shared" si="5"/>
        <v>3</v>
      </c>
      <c r="K9" s="84">
        <f t="shared" si="2"/>
        <v>30</v>
      </c>
      <c r="L9" s="86">
        <f>K2</f>
        <v>8.0052049461658328</v>
      </c>
      <c r="M9" s="86">
        <f t="shared" si="3"/>
        <v>69.722604245105629</v>
      </c>
      <c r="N9" s="64"/>
      <c r="O9" s="64"/>
      <c r="P9" s="64"/>
      <c r="Q9" s="64"/>
      <c r="R9" s="64"/>
      <c r="V9" s="87"/>
      <c r="Z9" s="88"/>
      <c r="AA9" s="88"/>
      <c r="AG9" s="89"/>
      <c r="AH9" s="71" t="s">
        <v>50</v>
      </c>
      <c r="AI9" s="71">
        <v>23</v>
      </c>
    </row>
    <row r="10" spans="1:36" ht="14.45" customHeight="1" x14ac:dyDescent="0.25">
      <c r="A10" s="109">
        <f t="shared" si="4"/>
        <v>43.216474083087775</v>
      </c>
      <c r="B10" s="28">
        <f t="shared" si="0"/>
        <v>5</v>
      </c>
      <c r="C10" s="29" t="s">
        <v>50</v>
      </c>
      <c r="D10" s="29"/>
      <c r="E10" s="29"/>
      <c r="F10" s="29"/>
      <c r="G10" s="22"/>
      <c r="H10" s="81">
        <v>5</v>
      </c>
      <c r="I10" s="82">
        <f t="shared" si="1"/>
        <v>23.216474083087775</v>
      </c>
      <c r="J10" s="81">
        <f t="shared" si="5"/>
        <v>2</v>
      </c>
      <c r="K10" s="81">
        <f t="shared" si="2"/>
        <v>20</v>
      </c>
      <c r="L10" s="81"/>
      <c r="M10" s="83">
        <f t="shared" si="3"/>
        <v>43.216474083087775</v>
      </c>
      <c r="V10" s="87"/>
      <c r="Z10" s="88"/>
      <c r="AA10" s="88"/>
      <c r="AG10" s="89"/>
      <c r="AH10" s="71" t="s">
        <v>52</v>
      </c>
      <c r="AI10" s="71">
        <v>45</v>
      </c>
    </row>
    <row r="11" spans="1:36" ht="14.45" customHeight="1" x14ac:dyDescent="0.25">
      <c r="A11" s="110">
        <f t="shared" si="4"/>
        <v>40.18236254397452</v>
      </c>
      <c r="B11" s="34">
        <f t="shared" si="0"/>
        <v>6</v>
      </c>
      <c r="C11" s="35" t="s">
        <v>50</v>
      </c>
      <c r="D11" s="35"/>
      <c r="E11" s="35"/>
      <c r="F11" s="35"/>
      <c r="G11" s="22"/>
      <c r="H11" s="84">
        <v>6</v>
      </c>
      <c r="I11" s="85">
        <f t="shared" si="1"/>
        <v>20.182362543974516</v>
      </c>
      <c r="J11" s="84">
        <f t="shared" si="5"/>
        <v>2</v>
      </c>
      <c r="K11" s="84">
        <f t="shared" si="2"/>
        <v>20</v>
      </c>
      <c r="L11" s="84"/>
      <c r="M11" s="86">
        <f t="shared" si="3"/>
        <v>40.18236254397452</v>
      </c>
      <c r="V11" s="90"/>
      <c r="Z11" s="88"/>
      <c r="AA11" s="88"/>
      <c r="AG11" s="89"/>
      <c r="AH11" s="71" t="s">
        <v>53</v>
      </c>
      <c r="AI11" s="71">
        <v>50</v>
      </c>
    </row>
    <row r="12" spans="1:36" ht="14.45" customHeight="1" x14ac:dyDescent="0.25">
      <c r="A12" s="109">
        <f t="shared" si="4"/>
        <v>37.617057789832863</v>
      </c>
      <c r="B12" s="28">
        <f t="shared" si="0"/>
        <v>7</v>
      </c>
      <c r="C12" s="29" t="s">
        <v>50</v>
      </c>
      <c r="D12" s="29"/>
      <c r="E12" s="29"/>
      <c r="F12" s="29"/>
      <c r="G12" s="22"/>
      <c r="H12" s="81">
        <v>7</v>
      </c>
      <c r="I12" s="82">
        <f t="shared" si="1"/>
        <v>17.617057789832863</v>
      </c>
      <c r="J12" s="81">
        <f t="shared" si="5"/>
        <v>2</v>
      </c>
      <c r="K12" s="81">
        <f t="shared" si="2"/>
        <v>20</v>
      </c>
      <c r="L12" s="81"/>
      <c r="M12" s="83">
        <f t="shared" si="3"/>
        <v>37.617057789832863</v>
      </c>
      <c r="Z12" s="88"/>
      <c r="AA12" s="88"/>
      <c r="AG12" s="89"/>
      <c r="AH12" s="71" t="s">
        <v>54</v>
      </c>
      <c r="AI12" s="71">
        <f>AI11-1</f>
        <v>49</v>
      </c>
    </row>
    <row r="13" spans="1:36" ht="14.45" customHeight="1" x14ac:dyDescent="0.25">
      <c r="A13" s="110">
        <f t="shared" si="4"/>
        <v>35.394889735104179</v>
      </c>
      <c r="B13" s="34">
        <f t="shared" si="0"/>
        <v>8</v>
      </c>
      <c r="C13" s="35" t="s">
        <v>16</v>
      </c>
      <c r="D13" s="35"/>
      <c r="E13" s="35"/>
      <c r="F13" s="35"/>
      <c r="G13" s="22"/>
      <c r="H13" s="84">
        <v>8</v>
      </c>
      <c r="I13" s="85">
        <f t="shared" si="1"/>
        <v>15.394889735104179</v>
      </c>
      <c r="J13" s="84">
        <f t="shared" si="5"/>
        <v>2</v>
      </c>
      <c r="K13" s="84">
        <f t="shared" si="2"/>
        <v>20</v>
      </c>
      <c r="L13" s="84"/>
      <c r="M13" s="86">
        <f t="shared" si="3"/>
        <v>35.394889735104179</v>
      </c>
      <c r="X13" s="87"/>
      <c r="AG13" s="89"/>
      <c r="AH13" s="71" t="s">
        <v>55</v>
      </c>
      <c r="AI13" s="71">
        <f>LOG(AI9)</f>
        <v>1.3617278360175928</v>
      </c>
    </row>
    <row r="14" spans="1:36" x14ac:dyDescent="0.25">
      <c r="A14" s="109">
        <f t="shared" si="4"/>
        <v>23.434798597879578</v>
      </c>
      <c r="B14" s="28">
        <f t="shared" si="0"/>
        <v>9</v>
      </c>
      <c r="C14" s="29" t="s">
        <v>50</v>
      </c>
      <c r="D14" s="29"/>
      <c r="E14" s="29"/>
      <c r="F14" s="29"/>
      <c r="G14" s="22"/>
      <c r="H14" s="81">
        <v>9</v>
      </c>
      <c r="I14" s="82">
        <f t="shared" si="1"/>
        <v>13.434798597879578</v>
      </c>
      <c r="J14" s="81">
        <f t="shared" si="5"/>
        <v>1</v>
      </c>
      <c r="K14" s="81">
        <f t="shared" si="2"/>
        <v>10</v>
      </c>
      <c r="L14" s="81"/>
      <c r="M14" s="83">
        <f t="shared" si="3"/>
        <v>23.434798597879578</v>
      </c>
      <c r="X14" s="91"/>
      <c r="Z14" s="88"/>
      <c r="AA14" s="88"/>
      <c r="AG14" s="89"/>
      <c r="AH14" s="71" t="s">
        <v>56</v>
      </c>
      <c r="AI14" s="71">
        <f>LOG(AI10)</f>
        <v>1.6532125137753437</v>
      </c>
    </row>
    <row r="15" spans="1:36" x14ac:dyDescent="0.25">
      <c r="A15" s="110">
        <f t="shared" si="4"/>
        <v>21.681437328122506</v>
      </c>
      <c r="B15" s="34">
        <f t="shared" si="0"/>
        <v>10</v>
      </c>
      <c r="C15" s="35" t="s">
        <v>50</v>
      </c>
      <c r="D15" s="35"/>
      <c r="E15" s="35"/>
      <c r="F15" s="35"/>
      <c r="G15" s="22"/>
      <c r="H15" s="84">
        <v>10</v>
      </c>
      <c r="I15" s="85">
        <f t="shared" si="1"/>
        <v>11.681437328122506</v>
      </c>
      <c r="J15" s="84">
        <f t="shared" si="5"/>
        <v>1</v>
      </c>
      <c r="K15" s="84">
        <f t="shared" si="2"/>
        <v>10</v>
      </c>
      <c r="L15" s="84"/>
      <c r="M15" s="86">
        <f t="shared" si="3"/>
        <v>21.681437328122506</v>
      </c>
      <c r="X15" s="87"/>
      <c r="Z15" s="88"/>
      <c r="AA15" s="88"/>
    </row>
    <row r="16" spans="1:36" x14ac:dyDescent="0.25">
      <c r="A16" s="109">
        <f t="shared" si="4"/>
        <v>20.095329127729762</v>
      </c>
      <c r="B16" s="28">
        <f t="shared" si="0"/>
        <v>11</v>
      </c>
      <c r="C16" s="29" t="s">
        <v>50</v>
      </c>
      <c r="D16" s="29"/>
      <c r="E16" s="29"/>
      <c r="F16" s="29"/>
      <c r="G16" s="22"/>
      <c r="H16" s="81">
        <v>11</v>
      </c>
      <c r="I16" s="82">
        <f t="shared" si="1"/>
        <v>10.095329127729762</v>
      </c>
      <c r="J16" s="81">
        <f t="shared" si="5"/>
        <v>1</v>
      </c>
      <c r="K16" s="81">
        <f t="shared" si="2"/>
        <v>10</v>
      </c>
      <c r="L16" s="81"/>
      <c r="M16" s="83">
        <f t="shared" si="3"/>
        <v>20.095329127729762</v>
      </c>
      <c r="R16" s="92"/>
      <c r="Z16" s="88"/>
      <c r="AA16" s="88"/>
      <c r="AH16" s="93" t="s">
        <v>57</v>
      </c>
      <c r="AI16" s="71">
        <f>AI11-AI12*AI13/AI14</f>
        <v>9.6393909380186855</v>
      </c>
      <c r="AJ16" s="71" t="s">
        <v>58</v>
      </c>
    </row>
    <row r="17" spans="1:19" x14ac:dyDescent="0.25">
      <c r="A17" s="110">
        <f t="shared" si="4"/>
        <v>18.647325789009237</v>
      </c>
      <c r="B17" s="34">
        <f t="shared" si="0"/>
        <v>12</v>
      </c>
      <c r="C17" s="35" t="s">
        <v>50</v>
      </c>
      <c r="D17" s="35"/>
      <c r="E17" s="35"/>
      <c r="F17" s="35"/>
      <c r="G17" s="22"/>
      <c r="H17" s="84">
        <v>12</v>
      </c>
      <c r="I17" s="85">
        <f t="shared" si="1"/>
        <v>8.647325789009237</v>
      </c>
      <c r="J17" s="84">
        <f t="shared" si="5"/>
        <v>1</v>
      </c>
      <c r="K17" s="84">
        <f t="shared" si="2"/>
        <v>10</v>
      </c>
      <c r="L17" s="84"/>
      <c r="M17" s="86">
        <f t="shared" si="3"/>
        <v>18.647325789009237</v>
      </c>
    </row>
    <row r="18" spans="1:19" x14ac:dyDescent="0.25">
      <c r="A18" s="109">
        <f t="shared" si="4"/>
        <v>17.315291841709161</v>
      </c>
      <c r="B18" s="28">
        <f t="shared" si="0"/>
        <v>13</v>
      </c>
      <c r="C18" s="29" t="s">
        <v>50</v>
      </c>
      <c r="D18" s="29"/>
      <c r="E18" s="29"/>
      <c r="F18" s="29"/>
      <c r="G18" s="22"/>
      <c r="H18" s="81">
        <v>13</v>
      </c>
      <c r="I18" s="82">
        <f t="shared" si="1"/>
        <v>7.3152918417091612</v>
      </c>
      <c r="J18" s="81">
        <f t="shared" si="5"/>
        <v>1</v>
      </c>
      <c r="K18" s="81">
        <f t="shared" si="2"/>
        <v>10</v>
      </c>
      <c r="L18" s="81"/>
      <c r="M18" s="83">
        <f t="shared" si="3"/>
        <v>17.315291841709161</v>
      </c>
    </row>
    <row r="19" spans="1:19" x14ac:dyDescent="0.25">
      <c r="A19" s="110">
        <f t="shared" si="4"/>
        <v>16.082021034867594</v>
      </c>
      <c r="B19" s="34">
        <f t="shared" si="0"/>
        <v>14</v>
      </c>
      <c r="C19" s="35" t="s">
        <v>50</v>
      </c>
      <c r="D19" s="35"/>
      <c r="E19" s="35"/>
      <c r="F19" s="35"/>
      <c r="G19" s="22"/>
      <c r="H19" s="84">
        <v>14</v>
      </c>
      <c r="I19" s="85">
        <f t="shared" si="1"/>
        <v>6.0820210348675943</v>
      </c>
      <c r="J19" s="84">
        <f t="shared" si="5"/>
        <v>1</v>
      </c>
      <c r="K19" s="84">
        <f t="shared" si="2"/>
        <v>10</v>
      </c>
      <c r="L19" s="84"/>
      <c r="M19" s="86">
        <f t="shared" si="3"/>
        <v>16.082021034867594</v>
      </c>
    </row>
    <row r="20" spans="1:19" x14ac:dyDescent="0.25">
      <c r="A20" s="109">
        <f t="shared" si="4"/>
        <v>14.933873382027564</v>
      </c>
      <c r="B20" s="28">
        <f t="shared" si="0"/>
        <v>15</v>
      </c>
      <c r="C20" s="29" t="s">
        <v>50</v>
      </c>
      <c r="D20" s="29"/>
      <c r="E20" s="29"/>
      <c r="F20" s="29"/>
      <c r="G20" s="22"/>
      <c r="H20" s="81">
        <v>15</v>
      </c>
      <c r="I20" s="82">
        <f t="shared" si="1"/>
        <v>4.9338733820275635</v>
      </c>
      <c r="J20" s="81">
        <f t="shared" si="5"/>
        <v>1</v>
      </c>
      <c r="K20" s="81">
        <f t="shared" si="2"/>
        <v>10</v>
      </c>
      <c r="L20" s="81"/>
      <c r="M20" s="83">
        <f t="shared" si="3"/>
        <v>14.933873382027564</v>
      </c>
      <c r="R20" s="94"/>
      <c r="S20" s="95"/>
    </row>
    <row r="21" spans="1:19" x14ac:dyDescent="0.25">
      <c r="A21" s="110">
        <f t="shared" si="4"/>
        <v>13.859852980138903</v>
      </c>
      <c r="B21" s="34">
        <f t="shared" si="0"/>
        <v>16</v>
      </c>
      <c r="C21" s="35" t="s">
        <v>50</v>
      </c>
      <c r="D21" s="35"/>
      <c r="E21" s="35"/>
      <c r="F21" s="35"/>
      <c r="G21" s="22"/>
      <c r="H21" s="84">
        <v>16</v>
      </c>
      <c r="I21" s="85">
        <f t="shared" si="1"/>
        <v>3.8598529801389034</v>
      </c>
      <c r="J21" s="84">
        <f t="shared" si="5"/>
        <v>1</v>
      </c>
      <c r="K21" s="84">
        <f t="shared" si="2"/>
        <v>10</v>
      </c>
      <c r="L21" s="84"/>
      <c r="M21" s="86">
        <f t="shared" si="3"/>
        <v>13.859852980138903</v>
      </c>
    </row>
    <row r="22" spans="1:19" x14ac:dyDescent="0.25">
      <c r="A22" s="109">
        <f t="shared" si="4"/>
        <v>2.8509658916225433</v>
      </c>
      <c r="B22" s="28">
        <f t="shared" si="0"/>
        <v>17</v>
      </c>
      <c r="C22" s="29" t="s">
        <v>17</v>
      </c>
      <c r="D22" s="29"/>
      <c r="E22" s="29"/>
      <c r="F22" s="29"/>
      <c r="G22" s="22"/>
      <c r="H22" s="81">
        <v>17</v>
      </c>
      <c r="I22" s="82">
        <f t="shared" si="1"/>
        <v>2.8509658916225433</v>
      </c>
      <c r="J22" s="81">
        <f t="shared" si="5"/>
        <v>0</v>
      </c>
      <c r="K22" s="81">
        <f t="shared" si="2"/>
        <v>0</v>
      </c>
      <c r="L22" s="81"/>
      <c r="M22" s="83">
        <f t="shared" si="3"/>
        <v>2.8509658916225433</v>
      </c>
    </row>
    <row r="23" spans="1:19" x14ac:dyDescent="0.25">
      <c r="A23" s="110">
        <f t="shared" si="4"/>
        <v>1.8997618429143088</v>
      </c>
      <c r="B23" s="34">
        <f t="shared" si="0"/>
        <v>18</v>
      </c>
      <c r="C23" s="35" t="s">
        <v>50</v>
      </c>
      <c r="D23" s="35"/>
      <c r="E23" s="35"/>
      <c r="F23" s="35"/>
      <c r="G23" s="22"/>
      <c r="H23" s="84">
        <v>18</v>
      </c>
      <c r="I23" s="85">
        <f t="shared" si="1"/>
        <v>1.8997618429143088</v>
      </c>
      <c r="J23" s="84">
        <f t="shared" si="5"/>
        <v>0</v>
      </c>
      <c r="K23" s="84">
        <f t="shared" si="2"/>
        <v>0</v>
      </c>
      <c r="L23" s="84"/>
      <c r="M23" s="86">
        <f t="shared" si="3"/>
        <v>1.8997618429143088</v>
      </c>
    </row>
    <row r="24" spans="1:19" x14ac:dyDescent="0.25">
      <c r="A24" s="109">
        <f t="shared" si="4"/>
        <v>1</v>
      </c>
      <c r="B24" s="28">
        <f t="shared" si="0"/>
        <v>19</v>
      </c>
      <c r="C24" s="29" t="s">
        <v>50</v>
      </c>
      <c r="D24" s="29"/>
      <c r="E24" s="29"/>
      <c r="F24" s="29"/>
      <c r="G24" s="22"/>
      <c r="H24" s="81">
        <v>19</v>
      </c>
      <c r="I24" s="82">
        <f t="shared" si="1"/>
        <v>1</v>
      </c>
      <c r="J24" s="81">
        <f t="shared" si="5"/>
        <v>0</v>
      </c>
      <c r="K24" s="81">
        <f t="shared" si="2"/>
        <v>0</v>
      </c>
      <c r="L24" s="81"/>
      <c r="M24" s="83">
        <f t="shared" si="3"/>
        <v>1</v>
      </c>
      <c r="R24" s="94"/>
      <c r="S24" s="95"/>
    </row>
    <row r="25" spans="1:19" x14ac:dyDescent="0.25">
      <c r="A25" s="110">
        <f t="shared" si="4"/>
        <v>0</v>
      </c>
      <c r="B25" s="34" t="str">
        <f t="shared" si="0"/>
        <v/>
      </c>
      <c r="C25" s="35"/>
      <c r="D25" s="35"/>
      <c r="E25" s="35"/>
      <c r="F25" s="35"/>
      <c r="G25" s="22"/>
      <c r="H25" s="84">
        <v>20</v>
      </c>
      <c r="I25" s="85" t="str">
        <f t="shared" si="1"/>
        <v/>
      </c>
      <c r="J25" s="84">
        <f t="shared" si="5"/>
        <v>0</v>
      </c>
      <c r="K25" s="84">
        <f t="shared" si="2"/>
        <v>0</v>
      </c>
      <c r="L25" s="84"/>
      <c r="M25" s="86">
        <f t="shared" si="3"/>
        <v>0</v>
      </c>
    </row>
    <row r="26" spans="1:19" x14ac:dyDescent="0.25">
      <c r="A26" s="109">
        <f t="shared" si="4"/>
        <v>0</v>
      </c>
      <c r="B26" s="28" t="str">
        <f t="shared" si="0"/>
        <v/>
      </c>
      <c r="C26" s="29"/>
      <c r="D26" s="29"/>
      <c r="E26" s="29"/>
      <c r="F26" s="29"/>
      <c r="G26" s="22"/>
      <c r="H26" s="81">
        <v>21</v>
      </c>
      <c r="I26" s="82" t="str">
        <f t="shared" si="1"/>
        <v/>
      </c>
      <c r="J26" s="81">
        <f t="shared" si="5"/>
        <v>0</v>
      </c>
      <c r="K26" s="81">
        <f t="shared" si="2"/>
        <v>0</v>
      </c>
      <c r="L26" s="81"/>
      <c r="M26" s="83">
        <f t="shared" si="3"/>
        <v>0</v>
      </c>
    </row>
    <row r="27" spans="1:19" x14ac:dyDescent="0.25">
      <c r="A27" s="110">
        <f t="shared" si="4"/>
        <v>0</v>
      </c>
      <c r="B27" s="34" t="str">
        <f t="shared" si="0"/>
        <v/>
      </c>
      <c r="C27" s="35"/>
      <c r="D27" s="35"/>
      <c r="E27" s="35"/>
      <c r="F27" s="35"/>
      <c r="G27" s="22"/>
      <c r="H27" s="84">
        <v>22</v>
      </c>
      <c r="I27" s="85" t="str">
        <f t="shared" si="1"/>
        <v/>
      </c>
      <c r="J27" s="84">
        <f t="shared" si="5"/>
        <v>0</v>
      </c>
      <c r="K27" s="84">
        <f t="shared" si="2"/>
        <v>0</v>
      </c>
      <c r="L27" s="84"/>
      <c r="M27" s="86">
        <f t="shared" si="3"/>
        <v>0</v>
      </c>
    </row>
    <row r="28" spans="1:19" x14ac:dyDescent="0.25">
      <c r="A28" s="109">
        <f t="shared" si="4"/>
        <v>0</v>
      </c>
      <c r="B28" s="28" t="str">
        <f t="shared" si="0"/>
        <v/>
      </c>
      <c r="C28" s="29"/>
      <c r="D28" s="29"/>
      <c r="E28" s="29"/>
      <c r="F28" s="29"/>
      <c r="G28" s="22"/>
      <c r="H28" s="81">
        <v>23</v>
      </c>
      <c r="I28" s="82" t="str">
        <f t="shared" si="1"/>
        <v/>
      </c>
      <c r="J28" s="81">
        <f t="shared" si="5"/>
        <v>0</v>
      </c>
      <c r="K28" s="81">
        <f t="shared" si="2"/>
        <v>0</v>
      </c>
      <c r="L28" s="81"/>
      <c r="M28" s="83">
        <f t="shared" si="3"/>
        <v>0</v>
      </c>
      <c r="R28" s="94"/>
      <c r="S28" s="95"/>
    </row>
    <row r="29" spans="1:19" x14ac:dyDescent="0.25">
      <c r="A29" s="110">
        <f t="shared" si="4"/>
        <v>0</v>
      </c>
      <c r="B29" s="34" t="str">
        <f t="shared" si="0"/>
        <v/>
      </c>
      <c r="C29" s="35"/>
      <c r="D29" s="35"/>
      <c r="E29" s="35"/>
      <c r="F29" s="35"/>
      <c r="G29" s="64"/>
      <c r="H29" s="84">
        <v>24</v>
      </c>
      <c r="I29" s="85" t="str">
        <f t="shared" si="1"/>
        <v/>
      </c>
      <c r="J29" s="84">
        <f t="shared" si="5"/>
        <v>0</v>
      </c>
      <c r="K29" s="84">
        <f t="shared" si="2"/>
        <v>0</v>
      </c>
      <c r="L29" s="84"/>
      <c r="M29" s="86">
        <f t="shared" si="3"/>
        <v>0</v>
      </c>
    </row>
    <row r="30" spans="1:19" x14ac:dyDescent="0.25">
      <c r="A30" s="109">
        <f t="shared" si="4"/>
        <v>0</v>
      </c>
      <c r="B30" s="28" t="str">
        <f t="shared" si="0"/>
        <v/>
      </c>
      <c r="C30" s="29"/>
      <c r="D30" s="29"/>
      <c r="E30" s="29"/>
      <c r="F30" s="29"/>
      <c r="G30" s="64"/>
      <c r="H30" s="81">
        <v>25</v>
      </c>
      <c r="I30" s="82" t="str">
        <f t="shared" si="1"/>
        <v/>
      </c>
      <c r="J30" s="81">
        <f t="shared" si="5"/>
        <v>0</v>
      </c>
      <c r="K30" s="81">
        <f t="shared" si="2"/>
        <v>0</v>
      </c>
      <c r="L30" s="81"/>
      <c r="M30" s="83">
        <f t="shared" si="3"/>
        <v>0</v>
      </c>
    </row>
    <row r="31" spans="1:19" x14ac:dyDescent="0.25">
      <c r="A31" s="110">
        <f t="shared" si="4"/>
        <v>0</v>
      </c>
      <c r="B31" s="34" t="str">
        <f t="shared" si="0"/>
        <v/>
      </c>
      <c r="C31" s="35"/>
      <c r="D31" s="35"/>
      <c r="E31" s="35"/>
      <c r="F31" s="35"/>
      <c r="G31" s="64"/>
      <c r="H31" s="84">
        <v>26</v>
      </c>
      <c r="I31" s="85" t="str">
        <f t="shared" si="1"/>
        <v/>
      </c>
      <c r="J31" s="84">
        <f t="shared" si="5"/>
        <v>0</v>
      </c>
      <c r="K31" s="84">
        <f t="shared" si="2"/>
        <v>0</v>
      </c>
      <c r="L31" s="84"/>
      <c r="M31" s="86">
        <f t="shared" si="3"/>
        <v>0</v>
      </c>
    </row>
    <row r="32" spans="1:19" x14ac:dyDescent="0.25">
      <c r="A32" s="109">
        <f t="shared" si="4"/>
        <v>0</v>
      </c>
      <c r="B32" s="28" t="str">
        <f t="shared" si="0"/>
        <v/>
      </c>
      <c r="C32" s="29"/>
      <c r="D32" s="29"/>
      <c r="E32" s="29"/>
      <c r="F32" s="29"/>
      <c r="G32" s="64"/>
      <c r="H32" s="81">
        <v>27</v>
      </c>
      <c r="I32" s="82" t="str">
        <f t="shared" si="1"/>
        <v/>
      </c>
      <c r="J32" s="81">
        <f t="shared" si="5"/>
        <v>0</v>
      </c>
      <c r="K32" s="81">
        <f t="shared" si="2"/>
        <v>0</v>
      </c>
      <c r="L32" s="81"/>
      <c r="M32" s="83">
        <f t="shared" si="3"/>
        <v>0</v>
      </c>
      <c r="R32" s="94"/>
      <c r="S32" s="95"/>
    </row>
    <row r="33" spans="1:21" x14ac:dyDescent="0.25">
      <c r="A33" s="110">
        <f t="shared" si="4"/>
        <v>0</v>
      </c>
      <c r="B33" s="34" t="str">
        <f t="shared" si="0"/>
        <v/>
      </c>
      <c r="C33" s="35"/>
      <c r="D33" s="35"/>
      <c r="E33" s="35"/>
      <c r="F33" s="35"/>
      <c r="G33" s="64"/>
      <c r="H33" s="84">
        <v>28</v>
      </c>
      <c r="I33" s="85" t="str">
        <f t="shared" si="1"/>
        <v/>
      </c>
      <c r="J33" s="84">
        <f t="shared" si="5"/>
        <v>0</v>
      </c>
      <c r="K33" s="84">
        <f t="shared" si="2"/>
        <v>0</v>
      </c>
      <c r="L33" s="84"/>
      <c r="M33" s="86">
        <f t="shared" si="3"/>
        <v>0</v>
      </c>
    </row>
    <row r="34" spans="1:21" x14ac:dyDescent="0.25">
      <c r="A34" s="109">
        <f t="shared" si="4"/>
        <v>0</v>
      </c>
      <c r="B34" s="28" t="str">
        <f t="shared" si="0"/>
        <v/>
      </c>
      <c r="C34" s="29"/>
      <c r="D34" s="29"/>
      <c r="E34" s="29"/>
      <c r="F34" s="29"/>
      <c r="G34" s="64"/>
      <c r="H34" s="81">
        <v>29</v>
      </c>
      <c r="I34" s="82" t="str">
        <f t="shared" si="1"/>
        <v/>
      </c>
      <c r="J34" s="81">
        <f t="shared" si="5"/>
        <v>0</v>
      </c>
      <c r="K34" s="81">
        <f t="shared" si="2"/>
        <v>0</v>
      </c>
      <c r="L34" s="81"/>
      <c r="M34" s="83">
        <f t="shared" si="3"/>
        <v>0</v>
      </c>
    </row>
    <row r="35" spans="1:21" x14ac:dyDescent="0.25">
      <c r="A35" s="110">
        <f t="shared" si="4"/>
        <v>0</v>
      </c>
      <c r="B35" s="34" t="str">
        <f t="shared" si="0"/>
        <v/>
      </c>
      <c r="C35" s="35"/>
      <c r="D35" s="35"/>
      <c r="E35" s="35"/>
      <c r="F35" s="35"/>
      <c r="G35" s="64"/>
      <c r="H35" s="84">
        <v>30</v>
      </c>
      <c r="I35" s="85" t="str">
        <f t="shared" si="1"/>
        <v/>
      </c>
      <c r="J35" s="84">
        <f t="shared" si="5"/>
        <v>0</v>
      </c>
      <c r="K35" s="84">
        <f t="shared" si="2"/>
        <v>0</v>
      </c>
      <c r="L35" s="84"/>
      <c r="M35" s="86">
        <f t="shared" si="3"/>
        <v>0</v>
      </c>
    </row>
    <row r="36" spans="1:21" x14ac:dyDescent="0.25">
      <c r="A36" s="109">
        <f t="shared" si="4"/>
        <v>0</v>
      </c>
      <c r="B36" s="28" t="str">
        <f t="shared" si="0"/>
        <v/>
      </c>
      <c r="C36" s="29"/>
      <c r="D36" s="29"/>
      <c r="E36" s="29"/>
      <c r="F36" s="29"/>
      <c r="G36" s="64"/>
      <c r="H36" s="81">
        <v>31</v>
      </c>
      <c r="I36" s="82" t="str">
        <f t="shared" si="1"/>
        <v/>
      </c>
      <c r="J36" s="81">
        <f t="shared" si="5"/>
        <v>0</v>
      </c>
      <c r="K36" s="81">
        <f t="shared" si="2"/>
        <v>0</v>
      </c>
      <c r="L36" s="81"/>
      <c r="M36" s="83">
        <f t="shared" si="3"/>
        <v>0</v>
      </c>
      <c r="R36" s="94"/>
      <c r="S36" s="95"/>
    </row>
    <row r="37" spans="1:21" x14ac:dyDescent="0.25">
      <c r="A37" s="110">
        <f t="shared" si="4"/>
        <v>0</v>
      </c>
      <c r="B37" s="34" t="str">
        <f t="shared" si="0"/>
        <v/>
      </c>
      <c r="C37" s="35"/>
      <c r="D37" s="35"/>
      <c r="E37" s="35"/>
      <c r="F37" s="35"/>
      <c r="G37" s="64"/>
      <c r="H37" s="84">
        <v>32</v>
      </c>
      <c r="I37" s="85" t="str">
        <f t="shared" si="1"/>
        <v/>
      </c>
      <c r="J37" s="84">
        <f t="shared" si="5"/>
        <v>0</v>
      </c>
      <c r="K37" s="84">
        <f t="shared" si="2"/>
        <v>0</v>
      </c>
      <c r="L37" s="84"/>
      <c r="M37" s="86">
        <f t="shared" si="3"/>
        <v>0</v>
      </c>
    </row>
    <row r="38" spans="1:21" x14ac:dyDescent="0.25">
      <c r="A38" s="109"/>
      <c r="B38" s="28" t="str">
        <f t="shared" si="0"/>
        <v/>
      </c>
      <c r="C38" s="29"/>
      <c r="D38" s="29"/>
      <c r="E38" s="29"/>
      <c r="F38" s="29"/>
      <c r="G38" s="64"/>
      <c r="H38" s="81">
        <v>33</v>
      </c>
      <c r="I38" s="82" t="str">
        <f t="shared" si="1"/>
        <v/>
      </c>
      <c r="J38" s="81">
        <f t="shared" si="5"/>
        <v>-1</v>
      </c>
      <c r="K38" s="81">
        <f t="shared" si="2"/>
        <v>-10</v>
      </c>
      <c r="L38" s="81"/>
      <c r="M38" s="83">
        <f t="shared" si="3"/>
        <v>0</v>
      </c>
    </row>
    <row r="39" spans="1:21" x14ac:dyDescent="0.25">
      <c r="A39" s="110"/>
      <c r="B39" s="34" t="str">
        <f t="shared" si="0"/>
        <v/>
      </c>
      <c r="C39" s="35"/>
      <c r="D39" s="35"/>
      <c r="E39" s="35"/>
      <c r="F39" s="35"/>
      <c r="G39" s="64"/>
      <c r="H39" s="84">
        <v>34</v>
      </c>
      <c r="I39" s="85" t="str">
        <f t="shared" si="1"/>
        <v/>
      </c>
      <c r="J39" s="84">
        <f t="shared" si="5"/>
        <v>-1</v>
      </c>
      <c r="K39" s="84">
        <f t="shared" si="2"/>
        <v>-10</v>
      </c>
      <c r="L39" s="84"/>
      <c r="M39" s="86">
        <f t="shared" si="3"/>
        <v>0</v>
      </c>
    </row>
    <row r="40" spans="1:21" x14ac:dyDescent="0.25">
      <c r="A40" s="109"/>
      <c r="B40" s="28" t="str">
        <f t="shared" si="0"/>
        <v/>
      </c>
      <c r="C40" s="29"/>
      <c r="D40" s="29"/>
      <c r="E40" s="29"/>
      <c r="F40" s="29"/>
      <c r="G40" s="64"/>
      <c r="H40" s="81">
        <v>35</v>
      </c>
      <c r="I40" s="82" t="str">
        <f t="shared" si="1"/>
        <v/>
      </c>
      <c r="J40" s="81">
        <f t="shared" si="5"/>
        <v>-1</v>
      </c>
      <c r="K40" s="81">
        <f t="shared" si="2"/>
        <v>-10</v>
      </c>
      <c r="L40" s="81"/>
      <c r="M40" s="83">
        <f t="shared" si="3"/>
        <v>0</v>
      </c>
    </row>
    <row r="41" spans="1:21" x14ac:dyDescent="0.25">
      <c r="A41" s="110"/>
      <c r="B41" s="34" t="str">
        <f t="shared" si="0"/>
        <v/>
      </c>
      <c r="C41" s="35"/>
      <c r="D41" s="35"/>
      <c r="E41" s="35"/>
      <c r="F41" s="35"/>
      <c r="G41" s="64"/>
      <c r="H41" s="84">
        <v>36</v>
      </c>
      <c r="I41" s="85" t="str">
        <f t="shared" si="1"/>
        <v/>
      </c>
      <c r="J41" s="84">
        <f t="shared" si="5"/>
        <v>-1</v>
      </c>
      <c r="K41" s="84">
        <f t="shared" si="2"/>
        <v>-10</v>
      </c>
      <c r="L41" s="84"/>
      <c r="M41" s="86">
        <f t="shared" si="3"/>
        <v>0</v>
      </c>
      <c r="S41" s="96"/>
    </row>
    <row r="42" spans="1:21" x14ac:dyDescent="0.25">
      <c r="A42" s="109"/>
      <c r="B42" s="28" t="str">
        <f t="shared" si="0"/>
        <v/>
      </c>
      <c r="C42" s="29"/>
      <c r="D42" s="29"/>
      <c r="E42" s="29"/>
      <c r="F42" s="29"/>
      <c r="G42" s="64"/>
      <c r="H42" s="81">
        <v>37</v>
      </c>
      <c r="I42" s="82" t="str">
        <f t="shared" si="1"/>
        <v/>
      </c>
      <c r="J42" s="81">
        <f t="shared" si="5"/>
        <v>-1</v>
      </c>
      <c r="K42" s="81">
        <f t="shared" si="2"/>
        <v>-10</v>
      </c>
      <c r="L42" s="81"/>
      <c r="M42" s="83">
        <f t="shared" si="3"/>
        <v>0</v>
      </c>
    </row>
    <row r="43" spans="1:21" x14ac:dyDescent="0.25">
      <c r="A43" s="110"/>
      <c r="B43" s="34" t="str">
        <f t="shared" si="0"/>
        <v/>
      </c>
      <c r="C43" s="35"/>
      <c r="D43" s="35"/>
      <c r="E43" s="35"/>
      <c r="F43" s="35"/>
      <c r="G43" s="64"/>
      <c r="H43" s="84">
        <v>38</v>
      </c>
      <c r="I43" s="85" t="str">
        <f t="shared" si="1"/>
        <v/>
      </c>
      <c r="J43" s="84">
        <f t="shared" si="5"/>
        <v>-1</v>
      </c>
      <c r="K43" s="84">
        <f t="shared" si="2"/>
        <v>-10</v>
      </c>
      <c r="L43" s="84"/>
      <c r="M43" s="86">
        <f t="shared" si="3"/>
        <v>0</v>
      </c>
    </row>
    <row r="44" spans="1:21" x14ac:dyDescent="0.25">
      <c r="A44" s="109"/>
      <c r="B44" s="28" t="str">
        <f t="shared" si="0"/>
        <v/>
      </c>
      <c r="C44" s="29"/>
      <c r="D44" s="29"/>
      <c r="E44" s="29"/>
      <c r="F44" s="29"/>
      <c r="G44" s="64"/>
      <c r="H44" s="81">
        <v>39</v>
      </c>
      <c r="I44" s="82" t="str">
        <f t="shared" si="1"/>
        <v/>
      </c>
      <c r="J44" s="81">
        <f t="shared" si="5"/>
        <v>-1</v>
      </c>
      <c r="K44" s="81">
        <f t="shared" si="2"/>
        <v>-10</v>
      </c>
      <c r="L44" s="81"/>
      <c r="M44" s="83">
        <f t="shared" si="3"/>
        <v>0</v>
      </c>
    </row>
    <row r="45" spans="1:21" x14ac:dyDescent="0.25">
      <c r="A45" s="110"/>
      <c r="B45" s="34" t="str">
        <f t="shared" si="0"/>
        <v/>
      </c>
      <c r="C45" s="35"/>
      <c r="D45" s="35"/>
      <c r="E45" s="35"/>
      <c r="F45" s="35"/>
      <c r="G45" s="64"/>
      <c r="H45" s="84">
        <v>40</v>
      </c>
      <c r="I45" s="85" t="str">
        <f t="shared" si="1"/>
        <v/>
      </c>
      <c r="J45" s="84">
        <f t="shared" si="5"/>
        <v>-1</v>
      </c>
      <c r="K45" s="84">
        <f t="shared" si="2"/>
        <v>-10</v>
      </c>
      <c r="L45" s="84"/>
      <c r="M45" s="86">
        <f t="shared" si="3"/>
        <v>0</v>
      </c>
    </row>
    <row r="46" spans="1:21" x14ac:dyDescent="0.25">
      <c r="A46" s="109"/>
      <c r="B46" s="28" t="str">
        <f t="shared" si="0"/>
        <v/>
      </c>
      <c r="C46" s="29"/>
      <c r="D46" s="29"/>
      <c r="E46" s="29"/>
      <c r="F46" s="29"/>
      <c r="G46" s="64"/>
      <c r="H46" s="81">
        <v>41</v>
      </c>
      <c r="I46" s="82" t="str">
        <f t="shared" si="1"/>
        <v/>
      </c>
      <c r="J46" s="81">
        <f t="shared" si="5"/>
        <v>-1</v>
      </c>
      <c r="K46" s="81">
        <f t="shared" si="2"/>
        <v>-10</v>
      </c>
      <c r="L46" s="81"/>
      <c r="M46" s="83">
        <f t="shared" si="3"/>
        <v>0</v>
      </c>
      <c r="R46" s="64">
        <f>LOG($H$2,2)</f>
        <v>4.2479275134435852</v>
      </c>
      <c r="T46" s="71">
        <f>LOG(H38,2)</f>
        <v>5.0443941193584534</v>
      </c>
      <c r="U46" s="71">
        <f>R46-T46</f>
        <v>-0.79646660591486818</v>
      </c>
    </row>
    <row r="47" spans="1:21" x14ac:dyDescent="0.25">
      <c r="A47" s="110"/>
      <c r="B47" s="34" t="str">
        <f t="shared" si="0"/>
        <v/>
      </c>
      <c r="C47" s="35"/>
      <c r="D47" s="35"/>
      <c r="E47" s="35"/>
      <c r="F47" s="35"/>
      <c r="G47" s="64"/>
      <c r="H47" s="84">
        <v>42</v>
      </c>
      <c r="I47" s="85" t="str">
        <f t="shared" si="1"/>
        <v/>
      </c>
      <c r="J47" s="84">
        <f t="shared" si="5"/>
        <v>-1</v>
      </c>
      <c r="K47" s="84">
        <f t="shared" si="2"/>
        <v>-10</v>
      </c>
      <c r="L47" s="84"/>
      <c r="M47" s="86">
        <f t="shared" si="3"/>
        <v>0</v>
      </c>
    </row>
    <row r="48" spans="1:21" x14ac:dyDescent="0.25">
      <c r="A48" s="109"/>
      <c r="B48" s="28" t="str">
        <f t="shared" si="0"/>
        <v/>
      </c>
      <c r="C48" s="29"/>
      <c r="D48" s="29"/>
      <c r="E48" s="29"/>
      <c r="F48" s="29"/>
      <c r="G48" s="64"/>
      <c r="H48" s="81">
        <v>43</v>
      </c>
      <c r="I48" s="82" t="str">
        <f t="shared" si="1"/>
        <v/>
      </c>
      <c r="J48" s="81">
        <f t="shared" si="5"/>
        <v>-1</v>
      </c>
      <c r="K48" s="81">
        <f t="shared" si="2"/>
        <v>-10</v>
      </c>
      <c r="L48" s="81"/>
      <c r="M48" s="83">
        <f t="shared" si="3"/>
        <v>0</v>
      </c>
    </row>
    <row r="49" spans="1:13" x14ac:dyDescent="0.25">
      <c r="A49" s="110"/>
      <c r="B49" s="34" t="str">
        <f t="shared" si="0"/>
        <v/>
      </c>
      <c r="C49" s="35"/>
      <c r="D49" s="35"/>
      <c r="E49" s="35"/>
      <c r="F49" s="35"/>
      <c r="G49" s="64"/>
      <c r="H49" s="84">
        <v>44</v>
      </c>
      <c r="I49" s="85" t="str">
        <f t="shared" si="1"/>
        <v/>
      </c>
      <c r="J49" s="84">
        <f t="shared" si="5"/>
        <v>-1</v>
      </c>
      <c r="K49" s="84">
        <f t="shared" si="2"/>
        <v>-10</v>
      </c>
      <c r="L49" s="84"/>
      <c r="M49" s="86">
        <f t="shared" si="3"/>
        <v>0</v>
      </c>
    </row>
    <row r="50" spans="1:13" x14ac:dyDescent="0.25">
      <c r="A50" s="109"/>
      <c r="B50" s="28" t="str">
        <f t="shared" si="0"/>
        <v/>
      </c>
      <c r="C50" s="29"/>
      <c r="D50" s="29"/>
      <c r="E50" s="29"/>
      <c r="F50" s="29"/>
      <c r="G50" s="64"/>
      <c r="H50" s="81">
        <v>45</v>
      </c>
      <c r="I50" s="82" t="str">
        <f t="shared" si="1"/>
        <v/>
      </c>
      <c r="J50" s="81">
        <f t="shared" si="5"/>
        <v>-1</v>
      </c>
      <c r="K50" s="81">
        <f t="shared" si="2"/>
        <v>-10</v>
      </c>
      <c r="L50" s="81"/>
      <c r="M50" s="83">
        <f t="shared" si="3"/>
        <v>0</v>
      </c>
    </row>
    <row r="51" spans="1:13" x14ac:dyDescent="0.25">
      <c r="A51" s="110"/>
      <c r="B51" s="34" t="str">
        <f t="shared" si="0"/>
        <v/>
      </c>
      <c r="C51" s="35"/>
      <c r="D51" s="35"/>
      <c r="E51" s="35"/>
      <c r="F51" s="35"/>
      <c r="G51" s="64"/>
      <c r="H51" s="84">
        <v>46</v>
      </c>
      <c r="I51" s="85" t="str">
        <f t="shared" si="1"/>
        <v/>
      </c>
      <c r="J51" s="84">
        <f t="shared" si="5"/>
        <v>-1</v>
      </c>
      <c r="K51" s="84">
        <f t="shared" si="2"/>
        <v>-10</v>
      </c>
      <c r="L51" s="84"/>
      <c r="M51" s="86">
        <f t="shared" si="3"/>
        <v>0</v>
      </c>
    </row>
    <row r="52" spans="1:13" x14ac:dyDescent="0.25">
      <c r="A52" s="109"/>
      <c r="B52" s="28" t="str">
        <f t="shared" si="0"/>
        <v/>
      </c>
      <c r="C52" s="29"/>
      <c r="D52" s="29"/>
      <c r="E52" s="29"/>
      <c r="F52" s="29"/>
      <c r="G52" s="64"/>
      <c r="H52" s="81">
        <v>47</v>
      </c>
      <c r="I52" s="82" t="str">
        <f t="shared" si="1"/>
        <v/>
      </c>
      <c r="J52" s="81">
        <f t="shared" si="5"/>
        <v>-1</v>
      </c>
      <c r="K52" s="81">
        <f t="shared" si="2"/>
        <v>-10</v>
      </c>
      <c r="L52" s="81"/>
      <c r="M52" s="83">
        <f t="shared" si="3"/>
        <v>0</v>
      </c>
    </row>
    <row r="53" spans="1:13" x14ac:dyDescent="0.25">
      <c r="A53" s="110"/>
      <c r="B53" s="34" t="str">
        <f t="shared" si="0"/>
        <v/>
      </c>
      <c r="C53" s="35"/>
      <c r="D53" s="35"/>
      <c r="E53" s="35"/>
      <c r="F53" s="35"/>
      <c r="G53" s="64"/>
      <c r="H53" s="84">
        <v>48</v>
      </c>
      <c r="I53" s="85" t="str">
        <f t="shared" si="1"/>
        <v/>
      </c>
      <c r="J53" s="84">
        <f t="shared" si="5"/>
        <v>-1</v>
      </c>
      <c r="K53" s="84">
        <f t="shared" si="2"/>
        <v>-10</v>
      </c>
      <c r="L53" s="84"/>
      <c r="M53" s="86">
        <f t="shared" si="3"/>
        <v>0</v>
      </c>
    </row>
    <row r="54" spans="1:13" x14ac:dyDescent="0.25">
      <c r="A54" s="109"/>
      <c r="B54" s="28" t="str">
        <f t="shared" si="0"/>
        <v/>
      </c>
      <c r="C54" s="29"/>
      <c r="D54" s="29"/>
      <c r="E54" s="29"/>
      <c r="F54" s="29"/>
      <c r="G54" s="64"/>
      <c r="H54" s="81">
        <v>49</v>
      </c>
      <c r="I54" s="82" t="str">
        <f t="shared" si="1"/>
        <v/>
      </c>
      <c r="J54" s="81">
        <f t="shared" si="5"/>
        <v>-1</v>
      </c>
      <c r="K54" s="81">
        <f t="shared" si="2"/>
        <v>-10</v>
      </c>
      <c r="L54" s="81"/>
      <c r="M54" s="83">
        <f t="shared" si="3"/>
        <v>0</v>
      </c>
    </row>
    <row r="55" spans="1:13" x14ac:dyDescent="0.25">
      <c r="A55" s="110"/>
      <c r="B55" s="34" t="str">
        <f t="shared" si="0"/>
        <v/>
      </c>
      <c r="C55" s="35"/>
      <c r="D55" s="35"/>
      <c r="E55" s="35"/>
      <c r="F55" s="35"/>
      <c r="G55" s="64"/>
      <c r="H55" s="84">
        <v>50</v>
      </c>
      <c r="I55" s="85" t="str">
        <f t="shared" si="1"/>
        <v/>
      </c>
      <c r="J55" s="84">
        <f t="shared" si="5"/>
        <v>-1</v>
      </c>
      <c r="K55" s="84">
        <f t="shared" si="2"/>
        <v>-10</v>
      </c>
      <c r="L55" s="84"/>
      <c r="M55" s="86">
        <f t="shared" si="3"/>
        <v>0</v>
      </c>
    </row>
    <row r="56" spans="1:13" x14ac:dyDescent="0.25">
      <c r="A56" s="109"/>
      <c r="B56" s="28" t="str">
        <f t="shared" si="0"/>
        <v/>
      </c>
      <c r="C56" s="29"/>
      <c r="D56" s="29"/>
      <c r="E56" s="29"/>
      <c r="F56" s="29"/>
      <c r="G56" s="64"/>
      <c r="H56" s="81">
        <v>51</v>
      </c>
      <c r="I56" s="82" t="str">
        <f t="shared" si="1"/>
        <v/>
      </c>
      <c r="J56" s="81">
        <f t="shared" si="5"/>
        <v>-1</v>
      </c>
      <c r="K56" s="81">
        <f t="shared" si="2"/>
        <v>-10</v>
      </c>
      <c r="L56" s="81"/>
      <c r="M56" s="83">
        <f t="shared" si="3"/>
        <v>0</v>
      </c>
    </row>
    <row r="57" spans="1:13" x14ac:dyDescent="0.25">
      <c r="A57" s="110"/>
      <c r="B57" s="34" t="str">
        <f t="shared" si="0"/>
        <v/>
      </c>
      <c r="C57" s="35"/>
      <c r="D57" s="35"/>
      <c r="E57" s="35"/>
      <c r="F57" s="35"/>
      <c r="G57" s="64"/>
      <c r="H57" s="84">
        <v>52</v>
      </c>
      <c r="I57" s="85" t="str">
        <f t="shared" si="1"/>
        <v/>
      </c>
      <c r="J57" s="84">
        <f t="shared" si="5"/>
        <v>-1</v>
      </c>
      <c r="K57" s="84">
        <f t="shared" si="2"/>
        <v>-10</v>
      </c>
      <c r="L57" s="84"/>
      <c r="M57" s="86">
        <f t="shared" si="3"/>
        <v>0</v>
      </c>
    </row>
    <row r="58" spans="1:13" x14ac:dyDescent="0.25">
      <c r="A58" s="109"/>
      <c r="B58" s="28" t="str">
        <f t="shared" si="0"/>
        <v/>
      </c>
      <c r="C58" s="29"/>
      <c r="D58" s="29"/>
      <c r="E58" s="29"/>
      <c r="F58" s="29"/>
      <c r="G58" s="64"/>
      <c r="H58" s="81">
        <v>53</v>
      </c>
      <c r="I58" s="82" t="str">
        <f t="shared" si="1"/>
        <v/>
      </c>
      <c r="J58" s="81">
        <f t="shared" si="5"/>
        <v>-1</v>
      </c>
      <c r="K58" s="81">
        <f t="shared" si="2"/>
        <v>-10</v>
      </c>
      <c r="L58" s="81"/>
      <c r="M58" s="83">
        <f t="shared" si="3"/>
        <v>0</v>
      </c>
    </row>
    <row r="59" spans="1:13" x14ac:dyDescent="0.25">
      <c r="A59" s="110"/>
      <c r="B59" s="34" t="str">
        <f t="shared" si="0"/>
        <v/>
      </c>
      <c r="C59" s="35"/>
      <c r="D59" s="35"/>
      <c r="E59" s="35"/>
      <c r="F59" s="35"/>
      <c r="G59" s="64"/>
      <c r="H59" s="84">
        <v>54</v>
      </c>
      <c r="I59" s="85" t="str">
        <f t="shared" si="1"/>
        <v/>
      </c>
      <c r="J59" s="84">
        <f t="shared" si="5"/>
        <v>-1</v>
      </c>
      <c r="K59" s="84">
        <f t="shared" si="2"/>
        <v>-10</v>
      </c>
      <c r="L59" s="84"/>
      <c r="M59" s="86">
        <f t="shared" si="3"/>
        <v>0</v>
      </c>
    </row>
    <row r="60" spans="1:13" x14ac:dyDescent="0.25">
      <c r="A60" s="109"/>
      <c r="B60" s="28" t="str">
        <f t="shared" si="0"/>
        <v/>
      </c>
      <c r="C60" s="29"/>
      <c r="D60" s="29"/>
      <c r="E60" s="29"/>
      <c r="F60" s="29"/>
      <c r="G60" s="64"/>
      <c r="H60" s="81">
        <v>55</v>
      </c>
      <c r="I60" s="82" t="str">
        <f t="shared" si="1"/>
        <v/>
      </c>
      <c r="J60" s="81">
        <f t="shared" si="5"/>
        <v>-1</v>
      </c>
      <c r="K60" s="81">
        <f t="shared" si="2"/>
        <v>-10</v>
      </c>
      <c r="L60" s="81"/>
      <c r="M60" s="83">
        <f t="shared" si="3"/>
        <v>0</v>
      </c>
    </row>
    <row r="61" spans="1:13" x14ac:dyDescent="0.25">
      <c r="A61" s="110"/>
      <c r="B61" s="34" t="str">
        <f t="shared" si="0"/>
        <v/>
      </c>
      <c r="C61" s="35"/>
      <c r="D61" s="35"/>
      <c r="E61" s="35"/>
      <c r="F61" s="35"/>
      <c r="G61" s="64"/>
      <c r="H61" s="84">
        <v>56</v>
      </c>
      <c r="I61" s="85" t="str">
        <f t="shared" si="1"/>
        <v/>
      </c>
      <c r="J61" s="84">
        <f t="shared" si="5"/>
        <v>-1</v>
      </c>
      <c r="K61" s="84">
        <f t="shared" si="2"/>
        <v>-10</v>
      </c>
      <c r="L61" s="84"/>
      <c r="M61" s="86">
        <f t="shared" si="3"/>
        <v>0</v>
      </c>
    </row>
    <row r="62" spans="1:13" x14ac:dyDescent="0.25">
      <c r="A62" s="109"/>
      <c r="B62" s="28" t="str">
        <f t="shared" si="0"/>
        <v/>
      </c>
      <c r="C62" s="29"/>
      <c r="D62" s="29"/>
      <c r="E62" s="29"/>
      <c r="F62" s="29"/>
      <c r="G62" s="64"/>
      <c r="H62" s="81">
        <v>57</v>
      </c>
      <c r="I62" s="82" t="str">
        <f t="shared" si="1"/>
        <v/>
      </c>
      <c r="J62" s="81">
        <f t="shared" si="5"/>
        <v>-1</v>
      </c>
      <c r="K62" s="81">
        <f t="shared" si="2"/>
        <v>-10</v>
      </c>
      <c r="L62" s="81"/>
      <c r="M62" s="83">
        <f t="shared" si="3"/>
        <v>0</v>
      </c>
    </row>
    <row r="63" spans="1:13" x14ac:dyDescent="0.25">
      <c r="A63" s="110"/>
      <c r="B63" s="34" t="str">
        <f t="shared" si="0"/>
        <v/>
      </c>
      <c r="C63" s="35"/>
      <c r="D63" s="35"/>
      <c r="E63" s="35"/>
      <c r="F63" s="35"/>
      <c r="G63" s="64"/>
      <c r="H63" s="84">
        <v>58</v>
      </c>
      <c r="I63" s="85" t="str">
        <f t="shared" si="1"/>
        <v/>
      </c>
      <c r="J63" s="84">
        <f t="shared" si="5"/>
        <v>-1</v>
      </c>
      <c r="K63" s="84">
        <f t="shared" si="2"/>
        <v>-10</v>
      </c>
      <c r="L63" s="84"/>
      <c r="M63" s="86">
        <f t="shared" si="3"/>
        <v>0</v>
      </c>
    </row>
    <row r="64" spans="1:13" x14ac:dyDescent="0.25">
      <c r="A64" s="109"/>
      <c r="B64" s="28" t="str">
        <f t="shared" si="0"/>
        <v/>
      </c>
      <c r="C64" s="29"/>
      <c r="D64" s="29"/>
      <c r="E64" s="29"/>
      <c r="F64" s="29"/>
      <c r="G64" s="64"/>
      <c r="H64" s="81">
        <v>59</v>
      </c>
      <c r="I64" s="82" t="str">
        <f t="shared" si="1"/>
        <v/>
      </c>
      <c r="J64" s="81">
        <f t="shared" si="5"/>
        <v>-1</v>
      </c>
      <c r="K64" s="81">
        <f t="shared" si="2"/>
        <v>-10</v>
      </c>
      <c r="L64" s="81"/>
      <c r="M64" s="83">
        <f t="shared" si="3"/>
        <v>0</v>
      </c>
    </row>
    <row r="65" spans="1:13" x14ac:dyDescent="0.25">
      <c r="A65" s="110"/>
      <c r="B65" s="34" t="str">
        <f t="shared" si="0"/>
        <v/>
      </c>
      <c r="C65" s="35"/>
      <c r="D65" s="35"/>
      <c r="E65" s="35"/>
      <c r="F65" s="35"/>
      <c r="G65" s="64"/>
      <c r="H65" s="84">
        <v>60</v>
      </c>
      <c r="I65" s="85" t="str">
        <f t="shared" si="1"/>
        <v/>
      </c>
      <c r="J65" s="84">
        <f t="shared" si="5"/>
        <v>-1</v>
      </c>
      <c r="K65" s="84">
        <f t="shared" si="2"/>
        <v>-10</v>
      </c>
      <c r="L65" s="84"/>
      <c r="M65" s="86">
        <f t="shared" si="3"/>
        <v>0</v>
      </c>
    </row>
    <row r="66" spans="1:13" x14ac:dyDescent="0.25">
      <c r="A66" s="109"/>
      <c r="B66" s="28"/>
      <c r="G66" s="64"/>
      <c r="H66" s="81">
        <v>61</v>
      </c>
      <c r="I66" s="82" t="str">
        <f t="shared" si="1"/>
        <v/>
      </c>
      <c r="J66" s="81">
        <f t="shared" si="5"/>
        <v>-1</v>
      </c>
      <c r="K66" s="81">
        <f t="shared" si="2"/>
        <v>-10</v>
      </c>
      <c r="L66" s="81"/>
      <c r="M66" s="83">
        <f t="shared" si="3"/>
        <v>0</v>
      </c>
    </row>
    <row r="67" spans="1:13" x14ac:dyDescent="0.25">
      <c r="A67" s="110"/>
      <c r="B67" s="34"/>
      <c r="G67" s="64"/>
      <c r="H67" s="81">
        <v>62</v>
      </c>
      <c r="I67" s="82" t="str">
        <f t="shared" si="1"/>
        <v/>
      </c>
      <c r="J67" s="81">
        <f t="shared" si="5"/>
        <v>-1</v>
      </c>
      <c r="K67" s="81">
        <f t="shared" si="2"/>
        <v>-10</v>
      </c>
      <c r="L67" s="81"/>
      <c r="M67" s="83">
        <f t="shared" si="3"/>
        <v>0</v>
      </c>
    </row>
    <row r="68" spans="1:13" x14ac:dyDescent="0.25">
      <c r="A68" s="109"/>
      <c r="B68" s="28"/>
      <c r="G68" s="64"/>
      <c r="H68" s="81">
        <v>63</v>
      </c>
      <c r="I68" s="82" t="str">
        <f t="shared" si="1"/>
        <v/>
      </c>
      <c r="J68" s="81">
        <f t="shared" si="5"/>
        <v>-1</v>
      </c>
      <c r="K68" s="81">
        <f t="shared" si="2"/>
        <v>-10</v>
      </c>
      <c r="L68" s="81"/>
      <c r="M68" s="83">
        <f t="shared" si="3"/>
        <v>0</v>
      </c>
    </row>
    <row r="69" spans="1:13" x14ac:dyDescent="0.25">
      <c r="A69" s="110"/>
      <c r="B69" s="34"/>
      <c r="G69" s="64"/>
      <c r="H69" s="81">
        <v>64</v>
      </c>
      <c r="I69" s="82" t="str">
        <f t="shared" si="1"/>
        <v/>
      </c>
      <c r="J69" s="81">
        <f t="shared" si="5"/>
        <v>-1</v>
      </c>
      <c r="K69" s="81">
        <f t="shared" si="2"/>
        <v>-10</v>
      </c>
      <c r="L69" s="81"/>
      <c r="M69" s="83">
        <f t="shared" si="3"/>
        <v>0</v>
      </c>
    </row>
    <row r="70" spans="1:13" x14ac:dyDescent="0.25">
      <c r="A70" s="97"/>
      <c r="G70" s="64"/>
      <c r="H70" s="81">
        <v>65</v>
      </c>
      <c r="I70" s="82" t="str">
        <f t="shared" ref="I70:I133" si="6">IF(H70&lt;$H$2+1,($I$2-($I$2-1)*(LOG(H70)/LOG($H$2))),"")</f>
        <v/>
      </c>
      <c r="J70" s="81">
        <f t="shared" si="5"/>
        <v>-2</v>
      </c>
      <c r="K70" s="81">
        <f t="shared" ref="K70:K133" si="7">J70*$J$2</f>
        <v>-20</v>
      </c>
      <c r="L70" s="81"/>
      <c r="M70" s="83">
        <f t="shared" ref="M70:M133" si="8">IF(I70&lt;&gt;"",K70+I70+L70,0)</f>
        <v>0</v>
      </c>
    </row>
    <row r="71" spans="1:13" x14ac:dyDescent="0.25">
      <c r="A71" s="97"/>
      <c r="G71" s="64"/>
      <c r="H71" s="81">
        <v>66</v>
      </c>
      <c r="I71" s="82" t="str">
        <f t="shared" si="6"/>
        <v/>
      </c>
      <c r="J71" s="81">
        <f t="shared" ref="J71:J134" si="9">INT(LOG($H$2,2))-ROUNDUP(LOG(H71,2),0)+IF(OR($H$2=1,$H$2=2,$H$2=4,$H$2=8,$H$2=16,$H$2=32,$H$2=64,$H$2=128,$H$2=256),0,1)</f>
        <v>-2</v>
      </c>
      <c r="K71" s="81">
        <f t="shared" si="7"/>
        <v>-20</v>
      </c>
      <c r="L71" s="81"/>
      <c r="M71" s="83">
        <f t="shared" si="8"/>
        <v>0</v>
      </c>
    </row>
    <row r="72" spans="1:13" x14ac:dyDescent="0.25">
      <c r="A72" s="97"/>
      <c r="G72" s="64"/>
      <c r="H72" s="81">
        <v>67</v>
      </c>
      <c r="I72" s="82" t="str">
        <f t="shared" si="6"/>
        <v/>
      </c>
      <c r="J72" s="81">
        <f t="shared" si="9"/>
        <v>-2</v>
      </c>
      <c r="K72" s="81">
        <f t="shared" si="7"/>
        <v>-20</v>
      </c>
      <c r="L72" s="81"/>
      <c r="M72" s="83">
        <f t="shared" si="8"/>
        <v>0</v>
      </c>
    </row>
    <row r="73" spans="1:13" x14ac:dyDescent="0.25">
      <c r="A73" s="97"/>
      <c r="G73" s="64"/>
      <c r="H73" s="81">
        <v>68</v>
      </c>
      <c r="I73" s="82" t="str">
        <f t="shared" si="6"/>
        <v/>
      </c>
      <c r="J73" s="81">
        <f t="shared" si="9"/>
        <v>-2</v>
      </c>
      <c r="K73" s="81">
        <f t="shared" si="7"/>
        <v>-20</v>
      </c>
      <c r="L73" s="81"/>
      <c r="M73" s="83">
        <f t="shared" si="8"/>
        <v>0</v>
      </c>
    </row>
    <row r="74" spans="1:13" x14ac:dyDescent="0.25">
      <c r="A74" s="97"/>
      <c r="G74" s="64"/>
      <c r="H74" s="81">
        <v>69</v>
      </c>
      <c r="I74" s="82" t="str">
        <f t="shared" si="6"/>
        <v/>
      </c>
      <c r="J74" s="81">
        <f t="shared" si="9"/>
        <v>-2</v>
      </c>
      <c r="K74" s="81">
        <f t="shared" si="7"/>
        <v>-20</v>
      </c>
      <c r="L74" s="81"/>
      <c r="M74" s="83">
        <f t="shared" si="8"/>
        <v>0</v>
      </c>
    </row>
    <row r="75" spans="1:13" x14ac:dyDescent="0.25">
      <c r="A75" s="97"/>
      <c r="G75" s="64"/>
      <c r="H75" s="81">
        <v>70</v>
      </c>
      <c r="I75" s="82" t="str">
        <f t="shared" si="6"/>
        <v/>
      </c>
      <c r="J75" s="81">
        <f t="shared" si="9"/>
        <v>-2</v>
      </c>
      <c r="K75" s="81">
        <f t="shared" si="7"/>
        <v>-20</v>
      </c>
      <c r="L75" s="81"/>
      <c r="M75" s="83">
        <f t="shared" si="8"/>
        <v>0</v>
      </c>
    </row>
    <row r="76" spans="1:13" x14ac:dyDescent="0.25">
      <c r="A76" s="97"/>
      <c r="G76" s="64"/>
      <c r="H76" s="81">
        <v>71</v>
      </c>
      <c r="I76" s="82" t="str">
        <f t="shared" si="6"/>
        <v/>
      </c>
      <c r="J76" s="81">
        <f t="shared" si="9"/>
        <v>-2</v>
      </c>
      <c r="K76" s="81">
        <f t="shared" si="7"/>
        <v>-20</v>
      </c>
      <c r="L76" s="81"/>
      <c r="M76" s="83">
        <f t="shared" si="8"/>
        <v>0</v>
      </c>
    </row>
    <row r="77" spans="1:13" x14ac:dyDescent="0.25">
      <c r="A77" s="97"/>
      <c r="G77" s="64"/>
      <c r="H77" s="81">
        <v>72</v>
      </c>
      <c r="I77" s="82" t="str">
        <f t="shared" si="6"/>
        <v/>
      </c>
      <c r="J77" s="81">
        <f t="shared" si="9"/>
        <v>-2</v>
      </c>
      <c r="K77" s="81">
        <f t="shared" si="7"/>
        <v>-20</v>
      </c>
      <c r="L77" s="81"/>
      <c r="M77" s="83">
        <f t="shared" si="8"/>
        <v>0</v>
      </c>
    </row>
    <row r="78" spans="1:13" x14ac:dyDescent="0.25">
      <c r="A78" s="97"/>
      <c r="G78" s="64"/>
      <c r="H78" s="81">
        <v>73</v>
      </c>
      <c r="I78" s="82" t="str">
        <f t="shared" si="6"/>
        <v/>
      </c>
      <c r="J78" s="81">
        <f t="shared" si="9"/>
        <v>-2</v>
      </c>
      <c r="K78" s="81">
        <f t="shared" si="7"/>
        <v>-20</v>
      </c>
      <c r="L78" s="81"/>
      <c r="M78" s="83">
        <f t="shared" si="8"/>
        <v>0</v>
      </c>
    </row>
    <row r="79" spans="1:13" x14ac:dyDescent="0.25">
      <c r="A79" s="97"/>
      <c r="G79" s="64"/>
      <c r="H79" s="81">
        <v>74</v>
      </c>
      <c r="I79" s="82" t="str">
        <f t="shared" si="6"/>
        <v/>
      </c>
      <c r="J79" s="81">
        <f t="shared" si="9"/>
        <v>-2</v>
      </c>
      <c r="K79" s="81">
        <f t="shared" si="7"/>
        <v>-20</v>
      </c>
      <c r="L79" s="81"/>
      <c r="M79" s="83">
        <f t="shared" si="8"/>
        <v>0</v>
      </c>
    </row>
    <row r="80" spans="1:13" x14ac:dyDescent="0.25">
      <c r="A80" s="97"/>
      <c r="G80" s="64"/>
      <c r="H80" s="81">
        <v>75</v>
      </c>
      <c r="I80" s="82" t="str">
        <f t="shared" si="6"/>
        <v/>
      </c>
      <c r="J80" s="81">
        <f t="shared" si="9"/>
        <v>-2</v>
      </c>
      <c r="K80" s="81">
        <f t="shared" si="7"/>
        <v>-20</v>
      </c>
      <c r="L80" s="81"/>
      <c r="M80" s="83">
        <f t="shared" si="8"/>
        <v>0</v>
      </c>
    </row>
    <row r="81" spans="1:13" x14ac:dyDescent="0.25">
      <c r="A81" s="97"/>
      <c r="G81" s="64"/>
      <c r="H81" s="81">
        <v>76</v>
      </c>
      <c r="I81" s="82" t="str">
        <f t="shared" si="6"/>
        <v/>
      </c>
      <c r="J81" s="81">
        <f t="shared" si="9"/>
        <v>-2</v>
      </c>
      <c r="K81" s="81">
        <f t="shared" si="7"/>
        <v>-20</v>
      </c>
      <c r="L81" s="81"/>
      <c r="M81" s="83">
        <f t="shared" si="8"/>
        <v>0</v>
      </c>
    </row>
    <row r="82" spans="1:13" x14ac:dyDescent="0.25">
      <c r="A82" s="97"/>
      <c r="G82" s="64"/>
      <c r="H82" s="81">
        <v>77</v>
      </c>
      <c r="I82" s="82" t="str">
        <f t="shared" si="6"/>
        <v/>
      </c>
      <c r="J82" s="81">
        <f t="shared" si="9"/>
        <v>-2</v>
      </c>
      <c r="K82" s="81">
        <f t="shared" si="7"/>
        <v>-20</v>
      </c>
      <c r="L82" s="81"/>
      <c r="M82" s="83">
        <f t="shared" si="8"/>
        <v>0</v>
      </c>
    </row>
    <row r="83" spans="1:13" x14ac:dyDescent="0.25">
      <c r="A83" s="97"/>
      <c r="G83" s="64"/>
      <c r="H83" s="81">
        <v>78</v>
      </c>
      <c r="I83" s="82" t="str">
        <f t="shared" si="6"/>
        <v/>
      </c>
      <c r="J83" s="81">
        <f t="shared" si="9"/>
        <v>-2</v>
      </c>
      <c r="K83" s="81">
        <f t="shared" si="7"/>
        <v>-20</v>
      </c>
      <c r="L83" s="81"/>
      <c r="M83" s="83">
        <f t="shared" si="8"/>
        <v>0</v>
      </c>
    </row>
    <row r="84" spans="1:13" x14ac:dyDescent="0.25">
      <c r="A84" s="97"/>
      <c r="G84" s="64"/>
      <c r="H84" s="81">
        <v>79</v>
      </c>
      <c r="I84" s="82" t="str">
        <f t="shared" si="6"/>
        <v/>
      </c>
      <c r="J84" s="81">
        <f t="shared" si="9"/>
        <v>-2</v>
      </c>
      <c r="K84" s="81">
        <f t="shared" si="7"/>
        <v>-20</v>
      </c>
      <c r="L84" s="81"/>
      <c r="M84" s="83">
        <f t="shared" si="8"/>
        <v>0</v>
      </c>
    </row>
    <row r="85" spans="1:13" x14ac:dyDescent="0.25">
      <c r="A85" s="97"/>
      <c r="G85" s="64"/>
      <c r="H85" s="81">
        <v>80</v>
      </c>
      <c r="I85" s="82" t="str">
        <f t="shared" si="6"/>
        <v/>
      </c>
      <c r="J85" s="81">
        <f t="shared" si="9"/>
        <v>-2</v>
      </c>
      <c r="K85" s="81">
        <f t="shared" si="7"/>
        <v>-20</v>
      </c>
      <c r="L85" s="81"/>
      <c r="M85" s="83">
        <f t="shared" si="8"/>
        <v>0</v>
      </c>
    </row>
    <row r="86" spans="1:13" x14ac:dyDescent="0.25">
      <c r="A86" s="97"/>
      <c r="G86" s="64"/>
      <c r="H86" s="81">
        <v>81</v>
      </c>
      <c r="I86" s="82" t="str">
        <f t="shared" si="6"/>
        <v/>
      </c>
      <c r="J86" s="81">
        <f t="shared" si="9"/>
        <v>-2</v>
      </c>
      <c r="K86" s="81">
        <f t="shared" si="7"/>
        <v>-20</v>
      </c>
      <c r="L86" s="81"/>
      <c r="M86" s="83">
        <f t="shared" si="8"/>
        <v>0</v>
      </c>
    </row>
    <row r="87" spans="1:13" x14ac:dyDescent="0.25">
      <c r="A87" s="97"/>
      <c r="G87" s="64"/>
      <c r="H87" s="81">
        <v>82</v>
      </c>
      <c r="I87" s="82" t="str">
        <f t="shared" si="6"/>
        <v/>
      </c>
      <c r="J87" s="81">
        <f t="shared" si="9"/>
        <v>-2</v>
      </c>
      <c r="K87" s="81">
        <f t="shared" si="7"/>
        <v>-20</v>
      </c>
      <c r="L87" s="81"/>
      <c r="M87" s="83">
        <f t="shared" si="8"/>
        <v>0</v>
      </c>
    </row>
    <row r="88" spans="1:13" x14ac:dyDescent="0.25">
      <c r="A88" s="97"/>
      <c r="G88" s="64"/>
      <c r="H88" s="81">
        <v>83</v>
      </c>
      <c r="I88" s="82" t="str">
        <f t="shared" si="6"/>
        <v/>
      </c>
      <c r="J88" s="81">
        <f t="shared" si="9"/>
        <v>-2</v>
      </c>
      <c r="K88" s="81">
        <f t="shared" si="7"/>
        <v>-20</v>
      </c>
      <c r="L88" s="81"/>
      <c r="M88" s="83">
        <f t="shared" si="8"/>
        <v>0</v>
      </c>
    </row>
    <row r="89" spans="1:13" x14ac:dyDescent="0.25">
      <c r="A89" s="97"/>
      <c r="G89" s="64"/>
      <c r="H89" s="81">
        <v>84</v>
      </c>
      <c r="I89" s="82" t="str">
        <f t="shared" si="6"/>
        <v/>
      </c>
      <c r="J89" s="81">
        <f t="shared" si="9"/>
        <v>-2</v>
      </c>
      <c r="K89" s="81">
        <f t="shared" si="7"/>
        <v>-20</v>
      </c>
      <c r="L89" s="81"/>
      <c r="M89" s="83">
        <f t="shared" si="8"/>
        <v>0</v>
      </c>
    </row>
    <row r="90" spans="1:13" x14ac:dyDescent="0.25">
      <c r="A90" s="97"/>
      <c r="G90" s="64"/>
      <c r="H90" s="81">
        <v>85</v>
      </c>
      <c r="I90" s="82" t="str">
        <f t="shared" si="6"/>
        <v/>
      </c>
      <c r="J90" s="81">
        <f t="shared" si="9"/>
        <v>-2</v>
      </c>
      <c r="K90" s="81">
        <f t="shared" si="7"/>
        <v>-20</v>
      </c>
      <c r="L90" s="81"/>
      <c r="M90" s="83">
        <f t="shared" si="8"/>
        <v>0</v>
      </c>
    </row>
    <row r="91" spans="1:13" x14ac:dyDescent="0.25">
      <c r="A91" s="97"/>
      <c r="G91" s="64"/>
      <c r="H91" s="81">
        <v>86</v>
      </c>
      <c r="I91" s="82" t="str">
        <f t="shared" si="6"/>
        <v/>
      </c>
      <c r="J91" s="81">
        <f t="shared" si="9"/>
        <v>-2</v>
      </c>
      <c r="K91" s="81">
        <f t="shared" si="7"/>
        <v>-20</v>
      </c>
      <c r="L91" s="81"/>
      <c r="M91" s="83">
        <f t="shared" si="8"/>
        <v>0</v>
      </c>
    </row>
    <row r="92" spans="1:13" x14ac:dyDescent="0.25">
      <c r="A92" s="97"/>
      <c r="G92" s="64"/>
      <c r="H92" s="81">
        <v>87</v>
      </c>
      <c r="I92" s="82" t="str">
        <f t="shared" si="6"/>
        <v/>
      </c>
      <c r="J92" s="81">
        <f t="shared" si="9"/>
        <v>-2</v>
      </c>
      <c r="K92" s="81">
        <f t="shared" si="7"/>
        <v>-20</v>
      </c>
      <c r="L92" s="81"/>
      <c r="M92" s="83">
        <f t="shared" si="8"/>
        <v>0</v>
      </c>
    </row>
    <row r="93" spans="1:13" x14ac:dyDescent="0.25">
      <c r="A93" s="97"/>
      <c r="G93" s="64"/>
      <c r="H93" s="81">
        <v>88</v>
      </c>
      <c r="I93" s="82" t="str">
        <f t="shared" si="6"/>
        <v/>
      </c>
      <c r="J93" s="81">
        <f t="shared" si="9"/>
        <v>-2</v>
      </c>
      <c r="K93" s="81">
        <f t="shared" si="7"/>
        <v>-20</v>
      </c>
      <c r="L93" s="81"/>
      <c r="M93" s="83">
        <f t="shared" si="8"/>
        <v>0</v>
      </c>
    </row>
    <row r="94" spans="1:13" x14ac:dyDescent="0.25">
      <c r="A94" s="97"/>
      <c r="G94" s="64"/>
      <c r="H94" s="81">
        <v>89</v>
      </c>
      <c r="I94" s="82" t="str">
        <f t="shared" si="6"/>
        <v/>
      </c>
      <c r="J94" s="81">
        <f t="shared" si="9"/>
        <v>-2</v>
      </c>
      <c r="K94" s="81">
        <f t="shared" si="7"/>
        <v>-20</v>
      </c>
      <c r="L94" s="81"/>
      <c r="M94" s="83">
        <f t="shared" si="8"/>
        <v>0</v>
      </c>
    </row>
    <row r="95" spans="1:13" x14ac:dyDescent="0.25">
      <c r="A95" s="97"/>
      <c r="G95" s="64"/>
      <c r="H95" s="81">
        <v>90</v>
      </c>
      <c r="I95" s="82" t="str">
        <f t="shared" si="6"/>
        <v/>
      </c>
      <c r="J95" s="81">
        <f t="shared" si="9"/>
        <v>-2</v>
      </c>
      <c r="K95" s="81">
        <f t="shared" si="7"/>
        <v>-20</v>
      </c>
      <c r="L95" s="81"/>
      <c r="M95" s="83">
        <f t="shared" si="8"/>
        <v>0</v>
      </c>
    </row>
    <row r="96" spans="1:13" x14ac:dyDescent="0.25">
      <c r="A96" s="97"/>
      <c r="G96" s="64"/>
      <c r="H96" s="81">
        <v>91</v>
      </c>
      <c r="I96" s="82" t="str">
        <f t="shared" si="6"/>
        <v/>
      </c>
      <c r="J96" s="81">
        <f t="shared" si="9"/>
        <v>-2</v>
      </c>
      <c r="K96" s="81">
        <f t="shared" si="7"/>
        <v>-20</v>
      </c>
      <c r="L96" s="81"/>
      <c r="M96" s="83">
        <f t="shared" si="8"/>
        <v>0</v>
      </c>
    </row>
    <row r="97" spans="1:13" x14ac:dyDescent="0.25">
      <c r="A97" s="97"/>
      <c r="G97" s="64"/>
      <c r="H97" s="81">
        <v>92</v>
      </c>
      <c r="I97" s="82" t="str">
        <f t="shared" si="6"/>
        <v/>
      </c>
      <c r="J97" s="81">
        <f t="shared" si="9"/>
        <v>-2</v>
      </c>
      <c r="K97" s="81">
        <f t="shared" si="7"/>
        <v>-20</v>
      </c>
      <c r="L97" s="81"/>
      <c r="M97" s="83">
        <f t="shared" si="8"/>
        <v>0</v>
      </c>
    </row>
    <row r="98" spans="1:13" x14ac:dyDescent="0.25">
      <c r="A98" s="97"/>
      <c r="G98" s="64"/>
      <c r="H98" s="81">
        <v>93</v>
      </c>
      <c r="I98" s="82" t="str">
        <f t="shared" si="6"/>
        <v/>
      </c>
      <c r="J98" s="81">
        <f t="shared" si="9"/>
        <v>-2</v>
      </c>
      <c r="K98" s="81">
        <f t="shared" si="7"/>
        <v>-20</v>
      </c>
      <c r="L98" s="81"/>
      <c r="M98" s="83">
        <f t="shared" si="8"/>
        <v>0</v>
      </c>
    </row>
    <row r="99" spans="1:13" x14ac:dyDescent="0.25">
      <c r="A99" s="97"/>
      <c r="G99" s="64"/>
      <c r="H99" s="81">
        <v>94</v>
      </c>
      <c r="I99" s="82" t="str">
        <f t="shared" si="6"/>
        <v/>
      </c>
      <c r="J99" s="81">
        <f t="shared" si="9"/>
        <v>-2</v>
      </c>
      <c r="K99" s="81">
        <f t="shared" si="7"/>
        <v>-20</v>
      </c>
      <c r="L99" s="81"/>
      <c r="M99" s="83">
        <f t="shared" si="8"/>
        <v>0</v>
      </c>
    </row>
    <row r="100" spans="1:13" x14ac:dyDescent="0.25">
      <c r="A100" s="97"/>
      <c r="G100" s="64"/>
      <c r="H100" s="81">
        <v>95</v>
      </c>
      <c r="I100" s="82" t="str">
        <f t="shared" si="6"/>
        <v/>
      </c>
      <c r="J100" s="81">
        <f t="shared" si="9"/>
        <v>-2</v>
      </c>
      <c r="K100" s="81">
        <f t="shared" si="7"/>
        <v>-20</v>
      </c>
      <c r="L100" s="81"/>
      <c r="M100" s="83">
        <f t="shared" si="8"/>
        <v>0</v>
      </c>
    </row>
    <row r="101" spans="1:13" x14ac:dyDescent="0.25">
      <c r="A101" s="97"/>
      <c r="G101" s="64"/>
      <c r="H101" s="81">
        <v>96</v>
      </c>
      <c r="I101" s="82" t="str">
        <f t="shared" si="6"/>
        <v/>
      </c>
      <c r="J101" s="81">
        <f t="shared" si="9"/>
        <v>-2</v>
      </c>
      <c r="K101" s="81">
        <f t="shared" si="7"/>
        <v>-20</v>
      </c>
      <c r="L101" s="81"/>
      <c r="M101" s="83">
        <f t="shared" si="8"/>
        <v>0</v>
      </c>
    </row>
    <row r="102" spans="1:13" x14ac:dyDescent="0.25">
      <c r="A102" s="97"/>
      <c r="G102" s="64"/>
      <c r="H102" s="81">
        <v>97</v>
      </c>
      <c r="I102" s="82" t="str">
        <f t="shared" si="6"/>
        <v/>
      </c>
      <c r="J102" s="81">
        <f t="shared" si="9"/>
        <v>-2</v>
      </c>
      <c r="K102" s="81">
        <f t="shared" si="7"/>
        <v>-20</v>
      </c>
      <c r="L102" s="81"/>
      <c r="M102" s="83">
        <f t="shared" si="8"/>
        <v>0</v>
      </c>
    </row>
    <row r="103" spans="1:13" x14ac:dyDescent="0.25">
      <c r="A103" s="97"/>
      <c r="G103" s="64"/>
      <c r="H103" s="81">
        <v>98</v>
      </c>
      <c r="I103" s="82" t="str">
        <f t="shared" si="6"/>
        <v/>
      </c>
      <c r="J103" s="81">
        <f t="shared" si="9"/>
        <v>-2</v>
      </c>
      <c r="K103" s="81">
        <f t="shared" si="7"/>
        <v>-20</v>
      </c>
      <c r="L103" s="81"/>
      <c r="M103" s="83">
        <f t="shared" si="8"/>
        <v>0</v>
      </c>
    </row>
    <row r="104" spans="1:13" x14ac:dyDescent="0.25">
      <c r="A104" s="97"/>
      <c r="G104" s="64"/>
      <c r="H104" s="81">
        <v>99</v>
      </c>
      <c r="I104" s="82" t="str">
        <f t="shared" si="6"/>
        <v/>
      </c>
      <c r="J104" s="81">
        <f t="shared" si="9"/>
        <v>-2</v>
      </c>
      <c r="K104" s="81">
        <f t="shared" si="7"/>
        <v>-20</v>
      </c>
      <c r="L104" s="81"/>
      <c r="M104" s="83">
        <f t="shared" si="8"/>
        <v>0</v>
      </c>
    </row>
    <row r="105" spans="1:13" x14ac:dyDescent="0.25">
      <c r="A105" s="97"/>
      <c r="G105" s="64"/>
      <c r="H105" s="81">
        <v>100</v>
      </c>
      <c r="I105" s="82" t="str">
        <f t="shared" si="6"/>
        <v/>
      </c>
      <c r="J105" s="81">
        <f t="shared" si="9"/>
        <v>-2</v>
      </c>
      <c r="K105" s="81">
        <f t="shared" si="7"/>
        <v>-20</v>
      </c>
      <c r="L105" s="81"/>
      <c r="M105" s="83">
        <f t="shared" si="8"/>
        <v>0</v>
      </c>
    </row>
    <row r="106" spans="1:13" x14ac:dyDescent="0.25">
      <c r="A106" s="97"/>
      <c r="G106" s="64"/>
      <c r="H106" s="81">
        <v>101</v>
      </c>
      <c r="I106" s="82" t="str">
        <f t="shared" si="6"/>
        <v/>
      </c>
      <c r="J106" s="81">
        <f t="shared" si="9"/>
        <v>-2</v>
      </c>
      <c r="K106" s="81">
        <f t="shared" si="7"/>
        <v>-20</v>
      </c>
      <c r="L106" s="81"/>
      <c r="M106" s="83">
        <f t="shared" si="8"/>
        <v>0</v>
      </c>
    </row>
    <row r="107" spans="1:13" x14ac:dyDescent="0.25">
      <c r="A107" s="97"/>
      <c r="G107" s="64"/>
      <c r="H107" s="81">
        <v>102</v>
      </c>
      <c r="I107" s="82" t="str">
        <f t="shared" si="6"/>
        <v/>
      </c>
      <c r="J107" s="81">
        <f t="shared" si="9"/>
        <v>-2</v>
      </c>
      <c r="K107" s="81">
        <f t="shared" si="7"/>
        <v>-20</v>
      </c>
      <c r="L107" s="81"/>
      <c r="M107" s="83">
        <f t="shared" si="8"/>
        <v>0</v>
      </c>
    </row>
    <row r="108" spans="1:13" x14ac:dyDescent="0.25">
      <c r="A108" s="97"/>
      <c r="G108" s="64"/>
      <c r="H108" s="81">
        <v>103</v>
      </c>
      <c r="I108" s="82" t="str">
        <f t="shared" si="6"/>
        <v/>
      </c>
      <c r="J108" s="81">
        <f t="shared" si="9"/>
        <v>-2</v>
      </c>
      <c r="K108" s="81">
        <f t="shared" si="7"/>
        <v>-20</v>
      </c>
      <c r="L108" s="81"/>
      <c r="M108" s="83">
        <f t="shared" si="8"/>
        <v>0</v>
      </c>
    </row>
    <row r="109" spans="1:13" x14ac:dyDescent="0.25">
      <c r="A109" s="97"/>
      <c r="G109" s="64"/>
      <c r="H109" s="81">
        <v>104</v>
      </c>
      <c r="I109" s="82" t="str">
        <f t="shared" si="6"/>
        <v/>
      </c>
      <c r="J109" s="81">
        <f t="shared" si="9"/>
        <v>-2</v>
      </c>
      <c r="K109" s="81">
        <f t="shared" si="7"/>
        <v>-20</v>
      </c>
      <c r="L109" s="81"/>
      <c r="M109" s="83">
        <f t="shared" si="8"/>
        <v>0</v>
      </c>
    </row>
    <row r="110" spans="1:13" x14ac:dyDescent="0.25">
      <c r="A110" s="97"/>
      <c r="G110" s="64"/>
      <c r="H110" s="81">
        <v>105</v>
      </c>
      <c r="I110" s="82" t="str">
        <f t="shared" si="6"/>
        <v/>
      </c>
      <c r="J110" s="81">
        <f t="shared" si="9"/>
        <v>-2</v>
      </c>
      <c r="K110" s="81">
        <f t="shared" si="7"/>
        <v>-20</v>
      </c>
      <c r="L110" s="81"/>
      <c r="M110" s="83">
        <f t="shared" si="8"/>
        <v>0</v>
      </c>
    </row>
    <row r="111" spans="1:13" x14ac:dyDescent="0.25">
      <c r="A111" s="97"/>
      <c r="G111" s="64"/>
      <c r="H111" s="81">
        <v>106</v>
      </c>
      <c r="I111" s="82" t="str">
        <f t="shared" si="6"/>
        <v/>
      </c>
      <c r="J111" s="81">
        <f t="shared" si="9"/>
        <v>-2</v>
      </c>
      <c r="K111" s="81">
        <f t="shared" si="7"/>
        <v>-20</v>
      </c>
      <c r="L111" s="81"/>
      <c r="M111" s="83">
        <f t="shared" si="8"/>
        <v>0</v>
      </c>
    </row>
    <row r="112" spans="1:13" x14ac:dyDescent="0.25">
      <c r="A112" s="97"/>
      <c r="G112" s="64"/>
      <c r="H112" s="81">
        <v>107</v>
      </c>
      <c r="I112" s="82" t="str">
        <f t="shared" si="6"/>
        <v/>
      </c>
      <c r="J112" s="81">
        <f t="shared" si="9"/>
        <v>-2</v>
      </c>
      <c r="K112" s="81">
        <f t="shared" si="7"/>
        <v>-20</v>
      </c>
      <c r="L112" s="81"/>
      <c r="M112" s="83">
        <f t="shared" si="8"/>
        <v>0</v>
      </c>
    </row>
    <row r="113" spans="1:13" x14ac:dyDescent="0.25">
      <c r="A113" s="97"/>
      <c r="G113" s="64"/>
      <c r="H113" s="81">
        <v>108</v>
      </c>
      <c r="I113" s="82" t="str">
        <f t="shared" si="6"/>
        <v/>
      </c>
      <c r="J113" s="81">
        <f t="shared" si="9"/>
        <v>-2</v>
      </c>
      <c r="K113" s="81">
        <f t="shared" si="7"/>
        <v>-20</v>
      </c>
      <c r="L113" s="81"/>
      <c r="M113" s="83">
        <f t="shared" si="8"/>
        <v>0</v>
      </c>
    </row>
    <row r="114" spans="1:13" x14ac:dyDescent="0.25">
      <c r="A114" s="97"/>
      <c r="G114" s="64"/>
      <c r="H114" s="81">
        <v>109</v>
      </c>
      <c r="I114" s="82" t="str">
        <f t="shared" si="6"/>
        <v/>
      </c>
      <c r="J114" s="81">
        <f t="shared" si="9"/>
        <v>-2</v>
      </c>
      <c r="K114" s="81">
        <f t="shared" si="7"/>
        <v>-20</v>
      </c>
      <c r="L114" s="81"/>
      <c r="M114" s="83">
        <f t="shared" si="8"/>
        <v>0</v>
      </c>
    </row>
    <row r="115" spans="1:13" x14ac:dyDescent="0.25">
      <c r="A115" s="97"/>
      <c r="G115" s="64"/>
      <c r="H115" s="81">
        <v>110</v>
      </c>
      <c r="I115" s="82" t="str">
        <f t="shared" si="6"/>
        <v/>
      </c>
      <c r="J115" s="81">
        <f t="shared" si="9"/>
        <v>-2</v>
      </c>
      <c r="K115" s="81">
        <f t="shared" si="7"/>
        <v>-20</v>
      </c>
      <c r="L115" s="81"/>
      <c r="M115" s="83">
        <f t="shared" si="8"/>
        <v>0</v>
      </c>
    </row>
    <row r="116" spans="1:13" x14ac:dyDescent="0.25">
      <c r="A116" s="97"/>
      <c r="G116" s="64"/>
      <c r="H116" s="81">
        <v>111</v>
      </c>
      <c r="I116" s="82" t="str">
        <f t="shared" si="6"/>
        <v/>
      </c>
      <c r="J116" s="81">
        <f t="shared" si="9"/>
        <v>-2</v>
      </c>
      <c r="K116" s="81">
        <f t="shared" si="7"/>
        <v>-20</v>
      </c>
      <c r="L116" s="81"/>
      <c r="M116" s="83">
        <f t="shared" si="8"/>
        <v>0</v>
      </c>
    </row>
    <row r="117" spans="1:13" x14ac:dyDescent="0.25">
      <c r="A117" s="97"/>
      <c r="G117" s="64"/>
      <c r="H117" s="81">
        <v>112</v>
      </c>
      <c r="I117" s="82" t="str">
        <f t="shared" si="6"/>
        <v/>
      </c>
      <c r="J117" s="81">
        <f t="shared" si="9"/>
        <v>-2</v>
      </c>
      <c r="K117" s="81">
        <f t="shared" si="7"/>
        <v>-20</v>
      </c>
      <c r="L117" s="81"/>
      <c r="M117" s="83">
        <f t="shared" si="8"/>
        <v>0</v>
      </c>
    </row>
    <row r="118" spans="1:13" x14ac:dyDescent="0.25">
      <c r="A118" s="97"/>
      <c r="G118" s="64"/>
      <c r="H118" s="81">
        <v>113</v>
      </c>
      <c r="I118" s="82" t="str">
        <f t="shared" si="6"/>
        <v/>
      </c>
      <c r="J118" s="81">
        <f t="shared" si="9"/>
        <v>-2</v>
      </c>
      <c r="K118" s="81">
        <f t="shared" si="7"/>
        <v>-20</v>
      </c>
      <c r="L118" s="81"/>
      <c r="M118" s="83">
        <f t="shared" si="8"/>
        <v>0</v>
      </c>
    </row>
    <row r="119" spans="1:13" x14ac:dyDescent="0.25">
      <c r="A119" s="97"/>
      <c r="G119" s="64"/>
      <c r="H119" s="81">
        <v>114</v>
      </c>
      <c r="I119" s="82" t="str">
        <f t="shared" si="6"/>
        <v/>
      </c>
      <c r="J119" s="81">
        <f t="shared" si="9"/>
        <v>-2</v>
      </c>
      <c r="K119" s="81">
        <f t="shared" si="7"/>
        <v>-20</v>
      </c>
      <c r="L119" s="81"/>
      <c r="M119" s="83">
        <f t="shared" si="8"/>
        <v>0</v>
      </c>
    </row>
    <row r="120" spans="1:13" x14ac:dyDescent="0.25">
      <c r="A120" s="97"/>
      <c r="G120" s="64"/>
      <c r="H120" s="81">
        <v>115</v>
      </c>
      <c r="I120" s="82" t="str">
        <f t="shared" si="6"/>
        <v/>
      </c>
      <c r="J120" s="81">
        <f t="shared" si="9"/>
        <v>-2</v>
      </c>
      <c r="K120" s="81">
        <f t="shared" si="7"/>
        <v>-20</v>
      </c>
      <c r="L120" s="81"/>
      <c r="M120" s="83">
        <f t="shared" si="8"/>
        <v>0</v>
      </c>
    </row>
    <row r="121" spans="1:13" x14ac:dyDescent="0.25">
      <c r="A121" s="97"/>
      <c r="G121" s="64"/>
      <c r="H121" s="81">
        <v>116</v>
      </c>
      <c r="I121" s="82" t="str">
        <f t="shared" si="6"/>
        <v/>
      </c>
      <c r="J121" s="81">
        <f t="shared" si="9"/>
        <v>-2</v>
      </c>
      <c r="K121" s="81">
        <f t="shared" si="7"/>
        <v>-20</v>
      </c>
      <c r="L121" s="81"/>
      <c r="M121" s="83">
        <f t="shared" si="8"/>
        <v>0</v>
      </c>
    </row>
    <row r="122" spans="1:13" x14ac:dyDescent="0.25">
      <c r="A122" s="97"/>
      <c r="G122" s="64"/>
      <c r="H122" s="81">
        <v>117</v>
      </c>
      <c r="I122" s="82" t="str">
        <f t="shared" si="6"/>
        <v/>
      </c>
      <c r="J122" s="81">
        <f t="shared" si="9"/>
        <v>-2</v>
      </c>
      <c r="K122" s="81">
        <f t="shared" si="7"/>
        <v>-20</v>
      </c>
      <c r="L122" s="81"/>
      <c r="M122" s="83">
        <f t="shared" si="8"/>
        <v>0</v>
      </c>
    </row>
    <row r="123" spans="1:13" x14ac:dyDescent="0.25">
      <c r="A123" s="97"/>
      <c r="G123" s="64"/>
      <c r="H123" s="81">
        <v>118</v>
      </c>
      <c r="I123" s="82" t="str">
        <f t="shared" si="6"/>
        <v/>
      </c>
      <c r="J123" s="81">
        <f t="shared" si="9"/>
        <v>-2</v>
      </c>
      <c r="K123" s="81">
        <f t="shared" si="7"/>
        <v>-20</v>
      </c>
      <c r="L123" s="81"/>
      <c r="M123" s="83">
        <f t="shared" si="8"/>
        <v>0</v>
      </c>
    </row>
    <row r="124" spans="1:13" x14ac:dyDescent="0.25">
      <c r="A124" s="97"/>
      <c r="G124" s="64"/>
      <c r="H124" s="81">
        <v>119</v>
      </c>
      <c r="I124" s="82" t="str">
        <f t="shared" si="6"/>
        <v/>
      </c>
      <c r="J124" s="81">
        <f t="shared" si="9"/>
        <v>-2</v>
      </c>
      <c r="K124" s="81">
        <f t="shared" si="7"/>
        <v>-20</v>
      </c>
      <c r="L124" s="81"/>
      <c r="M124" s="83">
        <f t="shared" si="8"/>
        <v>0</v>
      </c>
    </row>
    <row r="125" spans="1:13" x14ac:dyDescent="0.25">
      <c r="A125" s="97"/>
      <c r="G125" s="64"/>
      <c r="H125" s="81">
        <v>120</v>
      </c>
      <c r="I125" s="82" t="str">
        <f t="shared" si="6"/>
        <v/>
      </c>
      <c r="J125" s="81">
        <f t="shared" si="9"/>
        <v>-2</v>
      </c>
      <c r="K125" s="81">
        <f t="shared" si="7"/>
        <v>-20</v>
      </c>
      <c r="L125" s="81"/>
      <c r="M125" s="83">
        <f t="shared" si="8"/>
        <v>0</v>
      </c>
    </row>
    <row r="126" spans="1:13" x14ac:dyDescent="0.25">
      <c r="A126" s="97"/>
      <c r="G126" s="64"/>
      <c r="H126" s="81">
        <v>121</v>
      </c>
      <c r="I126" s="82" t="str">
        <f t="shared" si="6"/>
        <v/>
      </c>
      <c r="J126" s="81">
        <f t="shared" si="9"/>
        <v>-2</v>
      </c>
      <c r="K126" s="81">
        <f t="shared" si="7"/>
        <v>-20</v>
      </c>
      <c r="L126" s="81"/>
      <c r="M126" s="83">
        <f t="shared" si="8"/>
        <v>0</v>
      </c>
    </row>
    <row r="127" spans="1:13" x14ac:dyDescent="0.25">
      <c r="A127" s="97"/>
      <c r="G127" s="64"/>
      <c r="H127" s="81">
        <v>122</v>
      </c>
      <c r="I127" s="82" t="str">
        <f t="shared" si="6"/>
        <v/>
      </c>
      <c r="J127" s="81">
        <f t="shared" si="9"/>
        <v>-2</v>
      </c>
      <c r="K127" s="81">
        <f t="shared" si="7"/>
        <v>-20</v>
      </c>
      <c r="L127" s="81"/>
      <c r="M127" s="83">
        <f t="shared" si="8"/>
        <v>0</v>
      </c>
    </row>
    <row r="128" spans="1:13" x14ac:dyDescent="0.25">
      <c r="A128" s="97"/>
      <c r="G128" s="64"/>
      <c r="H128" s="81">
        <v>123</v>
      </c>
      <c r="I128" s="82" t="str">
        <f t="shared" si="6"/>
        <v/>
      </c>
      <c r="J128" s="81">
        <f t="shared" si="9"/>
        <v>-2</v>
      </c>
      <c r="K128" s="81">
        <f t="shared" si="7"/>
        <v>-20</v>
      </c>
      <c r="L128" s="81"/>
      <c r="M128" s="83">
        <f t="shared" si="8"/>
        <v>0</v>
      </c>
    </row>
    <row r="129" spans="1:13" x14ac:dyDescent="0.25">
      <c r="A129" s="97"/>
      <c r="G129" s="64"/>
      <c r="H129" s="81">
        <v>124</v>
      </c>
      <c r="I129" s="82" t="str">
        <f t="shared" si="6"/>
        <v/>
      </c>
      <c r="J129" s="81">
        <f t="shared" si="9"/>
        <v>-2</v>
      </c>
      <c r="K129" s="81">
        <f t="shared" si="7"/>
        <v>-20</v>
      </c>
      <c r="L129" s="81"/>
      <c r="M129" s="83">
        <f t="shared" si="8"/>
        <v>0</v>
      </c>
    </row>
    <row r="130" spans="1:13" x14ac:dyDescent="0.25">
      <c r="A130" s="97"/>
      <c r="G130" s="64"/>
      <c r="H130" s="81">
        <v>125</v>
      </c>
      <c r="I130" s="82" t="str">
        <f t="shared" si="6"/>
        <v/>
      </c>
      <c r="J130" s="81">
        <f t="shared" si="9"/>
        <v>-2</v>
      </c>
      <c r="K130" s="81">
        <f t="shared" si="7"/>
        <v>-20</v>
      </c>
      <c r="L130" s="81"/>
      <c r="M130" s="83">
        <f t="shared" si="8"/>
        <v>0</v>
      </c>
    </row>
    <row r="131" spans="1:13" x14ac:dyDescent="0.25">
      <c r="A131" s="97"/>
      <c r="G131" s="64"/>
      <c r="H131" s="81">
        <v>126</v>
      </c>
      <c r="I131" s="82" t="str">
        <f t="shared" si="6"/>
        <v/>
      </c>
      <c r="J131" s="81">
        <f t="shared" si="9"/>
        <v>-2</v>
      </c>
      <c r="K131" s="81">
        <f t="shared" si="7"/>
        <v>-20</v>
      </c>
      <c r="L131" s="81"/>
      <c r="M131" s="83">
        <f t="shared" si="8"/>
        <v>0</v>
      </c>
    </row>
    <row r="132" spans="1:13" x14ac:dyDescent="0.25">
      <c r="A132" s="97"/>
      <c r="G132" s="64"/>
      <c r="H132" s="81">
        <v>127</v>
      </c>
      <c r="I132" s="82" t="str">
        <f t="shared" si="6"/>
        <v/>
      </c>
      <c r="J132" s="81">
        <f t="shared" si="9"/>
        <v>-2</v>
      </c>
      <c r="K132" s="81">
        <f t="shared" si="7"/>
        <v>-20</v>
      </c>
      <c r="L132" s="81"/>
      <c r="M132" s="83">
        <f t="shared" si="8"/>
        <v>0</v>
      </c>
    </row>
    <row r="133" spans="1:13" x14ac:dyDescent="0.25">
      <c r="A133" s="97"/>
      <c r="G133" s="64"/>
      <c r="H133" s="81">
        <v>128</v>
      </c>
      <c r="I133" s="82" t="str">
        <f t="shared" si="6"/>
        <v/>
      </c>
      <c r="J133" s="81">
        <f t="shared" si="9"/>
        <v>-2</v>
      </c>
      <c r="K133" s="81">
        <f t="shared" si="7"/>
        <v>-20</v>
      </c>
      <c r="L133" s="81"/>
      <c r="M133" s="83">
        <f t="shared" si="8"/>
        <v>0</v>
      </c>
    </row>
    <row r="134" spans="1:13" x14ac:dyDescent="0.25">
      <c r="A134" s="97"/>
      <c r="G134" s="64"/>
      <c r="H134" s="81">
        <v>129</v>
      </c>
      <c r="I134" s="82" t="str">
        <f t="shared" ref="I134:I197" si="10">IF(H134&lt;$H$2+1,($I$2-($I$2-1)*(LOG(H134)/LOG($H$2))),"")</f>
        <v/>
      </c>
      <c r="J134" s="81">
        <f t="shared" si="9"/>
        <v>-3</v>
      </c>
      <c r="K134" s="81">
        <f t="shared" ref="K134:K197" si="11">J134*$J$2</f>
        <v>-30</v>
      </c>
      <c r="L134" s="81"/>
      <c r="M134" s="83">
        <f t="shared" ref="M134:M197" si="12">IF(I134&lt;&gt;"",K134+I134+L134,0)</f>
        <v>0</v>
      </c>
    </row>
    <row r="135" spans="1:13" x14ac:dyDescent="0.25">
      <c r="A135" s="97"/>
      <c r="G135" s="64"/>
      <c r="H135" s="81">
        <v>130</v>
      </c>
      <c r="I135" s="82" t="str">
        <f t="shared" si="10"/>
        <v/>
      </c>
      <c r="J135" s="81">
        <f t="shared" ref="J135:J198" si="13">INT(LOG($H$2,2))-ROUNDUP(LOG(H135,2),0)+IF(OR($H$2=1,$H$2=2,$H$2=4,$H$2=8,$H$2=16,$H$2=32,$H$2=64,$H$2=128,$H$2=256),0,1)</f>
        <v>-3</v>
      </c>
      <c r="K135" s="81">
        <f t="shared" si="11"/>
        <v>-30</v>
      </c>
      <c r="L135" s="81"/>
      <c r="M135" s="83">
        <f t="shared" si="12"/>
        <v>0</v>
      </c>
    </row>
    <row r="136" spans="1:13" x14ac:dyDescent="0.25">
      <c r="A136" s="97"/>
      <c r="G136" s="64"/>
      <c r="H136" s="81">
        <v>131</v>
      </c>
      <c r="I136" s="82" t="str">
        <f t="shared" si="10"/>
        <v/>
      </c>
      <c r="J136" s="81">
        <f t="shared" si="13"/>
        <v>-3</v>
      </c>
      <c r="K136" s="81">
        <f t="shared" si="11"/>
        <v>-30</v>
      </c>
      <c r="L136" s="81"/>
      <c r="M136" s="83">
        <f t="shared" si="12"/>
        <v>0</v>
      </c>
    </row>
    <row r="137" spans="1:13" x14ac:dyDescent="0.25">
      <c r="A137" s="97"/>
      <c r="G137" s="64"/>
      <c r="H137" s="81">
        <v>132</v>
      </c>
      <c r="I137" s="82" t="str">
        <f t="shared" si="10"/>
        <v/>
      </c>
      <c r="J137" s="81">
        <f t="shared" si="13"/>
        <v>-3</v>
      </c>
      <c r="K137" s="81">
        <f t="shared" si="11"/>
        <v>-30</v>
      </c>
      <c r="L137" s="81"/>
      <c r="M137" s="83">
        <f t="shared" si="12"/>
        <v>0</v>
      </c>
    </row>
    <row r="138" spans="1:13" x14ac:dyDescent="0.25">
      <c r="A138" s="97"/>
      <c r="G138" s="64"/>
      <c r="H138" s="81">
        <v>133</v>
      </c>
      <c r="I138" s="82" t="str">
        <f t="shared" si="10"/>
        <v/>
      </c>
      <c r="J138" s="81">
        <f t="shared" si="13"/>
        <v>-3</v>
      </c>
      <c r="K138" s="81">
        <f t="shared" si="11"/>
        <v>-30</v>
      </c>
      <c r="L138" s="81"/>
      <c r="M138" s="83">
        <f t="shared" si="12"/>
        <v>0</v>
      </c>
    </row>
    <row r="139" spans="1:13" x14ac:dyDescent="0.25">
      <c r="A139" s="97"/>
      <c r="G139" s="64"/>
      <c r="H139" s="81">
        <v>134</v>
      </c>
      <c r="I139" s="82" t="str">
        <f t="shared" si="10"/>
        <v/>
      </c>
      <c r="J139" s="81">
        <f t="shared" si="13"/>
        <v>-3</v>
      </c>
      <c r="K139" s="81">
        <f t="shared" si="11"/>
        <v>-30</v>
      </c>
      <c r="L139" s="81"/>
      <c r="M139" s="83">
        <f t="shared" si="12"/>
        <v>0</v>
      </c>
    </row>
    <row r="140" spans="1:13" x14ac:dyDescent="0.25">
      <c r="A140" s="97"/>
      <c r="G140" s="64"/>
      <c r="H140" s="81">
        <v>135</v>
      </c>
      <c r="I140" s="82" t="str">
        <f t="shared" si="10"/>
        <v/>
      </c>
      <c r="J140" s="81">
        <f t="shared" si="13"/>
        <v>-3</v>
      </c>
      <c r="K140" s="81">
        <f t="shared" si="11"/>
        <v>-30</v>
      </c>
      <c r="L140" s="81"/>
      <c r="M140" s="83">
        <f t="shared" si="12"/>
        <v>0</v>
      </c>
    </row>
    <row r="141" spans="1:13" x14ac:dyDescent="0.25">
      <c r="A141" s="97"/>
      <c r="G141" s="64"/>
      <c r="H141" s="81">
        <v>136</v>
      </c>
      <c r="I141" s="82" t="str">
        <f t="shared" si="10"/>
        <v/>
      </c>
      <c r="J141" s="81">
        <f t="shared" si="13"/>
        <v>-3</v>
      </c>
      <c r="K141" s="81">
        <f t="shared" si="11"/>
        <v>-30</v>
      </c>
      <c r="L141" s="81"/>
      <c r="M141" s="83">
        <f t="shared" si="12"/>
        <v>0</v>
      </c>
    </row>
    <row r="142" spans="1:13" x14ac:dyDescent="0.25">
      <c r="A142" s="97"/>
      <c r="G142" s="64"/>
      <c r="H142" s="81">
        <v>137</v>
      </c>
      <c r="I142" s="82" t="str">
        <f t="shared" si="10"/>
        <v/>
      </c>
      <c r="J142" s="81">
        <f t="shared" si="13"/>
        <v>-3</v>
      </c>
      <c r="K142" s="81">
        <f t="shared" si="11"/>
        <v>-30</v>
      </c>
      <c r="L142" s="81"/>
      <c r="M142" s="83">
        <f t="shared" si="12"/>
        <v>0</v>
      </c>
    </row>
    <row r="143" spans="1:13" x14ac:dyDescent="0.25">
      <c r="A143" s="97"/>
      <c r="G143" s="64"/>
      <c r="H143" s="81">
        <v>138</v>
      </c>
      <c r="I143" s="82" t="str">
        <f t="shared" si="10"/>
        <v/>
      </c>
      <c r="J143" s="81">
        <f t="shared" si="13"/>
        <v>-3</v>
      </c>
      <c r="K143" s="81">
        <f t="shared" si="11"/>
        <v>-30</v>
      </c>
      <c r="L143" s="81"/>
      <c r="M143" s="83">
        <f t="shared" si="12"/>
        <v>0</v>
      </c>
    </row>
    <row r="144" spans="1:13" x14ac:dyDescent="0.25">
      <c r="A144" s="97"/>
      <c r="G144" s="64"/>
      <c r="H144" s="81">
        <v>139</v>
      </c>
      <c r="I144" s="82" t="str">
        <f t="shared" si="10"/>
        <v/>
      </c>
      <c r="J144" s="81">
        <f t="shared" si="13"/>
        <v>-3</v>
      </c>
      <c r="K144" s="81">
        <f t="shared" si="11"/>
        <v>-30</v>
      </c>
      <c r="L144" s="81"/>
      <c r="M144" s="83">
        <f t="shared" si="12"/>
        <v>0</v>
      </c>
    </row>
    <row r="145" spans="1:13" x14ac:dyDescent="0.25">
      <c r="A145" s="97"/>
      <c r="G145" s="64"/>
      <c r="H145" s="81">
        <v>140</v>
      </c>
      <c r="I145" s="82" t="str">
        <f t="shared" si="10"/>
        <v/>
      </c>
      <c r="J145" s="81">
        <f t="shared" si="13"/>
        <v>-3</v>
      </c>
      <c r="K145" s="81">
        <f t="shared" si="11"/>
        <v>-30</v>
      </c>
      <c r="L145" s="81"/>
      <c r="M145" s="83">
        <f t="shared" si="12"/>
        <v>0</v>
      </c>
    </row>
    <row r="146" spans="1:13" x14ac:dyDescent="0.25">
      <c r="A146" s="97"/>
      <c r="G146" s="64"/>
      <c r="H146" s="81">
        <v>141</v>
      </c>
      <c r="I146" s="82" t="str">
        <f t="shared" si="10"/>
        <v/>
      </c>
      <c r="J146" s="81">
        <f t="shared" si="13"/>
        <v>-3</v>
      </c>
      <c r="K146" s="81">
        <f t="shared" si="11"/>
        <v>-30</v>
      </c>
      <c r="L146" s="81"/>
      <c r="M146" s="83">
        <f t="shared" si="12"/>
        <v>0</v>
      </c>
    </row>
    <row r="147" spans="1:13" x14ac:dyDescent="0.25">
      <c r="A147" s="97"/>
      <c r="G147" s="64"/>
      <c r="H147" s="81">
        <v>142</v>
      </c>
      <c r="I147" s="82" t="str">
        <f t="shared" si="10"/>
        <v/>
      </c>
      <c r="J147" s="81">
        <f t="shared" si="13"/>
        <v>-3</v>
      </c>
      <c r="K147" s="81">
        <f t="shared" si="11"/>
        <v>-30</v>
      </c>
      <c r="L147" s="81"/>
      <c r="M147" s="83">
        <f t="shared" si="12"/>
        <v>0</v>
      </c>
    </row>
    <row r="148" spans="1:13" x14ac:dyDescent="0.25">
      <c r="A148" s="97"/>
      <c r="G148" s="64"/>
      <c r="H148" s="81">
        <v>143</v>
      </c>
      <c r="I148" s="82" t="str">
        <f t="shared" si="10"/>
        <v/>
      </c>
      <c r="J148" s="81">
        <f t="shared" si="13"/>
        <v>-3</v>
      </c>
      <c r="K148" s="81">
        <f t="shared" si="11"/>
        <v>-30</v>
      </c>
      <c r="L148" s="81"/>
      <c r="M148" s="83">
        <f t="shared" si="12"/>
        <v>0</v>
      </c>
    </row>
    <row r="149" spans="1:13" x14ac:dyDescent="0.25">
      <c r="A149" s="97"/>
      <c r="G149" s="64"/>
      <c r="H149" s="81">
        <v>144</v>
      </c>
      <c r="I149" s="82" t="str">
        <f t="shared" si="10"/>
        <v/>
      </c>
      <c r="J149" s="81">
        <f t="shared" si="13"/>
        <v>-3</v>
      </c>
      <c r="K149" s="81">
        <f t="shared" si="11"/>
        <v>-30</v>
      </c>
      <c r="L149" s="81"/>
      <c r="M149" s="83">
        <f t="shared" si="12"/>
        <v>0</v>
      </c>
    </row>
    <row r="150" spans="1:13" x14ac:dyDescent="0.25">
      <c r="A150" s="97"/>
      <c r="G150" s="64"/>
      <c r="H150" s="81">
        <v>145</v>
      </c>
      <c r="I150" s="82" t="str">
        <f t="shared" si="10"/>
        <v/>
      </c>
      <c r="J150" s="81">
        <f t="shared" si="13"/>
        <v>-3</v>
      </c>
      <c r="K150" s="81">
        <f t="shared" si="11"/>
        <v>-30</v>
      </c>
      <c r="L150" s="81"/>
      <c r="M150" s="83">
        <f t="shared" si="12"/>
        <v>0</v>
      </c>
    </row>
    <row r="151" spans="1:13" x14ac:dyDescent="0.25">
      <c r="A151" s="97"/>
      <c r="G151" s="64"/>
      <c r="H151" s="81">
        <v>146</v>
      </c>
      <c r="I151" s="82" t="str">
        <f t="shared" si="10"/>
        <v/>
      </c>
      <c r="J151" s="81">
        <f t="shared" si="13"/>
        <v>-3</v>
      </c>
      <c r="K151" s="81">
        <f t="shared" si="11"/>
        <v>-30</v>
      </c>
      <c r="L151" s="81"/>
      <c r="M151" s="83">
        <f t="shared" si="12"/>
        <v>0</v>
      </c>
    </row>
    <row r="152" spans="1:13" x14ac:dyDescent="0.25">
      <c r="A152" s="97"/>
      <c r="G152" s="64"/>
      <c r="H152" s="81">
        <v>147</v>
      </c>
      <c r="I152" s="82" t="str">
        <f t="shared" si="10"/>
        <v/>
      </c>
      <c r="J152" s="81">
        <f t="shared" si="13"/>
        <v>-3</v>
      </c>
      <c r="K152" s="81">
        <f t="shared" si="11"/>
        <v>-30</v>
      </c>
      <c r="L152" s="81"/>
      <c r="M152" s="83">
        <f t="shared" si="12"/>
        <v>0</v>
      </c>
    </row>
    <row r="153" spans="1:13" x14ac:dyDescent="0.25">
      <c r="A153" s="97"/>
      <c r="G153" s="64"/>
      <c r="H153" s="81">
        <v>148</v>
      </c>
      <c r="I153" s="82" t="str">
        <f t="shared" si="10"/>
        <v/>
      </c>
      <c r="J153" s="81">
        <f t="shared" si="13"/>
        <v>-3</v>
      </c>
      <c r="K153" s="81">
        <f t="shared" si="11"/>
        <v>-30</v>
      </c>
      <c r="L153" s="81"/>
      <c r="M153" s="83">
        <f t="shared" si="12"/>
        <v>0</v>
      </c>
    </row>
    <row r="154" spans="1:13" x14ac:dyDescent="0.25">
      <c r="A154" s="97"/>
      <c r="G154" s="64"/>
      <c r="H154" s="81">
        <v>149</v>
      </c>
      <c r="I154" s="82" t="str">
        <f t="shared" si="10"/>
        <v/>
      </c>
      <c r="J154" s="81">
        <f t="shared" si="13"/>
        <v>-3</v>
      </c>
      <c r="K154" s="81">
        <f t="shared" si="11"/>
        <v>-30</v>
      </c>
      <c r="L154" s="81"/>
      <c r="M154" s="83">
        <f t="shared" si="12"/>
        <v>0</v>
      </c>
    </row>
    <row r="155" spans="1:13" x14ac:dyDescent="0.25">
      <c r="A155" s="97"/>
      <c r="G155" s="64"/>
      <c r="H155" s="81">
        <v>150</v>
      </c>
      <c r="I155" s="82" t="str">
        <f t="shared" si="10"/>
        <v/>
      </c>
      <c r="J155" s="81">
        <f t="shared" si="13"/>
        <v>-3</v>
      </c>
      <c r="K155" s="81">
        <f t="shared" si="11"/>
        <v>-30</v>
      </c>
      <c r="L155" s="81"/>
      <c r="M155" s="83">
        <f t="shared" si="12"/>
        <v>0</v>
      </c>
    </row>
    <row r="156" spans="1:13" x14ac:dyDescent="0.25">
      <c r="A156" s="97"/>
      <c r="G156" s="64"/>
      <c r="H156" s="81">
        <v>151</v>
      </c>
      <c r="I156" s="82" t="str">
        <f t="shared" si="10"/>
        <v/>
      </c>
      <c r="J156" s="81">
        <f t="shared" si="13"/>
        <v>-3</v>
      </c>
      <c r="K156" s="81">
        <f t="shared" si="11"/>
        <v>-30</v>
      </c>
      <c r="L156" s="81"/>
      <c r="M156" s="83">
        <f t="shared" si="12"/>
        <v>0</v>
      </c>
    </row>
    <row r="157" spans="1:13" x14ac:dyDescent="0.25">
      <c r="A157" s="97"/>
      <c r="G157" s="64"/>
      <c r="H157" s="81">
        <v>152</v>
      </c>
      <c r="I157" s="82" t="str">
        <f t="shared" si="10"/>
        <v/>
      </c>
      <c r="J157" s="81">
        <f t="shared" si="13"/>
        <v>-3</v>
      </c>
      <c r="K157" s="81">
        <f t="shared" si="11"/>
        <v>-30</v>
      </c>
      <c r="L157" s="81"/>
      <c r="M157" s="83">
        <f t="shared" si="12"/>
        <v>0</v>
      </c>
    </row>
    <row r="158" spans="1:13" x14ac:dyDescent="0.25">
      <c r="A158" s="97"/>
      <c r="G158" s="64"/>
      <c r="H158" s="81">
        <v>153</v>
      </c>
      <c r="I158" s="82" t="str">
        <f t="shared" si="10"/>
        <v/>
      </c>
      <c r="J158" s="81">
        <f t="shared" si="13"/>
        <v>-3</v>
      </c>
      <c r="K158" s="81">
        <f t="shared" si="11"/>
        <v>-30</v>
      </c>
      <c r="L158" s="81"/>
      <c r="M158" s="83">
        <f t="shared" si="12"/>
        <v>0</v>
      </c>
    </row>
    <row r="159" spans="1:13" x14ac:dyDescent="0.25">
      <c r="A159" s="97"/>
      <c r="G159" s="64"/>
      <c r="H159" s="81">
        <v>154</v>
      </c>
      <c r="I159" s="82" t="str">
        <f t="shared" si="10"/>
        <v/>
      </c>
      <c r="J159" s="81">
        <f t="shared" si="13"/>
        <v>-3</v>
      </c>
      <c r="K159" s="81">
        <f t="shared" si="11"/>
        <v>-30</v>
      </c>
      <c r="L159" s="81"/>
      <c r="M159" s="83">
        <f t="shared" si="12"/>
        <v>0</v>
      </c>
    </row>
    <row r="160" spans="1:13" x14ac:dyDescent="0.25">
      <c r="A160" s="97"/>
      <c r="G160" s="64"/>
      <c r="H160" s="81">
        <v>155</v>
      </c>
      <c r="I160" s="82" t="str">
        <f t="shared" si="10"/>
        <v/>
      </c>
      <c r="J160" s="81">
        <f t="shared" si="13"/>
        <v>-3</v>
      </c>
      <c r="K160" s="81">
        <f t="shared" si="11"/>
        <v>-30</v>
      </c>
      <c r="L160" s="81"/>
      <c r="M160" s="83">
        <f t="shared" si="12"/>
        <v>0</v>
      </c>
    </row>
    <row r="161" spans="1:13" x14ac:dyDescent="0.25">
      <c r="A161" s="97"/>
      <c r="G161" s="64"/>
      <c r="H161" s="81">
        <v>156</v>
      </c>
      <c r="I161" s="82" t="str">
        <f t="shared" si="10"/>
        <v/>
      </c>
      <c r="J161" s="81">
        <f t="shared" si="13"/>
        <v>-3</v>
      </c>
      <c r="K161" s="81">
        <f t="shared" si="11"/>
        <v>-30</v>
      </c>
      <c r="L161" s="81"/>
      <c r="M161" s="83">
        <f t="shared" si="12"/>
        <v>0</v>
      </c>
    </row>
    <row r="162" spans="1:13" x14ac:dyDescent="0.25">
      <c r="A162" s="97"/>
      <c r="G162" s="64"/>
      <c r="H162" s="81">
        <v>157</v>
      </c>
      <c r="I162" s="82" t="str">
        <f t="shared" si="10"/>
        <v/>
      </c>
      <c r="J162" s="81">
        <f t="shared" si="13"/>
        <v>-3</v>
      </c>
      <c r="K162" s="81">
        <f t="shared" si="11"/>
        <v>-30</v>
      </c>
      <c r="L162" s="81"/>
      <c r="M162" s="83">
        <f t="shared" si="12"/>
        <v>0</v>
      </c>
    </row>
    <row r="163" spans="1:13" x14ac:dyDescent="0.25">
      <c r="A163" s="97"/>
      <c r="G163" s="64"/>
      <c r="H163" s="81">
        <v>158</v>
      </c>
      <c r="I163" s="82" t="str">
        <f t="shared" si="10"/>
        <v/>
      </c>
      <c r="J163" s="81">
        <f t="shared" si="13"/>
        <v>-3</v>
      </c>
      <c r="K163" s="81">
        <f t="shared" si="11"/>
        <v>-30</v>
      </c>
      <c r="L163" s="81"/>
      <c r="M163" s="83">
        <f t="shared" si="12"/>
        <v>0</v>
      </c>
    </row>
    <row r="164" spans="1:13" x14ac:dyDescent="0.25">
      <c r="A164" s="97"/>
      <c r="G164" s="64"/>
      <c r="H164" s="81">
        <v>159</v>
      </c>
      <c r="I164" s="82" t="str">
        <f t="shared" si="10"/>
        <v/>
      </c>
      <c r="J164" s="81">
        <f t="shared" si="13"/>
        <v>-3</v>
      </c>
      <c r="K164" s="81">
        <f t="shared" si="11"/>
        <v>-30</v>
      </c>
      <c r="L164" s="81"/>
      <c r="M164" s="83">
        <f t="shared" si="12"/>
        <v>0</v>
      </c>
    </row>
    <row r="165" spans="1:13" x14ac:dyDescent="0.25">
      <c r="A165" s="97"/>
      <c r="G165" s="64"/>
      <c r="H165" s="81">
        <v>160</v>
      </c>
      <c r="I165" s="82" t="str">
        <f t="shared" si="10"/>
        <v/>
      </c>
      <c r="J165" s="81">
        <f t="shared" si="13"/>
        <v>-3</v>
      </c>
      <c r="K165" s="81">
        <f t="shared" si="11"/>
        <v>-30</v>
      </c>
      <c r="L165" s="81"/>
      <c r="M165" s="83">
        <f t="shared" si="12"/>
        <v>0</v>
      </c>
    </row>
    <row r="166" spans="1:13" x14ac:dyDescent="0.25">
      <c r="A166" s="97"/>
      <c r="G166" s="64"/>
      <c r="H166" s="81">
        <v>161</v>
      </c>
      <c r="I166" s="82" t="str">
        <f t="shared" si="10"/>
        <v/>
      </c>
      <c r="J166" s="81">
        <f t="shared" si="13"/>
        <v>-3</v>
      </c>
      <c r="K166" s="81">
        <f t="shared" si="11"/>
        <v>-30</v>
      </c>
      <c r="L166" s="81"/>
      <c r="M166" s="83">
        <f t="shared" si="12"/>
        <v>0</v>
      </c>
    </row>
    <row r="167" spans="1:13" x14ac:dyDescent="0.25">
      <c r="A167" s="97"/>
      <c r="G167" s="64"/>
      <c r="H167" s="81">
        <v>162</v>
      </c>
      <c r="I167" s="82" t="str">
        <f t="shared" si="10"/>
        <v/>
      </c>
      <c r="J167" s="81">
        <f t="shared" si="13"/>
        <v>-3</v>
      </c>
      <c r="K167" s="81">
        <f t="shared" si="11"/>
        <v>-30</v>
      </c>
      <c r="L167" s="81"/>
      <c r="M167" s="83">
        <f t="shared" si="12"/>
        <v>0</v>
      </c>
    </row>
    <row r="168" spans="1:13" x14ac:dyDescent="0.25">
      <c r="A168" s="97"/>
      <c r="G168" s="64"/>
      <c r="H168" s="81">
        <v>163</v>
      </c>
      <c r="I168" s="82" t="str">
        <f t="shared" si="10"/>
        <v/>
      </c>
      <c r="J168" s="81">
        <f t="shared" si="13"/>
        <v>-3</v>
      </c>
      <c r="K168" s="81">
        <f t="shared" si="11"/>
        <v>-30</v>
      </c>
      <c r="L168" s="81"/>
      <c r="M168" s="83">
        <f t="shared" si="12"/>
        <v>0</v>
      </c>
    </row>
    <row r="169" spans="1:13" x14ac:dyDescent="0.25">
      <c r="A169" s="97"/>
      <c r="G169" s="64"/>
      <c r="H169" s="81">
        <v>164</v>
      </c>
      <c r="I169" s="82" t="str">
        <f t="shared" si="10"/>
        <v/>
      </c>
      <c r="J169" s="81">
        <f t="shared" si="13"/>
        <v>-3</v>
      </c>
      <c r="K169" s="81">
        <f t="shared" si="11"/>
        <v>-30</v>
      </c>
      <c r="L169" s="81"/>
      <c r="M169" s="83">
        <f t="shared" si="12"/>
        <v>0</v>
      </c>
    </row>
    <row r="170" spans="1:13" x14ac:dyDescent="0.25">
      <c r="A170" s="97"/>
      <c r="G170" s="64"/>
      <c r="H170" s="81">
        <v>165</v>
      </c>
      <c r="I170" s="82" t="str">
        <f t="shared" si="10"/>
        <v/>
      </c>
      <c r="J170" s="81">
        <f t="shared" si="13"/>
        <v>-3</v>
      </c>
      <c r="K170" s="81">
        <f t="shared" si="11"/>
        <v>-30</v>
      </c>
      <c r="L170" s="81"/>
      <c r="M170" s="83">
        <f t="shared" si="12"/>
        <v>0</v>
      </c>
    </row>
    <row r="171" spans="1:13" x14ac:dyDescent="0.25">
      <c r="A171" s="97"/>
      <c r="G171" s="64"/>
      <c r="H171" s="81">
        <v>166</v>
      </c>
      <c r="I171" s="82" t="str">
        <f t="shared" si="10"/>
        <v/>
      </c>
      <c r="J171" s="81">
        <f t="shared" si="13"/>
        <v>-3</v>
      </c>
      <c r="K171" s="81">
        <f t="shared" si="11"/>
        <v>-30</v>
      </c>
      <c r="L171" s="81"/>
      <c r="M171" s="83">
        <f t="shared" si="12"/>
        <v>0</v>
      </c>
    </row>
    <row r="172" spans="1:13" x14ac:dyDescent="0.25">
      <c r="A172" s="97"/>
      <c r="G172" s="64"/>
      <c r="H172" s="81">
        <v>167</v>
      </c>
      <c r="I172" s="82" t="str">
        <f t="shared" si="10"/>
        <v/>
      </c>
      <c r="J172" s="81">
        <f t="shared" si="13"/>
        <v>-3</v>
      </c>
      <c r="K172" s="81">
        <f t="shared" si="11"/>
        <v>-30</v>
      </c>
      <c r="L172" s="81"/>
      <c r="M172" s="83">
        <f t="shared" si="12"/>
        <v>0</v>
      </c>
    </row>
    <row r="173" spans="1:13" x14ac:dyDescent="0.25">
      <c r="A173" s="97"/>
      <c r="G173" s="64"/>
      <c r="H173" s="81">
        <v>168</v>
      </c>
      <c r="I173" s="82" t="str">
        <f t="shared" si="10"/>
        <v/>
      </c>
      <c r="J173" s="81">
        <f t="shared" si="13"/>
        <v>-3</v>
      </c>
      <c r="K173" s="81">
        <f t="shared" si="11"/>
        <v>-30</v>
      </c>
      <c r="L173" s="81"/>
      <c r="M173" s="83">
        <f t="shared" si="12"/>
        <v>0</v>
      </c>
    </row>
    <row r="174" spans="1:13" x14ac:dyDescent="0.25">
      <c r="A174" s="97"/>
      <c r="G174" s="64"/>
      <c r="H174" s="81">
        <v>169</v>
      </c>
      <c r="I174" s="82" t="str">
        <f t="shared" si="10"/>
        <v/>
      </c>
      <c r="J174" s="81">
        <f t="shared" si="13"/>
        <v>-3</v>
      </c>
      <c r="K174" s="81">
        <f t="shared" si="11"/>
        <v>-30</v>
      </c>
      <c r="L174" s="81"/>
      <c r="M174" s="83">
        <f t="shared" si="12"/>
        <v>0</v>
      </c>
    </row>
    <row r="175" spans="1:13" x14ac:dyDescent="0.25">
      <c r="A175" s="97"/>
      <c r="G175" s="64"/>
      <c r="H175" s="81">
        <v>170</v>
      </c>
      <c r="I175" s="82" t="str">
        <f t="shared" si="10"/>
        <v/>
      </c>
      <c r="J175" s="81">
        <f t="shared" si="13"/>
        <v>-3</v>
      </c>
      <c r="K175" s="81">
        <f t="shared" si="11"/>
        <v>-30</v>
      </c>
      <c r="L175" s="81"/>
      <c r="M175" s="83">
        <f t="shared" si="12"/>
        <v>0</v>
      </c>
    </row>
    <row r="176" spans="1:13" x14ac:dyDescent="0.25">
      <c r="A176" s="97"/>
      <c r="G176" s="64"/>
      <c r="H176" s="81">
        <v>171</v>
      </c>
      <c r="I176" s="82" t="str">
        <f t="shared" si="10"/>
        <v/>
      </c>
      <c r="J176" s="81">
        <f t="shared" si="13"/>
        <v>-3</v>
      </c>
      <c r="K176" s="81">
        <f t="shared" si="11"/>
        <v>-30</v>
      </c>
      <c r="L176" s="81"/>
      <c r="M176" s="83">
        <f t="shared" si="12"/>
        <v>0</v>
      </c>
    </row>
    <row r="177" spans="1:13" x14ac:dyDescent="0.25">
      <c r="A177" s="97"/>
      <c r="G177" s="64"/>
      <c r="H177" s="81">
        <v>172</v>
      </c>
      <c r="I177" s="82" t="str">
        <f t="shared" si="10"/>
        <v/>
      </c>
      <c r="J177" s="81">
        <f t="shared" si="13"/>
        <v>-3</v>
      </c>
      <c r="K177" s="81">
        <f t="shared" si="11"/>
        <v>-30</v>
      </c>
      <c r="L177" s="81"/>
      <c r="M177" s="83">
        <f t="shared" si="12"/>
        <v>0</v>
      </c>
    </row>
    <row r="178" spans="1:13" x14ac:dyDescent="0.25">
      <c r="A178" s="97"/>
      <c r="G178" s="64"/>
      <c r="H178" s="81">
        <v>173</v>
      </c>
      <c r="I178" s="82" t="str">
        <f t="shared" si="10"/>
        <v/>
      </c>
      <c r="J178" s="81">
        <f t="shared" si="13"/>
        <v>-3</v>
      </c>
      <c r="K178" s="81">
        <f t="shared" si="11"/>
        <v>-30</v>
      </c>
      <c r="L178" s="81"/>
      <c r="M178" s="83">
        <f t="shared" si="12"/>
        <v>0</v>
      </c>
    </row>
    <row r="179" spans="1:13" x14ac:dyDescent="0.25">
      <c r="A179" s="97"/>
      <c r="G179" s="64"/>
      <c r="H179" s="81">
        <v>174</v>
      </c>
      <c r="I179" s="82" t="str">
        <f t="shared" si="10"/>
        <v/>
      </c>
      <c r="J179" s="81">
        <f t="shared" si="13"/>
        <v>-3</v>
      </c>
      <c r="K179" s="81">
        <f t="shared" si="11"/>
        <v>-30</v>
      </c>
      <c r="L179" s="81"/>
      <c r="M179" s="83">
        <f t="shared" si="12"/>
        <v>0</v>
      </c>
    </row>
    <row r="180" spans="1:13" x14ac:dyDescent="0.25">
      <c r="A180" s="97"/>
      <c r="G180" s="64"/>
      <c r="H180" s="81">
        <v>175</v>
      </c>
      <c r="I180" s="82" t="str">
        <f t="shared" si="10"/>
        <v/>
      </c>
      <c r="J180" s="81">
        <f t="shared" si="13"/>
        <v>-3</v>
      </c>
      <c r="K180" s="81">
        <f t="shared" si="11"/>
        <v>-30</v>
      </c>
      <c r="L180" s="81"/>
      <c r="M180" s="83">
        <f t="shared" si="12"/>
        <v>0</v>
      </c>
    </row>
    <row r="181" spans="1:13" x14ac:dyDescent="0.25">
      <c r="A181" s="97"/>
      <c r="G181" s="64"/>
      <c r="H181" s="81">
        <v>176</v>
      </c>
      <c r="I181" s="82" t="str">
        <f t="shared" si="10"/>
        <v/>
      </c>
      <c r="J181" s="81">
        <f t="shared" si="13"/>
        <v>-3</v>
      </c>
      <c r="K181" s="81">
        <f t="shared" si="11"/>
        <v>-30</v>
      </c>
      <c r="L181" s="81"/>
      <c r="M181" s="83">
        <f t="shared" si="12"/>
        <v>0</v>
      </c>
    </row>
    <row r="182" spans="1:13" x14ac:dyDescent="0.25">
      <c r="A182" s="97"/>
      <c r="G182" s="64"/>
      <c r="H182" s="81">
        <v>177</v>
      </c>
      <c r="I182" s="82" t="str">
        <f t="shared" si="10"/>
        <v/>
      </c>
      <c r="J182" s="81">
        <f t="shared" si="13"/>
        <v>-3</v>
      </c>
      <c r="K182" s="81">
        <f t="shared" si="11"/>
        <v>-30</v>
      </c>
      <c r="L182" s="81"/>
      <c r="M182" s="83">
        <f t="shared" si="12"/>
        <v>0</v>
      </c>
    </row>
    <row r="183" spans="1:13" x14ac:dyDescent="0.25">
      <c r="A183" s="97"/>
      <c r="G183" s="64"/>
      <c r="H183" s="81">
        <v>178</v>
      </c>
      <c r="I183" s="82" t="str">
        <f t="shared" si="10"/>
        <v/>
      </c>
      <c r="J183" s="81">
        <f t="shared" si="13"/>
        <v>-3</v>
      </c>
      <c r="K183" s="81">
        <f t="shared" si="11"/>
        <v>-30</v>
      </c>
      <c r="L183" s="81"/>
      <c r="M183" s="83">
        <f t="shared" si="12"/>
        <v>0</v>
      </c>
    </row>
    <row r="184" spans="1:13" x14ac:dyDescent="0.25">
      <c r="A184" s="97"/>
      <c r="G184" s="64"/>
      <c r="H184" s="81">
        <v>179</v>
      </c>
      <c r="I184" s="82" t="str">
        <f t="shared" si="10"/>
        <v/>
      </c>
      <c r="J184" s="81">
        <f t="shared" si="13"/>
        <v>-3</v>
      </c>
      <c r="K184" s="81">
        <f t="shared" si="11"/>
        <v>-30</v>
      </c>
      <c r="L184" s="81"/>
      <c r="M184" s="83">
        <f t="shared" si="12"/>
        <v>0</v>
      </c>
    </row>
    <row r="185" spans="1:13" x14ac:dyDescent="0.25">
      <c r="A185" s="97"/>
      <c r="G185" s="64"/>
      <c r="H185" s="81">
        <v>180</v>
      </c>
      <c r="I185" s="82" t="str">
        <f t="shared" si="10"/>
        <v/>
      </c>
      <c r="J185" s="81">
        <f t="shared" si="13"/>
        <v>-3</v>
      </c>
      <c r="K185" s="81">
        <f t="shared" si="11"/>
        <v>-30</v>
      </c>
      <c r="L185" s="81"/>
      <c r="M185" s="83">
        <f t="shared" si="12"/>
        <v>0</v>
      </c>
    </row>
    <row r="186" spans="1:13" x14ac:dyDescent="0.25">
      <c r="A186" s="97"/>
      <c r="G186" s="64"/>
      <c r="H186" s="81">
        <v>181</v>
      </c>
      <c r="I186" s="82" t="str">
        <f t="shared" si="10"/>
        <v/>
      </c>
      <c r="J186" s="81">
        <f t="shared" si="13"/>
        <v>-3</v>
      </c>
      <c r="K186" s="81">
        <f t="shared" si="11"/>
        <v>-30</v>
      </c>
      <c r="L186" s="81"/>
      <c r="M186" s="83">
        <f t="shared" si="12"/>
        <v>0</v>
      </c>
    </row>
    <row r="187" spans="1:13" x14ac:dyDescent="0.25">
      <c r="A187" s="97"/>
      <c r="G187" s="64"/>
      <c r="H187" s="81">
        <v>182</v>
      </c>
      <c r="I187" s="82" t="str">
        <f t="shared" si="10"/>
        <v/>
      </c>
      <c r="J187" s="81">
        <f t="shared" si="13"/>
        <v>-3</v>
      </c>
      <c r="K187" s="81">
        <f t="shared" si="11"/>
        <v>-30</v>
      </c>
      <c r="L187" s="81"/>
      <c r="M187" s="83">
        <f t="shared" si="12"/>
        <v>0</v>
      </c>
    </row>
    <row r="188" spans="1:13" x14ac:dyDescent="0.25">
      <c r="A188" s="97"/>
      <c r="G188" s="64"/>
      <c r="H188" s="81">
        <v>183</v>
      </c>
      <c r="I188" s="82" t="str">
        <f t="shared" si="10"/>
        <v/>
      </c>
      <c r="J188" s="81">
        <f t="shared" si="13"/>
        <v>-3</v>
      </c>
      <c r="K188" s="81">
        <f t="shared" si="11"/>
        <v>-30</v>
      </c>
      <c r="L188" s="81"/>
      <c r="M188" s="83">
        <f t="shared" si="12"/>
        <v>0</v>
      </c>
    </row>
    <row r="189" spans="1:13" x14ac:dyDescent="0.25">
      <c r="A189" s="97"/>
      <c r="G189" s="64"/>
      <c r="H189" s="81">
        <v>184</v>
      </c>
      <c r="I189" s="82" t="str">
        <f t="shared" si="10"/>
        <v/>
      </c>
      <c r="J189" s="81">
        <f t="shared" si="13"/>
        <v>-3</v>
      </c>
      <c r="K189" s="81">
        <f t="shared" si="11"/>
        <v>-30</v>
      </c>
      <c r="L189" s="81"/>
      <c r="M189" s="83">
        <f t="shared" si="12"/>
        <v>0</v>
      </c>
    </row>
    <row r="190" spans="1:13" x14ac:dyDescent="0.25">
      <c r="A190" s="97"/>
      <c r="G190" s="64"/>
      <c r="H190" s="81">
        <v>185</v>
      </c>
      <c r="I190" s="82" t="str">
        <f t="shared" si="10"/>
        <v/>
      </c>
      <c r="J190" s="81">
        <f t="shared" si="13"/>
        <v>-3</v>
      </c>
      <c r="K190" s="81">
        <f t="shared" si="11"/>
        <v>-30</v>
      </c>
      <c r="L190" s="81"/>
      <c r="M190" s="83">
        <f t="shared" si="12"/>
        <v>0</v>
      </c>
    </row>
    <row r="191" spans="1:13" x14ac:dyDescent="0.25">
      <c r="A191" s="97"/>
      <c r="G191" s="64"/>
      <c r="H191" s="81">
        <v>186</v>
      </c>
      <c r="I191" s="82" t="str">
        <f t="shared" si="10"/>
        <v/>
      </c>
      <c r="J191" s="81">
        <f t="shared" si="13"/>
        <v>-3</v>
      </c>
      <c r="K191" s="81">
        <f t="shared" si="11"/>
        <v>-30</v>
      </c>
      <c r="L191" s="81"/>
      <c r="M191" s="83">
        <f t="shared" si="12"/>
        <v>0</v>
      </c>
    </row>
    <row r="192" spans="1:13" x14ac:dyDescent="0.25">
      <c r="A192" s="97"/>
      <c r="G192" s="64"/>
      <c r="H192" s="81">
        <v>187</v>
      </c>
      <c r="I192" s="82" t="str">
        <f t="shared" si="10"/>
        <v/>
      </c>
      <c r="J192" s="81">
        <f t="shared" si="13"/>
        <v>-3</v>
      </c>
      <c r="K192" s="81">
        <f t="shared" si="11"/>
        <v>-30</v>
      </c>
      <c r="L192" s="81"/>
      <c r="M192" s="83">
        <f t="shared" si="12"/>
        <v>0</v>
      </c>
    </row>
    <row r="193" spans="1:13" x14ac:dyDescent="0.25">
      <c r="A193" s="97"/>
      <c r="G193" s="64"/>
      <c r="H193" s="81">
        <v>188</v>
      </c>
      <c r="I193" s="82" t="str">
        <f t="shared" si="10"/>
        <v/>
      </c>
      <c r="J193" s="81">
        <f t="shared" si="13"/>
        <v>-3</v>
      </c>
      <c r="K193" s="81">
        <f t="shared" si="11"/>
        <v>-30</v>
      </c>
      <c r="L193" s="81"/>
      <c r="M193" s="83">
        <f t="shared" si="12"/>
        <v>0</v>
      </c>
    </row>
    <row r="194" spans="1:13" x14ac:dyDescent="0.25">
      <c r="A194" s="97"/>
      <c r="G194" s="64"/>
      <c r="H194" s="81">
        <v>189</v>
      </c>
      <c r="I194" s="82" t="str">
        <f t="shared" si="10"/>
        <v/>
      </c>
      <c r="J194" s="81">
        <f t="shared" si="13"/>
        <v>-3</v>
      </c>
      <c r="K194" s="81">
        <f t="shared" si="11"/>
        <v>-30</v>
      </c>
      <c r="L194" s="81"/>
      <c r="M194" s="83">
        <f t="shared" si="12"/>
        <v>0</v>
      </c>
    </row>
    <row r="195" spans="1:13" x14ac:dyDescent="0.25">
      <c r="A195" s="97"/>
      <c r="G195" s="64"/>
      <c r="H195" s="81">
        <v>190</v>
      </c>
      <c r="I195" s="82" t="str">
        <f t="shared" si="10"/>
        <v/>
      </c>
      <c r="J195" s="81">
        <f t="shared" si="13"/>
        <v>-3</v>
      </c>
      <c r="K195" s="81">
        <f t="shared" si="11"/>
        <v>-30</v>
      </c>
      <c r="L195" s="81"/>
      <c r="M195" s="83">
        <f t="shared" si="12"/>
        <v>0</v>
      </c>
    </row>
    <row r="196" spans="1:13" x14ac:dyDescent="0.25">
      <c r="A196" s="97"/>
      <c r="G196" s="64"/>
      <c r="H196" s="81">
        <v>191</v>
      </c>
      <c r="I196" s="82" t="str">
        <f t="shared" si="10"/>
        <v/>
      </c>
      <c r="J196" s="81">
        <f t="shared" si="13"/>
        <v>-3</v>
      </c>
      <c r="K196" s="81">
        <f t="shared" si="11"/>
        <v>-30</v>
      </c>
      <c r="L196" s="81"/>
      <c r="M196" s="83">
        <f t="shared" si="12"/>
        <v>0</v>
      </c>
    </row>
    <row r="197" spans="1:13" x14ac:dyDescent="0.25">
      <c r="A197" s="97"/>
      <c r="G197" s="64"/>
      <c r="H197" s="81">
        <v>192</v>
      </c>
      <c r="I197" s="82" t="str">
        <f t="shared" si="10"/>
        <v/>
      </c>
      <c r="J197" s="81">
        <f t="shared" si="13"/>
        <v>-3</v>
      </c>
      <c r="K197" s="81">
        <f t="shared" si="11"/>
        <v>-30</v>
      </c>
      <c r="L197" s="81"/>
      <c r="M197" s="83">
        <f t="shared" si="12"/>
        <v>0</v>
      </c>
    </row>
    <row r="198" spans="1:13" x14ac:dyDescent="0.25">
      <c r="A198" s="97"/>
      <c r="G198" s="64"/>
      <c r="H198" s="81">
        <v>193</v>
      </c>
      <c r="I198" s="82" t="str">
        <f t="shared" ref="I198:I261" si="14">IF(H198&lt;$H$2+1,($I$2-($I$2-1)*(LOG(H198)/LOG($H$2))),"")</f>
        <v/>
      </c>
      <c r="J198" s="81">
        <f t="shared" si="13"/>
        <v>-3</v>
      </c>
      <c r="K198" s="81">
        <f t="shared" ref="K198:K261" si="15">J198*$J$2</f>
        <v>-30</v>
      </c>
      <c r="L198" s="81"/>
      <c r="M198" s="83">
        <f t="shared" ref="M198:M261" si="16">IF(I198&lt;&gt;"",K198+I198+L198,0)</f>
        <v>0</v>
      </c>
    </row>
    <row r="199" spans="1:13" x14ac:dyDescent="0.25">
      <c r="A199" s="97"/>
      <c r="G199" s="64"/>
      <c r="H199" s="81">
        <v>194</v>
      </c>
      <c r="I199" s="82" t="str">
        <f t="shared" si="14"/>
        <v/>
      </c>
      <c r="J199" s="81">
        <f t="shared" ref="J199:J262" si="17">INT(LOG($H$2,2))-ROUNDUP(LOG(H199,2),0)+IF(OR($H$2=1,$H$2=2,$H$2=4,$H$2=8,$H$2=16,$H$2=32,$H$2=64,$H$2=128,$H$2=256),0,1)</f>
        <v>-3</v>
      </c>
      <c r="K199" s="81">
        <f t="shared" si="15"/>
        <v>-30</v>
      </c>
      <c r="L199" s="81"/>
      <c r="M199" s="83">
        <f t="shared" si="16"/>
        <v>0</v>
      </c>
    </row>
    <row r="200" spans="1:13" x14ac:dyDescent="0.25">
      <c r="A200" s="97"/>
      <c r="G200" s="64"/>
      <c r="H200" s="81">
        <v>195</v>
      </c>
      <c r="I200" s="82" t="str">
        <f t="shared" si="14"/>
        <v/>
      </c>
      <c r="J200" s="81">
        <f t="shared" si="17"/>
        <v>-3</v>
      </c>
      <c r="K200" s="81">
        <f t="shared" si="15"/>
        <v>-30</v>
      </c>
      <c r="L200" s="81"/>
      <c r="M200" s="83">
        <f t="shared" si="16"/>
        <v>0</v>
      </c>
    </row>
    <row r="201" spans="1:13" x14ac:dyDescent="0.25">
      <c r="A201" s="97"/>
      <c r="G201" s="64"/>
      <c r="H201" s="81">
        <v>196</v>
      </c>
      <c r="I201" s="82" t="str">
        <f t="shared" si="14"/>
        <v/>
      </c>
      <c r="J201" s="81">
        <f t="shared" si="17"/>
        <v>-3</v>
      </c>
      <c r="K201" s="81">
        <f t="shared" si="15"/>
        <v>-30</v>
      </c>
      <c r="L201" s="81"/>
      <c r="M201" s="83">
        <f t="shared" si="16"/>
        <v>0</v>
      </c>
    </row>
    <row r="202" spans="1:13" x14ac:dyDescent="0.25">
      <c r="A202" s="97"/>
      <c r="G202" s="64"/>
      <c r="H202" s="81">
        <v>197</v>
      </c>
      <c r="I202" s="82" t="str">
        <f t="shared" si="14"/>
        <v/>
      </c>
      <c r="J202" s="81">
        <f t="shared" si="17"/>
        <v>-3</v>
      </c>
      <c r="K202" s="81">
        <f t="shared" si="15"/>
        <v>-30</v>
      </c>
      <c r="L202" s="81"/>
      <c r="M202" s="83">
        <f t="shared" si="16"/>
        <v>0</v>
      </c>
    </row>
    <row r="203" spans="1:13" x14ac:dyDescent="0.25">
      <c r="A203" s="97"/>
      <c r="G203" s="64"/>
      <c r="H203" s="81">
        <v>198</v>
      </c>
      <c r="I203" s="82" t="str">
        <f t="shared" si="14"/>
        <v/>
      </c>
      <c r="J203" s="81">
        <f t="shared" si="17"/>
        <v>-3</v>
      </c>
      <c r="K203" s="81">
        <f t="shared" si="15"/>
        <v>-30</v>
      </c>
      <c r="L203" s="81"/>
      <c r="M203" s="83">
        <f t="shared" si="16"/>
        <v>0</v>
      </c>
    </row>
    <row r="204" spans="1:13" x14ac:dyDescent="0.25">
      <c r="A204" s="97"/>
      <c r="G204" s="64"/>
      <c r="H204" s="81">
        <v>199</v>
      </c>
      <c r="I204" s="82" t="str">
        <f t="shared" si="14"/>
        <v/>
      </c>
      <c r="J204" s="81">
        <f t="shared" si="17"/>
        <v>-3</v>
      </c>
      <c r="K204" s="81">
        <f t="shared" si="15"/>
        <v>-30</v>
      </c>
      <c r="L204" s="81"/>
      <c r="M204" s="83">
        <f t="shared" si="16"/>
        <v>0</v>
      </c>
    </row>
    <row r="205" spans="1:13" x14ac:dyDescent="0.25">
      <c r="A205" s="97"/>
      <c r="G205" s="64"/>
      <c r="H205" s="81">
        <v>200</v>
      </c>
      <c r="I205" s="82" t="str">
        <f t="shared" si="14"/>
        <v/>
      </c>
      <c r="J205" s="81">
        <f t="shared" si="17"/>
        <v>-3</v>
      </c>
      <c r="K205" s="81">
        <f t="shared" si="15"/>
        <v>-30</v>
      </c>
      <c r="L205" s="81"/>
      <c r="M205" s="83">
        <f t="shared" si="16"/>
        <v>0</v>
      </c>
    </row>
    <row r="206" spans="1:13" x14ac:dyDescent="0.25">
      <c r="A206" s="97"/>
      <c r="G206" s="64"/>
      <c r="H206" s="81">
        <v>201</v>
      </c>
      <c r="I206" s="82" t="str">
        <f t="shared" si="14"/>
        <v/>
      </c>
      <c r="J206" s="81">
        <f t="shared" si="17"/>
        <v>-3</v>
      </c>
      <c r="K206" s="81">
        <f t="shared" si="15"/>
        <v>-30</v>
      </c>
      <c r="L206" s="81"/>
      <c r="M206" s="83">
        <f t="shared" si="16"/>
        <v>0</v>
      </c>
    </row>
    <row r="207" spans="1:13" x14ac:dyDescent="0.25">
      <c r="A207" s="97"/>
      <c r="G207" s="64"/>
      <c r="H207" s="81">
        <v>202</v>
      </c>
      <c r="I207" s="82" t="str">
        <f t="shared" si="14"/>
        <v/>
      </c>
      <c r="J207" s="81">
        <f t="shared" si="17"/>
        <v>-3</v>
      </c>
      <c r="K207" s="81">
        <f t="shared" si="15"/>
        <v>-30</v>
      </c>
      <c r="L207" s="81"/>
      <c r="M207" s="83">
        <f t="shared" si="16"/>
        <v>0</v>
      </c>
    </row>
    <row r="208" spans="1:13" x14ac:dyDescent="0.25">
      <c r="A208" s="97"/>
      <c r="G208" s="64"/>
      <c r="H208" s="81">
        <v>203</v>
      </c>
      <c r="I208" s="82" t="str">
        <f t="shared" si="14"/>
        <v/>
      </c>
      <c r="J208" s="81">
        <f t="shared" si="17"/>
        <v>-3</v>
      </c>
      <c r="K208" s="81">
        <f t="shared" si="15"/>
        <v>-30</v>
      </c>
      <c r="L208" s="81"/>
      <c r="M208" s="83">
        <f t="shared" si="16"/>
        <v>0</v>
      </c>
    </row>
    <row r="209" spans="1:13" x14ac:dyDescent="0.25">
      <c r="A209" s="97"/>
      <c r="G209" s="64"/>
      <c r="H209" s="81">
        <v>204</v>
      </c>
      <c r="I209" s="82" t="str">
        <f t="shared" si="14"/>
        <v/>
      </c>
      <c r="J209" s="81">
        <f t="shared" si="17"/>
        <v>-3</v>
      </c>
      <c r="K209" s="81">
        <f t="shared" si="15"/>
        <v>-30</v>
      </c>
      <c r="L209" s="81"/>
      <c r="M209" s="83">
        <f t="shared" si="16"/>
        <v>0</v>
      </c>
    </row>
    <row r="210" spans="1:13" x14ac:dyDescent="0.25">
      <c r="A210" s="97"/>
      <c r="G210" s="64"/>
      <c r="H210" s="81">
        <v>205</v>
      </c>
      <c r="I210" s="82" t="str">
        <f t="shared" si="14"/>
        <v/>
      </c>
      <c r="J210" s="81">
        <f t="shared" si="17"/>
        <v>-3</v>
      </c>
      <c r="K210" s="81">
        <f t="shared" si="15"/>
        <v>-30</v>
      </c>
      <c r="L210" s="81"/>
      <c r="M210" s="83">
        <f t="shared" si="16"/>
        <v>0</v>
      </c>
    </row>
    <row r="211" spans="1:13" x14ac:dyDescent="0.25">
      <c r="A211" s="97"/>
      <c r="G211" s="64"/>
      <c r="H211" s="81">
        <v>206</v>
      </c>
      <c r="I211" s="82" t="str">
        <f t="shared" si="14"/>
        <v/>
      </c>
      <c r="J211" s="81">
        <f t="shared" si="17"/>
        <v>-3</v>
      </c>
      <c r="K211" s="81">
        <f t="shared" si="15"/>
        <v>-30</v>
      </c>
      <c r="L211" s="81"/>
      <c r="M211" s="83">
        <f t="shared" si="16"/>
        <v>0</v>
      </c>
    </row>
    <row r="212" spans="1:13" x14ac:dyDescent="0.25">
      <c r="A212" s="97"/>
      <c r="G212" s="64"/>
      <c r="H212" s="81">
        <v>207</v>
      </c>
      <c r="I212" s="82" t="str">
        <f t="shared" si="14"/>
        <v/>
      </c>
      <c r="J212" s="81">
        <f t="shared" si="17"/>
        <v>-3</v>
      </c>
      <c r="K212" s="81">
        <f t="shared" si="15"/>
        <v>-30</v>
      </c>
      <c r="L212" s="81"/>
      <c r="M212" s="83">
        <f t="shared" si="16"/>
        <v>0</v>
      </c>
    </row>
    <row r="213" spans="1:13" x14ac:dyDescent="0.25">
      <c r="A213" s="97"/>
      <c r="G213" s="64"/>
      <c r="H213" s="81">
        <v>208</v>
      </c>
      <c r="I213" s="82" t="str">
        <f t="shared" si="14"/>
        <v/>
      </c>
      <c r="J213" s="81">
        <f t="shared" si="17"/>
        <v>-3</v>
      </c>
      <c r="K213" s="81">
        <f t="shared" si="15"/>
        <v>-30</v>
      </c>
      <c r="L213" s="81"/>
      <c r="M213" s="83">
        <f t="shared" si="16"/>
        <v>0</v>
      </c>
    </row>
    <row r="214" spans="1:13" x14ac:dyDescent="0.25">
      <c r="A214" s="97"/>
      <c r="G214" s="64"/>
      <c r="H214" s="81">
        <v>209</v>
      </c>
      <c r="I214" s="82" t="str">
        <f t="shared" si="14"/>
        <v/>
      </c>
      <c r="J214" s="81">
        <f t="shared" si="17"/>
        <v>-3</v>
      </c>
      <c r="K214" s="81">
        <f t="shared" si="15"/>
        <v>-30</v>
      </c>
      <c r="L214" s="81"/>
      <c r="M214" s="83">
        <f t="shared" si="16"/>
        <v>0</v>
      </c>
    </row>
    <row r="215" spans="1:13" x14ac:dyDescent="0.25">
      <c r="A215" s="97"/>
      <c r="G215" s="64"/>
      <c r="H215" s="81">
        <v>210</v>
      </c>
      <c r="I215" s="82" t="str">
        <f t="shared" si="14"/>
        <v/>
      </c>
      <c r="J215" s="81">
        <f t="shared" si="17"/>
        <v>-3</v>
      </c>
      <c r="K215" s="81">
        <f t="shared" si="15"/>
        <v>-30</v>
      </c>
      <c r="L215" s="81"/>
      <c r="M215" s="83">
        <f t="shared" si="16"/>
        <v>0</v>
      </c>
    </row>
    <row r="216" spans="1:13" x14ac:dyDescent="0.25">
      <c r="A216" s="97"/>
      <c r="G216" s="64"/>
      <c r="H216" s="81">
        <v>211</v>
      </c>
      <c r="I216" s="82" t="str">
        <f t="shared" si="14"/>
        <v/>
      </c>
      <c r="J216" s="81">
        <f t="shared" si="17"/>
        <v>-3</v>
      </c>
      <c r="K216" s="81">
        <f t="shared" si="15"/>
        <v>-30</v>
      </c>
      <c r="L216" s="81"/>
      <c r="M216" s="83">
        <f t="shared" si="16"/>
        <v>0</v>
      </c>
    </row>
    <row r="217" spans="1:13" x14ac:dyDescent="0.25">
      <c r="A217" s="97"/>
      <c r="G217" s="64"/>
      <c r="H217" s="81">
        <v>212</v>
      </c>
      <c r="I217" s="82" t="str">
        <f t="shared" si="14"/>
        <v/>
      </c>
      <c r="J217" s="81">
        <f t="shared" si="17"/>
        <v>-3</v>
      </c>
      <c r="K217" s="81">
        <f t="shared" si="15"/>
        <v>-30</v>
      </c>
      <c r="L217" s="81"/>
      <c r="M217" s="83">
        <f t="shared" si="16"/>
        <v>0</v>
      </c>
    </row>
    <row r="218" spans="1:13" x14ac:dyDescent="0.25">
      <c r="A218" s="97"/>
      <c r="G218" s="64"/>
      <c r="H218" s="81">
        <v>213</v>
      </c>
      <c r="I218" s="82" t="str">
        <f t="shared" si="14"/>
        <v/>
      </c>
      <c r="J218" s="81">
        <f t="shared" si="17"/>
        <v>-3</v>
      </c>
      <c r="K218" s="81">
        <f t="shared" si="15"/>
        <v>-30</v>
      </c>
      <c r="L218" s="81"/>
      <c r="M218" s="83">
        <f t="shared" si="16"/>
        <v>0</v>
      </c>
    </row>
    <row r="219" spans="1:13" x14ac:dyDescent="0.25">
      <c r="A219" s="97"/>
      <c r="G219" s="64"/>
      <c r="H219" s="81">
        <v>214</v>
      </c>
      <c r="I219" s="82" t="str">
        <f t="shared" si="14"/>
        <v/>
      </c>
      <c r="J219" s="81">
        <f t="shared" si="17"/>
        <v>-3</v>
      </c>
      <c r="K219" s="81">
        <f t="shared" si="15"/>
        <v>-30</v>
      </c>
      <c r="L219" s="81"/>
      <c r="M219" s="83">
        <f t="shared" si="16"/>
        <v>0</v>
      </c>
    </row>
    <row r="220" spans="1:13" x14ac:dyDescent="0.25">
      <c r="A220" s="97"/>
      <c r="G220" s="64"/>
      <c r="H220" s="81">
        <v>215</v>
      </c>
      <c r="I220" s="82" t="str">
        <f t="shared" si="14"/>
        <v/>
      </c>
      <c r="J220" s="81">
        <f t="shared" si="17"/>
        <v>-3</v>
      </c>
      <c r="K220" s="81">
        <f t="shared" si="15"/>
        <v>-30</v>
      </c>
      <c r="L220" s="81"/>
      <c r="M220" s="83">
        <f t="shared" si="16"/>
        <v>0</v>
      </c>
    </row>
    <row r="221" spans="1:13" x14ac:dyDescent="0.25">
      <c r="A221" s="97"/>
      <c r="G221" s="64"/>
      <c r="H221" s="81">
        <v>216</v>
      </c>
      <c r="I221" s="82" t="str">
        <f t="shared" si="14"/>
        <v/>
      </c>
      <c r="J221" s="81">
        <f t="shared" si="17"/>
        <v>-3</v>
      </c>
      <c r="K221" s="81">
        <f t="shared" si="15"/>
        <v>-30</v>
      </c>
      <c r="L221" s="81"/>
      <c r="M221" s="83">
        <f t="shared" si="16"/>
        <v>0</v>
      </c>
    </row>
    <row r="222" spans="1:13" x14ac:dyDescent="0.25">
      <c r="A222" s="97"/>
      <c r="G222" s="64"/>
      <c r="H222" s="81">
        <v>217</v>
      </c>
      <c r="I222" s="82" t="str">
        <f t="shared" si="14"/>
        <v/>
      </c>
      <c r="J222" s="81">
        <f t="shared" si="17"/>
        <v>-3</v>
      </c>
      <c r="K222" s="81">
        <f t="shared" si="15"/>
        <v>-30</v>
      </c>
      <c r="L222" s="81"/>
      <c r="M222" s="83">
        <f t="shared" si="16"/>
        <v>0</v>
      </c>
    </row>
    <row r="223" spans="1:13" x14ac:dyDescent="0.25">
      <c r="A223" s="97"/>
      <c r="G223" s="64"/>
      <c r="H223" s="81">
        <v>218</v>
      </c>
      <c r="I223" s="82" t="str">
        <f t="shared" si="14"/>
        <v/>
      </c>
      <c r="J223" s="81">
        <f t="shared" si="17"/>
        <v>-3</v>
      </c>
      <c r="K223" s="81">
        <f t="shared" si="15"/>
        <v>-30</v>
      </c>
      <c r="L223" s="81"/>
      <c r="M223" s="83">
        <f t="shared" si="16"/>
        <v>0</v>
      </c>
    </row>
    <row r="224" spans="1:13" x14ac:dyDescent="0.25">
      <c r="A224" s="97"/>
      <c r="G224" s="64"/>
      <c r="H224" s="81">
        <v>219</v>
      </c>
      <c r="I224" s="82" t="str">
        <f t="shared" si="14"/>
        <v/>
      </c>
      <c r="J224" s="81">
        <f t="shared" si="17"/>
        <v>-3</v>
      </c>
      <c r="K224" s="81">
        <f t="shared" si="15"/>
        <v>-30</v>
      </c>
      <c r="L224" s="81"/>
      <c r="M224" s="83">
        <f t="shared" si="16"/>
        <v>0</v>
      </c>
    </row>
    <row r="225" spans="1:13" x14ac:dyDescent="0.25">
      <c r="A225" s="97"/>
      <c r="G225" s="64"/>
      <c r="H225" s="81">
        <v>220</v>
      </c>
      <c r="I225" s="82" t="str">
        <f t="shared" si="14"/>
        <v/>
      </c>
      <c r="J225" s="81">
        <f t="shared" si="17"/>
        <v>-3</v>
      </c>
      <c r="K225" s="81">
        <f t="shared" si="15"/>
        <v>-30</v>
      </c>
      <c r="L225" s="81"/>
      <c r="M225" s="83">
        <f t="shared" si="16"/>
        <v>0</v>
      </c>
    </row>
    <row r="226" spans="1:13" x14ac:dyDescent="0.25">
      <c r="A226" s="97"/>
      <c r="G226" s="64"/>
      <c r="H226" s="81">
        <v>221</v>
      </c>
      <c r="I226" s="82" t="str">
        <f t="shared" si="14"/>
        <v/>
      </c>
      <c r="J226" s="81">
        <f t="shared" si="17"/>
        <v>-3</v>
      </c>
      <c r="K226" s="81">
        <f t="shared" si="15"/>
        <v>-30</v>
      </c>
      <c r="L226" s="81"/>
      <c r="M226" s="83">
        <f t="shared" si="16"/>
        <v>0</v>
      </c>
    </row>
    <row r="227" spans="1:13" x14ac:dyDescent="0.25">
      <c r="A227" s="97"/>
      <c r="G227" s="64"/>
      <c r="H227" s="81">
        <v>222</v>
      </c>
      <c r="I227" s="82" t="str">
        <f t="shared" si="14"/>
        <v/>
      </c>
      <c r="J227" s="81">
        <f t="shared" si="17"/>
        <v>-3</v>
      </c>
      <c r="K227" s="81">
        <f t="shared" si="15"/>
        <v>-30</v>
      </c>
      <c r="L227" s="81"/>
      <c r="M227" s="83">
        <f t="shared" si="16"/>
        <v>0</v>
      </c>
    </row>
    <row r="228" spans="1:13" x14ac:dyDescent="0.25">
      <c r="A228" s="97"/>
      <c r="G228" s="64"/>
      <c r="H228" s="81">
        <v>223</v>
      </c>
      <c r="I228" s="82" t="str">
        <f t="shared" si="14"/>
        <v/>
      </c>
      <c r="J228" s="81">
        <f t="shared" si="17"/>
        <v>-3</v>
      </c>
      <c r="K228" s="81">
        <f t="shared" si="15"/>
        <v>-30</v>
      </c>
      <c r="L228" s="81"/>
      <c r="M228" s="83">
        <f t="shared" si="16"/>
        <v>0</v>
      </c>
    </row>
    <row r="229" spans="1:13" x14ac:dyDescent="0.25">
      <c r="A229" s="97"/>
      <c r="G229" s="64"/>
      <c r="H229" s="81">
        <v>224</v>
      </c>
      <c r="I229" s="82" t="str">
        <f t="shared" si="14"/>
        <v/>
      </c>
      <c r="J229" s="81">
        <f t="shared" si="17"/>
        <v>-3</v>
      </c>
      <c r="K229" s="81">
        <f t="shared" si="15"/>
        <v>-30</v>
      </c>
      <c r="L229" s="81"/>
      <c r="M229" s="83">
        <f t="shared" si="16"/>
        <v>0</v>
      </c>
    </row>
    <row r="230" spans="1:13" x14ac:dyDescent="0.25">
      <c r="A230" s="97"/>
      <c r="G230" s="64"/>
      <c r="H230" s="81">
        <v>225</v>
      </c>
      <c r="I230" s="82" t="str">
        <f t="shared" si="14"/>
        <v/>
      </c>
      <c r="J230" s="81">
        <f t="shared" si="17"/>
        <v>-3</v>
      </c>
      <c r="K230" s="81">
        <f t="shared" si="15"/>
        <v>-30</v>
      </c>
      <c r="L230" s="81"/>
      <c r="M230" s="83">
        <f t="shared" si="16"/>
        <v>0</v>
      </c>
    </row>
    <row r="231" spans="1:13" x14ac:dyDescent="0.25">
      <c r="A231" s="97"/>
      <c r="G231" s="64"/>
      <c r="H231" s="81">
        <v>226</v>
      </c>
      <c r="I231" s="82" t="str">
        <f t="shared" si="14"/>
        <v/>
      </c>
      <c r="J231" s="81">
        <f t="shared" si="17"/>
        <v>-3</v>
      </c>
      <c r="K231" s="81">
        <f t="shared" si="15"/>
        <v>-30</v>
      </c>
      <c r="L231" s="81"/>
      <c r="M231" s="83">
        <f t="shared" si="16"/>
        <v>0</v>
      </c>
    </row>
    <row r="232" spans="1:13" x14ac:dyDescent="0.25">
      <c r="A232" s="97"/>
      <c r="G232" s="64"/>
      <c r="H232" s="81">
        <v>227</v>
      </c>
      <c r="I232" s="82" t="str">
        <f t="shared" si="14"/>
        <v/>
      </c>
      <c r="J232" s="81">
        <f t="shared" si="17"/>
        <v>-3</v>
      </c>
      <c r="K232" s="81">
        <f t="shared" si="15"/>
        <v>-30</v>
      </c>
      <c r="L232" s="81"/>
      <c r="M232" s="83">
        <f t="shared" si="16"/>
        <v>0</v>
      </c>
    </row>
    <row r="233" spans="1:13" x14ac:dyDescent="0.25">
      <c r="A233" s="97"/>
      <c r="G233" s="64"/>
      <c r="H233" s="81">
        <v>228</v>
      </c>
      <c r="I233" s="82" t="str">
        <f t="shared" si="14"/>
        <v/>
      </c>
      <c r="J233" s="81">
        <f t="shared" si="17"/>
        <v>-3</v>
      </c>
      <c r="K233" s="81">
        <f t="shared" si="15"/>
        <v>-30</v>
      </c>
      <c r="L233" s="81"/>
      <c r="M233" s="83">
        <f t="shared" si="16"/>
        <v>0</v>
      </c>
    </row>
    <row r="234" spans="1:13" x14ac:dyDescent="0.25">
      <c r="A234" s="97"/>
      <c r="G234" s="64"/>
      <c r="H234" s="81">
        <v>229</v>
      </c>
      <c r="I234" s="82" t="str">
        <f t="shared" si="14"/>
        <v/>
      </c>
      <c r="J234" s="81">
        <f t="shared" si="17"/>
        <v>-3</v>
      </c>
      <c r="K234" s="81">
        <f t="shared" si="15"/>
        <v>-30</v>
      </c>
      <c r="L234" s="81"/>
      <c r="M234" s="83">
        <f t="shared" si="16"/>
        <v>0</v>
      </c>
    </row>
    <row r="235" spans="1:13" x14ac:dyDescent="0.25">
      <c r="A235" s="97"/>
      <c r="G235" s="64"/>
      <c r="H235" s="81">
        <v>230</v>
      </c>
      <c r="I235" s="82" t="str">
        <f t="shared" si="14"/>
        <v/>
      </c>
      <c r="J235" s="81">
        <f t="shared" si="17"/>
        <v>-3</v>
      </c>
      <c r="K235" s="81">
        <f t="shared" si="15"/>
        <v>-30</v>
      </c>
      <c r="L235" s="81"/>
      <c r="M235" s="83">
        <f t="shared" si="16"/>
        <v>0</v>
      </c>
    </row>
    <row r="236" spans="1:13" x14ac:dyDescent="0.25">
      <c r="A236" s="97"/>
      <c r="G236" s="64"/>
      <c r="H236" s="81">
        <v>231</v>
      </c>
      <c r="I236" s="82" t="str">
        <f t="shared" si="14"/>
        <v/>
      </c>
      <c r="J236" s="81">
        <f t="shared" si="17"/>
        <v>-3</v>
      </c>
      <c r="K236" s="81">
        <f t="shared" si="15"/>
        <v>-30</v>
      </c>
      <c r="L236" s="81"/>
      <c r="M236" s="83">
        <f t="shared" si="16"/>
        <v>0</v>
      </c>
    </row>
    <row r="237" spans="1:13" x14ac:dyDescent="0.25">
      <c r="A237" s="97"/>
      <c r="G237" s="64"/>
      <c r="H237" s="81">
        <v>232</v>
      </c>
      <c r="I237" s="82" t="str">
        <f t="shared" si="14"/>
        <v/>
      </c>
      <c r="J237" s="81">
        <f t="shared" si="17"/>
        <v>-3</v>
      </c>
      <c r="K237" s="81">
        <f t="shared" si="15"/>
        <v>-30</v>
      </c>
      <c r="L237" s="81"/>
      <c r="M237" s="83">
        <f t="shared" si="16"/>
        <v>0</v>
      </c>
    </row>
    <row r="238" spans="1:13" x14ac:dyDescent="0.25">
      <c r="A238" s="97"/>
      <c r="G238" s="64"/>
      <c r="H238" s="81">
        <v>233</v>
      </c>
      <c r="I238" s="82" t="str">
        <f t="shared" si="14"/>
        <v/>
      </c>
      <c r="J238" s="81">
        <f t="shared" si="17"/>
        <v>-3</v>
      </c>
      <c r="K238" s="81">
        <f t="shared" si="15"/>
        <v>-30</v>
      </c>
      <c r="L238" s="81"/>
      <c r="M238" s="83">
        <f t="shared" si="16"/>
        <v>0</v>
      </c>
    </row>
    <row r="239" spans="1:13" x14ac:dyDescent="0.25">
      <c r="A239" s="97"/>
      <c r="G239" s="64"/>
      <c r="H239" s="81">
        <v>234</v>
      </c>
      <c r="I239" s="82" t="str">
        <f t="shared" si="14"/>
        <v/>
      </c>
      <c r="J239" s="81">
        <f t="shared" si="17"/>
        <v>-3</v>
      </c>
      <c r="K239" s="81">
        <f t="shared" si="15"/>
        <v>-30</v>
      </c>
      <c r="L239" s="81"/>
      <c r="M239" s="83">
        <f t="shared" si="16"/>
        <v>0</v>
      </c>
    </row>
    <row r="240" spans="1:13" x14ac:dyDescent="0.25">
      <c r="A240" s="97"/>
      <c r="G240" s="64"/>
      <c r="H240" s="81">
        <v>235</v>
      </c>
      <c r="I240" s="82" t="str">
        <f t="shared" si="14"/>
        <v/>
      </c>
      <c r="J240" s="81">
        <f t="shared" si="17"/>
        <v>-3</v>
      </c>
      <c r="K240" s="81">
        <f t="shared" si="15"/>
        <v>-30</v>
      </c>
      <c r="L240" s="81"/>
      <c r="M240" s="83">
        <f t="shared" si="16"/>
        <v>0</v>
      </c>
    </row>
    <row r="241" spans="1:13" x14ac:dyDescent="0.25">
      <c r="A241" s="97"/>
      <c r="G241" s="64"/>
      <c r="H241" s="81">
        <v>236</v>
      </c>
      <c r="I241" s="82" t="str">
        <f t="shared" si="14"/>
        <v/>
      </c>
      <c r="J241" s="81">
        <f t="shared" si="17"/>
        <v>-3</v>
      </c>
      <c r="K241" s="81">
        <f t="shared" si="15"/>
        <v>-30</v>
      </c>
      <c r="L241" s="81"/>
      <c r="M241" s="83">
        <f t="shared" si="16"/>
        <v>0</v>
      </c>
    </row>
    <row r="242" spans="1:13" x14ac:dyDescent="0.25">
      <c r="A242" s="97"/>
      <c r="G242" s="64"/>
      <c r="H242" s="81">
        <v>237</v>
      </c>
      <c r="I242" s="82" t="str">
        <f t="shared" si="14"/>
        <v/>
      </c>
      <c r="J242" s="81">
        <f t="shared" si="17"/>
        <v>-3</v>
      </c>
      <c r="K242" s="81">
        <f t="shared" si="15"/>
        <v>-30</v>
      </c>
      <c r="L242" s="81"/>
      <c r="M242" s="83">
        <f t="shared" si="16"/>
        <v>0</v>
      </c>
    </row>
    <row r="243" spans="1:13" x14ac:dyDescent="0.25">
      <c r="A243" s="97"/>
      <c r="G243" s="64"/>
      <c r="H243" s="81">
        <v>238</v>
      </c>
      <c r="I243" s="82" t="str">
        <f t="shared" si="14"/>
        <v/>
      </c>
      <c r="J243" s="81">
        <f t="shared" si="17"/>
        <v>-3</v>
      </c>
      <c r="K243" s="81">
        <f t="shared" si="15"/>
        <v>-30</v>
      </c>
      <c r="L243" s="81"/>
      <c r="M243" s="83">
        <f t="shared" si="16"/>
        <v>0</v>
      </c>
    </row>
    <row r="244" spans="1:13" x14ac:dyDescent="0.25">
      <c r="A244" s="97"/>
      <c r="G244" s="64"/>
      <c r="H244" s="81">
        <v>239</v>
      </c>
      <c r="I244" s="82" t="str">
        <f t="shared" si="14"/>
        <v/>
      </c>
      <c r="J244" s="81">
        <f t="shared" si="17"/>
        <v>-3</v>
      </c>
      <c r="K244" s="81">
        <f t="shared" si="15"/>
        <v>-30</v>
      </c>
      <c r="L244" s="81"/>
      <c r="M244" s="83">
        <f t="shared" si="16"/>
        <v>0</v>
      </c>
    </row>
    <row r="245" spans="1:13" x14ac:dyDescent="0.25">
      <c r="A245" s="97"/>
      <c r="G245" s="64"/>
      <c r="H245" s="81">
        <v>240</v>
      </c>
      <c r="I245" s="82" t="str">
        <f t="shared" si="14"/>
        <v/>
      </c>
      <c r="J245" s="81">
        <f t="shared" si="17"/>
        <v>-3</v>
      </c>
      <c r="K245" s="81">
        <f t="shared" si="15"/>
        <v>-30</v>
      </c>
      <c r="L245" s="81"/>
      <c r="M245" s="83">
        <f t="shared" si="16"/>
        <v>0</v>
      </c>
    </row>
    <row r="246" spans="1:13" x14ac:dyDescent="0.25">
      <c r="A246" s="97"/>
      <c r="G246" s="64"/>
      <c r="H246" s="81">
        <v>241</v>
      </c>
      <c r="I246" s="82" t="str">
        <f t="shared" si="14"/>
        <v/>
      </c>
      <c r="J246" s="81">
        <f t="shared" si="17"/>
        <v>-3</v>
      </c>
      <c r="K246" s="81">
        <f t="shared" si="15"/>
        <v>-30</v>
      </c>
      <c r="L246" s="81"/>
      <c r="M246" s="83">
        <f t="shared" si="16"/>
        <v>0</v>
      </c>
    </row>
    <row r="247" spans="1:13" x14ac:dyDescent="0.25">
      <c r="A247" s="97"/>
      <c r="G247" s="64"/>
      <c r="H247" s="81">
        <v>242</v>
      </c>
      <c r="I247" s="82" t="str">
        <f t="shared" si="14"/>
        <v/>
      </c>
      <c r="J247" s="81">
        <f t="shared" si="17"/>
        <v>-3</v>
      </c>
      <c r="K247" s="81">
        <f t="shared" si="15"/>
        <v>-30</v>
      </c>
      <c r="L247" s="81"/>
      <c r="M247" s="83">
        <f t="shared" si="16"/>
        <v>0</v>
      </c>
    </row>
    <row r="248" spans="1:13" x14ac:dyDescent="0.25">
      <c r="A248" s="97"/>
      <c r="G248" s="64"/>
      <c r="H248" s="81">
        <v>243</v>
      </c>
      <c r="I248" s="82" t="str">
        <f t="shared" si="14"/>
        <v/>
      </c>
      <c r="J248" s="81">
        <f t="shared" si="17"/>
        <v>-3</v>
      </c>
      <c r="K248" s="81">
        <f t="shared" si="15"/>
        <v>-30</v>
      </c>
      <c r="L248" s="81"/>
      <c r="M248" s="83">
        <f t="shared" si="16"/>
        <v>0</v>
      </c>
    </row>
    <row r="249" spans="1:13" x14ac:dyDescent="0.25">
      <c r="A249" s="97"/>
      <c r="G249" s="64"/>
      <c r="H249" s="81">
        <v>244</v>
      </c>
      <c r="I249" s="82" t="str">
        <f t="shared" si="14"/>
        <v/>
      </c>
      <c r="J249" s="81">
        <f t="shared" si="17"/>
        <v>-3</v>
      </c>
      <c r="K249" s="81">
        <f t="shared" si="15"/>
        <v>-30</v>
      </c>
      <c r="L249" s="81"/>
      <c r="M249" s="83">
        <f t="shared" si="16"/>
        <v>0</v>
      </c>
    </row>
    <row r="250" spans="1:13" x14ac:dyDescent="0.25">
      <c r="A250" s="97"/>
      <c r="G250" s="64"/>
      <c r="H250" s="81">
        <v>245</v>
      </c>
      <c r="I250" s="82" t="str">
        <f t="shared" si="14"/>
        <v/>
      </c>
      <c r="J250" s="81">
        <f t="shared" si="17"/>
        <v>-3</v>
      </c>
      <c r="K250" s="81">
        <f t="shared" si="15"/>
        <v>-30</v>
      </c>
      <c r="L250" s="81"/>
      <c r="M250" s="83">
        <f t="shared" si="16"/>
        <v>0</v>
      </c>
    </row>
    <row r="251" spans="1:13" x14ac:dyDescent="0.25">
      <c r="A251" s="97"/>
      <c r="G251" s="64"/>
      <c r="H251" s="81">
        <v>246</v>
      </c>
      <c r="I251" s="82" t="str">
        <f t="shared" si="14"/>
        <v/>
      </c>
      <c r="J251" s="81">
        <f t="shared" si="17"/>
        <v>-3</v>
      </c>
      <c r="K251" s="81">
        <f t="shared" si="15"/>
        <v>-30</v>
      </c>
      <c r="L251" s="81"/>
      <c r="M251" s="83">
        <f t="shared" si="16"/>
        <v>0</v>
      </c>
    </row>
    <row r="252" spans="1:13" x14ac:dyDescent="0.25">
      <c r="A252" s="97"/>
      <c r="G252" s="64"/>
      <c r="H252" s="81">
        <v>247</v>
      </c>
      <c r="I252" s="82" t="str">
        <f t="shared" si="14"/>
        <v/>
      </c>
      <c r="J252" s="81">
        <f t="shared" si="17"/>
        <v>-3</v>
      </c>
      <c r="K252" s="81">
        <f t="shared" si="15"/>
        <v>-30</v>
      </c>
      <c r="L252" s="81"/>
      <c r="M252" s="83">
        <f t="shared" si="16"/>
        <v>0</v>
      </c>
    </row>
    <row r="253" spans="1:13" x14ac:dyDescent="0.25">
      <c r="A253" s="97"/>
      <c r="G253" s="64"/>
      <c r="H253" s="81">
        <v>248</v>
      </c>
      <c r="I253" s="82" t="str">
        <f t="shared" si="14"/>
        <v/>
      </c>
      <c r="J253" s="81">
        <f t="shared" si="17"/>
        <v>-3</v>
      </c>
      <c r="K253" s="81">
        <f t="shared" si="15"/>
        <v>-30</v>
      </c>
      <c r="L253" s="81"/>
      <c r="M253" s="83">
        <f t="shared" si="16"/>
        <v>0</v>
      </c>
    </row>
    <row r="254" spans="1:13" x14ac:dyDescent="0.25">
      <c r="A254" s="97"/>
      <c r="G254" s="64"/>
      <c r="H254" s="81">
        <v>249</v>
      </c>
      <c r="I254" s="82" t="str">
        <f t="shared" si="14"/>
        <v/>
      </c>
      <c r="J254" s="81">
        <f t="shared" si="17"/>
        <v>-3</v>
      </c>
      <c r="K254" s="81">
        <f t="shared" si="15"/>
        <v>-30</v>
      </c>
      <c r="L254" s="81"/>
      <c r="M254" s="83">
        <f t="shared" si="16"/>
        <v>0</v>
      </c>
    </row>
    <row r="255" spans="1:13" x14ac:dyDescent="0.25">
      <c r="A255" s="97"/>
      <c r="G255" s="64"/>
      <c r="H255" s="81">
        <v>250</v>
      </c>
      <c r="I255" s="82" t="str">
        <f t="shared" si="14"/>
        <v/>
      </c>
      <c r="J255" s="81">
        <f t="shared" si="17"/>
        <v>-3</v>
      </c>
      <c r="K255" s="81">
        <f t="shared" si="15"/>
        <v>-30</v>
      </c>
      <c r="L255" s="81"/>
      <c r="M255" s="83">
        <f t="shared" si="16"/>
        <v>0</v>
      </c>
    </row>
    <row r="256" spans="1:13" x14ac:dyDescent="0.25">
      <c r="A256" s="97"/>
      <c r="G256" s="64"/>
      <c r="H256" s="81">
        <v>251</v>
      </c>
      <c r="I256" s="82" t="str">
        <f t="shared" si="14"/>
        <v/>
      </c>
      <c r="J256" s="81">
        <f t="shared" si="17"/>
        <v>-3</v>
      </c>
      <c r="K256" s="81">
        <f t="shared" si="15"/>
        <v>-30</v>
      </c>
      <c r="L256" s="81"/>
      <c r="M256" s="83">
        <f t="shared" si="16"/>
        <v>0</v>
      </c>
    </row>
    <row r="257" spans="1:13" x14ac:dyDescent="0.25">
      <c r="A257" s="97"/>
      <c r="G257" s="64"/>
      <c r="H257" s="81">
        <v>252</v>
      </c>
      <c r="I257" s="82" t="str">
        <f t="shared" si="14"/>
        <v/>
      </c>
      <c r="J257" s="81">
        <f t="shared" si="17"/>
        <v>-3</v>
      </c>
      <c r="K257" s="81">
        <f t="shared" si="15"/>
        <v>-30</v>
      </c>
      <c r="L257" s="81"/>
      <c r="M257" s="83">
        <f t="shared" si="16"/>
        <v>0</v>
      </c>
    </row>
    <row r="258" spans="1:13" x14ac:dyDescent="0.25">
      <c r="A258" s="97"/>
      <c r="G258" s="64"/>
      <c r="H258" s="81">
        <v>253</v>
      </c>
      <c r="I258" s="82" t="str">
        <f t="shared" si="14"/>
        <v/>
      </c>
      <c r="J258" s="81">
        <f t="shared" si="17"/>
        <v>-3</v>
      </c>
      <c r="K258" s="81">
        <f t="shared" si="15"/>
        <v>-30</v>
      </c>
      <c r="L258" s="81"/>
      <c r="M258" s="83">
        <f t="shared" si="16"/>
        <v>0</v>
      </c>
    </row>
    <row r="259" spans="1:13" x14ac:dyDescent="0.25">
      <c r="A259" s="97"/>
      <c r="G259" s="64"/>
      <c r="H259" s="81">
        <v>254</v>
      </c>
      <c r="I259" s="82" t="str">
        <f t="shared" si="14"/>
        <v/>
      </c>
      <c r="J259" s="81">
        <f t="shared" si="17"/>
        <v>-3</v>
      </c>
      <c r="K259" s="81">
        <f t="shared" si="15"/>
        <v>-30</v>
      </c>
      <c r="L259" s="81"/>
      <c r="M259" s="83">
        <f t="shared" si="16"/>
        <v>0</v>
      </c>
    </row>
    <row r="260" spans="1:13" x14ac:dyDescent="0.25">
      <c r="A260" s="97"/>
      <c r="G260" s="64"/>
      <c r="H260" s="81">
        <v>255</v>
      </c>
      <c r="I260" s="82" t="str">
        <f t="shared" si="14"/>
        <v/>
      </c>
      <c r="J260" s="81">
        <f t="shared" si="17"/>
        <v>-3</v>
      </c>
      <c r="K260" s="81">
        <f t="shared" si="15"/>
        <v>-30</v>
      </c>
      <c r="L260" s="81"/>
      <c r="M260" s="83">
        <f t="shared" si="16"/>
        <v>0</v>
      </c>
    </row>
    <row r="261" spans="1:13" x14ac:dyDescent="0.25">
      <c r="A261" s="97"/>
      <c r="G261" s="64"/>
      <c r="H261" s="81">
        <v>256</v>
      </c>
      <c r="I261" s="82" t="str">
        <f t="shared" si="14"/>
        <v/>
      </c>
      <c r="J261" s="81">
        <f t="shared" si="17"/>
        <v>-3</v>
      </c>
      <c r="K261" s="81">
        <f t="shared" si="15"/>
        <v>-30</v>
      </c>
      <c r="L261" s="81"/>
      <c r="M261" s="83">
        <f t="shared" si="16"/>
        <v>0</v>
      </c>
    </row>
    <row r="262" spans="1:13" x14ac:dyDescent="0.25">
      <c r="A262" s="97"/>
      <c r="G262" s="64"/>
      <c r="H262" s="81">
        <v>257</v>
      </c>
      <c r="I262" s="82" t="str">
        <f t="shared" ref="I262:I305" si="18">IF(H262&lt;$H$2+1,($I$2-($I$2-1)*(LOG(H262)/LOG($H$2))),"")</f>
        <v/>
      </c>
      <c r="J262" s="81">
        <f t="shared" si="17"/>
        <v>-4</v>
      </c>
      <c r="K262" s="81">
        <f t="shared" ref="K262:K305" si="19">J262*$J$2</f>
        <v>-40</v>
      </c>
      <c r="L262" s="81"/>
      <c r="M262" s="83">
        <f t="shared" ref="M262:M305" si="20">IF(I262&lt;&gt;"",K262+I262+L262,0)</f>
        <v>0</v>
      </c>
    </row>
    <row r="263" spans="1:13" x14ac:dyDescent="0.25">
      <c r="A263" s="97"/>
      <c r="G263" s="64"/>
      <c r="H263" s="81">
        <v>258</v>
      </c>
      <c r="I263" s="82" t="str">
        <f t="shared" si="18"/>
        <v/>
      </c>
      <c r="J263" s="81">
        <f t="shared" ref="J263:J305" si="21">INT(LOG($H$2,2))-ROUNDUP(LOG(H263,2),0)+IF(OR($H$2=1,$H$2=2,$H$2=4,$H$2=8,$H$2=16,$H$2=32,$H$2=64,$H$2=128,$H$2=256),0,1)</f>
        <v>-4</v>
      </c>
      <c r="K263" s="81">
        <f t="shared" si="19"/>
        <v>-40</v>
      </c>
      <c r="L263" s="81"/>
      <c r="M263" s="83">
        <f t="shared" si="20"/>
        <v>0</v>
      </c>
    </row>
    <row r="264" spans="1:13" x14ac:dyDescent="0.25">
      <c r="A264" s="97"/>
      <c r="G264" s="64"/>
      <c r="H264" s="81">
        <v>259</v>
      </c>
      <c r="I264" s="82" t="str">
        <f t="shared" si="18"/>
        <v/>
      </c>
      <c r="J264" s="81">
        <f t="shared" si="21"/>
        <v>-4</v>
      </c>
      <c r="K264" s="81">
        <f t="shared" si="19"/>
        <v>-40</v>
      </c>
      <c r="L264" s="81"/>
      <c r="M264" s="83">
        <f t="shared" si="20"/>
        <v>0</v>
      </c>
    </row>
    <row r="265" spans="1:13" x14ac:dyDescent="0.25">
      <c r="A265" s="97"/>
      <c r="G265" s="64"/>
      <c r="H265" s="81">
        <v>260</v>
      </c>
      <c r="I265" s="82" t="str">
        <f t="shared" si="18"/>
        <v/>
      </c>
      <c r="J265" s="81">
        <f t="shared" si="21"/>
        <v>-4</v>
      </c>
      <c r="K265" s="81">
        <f t="shared" si="19"/>
        <v>-40</v>
      </c>
      <c r="L265" s="81"/>
      <c r="M265" s="83">
        <f t="shared" si="20"/>
        <v>0</v>
      </c>
    </row>
    <row r="266" spans="1:13" x14ac:dyDescent="0.25">
      <c r="A266" s="97"/>
      <c r="G266" s="64"/>
      <c r="H266" s="81">
        <v>261</v>
      </c>
      <c r="I266" s="82" t="str">
        <f t="shared" si="18"/>
        <v/>
      </c>
      <c r="J266" s="81">
        <f t="shared" si="21"/>
        <v>-4</v>
      </c>
      <c r="K266" s="81">
        <f t="shared" si="19"/>
        <v>-40</v>
      </c>
      <c r="L266" s="81"/>
      <c r="M266" s="83">
        <f t="shared" si="20"/>
        <v>0</v>
      </c>
    </row>
    <row r="267" spans="1:13" x14ac:dyDescent="0.25">
      <c r="A267" s="97"/>
      <c r="G267" s="64"/>
      <c r="H267" s="81">
        <v>262</v>
      </c>
      <c r="I267" s="82" t="str">
        <f t="shared" si="18"/>
        <v/>
      </c>
      <c r="J267" s="81">
        <f t="shared" si="21"/>
        <v>-4</v>
      </c>
      <c r="K267" s="81">
        <f t="shared" si="19"/>
        <v>-40</v>
      </c>
      <c r="L267" s="81"/>
      <c r="M267" s="83">
        <f t="shared" si="20"/>
        <v>0</v>
      </c>
    </row>
    <row r="268" spans="1:13" x14ac:dyDescent="0.25">
      <c r="A268" s="97"/>
      <c r="G268" s="64"/>
      <c r="H268" s="81">
        <v>263</v>
      </c>
      <c r="I268" s="82" t="str">
        <f t="shared" si="18"/>
        <v/>
      </c>
      <c r="J268" s="81">
        <f t="shared" si="21"/>
        <v>-4</v>
      </c>
      <c r="K268" s="81">
        <f t="shared" si="19"/>
        <v>-40</v>
      </c>
      <c r="L268" s="81"/>
      <c r="M268" s="83">
        <f t="shared" si="20"/>
        <v>0</v>
      </c>
    </row>
    <row r="269" spans="1:13" x14ac:dyDescent="0.25">
      <c r="A269" s="97"/>
      <c r="G269" s="64"/>
      <c r="H269" s="81">
        <v>264</v>
      </c>
      <c r="I269" s="82" t="str">
        <f t="shared" si="18"/>
        <v/>
      </c>
      <c r="J269" s="81">
        <f t="shared" si="21"/>
        <v>-4</v>
      </c>
      <c r="K269" s="81">
        <f t="shared" si="19"/>
        <v>-40</v>
      </c>
      <c r="L269" s="81"/>
      <c r="M269" s="83">
        <f t="shared" si="20"/>
        <v>0</v>
      </c>
    </row>
    <row r="270" spans="1:13" x14ac:dyDescent="0.25">
      <c r="A270" s="97"/>
      <c r="G270" s="64"/>
      <c r="H270" s="81">
        <v>265</v>
      </c>
      <c r="I270" s="82" t="str">
        <f t="shared" si="18"/>
        <v/>
      </c>
      <c r="J270" s="81">
        <f t="shared" si="21"/>
        <v>-4</v>
      </c>
      <c r="K270" s="81">
        <f t="shared" si="19"/>
        <v>-40</v>
      </c>
      <c r="L270" s="81"/>
      <c r="M270" s="83">
        <f t="shared" si="20"/>
        <v>0</v>
      </c>
    </row>
    <row r="271" spans="1:13" x14ac:dyDescent="0.25">
      <c r="A271" s="97"/>
      <c r="G271" s="64"/>
      <c r="H271" s="81">
        <v>266</v>
      </c>
      <c r="I271" s="82" t="str">
        <f t="shared" si="18"/>
        <v/>
      </c>
      <c r="J271" s="81">
        <f t="shared" si="21"/>
        <v>-4</v>
      </c>
      <c r="K271" s="81">
        <f t="shared" si="19"/>
        <v>-40</v>
      </c>
      <c r="L271" s="81"/>
      <c r="M271" s="83">
        <f t="shared" si="20"/>
        <v>0</v>
      </c>
    </row>
    <row r="272" spans="1:13" x14ac:dyDescent="0.25">
      <c r="A272" s="97"/>
      <c r="G272" s="64"/>
      <c r="H272" s="81">
        <v>267</v>
      </c>
      <c r="I272" s="82" t="str">
        <f t="shared" si="18"/>
        <v/>
      </c>
      <c r="J272" s="81">
        <f t="shared" si="21"/>
        <v>-4</v>
      </c>
      <c r="K272" s="81">
        <f t="shared" si="19"/>
        <v>-40</v>
      </c>
      <c r="L272" s="81"/>
      <c r="M272" s="83">
        <f t="shared" si="20"/>
        <v>0</v>
      </c>
    </row>
    <row r="273" spans="1:13" x14ac:dyDescent="0.25">
      <c r="A273" s="97"/>
      <c r="G273" s="64"/>
      <c r="H273" s="81">
        <v>268</v>
      </c>
      <c r="I273" s="82" t="str">
        <f t="shared" si="18"/>
        <v/>
      </c>
      <c r="J273" s="81">
        <f t="shared" si="21"/>
        <v>-4</v>
      </c>
      <c r="K273" s="81">
        <f t="shared" si="19"/>
        <v>-40</v>
      </c>
      <c r="L273" s="81"/>
      <c r="M273" s="83">
        <f t="shared" si="20"/>
        <v>0</v>
      </c>
    </row>
    <row r="274" spans="1:13" x14ac:dyDescent="0.25">
      <c r="A274" s="97"/>
      <c r="G274" s="64"/>
      <c r="H274" s="81">
        <v>269</v>
      </c>
      <c r="I274" s="82" t="str">
        <f t="shared" si="18"/>
        <v/>
      </c>
      <c r="J274" s="81">
        <f t="shared" si="21"/>
        <v>-4</v>
      </c>
      <c r="K274" s="81">
        <f t="shared" si="19"/>
        <v>-40</v>
      </c>
      <c r="L274" s="81"/>
      <c r="M274" s="83">
        <f t="shared" si="20"/>
        <v>0</v>
      </c>
    </row>
    <row r="275" spans="1:13" x14ac:dyDescent="0.25">
      <c r="A275" s="97"/>
      <c r="G275" s="64"/>
      <c r="H275" s="81">
        <v>270</v>
      </c>
      <c r="I275" s="82" t="str">
        <f t="shared" si="18"/>
        <v/>
      </c>
      <c r="J275" s="81">
        <f t="shared" si="21"/>
        <v>-4</v>
      </c>
      <c r="K275" s="81">
        <f t="shared" si="19"/>
        <v>-40</v>
      </c>
      <c r="L275" s="81"/>
      <c r="M275" s="83">
        <f t="shared" si="20"/>
        <v>0</v>
      </c>
    </row>
    <row r="276" spans="1:13" x14ac:dyDescent="0.25">
      <c r="A276" s="97"/>
      <c r="G276" s="64"/>
      <c r="H276" s="81">
        <v>271</v>
      </c>
      <c r="I276" s="82" t="str">
        <f t="shared" si="18"/>
        <v/>
      </c>
      <c r="J276" s="81">
        <f t="shared" si="21"/>
        <v>-4</v>
      </c>
      <c r="K276" s="81">
        <f t="shared" si="19"/>
        <v>-40</v>
      </c>
      <c r="L276" s="81"/>
      <c r="M276" s="83">
        <f t="shared" si="20"/>
        <v>0</v>
      </c>
    </row>
    <row r="277" spans="1:13" x14ac:dyDescent="0.25">
      <c r="A277" s="97"/>
      <c r="G277" s="64"/>
      <c r="H277" s="81">
        <v>272</v>
      </c>
      <c r="I277" s="82" t="str">
        <f t="shared" si="18"/>
        <v/>
      </c>
      <c r="J277" s="81">
        <f t="shared" si="21"/>
        <v>-4</v>
      </c>
      <c r="K277" s="81">
        <f t="shared" si="19"/>
        <v>-40</v>
      </c>
      <c r="L277" s="81"/>
      <c r="M277" s="83">
        <f t="shared" si="20"/>
        <v>0</v>
      </c>
    </row>
    <row r="278" spans="1:13" x14ac:dyDescent="0.25">
      <c r="A278" s="97"/>
      <c r="G278" s="64"/>
      <c r="H278" s="81">
        <v>273</v>
      </c>
      <c r="I278" s="82" t="str">
        <f t="shared" si="18"/>
        <v/>
      </c>
      <c r="J278" s="81">
        <f t="shared" si="21"/>
        <v>-4</v>
      </c>
      <c r="K278" s="81">
        <f t="shared" si="19"/>
        <v>-40</v>
      </c>
      <c r="L278" s="81"/>
      <c r="M278" s="83">
        <f t="shared" si="20"/>
        <v>0</v>
      </c>
    </row>
    <row r="279" spans="1:13" x14ac:dyDescent="0.25">
      <c r="A279" s="97"/>
      <c r="G279" s="64"/>
      <c r="H279" s="81">
        <v>274</v>
      </c>
      <c r="I279" s="82" t="str">
        <f t="shared" si="18"/>
        <v/>
      </c>
      <c r="J279" s="81">
        <f t="shared" si="21"/>
        <v>-4</v>
      </c>
      <c r="K279" s="81">
        <f t="shared" si="19"/>
        <v>-40</v>
      </c>
      <c r="L279" s="81"/>
      <c r="M279" s="83">
        <f t="shared" si="20"/>
        <v>0</v>
      </c>
    </row>
    <row r="280" spans="1:13" x14ac:dyDescent="0.25">
      <c r="A280" s="97"/>
      <c r="G280" s="64"/>
      <c r="H280" s="81">
        <v>275</v>
      </c>
      <c r="I280" s="82" t="str">
        <f t="shared" si="18"/>
        <v/>
      </c>
      <c r="J280" s="81">
        <f t="shared" si="21"/>
        <v>-4</v>
      </c>
      <c r="K280" s="81">
        <f t="shared" si="19"/>
        <v>-40</v>
      </c>
      <c r="L280" s="81"/>
      <c r="M280" s="83">
        <f t="shared" si="20"/>
        <v>0</v>
      </c>
    </row>
    <row r="281" spans="1:13" x14ac:dyDescent="0.25">
      <c r="A281" s="97"/>
      <c r="G281" s="64"/>
      <c r="H281" s="81">
        <v>276</v>
      </c>
      <c r="I281" s="82" t="str">
        <f t="shared" si="18"/>
        <v/>
      </c>
      <c r="J281" s="81">
        <f t="shared" si="21"/>
        <v>-4</v>
      </c>
      <c r="K281" s="81">
        <f t="shared" si="19"/>
        <v>-40</v>
      </c>
      <c r="L281" s="81"/>
      <c r="M281" s="83">
        <f t="shared" si="20"/>
        <v>0</v>
      </c>
    </row>
    <row r="282" spans="1:13" x14ac:dyDescent="0.25">
      <c r="A282" s="97"/>
      <c r="G282" s="64"/>
      <c r="H282" s="81">
        <v>277</v>
      </c>
      <c r="I282" s="82" t="str">
        <f t="shared" si="18"/>
        <v/>
      </c>
      <c r="J282" s="81">
        <f t="shared" si="21"/>
        <v>-4</v>
      </c>
      <c r="K282" s="81">
        <f t="shared" si="19"/>
        <v>-40</v>
      </c>
      <c r="L282" s="81"/>
      <c r="M282" s="83">
        <f t="shared" si="20"/>
        <v>0</v>
      </c>
    </row>
    <row r="283" spans="1:13" x14ac:dyDescent="0.25">
      <c r="A283" s="97"/>
      <c r="G283" s="64"/>
      <c r="H283" s="81">
        <v>278</v>
      </c>
      <c r="I283" s="82" t="str">
        <f t="shared" si="18"/>
        <v/>
      </c>
      <c r="J283" s="81">
        <f t="shared" si="21"/>
        <v>-4</v>
      </c>
      <c r="K283" s="81">
        <f t="shared" si="19"/>
        <v>-40</v>
      </c>
      <c r="L283" s="81"/>
      <c r="M283" s="83">
        <f t="shared" si="20"/>
        <v>0</v>
      </c>
    </row>
    <row r="284" spans="1:13" x14ac:dyDescent="0.25">
      <c r="A284" s="97"/>
      <c r="G284" s="64"/>
      <c r="H284" s="81">
        <v>279</v>
      </c>
      <c r="I284" s="82" t="str">
        <f t="shared" si="18"/>
        <v/>
      </c>
      <c r="J284" s="81">
        <f t="shared" si="21"/>
        <v>-4</v>
      </c>
      <c r="K284" s="81">
        <f t="shared" si="19"/>
        <v>-40</v>
      </c>
      <c r="L284" s="81"/>
      <c r="M284" s="83">
        <f t="shared" si="20"/>
        <v>0</v>
      </c>
    </row>
    <row r="285" spans="1:13" x14ac:dyDescent="0.25">
      <c r="A285" s="97"/>
      <c r="G285" s="64"/>
      <c r="H285" s="81">
        <v>280</v>
      </c>
      <c r="I285" s="82" t="str">
        <f t="shared" si="18"/>
        <v/>
      </c>
      <c r="J285" s="81">
        <f t="shared" si="21"/>
        <v>-4</v>
      </c>
      <c r="K285" s="81">
        <f t="shared" si="19"/>
        <v>-40</v>
      </c>
      <c r="L285" s="81"/>
      <c r="M285" s="83">
        <f t="shared" si="20"/>
        <v>0</v>
      </c>
    </row>
    <row r="286" spans="1:13" x14ac:dyDescent="0.25">
      <c r="A286" s="97"/>
      <c r="G286" s="64"/>
      <c r="H286" s="81">
        <v>281</v>
      </c>
      <c r="I286" s="82" t="str">
        <f t="shared" si="18"/>
        <v/>
      </c>
      <c r="J286" s="81">
        <f t="shared" si="21"/>
        <v>-4</v>
      </c>
      <c r="K286" s="81">
        <f t="shared" si="19"/>
        <v>-40</v>
      </c>
      <c r="L286" s="81"/>
      <c r="M286" s="83">
        <f t="shared" si="20"/>
        <v>0</v>
      </c>
    </row>
    <row r="287" spans="1:13" x14ac:dyDescent="0.25">
      <c r="A287" s="97"/>
      <c r="G287" s="64"/>
      <c r="H287" s="81">
        <v>282</v>
      </c>
      <c r="I287" s="82" t="str">
        <f t="shared" si="18"/>
        <v/>
      </c>
      <c r="J287" s="81">
        <f t="shared" si="21"/>
        <v>-4</v>
      </c>
      <c r="K287" s="81">
        <f t="shared" si="19"/>
        <v>-40</v>
      </c>
      <c r="L287" s="81"/>
      <c r="M287" s="83">
        <f t="shared" si="20"/>
        <v>0</v>
      </c>
    </row>
    <row r="288" spans="1:13" x14ac:dyDescent="0.25">
      <c r="A288" s="97"/>
      <c r="G288" s="64"/>
      <c r="H288" s="81">
        <v>283</v>
      </c>
      <c r="I288" s="82" t="str">
        <f t="shared" si="18"/>
        <v/>
      </c>
      <c r="J288" s="81">
        <f t="shared" si="21"/>
        <v>-4</v>
      </c>
      <c r="K288" s="81">
        <f t="shared" si="19"/>
        <v>-40</v>
      </c>
      <c r="L288" s="81"/>
      <c r="M288" s="83">
        <f t="shared" si="20"/>
        <v>0</v>
      </c>
    </row>
    <row r="289" spans="1:13" x14ac:dyDescent="0.25">
      <c r="A289" s="97"/>
      <c r="G289" s="64"/>
      <c r="H289" s="81">
        <v>284</v>
      </c>
      <c r="I289" s="82" t="str">
        <f t="shared" si="18"/>
        <v/>
      </c>
      <c r="J289" s="81">
        <f t="shared" si="21"/>
        <v>-4</v>
      </c>
      <c r="K289" s="81">
        <f t="shared" si="19"/>
        <v>-40</v>
      </c>
      <c r="L289" s="81"/>
      <c r="M289" s="83">
        <f t="shared" si="20"/>
        <v>0</v>
      </c>
    </row>
    <row r="290" spans="1:13" x14ac:dyDescent="0.25">
      <c r="A290" s="97"/>
      <c r="G290" s="64"/>
      <c r="H290" s="81">
        <v>285</v>
      </c>
      <c r="I290" s="82" t="str">
        <f t="shared" si="18"/>
        <v/>
      </c>
      <c r="J290" s="81">
        <f t="shared" si="21"/>
        <v>-4</v>
      </c>
      <c r="K290" s="81">
        <f t="shared" si="19"/>
        <v>-40</v>
      </c>
      <c r="L290" s="81"/>
      <c r="M290" s="83">
        <f t="shared" si="20"/>
        <v>0</v>
      </c>
    </row>
    <row r="291" spans="1:13" x14ac:dyDescent="0.25">
      <c r="A291" s="97"/>
      <c r="G291" s="64"/>
      <c r="H291" s="81">
        <v>286</v>
      </c>
      <c r="I291" s="82" t="str">
        <f t="shared" si="18"/>
        <v/>
      </c>
      <c r="J291" s="81">
        <f t="shared" si="21"/>
        <v>-4</v>
      </c>
      <c r="K291" s="81">
        <f t="shared" si="19"/>
        <v>-40</v>
      </c>
      <c r="L291" s="81"/>
      <c r="M291" s="83">
        <f t="shared" si="20"/>
        <v>0</v>
      </c>
    </row>
    <row r="292" spans="1:13" x14ac:dyDescent="0.25">
      <c r="A292" s="97"/>
      <c r="G292" s="64"/>
      <c r="H292" s="81">
        <v>287</v>
      </c>
      <c r="I292" s="82" t="str">
        <f t="shared" si="18"/>
        <v/>
      </c>
      <c r="J292" s="81">
        <f t="shared" si="21"/>
        <v>-4</v>
      </c>
      <c r="K292" s="81">
        <f t="shared" si="19"/>
        <v>-40</v>
      </c>
      <c r="L292" s="81"/>
      <c r="M292" s="83">
        <f t="shared" si="20"/>
        <v>0</v>
      </c>
    </row>
    <row r="293" spans="1:13" x14ac:dyDescent="0.25">
      <c r="A293" s="97"/>
      <c r="G293" s="64"/>
      <c r="H293" s="81">
        <v>288</v>
      </c>
      <c r="I293" s="82" t="str">
        <f t="shared" si="18"/>
        <v/>
      </c>
      <c r="J293" s="81">
        <f t="shared" si="21"/>
        <v>-4</v>
      </c>
      <c r="K293" s="81">
        <f t="shared" si="19"/>
        <v>-40</v>
      </c>
      <c r="L293" s="81"/>
      <c r="M293" s="83">
        <f t="shared" si="20"/>
        <v>0</v>
      </c>
    </row>
    <row r="294" spans="1:13" x14ac:dyDescent="0.25">
      <c r="A294" s="97"/>
      <c r="G294" s="64"/>
      <c r="H294" s="81">
        <v>289</v>
      </c>
      <c r="I294" s="82" t="str">
        <f t="shared" si="18"/>
        <v/>
      </c>
      <c r="J294" s="81">
        <f t="shared" si="21"/>
        <v>-4</v>
      </c>
      <c r="K294" s="81">
        <f t="shared" si="19"/>
        <v>-40</v>
      </c>
      <c r="L294" s="81"/>
      <c r="M294" s="83">
        <f t="shared" si="20"/>
        <v>0</v>
      </c>
    </row>
    <row r="295" spans="1:13" x14ac:dyDescent="0.25">
      <c r="A295" s="97"/>
      <c r="G295" s="64"/>
      <c r="H295" s="81">
        <v>290</v>
      </c>
      <c r="I295" s="82" t="str">
        <f t="shared" si="18"/>
        <v/>
      </c>
      <c r="J295" s="81">
        <f t="shared" si="21"/>
        <v>-4</v>
      </c>
      <c r="K295" s="81">
        <f t="shared" si="19"/>
        <v>-40</v>
      </c>
      <c r="L295" s="81"/>
      <c r="M295" s="83">
        <f t="shared" si="20"/>
        <v>0</v>
      </c>
    </row>
    <row r="296" spans="1:13" x14ac:dyDescent="0.25">
      <c r="A296" s="97"/>
      <c r="G296" s="64"/>
      <c r="H296" s="81">
        <v>291</v>
      </c>
      <c r="I296" s="82" t="str">
        <f t="shared" si="18"/>
        <v/>
      </c>
      <c r="J296" s="81">
        <f t="shared" si="21"/>
        <v>-4</v>
      </c>
      <c r="K296" s="81">
        <f t="shared" si="19"/>
        <v>-40</v>
      </c>
      <c r="L296" s="81"/>
      <c r="M296" s="83">
        <f t="shared" si="20"/>
        <v>0</v>
      </c>
    </row>
    <row r="297" spans="1:13" x14ac:dyDescent="0.25">
      <c r="A297" s="97"/>
      <c r="G297" s="64"/>
      <c r="H297" s="81">
        <v>292</v>
      </c>
      <c r="I297" s="82" t="str">
        <f t="shared" si="18"/>
        <v/>
      </c>
      <c r="J297" s="81">
        <f t="shared" si="21"/>
        <v>-4</v>
      </c>
      <c r="K297" s="81">
        <f t="shared" si="19"/>
        <v>-40</v>
      </c>
      <c r="L297" s="81"/>
      <c r="M297" s="83">
        <f t="shared" si="20"/>
        <v>0</v>
      </c>
    </row>
    <row r="298" spans="1:13" x14ac:dyDescent="0.25">
      <c r="A298" s="97"/>
      <c r="G298" s="64"/>
      <c r="H298" s="81">
        <v>293</v>
      </c>
      <c r="I298" s="82" t="str">
        <f t="shared" si="18"/>
        <v/>
      </c>
      <c r="J298" s="81">
        <f t="shared" si="21"/>
        <v>-4</v>
      </c>
      <c r="K298" s="81">
        <f t="shared" si="19"/>
        <v>-40</v>
      </c>
      <c r="L298" s="81"/>
      <c r="M298" s="83">
        <f t="shared" si="20"/>
        <v>0</v>
      </c>
    </row>
    <row r="299" spans="1:13" x14ac:dyDescent="0.25">
      <c r="A299" s="97"/>
      <c r="G299" s="64"/>
      <c r="H299" s="81">
        <v>294</v>
      </c>
      <c r="I299" s="82" t="str">
        <f t="shared" si="18"/>
        <v/>
      </c>
      <c r="J299" s="81">
        <f t="shared" si="21"/>
        <v>-4</v>
      </c>
      <c r="K299" s="81">
        <f t="shared" si="19"/>
        <v>-40</v>
      </c>
      <c r="L299" s="81"/>
      <c r="M299" s="83">
        <f t="shared" si="20"/>
        <v>0</v>
      </c>
    </row>
    <row r="300" spans="1:13" x14ac:dyDescent="0.25">
      <c r="A300" s="97"/>
      <c r="G300" s="64"/>
      <c r="H300" s="81">
        <v>295</v>
      </c>
      <c r="I300" s="82" t="str">
        <f t="shared" si="18"/>
        <v/>
      </c>
      <c r="J300" s="81">
        <f t="shared" si="21"/>
        <v>-4</v>
      </c>
      <c r="K300" s="81">
        <f t="shared" si="19"/>
        <v>-40</v>
      </c>
      <c r="L300" s="81"/>
      <c r="M300" s="83">
        <f t="shared" si="20"/>
        <v>0</v>
      </c>
    </row>
    <row r="301" spans="1:13" x14ac:dyDescent="0.25">
      <c r="A301" s="97"/>
      <c r="G301" s="64"/>
      <c r="H301" s="81">
        <v>296</v>
      </c>
      <c r="I301" s="82" t="str">
        <f t="shared" si="18"/>
        <v/>
      </c>
      <c r="J301" s="81">
        <f t="shared" si="21"/>
        <v>-4</v>
      </c>
      <c r="K301" s="81">
        <f t="shared" si="19"/>
        <v>-40</v>
      </c>
      <c r="L301" s="81"/>
      <c r="M301" s="83">
        <f t="shared" si="20"/>
        <v>0</v>
      </c>
    </row>
    <row r="302" spans="1:13" x14ac:dyDescent="0.25">
      <c r="A302" s="97"/>
      <c r="G302" s="64"/>
      <c r="H302" s="81">
        <v>297</v>
      </c>
      <c r="I302" s="82" t="str">
        <f t="shared" si="18"/>
        <v/>
      </c>
      <c r="J302" s="81">
        <f t="shared" si="21"/>
        <v>-4</v>
      </c>
      <c r="K302" s="81">
        <f t="shared" si="19"/>
        <v>-40</v>
      </c>
      <c r="L302" s="81"/>
      <c r="M302" s="83">
        <f t="shared" si="20"/>
        <v>0</v>
      </c>
    </row>
    <row r="303" spans="1:13" x14ac:dyDescent="0.25">
      <c r="A303" s="97"/>
      <c r="G303" s="64"/>
      <c r="H303" s="81">
        <v>298</v>
      </c>
      <c r="I303" s="82" t="str">
        <f t="shared" si="18"/>
        <v/>
      </c>
      <c r="J303" s="81">
        <f t="shared" si="21"/>
        <v>-4</v>
      </c>
      <c r="K303" s="81">
        <f t="shared" si="19"/>
        <v>-40</v>
      </c>
      <c r="L303" s="81"/>
      <c r="M303" s="83">
        <f t="shared" si="20"/>
        <v>0</v>
      </c>
    </row>
    <row r="304" spans="1:13" x14ac:dyDescent="0.25">
      <c r="A304" s="97"/>
      <c r="G304" s="64"/>
      <c r="H304" s="81">
        <v>299</v>
      </c>
      <c r="I304" s="82" t="str">
        <f t="shared" si="18"/>
        <v/>
      </c>
      <c r="J304" s="81">
        <f t="shared" si="21"/>
        <v>-4</v>
      </c>
      <c r="K304" s="81">
        <f t="shared" si="19"/>
        <v>-40</v>
      </c>
      <c r="L304" s="81"/>
      <c r="M304" s="83">
        <f t="shared" si="20"/>
        <v>0</v>
      </c>
    </row>
    <row r="305" spans="1:16" x14ac:dyDescent="0.25">
      <c r="A305" s="97"/>
      <c r="G305" s="64"/>
      <c r="H305" s="81">
        <v>300</v>
      </c>
      <c r="I305" s="82" t="str">
        <f t="shared" si="18"/>
        <v/>
      </c>
      <c r="J305" s="81">
        <f t="shared" si="21"/>
        <v>-4</v>
      </c>
      <c r="K305" s="81">
        <f t="shared" si="19"/>
        <v>-40</v>
      </c>
      <c r="L305" s="81"/>
      <c r="M305" s="83">
        <f t="shared" si="20"/>
        <v>0</v>
      </c>
    </row>
    <row r="306" spans="1:16" x14ac:dyDescent="0.25">
      <c r="A306" s="99"/>
    </row>
    <row r="314" spans="1:16" x14ac:dyDescent="0.25">
      <c r="L314" s="102"/>
      <c r="P314" s="92"/>
    </row>
    <row r="315" spans="1:16" x14ac:dyDescent="0.25">
      <c r="L315" s="102"/>
      <c r="P315" s="92"/>
    </row>
    <row r="316" spans="1:16" x14ac:dyDescent="0.25">
      <c r="L316" s="102"/>
      <c r="P316" s="92"/>
    </row>
    <row r="317" spans="1:16" x14ac:dyDescent="0.25">
      <c r="L317" s="102"/>
      <c r="P317" s="92"/>
    </row>
  </sheetData>
  <mergeCells count="2">
    <mergeCell ref="C2:D2"/>
    <mergeCell ref="C3:D3"/>
  </mergeCells>
  <conditionalFormatting sqref="J6:K305">
    <cfRule type="cellIs" dxfId="13" priority="1" operator="lessThanOrEqual">
      <formula>0</formula>
    </cfRule>
  </conditionalFormatting>
  <dataValidations count="1">
    <dataValidation type="list" allowBlank="1" showInputMessage="1" showErrorMessage="1" sqref="C38:C69" xr:uid="{B7BE5666-E8AF-4B6D-841A-3C9806002146}">
      <formula1>#REF!</formula1>
    </dataValidation>
  </dataValidations>
  <hyperlinks>
    <hyperlink ref="C2:D2" r:id="rId1" display="Budapeszt" xr:uid="{C21B6736-60B0-4521-8D05-A8121069FB26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D935-C975-4525-BAF2-E8F1946BC010}">
  <sheetPr>
    <tabColor rgb="FF92D050"/>
  </sheetPr>
  <dimension ref="A1:AL317"/>
  <sheetViews>
    <sheetView workbookViewId="0">
      <selection activeCell="C36" sqref="C36"/>
    </sheetView>
  </sheetViews>
  <sheetFormatPr defaultColWidth="8.875" defaultRowHeight="14.3" x14ac:dyDescent="0.25"/>
  <cols>
    <col min="1" max="1" width="8" style="98" customWidth="1"/>
    <col min="2" max="2" width="8.25" style="98" customWidth="1"/>
    <col min="3" max="3" width="34.75" style="98" customWidth="1"/>
    <col min="4" max="4" width="11.25" style="98" customWidth="1"/>
    <col min="5" max="6" width="8.875" style="98"/>
    <col min="7" max="7" width="0.875" style="98" customWidth="1"/>
    <col min="8" max="8" width="8.875" style="100"/>
    <col min="9" max="9" width="11" style="100" customWidth="1"/>
    <col min="10" max="10" width="15" style="100" customWidth="1"/>
    <col min="11" max="11" width="8.75" style="100" customWidth="1"/>
    <col min="12" max="12" width="11" style="100" customWidth="1"/>
    <col min="13" max="13" width="11.75" style="101" customWidth="1"/>
    <col min="14" max="15" width="13.875" style="64" customWidth="1"/>
    <col min="16" max="18" width="8.875" style="64"/>
    <col min="19" max="20" width="8.875" style="71"/>
    <col min="21" max="21" width="12.125" style="71" customWidth="1"/>
    <col min="22" max="22" width="27.375" style="71" customWidth="1"/>
    <col min="23" max="38" width="8.875" style="71"/>
    <col min="39" max="16384" width="8.875" style="98"/>
  </cols>
  <sheetData>
    <row r="1" spans="1:36" x14ac:dyDescent="0.25">
      <c r="A1" s="64"/>
      <c r="B1" s="64"/>
      <c r="C1" s="64"/>
      <c r="D1" s="64"/>
      <c r="E1" s="64"/>
      <c r="F1" s="64"/>
      <c r="G1" s="64"/>
      <c r="H1" s="65" t="s">
        <v>25</v>
      </c>
      <c r="I1" s="66" t="s">
        <v>26</v>
      </c>
      <c r="J1" s="66" t="s">
        <v>27</v>
      </c>
      <c r="K1" s="67" t="s">
        <v>28</v>
      </c>
      <c r="L1" s="70"/>
      <c r="M1" s="70"/>
    </row>
    <row r="2" spans="1:36" x14ac:dyDescent="0.25">
      <c r="A2" s="64"/>
      <c r="B2" s="14" t="s">
        <v>29</v>
      </c>
      <c r="C2" s="262" t="s">
        <v>107</v>
      </c>
      <c r="D2" s="262"/>
      <c r="E2" s="15"/>
      <c r="F2" s="15"/>
      <c r="G2" s="15"/>
      <c r="H2" s="72">
        <v>30</v>
      </c>
      <c r="I2" s="73">
        <v>50</v>
      </c>
      <c r="J2" s="73">
        <v>10</v>
      </c>
      <c r="K2" s="74">
        <f>3*H2^(1/3)</f>
        <v>9.3216975178615762</v>
      </c>
      <c r="L2" s="70"/>
      <c r="M2" s="70"/>
    </row>
    <row r="3" spans="1:36" ht="14.45" customHeight="1" x14ac:dyDescent="0.25">
      <c r="A3" s="64"/>
      <c r="B3" s="76" t="s">
        <v>31</v>
      </c>
      <c r="C3" s="240" t="s">
        <v>108</v>
      </c>
      <c r="D3" s="240"/>
      <c r="E3" s="20"/>
      <c r="F3" s="20"/>
      <c r="G3" s="20"/>
      <c r="H3" s="70"/>
      <c r="I3" s="70"/>
      <c r="J3" s="70"/>
      <c r="K3" s="70"/>
      <c r="L3" s="70"/>
      <c r="M3" s="70"/>
    </row>
    <row r="4" spans="1:36" ht="10.199999999999999" customHeight="1" x14ac:dyDescent="0.25">
      <c r="A4" s="22"/>
      <c r="B4" s="20"/>
      <c r="C4" s="22"/>
      <c r="D4" s="22"/>
      <c r="E4" s="22"/>
      <c r="F4" s="22"/>
      <c r="G4" s="22"/>
      <c r="H4" s="70"/>
      <c r="I4" s="70"/>
      <c r="J4" s="70"/>
      <c r="K4" s="70"/>
      <c r="L4" s="70"/>
      <c r="M4" s="70"/>
    </row>
    <row r="5" spans="1:36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78" t="s">
        <v>39</v>
      </c>
      <c r="I5" s="79" t="s">
        <v>40</v>
      </c>
      <c r="J5" s="79" t="s">
        <v>41</v>
      </c>
      <c r="K5" s="79" t="s">
        <v>42</v>
      </c>
      <c r="L5" s="79" t="s">
        <v>43</v>
      </c>
      <c r="M5" s="78" t="s">
        <v>44</v>
      </c>
    </row>
    <row r="6" spans="1:36" ht="14.45" customHeight="1" x14ac:dyDescent="0.25">
      <c r="A6" s="109">
        <f>M6</f>
        <v>127.96509255358473</v>
      </c>
      <c r="B6" s="28">
        <f t="shared" ref="B6:B65" si="0">IF(H6&gt;$H$2,"",(ROW()-5))</f>
        <v>1</v>
      </c>
      <c r="C6" s="29" t="s">
        <v>50</v>
      </c>
      <c r="D6" s="29"/>
      <c r="E6" s="29"/>
      <c r="F6" s="29"/>
      <c r="G6" s="22"/>
      <c r="H6" s="81">
        <v>1</v>
      </c>
      <c r="I6" s="82">
        <f t="shared" ref="I6:I69" si="1">IF(H6&lt;$H$2+1,($I$2-($I$2-1)*(LOG(H6)/LOG($H$2))),"")</f>
        <v>50</v>
      </c>
      <c r="J6" s="82">
        <f>INT(LOG($H$2,2))-ROUNDUP(LOG(H6,2),0)+IF(OR($H$2=1,$H$2=2,$H$2=4,$H$2=8,$H$2=16,$H$2=32,$H$2=64,$H$2=128,$H$2=256),0,1)</f>
        <v>5</v>
      </c>
      <c r="K6" s="81">
        <f t="shared" ref="K6:K69" si="2">J6*$J$2</f>
        <v>50</v>
      </c>
      <c r="L6" s="83">
        <f>3*K2</f>
        <v>27.965092553584729</v>
      </c>
      <c r="M6" s="83">
        <f t="shared" ref="M6:M69" si="3">IF(I6&lt;&gt;"",K6+I6+L6,0)</f>
        <v>127.96509255358473</v>
      </c>
    </row>
    <row r="7" spans="1:36" ht="14.45" customHeight="1" x14ac:dyDescent="0.25">
      <c r="A7" s="110">
        <f t="shared" ref="A7:A37" si="4">M7</f>
        <v>98.657437728288357</v>
      </c>
      <c r="B7" s="34">
        <f t="shared" si="0"/>
        <v>2</v>
      </c>
      <c r="C7" s="35" t="s">
        <v>50</v>
      </c>
      <c r="D7" s="35"/>
      <c r="E7" s="35"/>
      <c r="F7" s="35"/>
      <c r="G7" s="22"/>
      <c r="H7" s="84">
        <v>2</v>
      </c>
      <c r="I7" s="85">
        <f t="shared" si="1"/>
        <v>40.014042692565198</v>
      </c>
      <c r="J7" s="85">
        <f t="shared" ref="J7:J70" si="5">INT(LOG($H$2,2))-ROUNDUP(LOG(H7,2),0)+IF(OR($H$2=1,$H$2=2,$H$2=4,$H$2=8,$H$2=16,$H$2=32,$H$2=64,$H$2=128,$H$2=256),0,1)</f>
        <v>4</v>
      </c>
      <c r="K7" s="84">
        <f t="shared" si="2"/>
        <v>40</v>
      </c>
      <c r="L7" s="86">
        <f>2*K2</f>
        <v>18.643395035723152</v>
      </c>
      <c r="M7" s="86">
        <f t="shared" si="3"/>
        <v>98.657437728288357</v>
      </c>
    </row>
    <row r="8" spans="1:36" ht="14.45" customHeight="1" x14ac:dyDescent="0.25">
      <c r="A8" s="109">
        <f t="shared" si="4"/>
        <v>73.494329651775004</v>
      </c>
      <c r="B8" s="28">
        <f t="shared" si="0"/>
        <v>3</v>
      </c>
      <c r="C8" s="29" t="s">
        <v>50</v>
      </c>
      <c r="D8" s="29"/>
      <c r="E8" s="29"/>
      <c r="F8" s="29"/>
      <c r="G8" s="22"/>
      <c r="H8" s="81">
        <v>3</v>
      </c>
      <c r="I8" s="82">
        <f t="shared" si="1"/>
        <v>34.172632133913432</v>
      </c>
      <c r="J8" s="82">
        <f t="shared" si="5"/>
        <v>3</v>
      </c>
      <c r="K8" s="81">
        <f t="shared" si="2"/>
        <v>30</v>
      </c>
      <c r="L8" s="83">
        <f>K2</f>
        <v>9.3216975178615762</v>
      </c>
      <c r="M8" s="83">
        <f t="shared" si="3"/>
        <v>73.494329651775004</v>
      </c>
    </row>
    <row r="9" spans="1:36" s="71" customFormat="1" ht="14.45" customHeight="1" x14ac:dyDescent="0.25">
      <c r="A9" s="110">
        <f t="shared" si="4"/>
        <v>73.494329651775004</v>
      </c>
      <c r="B9" s="34">
        <f>IF(H9&gt;$H$2,"",3)</f>
        <v>3</v>
      </c>
      <c r="C9" s="35" t="s">
        <v>50</v>
      </c>
      <c r="D9" s="35"/>
      <c r="E9" s="35"/>
      <c r="F9" s="35"/>
      <c r="G9" s="22"/>
      <c r="H9" s="84">
        <v>3</v>
      </c>
      <c r="I9" s="85">
        <f t="shared" si="1"/>
        <v>34.172632133913432</v>
      </c>
      <c r="J9" s="84">
        <f t="shared" si="5"/>
        <v>3</v>
      </c>
      <c r="K9" s="84">
        <f t="shared" si="2"/>
        <v>30</v>
      </c>
      <c r="L9" s="86">
        <f>K2</f>
        <v>9.3216975178615762</v>
      </c>
      <c r="M9" s="86">
        <f t="shared" si="3"/>
        <v>73.494329651775004</v>
      </c>
      <c r="N9" s="64"/>
      <c r="O9" s="64"/>
      <c r="P9" s="64"/>
      <c r="Q9" s="64"/>
      <c r="R9" s="64"/>
      <c r="V9" s="87"/>
      <c r="Z9" s="88"/>
      <c r="AA9" s="88"/>
      <c r="AG9" s="89"/>
      <c r="AH9" s="71" t="s">
        <v>50</v>
      </c>
      <c r="AI9" s="71">
        <v>23</v>
      </c>
    </row>
    <row r="10" spans="1:36" ht="14.45" customHeight="1" x14ac:dyDescent="0.25">
      <c r="A10" s="109">
        <f t="shared" si="4"/>
        <v>46.81332517352137</v>
      </c>
      <c r="B10" s="28">
        <f t="shared" si="0"/>
        <v>5</v>
      </c>
      <c r="C10" s="29" t="s">
        <v>50</v>
      </c>
      <c r="D10" s="29"/>
      <c r="E10" s="29"/>
      <c r="F10" s="29"/>
      <c r="G10" s="22"/>
      <c r="H10" s="81">
        <v>5</v>
      </c>
      <c r="I10" s="82">
        <f t="shared" si="1"/>
        <v>26.81332517352137</v>
      </c>
      <c r="J10" s="82">
        <f t="shared" si="5"/>
        <v>2</v>
      </c>
      <c r="K10" s="81">
        <f t="shared" si="2"/>
        <v>20</v>
      </c>
      <c r="L10" s="81"/>
      <c r="M10" s="83">
        <f t="shared" si="3"/>
        <v>46.81332517352137</v>
      </c>
      <c r="V10" s="87"/>
      <c r="Z10" s="88"/>
      <c r="AA10" s="88"/>
      <c r="AG10" s="89"/>
      <c r="AH10" s="71" t="s">
        <v>52</v>
      </c>
      <c r="AI10" s="71">
        <v>45</v>
      </c>
    </row>
    <row r="11" spans="1:36" ht="14.45" customHeight="1" x14ac:dyDescent="0.25">
      <c r="A11" s="110">
        <f t="shared" si="4"/>
        <v>44.186674826478622</v>
      </c>
      <c r="B11" s="34">
        <f t="shared" si="0"/>
        <v>6</v>
      </c>
      <c r="C11" s="35" t="s">
        <v>50</v>
      </c>
      <c r="D11" s="35"/>
      <c r="E11" s="35"/>
      <c r="F11" s="35"/>
      <c r="G11" s="22"/>
      <c r="H11" s="84">
        <v>6</v>
      </c>
      <c r="I11" s="85">
        <f t="shared" si="1"/>
        <v>24.186674826478626</v>
      </c>
      <c r="J11" s="85">
        <f t="shared" si="5"/>
        <v>2</v>
      </c>
      <c r="K11" s="84">
        <f t="shared" si="2"/>
        <v>20</v>
      </c>
      <c r="L11" s="84"/>
      <c r="M11" s="86">
        <f t="shared" si="3"/>
        <v>44.186674826478622</v>
      </c>
      <c r="V11" s="90"/>
      <c r="Z11" s="88"/>
      <c r="AA11" s="88"/>
      <c r="AG11" s="89"/>
      <c r="AH11" s="71" t="s">
        <v>53</v>
      </c>
      <c r="AI11" s="71">
        <v>50</v>
      </c>
    </row>
    <row r="12" spans="1:36" ht="14.45" customHeight="1" x14ac:dyDescent="0.25">
      <c r="A12" s="109">
        <f t="shared" si="4"/>
        <v>41.96587360151581</v>
      </c>
      <c r="B12" s="28">
        <f t="shared" si="0"/>
        <v>7</v>
      </c>
      <c r="C12" s="29" t="s">
        <v>50</v>
      </c>
      <c r="D12" s="29"/>
      <c r="E12" s="29"/>
      <c r="F12" s="29"/>
      <c r="G12" s="22"/>
      <c r="H12" s="81">
        <v>7</v>
      </c>
      <c r="I12" s="82">
        <f t="shared" si="1"/>
        <v>21.965873601515806</v>
      </c>
      <c r="J12" s="82">
        <f t="shared" si="5"/>
        <v>2</v>
      </c>
      <c r="K12" s="81">
        <f t="shared" si="2"/>
        <v>20</v>
      </c>
      <c r="L12" s="81"/>
      <c r="M12" s="83">
        <f t="shared" si="3"/>
        <v>41.96587360151581</v>
      </c>
      <c r="Z12" s="88"/>
      <c r="AA12" s="88"/>
      <c r="AG12" s="89"/>
      <c r="AH12" s="71" t="s">
        <v>54</v>
      </c>
      <c r="AI12" s="71">
        <f>AI11-1</f>
        <v>49</v>
      </c>
    </row>
    <row r="13" spans="1:36" ht="14.45" customHeight="1" x14ac:dyDescent="0.25">
      <c r="A13" s="110">
        <f t="shared" si="4"/>
        <v>40.042128077695594</v>
      </c>
      <c r="B13" s="34">
        <f t="shared" si="0"/>
        <v>8</v>
      </c>
      <c r="C13" s="35" t="s">
        <v>50</v>
      </c>
      <c r="D13" s="35"/>
      <c r="E13" s="35"/>
      <c r="F13" s="35"/>
      <c r="G13" s="22"/>
      <c r="H13" s="84">
        <v>8</v>
      </c>
      <c r="I13" s="85">
        <f t="shared" si="1"/>
        <v>20.04212807769559</v>
      </c>
      <c r="J13" s="85">
        <f t="shared" si="5"/>
        <v>2</v>
      </c>
      <c r="K13" s="84">
        <f t="shared" si="2"/>
        <v>20</v>
      </c>
      <c r="L13" s="84"/>
      <c r="M13" s="86">
        <f t="shared" si="3"/>
        <v>40.042128077695594</v>
      </c>
      <c r="X13" s="87"/>
      <c r="AG13" s="89"/>
      <c r="AH13" s="71" t="s">
        <v>55</v>
      </c>
      <c r="AI13" s="71">
        <f>LOG(AI9)</f>
        <v>1.3617278360175928</v>
      </c>
    </row>
    <row r="14" spans="1:36" x14ac:dyDescent="0.25">
      <c r="A14" s="109">
        <f t="shared" si="4"/>
        <v>28.345264267826863</v>
      </c>
      <c r="B14" s="28">
        <f t="shared" si="0"/>
        <v>9</v>
      </c>
      <c r="C14" s="29" t="s">
        <v>50</v>
      </c>
      <c r="D14" s="29"/>
      <c r="E14" s="29"/>
      <c r="F14" s="29"/>
      <c r="G14" s="22"/>
      <c r="H14" s="81">
        <v>9</v>
      </c>
      <c r="I14" s="82">
        <f t="shared" si="1"/>
        <v>18.345264267826863</v>
      </c>
      <c r="J14" s="82">
        <f t="shared" si="5"/>
        <v>1</v>
      </c>
      <c r="K14" s="81">
        <f t="shared" si="2"/>
        <v>10</v>
      </c>
      <c r="L14" s="81"/>
      <c r="M14" s="83">
        <f t="shared" si="3"/>
        <v>28.345264267826863</v>
      </c>
      <c r="X14" s="91"/>
      <c r="Z14" s="88"/>
      <c r="AA14" s="88"/>
      <c r="AG14" s="89"/>
      <c r="AH14" s="71" t="s">
        <v>56</v>
      </c>
      <c r="AI14" s="71">
        <f>LOG(AI10)</f>
        <v>1.6532125137753437</v>
      </c>
    </row>
    <row r="15" spans="1:36" x14ac:dyDescent="0.25">
      <c r="A15" s="110">
        <f t="shared" si="4"/>
        <v>26.827367866086568</v>
      </c>
      <c r="B15" s="34">
        <f t="shared" si="0"/>
        <v>10</v>
      </c>
      <c r="C15" s="35" t="s">
        <v>50</v>
      </c>
      <c r="D15" s="35"/>
      <c r="E15" s="35"/>
      <c r="F15" s="35"/>
      <c r="G15" s="22"/>
      <c r="H15" s="84">
        <v>10</v>
      </c>
      <c r="I15" s="85">
        <f t="shared" si="1"/>
        <v>16.827367866086568</v>
      </c>
      <c r="J15" s="85">
        <f t="shared" si="5"/>
        <v>1</v>
      </c>
      <c r="K15" s="84">
        <f t="shared" si="2"/>
        <v>10</v>
      </c>
      <c r="L15" s="84"/>
      <c r="M15" s="86">
        <f t="shared" si="3"/>
        <v>26.827367866086568</v>
      </c>
      <c r="X15" s="87"/>
      <c r="Z15" s="88"/>
      <c r="AA15" s="88"/>
    </row>
    <row r="16" spans="1:36" x14ac:dyDescent="0.25">
      <c r="A16" s="109">
        <f t="shared" si="4"/>
        <v>25.454263548297867</v>
      </c>
      <c r="B16" s="28">
        <f t="shared" si="0"/>
        <v>11</v>
      </c>
      <c r="C16" s="29" t="s">
        <v>50</v>
      </c>
      <c r="D16" s="29"/>
      <c r="E16" s="29"/>
      <c r="F16" s="29"/>
      <c r="G16" s="22"/>
      <c r="H16" s="81">
        <v>11</v>
      </c>
      <c r="I16" s="82">
        <f t="shared" si="1"/>
        <v>15.454263548297867</v>
      </c>
      <c r="J16" s="82">
        <f t="shared" si="5"/>
        <v>1</v>
      </c>
      <c r="K16" s="81">
        <f t="shared" si="2"/>
        <v>10</v>
      </c>
      <c r="L16" s="81"/>
      <c r="M16" s="83">
        <f t="shared" si="3"/>
        <v>25.454263548297867</v>
      </c>
      <c r="R16" s="92"/>
      <c r="Z16" s="88"/>
      <c r="AA16" s="88"/>
      <c r="AH16" s="93" t="s">
        <v>57</v>
      </c>
      <c r="AI16" s="71">
        <f>AI11-AI12*AI13/AI14</f>
        <v>9.6393909380186855</v>
      </c>
      <c r="AJ16" s="71" t="s">
        <v>58</v>
      </c>
    </row>
    <row r="17" spans="1:19" x14ac:dyDescent="0.25">
      <c r="A17" s="110">
        <f t="shared" si="4"/>
        <v>24.20071751904382</v>
      </c>
      <c r="B17" s="34">
        <f t="shared" si="0"/>
        <v>12</v>
      </c>
      <c r="C17" s="35" t="s">
        <v>50</v>
      </c>
      <c r="D17" s="35"/>
      <c r="E17" s="35"/>
      <c r="F17" s="35"/>
      <c r="G17" s="22"/>
      <c r="H17" s="84">
        <v>12</v>
      </c>
      <c r="I17" s="85">
        <f t="shared" si="1"/>
        <v>14.20071751904382</v>
      </c>
      <c r="J17" s="85">
        <f t="shared" si="5"/>
        <v>1</v>
      </c>
      <c r="K17" s="84">
        <f t="shared" si="2"/>
        <v>10</v>
      </c>
      <c r="L17" s="84"/>
      <c r="M17" s="86">
        <f t="shared" si="3"/>
        <v>24.20071751904382</v>
      </c>
    </row>
    <row r="18" spans="1:19" x14ac:dyDescent="0.25">
      <c r="A18" s="109">
        <f t="shared" si="4"/>
        <v>23.04756695590698</v>
      </c>
      <c r="B18" s="28">
        <f t="shared" si="0"/>
        <v>13</v>
      </c>
      <c r="C18" s="29" t="s">
        <v>50</v>
      </c>
      <c r="D18" s="29"/>
      <c r="E18" s="29"/>
      <c r="F18" s="29"/>
      <c r="G18" s="22"/>
      <c r="H18" s="81">
        <v>13</v>
      </c>
      <c r="I18" s="82">
        <f t="shared" si="1"/>
        <v>13.04756695590698</v>
      </c>
      <c r="J18" s="82">
        <f t="shared" si="5"/>
        <v>1</v>
      </c>
      <c r="K18" s="81">
        <f t="shared" si="2"/>
        <v>10</v>
      </c>
      <c r="L18" s="81"/>
      <c r="M18" s="83">
        <f t="shared" si="3"/>
        <v>23.04756695590698</v>
      </c>
    </row>
    <row r="19" spans="1:19" x14ac:dyDescent="0.25">
      <c r="A19" s="110">
        <f t="shared" si="4"/>
        <v>21.979916294081001</v>
      </c>
      <c r="B19" s="34">
        <f t="shared" si="0"/>
        <v>14</v>
      </c>
      <c r="C19" s="35" t="s">
        <v>50</v>
      </c>
      <c r="D19" s="35"/>
      <c r="E19" s="35"/>
      <c r="F19" s="35"/>
      <c r="G19" s="22"/>
      <c r="H19" s="84">
        <v>14</v>
      </c>
      <c r="I19" s="85">
        <f t="shared" si="1"/>
        <v>11.979916294081001</v>
      </c>
      <c r="J19" s="85">
        <f t="shared" si="5"/>
        <v>1</v>
      </c>
      <c r="K19" s="84">
        <f t="shared" si="2"/>
        <v>10</v>
      </c>
      <c r="L19" s="84"/>
      <c r="M19" s="86">
        <f t="shared" si="3"/>
        <v>21.979916294081001</v>
      </c>
    </row>
    <row r="20" spans="1:19" x14ac:dyDescent="0.25">
      <c r="A20" s="109">
        <f t="shared" si="4"/>
        <v>20.985957307434802</v>
      </c>
      <c r="B20" s="28">
        <f t="shared" si="0"/>
        <v>15</v>
      </c>
      <c r="C20" s="29" t="s">
        <v>50</v>
      </c>
      <c r="D20" s="29"/>
      <c r="E20" s="29"/>
      <c r="F20" s="29"/>
      <c r="G20" s="22"/>
      <c r="H20" s="81">
        <v>15</v>
      </c>
      <c r="I20" s="82">
        <f t="shared" si="1"/>
        <v>10.985957307434802</v>
      </c>
      <c r="J20" s="82">
        <f t="shared" si="5"/>
        <v>1</v>
      </c>
      <c r="K20" s="81">
        <f t="shared" si="2"/>
        <v>10</v>
      </c>
      <c r="L20" s="81"/>
      <c r="M20" s="83">
        <f t="shared" si="3"/>
        <v>20.985957307434802</v>
      </c>
      <c r="R20" s="94"/>
      <c r="S20" s="95"/>
    </row>
    <row r="21" spans="1:19" x14ac:dyDescent="0.25">
      <c r="A21" s="110">
        <f t="shared" si="4"/>
        <v>20.056170770260785</v>
      </c>
      <c r="B21" s="34">
        <f t="shared" si="0"/>
        <v>16</v>
      </c>
      <c r="C21" s="35" t="s">
        <v>50</v>
      </c>
      <c r="D21" s="35"/>
      <c r="E21" s="35"/>
      <c r="F21" s="35"/>
      <c r="G21" s="22"/>
      <c r="H21" s="84">
        <v>16</v>
      </c>
      <c r="I21" s="85">
        <f t="shared" si="1"/>
        <v>10.056170770260785</v>
      </c>
      <c r="J21" s="85">
        <f t="shared" si="5"/>
        <v>1</v>
      </c>
      <c r="K21" s="84">
        <f t="shared" si="2"/>
        <v>10</v>
      </c>
      <c r="L21" s="84"/>
      <c r="M21" s="86">
        <f t="shared" si="3"/>
        <v>20.056170770260785</v>
      </c>
    </row>
    <row r="22" spans="1:19" x14ac:dyDescent="0.25">
      <c r="A22" s="109">
        <f t="shared" si="4"/>
        <v>9.1827705715479482</v>
      </c>
      <c r="B22" s="28">
        <f t="shared" si="0"/>
        <v>17</v>
      </c>
      <c r="C22" s="29" t="s">
        <v>50</v>
      </c>
      <c r="D22" s="29"/>
      <c r="E22" s="29"/>
      <c r="F22" s="29"/>
      <c r="G22" s="22"/>
      <c r="H22" s="81">
        <v>17</v>
      </c>
      <c r="I22" s="82">
        <f t="shared" si="1"/>
        <v>9.1827705715479482</v>
      </c>
      <c r="J22" s="82">
        <f t="shared" si="5"/>
        <v>0</v>
      </c>
      <c r="K22" s="81">
        <f t="shared" si="2"/>
        <v>0</v>
      </c>
      <c r="L22" s="81"/>
      <c r="M22" s="83">
        <f t="shared" si="3"/>
        <v>9.1827705715479482</v>
      </c>
    </row>
    <row r="23" spans="1:19" x14ac:dyDescent="0.25">
      <c r="A23" s="110">
        <f t="shared" si="4"/>
        <v>8.359306960392054</v>
      </c>
      <c r="B23" s="34">
        <f t="shared" si="0"/>
        <v>18</v>
      </c>
      <c r="C23" s="35" t="s">
        <v>50</v>
      </c>
      <c r="D23" s="35"/>
      <c r="E23" s="35"/>
      <c r="F23" s="35"/>
      <c r="G23" s="22"/>
      <c r="H23" s="84">
        <v>18</v>
      </c>
      <c r="I23" s="85">
        <f t="shared" si="1"/>
        <v>8.359306960392054</v>
      </c>
      <c r="J23" s="85">
        <f t="shared" si="5"/>
        <v>0</v>
      </c>
      <c r="K23" s="84">
        <f t="shared" si="2"/>
        <v>0</v>
      </c>
      <c r="L23" s="84"/>
      <c r="M23" s="86">
        <f t="shared" si="3"/>
        <v>8.359306960392054</v>
      </c>
    </row>
    <row r="24" spans="1:19" x14ac:dyDescent="0.25">
      <c r="A24" s="109">
        <f t="shared" si="4"/>
        <v>7.5803772056746794</v>
      </c>
      <c r="B24" s="28">
        <f t="shared" si="0"/>
        <v>19</v>
      </c>
      <c r="C24" s="29" t="s">
        <v>50</v>
      </c>
      <c r="D24" s="29"/>
      <c r="E24" s="29"/>
      <c r="F24" s="29"/>
      <c r="G24" s="22"/>
      <c r="H24" s="81">
        <v>19</v>
      </c>
      <c r="I24" s="82">
        <f t="shared" si="1"/>
        <v>7.5803772056746794</v>
      </c>
      <c r="J24" s="82">
        <f t="shared" si="5"/>
        <v>0</v>
      </c>
      <c r="K24" s="81">
        <f t="shared" si="2"/>
        <v>0</v>
      </c>
      <c r="L24" s="81"/>
      <c r="M24" s="83">
        <f t="shared" si="3"/>
        <v>7.5803772056746794</v>
      </c>
      <c r="R24" s="94"/>
      <c r="S24" s="95"/>
    </row>
    <row r="25" spans="1:19" x14ac:dyDescent="0.25">
      <c r="A25" s="110">
        <f t="shared" si="4"/>
        <v>6.8414105586517664</v>
      </c>
      <c r="B25" s="34">
        <f t="shared" si="0"/>
        <v>20</v>
      </c>
      <c r="C25" s="35" t="s">
        <v>50</v>
      </c>
      <c r="D25" s="35"/>
      <c r="E25" s="35"/>
      <c r="F25" s="35"/>
      <c r="G25" s="22"/>
      <c r="H25" s="84">
        <v>20</v>
      </c>
      <c r="I25" s="85">
        <f t="shared" si="1"/>
        <v>6.8414105586517664</v>
      </c>
      <c r="J25" s="85">
        <f t="shared" si="5"/>
        <v>0</v>
      </c>
      <c r="K25" s="84">
        <f t="shared" si="2"/>
        <v>0</v>
      </c>
      <c r="L25" s="84"/>
      <c r="M25" s="86">
        <f t="shared" si="3"/>
        <v>6.8414105586517664</v>
      </c>
    </row>
    <row r="26" spans="1:19" x14ac:dyDescent="0.25">
      <c r="A26" s="109">
        <f t="shared" si="4"/>
        <v>6.1385057354292343</v>
      </c>
      <c r="B26" s="28">
        <f t="shared" si="0"/>
        <v>21</v>
      </c>
      <c r="C26" s="29" t="s">
        <v>50</v>
      </c>
      <c r="D26" s="29"/>
      <c r="E26" s="29"/>
      <c r="F26" s="29"/>
      <c r="G26" s="22"/>
      <c r="H26" s="81">
        <v>21</v>
      </c>
      <c r="I26" s="82">
        <f t="shared" si="1"/>
        <v>6.1385057354292343</v>
      </c>
      <c r="J26" s="82">
        <f t="shared" si="5"/>
        <v>0</v>
      </c>
      <c r="K26" s="81">
        <f t="shared" si="2"/>
        <v>0</v>
      </c>
      <c r="L26" s="81"/>
      <c r="M26" s="83">
        <f t="shared" si="3"/>
        <v>6.1385057354292343</v>
      </c>
    </row>
    <row r="27" spans="1:19" x14ac:dyDescent="0.25">
      <c r="A27" s="110">
        <f t="shared" si="4"/>
        <v>5.4683062408630647</v>
      </c>
      <c r="B27" s="34">
        <f t="shared" si="0"/>
        <v>22</v>
      </c>
      <c r="C27" s="35" t="s">
        <v>17</v>
      </c>
      <c r="D27" s="35"/>
      <c r="E27" s="35"/>
      <c r="F27" s="35"/>
      <c r="G27" s="22"/>
      <c r="H27" s="84">
        <v>22</v>
      </c>
      <c r="I27" s="85">
        <f t="shared" si="1"/>
        <v>5.4683062408630647</v>
      </c>
      <c r="J27" s="85">
        <f t="shared" si="5"/>
        <v>0</v>
      </c>
      <c r="K27" s="84">
        <f t="shared" si="2"/>
        <v>0</v>
      </c>
      <c r="L27" s="84"/>
      <c r="M27" s="86">
        <f t="shared" si="3"/>
        <v>5.4683062408630647</v>
      </c>
    </row>
    <row r="28" spans="1:19" x14ac:dyDescent="0.25">
      <c r="A28" s="109">
        <f t="shared" si="4"/>
        <v>4.8279034292784004</v>
      </c>
      <c r="B28" s="28">
        <f t="shared" si="0"/>
        <v>23</v>
      </c>
      <c r="C28" s="29" t="s">
        <v>50</v>
      </c>
      <c r="D28" s="29"/>
      <c r="E28" s="29"/>
      <c r="F28" s="29"/>
      <c r="G28" s="22"/>
      <c r="H28" s="81">
        <v>23</v>
      </c>
      <c r="I28" s="82">
        <f t="shared" si="1"/>
        <v>4.8279034292784004</v>
      </c>
      <c r="J28" s="82">
        <f t="shared" si="5"/>
        <v>0</v>
      </c>
      <c r="K28" s="81">
        <f t="shared" si="2"/>
        <v>0</v>
      </c>
      <c r="L28" s="81"/>
      <c r="M28" s="83">
        <f t="shared" si="3"/>
        <v>4.8279034292784004</v>
      </c>
      <c r="R28" s="94"/>
      <c r="S28" s="95"/>
    </row>
    <row r="29" spans="1:19" x14ac:dyDescent="0.25">
      <c r="A29" s="110">
        <f t="shared" si="4"/>
        <v>4.2147602116090184</v>
      </c>
      <c r="B29" s="34">
        <f t="shared" si="0"/>
        <v>24</v>
      </c>
      <c r="C29" s="35" t="s">
        <v>50</v>
      </c>
      <c r="D29" s="35"/>
      <c r="E29" s="35"/>
      <c r="F29" s="35"/>
      <c r="G29" s="64"/>
      <c r="H29" s="84">
        <v>24</v>
      </c>
      <c r="I29" s="85">
        <f t="shared" si="1"/>
        <v>4.2147602116090184</v>
      </c>
      <c r="J29" s="85">
        <f t="shared" si="5"/>
        <v>0</v>
      </c>
      <c r="K29" s="84">
        <f t="shared" si="2"/>
        <v>0</v>
      </c>
      <c r="L29" s="84"/>
      <c r="M29" s="86">
        <f t="shared" si="3"/>
        <v>4.2147602116090184</v>
      </c>
    </row>
    <row r="30" spans="1:19" x14ac:dyDescent="0.25">
      <c r="A30" s="109">
        <f t="shared" si="4"/>
        <v>3.6266503470427409</v>
      </c>
      <c r="B30" s="28">
        <f t="shared" si="0"/>
        <v>25</v>
      </c>
      <c r="C30" s="29" t="s">
        <v>50</v>
      </c>
      <c r="D30" s="29"/>
      <c r="E30" s="29"/>
      <c r="F30" s="29"/>
      <c r="G30" s="64"/>
      <c r="H30" s="81">
        <v>25</v>
      </c>
      <c r="I30" s="82">
        <f t="shared" si="1"/>
        <v>3.6266503470427409</v>
      </c>
      <c r="J30" s="82">
        <f t="shared" si="5"/>
        <v>0</v>
      </c>
      <c r="K30" s="81">
        <f t="shared" si="2"/>
        <v>0</v>
      </c>
      <c r="L30" s="81"/>
      <c r="M30" s="83">
        <f t="shared" si="3"/>
        <v>3.6266503470427409</v>
      </c>
    </row>
    <row r="31" spans="1:19" x14ac:dyDescent="0.25">
      <c r="A31" s="110">
        <f t="shared" si="4"/>
        <v>3.0616096484721709</v>
      </c>
      <c r="B31" s="34">
        <f t="shared" si="0"/>
        <v>26</v>
      </c>
      <c r="C31" s="35" t="s">
        <v>50</v>
      </c>
      <c r="D31" s="35"/>
      <c r="E31" s="35"/>
      <c r="F31" s="35"/>
      <c r="G31" s="64"/>
      <c r="H31" s="84">
        <v>26</v>
      </c>
      <c r="I31" s="85">
        <f t="shared" si="1"/>
        <v>3.0616096484721709</v>
      </c>
      <c r="J31" s="85">
        <f t="shared" si="5"/>
        <v>0</v>
      </c>
      <c r="K31" s="84">
        <f t="shared" si="2"/>
        <v>0</v>
      </c>
      <c r="L31" s="84"/>
      <c r="M31" s="86">
        <f t="shared" si="3"/>
        <v>3.0616096484721709</v>
      </c>
    </row>
    <row r="32" spans="1:19" x14ac:dyDescent="0.25">
      <c r="A32" s="109">
        <f t="shared" si="4"/>
        <v>2.5178964017402876</v>
      </c>
      <c r="B32" s="28">
        <f t="shared" si="0"/>
        <v>27</v>
      </c>
      <c r="C32" s="29" t="s">
        <v>19</v>
      </c>
      <c r="D32" s="29"/>
      <c r="E32" s="29"/>
      <c r="F32" s="29"/>
      <c r="G32" s="64"/>
      <c r="H32" s="81">
        <v>27</v>
      </c>
      <c r="I32" s="82">
        <f t="shared" si="1"/>
        <v>2.5178964017402876</v>
      </c>
      <c r="J32" s="82">
        <f t="shared" si="5"/>
        <v>0</v>
      </c>
      <c r="K32" s="81">
        <f t="shared" si="2"/>
        <v>0</v>
      </c>
      <c r="L32" s="81"/>
      <c r="M32" s="83">
        <f t="shared" si="3"/>
        <v>2.5178964017402876</v>
      </c>
      <c r="R32" s="94"/>
      <c r="S32" s="95"/>
    </row>
    <row r="33" spans="1:21" x14ac:dyDescent="0.25">
      <c r="A33" s="110">
        <f t="shared" si="4"/>
        <v>1.9939589866461986</v>
      </c>
      <c r="B33" s="34">
        <f t="shared" si="0"/>
        <v>28</v>
      </c>
      <c r="C33" s="35" t="s">
        <v>50</v>
      </c>
      <c r="D33" s="35"/>
      <c r="E33" s="35"/>
      <c r="F33" s="35"/>
      <c r="G33" s="64"/>
      <c r="H33" s="84">
        <v>28</v>
      </c>
      <c r="I33" s="85">
        <f t="shared" si="1"/>
        <v>1.9939589866461986</v>
      </c>
      <c r="J33" s="85">
        <f t="shared" si="5"/>
        <v>0</v>
      </c>
      <c r="K33" s="84">
        <f t="shared" si="2"/>
        <v>0</v>
      </c>
      <c r="L33" s="84"/>
      <c r="M33" s="86">
        <f t="shared" si="3"/>
        <v>1.9939589866461986</v>
      </c>
    </row>
    <row r="34" spans="1:21" x14ac:dyDescent="0.25">
      <c r="A34" s="109">
        <f t="shared" si="4"/>
        <v>1.4884091823264214</v>
      </c>
      <c r="B34" s="28">
        <f t="shared" si="0"/>
        <v>29</v>
      </c>
      <c r="C34" s="29" t="s">
        <v>50</v>
      </c>
      <c r="D34" s="29"/>
      <c r="E34" s="29"/>
      <c r="F34" s="29"/>
      <c r="G34" s="64"/>
      <c r="H34" s="81">
        <v>29</v>
      </c>
      <c r="I34" s="82">
        <f t="shared" si="1"/>
        <v>1.4884091823264214</v>
      </c>
      <c r="J34" s="82">
        <f t="shared" si="5"/>
        <v>0</v>
      </c>
      <c r="K34" s="81">
        <f t="shared" si="2"/>
        <v>0</v>
      </c>
      <c r="L34" s="81"/>
      <c r="M34" s="83">
        <f t="shared" si="3"/>
        <v>1.4884091823264214</v>
      </c>
    </row>
    <row r="35" spans="1:21" x14ac:dyDescent="0.25">
      <c r="A35" s="110">
        <f t="shared" si="4"/>
        <v>1</v>
      </c>
      <c r="B35" s="34">
        <f t="shared" si="0"/>
        <v>30</v>
      </c>
      <c r="C35" s="35" t="s">
        <v>50</v>
      </c>
      <c r="D35" s="35"/>
      <c r="E35" s="35"/>
      <c r="F35" s="35"/>
      <c r="G35" s="64"/>
      <c r="H35" s="84">
        <v>30</v>
      </c>
      <c r="I35" s="85">
        <f t="shared" si="1"/>
        <v>1</v>
      </c>
      <c r="J35" s="85">
        <f t="shared" si="5"/>
        <v>0</v>
      </c>
      <c r="K35" s="84">
        <f t="shared" si="2"/>
        <v>0</v>
      </c>
      <c r="L35" s="84"/>
      <c r="M35" s="86">
        <f t="shared" si="3"/>
        <v>1</v>
      </c>
    </row>
    <row r="36" spans="1:21" x14ac:dyDescent="0.25">
      <c r="A36" s="109">
        <f t="shared" si="4"/>
        <v>0</v>
      </c>
      <c r="B36" s="28" t="str">
        <f t="shared" si="0"/>
        <v/>
      </c>
      <c r="C36" s="29"/>
      <c r="D36" s="29"/>
      <c r="E36" s="29"/>
      <c r="F36" s="29"/>
      <c r="G36" s="64"/>
      <c r="H36" s="81">
        <v>31</v>
      </c>
      <c r="I36" s="82" t="str">
        <f t="shared" si="1"/>
        <v/>
      </c>
      <c r="J36" s="82">
        <f t="shared" si="5"/>
        <v>0</v>
      </c>
      <c r="K36" s="81">
        <f t="shared" si="2"/>
        <v>0</v>
      </c>
      <c r="L36" s="81"/>
      <c r="M36" s="83">
        <f t="shared" si="3"/>
        <v>0</v>
      </c>
      <c r="R36" s="94"/>
      <c r="S36" s="95"/>
    </row>
    <row r="37" spans="1:21" x14ac:dyDescent="0.25">
      <c r="A37" s="110">
        <f t="shared" si="4"/>
        <v>0</v>
      </c>
      <c r="B37" s="34" t="str">
        <f t="shared" si="0"/>
        <v/>
      </c>
      <c r="C37" s="35"/>
      <c r="D37" s="35"/>
      <c r="E37" s="35"/>
      <c r="F37" s="35"/>
      <c r="G37" s="64"/>
      <c r="H37" s="84">
        <v>32</v>
      </c>
      <c r="I37" s="85" t="str">
        <f t="shared" si="1"/>
        <v/>
      </c>
      <c r="J37" s="85">
        <f t="shared" si="5"/>
        <v>0</v>
      </c>
      <c r="K37" s="84">
        <f t="shared" si="2"/>
        <v>0</v>
      </c>
      <c r="L37" s="84"/>
      <c r="M37" s="86">
        <f t="shared" si="3"/>
        <v>0</v>
      </c>
    </row>
    <row r="38" spans="1:21" x14ac:dyDescent="0.25">
      <c r="A38" s="109"/>
      <c r="B38" s="28" t="str">
        <f t="shared" si="0"/>
        <v/>
      </c>
      <c r="C38" s="29"/>
      <c r="D38" s="29"/>
      <c r="E38" s="29"/>
      <c r="F38" s="29"/>
      <c r="G38" s="64"/>
      <c r="H38" s="81">
        <v>33</v>
      </c>
      <c r="I38" s="82" t="str">
        <f t="shared" si="1"/>
        <v/>
      </c>
      <c r="J38" s="82">
        <f t="shared" si="5"/>
        <v>-1</v>
      </c>
      <c r="K38" s="81">
        <f t="shared" si="2"/>
        <v>-10</v>
      </c>
      <c r="L38" s="81"/>
      <c r="M38" s="83">
        <f t="shared" si="3"/>
        <v>0</v>
      </c>
    </row>
    <row r="39" spans="1:21" x14ac:dyDescent="0.25">
      <c r="A39" s="110"/>
      <c r="B39" s="34" t="str">
        <f t="shared" si="0"/>
        <v/>
      </c>
      <c r="C39" s="35"/>
      <c r="D39" s="35"/>
      <c r="E39" s="35"/>
      <c r="F39" s="35"/>
      <c r="G39" s="64"/>
      <c r="H39" s="84">
        <v>34</v>
      </c>
      <c r="I39" s="85" t="str">
        <f t="shared" si="1"/>
        <v/>
      </c>
      <c r="J39" s="85">
        <f t="shared" si="5"/>
        <v>-1</v>
      </c>
      <c r="K39" s="84">
        <f t="shared" si="2"/>
        <v>-10</v>
      </c>
      <c r="L39" s="84"/>
      <c r="M39" s="86">
        <f t="shared" si="3"/>
        <v>0</v>
      </c>
    </row>
    <row r="40" spans="1:21" x14ac:dyDescent="0.25">
      <c r="A40" s="109"/>
      <c r="B40" s="28" t="str">
        <f t="shared" si="0"/>
        <v/>
      </c>
      <c r="C40" s="29"/>
      <c r="D40" s="29"/>
      <c r="E40" s="29"/>
      <c r="F40" s="29"/>
      <c r="G40" s="64"/>
      <c r="H40" s="81">
        <v>35</v>
      </c>
      <c r="I40" s="82" t="str">
        <f t="shared" si="1"/>
        <v/>
      </c>
      <c r="J40" s="82">
        <f t="shared" si="5"/>
        <v>-1</v>
      </c>
      <c r="K40" s="81">
        <f t="shared" si="2"/>
        <v>-10</v>
      </c>
      <c r="L40" s="81"/>
      <c r="M40" s="83">
        <f t="shared" si="3"/>
        <v>0</v>
      </c>
    </row>
    <row r="41" spans="1:21" x14ac:dyDescent="0.25">
      <c r="A41" s="110"/>
      <c r="B41" s="34" t="str">
        <f t="shared" si="0"/>
        <v/>
      </c>
      <c r="C41" s="35"/>
      <c r="D41" s="35"/>
      <c r="E41" s="35"/>
      <c r="F41" s="35"/>
      <c r="G41" s="64"/>
      <c r="H41" s="84">
        <v>36</v>
      </c>
      <c r="I41" s="85" t="str">
        <f t="shared" si="1"/>
        <v/>
      </c>
      <c r="J41" s="85">
        <f t="shared" si="5"/>
        <v>-1</v>
      </c>
      <c r="K41" s="84">
        <f t="shared" si="2"/>
        <v>-10</v>
      </c>
      <c r="L41" s="84"/>
      <c r="M41" s="86">
        <f t="shared" si="3"/>
        <v>0</v>
      </c>
      <c r="S41" s="96"/>
    </row>
    <row r="42" spans="1:21" x14ac:dyDescent="0.25">
      <c r="A42" s="109"/>
      <c r="B42" s="28" t="str">
        <f t="shared" si="0"/>
        <v/>
      </c>
      <c r="C42" s="29"/>
      <c r="D42" s="29"/>
      <c r="E42" s="29"/>
      <c r="F42" s="29"/>
      <c r="G42" s="64"/>
      <c r="H42" s="81">
        <v>37</v>
      </c>
      <c r="I42" s="82" t="str">
        <f t="shared" si="1"/>
        <v/>
      </c>
      <c r="J42" s="82">
        <f t="shared" si="5"/>
        <v>-1</v>
      </c>
      <c r="K42" s="81">
        <f t="shared" si="2"/>
        <v>-10</v>
      </c>
      <c r="L42" s="81"/>
      <c r="M42" s="83">
        <f t="shared" si="3"/>
        <v>0</v>
      </c>
    </row>
    <row r="43" spans="1:21" x14ac:dyDescent="0.25">
      <c r="A43" s="110"/>
      <c r="B43" s="34" t="str">
        <f t="shared" si="0"/>
        <v/>
      </c>
      <c r="C43" s="35"/>
      <c r="D43" s="35"/>
      <c r="E43" s="35"/>
      <c r="F43" s="35"/>
      <c r="G43" s="64"/>
      <c r="H43" s="84">
        <v>38</v>
      </c>
      <c r="I43" s="85" t="str">
        <f t="shared" si="1"/>
        <v/>
      </c>
      <c r="J43" s="85">
        <f t="shared" si="5"/>
        <v>-1</v>
      </c>
      <c r="K43" s="84">
        <f t="shared" si="2"/>
        <v>-10</v>
      </c>
      <c r="L43" s="84"/>
      <c r="M43" s="86">
        <f t="shared" si="3"/>
        <v>0</v>
      </c>
    </row>
    <row r="44" spans="1:21" x14ac:dyDescent="0.25">
      <c r="A44" s="109"/>
      <c r="B44" s="28" t="str">
        <f t="shared" si="0"/>
        <v/>
      </c>
      <c r="C44" s="29"/>
      <c r="D44" s="29"/>
      <c r="E44" s="29"/>
      <c r="F44" s="29"/>
      <c r="G44" s="64"/>
      <c r="H44" s="81">
        <v>39</v>
      </c>
      <c r="I44" s="82" t="str">
        <f t="shared" si="1"/>
        <v/>
      </c>
      <c r="J44" s="82">
        <f t="shared" si="5"/>
        <v>-1</v>
      </c>
      <c r="K44" s="81">
        <f t="shared" si="2"/>
        <v>-10</v>
      </c>
      <c r="L44" s="81"/>
      <c r="M44" s="83">
        <f t="shared" si="3"/>
        <v>0</v>
      </c>
    </row>
    <row r="45" spans="1:21" x14ac:dyDescent="0.25">
      <c r="A45" s="110"/>
      <c r="B45" s="34" t="str">
        <f t="shared" si="0"/>
        <v/>
      </c>
      <c r="C45" s="35"/>
      <c r="D45" s="35"/>
      <c r="E45" s="35"/>
      <c r="F45" s="35"/>
      <c r="G45" s="64"/>
      <c r="H45" s="84">
        <v>40</v>
      </c>
      <c r="I45" s="85" t="str">
        <f t="shared" si="1"/>
        <v/>
      </c>
      <c r="J45" s="85">
        <f t="shared" si="5"/>
        <v>-1</v>
      </c>
      <c r="K45" s="84">
        <f t="shared" si="2"/>
        <v>-10</v>
      </c>
      <c r="L45" s="84"/>
      <c r="M45" s="86">
        <f t="shared" si="3"/>
        <v>0</v>
      </c>
    </row>
    <row r="46" spans="1:21" x14ac:dyDescent="0.25">
      <c r="A46" s="109"/>
      <c r="B46" s="28" t="str">
        <f t="shared" si="0"/>
        <v/>
      </c>
      <c r="C46" s="29"/>
      <c r="D46" s="29"/>
      <c r="E46" s="29"/>
      <c r="F46" s="29"/>
      <c r="G46" s="64"/>
      <c r="H46" s="81">
        <v>41</v>
      </c>
      <c r="I46" s="82" t="str">
        <f t="shared" si="1"/>
        <v/>
      </c>
      <c r="J46" s="82">
        <f t="shared" si="5"/>
        <v>-1</v>
      </c>
      <c r="K46" s="81">
        <f t="shared" si="2"/>
        <v>-10</v>
      </c>
      <c r="L46" s="81"/>
      <c r="M46" s="83">
        <f t="shared" si="3"/>
        <v>0</v>
      </c>
      <c r="R46" s="64">
        <f>LOG($H$2,2)</f>
        <v>4.9068905956085187</v>
      </c>
      <c r="T46" s="71">
        <f>LOG(H38,2)</f>
        <v>5.0443941193584534</v>
      </c>
      <c r="U46" s="71">
        <f>R46-T46</f>
        <v>-0.13750352374993469</v>
      </c>
    </row>
    <row r="47" spans="1:21" x14ac:dyDescent="0.25">
      <c r="A47" s="110"/>
      <c r="B47" s="34" t="str">
        <f t="shared" si="0"/>
        <v/>
      </c>
      <c r="C47" s="35"/>
      <c r="D47" s="35"/>
      <c r="E47" s="35"/>
      <c r="F47" s="35"/>
      <c r="G47" s="64"/>
      <c r="H47" s="84">
        <v>42</v>
      </c>
      <c r="I47" s="85" t="str">
        <f t="shared" si="1"/>
        <v/>
      </c>
      <c r="J47" s="85">
        <f t="shared" si="5"/>
        <v>-1</v>
      </c>
      <c r="K47" s="84">
        <f t="shared" si="2"/>
        <v>-10</v>
      </c>
      <c r="L47" s="84"/>
      <c r="M47" s="86">
        <f t="shared" si="3"/>
        <v>0</v>
      </c>
    </row>
    <row r="48" spans="1:21" x14ac:dyDescent="0.25">
      <c r="A48" s="109"/>
      <c r="B48" s="28" t="str">
        <f t="shared" si="0"/>
        <v/>
      </c>
      <c r="C48" s="29"/>
      <c r="D48" s="29"/>
      <c r="E48" s="29"/>
      <c r="F48" s="29"/>
      <c r="G48" s="64"/>
      <c r="H48" s="81">
        <v>43</v>
      </c>
      <c r="I48" s="82" t="str">
        <f t="shared" si="1"/>
        <v/>
      </c>
      <c r="J48" s="82">
        <f t="shared" si="5"/>
        <v>-1</v>
      </c>
      <c r="K48" s="81">
        <f t="shared" si="2"/>
        <v>-10</v>
      </c>
      <c r="L48" s="81"/>
      <c r="M48" s="83">
        <f t="shared" si="3"/>
        <v>0</v>
      </c>
    </row>
    <row r="49" spans="1:13" x14ac:dyDescent="0.25">
      <c r="A49" s="110"/>
      <c r="B49" s="34" t="str">
        <f t="shared" si="0"/>
        <v/>
      </c>
      <c r="C49" s="35"/>
      <c r="D49" s="35"/>
      <c r="E49" s="35"/>
      <c r="F49" s="35"/>
      <c r="G49" s="64"/>
      <c r="H49" s="84">
        <v>44</v>
      </c>
      <c r="I49" s="85" t="str">
        <f t="shared" si="1"/>
        <v/>
      </c>
      <c r="J49" s="85">
        <f t="shared" si="5"/>
        <v>-1</v>
      </c>
      <c r="K49" s="84">
        <f t="shared" si="2"/>
        <v>-10</v>
      </c>
      <c r="L49" s="84"/>
      <c r="M49" s="86">
        <f t="shared" si="3"/>
        <v>0</v>
      </c>
    </row>
    <row r="50" spans="1:13" x14ac:dyDescent="0.25">
      <c r="A50" s="109"/>
      <c r="B50" s="28" t="str">
        <f t="shared" si="0"/>
        <v/>
      </c>
      <c r="C50" s="29"/>
      <c r="D50" s="29"/>
      <c r="E50" s="29"/>
      <c r="F50" s="29"/>
      <c r="G50" s="64"/>
      <c r="H50" s="81">
        <v>45</v>
      </c>
      <c r="I50" s="82" t="str">
        <f t="shared" si="1"/>
        <v/>
      </c>
      <c r="J50" s="82">
        <f t="shared" si="5"/>
        <v>-1</v>
      </c>
      <c r="K50" s="81">
        <f t="shared" si="2"/>
        <v>-10</v>
      </c>
      <c r="L50" s="81"/>
      <c r="M50" s="83">
        <f t="shared" si="3"/>
        <v>0</v>
      </c>
    </row>
    <row r="51" spans="1:13" x14ac:dyDescent="0.25">
      <c r="A51" s="110"/>
      <c r="B51" s="34" t="str">
        <f t="shared" si="0"/>
        <v/>
      </c>
      <c r="C51" s="35"/>
      <c r="D51" s="35"/>
      <c r="E51" s="35"/>
      <c r="F51" s="35"/>
      <c r="G51" s="64"/>
      <c r="H51" s="84">
        <v>46</v>
      </c>
      <c r="I51" s="85" t="str">
        <f t="shared" si="1"/>
        <v/>
      </c>
      <c r="J51" s="85">
        <f t="shared" si="5"/>
        <v>-1</v>
      </c>
      <c r="K51" s="84">
        <f t="shared" si="2"/>
        <v>-10</v>
      </c>
      <c r="L51" s="84"/>
      <c r="M51" s="86">
        <f t="shared" si="3"/>
        <v>0</v>
      </c>
    </row>
    <row r="52" spans="1:13" x14ac:dyDescent="0.25">
      <c r="A52" s="109"/>
      <c r="B52" s="28" t="str">
        <f t="shared" si="0"/>
        <v/>
      </c>
      <c r="C52" s="29"/>
      <c r="D52" s="29"/>
      <c r="E52" s="29"/>
      <c r="F52" s="29"/>
      <c r="G52" s="64"/>
      <c r="H52" s="81">
        <v>47</v>
      </c>
      <c r="I52" s="82" t="str">
        <f t="shared" si="1"/>
        <v/>
      </c>
      <c r="J52" s="82">
        <f t="shared" si="5"/>
        <v>-1</v>
      </c>
      <c r="K52" s="81">
        <f t="shared" si="2"/>
        <v>-10</v>
      </c>
      <c r="L52" s="81"/>
      <c r="M52" s="83">
        <f t="shared" si="3"/>
        <v>0</v>
      </c>
    </row>
    <row r="53" spans="1:13" x14ac:dyDescent="0.25">
      <c r="A53" s="110"/>
      <c r="B53" s="34" t="str">
        <f t="shared" si="0"/>
        <v/>
      </c>
      <c r="C53" s="35"/>
      <c r="D53" s="35"/>
      <c r="E53" s="35"/>
      <c r="F53" s="35"/>
      <c r="G53" s="64"/>
      <c r="H53" s="84">
        <v>48</v>
      </c>
      <c r="I53" s="85" t="str">
        <f t="shared" si="1"/>
        <v/>
      </c>
      <c r="J53" s="85">
        <f t="shared" si="5"/>
        <v>-1</v>
      </c>
      <c r="K53" s="84">
        <f t="shared" si="2"/>
        <v>-10</v>
      </c>
      <c r="L53" s="84"/>
      <c r="M53" s="86">
        <f t="shared" si="3"/>
        <v>0</v>
      </c>
    </row>
    <row r="54" spans="1:13" x14ac:dyDescent="0.25">
      <c r="A54" s="109"/>
      <c r="B54" s="28" t="str">
        <f t="shared" si="0"/>
        <v/>
      </c>
      <c r="C54" s="29"/>
      <c r="D54" s="29"/>
      <c r="E54" s="29"/>
      <c r="F54" s="29"/>
      <c r="G54" s="64"/>
      <c r="H54" s="81">
        <v>49</v>
      </c>
      <c r="I54" s="82" t="str">
        <f t="shared" si="1"/>
        <v/>
      </c>
      <c r="J54" s="82">
        <f t="shared" si="5"/>
        <v>-1</v>
      </c>
      <c r="K54" s="81">
        <f t="shared" si="2"/>
        <v>-10</v>
      </c>
      <c r="L54" s="81"/>
      <c r="M54" s="83">
        <f t="shared" si="3"/>
        <v>0</v>
      </c>
    </row>
    <row r="55" spans="1:13" x14ac:dyDescent="0.25">
      <c r="A55" s="110"/>
      <c r="B55" s="34" t="str">
        <f t="shared" si="0"/>
        <v/>
      </c>
      <c r="C55" s="35"/>
      <c r="D55" s="35"/>
      <c r="E55" s="35"/>
      <c r="F55" s="35"/>
      <c r="G55" s="64"/>
      <c r="H55" s="84">
        <v>50</v>
      </c>
      <c r="I55" s="85" t="str">
        <f t="shared" si="1"/>
        <v/>
      </c>
      <c r="J55" s="85">
        <f t="shared" si="5"/>
        <v>-1</v>
      </c>
      <c r="K55" s="84">
        <f t="shared" si="2"/>
        <v>-10</v>
      </c>
      <c r="L55" s="84"/>
      <c r="M55" s="86">
        <f t="shared" si="3"/>
        <v>0</v>
      </c>
    </row>
    <row r="56" spans="1:13" x14ac:dyDescent="0.25">
      <c r="A56" s="109"/>
      <c r="B56" s="28" t="str">
        <f t="shared" si="0"/>
        <v/>
      </c>
      <c r="C56" s="29"/>
      <c r="D56" s="29"/>
      <c r="E56" s="29"/>
      <c r="F56" s="29"/>
      <c r="G56" s="64"/>
      <c r="H56" s="81">
        <v>51</v>
      </c>
      <c r="I56" s="82" t="str">
        <f t="shared" si="1"/>
        <v/>
      </c>
      <c r="J56" s="82">
        <f t="shared" si="5"/>
        <v>-1</v>
      </c>
      <c r="K56" s="81">
        <f t="shared" si="2"/>
        <v>-10</v>
      </c>
      <c r="L56" s="81"/>
      <c r="M56" s="83">
        <f t="shared" si="3"/>
        <v>0</v>
      </c>
    </row>
    <row r="57" spans="1:13" x14ac:dyDescent="0.25">
      <c r="A57" s="110"/>
      <c r="B57" s="34" t="str">
        <f t="shared" si="0"/>
        <v/>
      </c>
      <c r="C57" s="35"/>
      <c r="D57" s="35"/>
      <c r="E57" s="35"/>
      <c r="F57" s="35"/>
      <c r="G57" s="64"/>
      <c r="H57" s="84">
        <v>52</v>
      </c>
      <c r="I57" s="85" t="str">
        <f t="shared" si="1"/>
        <v/>
      </c>
      <c r="J57" s="85">
        <f t="shared" si="5"/>
        <v>-1</v>
      </c>
      <c r="K57" s="84">
        <f t="shared" si="2"/>
        <v>-10</v>
      </c>
      <c r="L57" s="84"/>
      <c r="M57" s="86">
        <f t="shared" si="3"/>
        <v>0</v>
      </c>
    </row>
    <row r="58" spans="1:13" x14ac:dyDescent="0.25">
      <c r="A58" s="109"/>
      <c r="B58" s="28" t="str">
        <f t="shared" si="0"/>
        <v/>
      </c>
      <c r="C58" s="29"/>
      <c r="D58" s="29"/>
      <c r="E58" s="29"/>
      <c r="F58" s="29"/>
      <c r="G58" s="64"/>
      <c r="H58" s="81">
        <v>53</v>
      </c>
      <c r="I58" s="82" t="str">
        <f t="shared" si="1"/>
        <v/>
      </c>
      <c r="J58" s="82">
        <f t="shared" si="5"/>
        <v>-1</v>
      </c>
      <c r="K58" s="81">
        <f t="shared" si="2"/>
        <v>-10</v>
      </c>
      <c r="L58" s="81"/>
      <c r="M58" s="83">
        <f t="shared" si="3"/>
        <v>0</v>
      </c>
    </row>
    <row r="59" spans="1:13" x14ac:dyDescent="0.25">
      <c r="A59" s="110"/>
      <c r="B59" s="34" t="str">
        <f t="shared" si="0"/>
        <v/>
      </c>
      <c r="C59" s="35"/>
      <c r="D59" s="35"/>
      <c r="E59" s="35"/>
      <c r="F59" s="35"/>
      <c r="G59" s="64"/>
      <c r="H59" s="84">
        <v>54</v>
      </c>
      <c r="I59" s="85" t="str">
        <f t="shared" si="1"/>
        <v/>
      </c>
      <c r="J59" s="85">
        <f t="shared" si="5"/>
        <v>-1</v>
      </c>
      <c r="K59" s="84">
        <f t="shared" si="2"/>
        <v>-10</v>
      </c>
      <c r="L59" s="84"/>
      <c r="M59" s="86">
        <f t="shared" si="3"/>
        <v>0</v>
      </c>
    </row>
    <row r="60" spans="1:13" x14ac:dyDescent="0.25">
      <c r="A60" s="109"/>
      <c r="B60" s="28" t="str">
        <f t="shared" si="0"/>
        <v/>
      </c>
      <c r="C60" s="29"/>
      <c r="D60" s="29"/>
      <c r="E60" s="29"/>
      <c r="F60" s="29"/>
      <c r="G60" s="64"/>
      <c r="H60" s="81">
        <v>55</v>
      </c>
      <c r="I60" s="82" t="str">
        <f t="shared" si="1"/>
        <v/>
      </c>
      <c r="J60" s="82">
        <f t="shared" si="5"/>
        <v>-1</v>
      </c>
      <c r="K60" s="81">
        <f t="shared" si="2"/>
        <v>-10</v>
      </c>
      <c r="L60" s="81"/>
      <c r="M60" s="83">
        <f t="shared" si="3"/>
        <v>0</v>
      </c>
    </row>
    <row r="61" spans="1:13" x14ac:dyDescent="0.25">
      <c r="A61" s="110"/>
      <c r="B61" s="34" t="str">
        <f t="shared" si="0"/>
        <v/>
      </c>
      <c r="C61" s="35"/>
      <c r="D61" s="35"/>
      <c r="E61" s="35"/>
      <c r="F61" s="35"/>
      <c r="G61" s="64"/>
      <c r="H61" s="84">
        <v>56</v>
      </c>
      <c r="I61" s="85" t="str">
        <f t="shared" si="1"/>
        <v/>
      </c>
      <c r="J61" s="85">
        <f t="shared" si="5"/>
        <v>-1</v>
      </c>
      <c r="K61" s="84">
        <f t="shared" si="2"/>
        <v>-10</v>
      </c>
      <c r="L61" s="84"/>
      <c r="M61" s="86">
        <f t="shared" si="3"/>
        <v>0</v>
      </c>
    </row>
    <row r="62" spans="1:13" x14ac:dyDescent="0.25">
      <c r="A62" s="109"/>
      <c r="B62" s="28" t="str">
        <f t="shared" si="0"/>
        <v/>
      </c>
      <c r="C62" s="29"/>
      <c r="D62" s="29"/>
      <c r="E62" s="29"/>
      <c r="F62" s="29"/>
      <c r="G62" s="64"/>
      <c r="H62" s="81">
        <v>57</v>
      </c>
      <c r="I62" s="82" t="str">
        <f t="shared" si="1"/>
        <v/>
      </c>
      <c r="J62" s="82">
        <f t="shared" si="5"/>
        <v>-1</v>
      </c>
      <c r="K62" s="81">
        <f t="shared" si="2"/>
        <v>-10</v>
      </c>
      <c r="L62" s="81"/>
      <c r="M62" s="83">
        <f t="shared" si="3"/>
        <v>0</v>
      </c>
    </row>
    <row r="63" spans="1:13" x14ac:dyDescent="0.25">
      <c r="A63" s="110"/>
      <c r="B63" s="34" t="str">
        <f t="shared" si="0"/>
        <v/>
      </c>
      <c r="C63" s="35"/>
      <c r="D63" s="35"/>
      <c r="E63" s="35"/>
      <c r="F63" s="35"/>
      <c r="G63" s="64"/>
      <c r="H63" s="84">
        <v>58</v>
      </c>
      <c r="I63" s="85" t="str">
        <f t="shared" si="1"/>
        <v/>
      </c>
      <c r="J63" s="85">
        <f t="shared" si="5"/>
        <v>-1</v>
      </c>
      <c r="K63" s="84">
        <f t="shared" si="2"/>
        <v>-10</v>
      </c>
      <c r="L63" s="84"/>
      <c r="M63" s="86">
        <f t="shared" si="3"/>
        <v>0</v>
      </c>
    </row>
    <row r="64" spans="1:13" x14ac:dyDescent="0.25">
      <c r="A64" s="109"/>
      <c r="B64" s="28" t="str">
        <f t="shared" si="0"/>
        <v/>
      </c>
      <c r="C64" s="29"/>
      <c r="D64" s="29"/>
      <c r="E64" s="29"/>
      <c r="F64" s="29"/>
      <c r="G64" s="64"/>
      <c r="H64" s="81">
        <v>59</v>
      </c>
      <c r="I64" s="82" t="str">
        <f t="shared" si="1"/>
        <v/>
      </c>
      <c r="J64" s="82">
        <f t="shared" si="5"/>
        <v>-1</v>
      </c>
      <c r="K64" s="81">
        <f t="shared" si="2"/>
        <v>-10</v>
      </c>
      <c r="L64" s="81"/>
      <c r="M64" s="83">
        <f t="shared" si="3"/>
        <v>0</v>
      </c>
    </row>
    <row r="65" spans="1:13" x14ac:dyDescent="0.25">
      <c r="A65" s="110"/>
      <c r="B65" s="34" t="str">
        <f t="shared" si="0"/>
        <v/>
      </c>
      <c r="C65" s="35"/>
      <c r="D65" s="35"/>
      <c r="E65" s="35"/>
      <c r="F65" s="35"/>
      <c r="G65" s="64"/>
      <c r="H65" s="84">
        <v>60</v>
      </c>
      <c r="I65" s="85" t="str">
        <f t="shared" si="1"/>
        <v/>
      </c>
      <c r="J65" s="85">
        <f t="shared" si="5"/>
        <v>-1</v>
      </c>
      <c r="K65" s="84">
        <f t="shared" si="2"/>
        <v>-10</v>
      </c>
      <c r="L65" s="84"/>
      <c r="M65" s="86">
        <f t="shared" si="3"/>
        <v>0</v>
      </c>
    </row>
    <row r="66" spans="1:13" x14ac:dyDescent="0.25">
      <c r="A66" s="97"/>
      <c r="B66" s="28"/>
      <c r="G66" s="64"/>
      <c r="H66" s="81">
        <v>61</v>
      </c>
      <c r="I66" s="82" t="str">
        <f t="shared" si="1"/>
        <v/>
      </c>
      <c r="J66" s="82">
        <f t="shared" si="5"/>
        <v>-1</v>
      </c>
      <c r="K66" s="81">
        <f t="shared" si="2"/>
        <v>-10</v>
      </c>
      <c r="L66" s="81"/>
      <c r="M66" s="83">
        <f t="shared" si="3"/>
        <v>0</v>
      </c>
    </row>
    <row r="67" spans="1:13" x14ac:dyDescent="0.25">
      <c r="A67" s="97"/>
      <c r="B67" s="34"/>
      <c r="G67" s="64"/>
      <c r="H67" s="81">
        <v>62</v>
      </c>
      <c r="I67" s="82" t="str">
        <f t="shared" si="1"/>
        <v/>
      </c>
      <c r="J67" s="82">
        <f t="shared" si="5"/>
        <v>-1</v>
      </c>
      <c r="K67" s="81">
        <f t="shared" si="2"/>
        <v>-10</v>
      </c>
      <c r="L67" s="81"/>
      <c r="M67" s="83">
        <f t="shared" si="3"/>
        <v>0</v>
      </c>
    </row>
    <row r="68" spans="1:13" x14ac:dyDescent="0.25">
      <c r="A68" s="97"/>
      <c r="B68" s="28"/>
      <c r="G68" s="64"/>
      <c r="H68" s="81">
        <v>63</v>
      </c>
      <c r="I68" s="82" t="str">
        <f t="shared" si="1"/>
        <v/>
      </c>
      <c r="J68" s="82">
        <f t="shared" si="5"/>
        <v>-1</v>
      </c>
      <c r="K68" s="81">
        <f t="shared" si="2"/>
        <v>-10</v>
      </c>
      <c r="L68" s="81"/>
      <c r="M68" s="83">
        <f t="shared" si="3"/>
        <v>0</v>
      </c>
    </row>
    <row r="69" spans="1:13" x14ac:dyDescent="0.25">
      <c r="A69" s="97"/>
      <c r="B69" s="34"/>
      <c r="G69" s="64"/>
      <c r="H69" s="81">
        <v>64</v>
      </c>
      <c r="I69" s="82" t="str">
        <f t="shared" si="1"/>
        <v/>
      </c>
      <c r="J69" s="82">
        <f t="shared" si="5"/>
        <v>-1</v>
      </c>
      <c r="K69" s="81">
        <f t="shared" si="2"/>
        <v>-10</v>
      </c>
      <c r="L69" s="81"/>
      <c r="M69" s="83">
        <f t="shared" si="3"/>
        <v>0</v>
      </c>
    </row>
    <row r="70" spans="1:13" x14ac:dyDescent="0.25">
      <c r="A70" s="97"/>
      <c r="G70" s="64"/>
      <c r="H70" s="81">
        <v>65</v>
      </c>
      <c r="I70" s="82" t="str">
        <f t="shared" ref="I70:I133" si="6">IF(H70&lt;$H$2+1,($I$2-($I$2-1)*(LOG(H70)/LOG($H$2))),"")</f>
        <v/>
      </c>
      <c r="J70" s="82">
        <f t="shared" si="5"/>
        <v>-2</v>
      </c>
      <c r="K70" s="81">
        <f t="shared" ref="K70:K133" si="7">J70*$J$2</f>
        <v>-20</v>
      </c>
      <c r="L70" s="81"/>
      <c r="M70" s="83">
        <f t="shared" ref="M70:M133" si="8">IF(I70&lt;&gt;"",K70+I70+L70,0)</f>
        <v>0</v>
      </c>
    </row>
    <row r="71" spans="1:13" x14ac:dyDescent="0.25">
      <c r="A71" s="97"/>
      <c r="G71" s="64"/>
      <c r="H71" s="81">
        <v>66</v>
      </c>
      <c r="I71" s="82" t="str">
        <f t="shared" si="6"/>
        <v/>
      </c>
      <c r="J71" s="82">
        <f t="shared" ref="J71:J134" si="9">INT(LOG($H$2,2))-ROUNDUP(LOG(H71,2),0)+IF(OR($H$2=1,$H$2=2,$H$2=4,$H$2=8,$H$2=16,$H$2=32,$H$2=64,$H$2=128,$H$2=256),0,1)</f>
        <v>-2</v>
      </c>
      <c r="K71" s="81">
        <f t="shared" si="7"/>
        <v>-20</v>
      </c>
      <c r="L71" s="81"/>
      <c r="M71" s="83">
        <f t="shared" si="8"/>
        <v>0</v>
      </c>
    </row>
    <row r="72" spans="1:13" x14ac:dyDescent="0.25">
      <c r="A72" s="97"/>
      <c r="G72" s="64"/>
      <c r="H72" s="81">
        <v>67</v>
      </c>
      <c r="I72" s="82" t="str">
        <f t="shared" si="6"/>
        <v/>
      </c>
      <c r="J72" s="82">
        <f t="shared" si="9"/>
        <v>-2</v>
      </c>
      <c r="K72" s="81">
        <f t="shared" si="7"/>
        <v>-20</v>
      </c>
      <c r="L72" s="81"/>
      <c r="M72" s="83">
        <f t="shared" si="8"/>
        <v>0</v>
      </c>
    </row>
    <row r="73" spans="1:13" x14ac:dyDescent="0.25">
      <c r="A73" s="97"/>
      <c r="G73" s="64"/>
      <c r="H73" s="81">
        <v>68</v>
      </c>
      <c r="I73" s="82" t="str">
        <f t="shared" si="6"/>
        <v/>
      </c>
      <c r="J73" s="82">
        <f t="shared" si="9"/>
        <v>-2</v>
      </c>
      <c r="K73" s="81">
        <f t="shared" si="7"/>
        <v>-20</v>
      </c>
      <c r="L73" s="81"/>
      <c r="M73" s="83">
        <f t="shared" si="8"/>
        <v>0</v>
      </c>
    </row>
    <row r="74" spans="1:13" x14ac:dyDescent="0.25">
      <c r="A74" s="97"/>
      <c r="G74" s="64"/>
      <c r="H74" s="81">
        <v>69</v>
      </c>
      <c r="I74" s="82" t="str">
        <f t="shared" si="6"/>
        <v/>
      </c>
      <c r="J74" s="82">
        <f t="shared" si="9"/>
        <v>-2</v>
      </c>
      <c r="K74" s="81">
        <f t="shared" si="7"/>
        <v>-20</v>
      </c>
      <c r="L74" s="81"/>
      <c r="M74" s="83">
        <f t="shared" si="8"/>
        <v>0</v>
      </c>
    </row>
    <row r="75" spans="1:13" x14ac:dyDescent="0.25">
      <c r="A75" s="97"/>
      <c r="G75" s="64"/>
      <c r="H75" s="81">
        <v>70</v>
      </c>
      <c r="I75" s="82" t="str">
        <f t="shared" si="6"/>
        <v/>
      </c>
      <c r="J75" s="82">
        <f t="shared" si="9"/>
        <v>-2</v>
      </c>
      <c r="K75" s="81">
        <f t="shared" si="7"/>
        <v>-20</v>
      </c>
      <c r="L75" s="81"/>
      <c r="M75" s="83">
        <f t="shared" si="8"/>
        <v>0</v>
      </c>
    </row>
    <row r="76" spans="1:13" x14ac:dyDescent="0.25">
      <c r="A76" s="97"/>
      <c r="G76" s="64"/>
      <c r="H76" s="81">
        <v>71</v>
      </c>
      <c r="I76" s="82" t="str">
        <f t="shared" si="6"/>
        <v/>
      </c>
      <c r="J76" s="82">
        <f t="shared" si="9"/>
        <v>-2</v>
      </c>
      <c r="K76" s="81">
        <f t="shared" si="7"/>
        <v>-20</v>
      </c>
      <c r="L76" s="81"/>
      <c r="M76" s="83">
        <f t="shared" si="8"/>
        <v>0</v>
      </c>
    </row>
    <row r="77" spans="1:13" x14ac:dyDescent="0.25">
      <c r="A77" s="97"/>
      <c r="G77" s="64"/>
      <c r="H77" s="81">
        <v>72</v>
      </c>
      <c r="I77" s="82" t="str">
        <f t="shared" si="6"/>
        <v/>
      </c>
      <c r="J77" s="82">
        <f t="shared" si="9"/>
        <v>-2</v>
      </c>
      <c r="K77" s="81">
        <f t="shared" si="7"/>
        <v>-20</v>
      </c>
      <c r="L77" s="81"/>
      <c r="M77" s="83">
        <f t="shared" si="8"/>
        <v>0</v>
      </c>
    </row>
    <row r="78" spans="1:13" x14ac:dyDescent="0.25">
      <c r="A78" s="97"/>
      <c r="G78" s="64"/>
      <c r="H78" s="81">
        <v>73</v>
      </c>
      <c r="I78" s="82" t="str">
        <f t="shared" si="6"/>
        <v/>
      </c>
      <c r="J78" s="82">
        <f t="shared" si="9"/>
        <v>-2</v>
      </c>
      <c r="K78" s="81">
        <f t="shared" si="7"/>
        <v>-20</v>
      </c>
      <c r="L78" s="81"/>
      <c r="M78" s="83">
        <f t="shared" si="8"/>
        <v>0</v>
      </c>
    </row>
    <row r="79" spans="1:13" x14ac:dyDescent="0.25">
      <c r="A79" s="97"/>
      <c r="G79" s="64"/>
      <c r="H79" s="81">
        <v>74</v>
      </c>
      <c r="I79" s="82" t="str">
        <f t="shared" si="6"/>
        <v/>
      </c>
      <c r="J79" s="82">
        <f t="shared" si="9"/>
        <v>-2</v>
      </c>
      <c r="K79" s="81">
        <f t="shared" si="7"/>
        <v>-20</v>
      </c>
      <c r="L79" s="81"/>
      <c r="M79" s="83">
        <f t="shared" si="8"/>
        <v>0</v>
      </c>
    </row>
    <row r="80" spans="1:13" x14ac:dyDescent="0.25">
      <c r="A80" s="97"/>
      <c r="G80" s="64"/>
      <c r="H80" s="81">
        <v>75</v>
      </c>
      <c r="I80" s="82" t="str">
        <f t="shared" si="6"/>
        <v/>
      </c>
      <c r="J80" s="82">
        <f t="shared" si="9"/>
        <v>-2</v>
      </c>
      <c r="K80" s="81">
        <f t="shared" si="7"/>
        <v>-20</v>
      </c>
      <c r="L80" s="81"/>
      <c r="M80" s="83">
        <f t="shared" si="8"/>
        <v>0</v>
      </c>
    </row>
    <row r="81" spans="1:13" x14ac:dyDescent="0.25">
      <c r="A81" s="97"/>
      <c r="G81" s="64"/>
      <c r="H81" s="81">
        <v>76</v>
      </c>
      <c r="I81" s="82" t="str">
        <f t="shared" si="6"/>
        <v/>
      </c>
      <c r="J81" s="82">
        <f t="shared" si="9"/>
        <v>-2</v>
      </c>
      <c r="K81" s="81">
        <f t="shared" si="7"/>
        <v>-20</v>
      </c>
      <c r="L81" s="81"/>
      <c r="M81" s="83">
        <f t="shared" si="8"/>
        <v>0</v>
      </c>
    </row>
    <row r="82" spans="1:13" x14ac:dyDescent="0.25">
      <c r="A82" s="97"/>
      <c r="G82" s="64"/>
      <c r="H82" s="81">
        <v>77</v>
      </c>
      <c r="I82" s="82" t="str">
        <f t="shared" si="6"/>
        <v/>
      </c>
      <c r="J82" s="82">
        <f t="shared" si="9"/>
        <v>-2</v>
      </c>
      <c r="K82" s="81">
        <f t="shared" si="7"/>
        <v>-20</v>
      </c>
      <c r="L82" s="81"/>
      <c r="M82" s="83">
        <f t="shared" si="8"/>
        <v>0</v>
      </c>
    </row>
    <row r="83" spans="1:13" x14ac:dyDescent="0.25">
      <c r="A83" s="97"/>
      <c r="G83" s="64"/>
      <c r="H83" s="81">
        <v>78</v>
      </c>
      <c r="I83" s="82" t="str">
        <f t="shared" si="6"/>
        <v/>
      </c>
      <c r="J83" s="82">
        <f t="shared" si="9"/>
        <v>-2</v>
      </c>
      <c r="K83" s="81">
        <f t="shared" si="7"/>
        <v>-20</v>
      </c>
      <c r="L83" s="81"/>
      <c r="M83" s="83">
        <f t="shared" si="8"/>
        <v>0</v>
      </c>
    </row>
    <row r="84" spans="1:13" x14ac:dyDescent="0.25">
      <c r="A84" s="97"/>
      <c r="G84" s="64"/>
      <c r="H84" s="81">
        <v>79</v>
      </c>
      <c r="I84" s="82" t="str">
        <f t="shared" si="6"/>
        <v/>
      </c>
      <c r="J84" s="82">
        <f t="shared" si="9"/>
        <v>-2</v>
      </c>
      <c r="K84" s="81">
        <f t="shared" si="7"/>
        <v>-20</v>
      </c>
      <c r="L84" s="81"/>
      <c r="M84" s="83">
        <f t="shared" si="8"/>
        <v>0</v>
      </c>
    </row>
    <row r="85" spans="1:13" x14ac:dyDescent="0.25">
      <c r="A85" s="97"/>
      <c r="G85" s="64"/>
      <c r="H85" s="81">
        <v>80</v>
      </c>
      <c r="I85" s="82" t="str">
        <f t="shared" si="6"/>
        <v/>
      </c>
      <c r="J85" s="82">
        <f t="shared" si="9"/>
        <v>-2</v>
      </c>
      <c r="K85" s="81">
        <f t="shared" si="7"/>
        <v>-20</v>
      </c>
      <c r="L85" s="81"/>
      <c r="M85" s="83">
        <f t="shared" si="8"/>
        <v>0</v>
      </c>
    </row>
    <row r="86" spans="1:13" x14ac:dyDescent="0.25">
      <c r="A86" s="97"/>
      <c r="G86" s="64"/>
      <c r="H86" s="81">
        <v>81</v>
      </c>
      <c r="I86" s="82" t="str">
        <f t="shared" si="6"/>
        <v/>
      </c>
      <c r="J86" s="82">
        <f t="shared" si="9"/>
        <v>-2</v>
      </c>
      <c r="K86" s="81">
        <f t="shared" si="7"/>
        <v>-20</v>
      </c>
      <c r="L86" s="81"/>
      <c r="M86" s="83">
        <f t="shared" si="8"/>
        <v>0</v>
      </c>
    </row>
    <row r="87" spans="1:13" x14ac:dyDescent="0.25">
      <c r="A87" s="97"/>
      <c r="G87" s="64"/>
      <c r="H87" s="81">
        <v>82</v>
      </c>
      <c r="I87" s="82" t="str">
        <f t="shared" si="6"/>
        <v/>
      </c>
      <c r="J87" s="82">
        <f t="shared" si="9"/>
        <v>-2</v>
      </c>
      <c r="K87" s="81">
        <f t="shared" si="7"/>
        <v>-20</v>
      </c>
      <c r="L87" s="81"/>
      <c r="M87" s="83">
        <f t="shared" si="8"/>
        <v>0</v>
      </c>
    </row>
    <row r="88" spans="1:13" x14ac:dyDescent="0.25">
      <c r="A88" s="97"/>
      <c r="G88" s="64"/>
      <c r="H88" s="81">
        <v>83</v>
      </c>
      <c r="I88" s="82" t="str">
        <f t="shared" si="6"/>
        <v/>
      </c>
      <c r="J88" s="82">
        <f t="shared" si="9"/>
        <v>-2</v>
      </c>
      <c r="K88" s="81">
        <f t="shared" si="7"/>
        <v>-20</v>
      </c>
      <c r="L88" s="81"/>
      <c r="M88" s="83">
        <f t="shared" si="8"/>
        <v>0</v>
      </c>
    </row>
    <row r="89" spans="1:13" x14ac:dyDescent="0.25">
      <c r="A89" s="97"/>
      <c r="G89" s="64"/>
      <c r="H89" s="81">
        <v>84</v>
      </c>
      <c r="I89" s="82" t="str">
        <f t="shared" si="6"/>
        <v/>
      </c>
      <c r="J89" s="82">
        <f t="shared" si="9"/>
        <v>-2</v>
      </c>
      <c r="K89" s="81">
        <f t="shared" si="7"/>
        <v>-20</v>
      </c>
      <c r="L89" s="81"/>
      <c r="M89" s="83">
        <f t="shared" si="8"/>
        <v>0</v>
      </c>
    </row>
    <row r="90" spans="1:13" x14ac:dyDescent="0.25">
      <c r="A90" s="97"/>
      <c r="G90" s="64"/>
      <c r="H90" s="81">
        <v>85</v>
      </c>
      <c r="I90" s="82" t="str">
        <f t="shared" si="6"/>
        <v/>
      </c>
      <c r="J90" s="82">
        <f t="shared" si="9"/>
        <v>-2</v>
      </c>
      <c r="K90" s="81">
        <f t="shared" si="7"/>
        <v>-20</v>
      </c>
      <c r="L90" s="81"/>
      <c r="M90" s="83">
        <f t="shared" si="8"/>
        <v>0</v>
      </c>
    </row>
    <row r="91" spans="1:13" x14ac:dyDescent="0.25">
      <c r="A91" s="97"/>
      <c r="G91" s="64"/>
      <c r="H91" s="81">
        <v>86</v>
      </c>
      <c r="I91" s="82" t="str">
        <f t="shared" si="6"/>
        <v/>
      </c>
      <c r="J91" s="82">
        <f t="shared" si="9"/>
        <v>-2</v>
      </c>
      <c r="K91" s="81">
        <f t="shared" si="7"/>
        <v>-20</v>
      </c>
      <c r="L91" s="81"/>
      <c r="M91" s="83">
        <f t="shared" si="8"/>
        <v>0</v>
      </c>
    </row>
    <row r="92" spans="1:13" x14ac:dyDescent="0.25">
      <c r="A92" s="97"/>
      <c r="G92" s="64"/>
      <c r="H92" s="81">
        <v>87</v>
      </c>
      <c r="I92" s="82" t="str">
        <f t="shared" si="6"/>
        <v/>
      </c>
      <c r="J92" s="82">
        <f t="shared" si="9"/>
        <v>-2</v>
      </c>
      <c r="K92" s="81">
        <f t="shared" si="7"/>
        <v>-20</v>
      </c>
      <c r="L92" s="81"/>
      <c r="M92" s="83">
        <f t="shared" si="8"/>
        <v>0</v>
      </c>
    </row>
    <row r="93" spans="1:13" x14ac:dyDescent="0.25">
      <c r="A93" s="97"/>
      <c r="G93" s="64"/>
      <c r="H93" s="81">
        <v>88</v>
      </c>
      <c r="I93" s="82" t="str">
        <f t="shared" si="6"/>
        <v/>
      </c>
      <c r="J93" s="82">
        <f t="shared" si="9"/>
        <v>-2</v>
      </c>
      <c r="K93" s="81">
        <f t="shared" si="7"/>
        <v>-20</v>
      </c>
      <c r="L93" s="81"/>
      <c r="M93" s="83">
        <f t="shared" si="8"/>
        <v>0</v>
      </c>
    </row>
    <row r="94" spans="1:13" x14ac:dyDescent="0.25">
      <c r="A94" s="97"/>
      <c r="G94" s="64"/>
      <c r="H94" s="81">
        <v>89</v>
      </c>
      <c r="I94" s="82" t="str">
        <f t="shared" si="6"/>
        <v/>
      </c>
      <c r="J94" s="82">
        <f t="shared" si="9"/>
        <v>-2</v>
      </c>
      <c r="K94" s="81">
        <f t="shared" si="7"/>
        <v>-20</v>
      </c>
      <c r="L94" s="81"/>
      <c r="M94" s="83">
        <f t="shared" si="8"/>
        <v>0</v>
      </c>
    </row>
    <row r="95" spans="1:13" x14ac:dyDescent="0.25">
      <c r="A95" s="97"/>
      <c r="G95" s="64"/>
      <c r="H95" s="81">
        <v>90</v>
      </c>
      <c r="I95" s="82" t="str">
        <f t="shared" si="6"/>
        <v/>
      </c>
      <c r="J95" s="82">
        <f t="shared" si="9"/>
        <v>-2</v>
      </c>
      <c r="K95" s="81">
        <f t="shared" si="7"/>
        <v>-20</v>
      </c>
      <c r="L95" s="81"/>
      <c r="M95" s="83">
        <f t="shared" si="8"/>
        <v>0</v>
      </c>
    </row>
    <row r="96" spans="1:13" x14ac:dyDescent="0.25">
      <c r="A96" s="97"/>
      <c r="G96" s="64"/>
      <c r="H96" s="81">
        <v>91</v>
      </c>
      <c r="I96" s="82" t="str">
        <f t="shared" si="6"/>
        <v/>
      </c>
      <c r="J96" s="82">
        <f t="shared" si="9"/>
        <v>-2</v>
      </c>
      <c r="K96" s="81">
        <f t="shared" si="7"/>
        <v>-20</v>
      </c>
      <c r="L96" s="81"/>
      <c r="M96" s="83">
        <f t="shared" si="8"/>
        <v>0</v>
      </c>
    </row>
    <row r="97" spans="1:13" x14ac:dyDescent="0.25">
      <c r="A97" s="97"/>
      <c r="G97" s="64"/>
      <c r="H97" s="81">
        <v>92</v>
      </c>
      <c r="I97" s="82" t="str">
        <f t="shared" si="6"/>
        <v/>
      </c>
      <c r="J97" s="82">
        <f t="shared" si="9"/>
        <v>-2</v>
      </c>
      <c r="K97" s="81">
        <f t="shared" si="7"/>
        <v>-20</v>
      </c>
      <c r="L97" s="81"/>
      <c r="M97" s="83">
        <f t="shared" si="8"/>
        <v>0</v>
      </c>
    </row>
    <row r="98" spans="1:13" x14ac:dyDescent="0.25">
      <c r="A98" s="97"/>
      <c r="G98" s="64"/>
      <c r="H98" s="81">
        <v>93</v>
      </c>
      <c r="I98" s="82" t="str">
        <f t="shared" si="6"/>
        <v/>
      </c>
      <c r="J98" s="82">
        <f t="shared" si="9"/>
        <v>-2</v>
      </c>
      <c r="K98" s="81">
        <f t="shared" si="7"/>
        <v>-20</v>
      </c>
      <c r="L98" s="81"/>
      <c r="M98" s="83">
        <f t="shared" si="8"/>
        <v>0</v>
      </c>
    </row>
    <row r="99" spans="1:13" x14ac:dyDescent="0.25">
      <c r="A99" s="97"/>
      <c r="G99" s="64"/>
      <c r="H99" s="81">
        <v>94</v>
      </c>
      <c r="I99" s="82" t="str">
        <f t="shared" si="6"/>
        <v/>
      </c>
      <c r="J99" s="82">
        <f t="shared" si="9"/>
        <v>-2</v>
      </c>
      <c r="K99" s="81">
        <f t="shared" si="7"/>
        <v>-20</v>
      </c>
      <c r="L99" s="81"/>
      <c r="M99" s="83">
        <f t="shared" si="8"/>
        <v>0</v>
      </c>
    </row>
    <row r="100" spans="1:13" x14ac:dyDescent="0.25">
      <c r="A100" s="97"/>
      <c r="G100" s="64"/>
      <c r="H100" s="81">
        <v>95</v>
      </c>
      <c r="I100" s="82" t="str">
        <f t="shared" si="6"/>
        <v/>
      </c>
      <c r="J100" s="82">
        <f t="shared" si="9"/>
        <v>-2</v>
      </c>
      <c r="K100" s="81">
        <f t="shared" si="7"/>
        <v>-20</v>
      </c>
      <c r="L100" s="81"/>
      <c r="M100" s="83">
        <f t="shared" si="8"/>
        <v>0</v>
      </c>
    </row>
    <row r="101" spans="1:13" x14ac:dyDescent="0.25">
      <c r="A101" s="97"/>
      <c r="G101" s="64"/>
      <c r="H101" s="81">
        <v>96</v>
      </c>
      <c r="I101" s="82" t="str">
        <f t="shared" si="6"/>
        <v/>
      </c>
      <c r="J101" s="82">
        <f t="shared" si="9"/>
        <v>-2</v>
      </c>
      <c r="K101" s="81">
        <f t="shared" si="7"/>
        <v>-20</v>
      </c>
      <c r="L101" s="81"/>
      <c r="M101" s="83">
        <f t="shared" si="8"/>
        <v>0</v>
      </c>
    </row>
    <row r="102" spans="1:13" x14ac:dyDescent="0.25">
      <c r="A102" s="97"/>
      <c r="G102" s="64"/>
      <c r="H102" s="81">
        <v>97</v>
      </c>
      <c r="I102" s="82" t="str">
        <f t="shared" si="6"/>
        <v/>
      </c>
      <c r="J102" s="82">
        <f t="shared" si="9"/>
        <v>-2</v>
      </c>
      <c r="K102" s="81">
        <f t="shared" si="7"/>
        <v>-20</v>
      </c>
      <c r="L102" s="81"/>
      <c r="M102" s="83">
        <f t="shared" si="8"/>
        <v>0</v>
      </c>
    </row>
    <row r="103" spans="1:13" x14ac:dyDescent="0.25">
      <c r="A103" s="97"/>
      <c r="G103" s="64"/>
      <c r="H103" s="81">
        <v>98</v>
      </c>
      <c r="I103" s="82" t="str">
        <f t="shared" si="6"/>
        <v/>
      </c>
      <c r="J103" s="82">
        <f t="shared" si="9"/>
        <v>-2</v>
      </c>
      <c r="K103" s="81">
        <f t="shared" si="7"/>
        <v>-20</v>
      </c>
      <c r="L103" s="81"/>
      <c r="M103" s="83">
        <f t="shared" si="8"/>
        <v>0</v>
      </c>
    </row>
    <row r="104" spans="1:13" x14ac:dyDescent="0.25">
      <c r="A104" s="97"/>
      <c r="G104" s="64"/>
      <c r="H104" s="81">
        <v>99</v>
      </c>
      <c r="I104" s="82" t="str">
        <f t="shared" si="6"/>
        <v/>
      </c>
      <c r="J104" s="82">
        <f t="shared" si="9"/>
        <v>-2</v>
      </c>
      <c r="K104" s="81">
        <f t="shared" si="7"/>
        <v>-20</v>
      </c>
      <c r="L104" s="81"/>
      <c r="M104" s="83">
        <f t="shared" si="8"/>
        <v>0</v>
      </c>
    </row>
    <row r="105" spans="1:13" x14ac:dyDescent="0.25">
      <c r="A105" s="97"/>
      <c r="G105" s="64"/>
      <c r="H105" s="81">
        <v>100</v>
      </c>
      <c r="I105" s="82" t="str">
        <f t="shared" si="6"/>
        <v/>
      </c>
      <c r="J105" s="82">
        <f t="shared" si="9"/>
        <v>-2</v>
      </c>
      <c r="K105" s="81">
        <f t="shared" si="7"/>
        <v>-20</v>
      </c>
      <c r="L105" s="81"/>
      <c r="M105" s="83">
        <f t="shared" si="8"/>
        <v>0</v>
      </c>
    </row>
    <row r="106" spans="1:13" x14ac:dyDescent="0.25">
      <c r="A106" s="97"/>
      <c r="G106" s="64"/>
      <c r="H106" s="81">
        <v>101</v>
      </c>
      <c r="I106" s="82" t="str">
        <f t="shared" si="6"/>
        <v/>
      </c>
      <c r="J106" s="82">
        <f t="shared" si="9"/>
        <v>-2</v>
      </c>
      <c r="K106" s="81">
        <f t="shared" si="7"/>
        <v>-20</v>
      </c>
      <c r="L106" s="81"/>
      <c r="M106" s="83">
        <f t="shared" si="8"/>
        <v>0</v>
      </c>
    </row>
    <row r="107" spans="1:13" x14ac:dyDescent="0.25">
      <c r="A107" s="97"/>
      <c r="G107" s="64"/>
      <c r="H107" s="81">
        <v>102</v>
      </c>
      <c r="I107" s="82" t="str">
        <f t="shared" si="6"/>
        <v/>
      </c>
      <c r="J107" s="82">
        <f t="shared" si="9"/>
        <v>-2</v>
      </c>
      <c r="K107" s="81">
        <f t="shared" si="7"/>
        <v>-20</v>
      </c>
      <c r="L107" s="81"/>
      <c r="M107" s="83">
        <f t="shared" si="8"/>
        <v>0</v>
      </c>
    </row>
    <row r="108" spans="1:13" x14ac:dyDescent="0.25">
      <c r="A108" s="97"/>
      <c r="G108" s="64"/>
      <c r="H108" s="81">
        <v>103</v>
      </c>
      <c r="I108" s="82" t="str">
        <f t="shared" si="6"/>
        <v/>
      </c>
      <c r="J108" s="82">
        <f t="shared" si="9"/>
        <v>-2</v>
      </c>
      <c r="K108" s="81">
        <f t="shared" si="7"/>
        <v>-20</v>
      </c>
      <c r="L108" s="81"/>
      <c r="M108" s="83">
        <f t="shared" si="8"/>
        <v>0</v>
      </c>
    </row>
    <row r="109" spans="1:13" x14ac:dyDescent="0.25">
      <c r="A109" s="97"/>
      <c r="G109" s="64"/>
      <c r="H109" s="81">
        <v>104</v>
      </c>
      <c r="I109" s="82" t="str">
        <f t="shared" si="6"/>
        <v/>
      </c>
      <c r="J109" s="82">
        <f t="shared" si="9"/>
        <v>-2</v>
      </c>
      <c r="K109" s="81">
        <f t="shared" si="7"/>
        <v>-20</v>
      </c>
      <c r="L109" s="81"/>
      <c r="M109" s="83">
        <f t="shared" si="8"/>
        <v>0</v>
      </c>
    </row>
    <row r="110" spans="1:13" x14ac:dyDescent="0.25">
      <c r="A110" s="97"/>
      <c r="G110" s="64"/>
      <c r="H110" s="81">
        <v>105</v>
      </c>
      <c r="I110" s="82" t="str">
        <f t="shared" si="6"/>
        <v/>
      </c>
      <c r="J110" s="82">
        <f t="shared" si="9"/>
        <v>-2</v>
      </c>
      <c r="K110" s="81">
        <f t="shared" si="7"/>
        <v>-20</v>
      </c>
      <c r="L110" s="81"/>
      <c r="M110" s="83">
        <f t="shared" si="8"/>
        <v>0</v>
      </c>
    </row>
    <row r="111" spans="1:13" x14ac:dyDescent="0.25">
      <c r="A111" s="97"/>
      <c r="G111" s="64"/>
      <c r="H111" s="81">
        <v>106</v>
      </c>
      <c r="I111" s="82" t="str">
        <f t="shared" si="6"/>
        <v/>
      </c>
      <c r="J111" s="82">
        <f t="shared" si="9"/>
        <v>-2</v>
      </c>
      <c r="K111" s="81">
        <f t="shared" si="7"/>
        <v>-20</v>
      </c>
      <c r="L111" s="81"/>
      <c r="M111" s="83">
        <f t="shared" si="8"/>
        <v>0</v>
      </c>
    </row>
    <row r="112" spans="1:13" x14ac:dyDescent="0.25">
      <c r="A112" s="97"/>
      <c r="G112" s="64"/>
      <c r="H112" s="81">
        <v>107</v>
      </c>
      <c r="I112" s="82" t="str">
        <f t="shared" si="6"/>
        <v/>
      </c>
      <c r="J112" s="82">
        <f t="shared" si="9"/>
        <v>-2</v>
      </c>
      <c r="K112" s="81">
        <f t="shared" si="7"/>
        <v>-20</v>
      </c>
      <c r="L112" s="81"/>
      <c r="M112" s="83">
        <f t="shared" si="8"/>
        <v>0</v>
      </c>
    </row>
    <row r="113" spans="1:13" x14ac:dyDescent="0.25">
      <c r="A113" s="97"/>
      <c r="G113" s="64"/>
      <c r="H113" s="81">
        <v>108</v>
      </c>
      <c r="I113" s="82" t="str">
        <f t="shared" si="6"/>
        <v/>
      </c>
      <c r="J113" s="82">
        <f t="shared" si="9"/>
        <v>-2</v>
      </c>
      <c r="K113" s="81">
        <f t="shared" si="7"/>
        <v>-20</v>
      </c>
      <c r="L113" s="81"/>
      <c r="M113" s="83">
        <f t="shared" si="8"/>
        <v>0</v>
      </c>
    </row>
    <row r="114" spans="1:13" x14ac:dyDescent="0.25">
      <c r="A114" s="97"/>
      <c r="G114" s="64"/>
      <c r="H114" s="81">
        <v>109</v>
      </c>
      <c r="I114" s="82" t="str">
        <f t="shared" si="6"/>
        <v/>
      </c>
      <c r="J114" s="82">
        <f t="shared" si="9"/>
        <v>-2</v>
      </c>
      <c r="K114" s="81">
        <f t="shared" si="7"/>
        <v>-20</v>
      </c>
      <c r="L114" s="81"/>
      <c r="M114" s="83">
        <f t="shared" si="8"/>
        <v>0</v>
      </c>
    </row>
    <row r="115" spans="1:13" x14ac:dyDescent="0.25">
      <c r="A115" s="97"/>
      <c r="G115" s="64"/>
      <c r="H115" s="81">
        <v>110</v>
      </c>
      <c r="I115" s="82" t="str">
        <f t="shared" si="6"/>
        <v/>
      </c>
      <c r="J115" s="82">
        <f t="shared" si="9"/>
        <v>-2</v>
      </c>
      <c r="K115" s="81">
        <f t="shared" si="7"/>
        <v>-20</v>
      </c>
      <c r="L115" s="81"/>
      <c r="M115" s="83">
        <f t="shared" si="8"/>
        <v>0</v>
      </c>
    </row>
    <row r="116" spans="1:13" x14ac:dyDescent="0.25">
      <c r="A116" s="97"/>
      <c r="G116" s="64"/>
      <c r="H116" s="81">
        <v>111</v>
      </c>
      <c r="I116" s="82" t="str">
        <f t="shared" si="6"/>
        <v/>
      </c>
      <c r="J116" s="82">
        <f t="shared" si="9"/>
        <v>-2</v>
      </c>
      <c r="K116" s="81">
        <f t="shared" si="7"/>
        <v>-20</v>
      </c>
      <c r="L116" s="81"/>
      <c r="M116" s="83">
        <f t="shared" si="8"/>
        <v>0</v>
      </c>
    </row>
    <row r="117" spans="1:13" x14ac:dyDescent="0.25">
      <c r="A117" s="97"/>
      <c r="G117" s="64"/>
      <c r="H117" s="81">
        <v>112</v>
      </c>
      <c r="I117" s="82" t="str">
        <f t="shared" si="6"/>
        <v/>
      </c>
      <c r="J117" s="82">
        <f t="shared" si="9"/>
        <v>-2</v>
      </c>
      <c r="K117" s="81">
        <f t="shared" si="7"/>
        <v>-20</v>
      </c>
      <c r="L117" s="81"/>
      <c r="M117" s="83">
        <f t="shared" si="8"/>
        <v>0</v>
      </c>
    </row>
    <row r="118" spans="1:13" x14ac:dyDescent="0.25">
      <c r="A118" s="97"/>
      <c r="G118" s="64"/>
      <c r="H118" s="81">
        <v>113</v>
      </c>
      <c r="I118" s="82" t="str">
        <f t="shared" si="6"/>
        <v/>
      </c>
      <c r="J118" s="82">
        <f t="shared" si="9"/>
        <v>-2</v>
      </c>
      <c r="K118" s="81">
        <f t="shared" si="7"/>
        <v>-20</v>
      </c>
      <c r="L118" s="81"/>
      <c r="M118" s="83">
        <f t="shared" si="8"/>
        <v>0</v>
      </c>
    </row>
    <row r="119" spans="1:13" x14ac:dyDescent="0.25">
      <c r="A119" s="97"/>
      <c r="G119" s="64"/>
      <c r="H119" s="81">
        <v>114</v>
      </c>
      <c r="I119" s="82" t="str">
        <f t="shared" si="6"/>
        <v/>
      </c>
      <c r="J119" s="82">
        <f t="shared" si="9"/>
        <v>-2</v>
      </c>
      <c r="K119" s="81">
        <f t="shared" si="7"/>
        <v>-20</v>
      </c>
      <c r="L119" s="81"/>
      <c r="M119" s="83">
        <f t="shared" si="8"/>
        <v>0</v>
      </c>
    </row>
    <row r="120" spans="1:13" x14ac:dyDescent="0.25">
      <c r="A120" s="97"/>
      <c r="G120" s="64"/>
      <c r="H120" s="81">
        <v>115</v>
      </c>
      <c r="I120" s="82" t="str">
        <f t="shared" si="6"/>
        <v/>
      </c>
      <c r="J120" s="82">
        <f t="shared" si="9"/>
        <v>-2</v>
      </c>
      <c r="K120" s="81">
        <f t="shared" si="7"/>
        <v>-20</v>
      </c>
      <c r="L120" s="81"/>
      <c r="M120" s="83">
        <f t="shared" si="8"/>
        <v>0</v>
      </c>
    </row>
    <row r="121" spans="1:13" x14ac:dyDescent="0.25">
      <c r="A121" s="97"/>
      <c r="G121" s="64"/>
      <c r="H121" s="81">
        <v>116</v>
      </c>
      <c r="I121" s="82" t="str">
        <f t="shared" si="6"/>
        <v/>
      </c>
      <c r="J121" s="82">
        <f t="shared" si="9"/>
        <v>-2</v>
      </c>
      <c r="K121" s="81">
        <f t="shared" si="7"/>
        <v>-20</v>
      </c>
      <c r="L121" s="81"/>
      <c r="M121" s="83">
        <f t="shared" si="8"/>
        <v>0</v>
      </c>
    </row>
    <row r="122" spans="1:13" x14ac:dyDescent="0.25">
      <c r="A122" s="97"/>
      <c r="G122" s="64"/>
      <c r="H122" s="81">
        <v>117</v>
      </c>
      <c r="I122" s="82" t="str">
        <f t="shared" si="6"/>
        <v/>
      </c>
      <c r="J122" s="82">
        <f t="shared" si="9"/>
        <v>-2</v>
      </c>
      <c r="K122" s="81">
        <f t="shared" si="7"/>
        <v>-20</v>
      </c>
      <c r="L122" s="81"/>
      <c r="M122" s="83">
        <f t="shared" si="8"/>
        <v>0</v>
      </c>
    </row>
    <row r="123" spans="1:13" x14ac:dyDescent="0.25">
      <c r="A123" s="97"/>
      <c r="G123" s="64"/>
      <c r="H123" s="81">
        <v>118</v>
      </c>
      <c r="I123" s="82" t="str">
        <f t="shared" si="6"/>
        <v/>
      </c>
      <c r="J123" s="82">
        <f t="shared" si="9"/>
        <v>-2</v>
      </c>
      <c r="K123" s="81">
        <f t="shared" si="7"/>
        <v>-20</v>
      </c>
      <c r="L123" s="81"/>
      <c r="M123" s="83">
        <f t="shared" si="8"/>
        <v>0</v>
      </c>
    </row>
    <row r="124" spans="1:13" x14ac:dyDescent="0.25">
      <c r="A124" s="97"/>
      <c r="G124" s="64"/>
      <c r="H124" s="81">
        <v>119</v>
      </c>
      <c r="I124" s="82" t="str">
        <f t="shared" si="6"/>
        <v/>
      </c>
      <c r="J124" s="82">
        <f t="shared" si="9"/>
        <v>-2</v>
      </c>
      <c r="K124" s="81">
        <f t="shared" si="7"/>
        <v>-20</v>
      </c>
      <c r="L124" s="81"/>
      <c r="M124" s="83">
        <f t="shared" si="8"/>
        <v>0</v>
      </c>
    </row>
    <row r="125" spans="1:13" x14ac:dyDescent="0.25">
      <c r="A125" s="97"/>
      <c r="G125" s="64"/>
      <c r="H125" s="81">
        <v>120</v>
      </c>
      <c r="I125" s="82" t="str">
        <f t="shared" si="6"/>
        <v/>
      </c>
      <c r="J125" s="82">
        <f t="shared" si="9"/>
        <v>-2</v>
      </c>
      <c r="K125" s="81">
        <f t="shared" si="7"/>
        <v>-20</v>
      </c>
      <c r="L125" s="81"/>
      <c r="M125" s="83">
        <f t="shared" si="8"/>
        <v>0</v>
      </c>
    </row>
    <row r="126" spans="1:13" x14ac:dyDescent="0.25">
      <c r="A126" s="97"/>
      <c r="G126" s="64"/>
      <c r="H126" s="81">
        <v>121</v>
      </c>
      <c r="I126" s="82" t="str">
        <f t="shared" si="6"/>
        <v/>
      </c>
      <c r="J126" s="82">
        <f t="shared" si="9"/>
        <v>-2</v>
      </c>
      <c r="K126" s="81">
        <f t="shared" si="7"/>
        <v>-20</v>
      </c>
      <c r="L126" s="81"/>
      <c r="M126" s="83">
        <f t="shared" si="8"/>
        <v>0</v>
      </c>
    </row>
    <row r="127" spans="1:13" x14ac:dyDescent="0.25">
      <c r="A127" s="97"/>
      <c r="G127" s="64"/>
      <c r="H127" s="81">
        <v>122</v>
      </c>
      <c r="I127" s="82" t="str">
        <f t="shared" si="6"/>
        <v/>
      </c>
      <c r="J127" s="82">
        <f t="shared" si="9"/>
        <v>-2</v>
      </c>
      <c r="K127" s="81">
        <f t="shared" si="7"/>
        <v>-20</v>
      </c>
      <c r="L127" s="81"/>
      <c r="M127" s="83">
        <f t="shared" si="8"/>
        <v>0</v>
      </c>
    </row>
    <row r="128" spans="1:13" x14ac:dyDescent="0.25">
      <c r="A128" s="97"/>
      <c r="G128" s="64"/>
      <c r="H128" s="81">
        <v>123</v>
      </c>
      <c r="I128" s="82" t="str">
        <f t="shared" si="6"/>
        <v/>
      </c>
      <c r="J128" s="82">
        <f t="shared" si="9"/>
        <v>-2</v>
      </c>
      <c r="K128" s="81">
        <f t="shared" si="7"/>
        <v>-20</v>
      </c>
      <c r="L128" s="81"/>
      <c r="M128" s="83">
        <f t="shared" si="8"/>
        <v>0</v>
      </c>
    </row>
    <row r="129" spans="1:13" x14ac:dyDescent="0.25">
      <c r="A129" s="97"/>
      <c r="G129" s="64"/>
      <c r="H129" s="81">
        <v>124</v>
      </c>
      <c r="I129" s="82" t="str">
        <f t="shared" si="6"/>
        <v/>
      </c>
      <c r="J129" s="82">
        <f t="shared" si="9"/>
        <v>-2</v>
      </c>
      <c r="K129" s="81">
        <f t="shared" si="7"/>
        <v>-20</v>
      </c>
      <c r="L129" s="81"/>
      <c r="M129" s="83">
        <f t="shared" si="8"/>
        <v>0</v>
      </c>
    </row>
    <row r="130" spans="1:13" x14ac:dyDescent="0.25">
      <c r="A130" s="97"/>
      <c r="G130" s="64"/>
      <c r="H130" s="81">
        <v>125</v>
      </c>
      <c r="I130" s="82" t="str">
        <f t="shared" si="6"/>
        <v/>
      </c>
      <c r="J130" s="82">
        <f t="shared" si="9"/>
        <v>-2</v>
      </c>
      <c r="K130" s="81">
        <f t="shared" si="7"/>
        <v>-20</v>
      </c>
      <c r="L130" s="81"/>
      <c r="M130" s="83">
        <f t="shared" si="8"/>
        <v>0</v>
      </c>
    </row>
    <row r="131" spans="1:13" x14ac:dyDescent="0.25">
      <c r="A131" s="97"/>
      <c r="G131" s="64"/>
      <c r="H131" s="81">
        <v>126</v>
      </c>
      <c r="I131" s="82" t="str">
        <f t="shared" si="6"/>
        <v/>
      </c>
      <c r="J131" s="82">
        <f t="shared" si="9"/>
        <v>-2</v>
      </c>
      <c r="K131" s="81">
        <f t="shared" si="7"/>
        <v>-20</v>
      </c>
      <c r="L131" s="81"/>
      <c r="M131" s="83">
        <f t="shared" si="8"/>
        <v>0</v>
      </c>
    </row>
    <row r="132" spans="1:13" x14ac:dyDescent="0.25">
      <c r="A132" s="97"/>
      <c r="G132" s="64"/>
      <c r="H132" s="81">
        <v>127</v>
      </c>
      <c r="I132" s="82" t="str">
        <f t="shared" si="6"/>
        <v/>
      </c>
      <c r="J132" s="82">
        <f t="shared" si="9"/>
        <v>-2</v>
      </c>
      <c r="K132" s="81">
        <f t="shared" si="7"/>
        <v>-20</v>
      </c>
      <c r="L132" s="81"/>
      <c r="M132" s="83">
        <f t="shared" si="8"/>
        <v>0</v>
      </c>
    </row>
    <row r="133" spans="1:13" x14ac:dyDescent="0.25">
      <c r="A133" s="97"/>
      <c r="G133" s="64"/>
      <c r="H133" s="81">
        <v>128</v>
      </c>
      <c r="I133" s="82" t="str">
        <f t="shared" si="6"/>
        <v/>
      </c>
      <c r="J133" s="82">
        <f t="shared" si="9"/>
        <v>-2</v>
      </c>
      <c r="K133" s="81">
        <f t="shared" si="7"/>
        <v>-20</v>
      </c>
      <c r="L133" s="81"/>
      <c r="M133" s="83">
        <f t="shared" si="8"/>
        <v>0</v>
      </c>
    </row>
    <row r="134" spans="1:13" x14ac:dyDescent="0.25">
      <c r="A134" s="97"/>
      <c r="G134" s="64"/>
      <c r="H134" s="81">
        <v>129</v>
      </c>
      <c r="I134" s="82" t="str">
        <f t="shared" ref="I134:I197" si="10">IF(H134&lt;$H$2+1,($I$2-($I$2-1)*(LOG(H134)/LOG($H$2))),"")</f>
        <v/>
      </c>
      <c r="J134" s="82">
        <f t="shared" si="9"/>
        <v>-3</v>
      </c>
      <c r="K134" s="81">
        <f t="shared" ref="K134:K197" si="11">J134*$J$2</f>
        <v>-30</v>
      </c>
      <c r="L134" s="81"/>
      <c r="M134" s="83">
        <f t="shared" ref="M134:M197" si="12">IF(I134&lt;&gt;"",K134+I134+L134,0)</f>
        <v>0</v>
      </c>
    </row>
    <row r="135" spans="1:13" x14ac:dyDescent="0.25">
      <c r="A135" s="97"/>
      <c r="G135" s="64"/>
      <c r="H135" s="81">
        <v>130</v>
      </c>
      <c r="I135" s="82" t="str">
        <f t="shared" si="10"/>
        <v/>
      </c>
      <c r="J135" s="82">
        <f t="shared" ref="J135:J198" si="13">INT(LOG($H$2,2))-ROUNDUP(LOG(H135,2),0)+IF(OR($H$2=1,$H$2=2,$H$2=4,$H$2=8,$H$2=16,$H$2=32,$H$2=64,$H$2=128,$H$2=256),0,1)</f>
        <v>-3</v>
      </c>
      <c r="K135" s="81">
        <f t="shared" si="11"/>
        <v>-30</v>
      </c>
      <c r="L135" s="81"/>
      <c r="M135" s="83">
        <f t="shared" si="12"/>
        <v>0</v>
      </c>
    </row>
    <row r="136" spans="1:13" x14ac:dyDescent="0.25">
      <c r="A136" s="97"/>
      <c r="G136" s="64"/>
      <c r="H136" s="81">
        <v>131</v>
      </c>
      <c r="I136" s="82" t="str">
        <f t="shared" si="10"/>
        <v/>
      </c>
      <c r="J136" s="82">
        <f t="shared" si="13"/>
        <v>-3</v>
      </c>
      <c r="K136" s="81">
        <f t="shared" si="11"/>
        <v>-30</v>
      </c>
      <c r="L136" s="81"/>
      <c r="M136" s="83">
        <f t="shared" si="12"/>
        <v>0</v>
      </c>
    </row>
    <row r="137" spans="1:13" x14ac:dyDescent="0.25">
      <c r="A137" s="97"/>
      <c r="G137" s="64"/>
      <c r="H137" s="81">
        <v>132</v>
      </c>
      <c r="I137" s="82" t="str">
        <f t="shared" si="10"/>
        <v/>
      </c>
      <c r="J137" s="82">
        <f t="shared" si="13"/>
        <v>-3</v>
      </c>
      <c r="K137" s="81">
        <f t="shared" si="11"/>
        <v>-30</v>
      </c>
      <c r="L137" s="81"/>
      <c r="M137" s="83">
        <f t="shared" si="12"/>
        <v>0</v>
      </c>
    </row>
    <row r="138" spans="1:13" x14ac:dyDescent="0.25">
      <c r="A138" s="97"/>
      <c r="G138" s="64"/>
      <c r="H138" s="81">
        <v>133</v>
      </c>
      <c r="I138" s="82" t="str">
        <f t="shared" si="10"/>
        <v/>
      </c>
      <c r="J138" s="82">
        <f t="shared" si="13"/>
        <v>-3</v>
      </c>
      <c r="K138" s="81">
        <f t="shared" si="11"/>
        <v>-30</v>
      </c>
      <c r="L138" s="81"/>
      <c r="M138" s="83">
        <f t="shared" si="12"/>
        <v>0</v>
      </c>
    </row>
    <row r="139" spans="1:13" x14ac:dyDescent="0.25">
      <c r="A139" s="97"/>
      <c r="G139" s="64"/>
      <c r="H139" s="81">
        <v>134</v>
      </c>
      <c r="I139" s="82" t="str">
        <f t="shared" si="10"/>
        <v/>
      </c>
      <c r="J139" s="82">
        <f t="shared" si="13"/>
        <v>-3</v>
      </c>
      <c r="K139" s="81">
        <f t="shared" si="11"/>
        <v>-30</v>
      </c>
      <c r="L139" s="81"/>
      <c r="M139" s="83">
        <f t="shared" si="12"/>
        <v>0</v>
      </c>
    </row>
    <row r="140" spans="1:13" x14ac:dyDescent="0.25">
      <c r="A140" s="97"/>
      <c r="G140" s="64"/>
      <c r="H140" s="81">
        <v>135</v>
      </c>
      <c r="I140" s="82" t="str">
        <f t="shared" si="10"/>
        <v/>
      </c>
      <c r="J140" s="82">
        <f t="shared" si="13"/>
        <v>-3</v>
      </c>
      <c r="K140" s="81">
        <f t="shared" si="11"/>
        <v>-30</v>
      </c>
      <c r="L140" s="81"/>
      <c r="M140" s="83">
        <f t="shared" si="12"/>
        <v>0</v>
      </c>
    </row>
    <row r="141" spans="1:13" x14ac:dyDescent="0.25">
      <c r="A141" s="97"/>
      <c r="G141" s="64"/>
      <c r="H141" s="81">
        <v>136</v>
      </c>
      <c r="I141" s="82" t="str">
        <f t="shared" si="10"/>
        <v/>
      </c>
      <c r="J141" s="82">
        <f t="shared" si="13"/>
        <v>-3</v>
      </c>
      <c r="K141" s="81">
        <f t="shared" si="11"/>
        <v>-30</v>
      </c>
      <c r="L141" s="81"/>
      <c r="M141" s="83">
        <f t="shared" si="12"/>
        <v>0</v>
      </c>
    </row>
    <row r="142" spans="1:13" x14ac:dyDescent="0.25">
      <c r="A142" s="97"/>
      <c r="G142" s="64"/>
      <c r="H142" s="81">
        <v>137</v>
      </c>
      <c r="I142" s="82" t="str">
        <f t="shared" si="10"/>
        <v/>
      </c>
      <c r="J142" s="82">
        <f t="shared" si="13"/>
        <v>-3</v>
      </c>
      <c r="K142" s="81">
        <f t="shared" si="11"/>
        <v>-30</v>
      </c>
      <c r="L142" s="81"/>
      <c r="M142" s="83">
        <f t="shared" si="12"/>
        <v>0</v>
      </c>
    </row>
    <row r="143" spans="1:13" x14ac:dyDescent="0.25">
      <c r="A143" s="97"/>
      <c r="G143" s="64"/>
      <c r="H143" s="81">
        <v>138</v>
      </c>
      <c r="I143" s="82" t="str">
        <f t="shared" si="10"/>
        <v/>
      </c>
      <c r="J143" s="82">
        <f t="shared" si="13"/>
        <v>-3</v>
      </c>
      <c r="K143" s="81">
        <f t="shared" si="11"/>
        <v>-30</v>
      </c>
      <c r="L143" s="81"/>
      <c r="M143" s="83">
        <f t="shared" si="12"/>
        <v>0</v>
      </c>
    </row>
    <row r="144" spans="1:13" x14ac:dyDescent="0.25">
      <c r="A144" s="97"/>
      <c r="G144" s="64"/>
      <c r="H144" s="81">
        <v>139</v>
      </c>
      <c r="I144" s="82" t="str">
        <f t="shared" si="10"/>
        <v/>
      </c>
      <c r="J144" s="82">
        <f t="shared" si="13"/>
        <v>-3</v>
      </c>
      <c r="K144" s="81">
        <f t="shared" si="11"/>
        <v>-30</v>
      </c>
      <c r="L144" s="81"/>
      <c r="M144" s="83">
        <f t="shared" si="12"/>
        <v>0</v>
      </c>
    </row>
    <row r="145" spans="1:13" x14ac:dyDescent="0.25">
      <c r="A145" s="97"/>
      <c r="G145" s="64"/>
      <c r="H145" s="81">
        <v>140</v>
      </c>
      <c r="I145" s="82" t="str">
        <f t="shared" si="10"/>
        <v/>
      </c>
      <c r="J145" s="82">
        <f t="shared" si="13"/>
        <v>-3</v>
      </c>
      <c r="K145" s="81">
        <f t="shared" si="11"/>
        <v>-30</v>
      </c>
      <c r="L145" s="81"/>
      <c r="M145" s="83">
        <f t="shared" si="12"/>
        <v>0</v>
      </c>
    </row>
    <row r="146" spans="1:13" x14ac:dyDescent="0.25">
      <c r="A146" s="97"/>
      <c r="G146" s="64"/>
      <c r="H146" s="81">
        <v>141</v>
      </c>
      <c r="I146" s="82" t="str">
        <f t="shared" si="10"/>
        <v/>
      </c>
      <c r="J146" s="82">
        <f t="shared" si="13"/>
        <v>-3</v>
      </c>
      <c r="K146" s="81">
        <f t="shared" si="11"/>
        <v>-30</v>
      </c>
      <c r="L146" s="81"/>
      <c r="M146" s="83">
        <f t="shared" si="12"/>
        <v>0</v>
      </c>
    </row>
    <row r="147" spans="1:13" x14ac:dyDescent="0.25">
      <c r="A147" s="97"/>
      <c r="G147" s="64"/>
      <c r="H147" s="81">
        <v>142</v>
      </c>
      <c r="I147" s="82" t="str">
        <f t="shared" si="10"/>
        <v/>
      </c>
      <c r="J147" s="82">
        <f t="shared" si="13"/>
        <v>-3</v>
      </c>
      <c r="K147" s="81">
        <f t="shared" si="11"/>
        <v>-30</v>
      </c>
      <c r="L147" s="81"/>
      <c r="M147" s="83">
        <f t="shared" si="12"/>
        <v>0</v>
      </c>
    </row>
    <row r="148" spans="1:13" x14ac:dyDescent="0.25">
      <c r="A148" s="97"/>
      <c r="G148" s="64"/>
      <c r="H148" s="81">
        <v>143</v>
      </c>
      <c r="I148" s="82" t="str">
        <f t="shared" si="10"/>
        <v/>
      </c>
      <c r="J148" s="82">
        <f t="shared" si="13"/>
        <v>-3</v>
      </c>
      <c r="K148" s="81">
        <f t="shared" si="11"/>
        <v>-30</v>
      </c>
      <c r="L148" s="81"/>
      <c r="M148" s="83">
        <f t="shared" si="12"/>
        <v>0</v>
      </c>
    </row>
    <row r="149" spans="1:13" x14ac:dyDescent="0.25">
      <c r="A149" s="97"/>
      <c r="G149" s="64"/>
      <c r="H149" s="81">
        <v>144</v>
      </c>
      <c r="I149" s="82" t="str">
        <f t="shared" si="10"/>
        <v/>
      </c>
      <c r="J149" s="82">
        <f t="shared" si="13"/>
        <v>-3</v>
      </c>
      <c r="K149" s="81">
        <f t="shared" si="11"/>
        <v>-30</v>
      </c>
      <c r="L149" s="81"/>
      <c r="M149" s="83">
        <f t="shared" si="12"/>
        <v>0</v>
      </c>
    </row>
    <row r="150" spans="1:13" x14ac:dyDescent="0.25">
      <c r="A150" s="97"/>
      <c r="G150" s="64"/>
      <c r="H150" s="81">
        <v>145</v>
      </c>
      <c r="I150" s="82" t="str">
        <f t="shared" si="10"/>
        <v/>
      </c>
      <c r="J150" s="82">
        <f t="shared" si="13"/>
        <v>-3</v>
      </c>
      <c r="K150" s="81">
        <f t="shared" si="11"/>
        <v>-30</v>
      </c>
      <c r="L150" s="81"/>
      <c r="M150" s="83">
        <f t="shared" si="12"/>
        <v>0</v>
      </c>
    </row>
    <row r="151" spans="1:13" x14ac:dyDescent="0.25">
      <c r="A151" s="97"/>
      <c r="G151" s="64"/>
      <c r="H151" s="81">
        <v>146</v>
      </c>
      <c r="I151" s="82" t="str">
        <f t="shared" si="10"/>
        <v/>
      </c>
      <c r="J151" s="82">
        <f t="shared" si="13"/>
        <v>-3</v>
      </c>
      <c r="K151" s="81">
        <f t="shared" si="11"/>
        <v>-30</v>
      </c>
      <c r="L151" s="81"/>
      <c r="M151" s="83">
        <f t="shared" si="12"/>
        <v>0</v>
      </c>
    </row>
    <row r="152" spans="1:13" x14ac:dyDescent="0.25">
      <c r="A152" s="97"/>
      <c r="G152" s="64"/>
      <c r="H152" s="81">
        <v>147</v>
      </c>
      <c r="I152" s="82" t="str">
        <f t="shared" si="10"/>
        <v/>
      </c>
      <c r="J152" s="82">
        <f t="shared" si="13"/>
        <v>-3</v>
      </c>
      <c r="K152" s="81">
        <f t="shared" si="11"/>
        <v>-30</v>
      </c>
      <c r="L152" s="81"/>
      <c r="M152" s="83">
        <f t="shared" si="12"/>
        <v>0</v>
      </c>
    </row>
    <row r="153" spans="1:13" x14ac:dyDescent="0.25">
      <c r="A153" s="97"/>
      <c r="G153" s="64"/>
      <c r="H153" s="81">
        <v>148</v>
      </c>
      <c r="I153" s="82" t="str">
        <f t="shared" si="10"/>
        <v/>
      </c>
      <c r="J153" s="82">
        <f t="shared" si="13"/>
        <v>-3</v>
      </c>
      <c r="K153" s="81">
        <f t="shared" si="11"/>
        <v>-30</v>
      </c>
      <c r="L153" s="81"/>
      <c r="M153" s="83">
        <f t="shared" si="12"/>
        <v>0</v>
      </c>
    </row>
    <row r="154" spans="1:13" x14ac:dyDescent="0.25">
      <c r="A154" s="97"/>
      <c r="G154" s="64"/>
      <c r="H154" s="81">
        <v>149</v>
      </c>
      <c r="I154" s="82" t="str">
        <f t="shared" si="10"/>
        <v/>
      </c>
      <c r="J154" s="82">
        <f t="shared" si="13"/>
        <v>-3</v>
      </c>
      <c r="K154" s="81">
        <f t="shared" si="11"/>
        <v>-30</v>
      </c>
      <c r="L154" s="81"/>
      <c r="M154" s="83">
        <f t="shared" si="12"/>
        <v>0</v>
      </c>
    </row>
    <row r="155" spans="1:13" x14ac:dyDescent="0.25">
      <c r="A155" s="97"/>
      <c r="G155" s="64"/>
      <c r="H155" s="81">
        <v>150</v>
      </c>
      <c r="I155" s="82" t="str">
        <f t="shared" si="10"/>
        <v/>
      </c>
      <c r="J155" s="82">
        <f t="shared" si="13"/>
        <v>-3</v>
      </c>
      <c r="K155" s="81">
        <f t="shared" si="11"/>
        <v>-30</v>
      </c>
      <c r="L155" s="81"/>
      <c r="M155" s="83">
        <f t="shared" si="12"/>
        <v>0</v>
      </c>
    </row>
    <row r="156" spans="1:13" x14ac:dyDescent="0.25">
      <c r="A156" s="97"/>
      <c r="G156" s="64"/>
      <c r="H156" s="81">
        <v>151</v>
      </c>
      <c r="I156" s="82" t="str">
        <f t="shared" si="10"/>
        <v/>
      </c>
      <c r="J156" s="82">
        <f t="shared" si="13"/>
        <v>-3</v>
      </c>
      <c r="K156" s="81">
        <f t="shared" si="11"/>
        <v>-30</v>
      </c>
      <c r="L156" s="81"/>
      <c r="M156" s="83">
        <f t="shared" si="12"/>
        <v>0</v>
      </c>
    </row>
    <row r="157" spans="1:13" x14ac:dyDescent="0.25">
      <c r="A157" s="97"/>
      <c r="G157" s="64"/>
      <c r="H157" s="81">
        <v>152</v>
      </c>
      <c r="I157" s="82" t="str">
        <f t="shared" si="10"/>
        <v/>
      </c>
      <c r="J157" s="82">
        <f t="shared" si="13"/>
        <v>-3</v>
      </c>
      <c r="K157" s="81">
        <f t="shared" si="11"/>
        <v>-30</v>
      </c>
      <c r="L157" s="81"/>
      <c r="M157" s="83">
        <f t="shared" si="12"/>
        <v>0</v>
      </c>
    </row>
    <row r="158" spans="1:13" x14ac:dyDescent="0.25">
      <c r="A158" s="97"/>
      <c r="G158" s="64"/>
      <c r="H158" s="81">
        <v>153</v>
      </c>
      <c r="I158" s="82" t="str">
        <f t="shared" si="10"/>
        <v/>
      </c>
      <c r="J158" s="82">
        <f t="shared" si="13"/>
        <v>-3</v>
      </c>
      <c r="K158" s="81">
        <f t="shared" si="11"/>
        <v>-30</v>
      </c>
      <c r="L158" s="81"/>
      <c r="M158" s="83">
        <f t="shared" si="12"/>
        <v>0</v>
      </c>
    </row>
    <row r="159" spans="1:13" x14ac:dyDescent="0.25">
      <c r="A159" s="97"/>
      <c r="G159" s="64"/>
      <c r="H159" s="81">
        <v>154</v>
      </c>
      <c r="I159" s="82" t="str">
        <f t="shared" si="10"/>
        <v/>
      </c>
      <c r="J159" s="82">
        <f t="shared" si="13"/>
        <v>-3</v>
      </c>
      <c r="K159" s="81">
        <f t="shared" si="11"/>
        <v>-30</v>
      </c>
      <c r="L159" s="81"/>
      <c r="M159" s="83">
        <f t="shared" si="12"/>
        <v>0</v>
      </c>
    </row>
    <row r="160" spans="1:13" x14ac:dyDescent="0.25">
      <c r="A160" s="97"/>
      <c r="G160" s="64"/>
      <c r="H160" s="81">
        <v>155</v>
      </c>
      <c r="I160" s="82" t="str">
        <f t="shared" si="10"/>
        <v/>
      </c>
      <c r="J160" s="82">
        <f t="shared" si="13"/>
        <v>-3</v>
      </c>
      <c r="K160" s="81">
        <f t="shared" si="11"/>
        <v>-30</v>
      </c>
      <c r="L160" s="81"/>
      <c r="M160" s="83">
        <f t="shared" si="12"/>
        <v>0</v>
      </c>
    </row>
    <row r="161" spans="1:13" x14ac:dyDescent="0.25">
      <c r="A161" s="97"/>
      <c r="G161" s="64"/>
      <c r="H161" s="81">
        <v>156</v>
      </c>
      <c r="I161" s="82" t="str">
        <f t="shared" si="10"/>
        <v/>
      </c>
      <c r="J161" s="82">
        <f t="shared" si="13"/>
        <v>-3</v>
      </c>
      <c r="K161" s="81">
        <f t="shared" si="11"/>
        <v>-30</v>
      </c>
      <c r="L161" s="81"/>
      <c r="M161" s="83">
        <f t="shared" si="12"/>
        <v>0</v>
      </c>
    </row>
    <row r="162" spans="1:13" x14ac:dyDescent="0.25">
      <c r="A162" s="97"/>
      <c r="G162" s="64"/>
      <c r="H162" s="81">
        <v>157</v>
      </c>
      <c r="I162" s="82" t="str">
        <f t="shared" si="10"/>
        <v/>
      </c>
      <c r="J162" s="82">
        <f t="shared" si="13"/>
        <v>-3</v>
      </c>
      <c r="K162" s="81">
        <f t="shared" si="11"/>
        <v>-30</v>
      </c>
      <c r="L162" s="81"/>
      <c r="M162" s="83">
        <f t="shared" si="12"/>
        <v>0</v>
      </c>
    </row>
    <row r="163" spans="1:13" x14ac:dyDescent="0.25">
      <c r="A163" s="97"/>
      <c r="G163" s="64"/>
      <c r="H163" s="81">
        <v>158</v>
      </c>
      <c r="I163" s="82" t="str">
        <f t="shared" si="10"/>
        <v/>
      </c>
      <c r="J163" s="82">
        <f t="shared" si="13"/>
        <v>-3</v>
      </c>
      <c r="K163" s="81">
        <f t="shared" si="11"/>
        <v>-30</v>
      </c>
      <c r="L163" s="81"/>
      <c r="M163" s="83">
        <f t="shared" si="12"/>
        <v>0</v>
      </c>
    </row>
    <row r="164" spans="1:13" x14ac:dyDescent="0.25">
      <c r="A164" s="97"/>
      <c r="G164" s="64"/>
      <c r="H164" s="81">
        <v>159</v>
      </c>
      <c r="I164" s="82" t="str">
        <f t="shared" si="10"/>
        <v/>
      </c>
      <c r="J164" s="82">
        <f t="shared" si="13"/>
        <v>-3</v>
      </c>
      <c r="K164" s="81">
        <f t="shared" si="11"/>
        <v>-30</v>
      </c>
      <c r="L164" s="81"/>
      <c r="M164" s="83">
        <f t="shared" si="12"/>
        <v>0</v>
      </c>
    </row>
    <row r="165" spans="1:13" x14ac:dyDescent="0.25">
      <c r="A165" s="97"/>
      <c r="G165" s="64"/>
      <c r="H165" s="81">
        <v>160</v>
      </c>
      <c r="I165" s="82" t="str">
        <f t="shared" si="10"/>
        <v/>
      </c>
      <c r="J165" s="82">
        <f t="shared" si="13"/>
        <v>-3</v>
      </c>
      <c r="K165" s="81">
        <f t="shared" si="11"/>
        <v>-30</v>
      </c>
      <c r="L165" s="81"/>
      <c r="M165" s="83">
        <f t="shared" si="12"/>
        <v>0</v>
      </c>
    </row>
    <row r="166" spans="1:13" x14ac:dyDescent="0.25">
      <c r="A166" s="97"/>
      <c r="G166" s="64"/>
      <c r="H166" s="81">
        <v>161</v>
      </c>
      <c r="I166" s="82" t="str">
        <f t="shared" si="10"/>
        <v/>
      </c>
      <c r="J166" s="82">
        <f t="shared" si="13"/>
        <v>-3</v>
      </c>
      <c r="K166" s="81">
        <f t="shared" si="11"/>
        <v>-30</v>
      </c>
      <c r="L166" s="81"/>
      <c r="M166" s="83">
        <f t="shared" si="12"/>
        <v>0</v>
      </c>
    </row>
    <row r="167" spans="1:13" x14ac:dyDescent="0.25">
      <c r="A167" s="97"/>
      <c r="G167" s="64"/>
      <c r="H167" s="81">
        <v>162</v>
      </c>
      <c r="I167" s="82" t="str">
        <f t="shared" si="10"/>
        <v/>
      </c>
      <c r="J167" s="82">
        <f t="shared" si="13"/>
        <v>-3</v>
      </c>
      <c r="K167" s="81">
        <f t="shared" si="11"/>
        <v>-30</v>
      </c>
      <c r="L167" s="81"/>
      <c r="M167" s="83">
        <f t="shared" si="12"/>
        <v>0</v>
      </c>
    </row>
    <row r="168" spans="1:13" x14ac:dyDescent="0.25">
      <c r="A168" s="97"/>
      <c r="G168" s="64"/>
      <c r="H168" s="81">
        <v>163</v>
      </c>
      <c r="I168" s="82" t="str">
        <f t="shared" si="10"/>
        <v/>
      </c>
      <c r="J168" s="82">
        <f t="shared" si="13"/>
        <v>-3</v>
      </c>
      <c r="K168" s="81">
        <f t="shared" si="11"/>
        <v>-30</v>
      </c>
      <c r="L168" s="81"/>
      <c r="M168" s="83">
        <f t="shared" si="12"/>
        <v>0</v>
      </c>
    </row>
    <row r="169" spans="1:13" x14ac:dyDescent="0.25">
      <c r="A169" s="97"/>
      <c r="G169" s="64"/>
      <c r="H169" s="81">
        <v>164</v>
      </c>
      <c r="I169" s="82" t="str">
        <f t="shared" si="10"/>
        <v/>
      </c>
      <c r="J169" s="82">
        <f t="shared" si="13"/>
        <v>-3</v>
      </c>
      <c r="K169" s="81">
        <f t="shared" si="11"/>
        <v>-30</v>
      </c>
      <c r="L169" s="81"/>
      <c r="M169" s="83">
        <f t="shared" si="12"/>
        <v>0</v>
      </c>
    </row>
    <row r="170" spans="1:13" x14ac:dyDescent="0.25">
      <c r="A170" s="97"/>
      <c r="G170" s="64"/>
      <c r="H170" s="81">
        <v>165</v>
      </c>
      <c r="I170" s="82" t="str">
        <f t="shared" si="10"/>
        <v/>
      </c>
      <c r="J170" s="82">
        <f t="shared" si="13"/>
        <v>-3</v>
      </c>
      <c r="K170" s="81">
        <f t="shared" si="11"/>
        <v>-30</v>
      </c>
      <c r="L170" s="81"/>
      <c r="M170" s="83">
        <f t="shared" si="12"/>
        <v>0</v>
      </c>
    </row>
    <row r="171" spans="1:13" x14ac:dyDescent="0.25">
      <c r="A171" s="97"/>
      <c r="G171" s="64"/>
      <c r="H171" s="81">
        <v>166</v>
      </c>
      <c r="I171" s="82" t="str">
        <f t="shared" si="10"/>
        <v/>
      </c>
      <c r="J171" s="82">
        <f t="shared" si="13"/>
        <v>-3</v>
      </c>
      <c r="K171" s="81">
        <f t="shared" si="11"/>
        <v>-30</v>
      </c>
      <c r="L171" s="81"/>
      <c r="M171" s="83">
        <f t="shared" si="12"/>
        <v>0</v>
      </c>
    </row>
    <row r="172" spans="1:13" x14ac:dyDescent="0.25">
      <c r="A172" s="97"/>
      <c r="G172" s="64"/>
      <c r="H172" s="81">
        <v>167</v>
      </c>
      <c r="I172" s="82" t="str">
        <f t="shared" si="10"/>
        <v/>
      </c>
      <c r="J172" s="82">
        <f t="shared" si="13"/>
        <v>-3</v>
      </c>
      <c r="K172" s="81">
        <f t="shared" si="11"/>
        <v>-30</v>
      </c>
      <c r="L172" s="81"/>
      <c r="M172" s="83">
        <f t="shared" si="12"/>
        <v>0</v>
      </c>
    </row>
    <row r="173" spans="1:13" x14ac:dyDescent="0.25">
      <c r="A173" s="97"/>
      <c r="G173" s="64"/>
      <c r="H173" s="81">
        <v>168</v>
      </c>
      <c r="I173" s="82" t="str">
        <f t="shared" si="10"/>
        <v/>
      </c>
      <c r="J173" s="82">
        <f t="shared" si="13"/>
        <v>-3</v>
      </c>
      <c r="K173" s="81">
        <f t="shared" si="11"/>
        <v>-30</v>
      </c>
      <c r="L173" s="81"/>
      <c r="M173" s="83">
        <f t="shared" si="12"/>
        <v>0</v>
      </c>
    </row>
    <row r="174" spans="1:13" x14ac:dyDescent="0.25">
      <c r="A174" s="97"/>
      <c r="G174" s="64"/>
      <c r="H174" s="81">
        <v>169</v>
      </c>
      <c r="I174" s="82" t="str">
        <f t="shared" si="10"/>
        <v/>
      </c>
      <c r="J174" s="82">
        <f t="shared" si="13"/>
        <v>-3</v>
      </c>
      <c r="K174" s="81">
        <f t="shared" si="11"/>
        <v>-30</v>
      </c>
      <c r="L174" s="81"/>
      <c r="M174" s="83">
        <f t="shared" si="12"/>
        <v>0</v>
      </c>
    </row>
    <row r="175" spans="1:13" x14ac:dyDescent="0.25">
      <c r="A175" s="97"/>
      <c r="G175" s="64"/>
      <c r="H175" s="81">
        <v>170</v>
      </c>
      <c r="I175" s="82" t="str">
        <f t="shared" si="10"/>
        <v/>
      </c>
      <c r="J175" s="82">
        <f t="shared" si="13"/>
        <v>-3</v>
      </c>
      <c r="K175" s="81">
        <f t="shared" si="11"/>
        <v>-30</v>
      </c>
      <c r="L175" s="81"/>
      <c r="M175" s="83">
        <f t="shared" si="12"/>
        <v>0</v>
      </c>
    </row>
    <row r="176" spans="1:13" x14ac:dyDescent="0.25">
      <c r="A176" s="97"/>
      <c r="G176" s="64"/>
      <c r="H176" s="81">
        <v>171</v>
      </c>
      <c r="I176" s="82" t="str">
        <f t="shared" si="10"/>
        <v/>
      </c>
      <c r="J176" s="82">
        <f t="shared" si="13"/>
        <v>-3</v>
      </c>
      <c r="K176" s="81">
        <f t="shared" si="11"/>
        <v>-30</v>
      </c>
      <c r="L176" s="81"/>
      <c r="M176" s="83">
        <f t="shared" si="12"/>
        <v>0</v>
      </c>
    </row>
    <row r="177" spans="1:13" x14ac:dyDescent="0.25">
      <c r="A177" s="97"/>
      <c r="G177" s="64"/>
      <c r="H177" s="81">
        <v>172</v>
      </c>
      <c r="I177" s="82" t="str">
        <f t="shared" si="10"/>
        <v/>
      </c>
      <c r="J177" s="82">
        <f t="shared" si="13"/>
        <v>-3</v>
      </c>
      <c r="K177" s="81">
        <f t="shared" si="11"/>
        <v>-30</v>
      </c>
      <c r="L177" s="81"/>
      <c r="M177" s="83">
        <f t="shared" si="12"/>
        <v>0</v>
      </c>
    </row>
    <row r="178" spans="1:13" x14ac:dyDescent="0.25">
      <c r="A178" s="97"/>
      <c r="G178" s="64"/>
      <c r="H178" s="81">
        <v>173</v>
      </c>
      <c r="I178" s="82" t="str">
        <f t="shared" si="10"/>
        <v/>
      </c>
      <c r="J178" s="82">
        <f t="shared" si="13"/>
        <v>-3</v>
      </c>
      <c r="K178" s="81">
        <f t="shared" si="11"/>
        <v>-30</v>
      </c>
      <c r="L178" s="81"/>
      <c r="M178" s="83">
        <f t="shared" si="12"/>
        <v>0</v>
      </c>
    </row>
    <row r="179" spans="1:13" x14ac:dyDescent="0.25">
      <c r="A179" s="97"/>
      <c r="G179" s="64"/>
      <c r="H179" s="81">
        <v>174</v>
      </c>
      <c r="I179" s="82" t="str">
        <f t="shared" si="10"/>
        <v/>
      </c>
      <c r="J179" s="82">
        <f t="shared" si="13"/>
        <v>-3</v>
      </c>
      <c r="K179" s="81">
        <f t="shared" si="11"/>
        <v>-30</v>
      </c>
      <c r="L179" s="81"/>
      <c r="M179" s="83">
        <f t="shared" si="12"/>
        <v>0</v>
      </c>
    </row>
    <row r="180" spans="1:13" x14ac:dyDescent="0.25">
      <c r="A180" s="97"/>
      <c r="G180" s="64"/>
      <c r="H180" s="81">
        <v>175</v>
      </c>
      <c r="I180" s="82" t="str">
        <f t="shared" si="10"/>
        <v/>
      </c>
      <c r="J180" s="82">
        <f t="shared" si="13"/>
        <v>-3</v>
      </c>
      <c r="K180" s="81">
        <f t="shared" si="11"/>
        <v>-30</v>
      </c>
      <c r="L180" s="81"/>
      <c r="M180" s="83">
        <f t="shared" si="12"/>
        <v>0</v>
      </c>
    </row>
    <row r="181" spans="1:13" x14ac:dyDescent="0.25">
      <c r="A181" s="97"/>
      <c r="G181" s="64"/>
      <c r="H181" s="81">
        <v>176</v>
      </c>
      <c r="I181" s="82" t="str">
        <f t="shared" si="10"/>
        <v/>
      </c>
      <c r="J181" s="82">
        <f t="shared" si="13"/>
        <v>-3</v>
      </c>
      <c r="K181" s="81">
        <f t="shared" si="11"/>
        <v>-30</v>
      </c>
      <c r="L181" s="81"/>
      <c r="M181" s="83">
        <f t="shared" si="12"/>
        <v>0</v>
      </c>
    </row>
    <row r="182" spans="1:13" x14ac:dyDescent="0.25">
      <c r="A182" s="97"/>
      <c r="G182" s="64"/>
      <c r="H182" s="81">
        <v>177</v>
      </c>
      <c r="I182" s="82" t="str">
        <f t="shared" si="10"/>
        <v/>
      </c>
      <c r="J182" s="82">
        <f t="shared" si="13"/>
        <v>-3</v>
      </c>
      <c r="K182" s="81">
        <f t="shared" si="11"/>
        <v>-30</v>
      </c>
      <c r="L182" s="81"/>
      <c r="M182" s="83">
        <f t="shared" si="12"/>
        <v>0</v>
      </c>
    </row>
    <row r="183" spans="1:13" x14ac:dyDescent="0.25">
      <c r="A183" s="97"/>
      <c r="G183" s="64"/>
      <c r="H183" s="81">
        <v>178</v>
      </c>
      <c r="I183" s="82" t="str">
        <f t="shared" si="10"/>
        <v/>
      </c>
      <c r="J183" s="82">
        <f t="shared" si="13"/>
        <v>-3</v>
      </c>
      <c r="K183" s="81">
        <f t="shared" si="11"/>
        <v>-30</v>
      </c>
      <c r="L183" s="81"/>
      <c r="M183" s="83">
        <f t="shared" si="12"/>
        <v>0</v>
      </c>
    </row>
    <row r="184" spans="1:13" x14ac:dyDescent="0.25">
      <c r="A184" s="97"/>
      <c r="G184" s="64"/>
      <c r="H184" s="81">
        <v>179</v>
      </c>
      <c r="I184" s="82" t="str">
        <f t="shared" si="10"/>
        <v/>
      </c>
      <c r="J184" s="82">
        <f t="shared" si="13"/>
        <v>-3</v>
      </c>
      <c r="K184" s="81">
        <f t="shared" si="11"/>
        <v>-30</v>
      </c>
      <c r="L184" s="81"/>
      <c r="M184" s="83">
        <f t="shared" si="12"/>
        <v>0</v>
      </c>
    </row>
    <row r="185" spans="1:13" x14ac:dyDescent="0.25">
      <c r="A185" s="97"/>
      <c r="G185" s="64"/>
      <c r="H185" s="81">
        <v>180</v>
      </c>
      <c r="I185" s="82" t="str">
        <f t="shared" si="10"/>
        <v/>
      </c>
      <c r="J185" s="82">
        <f t="shared" si="13"/>
        <v>-3</v>
      </c>
      <c r="K185" s="81">
        <f t="shared" si="11"/>
        <v>-30</v>
      </c>
      <c r="L185" s="81"/>
      <c r="M185" s="83">
        <f t="shared" si="12"/>
        <v>0</v>
      </c>
    </row>
    <row r="186" spans="1:13" x14ac:dyDescent="0.25">
      <c r="A186" s="97"/>
      <c r="G186" s="64"/>
      <c r="H186" s="81">
        <v>181</v>
      </c>
      <c r="I186" s="82" t="str">
        <f t="shared" si="10"/>
        <v/>
      </c>
      <c r="J186" s="82">
        <f t="shared" si="13"/>
        <v>-3</v>
      </c>
      <c r="K186" s="81">
        <f t="shared" si="11"/>
        <v>-30</v>
      </c>
      <c r="L186" s="81"/>
      <c r="M186" s="83">
        <f t="shared" si="12"/>
        <v>0</v>
      </c>
    </row>
    <row r="187" spans="1:13" x14ac:dyDescent="0.25">
      <c r="A187" s="97"/>
      <c r="G187" s="64"/>
      <c r="H187" s="81">
        <v>182</v>
      </c>
      <c r="I187" s="82" t="str">
        <f t="shared" si="10"/>
        <v/>
      </c>
      <c r="J187" s="82">
        <f t="shared" si="13"/>
        <v>-3</v>
      </c>
      <c r="K187" s="81">
        <f t="shared" si="11"/>
        <v>-30</v>
      </c>
      <c r="L187" s="81"/>
      <c r="M187" s="83">
        <f t="shared" si="12"/>
        <v>0</v>
      </c>
    </row>
    <row r="188" spans="1:13" x14ac:dyDescent="0.25">
      <c r="A188" s="97"/>
      <c r="G188" s="64"/>
      <c r="H188" s="81">
        <v>183</v>
      </c>
      <c r="I188" s="82" t="str">
        <f t="shared" si="10"/>
        <v/>
      </c>
      <c r="J188" s="82">
        <f t="shared" si="13"/>
        <v>-3</v>
      </c>
      <c r="K188" s="81">
        <f t="shared" si="11"/>
        <v>-30</v>
      </c>
      <c r="L188" s="81"/>
      <c r="M188" s="83">
        <f t="shared" si="12"/>
        <v>0</v>
      </c>
    </row>
    <row r="189" spans="1:13" x14ac:dyDescent="0.25">
      <c r="A189" s="97"/>
      <c r="G189" s="64"/>
      <c r="H189" s="81">
        <v>184</v>
      </c>
      <c r="I189" s="82" t="str">
        <f t="shared" si="10"/>
        <v/>
      </c>
      <c r="J189" s="82">
        <f t="shared" si="13"/>
        <v>-3</v>
      </c>
      <c r="K189" s="81">
        <f t="shared" si="11"/>
        <v>-30</v>
      </c>
      <c r="L189" s="81"/>
      <c r="M189" s="83">
        <f t="shared" si="12"/>
        <v>0</v>
      </c>
    </row>
    <row r="190" spans="1:13" x14ac:dyDescent="0.25">
      <c r="A190" s="97"/>
      <c r="G190" s="64"/>
      <c r="H190" s="81">
        <v>185</v>
      </c>
      <c r="I190" s="82" t="str">
        <f t="shared" si="10"/>
        <v/>
      </c>
      <c r="J190" s="82">
        <f t="shared" si="13"/>
        <v>-3</v>
      </c>
      <c r="K190" s="81">
        <f t="shared" si="11"/>
        <v>-30</v>
      </c>
      <c r="L190" s="81"/>
      <c r="M190" s="83">
        <f t="shared" si="12"/>
        <v>0</v>
      </c>
    </row>
    <row r="191" spans="1:13" x14ac:dyDescent="0.25">
      <c r="A191" s="97"/>
      <c r="G191" s="64"/>
      <c r="H191" s="81">
        <v>186</v>
      </c>
      <c r="I191" s="82" t="str">
        <f t="shared" si="10"/>
        <v/>
      </c>
      <c r="J191" s="82">
        <f t="shared" si="13"/>
        <v>-3</v>
      </c>
      <c r="K191" s="81">
        <f t="shared" si="11"/>
        <v>-30</v>
      </c>
      <c r="L191" s="81"/>
      <c r="M191" s="83">
        <f t="shared" si="12"/>
        <v>0</v>
      </c>
    </row>
    <row r="192" spans="1:13" x14ac:dyDescent="0.25">
      <c r="A192" s="97"/>
      <c r="G192" s="64"/>
      <c r="H192" s="81">
        <v>187</v>
      </c>
      <c r="I192" s="82" t="str">
        <f t="shared" si="10"/>
        <v/>
      </c>
      <c r="J192" s="82">
        <f t="shared" si="13"/>
        <v>-3</v>
      </c>
      <c r="K192" s="81">
        <f t="shared" si="11"/>
        <v>-30</v>
      </c>
      <c r="L192" s="81"/>
      <c r="M192" s="83">
        <f t="shared" si="12"/>
        <v>0</v>
      </c>
    </row>
    <row r="193" spans="1:13" x14ac:dyDescent="0.25">
      <c r="A193" s="97"/>
      <c r="G193" s="64"/>
      <c r="H193" s="81">
        <v>188</v>
      </c>
      <c r="I193" s="82" t="str">
        <f t="shared" si="10"/>
        <v/>
      </c>
      <c r="J193" s="82">
        <f t="shared" si="13"/>
        <v>-3</v>
      </c>
      <c r="K193" s="81">
        <f t="shared" si="11"/>
        <v>-30</v>
      </c>
      <c r="L193" s="81"/>
      <c r="M193" s="83">
        <f t="shared" si="12"/>
        <v>0</v>
      </c>
    </row>
    <row r="194" spans="1:13" x14ac:dyDescent="0.25">
      <c r="A194" s="97"/>
      <c r="G194" s="64"/>
      <c r="H194" s="81">
        <v>189</v>
      </c>
      <c r="I194" s="82" t="str">
        <f t="shared" si="10"/>
        <v/>
      </c>
      <c r="J194" s="82">
        <f t="shared" si="13"/>
        <v>-3</v>
      </c>
      <c r="K194" s="81">
        <f t="shared" si="11"/>
        <v>-30</v>
      </c>
      <c r="L194" s="81"/>
      <c r="M194" s="83">
        <f t="shared" si="12"/>
        <v>0</v>
      </c>
    </row>
    <row r="195" spans="1:13" x14ac:dyDescent="0.25">
      <c r="A195" s="97"/>
      <c r="G195" s="64"/>
      <c r="H195" s="81">
        <v>190</v>
      </c>
      <c r="I195" s="82" t="str">
        <f t="shared" si="10"/>
        <v/>
      </c>
      <c r="J195" s="82">
        <f t="shared" si="13"/>
        <v>-3</v>
      </c>
      <c r="K195" s="81">
        <f t="shared" si="11"/>
        <v>-30</v>
      </c>
      <c r="L195" s="81"/>
      <c r="M195" s="83">
        <f t="shared" si="12"/>
        <v>0</v>
      </c>
    </row>
    <row r="196" spans="1:13" x14ac:dyDescent="0.25">
      <c r="A196" s="97"/>
      <c r="G196" s="64"/>
      <c r="H196" s="81">
        <v>191</v>
      </c>
      <c r="I196" s="82" t="str">
        <f t="shared" si="10"/>
        <v/>
      </c>
      <c r="J196" s="82">
        <f t="shared" si="13"/>
        <v>-3</v>
      </c>
      <c r="K196" s="81">
        <f t="shared" si="11"/>
        <v>-30</v>
      </c>
      <c r="L196" s="81"/>
      <c r="M196" s="83">
        <f t="shared" si="12"/>
        <v>0</v>
      </c>
    </row>
    <row r="197" spans="1:13" x14ac:dyDescent="0.25">
      <c r="A197" s="97"/>
      <c r="G197" s="64"/>
      <c r="H197" s="81">
        <v>192</v>
      </c>
      <c r="I197" s="82" t="str">
        <f t="shared" si="10"/>
        <v/>
      </c>
      <c r="J197" s="82">
        <f t="shared" si="13"/>
        <v>-3</v>
      </c>
      <c r="K197" s="81">
        <f t="shared" si="11"/>
        <v>-30</v>
      </c>
      <c r="L197" s="81"/>
      <c r="M197" s="83">
        <f t="shared" si="12"/>
        <v>0</v>
      </c>
    </row>
    <row r="198" spans="1:13" x14ac:dyDescent="0.25">
      <c r="A198" s="97"/>
      <c r="G198" s="64"/>
      <c r="H198" s="81">
        <v>193</v>
      </c>
      <c r="I198" s="82" t="str">
        <f t="shared" ref="I198:I261" si="14">IF(H198&lt;$H$2+1,($I$2-($I$2-1)*(LOG(H198)/LOG($H$2))),"")</f>
        <v/>
      </c>
      <c r="J198" s="82">
        <f t="shared" si="13"/>
        <v>-3</v>
      </c>
      <c r="K198" s="81">
        <f t="shared" ref="K198:K261" si="15">J198*$J$2</f>
        <v>-30</v>
      </c>
      <c r="L198" s="81"/>
      <c r="M198" s="83">
        <f t="shared" ref="M198:M261" si="16">IF(I198&lt;&gt;"",K198+I198+L198,0)</f>
        <v>0</v>
      </c>
    </row>
    <row r="199" spans="1:13" x14ac:dyDescent="0.25">
      <c r="A199" s="97"/>
      <c r="G199" s="64"/>
      <c r="H199" s="81">
        <v>194</v>
      </c>
      <c r="I199" s="82" t="str">
        <f t="shared" si="14"/>
        <v/>
      </c>
      <c r="J199" s="82">
        <f t="shared" ref="J199:J262" si="17">INT(LOG($H$2,2))-ROUNDUP(LOG(H199,2),0)+IF(OR($H$2=1,$H$2=2,$H$2=4,$H$2=8,$H$2=16,$H$2=32,$H$2=64,$H$2=128,$H$2=256),0,1)</f>
        <v>-3</v>
      </c>
      <c r="K199" s="81">
        <f t="shared" si="15"/>
        <v>-30</v>
      </c>
      <c r="L199" s="81"/>
      <c r="M199" s="83">
        <f t="shared" si="16"/>
        <v>0</v>
      </c>
    </row>
    <row r="200" spans="1:13" x14ac:dyDescent="0.25">
      <c r="A200" s="97"/>
      <c r="G200" s="64"/>
      <c r="H200" s="81">
        <v>195</v>
      </c>
      <c r="I200" s="82" t="str">
        <f t="shared" si="14"/>
        <v/>
      </c>
      <c r="J200" s="82">
        <f t="shared" si="17"/>
        <v>-3</v>
      </c>
      <c r="K200" s="81">
        <f t="shared" si="15"/>
        <v>-30</v>
      </c>
      <c r="L200" s="81"/>
      <c r="M200" s="83">
        <f t="shared" si="16"/>
        <v>0</v>
      </c>
    </row>
    <row r="201" spans="1:13" x14ac:dyDescent="0.25">
      <c r="A201" s="97"/>
      <c r="G201" s="64"/>
      <c r="H201" s="81">
        <v>196</v>
      </c>
      <c r="I201" s="82" t="str">
        <f t="shared" si="14"/>
        <v/>
      </c>
      <c r="J201" s="82">
        <f t="shared" si="17"/>
        <v>-3</v>
      </c>
      <c r="K201" s="81">
        <f t="shared" si="15"/>
        <v>-30</v>
      </c>
      <c r="L201" s="81"/>
      <c r="M201" s="83">
        <f t="shared" si="16"/>
        <v>0</v>
      </c>
    </row>
    <row r="202" spans="1:13" x14ac:dyDescent="0.25">
      <c r="A202" s="97"/>
      <c r="G202" s="64"/>
      <c r="H202" s="81">
        <v>197</v>
      </c>
      <c r="I202" s="82" t="str">
        <f t="shared" si="14"/>
        <v/>
      </c>
      <c r="J202" s="82">
        <f t="shared" si="17"/>
        <v>-3</v>
      </c>
      <c r="K202" s="81">
        <f t="shared" si="15"/>
        <v>-30</v>
      </c>
      <c r="L202" s="81"/>
      <c r="M202" s="83">
        <f t="shared" si="16"/>
        <v>0</v>
      </c>
    </row>
    <row r="203" spans="1:13" x14ac:dyDescent="0.25">
      <c r="A203" s="97"/>
      <c r="G203" s="64"/>
      <c r="H203" s="81">
        <v>198</v>
      </c>
      <c r="I203" s="82" t="str">
        <f t="shared" si="14"/>
        <v/>
      </c>
      <c r="J203" s="82">
        <f t="shared" si="17"/>
        <v>-3</v>
      </c>
      <c r="K203" s="81">
        <f t="shared" si="15"/>
        <v>-30</v>
      </c>
      <c r="L203" s="81"/>
      <c r="M203" s="83">
        <f t="shared" si="16"/>
        <v>0</v>
      </c>
    </row>
    <row r="204" spans="1:13" x14ac:dyDescent="0.25">
      <c r="A204" s="97"/>
      <c r="G204" s="64"/>
      <c r="H204" s="81">
        <v>199</v>
      </c>
      <c r="I204" s="82" t="str">
        <f t="shared" si="14"/>
        <v/>
      </c>
      <c r="J204" s="82">
        <f t="shared" si="17"/>
        <v>-3</v>
      </c>
      <c r="K204" s="81">
        <f t="shared" si="15"/>
        <v>-30</v>
      </c>
      <c r="L204" s="81"/>
      <c r="M204" s="83">
        <f t="shared" si="16"/>
        <v>0</v>
      </c>
    </row>
    <row r="205" spans="1:13" x14ac:dyDescent="0.25">
      <c r="A205" s="97"/>
      <c r="G205" s="64"/>
      <c r="H205" s="81">
        <v>200</v>
      </c>
      <c r="I205" s="82" t="str">
        <f t="shared" si="14"/>
        <v/>
      </c>
      <c r="J205" s="82">
        <f t="shared" si="17"/>
        <v>-3</v>
      </c>
      <c r="K205" s="81">
        <f t="shared" si="15"/>
        <v>-30</v>
      </c>
      <c r="L205" s="81"/>
      <c r="M205" s="83">
        <f t="shared" si="16"/>
        <v>0</v>
      </c>
    </row>
    <row r="206" spans="1:13" x14ac:dyDescent="0.25">
      <c r="A206" s="97"/>
      <c r="G206" s="64"/>
      <c r="H206" s="81">
        <v>201</v>
      </c>
      <c r="I206" s="82" t="str">
        <f t="shared" si="14"/>
        <v/>
      </c>
      <c r="J206" s="82">
        <f t="shared" si="17"/>
        <v>-3</v>
      </c>
      <c r="K206" s="81">
        <f t="shared" si="15"/>
        <v>-30</v>
      </c>
      <c r="L206" s="81"/>
      <c r="M206" s="83">
        <f t="shared" si="16"/>
        <v>0</v>
      </c>
    </row>
    <row r="207" spans="1:13" x14ac:dyDescent="0.25">
      <c r="A207" s="97"/>
      <c r="G207" s="64"/>
      <c r="H207" s="81">
        <v>202</v>
      </c>
      <c r="I207" s="82" t="str">
        <f t="shared" si="14"/>
        <v/>
      </c>
      <c r="J207" s="82">
        <f t="shared" si="17"/>
        <v>-3</v>
      </c>
      <c r="K207" s="81">
        <f t="shared" si="15"/>
        <v>-30</v>
      </c>
      <c r="L207" s="81"/>
      <c r="M207" s="83">
        <f t="shared" si="16"/>
        <v>0</v>
      </c>
    </row>
    <row r="208" spans="1:13" x14ac:dyDescent="0.25">
      <c r="A208" s="97"/>
      <c r="G208" s="64"/>
      <c r="H208" s="81">
        <v>203</v>
      </c>
      <c r="I208" s="82" t="str">
        <f t="shared" si="14"/>
        <v/>
      </c>
      <c r="J208" s="82">
        <f t="shared" si="17"/>
        <v>-3</v>
      </c>
      <c r="K208" s="81">
        <f t="shared" si="15"/>
        <v>-30</v>
      </c>
      <c r="L208" s="81"/>
      <c r="M208" s="83">
        <f t="shared" si="16"/>
        <v>0</v>
      </c>
    </row>
    <row r="209" spans="1:13" x14ac:dyDescent="0.25">
      <c r="A209" s="97"/>
      <c r="G209" s="64"/>
      <c r="H209" s="81">
        <v>204</v>
      </c>
      <c r="I209" s="82" t="str">
        <f t="shared" si="14"/>
        <v/>
      </c>
      <c r="J209" s="82">
        <f t="shared" si="17"/>
        <v>-3</v>
      </c>
      <c r="K209" s="81">
        <f t="shared" si="15"/>
        <v>-30</v>
      </c>
      <c r="L209" s="81"/>
      <c r="M209" s="83">
        <f t="shared" si="16"/>
        <v>0</v>
      </c>
    </row>
    <row r="210" spans="1:13" x14ac:dyDescent="0.25">
      <c r="A210" s="97"/>
      <c r="G210" s="64"/>
      <c r="H210" s="81">
        <v>205</v>
      </c>
      <c r="I210" s="82" t="str">
        <f t="shared" si="14"/>
        <v/>
      </c>
      <c r="J210" s="82">
        <f t="shared" si="17"/>
        <v>-3</v>
      </c>
      <c r="K210" s="81">
        <f t="shared" si="15"/>
        <v>-30</v>
      </c>
      <c r="L210" s="81"/>
      <c r="M210" s="83">
        <f t="shared" si="16"/>
        <v>0</v>
      </c>
    </row>
    <row r="211" spans="1:13" x14ac:dyDescent="0.25">
      <c r="A211" s="97"/>
      <c r="G211" s="64"/>
      <c r="H211" s="81">
        <v>206</v>
      </c>
      <c r="I211" s="82" t="str">
        <f t="shared" si="14"/>
        <v/>
      </c>
      <c r="J211" s="82">
        <f t="shared" si="17"/>
        <v>-3</v>
      </c>
      <c r="K211" s="81">
        <f t="shared" si="15"/>
        <v>-30</v>
      </c>
      <c r="L211" s="81"/>
      <c r="M211" s="83">
        <f t="shared" si="16"/>
        <v>0</v>
      </c>
    </row>
    <row r="212" spans="1:13" x14ac:dyDescent="0.25">
      <c r="A212" s="97"/>
      <c r="G212" s="64"/>
      <c r="H212" s="81">
        <v>207</v>
      </c>
      <c r="I212" s="82" t="str">
        <f t="shared" si="14"/>
        <v/>
      </c>
      <c r="J212" s="82">
        <f t="shared" si="17"/>
        <v>-3</v>
      </c>
      <c r="K212" s="81">
        <f t="shared" si="15"/>
        <v>-30</v>
      </c>
      <c r="L212" s="81"/>
      <c r="M212" s="83">
        <f t="shared" si="16"/>
        <v>0</v>
      </c>
    </row>
    <row r="213" spans="1:13" x14ac:dyDescent="0.25">
      <c r="A213" s="97"/>
      <c r="G213" s="64"/>
      <c r="H213" s="81">
        <v>208</v>
      </c>
      <c r="I213" s="82" t="str">
        <f t="shared" si="14"/>
        <v/>
      </c>
      <c r="J213" s="82">
        <f t="shared" si="17"/>
        <v>-3</v>
      </c>
      <c r="K213" s="81">
        <f t="shared" si="15"/>
        <v>-30</v>
      </c>
      <c r="L213" s="81"/>
      <c r="M213" s="83">
        <f t="shared" si="16"/>
        <v>0</v>
      </c>
    </row>
    <row r="214" spans="1:13" x14ac:dyDescent="0.25">
      <c r="A214" s="97"/>
      <c r="G214" s="64"/>
      <c r="H214" s="81">
        <v>209</v>
      </c>
      <c r="I214" s="82" t="str">
        <f t="shared" si="14"/>
        <v/>
      </c>
      <c r="J214" s="82">
        <f t="shared" si="17"/>
        <v>-3</v>
      </c>
      <c r="K214" s="81">
        <f t="shared" si="15"/>
        <v>-30</v>
      </c>
      <c r="L214" s="81"/>
      <c r="M214" s="83">
        <f t="shared" si="16"/>
        <v>0</v>
      </c>
    </row>
    <row r="215" spans="1:13" x14ac:dyDescent="0.25">
      <c r="A215" s="97"/>
      <c r="G215" s="64"/>
      <c r="H215" s="81">
        <v>210</v>
      </c>
      <c r="I215" s="82" t="str">
        <f t="shared" si="14"/>
        <v/>
      </c>
      <c r="J215" s="82">
        <f t="shared" si="17"/>
        <v>-3</v>
      </c>
      <c r="K215" s="81">
        <f t="shared" si="15"/>
        <v>-30</v>
      </c>
      <c r="L215" s="81"/>
      <c r="M215" s="83">
        <f t="shared" si="16"/>
        <v>0</v>
      </c>
    </row>
    <row r="216" spans="1:13" x14ac:dyDescent="0.25">
      <c r="A216" s="97"/>
      <c r="G216" s="64"/>
      <c r="H216" s="81">
        <v>211</v>
      </c>
      <c r="I216" s="82" t="str">
        <f t="shared" si="14"/>
        <v/>
      </c>
      <c r="J216" s="82">
        <f t="shared" si="17"/>
        <v>-3</v>
      </c>
      <c r="K216" s="81">
        <f t="shared" si="15"/>
        <v>-30</v>
      </c>
      <c r="L216" s="81"/>
      <c r="M216" s="83">
        <f t="shared" si="16"/>
        <v>0</v>
      </c>
    </row>
    <row r="217" spans="1:13" x14ac:dyDescent="0.25">
      <c r="A217" s="97"/>
      <c r="G217" s="64"/>
      <c r="H217" s="81">
        <v>212</v>
      </c>
      <c r="I217" s="82" t="str">
        <f t="shared" si="14"/>
        <v/>
      </c>
      <c r="J217" s="82">
        <f t="shared" si="17"/>
        <v>-3</v>
      </c>
      <c r="K217" s="81">
        <f t="shared" si="15"/>
        <v>-30</v>
      </c>
      <c r="L217" s="81"/>
      <c r="M217" s="83">
        <f t="shared" si="16"/>
        <v>0</v>
      </c>
    </row>
    <row r="218" spans="1:13" x14ac:dyDescent="0.25">
      <c r="A218" s="97"/>
      <c r="G218" s="64"/>
      <c r="H218" s="81">
        <v>213</v>
      </c>
      <c r="I218" s="82" t="str">
        <f t="shared" si="14"/>
        <v/>
      </c>
      <c r="J218" s="82">
        <f t="shared" si="17"/>
        <v>-3</v>
      </c>
      <c r="K218" s="81">
        <f t="shared" si="15"/>
        <v>-30</v>
      </c>
      <c r="L218" s="81"/>
      <c r="M218" s="83">
        <f t="shared" si="16"/>
        <v>0</v>
      </c>
    </row>
    <row r="219" spans="1:13" x14ac:dyDescent="0.25">
      <c r="A219" s="97"/>
      <c r="G219" s="64"/>
      <c r="H219" s="81">
        <v>214</v>
      </c>
      <c r="I219" s="82" t="str">
        <f t="shared" si="14"/>
        <v/>
      </c>
      <c r="J219" s="82">
        <f t="shared" si="17"/>
        <v>-3</v>
      </c>
      <c r="K219" s="81">
        <f t="shared" si="15"/>
        <v>-30</v>
      </c>
      <c r="L219" s="81"/>
      <c r="M219" s="83">
        <f t="shared" si="16"/>
        <v>0</v>
      </c>
    </row>
    <row r="220" spans="1:13" x14ac:dyDescent="0.25">
      <c r="A220" s="97"/>
      <c r="G220" s="64"/>
      <c r="H220" s="81">
        <v>215</v>
      </c>
      <c r="I220" s="82" t="str">
        <f t="shared" si="14"/>
        <v/>
      </c>
      <c r="J220" s="82">
        <f t="shared" si="17"/>
        <v>-3</v>
      </c>
      <c r="K220" s="81">
        <f t="shared" si="15"/>
        <v>-30</v>
      </c>
      <c r="L220" s="81"/>
      <c r="M220" s="83">
        <f t="shared" si="16"/>
        <v>0</v>
      </c>
    </row>
    <row r="221" spans="1:13" x14ac:dyDescent="0.25">
      <c r="A221" s="97"/>
      <c r="G221" s="64"/>
      <c r="H221" s="81">
        <v>216</v>
      </c>
      <c r="I221" s="82" t="str">
        <f t="shared" si="14"/>
        <v/>
      </c>
      <c r="J221" s="82">
        <f t="shared" si="17"/>
        <v>-3</v>
      </c>
      <c r="K221" s="81">
        <f t="shared" si="15"/>
        <v>-30</v>
      </c>
      <c r="L221" s="81"/>
      <c r="M221" s="83">
        <f t="shared" si="16"/>
        <v>0</v>
      </c>
    </row>
    <row r="222" spans="1:13" x14ac:dyDescent="0.25">
      <c r="A222" s="97"/>
      <c r="G222" s="64"/>
      <c r="H222" s="81">
        <v>217</v>
      </c>
      <c r="I222" s="82" t="str">
        <f t="shared" si="14"/>
        <v/>
      </c>
      <c r="J222" s="82">
        <f t="shared" si="17"/>
        <v>-3</v>
      </c>
      <c r="K222" s="81">
        <f t="shared" si="15"/>
        <v>-30</v>
      </c>
      <c r="L222" s="81"/>
      <c r="M222" s="83">
        <f t="shared" si="16"/>
        <v>0</v>
      </c>
    </row>
    <row r="223" spans="1:13" x14ac:dyDescent="0.25">
      <c r="A223" s="97"/>
      <c r="G223" s="64"/>
      <c r="H223" s="81">
        <v>218</v>
      </c>
      <c r="I223" s="82" t="str">
        <f t="shared" si="14"/>
        <v/>
      </c>
      <c r="J223" s="82">
        <f t="shared" si="17"/>
        <v>-3</v>
      </c>
      <c r="K223" s="81">
        <f t="shared" si="15"/>
        <v>-30</v>
      </c>
      <c r="L223" s="81"/>
      <c r="M223" s="83">
        <f t="shared" si="16"/>
        <v>0</v>
      </c>
    </row>
    <row r="224" spans="1:13" x14ac:dyDescent="0.25">
      <c r="A224" s="97"/>
      <c r="G224" s="64"/>
      <c r="H224" s="81">
        <v>219</v>
      </c>
      <c r="I224" s="82" t="str">
        <f t="shared" si="14"/>
        <v/>
      </c>
      <c r="J224" s="82">
        <f t="shared" si="17"/>
        <v>-3</v>
      </c>
      <c r="K224" s="81">
        <f t="shared" si="15"/>
        <v>-30</v>
      </c>
      <c r="L224" s="81"/>
      <c r="M224" s="83">
        <f t="shared" si="16"/>
        <v>0</v>
      </c>
    </row>
    <row r="225" spans="1:13" x14ac:dyDescent="0.25">
      <c r="A225" s="97"/>
      <c r="G225" s="64"/>
      <c r="H225" s="81">
        <v>220</v>
      </c>
      <c r="I225" s="82" t="str">
        <f t="shared" si="14"/>
        <v/>
      </c>
      <c r="J225" s="82">
        <f t="shared" si="17"/>
        <v>-3</v>
      </c>
      <c r="K225" s="81">
        <f t="shared" si="15"/>
        <v>-30</v>
      </c>
      <c r="L225" s="81"/>
      <c r="M225" s="83">
        <f t="shared" si="16"/>
        <v>0</v>
      </c>
    </row>
    <row r="226" spans="1:13" x14ac:dyDescent="0.25">
      <c r="A226" s="97"/>
      <c r="G226" s="64"/>
      <c r="H226" s="81">
        <v>221</v>
      </c>
      <c r="I226" s="82" t="str">
        <f t="shared" si="14"/>
        <v/>
      </c>
      <c r="J226" s="82">
        <f t="shared" si="17"/>
        <v>-3</v>
      </c>
      <c r="K226" s="81">
        <f t="shared" si="15"/>
        <v>-30</v>
      </c>
      <c r="L226" s="81"/>
      <c r="M226" s="83">
        <f t="shared" si="16"/>
        <v>0</v>
      </c>
    </row>
    <row r="227" spans="1:13" x14ac:dyDescent="0.25">
      <c r="A227" s="97"/>
      <c r="G227" s="64"/>
      <c r="H227" s="81">
        <v>222</v>
      </c>
      <c r="I227" s="82" t="str">
        <f t="shared" si="14"/>
        <v/>
      </c>
      <c r="J227" s="82">
        <f t="shared" si="17"/>
        <v>-3</v>
      </c>
      <c r="K227" s="81">
        <f t="shared" si="15"/>
        <v>-30</v>
      </c>
      <c r="L227" s="81"/>
      <c r="M227" s="83">
        <f t="shared" si="16"/>
        <v>0</v>
      </c>
    </row>
    <row r="228" spans="1:13" x14ac:dyDescent="0.25">
      <c r="A228" s="97"/>
      <c r="G228" s="64"/>
      <c r="H228" s="81">
        <v>223</v>
      </c>
      <c r="I228" s="82" t="str">
        <f t="shared" si="14"/>
        <v/>
      </c>
      <c r="J228" s="82">
        <f t="shared" si="17"/>
        <v>-3</v>
      </c>
      <c r="K228" s="81">
        <f t="shared" si="15"/>
        <v>-30</v>
      </c>
      <c r="L228" s="81"/>
      <c r="M228" s="83">
        <f t="shared" si="16"/>
        <v>0</v>
      </c>
    </row>
    <row r="229" spans="1:13" x14ac:dyDescent="0.25">
      <c r="A229" s="97"/>
      <c r="G229" s="64"/>
      <c r="H229" s="81">
        <v>224</v>
      </c>
      <c r="I229" s="82" t="str">
        <f t="shared" si="14"/>
        <v/>
      </c>
      <c r="J229" s="82">
        <f t="shared" si="17"/>
        <v>-3</v>
      </c>
      <c r="K229" s="81">
        <f t="shared" si="15"/>
        <v>-30</v>
      </c>
      <c r="L229" s="81"/>
      <c r="M229" s="83">
        <f t="shared" si="16"/>
        <v>0</v>
      </c>
    </row>
    <row r="230" spans="1:13" x14ac:dyDescent="0.25">
      <c r="A230" s="97"/>
      <c r="G230" s="64"/>
      <c r="H230" s="81">
        <v>225</v>
      </c>
      <c r="I230" s="82" t="str">
        <f t="shared" si="14"/>
        <v/>
      </c>
      <c r="J230" s="82">
        <f t="shared" si="17"/>
        <v>-3</v>
      </c>
      <c r="K230" s="81">
        <f t="shared" si="15"/>
        <v>-30</v>
      </c>
      <c r="L230" s="81"/>
      <c r="M230" s="83">
        <f t="shared" si="16"/>
        <v>0</v>
      </c>
    </row>
    <row r="231" spans="1:13" x14ac:dyDescent="0.25">
      <c r="A231" s="97"/>
      <c r="G231" s="64"/>
      <c r="H231" s="81">
        <v>226</v>
      </c>
      <c r="I231" s="82" t="str">
        <f t="shared" si="14"/>
        <v/>
      </c>
      <c r="J231" s="82">
        <f t="shared" si="17"/>
        <v>-3</v>
      </c>
      <c r="K231" s="81">
        <f t="shared" si="15"/>
        <v>-30</v>
      </c>
      <c r="L231" s="81"/>
      <c r="M231" s="83">
        <f t="shared" si="16"/>
        <v>0</v>
      </c>
    </row>
    <row r="232" spans="1:13" x14ac:dyDescent="0.25">
      <c r="A232" s="97"/>
      <c r="G232" s="64"/>
      <c r="H232" s="81">
        <v>227</v>
      </c>
      <c r="I232" s="82" t="str">
        <f t="shared" si="14"/>
        <v/>
      </c>
      <c r="J232" s="82">
        <f t="shared" si="17"/>
        <v>-3</v>
      </c>
      <c r="K232" s="81">
        <f t="shared" si="15"/>
        <v>-30</v>
      </c>
      <c r="L232" s="81"/>
      <c r="M232" s="83">
        <f t="shared" si="16"/>
        <v>0</v>
      </c>
    </row>
    <row r="233" spans="1:13" x14ac:dyDescent="0.25">
      <c r="A233" s="97"/>
      <c r="G233" s="64"/>
      <c r="H233" s="81">
        <v>228</v>
      </c>
      <c r="I233" s="82" t="str">
        <f t="shared" si="14"/>
        <v/>
      </c>
      <c r="J233" s="82">
        <f t="shared" si="17"/>
        <v>-3</v>
      </c>
      <c r="K233" s="81">
        <f t="shared" si="15"/>
        <v>-30</v>
      </c>
      <c r="L233" s="81"/>
      <c r="M233" s="83">
        <f t="shared" si="16"/>
        <v>0</v>
      </c>
    </row>
    <row r="234" spans="1:13" x14ac:dyDescent="0.25">
      <c r="A234" s="97"/>
      <c r="G234" s="64"/>
      <c r="H234" s="81">
        <v>229</v>
      </c>
      <c r="I234" s="82" t="str">
        <f t="shared" si="14"/>
        <v/>
      </c>
      <c r="J234" s="82">
        <f t="shared" si="17"/>
        <v>-3</v>
      </c>
      <c r="K234" s="81">
        <f t="shared" si="15"/>
        <v>-30</v>
      </c>
      <c r="L234" s="81"/>
      <c r="M234" s="83">
        <f t="shared" si="16"/>
        <v>0</v>
      </c>
    </row>
    <row r="235" spans="1:13" x14ac:dyDescent="0.25">
      <c r="A235" s="97"/>
      <c r="G235" s="64"/>
      <c r="H235" s="81">
        <v>230</v>
      </c>
      <c r="I235" s="82" t="str">
        <f t="shared" si="14"/>
        <v/>
      </c>
      <c r="J235" s="82">
        <f t="shared" si="17"/>
        <v>-3</v>
      </c>
      <c r="K235" s="81">
        <f t="shared" si="15"/>
        <v>-30</v>
      </c>
      <c r="L235" s="81"/>
      <c r="M235" s="83">
        <f t="shared" si="16"/>
        <v>0</v>
      </c>
    </row>
    <row r="236" spans="1:13" x14ac:dyDescent="0.25">
      <c r="A236" s="97"/>
      <c r="G236" s="64"/>
      <c r="H236" s="81">
        <v>231</v>
      </c>
      <c r="I236" s="82" t="str">
        <f t="shared" si="14"/>
        <v/>
      </c>
      <c r="J236" s="82">
        <f t="shared" si="17"/>
        <v>-3</v>
      </c>
      <c r="K236" s="81">
        <f t="shared" si="15"/>
        <v>-30</v>
      </c>
      <c r="L236" s="81"/>
      <c r="M236" s="83">
        <f t="shared" si="16"/>
        <v>0</v>
      </c>
    </row>
    <row r="237" spans="1:13" x14ac:dyDescent="0.25">
      <c r="A237" s="97"/>
      <c r="G237" s="64"/>
      <c r="H237" s="81">
        <v>232</v>
      </c>
      <c r="I237" s="82" t="str">
        <f t="shared" si="14"/>
        <v/>
      </c>
      <c r="J237" s="82">
        <f t="shared" si="17"/>
        <v>-3</v>
      </c>
      <c r="K237" s="81">
        <f t="shared" si="15"/>
        <v>-30</v>
      </c>
      <c r="L237" s="81"/>
      <c r="M237" s="83">
        <f t="shared" si="16"/>
        <v>0</v>
      </c>
    </row>
    <row r="238" spans="1:13" x14ac:dyDescent="0.25">
      <c r="A238" s="97"/>
      <c r="G238" s="64"/>
      <c r="H238" s="81">
        <v>233</v>
      </c>
      <c r="I238" s="82" t="str">
        <f t="shared" si="14"/>
        <v/>
      </c>
      <c r="J238" s="82">
        <f t="shared" si="17"/>
        <v>-3</v>
      </c>
      <c r="K238" s="81">
        <f t="shared" si="15"/>
        <v>-30</v>
      </c>
      <c r="L238" s="81"/>
      <c r="M238" s="83">
        <f t="shared" si="16"/>
        <v>0</v>
      </c>
    </row>
    <row r="239" spans="1:13" x14ac:dyDescent="0.25">
      <c r="A239" s="97"/>
      <c r="G239" s="64"/>
      <c r="H239" s="81">
        <v>234</v>
      </c>
      <c r="I239" s="82" t="str">
        <f t="shared" si="14"/>
        <v/>
      </c>
      <c r="J239" s="82">
        <f t="shared" si="17"/>
        <v>-3</v>
      </c>
      <c r="K239" s="81">
        <f t="shared" si="15"/>
        <v>-30</v>
      </c>
      <c r="L239" s="81"/>
      <c r="M239" s="83">
        <f t="shared" si="16"/>
        <v>0</v>
      </c>
    </row>
    <row r="240" spans="1:13" x14ac:dyDescent="0.25">
      <c r="A240" s="97"/>
      <c r="G240" s="64"/>
      <c r="H240" s="81">
        <v>235</v>
      </c>
      <c r="I240" s="82" t="str">
        <f t="shared" si="14"/>
        <v/>
      </c>
      <c r="J240" s="82">
        <f t="shared" si="17"/>
        <v>-3</v>
      </c>
      <c r="K240" s="81">
        <f t="shared" si="15"/>
        <v>-30</v>
      </c>
      <c r="L240" s="81"/>
      <c r="M240" s="83">
        <f t="shared" si="16"/>
        <v>0</v>
      </c>
    </row>
    <row r="241" spans="1:13" x14ac:dyDescent="0.25">
      <c r="A241" s="97"/>
      <c r="G241" s="64"/>
      <c r="H241" s="81">
        <v>236</v>
      </c>
      <c r="I241" s="82" t="str">
        <f t="shared" si="14"/>
        <v/>
      </c>
      <c r="J241" s="82">
        <f t="shared" si="17"/>
        <v>-3</v>
      </c>
      <c r="K241" s="81">
        <f t="shared" si="15"/>
        <v>-30</v>
      </c>
      <c r="L241" s="81"/>
      <c r="M241" s="83">
        <f t="shared" si="16"/>
        <v>0</v>
      </c>
    </row>
    <row r="242" spans="1:13" x14ac:dyDescent="0.25">
      <c r="A242" s="97"/>
      <c r="G242" s="64"/>
      <c r="H242" s="81">
        <v>237</v>
      </c>
      <c r="I242" s="82" t="str">
        <f t="shared" si="14"/>
        <v/>
      </c>
      <c r="J242" s="82">
        <f t="shared" si="17"/>
        <v>-3</v>
      </c>
      <c r="K242" s="81">
        <f t="shared" si="15"/>
        <v>-30</v>
      </c>
      <c r="L242" s="81"/>
      <c r="M242" s="83">
        <f t="shared" si="16"/>
        <v>0</v>
      </c>
    </row>
    <row r="243" spans="1:13" x14ac:dyDescent="0.25">
      <c r="A243" s="97"/>
      <c r="G243" s="64"/>
      <c r="H243" s="81">
        <v>238</v>
      </c>
      <c r="I243" s="82" t="str">
        <f t="shared" si="14"/>
        <v/>
      </c>
      <c r="J243" s="82">
        <f t="shared" si="17"/>
        <v>-3</v>
      </c>
      <c r="K243" s="81">
        <f t="shared" si="15"/>
        <v>-30</v>
      </c>
      <c r="L243" s="81"/>
      <c r="M243" s="83">
        <f t="shared" si="16"/>
        <v>0</v>
      </c>
    </row>
    <row r="244" spans="1:13" x14ac:dyDescent="0.25">
      <c r="A244" s="97"/>
      <c r="G244" s="64"/>
      <c r="H244" s="81">
        <v>239</v>
      </c>
      <c r="I244" s="82" t="str">
        <f t="shared" si="14"/>
        <v/>
      </c>
      <c r="J244" s="82">
        <f t="shared" si="17"/>
        <v>-3</v>
      </c>
      <c r="K244" s="81">
        <f t="shared" si="15"/>
        <v>-30</v>
      </c>
      <c r="L244" s="81"/>
      <c r="M244" s="83">
        <f t="shared" si="16"/>
        <v>0</v>
      </c>
    </row>
    <row r="245" spans="1:13" x14ac:dyDescent="0.25">
      <c r="A245" s="97"/>
      <c r="G245" s="64"/>
      <c r="H245" s="81">
        <v>240</v>
      </c>
      <c r="I245" s="82" t="str">
        <f t="shared" si="14"/>
        <v/>
      </c>
      <c r="J245" s="82">
        <f t="shared" si="17"/>
        <v>-3</v>
      </c>
      <c r="K245" s="81">
        <f t="shared" si="15"/>
        <v>-30</v>
      </c>
      <c r="L245" s="81"/>
      <c r="M245" s="83">
        <f t="shared" si="16"/>
        <v>0</v>
      </c>
    </row>
    <row r="246" spans="1:13" x14ac:dyDescent="0.25">
      <c r="A246" s="97"/>
      <c r="G246" s="64"/>
      <c r="H246" s="81">
        <v>241</v>
      </c>
      <c r="I246" s="82" t="str">
        <f t="shared" si="14"/>
        <v/>
      </c>
      <c r="J246" s="82">
        <f t="shared" si="17"/>
        <v>-3</v>
      </c>
      <c r="K246" s="81">
        <f t="shared" si="15"/>
        <v>-30</v>
      </c>
      <c r="L246" s="81"/>
      <c r="M246" s="83">
        <f t="shared" si="16"/>
        <v>0</v>
      </c>
    </row>
    <row r="247" spans="1:13" x14ac:dyDescent="0.25">
      <c r="A247" s="97"/>
      <c r="G247" s="64"/>
      <c r="H247" s="81">
        <v>242</v>
      </c>
      <c r="I247" s="82" t="str">
        <f t="shared" si="14"/>
        <v/>
      </c>
      <c r="J247" s="82">
        <f t="shared" si="17"/>
        <v>-3</v>
      </c>
      <c r="K247" s="81">
        <f t="shared" si="15"/>
        <v>-30</v>
      </c>
      <c r="L247" s="81"/>
      <c r="M247" s="83">
        <f t="shared" si="16"/>
        <v>0</v>
      </c>
    </row>
    <row r="248" spans="1:13" x14ac:dyDescent="0.25">
      <c r="A248" s="97"/>
      <c r="G248" s="64"/>
      <c r="H248" s="81">
        <v>243</v>
      </c>
      <c r="I248" s="82" t="str">
        <f t="shared" si="14"/>
        <v/>
      </c>
      <c r="J248" s="82">
        <f t="shared" si="17"/>
        <v>-3</v>
      </c>
      <c r="K248" s="81">
        <f t="shared" si="15"/>
        <v>-30</v>
      </c>
      <c r="L248" s="81"/>
      <c r="M248" s="83">
        <f t="shared" si="16"/>
        <v>0</v>
      </c>
    </row>
    <row r="249" spans="1:13" x14ac:dyDescent="0.25">
      <c r="A249" s="97"/>
      <c r="G249" s="64"/>
      <c r="H249" s="81">
        <v>244</v>
      </c>
      <c r="I249" s="82" t="str">
        <f t="shared" si="14"/>
        <v/>
      </c>
      <c r="J249" s="82">
        <f t="shared" si="17"/>
        <v>-3</v>
      </c>
      <c r="K249" s="81">
        <f t="shared" si="15"/>
        <v>-30</v>
      </c>
      <c r="L249" s="81"/>
      <c r="M249" s="83">
        <f t="shared" si="16"/>
        <v>0</v>
      </c>
    </row>
    <row r="250" spans="1:13" x14ac:dyDescent="0.25">
      <c r="A250" s="97"/>
      <c r="G250" s="64"/>
      <c r="H250" s="81">
        <v>245</v>
      </c>
      <c r="I250" s="82" t="str">
        <f t="shared" si="14"/>
        <v/>
      </c>
      <c r="J250" s="82">
        <f t="shared" si="17"/>
        <v>-3</v>
      </c>
      <c r="K250" s="81">
        <f t="shared" si="15"/>
        <v>-30</v>
      </c>
      <c r="L250" s="81"/>
      <c r="M250" s="83">
        <f t="shared" si="16"/>
        <v>0</v>
      </c>
    </row>
    <row r="251" spans="1:13" x14ac:dyDescent="0.25">
      <c r="A251" s="97"/>
      <c r="G251" s="64"/>
      <c r="H251" s="81">
        <v>246</v>
      </c>
      <c r="I251" s="82" t="str">
        <f t="shared" si="14"/>
        <v/>
      </c>
      <c r="J251" s="82">
        <f t="shared" si="17"/>
        <v>-3</v>
      </c>
      <c r="K251" s="81">
        <f t="shared" si="15"/>
        <v>-30</v>
      </c>
      <c r="L251" s="81"/>
      <c r="M251" s="83">
        <f t="shared" si="16"/>
        <v>0</v>
      </c>
    </row>
    <row r="252" spans="1:13" x14ac:dyDescent="0.25">
      <c r="A252" s="97"/>
      <c r="G252" s="64"/>
      <c r="H252" s="81">
        <v>247</v>
      </c>
      <c r="I252" s="82" t="str">
        <f t="shared" si="14"/>
        <v/>
      </c>
      <c r="J252" s="82">
        <f t="shared" si="17"/>
        <v>-3</v>
      </c>
      <c r="K252" s="81">
        <f t="shared" si="15"/>
        <v>-30</v>
      </c>
      <c r="L252" s="81"/>
      <c r="M252" s="83">
        <f t="shared" si="16"/>
        <v>0</v>
      </c>
    </row>
    <row r="253" spans="1:13" x14ac:dyDescent="0.25">
      <c r="A253" s="97"/>
      <c r="G253" s="64"/>
      <c r="H253" s="81">
        <v>248</v>
      </c>
      <c r="I253" s="82" t="str">
        <f t="shared" si="14"/>
        <v/>
      </c>
      <c r="J253" s="82">
        <f t="shared" si="17"/>
        <v>-3</v>
      </c>
      <c r="K253" s="81">
        <f t="shared" si="15"/>
        <v>-30</v>
      </c>
      <c r="L253" s="81"/>
      <c r="M253" s="83">
        <f t="shared" si="16"/>
        <v>0</v>
      </c>
    </row>
    <row r="254" spans="1:13" x14ac:dyDescent="0.25">
      <c r="A254" s="97"/>
      <c r="G254" s="64"/>
      <c r="H254" s="81">
        <v>249</v>
      </c>
      <c r="I254" s="82" t="str">
        <f t="shared" si="14"/>
        <v/>
      </c>
      <c r="J254" s="82">
        <f t="shared" si="17"/>
        <v>-3</v>
      </c>
      <c r="K254" s="81">
        <f t="shared" si="15"/>
        <v>-30</v>
      </c>
      <c r="L254" s="81"/>
      <c r="M254" s="83">
        <f t="shared" si="16"/>
        <v>0</v>
      </c>
    </row>
    <row r="255" spans="1:13" x14ac:dyDescent="0.25">
      <c r="A255" s="97"/>
      <c r="G255" s="64"/>
      <c r="H255" s="81">
        <v>250</v>
      </c>
      <c r="I255" s="82" t="str">
        <f t="shared" si="14"/>
        <v/>
      </c>
      <c r="J255" s="82">
        <f t="shared" si="17"/>
        <v>-3</v>
      </c>
      <c r="K255" s="81">
        <f t="shared" si="15"/>
        <v>-30</v>
      </c>
      <c r="L255" s="81"/>
      <c r="M255" s="83">
        <f t="shared" si="16"/>
        <v>0</v>
      </c>
    </row>
    <row r="256" spans="1:13" x14ac:dyDescent="0.25">
      <c r="A256" s="97"/>
      <c r="G256" s="64"/>
      <c r="H256" s="81">
        <v>251</v>
      </c>
      <c r="I256" s="82" t="str">
        <f t="shared" si="14"/>
        <v/>
      </c>
      <c r="J256" s="82">
        <f t="shared" si="17"/>
        <v>-3</v>
      </c>
      <c r="K256" s="81">
        <f t="shared" si="15"/>
        <v>-30</v>
      </c>
      <c r="L256" s="81"/>
      <c r="M256" s="83">
        <f t="shared" si="16"/>
        <v>0</v>
      </c>
    </row>
    <row r="257" spans="1:13" x14ac:dyDescent="0.25">
      <c r="A257" s="97"/>
      <c r="G257" s="64"/>
      <c r="H257" s="81">
        <v>252</v>
      </c>
      <c r="I257" s="82" t="str">
        <f t="shared" si="14"/>
        <v/>
      </c>
      <c r="J257" s="82">
        <f t="shared" si="17"/>
        <v>-3</v>
      </c>
      <c r="K257" s="81">
        <f t="shared" si="15"/>
        <v>-30</v>
      </c>
      <c r="L257" s="81"/>
      <c r="M257" s="83">
        <f t="shared" si="16"/>
        <v>0</v>
      </c>
    </row>
    <row r="258" spans="1:13" x14ac:dyDescent="0.25">
      <c r="A258" s="97"/>
      <c r="G258" s="64"/>
      <c r="H258" s="81">
        <v>253</v>
      </c>
      <c r="I258" s="82" t="str">
        <f t="shared" si="14"/>
        <v/>
      </c>
      <c r="J258" s="82">
        <f t="shared" si="17"/>
        <v>-3</v>
      </c>
      <c r="K258" s="81">
        <f t="shared" si="15"/>
        <v>-30</v>
      </c>
      <c r="L258" s="81"/>
      <c r="M258" s="83">
        <f t="shared" si="16"/>
        <v>0</v>
      </c>
    </row>
    <row r="259" spans="1:13" x14ac:dyDescent="0.25">
      <c r="A259" s="97"/>
      <c r="G259" s="64"/>
      <c r="H259" s="81">
        <v>254</v>
      </c>
      <c r="I259" s="82" t="str">
        <f t="shared" si="14"/>
        <v/>
      </c>
      <c r="J259" s="82">
        <f t="shared" si="17"/>
        <v>-3</v>
      </c>
      <c r="K259" s="81">
        <f t="shared" si="15"/>
        <v>-30</v>
      </c>
      <c r="L259" s="81"/>
      <c r="M259" s="83">
        <f t="shared" si="16"/>
        <v>0</v>
      </c>
    </row>
    <row r="260" spans="1:13" x14ac:dyDescent="0.25">
      <c r="A260" s="97"/>
      <c r="G260" s="64"/>
      <c r="H260" s="81">
        <v>255</v>
      </c>
      <c r="I260" s="82" t="str">
        <f t="shared" si="14"/>
        <v/>
      </c>
      <c r="J260" s="82">
        <f t="shared" si="17"/>
        <v>-3</v>
      </c>
      <c r="K260" s="81">
        <f t="shared" si="15"/>
        <v>-30</v>
      </c>
      <c r="L260" s="81"/>
      <c r="M260" s="83">
        <f t="shared" si="16"/>
        <v>0</v>
      </c>
    </row>
    <row r="261" spans="1:13" x14ac:dyDescent="0.25">
      <c r="A261" s="97"/>
      <c r="G261" s="64"/>
      <c r="H261" s="81">
        <v>256</v>
      </c>
      <c r="I261" s="82" t="str">
        <f t="shared" si="14"/>
        <v/>
      </c>
      <c r="J261" s="82">
        <f t="shared" si="17"/>
        <v>-3</v>
      </c>
      <c r="K261" s="81">
        <f t="shared" si="15"/>
        <v>-30</v>
      </c>
      <c r="L261" s="81"/>
      <c r="M261" s="83">
        <f t="shared" si="16"/>
        <v>0</v>
      </c>
    </row>
    <row r="262" spans="1:13" x14ac:dyDescent="0.25">
      <c r="A262" s="97"/>
      <c r="G262" s="64"/>
      <c r="H262" s="81">
        <v>257</v>
      </c>
      <c r="I262" s="82" t="str">
        <f t="shared" ref="I262:I305" si="18">IF(H262&lt;$H$2+1,($I$2-($I$2-1)*(LOG(H262)/LOG($H$2))),"")</f>
        <v/>
      </c>
      <c r="J262" s="82">
        <f t="shared" si="17"/>
        <v>-4</v>
      </c>
      <c r="K262" s="81">
        <f t="shared" ref="K262:K305" si="19">J262*$J$2</f>
        <v>-40</v>
      </c>
      <c r="L262" s="81"/>
      <c r="M262" s="83">
        <f t="shared" ref="M262:M305" si="20">IF(I262&lt;&gt;"",K262+I262+L262,0)</f>
        <v>0</v>
      </c>
    </row>
    <row r="263" spans="1:13" x14ac:dyDescent="0.25">
      <c r="A263" s="97"/>
      <c r="G263" s="64"/>
      <c r="H263" s="81">
        <v>258</v>
      </c>
      <c r="I263" s="82" t="str">
        <f t="shared" si="18"/>
        <v/>
      </c>
      <c r="J263" s="82">
        <f t="shared" ref="J263:J305" si="21">INT(LOG($H$2,2))-ROUNDUP(LOG(H263,2),0)+IF(OR($H$2=1,$H$2=2,$H$2=4,$H$2=8,$H$2=16,$H$2=32,$H$2=64,$H$2=128,$H$2=256),0,1)</f>
        <v>-4</v>
      </c>
      <c r="K263" s="81">
        <f t="shared" si="19"/>
        <v>-40</v>
      </c>
      <c r="L263" s="81"/>
      <c r="M263" s="83">
        <f t="shared" si="20"/>
        <v>0</v>
      </c>
    </row>
    <row r="264" spans="1:13" x14ac:dyDescent="0.25">
      <c r="A264" s="97"/>
      <c r="G264" s="64"/>
      <c r="H264" s="81">
        <v>259</v>
      </c>
      <c r="I264" s="82" t="str">
        <f t="shared" si="18"/>
        <v/>
      </c>
      <c r="J264" s="82">
        <f t="shared" si="21"/>
        <v>-4</v>
      </c>
      <c r="K264" s="81">
        <f t="shared" si="19"/>
        <v>-40</v>
      </c>
      <c r="L264" s="81"/>
      <c r="M264" s="83">
        <f t="shared" si="20"/>
        <v>0</v>
      </c>
    </row>
    <row r="265" spans="1:13" x14ac:dyDescent="0.25">
      <c r="A265" s="97"/>
      <c r="G265" s="64"/>
      <c r="H265" s="81">
        <v>260</v>
      </c>
      <c r="I265" s="82" t="str">
        <f t="shared" si="18"/>
        <v/>
      </c>
      <c r="J265" s="82">
        <f t="shared" si="21"/>
        <v>-4</v>
      </c>
      <c r="K265" s="81">
        <f t="shared" si="19"/>
        <v>-40</v>
      </c>
      <c r="L265" s="81"/>
      <c r="M265" s="83">
        <f t="shared" si="20"/>
        <v>0</v>
      </c>
    </row>
    <row r="266" spans="1:13" x14ac:dyDescent="0.25">
      <c r="A266" s="97"/>
      <c r="G266" s="64"/>
      <c r="H266" s="81">
        <v>261</v>
      </c>
      <c r="I266" s="82" t="str">
        <f t="shared" si="18"/>
        <v/>
      </c>
      <c r="J266" s="82">
        <f t="shared" si="21"/>
        <v>-4</v>
      </c>
      <c r="K266" s="81">
        <f t="shared" si="19"/>
        <v>-40</v>
      </c>
      <c r="L266" s="81"/>
      <c r="M266" s="83">
        <f t="shared" si="20"/>
        <v>0</v>
      </c>
    </row>
    <row r="267" spans="1:13" x14ac:dyDescent="0.25">
      <c r="A267" s="97"/>
      <c r="G267" s="64"/>
      <c r="H267" s="81">
        <v>262</v>
      </c>
      <c r="I267" s="82" t="str">
        <f t="shared" si="18"/>
        <v/>
      </c>
      <c r="J267" s="82">
        <f t="shared" si="21"/>
        <v>-4</v>
      </c>
      <c r="K267" s="81">
        <f t="shared" si="19"/>
        <v>-40</v>
      </c>
      <c r="L267" s="81"/>
      <c r="M267" s="83">
        <f t="shared" si="20"/>
        <v>0</v>
      </c>
    </row>
    <row r="268" spans="1:13" x14ac:dyDescent="0.25">
      <c r="A268" s="97"/>
      <c r="G268" s="64"/>
      <c r="H268" s="81">
        <v>263</v>
      </c>
      <c r="I268" s="82" t="str">
        <f t="shared" si="18"/>
        <v/>
      </c>
      <c r="J268" s="82">
        <f t="shared" si="21"/>
        <v>-4</v>
      </c>
      <c r="K268" s="81">
        <f t="shared" si="19"/>
        <v>-40</v>
      </c>
      <c r="L268" s="81"/>
      <c r="M268" s="83">
        <f t="shared" si="20"/>
        <v>0</v>
      </c>
    </row>
    <row r="269" spans="1:13" x14ac:dyDescent="0.25">
      <c r="A269" s="97"/>
      <c r="G269" s="64"/>
      <c r="H269" s="81">
        <v>264</v>
      </c>
      <c r="I269" s="82" t="str">
        <f t="shared" si="18"/>
        <v/>
      </c>
      <c r="J269" s="82">
        <f t="shared" si="21"/>
        <v>-4</v>
      </c>
      <c r="K269" s="81">
        <f t="shared" si="19"/>
        <v>-40</v>
      </c>
      <c r="L269" s="81"/>
      <c r="M269" s="83">
        <f t="shared" si="20"/>
        <v>0</v>
      </c>
    </row>
    <row r="270" spans="1:13" x14ac:dyDescent="0.25">
      <c r="A270" s="97"/>
      <c r="G270" s="64"/>
      <c r="H270" s="81">
        <v>265</v>
      </c>
      <c r="I270" s="82" t="str">
        <f t="shared" si="18"/>
        <v/>
      </c>
      <c r="J270" s="82">
        <f t="shared" si="21"/>
        <v>-4</v>
      </c>
      <c r="K270" s="81">
        <f t="shared" si="19"/>
        <v>-40</v>
      </c>
      <c r="L270" s="81"/>
      <c r="M270" s="83">
        <f t="shared" si="20"/>
        <v>0</v>
      </c>
    </row>
    <row r="271" spans="1:13" x14ac:dyDescent="0.25">
      <c r="A271" s="97"/>
      <c r="G271" s="64"/>
      <c r="H271" s="81">
        <v>266</v>
      </c>
      <c r="I271" s="82" t="str">
        <f t="shared" si="18"/>
        <v/>
      </c>
      <c r="J271" s="82">
        <f t="shared" si="21"/>
        <v>-4</v>
      </c>
      <c r="K271" s="81">
        <f t="shared" si="19"/>
        <v>-40</v>
      </c>
      <c r="L271" s="81"/>
      <c r="M271" s="83">
        <f t="shared" si="20"/>
        <v>0</v>
      </c>
    </row>
    <row r="272" spans="1:13" x14ac:dyDescent="0.25">
      <c r="A272" s="97"/>
      <c r="G272" s="64"/>
      <c r="H272" s="81">
        <v>267</v>
      </c>
      <c r="I272" s="82" t="str">
        <f t="shared" si="18"/>
        <v/>
      </c>
      <c r="J272" s="82">
        <f t="shared" si="21"/>
        <v>-4</v>
      </c>
      <c r="K272" s="81">
        <f t="shared" si="19"/>
        <v>-40</v>
      </c>
      <c r="L272" s="81"/>
      <c r="M272" s="83">
        <f t="shared" si="20"/>
        <v>0</v>
      </c>
    </row>
    <row r="273" spans="1:13" x14ac:dyDescent="0.25">
      <c r="A273" s="97"/>
      <c r="G273" s="64"/>
      <c r="H273" s="81">
        <v>268</v>
      </c>
      <c r="I273" s="82" t="str">
        <f t="shared" si="18"/>
        <v/>
      </c>
      <c r="J273" s="82">
        <f t="shared" si="21"/>
        <v>-4</v>
      </c>
      <c r="K273" s="81">
        <f t="shared" si="19"/>
        <v>-40</v>
      </c>
      <c r="L273" s="81"/>
      <c r="M273" s="83">
        <f t="shared" si="20"/>
        <v>0</v>
      </c>
    </row>
    <row r="274" spans="1:13" x14ac:dyDescent="0.25">
      <c r="A274" s="97"/>
      <c r="G274" s="64"/>
      <c r="H274" s="81">
        <v>269</v>
      </c>
      <c r="I274" s="82" t="str">
        <f t="shared" si="18"/>
        <v/>
      </c>
      <c r="J274" s="82">
        <f t="shared" si="21"/>
        <v>-4</v>
      </c>
      <c r="K274" s="81">
        <f t="shared" si="19"/>
        <v>-40</v>
      </c>
      <c r="L274" s="81"/>
      <c r="M274" s="83">
        <f t="shared" si="20"/>
        <v>0</v>
      </c>
    </row>
    <row r="275" spans="1:13" x14ac:dyDescent="0.25">
      <c r="A275" s="97"/>
      <c r="G275" s="64"/>
      <c r="H275" s="81">
        <v>270</v>
      </c>
      <c r="I275" s="82" t="str">
        <f t="shared" si="18"/>
        <v/>
      </c>
      <c r="J275" s="82">
        <f t="shared" si="21"/>
        <v>-4</v>
      </c>
      <c r="K275" s="81">
        <f t="shared" si="19"/>
        <v>-40</v>
      </c>
      <c r="L275" s="81"/>
      <c r="M275" s="83">
        <f t="shared" si="20"/>
        <v>0</v>
      </c>
    </row>
    <row r="276" spans="1:13" x14ac:dyDescent="0.25">
      <c r="A276" s="97"/>
      <c r="G276" s="64"/>
      <c r="H276" s="81">
        <v>271</v>
      </c>
      <c r="I276" s="82" t="str">
        <f t="shared" si="18"/>
        <v/>
      </c>
      <c r="J276" s="82">
        <f t="shared" si="21"/>
        <v>-4</v>
      </c>
      <c r="K276" s="81">
        <f t="shared" si="19"/>
        <v>-40</v>
      </c>
      <c r="L276" s="81"/>
      <c r="M276" s="83">
        <f t="shared" si="20"/>
        <v>0</v>
      </c>
    </row>
    <row r="277" spans="1:13" x14ac:dyDescent="0.25">
      <c r="A277" s="97"/>
      <c r="G277" s="64"/>
      <c r="H277" s="81">
        <v>272</v>
      </c>
      <c r="I277" s="82" t="str">
        <f t="shared" si="18"/>
        <v/>
      </c>
      <c r="J277" s="82">
        <f t="shared" si="21"/>
        <v>-4</v>
      </c>
      <c r="K277" s="81">
        <f t="shared" si="19"/>
        <v>-40</v>
      </c>
      <c r="L277" s="81"/>
      <c r="M277" s="83">
        <f t="shared" si="20"/>
        <v>0</v>
      </c>
    </row>
    <row r="278" spans="1:13" x14ac:dyDescent="0.25">
      <c r="A278" s="97"/>
      <c r="G278" s="64"/>
      <c r="H278" s="81">
        <v>273</v>
      </c>
      <c r="I278" s="82" t="str">
        <f t="shared" si="18"/>
        <v/>
      </c>
      <c r="J278" s="82">
        <f t="shared" si="21"/>
        <v>-4</v>
      </c>
      <c r="K278" s="81">
        <f t="shared" si="19"/>
        <v>-40</v>
      </c>
      <c r="L278" s="81"/>
      <c r="M278" s="83">
        <f t="shared" si="20"/>
        <v>0</v>
      </c>
    </row>
    <row r="279" spans="1:13" x14ac:dyDescent="0.25">
      <c r="A279" s="97"/>
      <c r="G279" s="64"/>
      <c r="H279" s="81">
        <v>274</v>
      </c>
      <c r="I279" s="82" t="str">
        <f t="shared" si="18"/>
        <v/>
      </c>
      <c r="J279" s="82">
        <f t="shared" si="21"/>
        <v>-4</v>
      </c>
      <c r="K279" s="81">
        <f t="shared" si="19"/>
        <v>-40</v>
      </c>
      <c r="L279" s="81"/>
      <c r="M279" s="83">
        <f t="shared" si="20"/>
        <v>0</v>
      </c>
    </row>
    <row r="280" spans="1:13" x14ac:dyDescent="0.25">
      <c r="A280" s="97"/>
      <c r="G280" s="64"/>
      <c r="H280" s="81">
        <v>275</v>
      </c>
      <c r="I280" s="82" t="str">
        <f t="shared" si="18"/>
        <v/>
      </c>
      <c r="J280" s="82">
        <f t="shared" si="21"/>
        <v>-4</v>
      </c>
      <c r="K280" s="81">
        <f t="shared" si="19"/>
        <v>-40</v>
      </c>
      <c r="L280" s="81"/>
      <c r="M280" s="83">
        <f t="shared" si="20"/>
        <v>0</v>
      </c>
    </row>
    <row r="281" spans="1:13" x14ac:dyDescent="0.25">
      <c r="A281" s="97"/>
      <c r="G281" s="64"/>
      <c r="H281" s="81">
        <v>276</v>
      </c>
      <c r="I281" s="82" t="str">
        <f t="shared" si="18"/>
        <v/>
      </c>
      <c r="J281" s="82">
        <f t="shared" si="21"/>
        <v>-4</v>
      </c>
      <c r="K281" s="81">
        <f t="shared" si="19"/>
        <v>-40</v>
      </c>
      <c r="L281" s="81"/>
      <c r="M281" s="83">
        <f t="shared" si="20"/>
        <v>0</v>
      </c>
    </row>
    <row r="282" spans="1:13" x14ac:dyDescent="0.25">
      <c r="A282" s="97"/>
      <c r="G282" s="64"/>
      <c r="H282" s="81">
        <v>277</v>
      </c>
      <c r="I282" s="82" t="str">
        <f t="shared" si="18"/>
        <v/>
      </c>
      <c r="J282" s="82">
        <f t="shared" si="21"/>
        <v>-4</v>
      </c>
      <c r="K282" s="81">
        <f t="shared" si="19"/>
        <v>-40</v>
      </c>
      <c r="L282" s="81"/>
      <c r="M282" s="83">
        <f t="shared" si="20"/>
        <v>0</v>
      </c>
    </row>
    <row r="283" spans="1:13" x14ac:dyDescent="0.25">
      <c r="A283" s="97"/>
      <c r="G283" s="64"/>
      <c r="H283" s="81">
        <v>278</v>
      </c>
      <c r="I283" s="82" t="str">
        <f t="shared" si="18"/>
        <v/>
      </c>
      <c r="J283" s="82">
        <f t="shared" si="21"/>
        <v>-4</v>
      </c>
      <c r="K283" s="81">
        <f t="shared" si="19"/>
        <v>-40</v>
      </c>
      <c r="L283" s="81"/>
      <c r="M283" s="83">
        <f t="shared" si="20"/>
        <v>0</v>
      </c>
    </row>
    <row r="284" spans="1:13" x14ac:dyDescent="0.25">
      <c r="A284" s="97"/>
      <c r="G284" s="64"/>
      <c r="H284" s="81">
        <v>279</v>
      </c>
      <c r="I284" s="82" t="str">
        <f t="shared" si="18"/>
        <v/>
      </c>
      <c r="J284" s="82">
        <f t="shared" si="21"/>
        <v>-4</v>
      </c>
      <c r="K284" s="81">
        <f t="shared" si="19"/>
        <v>-40</v>
      </c>
      <c r="L284" s="81"/>
      <c r="M284" s="83">
        <f t="shared" si="20"/>
        <v>0</v>
      </c>
    </row>
    <row r="285" spans="1:13" x14ac:dyDescent="0.25">
      <c r="A285" s="97"/>
      <c r="G285" s="64"/>
      <c r="H285" s="81">
        <v>280</v>
      </c>
      <c r="I285" s="82" t="str">
        <f t="shared" si="18"/>
        <v/>
      </c>
      <c r="J285" s="82">
        <f t="shared" si="21"/>
        <v>-4</v>
      </c>
      <c r="K285" s="81">
        <f t="shared" si="19"/>
        <v>-40</v>
      </c>
      <c r="L285" s="81"/>
      <c r="M285" s="83">
        <f t="shared" si="20"/>
        <v>0</v>
      </c>
    </row>
    <row r="286" spans="1:13" x14ac:dyDescent="0.25">
      <c r="A286" s="97"/>
      <c r="G286" s="64"/>
      <c r="H286" s="81">
        <v>281</v>
      </c>
      <c r="I286" s="82" t="str">
        <f t="shared" si="18"/>
        <v/>
      </c>
      <c r="J286" s="82">
        <f t="shared" si="21"/>
        <v>-4</v>
      </c>
      <c r="K286" s="81">
        <f t="shared" si="19"/>
        <v>-40</v>
      </c>
      <c r="L286" s="81"/>
      <c r="M286" s="83">
        <f t="shared" si="20"/>
        <v>0</v>
      </c>
    </row>
    <row r="287" spans="1:13" x14ac:dyDescent="0.25">
      <c r="A287" s="97"/>
      <c r="G287" s="64"/>
      <c r="H287" s="81">
        <v>282</v>
      </c>
      <c r="I287" s="82" t="str">
        <f t="shared" si="18"/>
        <v/>
      </c>
      <c r="J287" s="82">
        <f t="shared" si="21"/>
        <v>-4</v>
      </c>
      <c r="K287" s="81">
        <f t="shared" si="19"/>
        <v>-40</v>
      </c>
      <c r="L287" s="81"/>
      <c r="M287" s="83">
        <f t="shared" si="20"/>
        <v>0</v>
      </c>
    </row>
    <row r="288" spans="1:13" x14ac:dyDescent="0.25">
      <c r="A288" s="97"/>
      <c r="G288" s="64"/>
      <c r="H288" s="81">
        <v>283</v>
      </c>
      <c r="I288" s="82" t="str">
        <f t="shared" si="18"/>
        <v/>
      </c>
      <c r="J288" s="82">
        <f t="shared" si="21"/>
        <v>-4</v>
      </c>
      <c r="K288" s="81">
        <f t="shared" si="19"/>
        <v>-40</v>
      </c>
      <c r="L288" s="81"/>
      <c r="M288" s="83">
        <f t="shared" si="20"/>
        <v>0</v>
      </c>
    </row>
    <row r="289" spans="1:13" x14ac:dyDescent="0.25">
      <c r="A289" s="97"/>
      <c r="G289" s="64"/>
      <c r="H289" s="81">
        <v>284</v>
      </c>
      <c r="I289" s="82" t="str">
        <f t="shared" si="18"/>
        <v/>
      </c>
      <c r="J289" s="82">
        <f t="shared" si="21"/>
        <v>-4</v>
      </c>
      <c r="K289" s="81">
        <f t="shared" si="19"/>
        <v>-40</v>
      </c>
      <c r="L289" s="81"/>
      <c r="M289" s="83">
        <f t="shared" si="20"/>
        <v>0</v>
      </c>
    </row>
    <row r="290" spans="1:13" x14ac:dyDescent="0.25">
      <c r="A290" s="97"/>
      <c r="G290" s="64"/>
      <c r="H290" s="81">
        <v>285</v>
      </c>
      <c r="I290" s="82" t="str">
        <f t="shared" si="18"/>
        <v/>
      </c>
      <c r="J290" s="82">
        <f t="shared" si="21"/>
        <v>-4</v>
      </c>
      <c r="K290" s="81">
        <f t="shared" si="19"/>
        <v>-40</v>
      </c>
      <c r="L290" s="81"/>
      <c r="M290" s="83">
        <f t="shared" si="20"/>
        <v>0</v>
      </c>
    </row>
    <row r="291" spans="1:13" x14ac:dyDescent="0.25">
      <c r="A291" s="97"/>
      <c r="G291" s="64"/>
      <c r="H291" s="81">
        <v>286</v>
      </c>
      <c r="I291" s="82" t="str">
        <f t="shared" si="18"/>
        <v/>
      </c>
      <c r="J291" s="82">
        <f t="shared" si="21"/>
        <v>-4</v>
      </c>
      <c r="K291" s="81">
        <f t="shared" si="19"/>
        <v>-40</v>
      </c>
      <c r="L291" s="81"/>
      <c r="M291" s="83">
        <f t="shared" si="20"/>
        <v>0</v>
      </c>
    </row>
    <row r="292" spans="1:13" x14ac:dyDescent="0.25">
      <c r="A292" s="97"/>
      <c r="G292" s="64"/>
      <c r="H292" s="81">
        <v>287</v>
      </c>
      <c r="I292" s="82" t="str">
        <f t="shared" si="18"/>
        <v/>
      </c>
      <c r="J292" s="82">
        <f t="shared" si="21"/>
        <v>-4</v>
      </c>
      <c r="K292" s="81">
        <f t="shared" si="19"/>
        <v>-40</v>
      </c>
      <c r="L292" s="81"/>
      <c r="M292" s="83">
        <f t="shared" si="20"/>
        <v>0</v>
      </c>
    </row>
    <row r="293" spans="1:13" x14ac:dyDescent="0.25">
      <c r="A293" s="97"/>
      <c r="G293" s="64"/>
      <c r="H293" s="81">
        <v>288</v>
      </c>
      <c r="I293" s="82" t="str">
        <f t="shared" si="18"/>
        <v/>
      </c>
      <c r="J293" s="82">
        <f t="shared" si="21"/>
        <v>-4</v>
      </c>
      <c r="K293" s="81">
        <f t="shared" si="19"/>
        <v>-40</v>
      </c>
      <c r="L293" s="81"/>
      <c r="M293" s="83">
        <f t="shared" si="20"/>
        <v>0</v>
      </c>
    </row>
    <row r="294" spans="1:13" x14ac:dyDescent="0.25">
      <c r="A294" s="97"/>
      <c r="G294" s="64"/>
      <c r="H294" s="81">
        <v>289</v>
      </c>
      <c r="I294" s="82" t="str">
        <f t="shared" si="18"/>
        <v/>
      </c>
      <c r="J294" s="82">
        <f t="shared" si="21"/>
        <v>-4</v>
      </c>
      <c r="K294" s="81">
        <f t="shared" si="19"/>
        <v>-40</v>
      </c>
      <c r="L294" s="81"/>
      <c r="M294" s="83">
        <f t="shared" si="20"/>
        <v>0</v>
      </c>
    </row>
    <row r="295" spans="1:13" x14ac:dyDescent="0.25">
      <c r="A295" s="97"/>
      <c r="G295" s="64"/>
      <c r="H295" s="81">
        <v>290</v>
      </c>
      <c r="I295" s="82" t="str">
        <f t="shared" si="18"/>
        <v/>
      </c>
      <c r="J295" s="82">
        <f t="shared" si="21"/>
        <v>-4</v>
      </c>
      <c r="K295" s="81">
        <f t="shared" si="19"/>
        <v>-40</v>
      </c>
      <c r="L295" s="81"/>
      <c r="M295" s="83">
        <f t="shared" si="20"/>
        <v>0</v>
      </c>
    </row>
    <row r="296" spans="1:13" x14ac:dyDescent="0.25">
      <c r="A296" s="97"/>
      <c r="G296" s="64"/>
      <c r="H296" s="81">
        <v>291</v>
      </c>
      <c r="I296" s="82" t="str">
        <f t="shared" si="18"/>
        <v/>
      </c>
      <c r="J296" s="82">
        <f t="shared" si="21"/>
        <v>-4</v>
      </c>
      <c r="K296" s="81">
        <f t="shared" si="19"/>
        <v>-40</v>
      </c>
      <c r="L296" s="81"/>
      <c r="M296" s="83">
        <f t="shared" si="20"/>
        <v>0</v>
      </c>
    </row>
    <row r="297" spans="1:13" x14ac:dyDescent="0.25">
      <c r="A297" s="97"/>
      <c r="G297" s="64"/>
      <c r="H297" s="81">
        <v>292</v>
      </c>
      <c r="I297" s="82" t="str">
        <f t="shared" si="18"/>
        <v/>
      </c>
      <c r="J297" s="82">
        <f t="shared" si="21"/>
        <v>-4</v>
      </c>
      <c r="K297" s="81">
        <f t="shared" si="19"/>
        <v>-40</v>
      </c>
      <c r="L297" s="81"/>
      <c r="M297" s="83">
        <f t="shared" si="20"/>
        <v>0</v>
      </c>
    </row>
    <row r="298" spans="1:13" x14ac:dyDescent="0.25">
      <c r="A298" s="97"/>
      <c r="G298" s="64"/>
      <c r="H298" s="81">
        <v>293</v>
      </c>
      <c r="I298" s="82" t="str">
        <f t="shared" si="18"/>
        <v/>
      </c>
      <c r="J298" s="82">
        <f t="shared" si="21"/>
        <v>-4</v>
      </c>
      <c r="K298" s="81">
        <f t="shared" si="19"/>
        <v>-40</v>
      </c>
      <c r="L298" s="81"/>
      <c r="M298" s="83">
        <f t="shared" si="20"/>
        <v>0</v>
      </c>
    </row>
    <row r="299" spans="1:13" x14ac:dyDescent="0.25">
      <c r="A299" s="97"/>
      <c r="G299" s="64"/>
      <c r="H299" s="81">
        <v>294</v>
      </c>
      <c r="I299" s="82" t="str">
        <f t="shared" si="18"/>
        <v/>
      </c>
      <c r="J299" s="82">
        <f t="shared" si="21"/>
        <v>-4</v>
      </c>
      <c r="K299" s="81">
        <f t="shared" si="19"/>
        <v>-40</v>
      </c>
      <c r="L299" s="81"/>
      <c r="M299" s="83">
        <f t="shared" si="20"/>
        <v>0</v>
      </c>
    </row>
    <row r="300" spans="1:13" x14ac:dyDescent="0.25">
      <c r="A300" s="97"/>
      <c r="G300" s="64"/>
      <c r="H300" s="81">
        <v>295</v>
      </c>
      <c r="I300" s="82" t="str">
        <f t="shared" si="18"/>
        <v/>
      </c>
      <c r="J300" s="82">
        <f t="shared" si="21"/>
        <v>-4</v>
      </c>
      <c r="K300" s="81">
        <f t="shared" si="19"/>
        <v>-40</v>
      </c>
      <c r="L300" s="81"/>
      <c r="M300" s="83">
        <f t="shared" si="20"/>
        <v>0</v>
      </c>
    </row>
    <row r="301" spans="1:13" x14ac:dyDescent="0.25">
      <c r="A301" s="97"/>
      <c r="G301" s="64"/>
      <c r="H301" s="81">
        <v>296</v>
      </c>
      <c r="I301" s="82" t="str">
        <f t="shared" si="18"/>
        <v/>
      </c>
      <c r="J301" s="82">
        <f t="shared" si="21"/>
        <v>-4</v>
      </c>
      <c r="K301" s="81">
        <f t="shared" si="19"/>
        <v>-40</v>
      </c>
      <c r="L301" s="81"/>
      <c r="M301" s="83">
        <f t="shared" si="20"/>
        <v>0</v>
      </c>
    </row>
    <row r="302" spans="1:13" x14ac:dyDescent="0.25">
      <c r="A302" s="97"/>
      <c r="G302" s="64"/>
      <c r="H302" s="81">
        <v>297</v>
      </c>
      <c r="I302" s="82" t="str">
        <f t="shared" si="18"/>
        <v/>
      </c>
      <c r="J302" s="82">
        <f t="shared" si="21"/>
        <v>-4</v>
      </c>
      <c r="K302" s="81">
        <f t="shared" si="19"/>
        <v>-40</v>
      </c>
      <c r="L302" s="81"/>
      <c r="M302" s="83">
        <f t="shared" si="20"/>
        <v>0</v>
      </c>
    </row>
    <row r="303" spans="1:13" x14ac:dyDescent="0.25">
      <c r="A303" s="97"/>
      <c r="G303" s="64"/>
      <c r="H303" s="81">
        <v>298</v>
      </c>
      <c r="I303" s="82" t="str">
        <f t="shared" si="18"/>
        <v/>
      </c>
      <c r="J303" s="82">
        <f t="shared" si="21"/>
        <v>-4</v>
      </c>
      <c r="K303" s="81">
        <f t="shared" si="19"/>
        <v>-40</v>
      </c>
      <c r="L303" s="81"/>
      <c r="M303" s="83">
        <f t="shared" si="20"/>
        <v>0</v>
      </c>
    </row>
    <row r="304" spans="1:13" x14ac:dyDescent="0.25">
      <c r="A304" s="97"/>
      <c r="G304" s="64"/>
      <c r="H304" s="81">
        <v>299</v>
      </c>
      <c r="I304" s="82" t="str">
        <f t="shared" si="18"/>
        <v/>
      </c>
      <c r="J304" s="82">
        <f t="shared" si="21"/>
        <v>-4</v>
      </c>
      <c r="K304" s="81">
        <f t="shared" si="19"/>
        <v>-40</v>
      </c>
      <c r="L304" s="81"/>
      <c r="M304" s="83">
        <f t="shared" si="20"/>
        <v>0</v>
      </c>
    </row>
    <row r="305" spans="1:16" x14ac:dyDescent="0.25">
      <c r="A305" s="97"/>
      <c r="G305" s="64"/>
      <c r="H305" s="81">
        <v>300</v>
      </c>
      <c r="I305" s="82" t="str">
        <f t="shared" si="18"/>
        <v/>
      </c>
      <c r="J305" s="82">
        <f t="shared" si="21"/>
        <v>-4</v>
      </c>
      <c r="K305" s="81">
        <f t="shared" si="19"/>
        <v>-40</v>
      </c>
      <c r="L305" s="81"/>
      <c r="M305" s="83">
        <f t="shared" si="20"/>
        <v>0</v>
      </c>
    </row>
    <row r="306" spans="1:16" x14ac:dyDescent="0.25">
      <c r="A306" s="99"/>
    </row>
    <row r="314" spans="1:16" x14ac:dyDescent="0.25">
      <c r="L314" s="102"/>
      <c r="P314" s="92"/>
    </row>
    <row r="315" spans="1:16" x14ac:dyDescent="0.25">
      <c r="L315" s="102"/>
      <c r="P315" s="92"/>
    </row>
    <row r="316" spans="1:16" x14ac:dyDescent="0.25">
      <c r="L316" s="102"/>
      <c r="P316" s="92"/>
    </row>
    <row r="317" spans="1:16" x14ac:dyDescent="0.25">
      <c r="L317" s="102"/>
      <c r="P317" s="92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dataValidations count="1">
    <dataValidation type="list" allowBlank="1" showInputMessage="1" showErrorMessage="1" sqref="C38:C69" xr:uid="{9899D33B-8975-490A-89D4-C5E706B0D744}">
      <formula1>#REF!</formula1>
    </dataValidation>
  </dataValidations>
  <hyperlinks>
    <hyperlink ref="C2:D2" r:id="rId1" display="Madrid" xr:uid="{55976DBF-60E6-4A4A-9D1D-B3DBD9502547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1EBD-8982-4F1F-88B6-B877E474245E}">
  <sheetPr>
    <tabColor rgb="FF92D050"/>
  </sheetPr>
  <dimension ref="A1:AL317"/>
  <sheetViews>
    <sheetView workbookViewId="0">
      <selection activeCell="E23" sqref="E23"/>
    </sheetView>
  </sheetViews>
  <sheetFormatPr defaultColWidth="8.875" defaultRowHeight="14.3" x14ac:dyDescent="0.25"/>
  <cols>
    <col min="1" max="1" width="8" style="179" customWidth="1"/>
    <col min="2" max="2" width="8.25" style="179" customWidth="1"/>
    <col min="3" max="3" width="34.75" style="179" customWidth="1"/>
    <col min="4" max="4" width="11.25" style="179" customWidth="1"/>
    <col min="5" max="6" width="8.875" style="179"/>
    <col min="7" max="7" width="0.875" style="179" customWidth="1"/>
    <col min="8" max="8" width="8.875" style="182"/>
    <col min="9" max="9" width="11" style="182" customWidth="1"/>
    <col min="10" max="10" width="15" style="182" customWidth="1"/>
    <col min="11" max="11" width="8.75" style="182" customWidth="1"/>
    <col min="12" max="12" width="11" style="182" customWidth="1"/>
    <col min="13" max="13" width="11.75" style="183" customWidth="1"/>
    <col min="14" max="15" width="13.875" style="151" customWidth="1"/>
    <col min="16" max="18" width="8.875" style="151"/>
    <col min="19" max="20" width="8.875" style="156"/>
    <col min="21" max="21" width="12.125" style="156" customWidth="1"/>
    <col min="22" max="22" width="27.375" style="156" customWidth="1"/>
    <col min="23" max="38" width="8.875" style="156"/>
    <col min="39" max="16384" width="8.875" style="179"/>
  </cols>
  <sheetData>
    <row r="1" spans="1:36" x14ac:dyDescent="0.25">
      <c r="A1" s="151"/>
      <c r="B1" s="151"/>
      <c r="C1" s="151"/>
      <c r="D1" s="151"/>
      <c r="E1" s="151"/>
      <c r="F1" s="151"/>
      <c r="G1" s="151"/>
      <c r="H1" s="152" t="s">
        <v>25</v>
      </c>
      <c r="I1" s="153" t="s">
        <v>26</v>
      </c>
      <c r="J1" s="153" t="s">
        <v>27</v>
      </c>
      <c r="K1" s="154" t="s">
        <v>28</v>
      </c>
      <c r="L1" s="155"/>
      <c r="M1" s="155"/>
    </row>
    <row r="2" spans="1:36" x14ac:dyDescent="0.25">
      <c r="A2" s="151"/>
      <c r="B2" s="14" t="s">
        <v>29</v>
      </c>
      <c r="C2" s="195" t="s">
        <v>109</v>
      </c>
      <c r="D2" s="111"/>
      <c r="E2" s="15"/>
      <c r="F2" s="15"/>
      <c r="G2" s="15"/>
      <c r="H2" s="157">
        <v>0</v>
      </c>
      <c r="I2" s="158">
        <v>50</v>
      </c>
      <c r="J2" s="158">
        <v>10</v>
      </c>
      <c r="K2" s="159">
        <f>3*H2^(1/3)</f>
        <v>0</v>
      </c>
      <c r="L2" s="155"/>
      <c r="M2" s="155"/>
    </row>
    <row r="3" spans="1:36" ht="14.45" customHeight="1" x14ac:dyDescent="0.25">
      <c r="A3" s="151"/>
      <c r="B3" s="160" t="s">
        <v>31</v>
      </c>
      <c r="C3" s="63" t="s">
        <v>110</v>
      </c>
      <c r="D3" s="63"/>
      <c r="E3" s="20"/>
      <c r="F3" s="20"/>
      <c r="G3" s="20"/>
      <c r="H3" s="155"/>
      <c r="I3" s="155"/>
      <c r="J3" s="155"/>
      <c r="K3" s="155"/>
      <c r="L3" s="155"/>
      <c r="M3" s="155"/>
    </row>
    <row r="4" spans="1:36" ht="10.199999999999999" customHeight="1" x14ac:dyDescent="0.25">
      <c r="A4" s="22"/>
      <c r="B4" s="20"/>
      <c r="C4" s="22"/>
      <c r="D4" s="22"/>
      <c r="E4" s="22"/>
      <c r="F4" s="22"/>
      <c r="G4" s="22"/>
      <c r="H4" s="155"/>
      <c r="I4" s="155"/>
      <c r="J4" s="155"/>
      <c r="K4" s="155"/>
      <c r="L4" s="155"/>
      <c r="M4" s="155"/>
    </row>
    <row r="5" spans="1:36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161" t="s">
        <v>39</v>
      </c>
      <c r="I5" s="162" t="s">
        <v>40</v>
      </c>
      <c r="J5" s="162" t="s">
        <v>41</v>
      </c>
      <c r="K5" s="162" t="s">
        <v>42</v>
      </c>
      <c r="L5" s="162" t="s">
        <v>43</v>
      </c>
      <c r="M5" s="161" t="s">
        <v>44</v>
      </c>
    </row>
    <row r="6" spans="1:36" ht="14.45" customHeight="1" x14ac:dyDescent="0.25">
      <c r="A6" s="109">
        <f>M6</f>
        <v>0</v>
      </c>
      <c r="B6" s="28" t="str">
        <f t="shared" ref="B6:B65" si="0">IF(H6&gt;$H$2,"",(ROW()-5))</f>
        <v/>
      </c>
      <c r="C6" s="29"/>
      <c r="D6" s="29"/>
      <c r="E6" s="29"/>
      <c r="F6" s="29"/>
      <c r="G6" s="22"/>
      <c r="H6" s="163">
        <v>1</v>
      </c>
      <c r="I6" s="164" t="str">
        <f t="shared" ref="I6:I69" si="1">IF(H6&lt;$H$2+1,($I$2-($I$2-1)*(LOG(H6)/LOG($H$2))),"")</f>
        <v/>
      </c>
      <c r="J6" s="164" t="e">
        <f>INT(LOG($H$2,2))-ROUNDUP(LOG(H6,2),0)+IF(OR($H$2=1,$H$2=2,$H$2=4,$H$2=8,$H$2=16,$H$2=32,$H$2=64,$H$2=128,$H$2=256),0,1)</f>
        <v>#NUM!</v>
      </c>
      <c r="K6" s="163" t="e">
        <f t="shared" ref="K6:K69" si="2">J6*$J$2</f>
        <v>#NUM!</v>
      </c>
      <c r="L6" s="165">
        <f>3*K2</f>
        <v>0</v>
      </c>
      <c r="M6" s="165">
        <f t="shared" ref="M6:M69" si="3">IF(I6&lt;&gt;"",K6+I6+L6,0)</f>
        <v>0</v>
      </c>
    </row>
    <row r="7" spans="1:36" ht="14.45" customHeight="1" x14ac:dyDescent="0.25">
      <c r="A7" s="110">
        <f t="shared" ref="A7:A70" si="4">M7</f>
        <v>0</v>
      </c>
      <c r="B7" s="34" t="str">
        <f t="shared" si="0"/>
        <v/>
      </c>
      <c r="C7" s="35"/>
      <c r="D7" s="35"/>
      <c r="E7" s="35"/>
      <c r="F7" s="35"/>
      <c r="G7" s="22"/>
      <c r="H7" s="166">
        <v>2</v>
      </c>
      <c r="I7" s="167" t="str">
        <f t="shared" si="1"/>
        <v/>
      </c>
      <c r="J7" s="167" t="e">
        <f t="shared" ref="J7:J70" si="5">INT(LOG($H$2,2))-ROUNDUP(LOG(H7,2),0)+IF(OR($H$2=1,$H$2=2,$H$2=4,$H$2=8,$H$2=16,$H$2=32,$H$2=64,$H$2=128,$H$2=256),0,1)</f>
        <v>#NUM!</v>
      </c>
      <c r="K7" s="166" t="e">
        <f t="shared" si="2"/>
        <v>#NUM!</v>
      </c>
      <c r="L7" s="168">
        <f>2*K2</f>
        <v>0</v>
      </c>
      <c r="M7" s="168">
        <f t="shared" si="3"/>
        <v>0</v>
      </c>
    </row>
    <row r="8" spans="1:36" ht="14.45" customHeight="1" x14ac:dyDescent="0.25">
      <c r="A8" s="109">
        <f t="shared" si="4"/>
        <v>0</v>
      </c>
      <c r="B8" s="28" t="str">
        <f t="shared" si="0"/>
        <v/>
      </c>
      <c r="C8" s="29"/>
      <c r="D8" s="29"/>
      <c r="E8" s="29"/>
      <c r="F8" s="29"/>
      <c r="G8" s="22"/>
      <c r="H8" s="163">
        <v>3</v>
      </c>
      <c r="I8" s="164" t="str">
        <f t="shared" si="1"/>
        <v/>
      </c>
      <c r="J8" s="164" t="e">
        <f t="shared" si="5"/>
        <v>#NUM!</v>
      </c>
      <c r="K8" s="163" t="e">
        <f t="shared" si="2"/>
        <v>#NUM!</v>
      </c>
      <c r="L8" s="165">
        <f>K2</f>
        <v>0</v>
      </c>
      <c r="M8" s="165">
        <f t="shared" si="3"/>
        <v>0</v>
      </c>
    </row>
    <row r="9" spans="1:36" s="156" customFormat="1" ht="14.45" customHeight="1" x14ac:dyDescent="0.25">
      <c r="A9" s="110">
        <f t="shared" si="4"/>
        <v>0</v>
      </c>
      <c r="B9" s="34" t="str">
        <f>IF(H9&gt;$H$2,"",3)</f>
        <v/>
      </c>
      <c r="C9" s="35"/>
      <c r="D9" s="35"/>
      <c r="E9" s="35"/>
      <c r="F9" s="35"/>
      <c r="G9" s="22"/>
      <c r="H9" s="166">
        <v>3</v>
      </c>
      <c r="I9" s="167" t="str">
        <f t="shared" si="1"/>
        <v/>
      </c>
      <c r="J9" s="166" t="e">
        <f t="shared" si="5"/>
        <v>#NUM!</v>
      </c>
      <c r="K9" s="166" t="e">
        <f t="shared" si="2"/>
        <v>#NUM!</v>
      </c>
      <c r="L9" s="168">
        <f>K2</f>
        <v>0</v>
      </c>
      <c r="M9" s="168">
        <f t="shared" si="3"/>
        <v>0</v>
      </c>
      <c r="N9" s="151"/>
      <c r="O9" s="151"/>
      <c r="P9" s="151"/>
      <c r="Q9" s="151"/>
      <c r="R9" s="151"/>
      <c r="V9" s="169"/>
      <c r="Z9" s="170"/>
      <c r="AA9" s="170"/>
      <c r="AG9" s="171"/>
      <c r="AH9" s="156" t="s">
        <v>50</v>
      </c>
      <c r="AI9" s="156">
        <v>23</v>
      </c>
    </row>
    <row r="10" spans="1:36" ht="14.45" customHeight="1" x14ac:dyDescent="0.25">
      <c r="A10" s="109">
        <f t="shared" si="4"/>
        <v>0</v>
      </c>
      <c r="B10" s="28" t="str">
        <f t="shared" si="0"/>
        <v/>
      </c>
      <c r="C10" s="29"/>
      <c r="D10" s="29"/>
      <c r="E10" s="29"/>
      <c r="F10" s="29"/>
      <c r="G10" s="22"/>
      <c r="H10" s="163">
        <v>5</v>
      </c>
      <c r="I10" s="164" t="str">
        <f t="shared" si="1"/>
        <v/>
      </c>
      <c r="J10" s="164" t="e">
        <f t="shared" si="5"/>
        <v>#NUM!</v>
      </c>
      <c r="K10" s="163" t="e">
        <f t="shared" si="2"/>
        <v>#NUM!</v>
      </c>
      <c r="L10" s="163"/>
      <c r="M10" s="165">
        <f t="shared" si="3"/>
        <v>0</v>
      </c>
      <c r="V10" s="169"/>
      <c r="Z10" s="170"/>
      <c r="AA10" s="170"/>
      <c r="AG10" s="171"/>
      <c r="AH10" s="156" t="s">
        <v>52</v>
      </c>
      <c r="AI10" s="156">
        <v>45</v>
      </c>
    </row>
    <row r="11" spans="1:36" ht="14.45" customHeight="1" x14ac:dyDescent="0.25">
      <c r="A11" s="110">
        <f t="shared" si="4"/>
        <v>0</v>
      </c>
      <c r="B11" s="34" t="str">
        <f t="shared" si="0"/>
        <v/>
      </c>
      <c r="C11" s="35"/>
      <c r="D11" s="35"/>
      <c r="E11" s="35"/>
      <c r="F11" s="35"/>
      <c r="G11" s="22"/>
      <c r="H11" s="166">
        <v>6</v>
      </c>
      <c r="I11" s="167" t="str">
        <f t="shared" si="1"/>
        <v/>
      </c>
      <c r="J11" s="167" t="e">
        <f t="shared" si="5"/>
        <v>#NUM!</v>
      </c>
      <c r="K11" s="166" t="e">
        <f t="shared" si="2"/>
        <v>#NUM!</v>
      </c>
      <c r="L11" s="166"/>
      <c r="M11" s="168">
        <f t="shared" si="3"/>
        <v>0</v>
      </c>
      <c r="V11" s="172"/>
      <c r="Z11" s="170"/>
      <c r="AA11" s="170"/>
      <c r="AG11" s="171"/>
      <c r="AH11" s="156" t="s">
        <v>53</v>
      </c>
      <c r="AI11" s="156">
        <v>50</v>
      </c>
    </row>
    <row r="12" spans="1:36" ht="14.45" customHeight="1" x14ac:dyDescent="0.25">
      <c r="A12" s="109">
        <f t="shared" si="4"/>
        <v>0</v>
      </c>
      <c r="B12" s="28" t="str">
        <f t="shared" si="0"/>
        <v/>
      </c>
      <c r="C12" s="29"/>
      <c r="D12" s="29"/>
      <c r="E12" s="29"/>
      <c r="F12" s="29"/>
      <c r="G12" s="22"/>
      <c r="H12" s="163">
        <v>7</v>
      </c>
      <c r="I12" s="164" t="str">
        <f t="shared" si="1"/>
        <v/>
      </c>
      <c r="J12" s="164" t="e">
        <f t="shared" si="5"/>
        <v>#NUM!</v>
      </c>
      <c r="K12" s="163" t="e">
        <f t="shared" si="2"/>
        <v>#NUM!</v>
      </c>
      <c r="L12" s="163"/>
      <c r="M12" s="165">
        <f t="shared" si="3"/>
        <v>0</v>
      </c>
      <c r="Z12" s="170"/>
      <c r="AA12" s="170"/>
      <c r="AG12" s="171"/>
      <c r="AH12" s="156" t="s">
        <v>54</v>
      </c>
      <c r="AI12" s="156">
        <f>AI11-1</f>
        <v>49</v>
      </c>
    </row>
    <row r="13" spans="1:36" ht="14.45" customHeight="1" x14ac:dyDescent="0.25">
      <c r="A13" s="110">
        <f t="shared" si="4"/>
        <v>0</v>
      </c>
      <c r="B13" s="34" t="str">
        <f t="shared" si="0"/>
        <v/>
      </c>
      <c r="C13" s="35"/>
      <c r="D13" s="35"/>
      <c r="E13" s="35"/>
      <c r="F13" s="35"/>
      <c r="G13" s="22"/>
      <c r="H13" s="166">
        <v>8</v>
      </c>
      <c r="I13" s="167" t="str">
        <f t="shared" si="1"/>
        <v/>
      </c>
      <c r="J13" s="167" t="e">
        <f t="shared" si="5"/>
        <v>#NUM!</v>
      </c>
      <c r="K13" s="166" t="e">
        <f t="shared" si="2"/>
        <v>#NUM!</v>
      </c>
      <c r="L13" s="166"/>
      <c r="M13" s="168">
        <f t="shared" si="3"/>
        <v>0</v>
      </c>
      <c r="X13" s="169"/>
      <c r="AG13" s="171"/>
      <c r="AH13" s="156" t="s">
        <v>55</v>
      </c>
      <c r="AI13" s="156">
        <f>LOG(AI9)</f>
        <v>1.3617278360175928</v>
      </c>
    </row>
    <row r="14" spans="1:36" x14ac:dyDescent="0.25">
      <c r="A14" s="109">
        <f t="shared" si="4"/>
        <v>0</v>
      </c>
      <c r="B14" s="28" t="str">
        <f t="shared" si="0"/>
        <v/>
      </c>
      <c r="C14" s="29"/>
      <c r="D14" s="29"/>
      <c r="E14" s="29"/>
      <c r="F14" s="29"/>
      <c r="G14" s="22"/>
      <c r="H14" s="163">
        <v>9</v>
      </c>
      <c r="I14" s="164" t="str">
        <f t="shared" si="1"/>
        <v/>
      </c>
      <c r="J14" s="164" t="e">
        <f t="shared" si="5"/>
        <v>#NUM!</v>
      </c>
      <c r="K14" s="163" t="e">
        <f t="shared" si="2"/>
        <v>#NUM!</v>
      </c>
      <c r="L14" s="163"/>
      <c r="M14" s="165">
        <f t="shared" si="3"/>
        <v>0</v>
      </c>
      <c r="X14" s="173"/>
      <c r="Z14" s="170"/>
      <c r="AA14" s="170"/>
      <c r="AG14" s="171"/>
      <c r="AH14" s="156" t="s">
        <v>56</v>
      </c>
      <c r="AI14" s="156">
        <f>LOG(AI10)</f>
        <v>1.6532125137753437</v>
      </c>
    </row>
    <row r="15" spans="1:36" x14ac:dyDescent="0.25">
      <c r="A15" s="110">
        <f t="shared" si="4"/>
        <v>0</v>
      </c>
      <c r="B15" s="34" t="str">
        <f t="shared" si="0"/>
        <v/>
      </c>
      <c r="C15" s="35"/>
      <c r="D15" s="35"/>
      <c r="E15" s="35"/>
      <c r="F15" s="35"/>
      <c r="G15" s="22"/>
      <c r="H15" s="166">
        <v>10</v>
      </c>
      <c r="I15" s="167" t="str">
        <f t="shared" si="1"/>
        <v/>
      </c>
      <c r="J15" s="167" t="e">
        <f t="shared" si="5"/>
        <v>#NUM!</v>
      </c>
      <c r="K15" s="166" t="e">
        <f t="shared" si="2"/>
        <v>#NUM!</v>
      </c>
      <c r="L15" s="166"/>
      <c r="M15" s="168">
        <f t="shared" si="3"/>
        <v>0</v>
      </c>
      <c r="X15" s="169"/>
      <c r="Z15" s="170"/>
      <c r="AA15" s="170"/>
    </row>
    <row r="16" spans="1:36" x14ac:dyDescent="0.25">
      <c r="A16" s="109">
        <f t="shared" si="4"/>
        <v>0</v>
      </c>
      <c r="B16" s="28" t="str">
        <f t="shared" si="0"/>
        <v/>
      </c>
      <c r="C16" s="29"/>
      <c r="D16" s="29"/>
      <c r="E16" s="29"/>
      <c r="F16" s="29"/>
      <c r="G16" s="22"/>
      <c r="H16" s="163">
        <v>11</v>
      </c>
      <c r="I16" s="164" t="str">
        <f t="shared" si="1"/>
        <v/>
      </c>
      <c r="J16" s="164" t="e">
        <f t="shared" si="5"/>
        <v>#NUM!</v>
      </c>
      <c r="K16" s="163" t="e">
        <f t="shared" si="2"/>
        <v>#NUM!</v>
      </c>
      <c r="L16" s="163"/>
      <c r="M16" s="165">
        <f t="shared" si="3"/>
        <v>0</v>
      </c>
      <c r="R16" s="174"/>
      <c r="Z16" s="170"/>
      <c r="AA16" s="170"/>
      <c r="AH16" s="175" t="s">
        <v>57</v>
      </c>
      <c r="AI16" s="156">
        <f>AI11-AI12*AI13/AI14</f>
        <v>9.6393909380186855</v>
      </c>
      <c r="AJ16" s="156" t="s">
        <v>58</v>
      </c>
    </row>
    <row r="17" spans="1:19" x14ac:dyDescent="0.25">
      <c r="A17" s="110">
        <f t="shared" si="4"/>
        <v>0</v>
      </c>
      <c r="B17" s="34" t="str">
        <f t="shared" si="0"/>
        <v/>
      </c>
      <c r="C17" s="35"/>
      <c r="D17" s="35"/>
      <c r="E17" s="35"/>
      <c r="F17" s="35"/>
      <c r="G17" s="22"/>
      <c r="H17" s="166">
        <v>12</v>
      </c>
      <c r="I17" s="167" t="str">
        <f t="shared" si="1"/>
        <v/>
      </c>
      <c r="J17" s="167" t="e">
        <f t="shared" si="5"/>
        <v>#NUM!</v>
      </c>
      <c r="K17" s="166" t="e">
        <f t="shared" si="2"/>
        <v>#NUM!</v>
      </c>
      <c r="L17" s="166"/>
      <c r="M17" s="168">
        <f t="shared" si="3"/>
        <v>0</v>
      </c>
    </row>
    <row r="18" spans="1:19" x14ac:dyDescent="0.25">
      <c r="A18" s="109">
        <f t="shared" si="4"/>
        <v>0</v>
      </c>
      <c r="B18" s="28" t="str">
        <f t="shared" si="0"/>
        <v/>
      </c>
      <c r="C18" s="29"/>
      <c r="D18" s="29"/>
      <c r="E18" s="29"/>
      <c r="F18" s="29"/>
      <c r="G18" s="22"/>
      <c r="H18" s="163">
        <v>13</v>
      </c>
      <c r="I18" s="164" t="str">
        <f t="shared" si="1"/>
        <v/>
      </c>
      <c r="J18" s="164" t="e">
        <f t="shared" si="5"/>
        <v>#NUM!</v>
      </c>
      <c r="K18" s="163" t="e">
        <f t="shared" si="2"/>
        <v>#NUM!</v>
      </c>
      <c r="L18" s="163"/>
      <c r="M18" s="165">
        <f t="shared" si="3"/>
        <v>0</v>
      </c>
    </row>
    <row r="19" spans="1:19" x14ac:dyDescent="0.25">
      <c r="A19" s="110">
        <f t="shared" si="4"/>
        <v>0</v>
      </c>
      <c r="B19" s="34" t="str">
        <f t="shared" si="0"/>
        <v/>
      </c>
      <c r="C19" s="35"/>
      <c r="D19" s="35"/>
      <c r="E19" s="35"/>
      <c r="F19" s="35"/>
      <c r="G19" s="22"/>
      <c r="H19" s="166">
        <v>14</v>
      </c>
      <c r="I19" s="167" t="str">
        <f t="shared" si="1"/>
        <v/>
      </c>
      <c r="J19" s="167" t="e">
        <f t="shared" si="5"/>
        <v>#NUM!</v>
      </c>
      <c r="K19" s="166" t="e">
        <f t="shared" si="2"/>
        <v>#NUM!</v>
      </c>
      <c r="L19" s="166"/>
      <c r="M19" s="168">
        <f t="shared" si="3"/>
        <v>0</v>
      </c>
    </row>
    <row r="20" spans="1:19" x14ac:dyDescent="0.25">
      <c r="A20" s="109">
        <f t="shared" si="4"/>
        <v>0</v>
      </c>
      <c r="B20" s="28" t="str">
        <f t="shared" si="0"/>
        <v/>
      </c>
      <c r="C20" s="29"/>
      <c r="D20" s="29"/>
      <c r="E20" s="29"/>
      <c r="F20" s="29"/>
      <c r="G20" s="22"/>
      <c r="H20" s="163">
        <v>15</v>
      </c>
      <c r="I20" s="164" t="str">
        <f t="shared" si="1"/>
        <v/>
      </c>
      <c r="J20" s="164" t="e">
        <f t="shared" si="5"/>
        <v>#NUM!</v>
      </c>
      <c r="K20" s="163" t="e">
        <f t="shared" si="2"/>
        <v>#NUM!</v>
      </c>
      <c r="L20" s="163"/>
      <c r="M20" s="165">
        <f t="shared" si="3"/>
        <v>0</v>
      </c>
      <c r="R20" s="176"/>
      <c r="S20" s="177"/>
    </row>
    <row r="21" spans="1:19" x14ac:dyDescent="0.25">
      <c r="A21" s="110">
        <f t="shared" si="4"/>
        <v>0</v>
      </c>
      <c r="B21" s="34" t="str">
        <f t="shared" si="0"/>
        <v/>
      </c>
      <c r="C21" s="35"/>
      <c r="D21" s="35"/>
      <c r="E21" s="35"/>
      <c r="F21" s="35"/>
      <c r="G21" s="22"/>
      <c r="H21" s="166">
        <v>16</v>
      </c>
      <c r="I21" s="167" t="str">
        <f t="shared" si="1"/>
        <v/>
      </c>
      <c r="J21" s="167" t="e">
        <f t="shared" si="5"/>
        <v>#NUM!</v>
      </c>
      <c r="K21" s="166" t="e">
        <f t="shared" si="2"/>
        <v>#NUM!</v>
      </c>
      <c r="L21" s="166"/>
      <c r="M21" s="168">
        <f t="shared" si="3"/>
        <v>0</v>
      </c>
    </row>
    <row r="22" spans="1:19" x14ac:dyDescent="0.25">
      <c r="A22" s="109">
        <f t="shared" si="4"/>
        <v>0</v>
      </c>
      <c r="B22" s="28" t="str">
        <f t="shared" si="0"/>
        <v/>
      </c>
      <c r="C22" s="29"/>
      <c r="D22" s="29"/>
      <c r="E22" s="29"/>
      <c r="F22" s="29"/>
      <c r="G22" s="22"/>
      <c r="H22" s="163">
        <v>17</v>
      </c>
      <c r="I22" s="164" t="str">
        <f t="shared" si="1"/>
        <v/>
      </c>
      <c r="J22" s="164" t="e">
        <f t="shared" si="5"/>
        <v>#NUM!</v>
      </c>
      <c r="K22" s="163" t="e">
        <f t="shared" si="2"/>
        <v>#NUM!</v>
      </c>
      <c r="L22" s="163"/>
      <c r="M22" s="165">
        <f t="shared" si="3"/>
        <v>0</v>
      </c>
    </row>
    <row r="23" spans="1:19" x14ac:dyDescent="0.25">
      <c r="A23" s="110">
        <f t="shared" si="4"/>
        <v>0</v>
      </c>
      <c r="B23" s="34" t="str">
        <f t="shared" si="0"/>
        <v/>
      </c>
      <c r="C23" s="35"/>
      <c r="D23" s="35"/>
      <c r="E23" s="35"/>
      <c r="F23" s="35"/>
      <c r="G23" s="22"/>
      <c r="H23" s="166">
        <v>18</v>
      </c>
      <c r="I23" s="167" t="str">
        <f t="shared" si="1"/>
        <v/>
      </c>
      <c r="J23" s="167" t="e">
        <f t="shared" si="5"/>
        <v>#NUM!</v>
      </c>
      <c r="K23" s="166" t="e">
        <f t="shared" si="2"/>
        <v>#NUM!</v>
      </c>
      <c r="L23" s="166"/>
      <c r="M23" s="168">
        <f t="shared" si="3"/>
        <v>0</v>
      </c>
    </row>
    <row r="24" spans="1:19" x14ac:dyDescent="0.25">
      <c r="A24" s="109">
        <f t="shared" si="4"/>
        <v>0</v>
      </c>
      <c r="B24" s="28" t="str">
        <f t="shared" si="0"/>
        <v/>
      </c>
      <c r="C24" s="29"/>
      <c r="D24" s="29"/>
      <c r="E24" s="29"/>
      <c r="F24" s="29"/>
      <c r="G24" s="22"/>
      <c r="H24" s="163">
        <v>19</v>
      </c>
      <c r="I24" s="164" t="str">
        <f t="shared" si="1"/>
        <v/>
      </c>
      <c r="J24" s="164" t="e">
        <f t="shared" si="5"/>
        <v>#NUM!</v>
      </c>
      <c r="K24" s="163" t="e">
        <f t="shared" si="2"/>
        <v>#NUM!</v>
      </c>
      <c r="L24" s="163"/>
      <c r="M24" s="165">
        <f t="shared" si="3"/>
        <v>0</v>
      </c>
      <c r="R24" s="176"/>
      <c r="S24" s="177"/>
    </row>
    <row r="25" spans="1:19" x14ac:dyDescent="0.25">
      <c r="A25" s="110">
        <f t="shared" si="4"/>
        <v>0</v>
      </c>
      <c r="B25" s="34" t="str">
        <f t="shared" si="0"/>
        <v/>
      </c>
      <c r="C25" s="35"/>
      <c r="D25" s="35"/>
      <c r="E25" s="35"/>
      <c r="F25" s="35"/>
      <c r="G25" s="22"/>
      <c r="H25" s="166">
        <v>20</v>
      </c>
      <c r="I25" s="167" t="str">
        <f t="shared" si="1"/>
        <v/>
      </c>
      <c r="J25" s="167" t="e">
        <f t="shared" si="5"/>
        <v>#NUM!</v>
      </c>
      <c r="K25" s="166" t="e">
        <f t="shared" si="2"/>
        <v>#NUM!</v>
      </c>
      <c r="L25" s="166"/>
      <c r="M25" s="168">
        <f t="shared" si="3"/>
        <v>0</v>
      </c>
    </row>
    <row r="26" spans="1:19" x14ac:dyDescent="0.25">
      <c r="A26" s="109">
        <f t="shared" si="4"/>
        <v>0</v>
      </c>
      <c r="B26" s="28" t="str">
        <f t="shared" si="0"/>
        <v/>
      </c>
      <c r="C26" s="29"/>
      <c r="D26" s="29"/>
      <c r="E26" s="29"/>
      <c r="F26" s="29"/>
      <c r="G26" s="22"/>
      <c r="H26" s="163">
        <v>21</v>
      </c>
      <c r="I26" s="164" t="str">
        <f t="shared" si="1"/>
        <v/>
      </c>
      <c r="J26" s="164" t="e">
        <f t="shared" si="5"/>
        <v>#NUM!</v>
      </c>
      <c r="K26" s="163" t="e">
        <f t="shared" si="2"/>
        <v>#NUM!</v>
      </c>
      <c r="L26" s="163"/>
      <c r="M26" s="165">
        <f t="shared" si="3"/>
        <v>0</v>
      </c>
    </row>
    <row r="27" spans="1:19" x14ac:dyDescent="0.25">
      <c r="A27" s="110">
        <f t="shared" si="4"/>
        <v>0</v>
      </c>
      <c r="B27" s="34" t="str">
        <f t="shared" si="0"/>
        <v/>
      </c>
      <c r="C27" s="35"/>
      <c r="D27" s="35"/>
      <c r="E27" s="35"/>
      <c r="F27" s="35"/>
      <c r="G27" s="22"/>
      <c r="H27" s="166">
        <v>22</v>
      </c>
      <c r="I27" s="167" t="str">
        <f t="shared" si="1"/>
        <v/>
      </c>
      <c r="J27" s="167" t="e">
        <f t="shared" si="5"/>
        <v>#NUM!</v>
      </c>
      <c r="K27" s="166" t="e">
        <f t="shared" si="2"/>
        <v>#NUM!</v>
      </c>
      <c r="L27" s="166"/>
      <c r="M27" s="168">
        <f t="shared" si="3"/>
        <v>0</v>
      </c>
    </row>
    <row r="28" spans="1:19" x14ac:dyDescent="0.25">
      <c r="A28" s="109">
        <f t="shared" si="4"/>
        <v>0</v>
      </c>
      <c r="B28" s="28" t="str">
        <f t="shared" si="0"/>
        <v/>
      </c>
      <c r="C28" s="29"/>
      <c r="D28" s="29"/>
      <c r="E28" s="29"/>
      <c r="F28" s="29"/>
      <c r="G28" s="22"/>
      <c r="H28" s="163">
        <v>23</v>
      </c>
      <c r="I28" s="164" t="str">
        <f t="shared" si="1"/>
        <v/>
      </c>
      <c r="J28" s="164" t="e">
        <f t="shared" si="5"/>
        <v>#NUM!</v>
      </c>
      <c r="K28" s="163" t="e">
        <f t="shared" si="2"/>
        <v>#NUM!</v>
      </c>
      <c r="L28" s="163"/>
      <c r="M28" s="165">
        <f t="shared" si="3"/>
        <v>0</v>
      </c>
      <c r="R28" s="176"/>
      <c r="S28" s="177"/>
    </row>
    <row r="29" spans="1:19" x14ac:dyDescent="0.25">
      <c r="A29" s="110">
        <f t="shared" si="4"/>
        <v>0</v>
      </c>
      <c r="B29" s="34" t="str">
        <f t="shared" si="0"/>
        <v/>
      </c>
      <c r="C29" s="35"/>
      <c r="D29" s="35"/>
      <c r="E29" s="35"/>
      <c r="F29" s="35"/>
      <c r="G29" s="151"/>
      <c r="H29" s="166">
        <v>24</v>
      </c>
      <c r="I29" s="167" t="str">
        <f t="shared" si="1"/>
        <v/>
      </c>
      <c r="J29" s="167" t="e">
        <f t="shared" si="5"/>
        <v>#NUM!</v>
      </c>
      <c r="K29" s="166" t="e">
        <f t="shared" si="2"/>
        <v>#NUM!</v>
      </c>
      <c r="L29" s="166"/>
      <c r="M29" s="168">
        <f t="shared" si="3"/>
        <v>0</v>
      </c>
    </row>
    <row r="30" spans="1:19" x14ac:dyDescent="0.25">
      <c r="A30" s="109">
        <f t="shared" si="4"/>
        <v>0</v>
      </c>
      <c r="B30" s="28" t="str">
        <f t="shared" si="0"/>
        <v/>
      </c>
      <c r="C30" s="29"/>
      <c r="D30" s="29"/>
      <c r="E30" s="29"/>
      <c r="F30" s="29"/>
      <c r="G30" s="151"/>
      <c r="H30" s="163">
        <v>25</v>
      </c>
      <c r="I30" s="164" t="str">
        <f t="shared" si="1"/>
        <v/>
      </c>
      <c r="J30" s="164" t="e">
        <f t="shared" si="5"/>
        <v>#NUM!</v>
      </c>
      <c r="K30" s="163" t="e">
        <f t="shared" si="2"/>
        <v>#NUM!</v>
      </c>
      <c r="L30" s="163"/>
      <c r="M30" s="165">
        <f t="shared" si="3"/>
        <v>0</v>
      </c>
    </row>
    <row r="31" spans="1:19" x14ac:dyDescent="0.25">
      <c r="A31" s="110">
        <f t="shared" si="4"/>
        <v>0</v>
      </c>
      <c r="B31" s="34" t="str">
        <f t="shared" si="0"/>
        <v/>
      </c>
      <c r="C31" s="35"/>
      <c r="D31" s="35"/>
      <c r="E31" s="35"/>
      <c r="F31" s="35"/>
      <c r="G31" s="151"/>
      <c r="H31" s="166">
        <v>26</v>
      </c>
      <c r="I31" s="167" t="str">
        <f t="shared" si="1"/>
        <v/>
      </c>
      <c r="J31" s="167" t="e">
        <f t="shared" si="5"/>
        <v>#NUM!</v>
      </c>
      <c r="K31" s="166" t="e">
        <f t="shared" si="2"/>
        <v>#NUM!</v>
      </c>
      <c r="L31" s="166"/>
      <c r="M31" s="168">
        <f t="shared" si="3"/>
        <v>0</v>
      </c>
    </row>
    <row r="32" spans="1:19" x14ac:dyDescent="0.25">
      <c r="A32" s="109">
        <f t="shared" si="4"/>
        <v>0</v>
      </c>
      <c r="B32" s="28" t="str">
        <f t="shared" si="0"/>
        <v/>
      </c>
      <c r="C32" s="29"/>
      <c r="D32" s="29"/>
      <c r="E32" s="29"/>
      <c r="F32" s="29"/>
      <c r="G32" s="151"/>
      <c r="H32" s="163">
        <v>27</v>
      </c>
      <c r="I32" s="164" t="str">
        <f t="shared" si="1"/>
        <v/>
      </c>
      <c r="J32" s="164" t="e">
        <f t="shared" si="5"/>
        <v>#NUM!</v>
      </c>
      <c r="K32" s="163" t="e">
        <f t="shared" si="2"/>
        <v>#NUM!</v>
      </c>
      <c r="L32" s="163"/>
      <c r="M32" s="165">
        <f t="shared" si="3"/>
        <v>0</v>
      </c>
      <c r="R32" s="176"/>
      <c r="S32" s="177"/>
    </row>
    <row r="33" spans="1:21" x14ac:dyDescent="0.25">
      <c r="A33" s="110">
        <f t="shared" si="4"/>
        <v>0</v>
      </c>
      <c r="B33" s="34" t="str">
        <f t="shared" si="0"/>
        <v/>
      </c>
      <c r="C33" s="35"/>
      <c r="D33" s="35"/>
      <c r="E33" s="35"/>
      <c r="F33" s="35"/>
      <c r="G33" s="151"/>
      <c r="H33" s="166">
        <v>28</v>
      </c>
      <c r="I33" s="167" t="str">
        <f t="shared" si="1"/>
        <v/>
      </c>
      <c r="J33" s="167" t="e">
        <f t="shared" si="5"/>
        <v>#NUM!</v>
      </c>
      <c r="K33" s="166" t="e">
        <f t="shared" si="2"/>
        <v>#NUM!</v>
      </c>
      <c r="L33" s="166"/>
      <c r="M33" s="168">
        <f t="shared" si="3"/>
        <v>0</v>
      </c>
    </row>
    <row r="34" spans="1:21" x14ac:dyDescent="0.25">
      <c r="A34" s="109">
        <f t="shared" si="4"/>
        <v>0</v>
      </c>
      <c r="B34" s="28" t="str">
        <f t="shared" si="0"/>
        <v/>
      </c>
      <c r="C34" s="29"/>
      <c r="D34" s="29"/>
      <c r="E34" s="29"/>
      <c r="F34" s="29"/>
      <c r="G34" s="151"/>
      <c r="H34" s="163">
        <v>29</v>
      </c>
      <c r="I34" s="164" t="str">
        <f t="shared" si="1"/>
        <v/>
      </c>
      <c r="J34" s="164" t="e">
        <f t="shared" si="5"/>
        <v>#NUM!</v>
      </c>
      <c r="K34" s="163" t="e">
        <f t="shared" si="2"/>
        <v>#NUM!</v>
      </c>
      <c r="L34" s="163"/>
      <c r="M34" s="165">
        <f t="shared" si="3"/>
        <v>0</v>
      </c>
    </row>
    <row r="35" spans="1:21" x14ac:dyDescent="0.25">
      <c r="A35" s="110">
        <f t="shared" si="4"/>
        <v>0</v>
      </c>
      <c r="B35" s="34" t="str">
        <f t="shared" si="0"/>
        <v/>
      </c>
      <c r="C35" s="35"/>
      <c r="D35" s="35"/>
      <c r="E35" s="35"/>
      <c r="F35" s="35"/>
      <c r="G35" s="151"/>
      <c r="H35" s="166">
        <v>30</v>
      </c>
      <c r="I35" s="167" t="str">
        <f t="shared" si="1"/>
        <v/>
      </c>
      <c r="J35" s="167" t="e">
        <f t="shared" si="5"/>
        <v>#NUM!</v>
      </c>
      <c r="K35" s="166" t="e">
        <f t="shared" si="2"/>
        <v>#NUM!</v>
      </c>
      <c r="L35" s="166"/>
      <c r="M35" s="168">
        <f t="shared" si="3"/>
        <v>0</v>
      </c>
    </row>
    <row r="36" spans="1:21" x14ac:dyDescent="0.25">
      <c r="A36" s="109">
        <f t="shared" si="4"/>
        <v>0</v>
      </c>
      <c r="B36" s="28" t="str">
        <f t="shared" si="0"/>
        <v/>
      </c>
      <c r="C36" s="29"/>
      <c r="D36" s="29"/>
      <c r="E36" s="29"/>
      <c r="F36" s="29"/>
      <c r="G36" s="151"/>
      <c r="H36" s="163">
        <v>31</v>
      </c>
      <c r="I36" s="164" t="str">
        <f t="shared" si="1"/>
        <v/>
      </c>
      <c r="J36" s="164" t="e">
        <f t="shared" si="5"/>
        <v>#NUM!</v>
      </c>
      <c r="K36" s="163" t="e">
        <f t="shared" si="2"/>
        <v>#NUM!</v>
      </c>
      <c r="L36" s="163"/>
      <c r="M36" s="165">
        <f t="shared" si="3"/>
        <v>0</v>
      </c>
      <c r="R36" s="176"/>
      <c r="S36" s="177"/>
    </row>
    <row r="37" spans="1:21" x14ac:dyDescent="0.25">
      <c r="A37" s="110">
        <f t="shared" si="4"/>
        <v>0</v>
      </c>
      <c r="B37" s="34" t="str">
        <f t="shared" si="0"/>
        <v/>
      </c>
      <c r="C37" s="35"/>
      <c r="D37" s="35"/>
      <c r="E37" s="35"/>
      <c r="F37" s="35"/>
      <c r="G37" s="151"/>
      <c r="H37" s="166">
        <v>32</v>
      </c>
      <c r="I37" s="167" t="str">
        <f t="shared" si="1"/>
        <v/>
      </c>
      <c r="J37" s="167" t="e">
        <f t="shared" si="5"/>
        <v>#NUM!</v>
      </c>
      <c r="K37" s="166" t="e">
        <f t="shared" si="2"/>
        <v>#NUM!</v>
      </c>
      <c r="L37" s="166"/>
      <c r="M37" s="168">
        <f t="shared" si="3"/>
        <v>0</v>
      </c>
    </row>
    <row r="38" spans="1:21" x14ac:dyDescent="0.25">
      <c r="A38" s="110">
        <f t="shared" si="4"/>
        <v>0</v>
      </c>
      <c r="B38" s="28" t="str">
        <f t="shared" si="0"/>
        <v/>
      </c>
      <c r="C38" s="29"/>
      <c r="D38" s="29"/>
      <c r="E38" s="29"/>
      <c r="F38" s="29"/>
      <c r="G38" s="151"/>
      <c r="H38" s="163">
        <v>33</v>
      </c>
      <c r="I38" s="164" t="str">
        <f t="shared" si="1"/>
        <v/>
      </c>
      <c r="J38" s="164" t="e">
        <f t="shared" si="5"/>
        <v>#NUM!</v>
      </c>
      <c r="K38" s="163" t="e">
        <f t="shared" si="2"/>
        <v>#NUM!</v>
      </c>
      <c r="L38" s="163"/>
      <c r="M38" s="165">
        <f t="shared" si="3"/>
        <v>0</v>
      </c>
    </row>
    <row r="39" spans="1:21" x14ac:dyDescent="0.25">
      <c r="A39" s="110">
        <f t="shared" si="4"/>
        <v>0</v>
      </c>
      <c r="B39" s="34" t="str">
        <f t="shared" si="0"/>
        <v/>
      </c>
      <c r="C39" s="35"/>
      <c r="D39" s="35"/>
      <c r="E39" s="35"/>
      <c r="F39" s="35"/>
      <c r="G39" s="151"/>
      <c r="H39" s="166">
        <v>34</v>
      </c>
      <c r="I39" s="167" t="str">
        <f t="shared" si="1"/>
        <v/>
      </c>
      <c r="J39" s="167" t="e">
        <f t="shared" si="5"/>
        <v>#NUM!</v>
      </c>
      <c r="K39" s="166" t="e">
        <f t="shared" si="2"/>
        <v>#NUM!</v>
      </c>
      <c r="L39" s="166"/>
      <c r="M39" s="168">
        <f t="shared" si="3"/>
        <v>0</v>
      </c>
    </row>
    <row r="40" spans="1:21" x14ac:dyDescent="0.25">
      <c r="A40" s="110">
        <f t="shared" si="4"/>
        <v>0</v>
      </c>
      <c r="B40" s="28" t="str">
        <f t="shared" si="0"/>
        <v/>
      </c>
      <c r="C40" s="29"/>
      <c r="D40" s="29"/>
      <c r="E40" s="29"/>
      <c r="F40" s="29"/>
      <c r="G40" s="151"/>
      <c r="H40" s="163">
        <v>35</v>
      </c>
      <c r="I40" s="164" t="str">
        <f t="shared" si="1"/>
        <v/>
      </c>
      <c r="J40" s="164" t="e">
        <f t="shared" si="5"/>
        <v>#NUM!</v>
      </c>
      <c r="K40" s="163" t="e">
        <f t="shared" si="2"/>
        <v>#NUM!</v>
      </c>
      <c r="L40" s="163"/>
      <c r="M40" s="165">
        <f t="shared" si="3"/>
        <v>0</v>
      </c>
    </row>
    <row r="41" spans="1:21" x14ac:dyDescent="0.25">
      <c r="A41" s="110">
        <f t="shared" si="4"/>
        <v>0</v>
      </c>
      <c r="B41" s="34" t="str">
        <f t="shared" si="0"/>
        <v/>
      </c>
      <c r="C41" s="35"/>
      <c r="D41" s="35"/>
      <c r="E41" s="35"/>
      <c r="F41" s="35"/>
      <c r="G41" s="151"/>
      <c r="H41" s="166">
        <v>36</v>
      </c>
      <c r="I41" s="167" t="str">
        <f t="shared" si="1"/>
        <v/>
      </c>
      <c r="J41" s="167" t="e">
        <f t="shared" si="5"/>
        <v>#NUM!</v>
      </c>
      <c r="K41" s="166" t="e">
        <f t="shared" si="2"/>
        <v>#NUM!</v>
      </c>
      <c r="L41" s="166"/>
      <c r="M41" s="168">
        <f t="shared" si="3"/>
        <v>0</v>
      </c>
      <c r="S41" s="178"/>
    </row>
    <row r="42" spans="1:21" x14ac:dyDescent="0.25">
      <c r="A42" s="110">
        <f t="shared" si="4"/>
        <v>0</v>
      </c>
      <c r="B42" s="28" t="str">
        <f t="shared" si="0"/>
        <v/>
      </c>
      <c r="C42" s="29"/>
      <c r="D42" s="29"/>
      <c r="E42" s="29"/>
      <c r="F42" s="29"/>
      <c r="G42" s="151"/>
      <c r="H42" s="163">
        <v>37</v>
      </c>
      <c r="I42" s="164" t="str">
        <f t="shared" si="1"/>
        <v/>
      </c>
      <c r="J42" s="164" t="e">
        <f t="shared" si="5"/>
        <v>#NUM!</v>
      </c>
      <c r="K42" s="163" t="e">
        <f t="shared" si="2"/>
        <v>#NUM!</v>
      </c>
      <c r="L42" s="163"/>
      <c r="M42" s="165">
        <f t="shared" si="3"/>
        <v>0</v>
      </c>
    </row>
    <row r="43" spans="1:21" x14ac:dyDescent="0.25">
      <c r="A43" s="110">
        <f t="shared" si="4"/>
        <v>0</v>
      </c>
      <c r="B43" s="34" t="str">
        <f t="shared" si="0"/>
        <v/>
      </c>
      <c r="C43" s="35"/>
      <c r="D43" s="35"/>
      <c r="E43" s="35"/>
      <c r="F43" s="35"/>
      <c r="G43" s="151"/>
      <c r="H43" s="166">
        <v>38</v>
      </c>
      <c r="I43" s="167" t="str">
        <f t="shared" si="1"/>
        <v/>
      </c>
      <c r="J43" s="167" t="e">
        <f t="shared" si="5"/>
        <v>#NUM!</v>
      </c>
      <c r="K43" s="166" t="e">
        <f t="shared" si="2"/>
        <v>#NUM!</v>
      </c>
      <c r="L43" s="166"/>
      <c r="M43" s="168">
        <f t="shared" si="3"/>
        <v>0</v>
      </c>
    </row>
    <row r="44" spans="1:21" x14ac:dyDescent="0.25">
      <c r="A44" s="110">
        <f t="shared" si="4"/>
        <v>0</v>
      </c>
      <c r="B44" s="28" t="str">
        <f t="shared" si="0"/>
        <v/>
      </c>
      <c r="C44" s="29"/>
      <c r="D44" s="29"/>
      <c r="E44" s="29"/>
      <c r="F44" s="29"/>
      <c r="G44" s="151"/>
      <c r="H44" s="163">
        <v>39</v>
      </c>
      <c r="I44" s="164" t="str">
        <f t="shared" si="1"/>
        <v/>
      </c>
      <c r="J44" s="164" t="e">
        <f t="shared" si="5"/>
        <v>#NUM!</v>
      </c>
      <c r="K44" s="163" t="e">
        <f t="shared" si="2"/>
        <v>#NUM!</v>
      </c>
      <c r="L44" s="163"/>
      <c r="M44" s="165">
        <f t="shared" si="3"/>
        <v>0</v>
      </c>
    </row>
    <row r="45" spans="1:21" x14ac:dyDescent="0.25">
      <c r="A45" s="110">
        <f t="shared" si="4"/>
        <v>0</v>
      </c>
      <c r="B45" s="34" t="str">
        <f t="shared" si="0"/>
        <v/>
      </c>
      <c r="C45" s="35"/>
      <c r="D45" s="35"/>
      <c r="E45" s="35"/>
      <c r="F45" s="35"/>
      <c r="G45" s="151"/>
      <c r="H45" s="166">
        <v>40</v>
      </c>
      <c r="I45" s="167" t="str">
        <f t="shared" si="1"/>
        <v/>
      </c>
      <c r="J45" s="167" t="e">
        <f t="shared" si="5"/>
        <v>#NUM!</v>
      </c>
      <c r="K45" s="166" t="e">
        <f t="shared" si="2"/>
        <v>#NUM!</v>
      </c>
      <c r="L45" s="166"/>
      <c r="M45" s="168">
        <f t="shared" si="3"/>
        <v>0</v>
      </c>
    </row>
    <row r="46" spans="1:21" x14ac:dyDescent="0.25">
      <c r="A46" s="110">
        <f t="shared" si="4"/>
        <v>0</v>
      </c>
      <c r="B46" s="28" t="str">
        <f t="shared" si="0"/>
        <v/>
      </c>
      <c r="C46" s="29"/>
      <c r="D46" s="29"/>
      <c r="E46" s="29"/>
      <c r="F46" s="29"/>
      <c r="G46" s="151"/>
      <c r="H46" s="163">
        <v>41</v>
      </c>
      <c r="I46" s="164" t="str">
        <f t="shared" si="1"/>
        <v/>
      </c>
      <c r="J46" s="164" t="e">
        <f t="shared" si="5"/>
        <v>#NUM!</v>
      </c>
      <c r="K46" s="163" t="e">
        <f t="shared" si="2"/>
        <v>#NUM!</v>
      </c>
      <c r="L46" s="163"/>
      <c r="M46" s="165">
        <f t="shared" si="3"/>
        <v>0</v>
      </c>
      <c r="R46" s="151" t="e">
        <f>LOG($H$2,2)</f>
        <v>#NUM!</v>
      </c>
      <c r="T46" s="156">
        <f>LOG(H38,2)</f>
        <v>5.0443941193584534</v>
      </c>
      <c r="U46" s="156" t="e">
        <f>R46-T46</f>
        <v>#NUM!</v>
      </c>
    </row>
    <row r="47" spans="1:21" x14ac:dyDescent="0.25">
      <c r="A47" s="110">
        <f t="shared" si="4"/>
        <v>0</v>
      </c>
      <c r="B47" s="34" t="str">
        <f t="shared" si="0"/>
        <v/>
      </c>
      <c r="C47" s="35"/>
      <c r="D47" s="35"/>
      <c r="E47" s="35"/>
      <c r="F47" s="35"/>
      <c r="G47" s="151"/>
      <c r="H47" s="166">
        <v>42</v>
      </c>
      <c r="I47" s="167" t="str">
        <f t="shared" si="1"/>
        <v/>
      </c>
      <c r="J47" s="167" t="e">
        <f t="shared" si="5"/>
        <v>#NUM!</v>
      </c>
      <c r="K47" s="166" t="e">
        <f t="shared" si="2"/>
        <v>#NUM!</v>
      </c>
      <c r="L47" s="166"/>
      <c r="M47" s="168">
        <f t="shared" si="3"/>
        <v>0</v>
      </c>
    </row>
    <row r="48" spans="1:21" x14ac:dyDescent="0.25">
      <c r="A48" s="110">
        <f t="shared" si="4"/>
        <v>0</v>
      </c>
      <c r="B48" s="28" t="str">
        <f t="shared" si="0"/>
        <v/>
      </c>
      <c r="C48" s="29"/>
      <c r="D48" s="29"/>
      <c r="E48" s="29"/>
      <c r="F48" s="29"/>
      <c r="G48" s="151"/>
      <c r="H48" s="163">
        <v>43</v>
      </c>
      <c r="I48" s="164" t="str">
        <f t="shared" si="1"/>
        <v/>
      </c>
      <c r="J48" s="164" t="e">
        <f t="shared" si="5"/>
        <v>#NUM!</v>
      </c>
      <c r="K48" s="163" t="e">
        <f t="shared" si="2"/>
        <v>#NUM!</v>
      </c>
      <c r="L48" s="163"/>
      <c r="M48" s="165">
        <f t="shared" si="3"/>
        <v>0</v>
      </c>
    </row>
    <row r="49" spans="1:13" x14ac:dyDescent="0.25">
      <c r="A49" s="110">
        <f t="shared" si="4"/>
        <v>0</v>
      </c>
      <c r="B49" s="34" t="str">
        <f t="shared" si="0"/>
        <v/>
      </c>
      <c r="C49" s="35"/>
      <c r="D49" s="35"/>
      <c r="E49" s="35"/>
      <c r="F49" s="35"/>
      <c r="G49" s="151"/>
      <c r="H49" s="166">
        <v>44</v>
      </c>
      <c r="I49" s="167" t="str">
        <f t="shared" si="1"/>
        <v/>
      </c>
      <c r="J49" s="167" t="e">
        <f t="shared" si="5"/>
        <v>#NUM!</v>
      </c>
      <c r="K49" s="166" t="e">
        <f t="shared" si="2"/>
        <v>#NUM!</v>
      </c>
      <c r="L49" s="166"/>
      <c r="M49" s="168">
        <f t="shared" si="3"/>
        <v>0</v>
      </c>
    </row>
    <row r="50" spans="1:13" x14ac:dyDescent="0.25">
      <c r="A50" s="110">
        <f t="shared" si="4"/>
        <v>0</v>
      </c>
      <c r="B50" s="28" t="str">
        <f t="shared" si="0"/>
        <v/>
      </c>
      <c r="C50" s="29"/>
      <c r="D50" s="29"/>
      <c r="E50" s="29"/>
      <c r="F50" s="29"/>
      <c r="G50" s="151"/>
      <c r="H50" s="163">
        <v>45</v>
      </c>
      <c r="I50" s="164" t="str">
        <f t="shared" si="1"/>
        <v/>
      </c>
      <c r="J50" s="164" t="e">
        <f t="shared" si="5"/>
        <v>#NUM!</v>
      </c>
      <c r="K50" s="163" t="e">
        <f t="shared" si="2"/>
        <v>#NUM!</v>
      </c>
      <c r="L50" s="163"/>
      <c r="M50" s="165">
        <f t="shared" si="3"/>
        <v>0</v>
      </c>
    </row>
    <row r="51" spans="1:13" x14ac:dyDescent="0.25">
      <c r="A51" s="110">
        <f t="shared" si="4"/>
        <v>0</v>
      </c>
      <c r="B51" s="34" t="str">
        <f t="shared" si="0"/>
        <v/>
      </c>
      <c r="C51" s="35"/>
      <c r="D51" s="35"/>
      <c r="E51" s="35"/>
      <c r="F51" s="35"/>
      <c r="G51" s="151"/>
      <c r="H51" s="166">
        <v>46</v>
      </c>
      <c r="I51" s="167" t="str">
        <f t="shared" si="1"/>
        <v/>
      </c>
      <c r="J51" s="167" t="e">
        <f t="shared" si="5"/>
        <v>#NUM!</v>
      </c>
      <c r="K51" s="166" t="e">
        <f t="shared" si="2"/>
        <v>#NUM!</v>
      </c>
      <c r="L51" s="166"/>
      <c r="M51" s="168">
        <f t="shared" si="3"/>
        <v>0</v>
      </c>
    </row>
    <row r="52" spans="1:13" x14ac:dyDescent="0.25">
      <c r="A52" s="110">
        <f t="shared" si="4"/>
        <v>0</v>
      </c>
      <c r="B52" s="28" t="str">
        <f t="shared" si="0"/>
        <v/>
      </c>
      <c r="C52" s="29"/>
      <c r="D52" s="29"/>
      <c r="E52" s="29"/>
      <c r="F52" s="29"/>
      <c r="G52" s="151"/>
      <c r="H52" s="163">
        <v>47</v>
      </c>
      <c r="I52" s="164" t="str">
        <f t="shared" si="1"/>
        <v/>
      </c>
      <c r="J52" s="164" t="e">
        <f t="shared" si="5"/>
        <v>#NUM!</v>
      </c>
      <c r="K52" s="163" t="e">
        <f t="shared" si="2"/>
        <v>#NUM!</v>
      </c>
      <c r="L52" s="163"/>
      <c r="M52" s="165">
        <f t="shared" si="3"/>
        <v>0</v>
      </c>
    </row>
    <row r="53" spans="1:13" x14ac:dyDescent="0.25">
      <c r="A53" s="110">
        <f t="shared" si="4"/>
        <v>0</v>
      </c>
      <c r="B53" s="34" t="str">
        <f t="shared" si="0"/>
        <v/>
      </c>
      <c r="C53" s="35"/>
      <c r="D53" s="35"/>
      <c r="E53" s="35"/>
      <c r="F53" s="35"/>
      <c r="G53" s="151"/>
      <c r="H53" s="166">
        <v>48</v>
      </c>
      <c r="I53" s="167" t="str">
        <f t="shared" si="1"/>
        <v/>
      </c>
      <c r="J53" s="167" t="e">
        <f t="shared" si="5"/>
        <v>#NUM!</v>
      </c>
      <c r="K53" s="166" t="e">
        <f t="shared" si="2"/>
        <v>#NUM!</v>
      </c>
      <c r="L53" s="166"/>
      <c r="M53" s="168">
        <f t="shared" si="3"/>
        <v>0</v>
      </c>
    </row>
    <row r="54" spans="1:13" x14ac:dyDescent="0.25">
      <c r="A54" s="110">
        <f t="shared" si="4"/>
        <v>0</v>
      </c>
      <c r="B54" s="28" t="str">
        <f t="shared" si="0"/>
        <v/>
      </c>
      <c r="C54" s="29"/>
      <c r="D54" s="29"/>
      <c r="E54" s="29"/>
      <c r="F54" s="29"/>
      <c r="G54" s="151"/>
      <c r="H54" s="163">
        <v>49</v>
      </c>
      <c r="I54" s="164" t="str">
        <f t="shared" si="1"/>
        <v/>
      </c>
      <c r="J54" s="164" t="e">
        <f t="shared" si="5"/>
        <v>#NUM!</v>
      </c>
      <c r="K54" s="163" t="e">
        <f t="shared" si="2"/>
        <v>#NUM!</v>
      </c>
      <c r="L54" s="163"/>
      <c r="M54" s="165">
        <f t="shared" si="3"/>
        <v>0</v>
      </c>
    </row>
    <row r="55" spans="1:13" x14ac:dyDescent="0.25">
      <c r="A55" s="110">
        <f t="shared" si="4"/>
        <v>0</v>
      </c>
      <c r="B55" s="34" t="str">
        <f t="shared" si="0"/>
        <v/>
      </c>
      <c r="C55" s="35"/>
      <c r="D55" s="35"/>
      <c r="E55" s="35"/>
      <c r="F55" s="35"/>
      <c r="G55" s="151"/>
      <c r="H55" s="166">
        <v>50</v>
      </c>
      <c r="I55" s="167" t="str">
        <f t="shared" si="1"/>
        <v/>
      </c>
      <c r="J55" s="167" t="e">
        <f t="shared" si="5"/>
        <v>#NUM!</v>
      </c>
      <c r="K55" s="166" t="e">
        <f t="shared" si="2"/>
        <v>#NUM!</v>
      </c>
      <c r="L55" s="166"/>
      <c r="M55" s="168">
        <f t="shared" si="3"/>
        <v>0</v>
      </c>
    </row>
    <row r="56" spans="1:13" x14ac:dyDescent="0.25">
      <c r="A56" s="110">
        <f t="shared" si="4"/>
        <v>0</v>
      </c>
      <c r="B56" s="28" t="str">
        <f t="shared" si="0"/>
        <v/>
      </c>
      <c r="C56" s="29"/>
      <c r="D56" s="29"/>
      <c r="E56" s="29"/>
      <c r="F56" s="29"/>
      <c r="G56" s="151"/>
      <c r="H56" s="163">
        <v>51</v>
      </c>
      <c r="I56" s="164" t="str">
        <f t="shared" si="1"/>
        <v/>
      </c>
      <c r="J56" s="164" t="e">
        <f t="shared" si="5"/>
        <v>#NUM!</v>
      </c>
      <c r="K56" s="163" t="e">
        <f t="shared" si="2"/>
        <v>#NUM!</v>
      </c>
      <c r="L56" s="163"/>
      <c r="M56" s="165">
        <f t="shared" si="3"/>
        <v>0</v>
      </c>
    </row>
    <row r="57" spans="1:13" x14ac:dyDescent="0.25">
      <c r="A57" s="110">
        <f t="shared" si="4"/>
        <v>0</v>
      </c>
      <c r="B57" s="34" t="str">
        <f t="shared" si="0"/>
        <v/>
      </c>
      <c r="C57" s="35"/>
      <c r="D57" s="35"/>
      <c r="E57" s="35"/>
      <c r="F57" s="35"/>
      <c r="G57" s="151"/>
      <c r="H57" s="166">
        <v>52</v>
      </c>
      <c r="I57" s="167" t="str">
        <f t="shared" si="1"/>
        <v/>
      </c>
      <c r="J57" s="167" t="e">
        <f t="shared" si="5"/>
        <v>#NUM!</v>
      </c>
      <c r="K57" s="166" t="e">
        <f t="shared" si="2"/>
        <v>#NUM!</v>
      </c>
      <c r="L57" s="166"/>
      <c r="M57" s="168">
        <f t="shared" si="3"/>
        <v>0</v>
      </c>
    </row>
    <row r="58" spans="1:13" x14ac:dyDescent="0.25">
      <c r="A58" s="110">
        <f t="shared" si="4"/>
        <v>0</v>
      </c>
      <c r="B58" s="28" t="str">
        <f t="shared" si="0"/>
        <v/>
      </c>
      <c r="C58" s="29"/>
      <c r="D58" s="29"/>
      <c r="E58" s="29"/>
      <c r="F58" s="29"/>
      <c r="G58" s="151"/>
      <c r="H58" s="163">
        <v>53</v>
      </c>
      <c r="I58" s="164" t="str">
        <f t="shared" si="1"/>
        <v/>
      </c>
      <c r="J58" s="164" t="e">
        <f t="shared" si="5"/>
        <v>#NUM!</v>
      </c>
      <c r="K58" s="163" t="e">
        <f t="shared" si="2"/>
        <v>#NUM!</v>
      </c>
      <c r="L58" s="163"/>
      <c r="M58" s="165">
        <f t="shared" si="3"/>
        <v>0</v>
      </c>
    </row>
    <row r="59" spans="1:13" x14ac:dyDescent="0.25">
      <c r="A59" s="110">
        <f t="shared" si="4"/>
        <v>0</v>
      </c>
      <c r="B59" s="34" t="str">
        <f t="shared" si="0"/>
        <v/>
      </c>
      <c r="C59" s="35"/>
      <c r="D59" s="35"/>
      <c r="E59" s="35"/>
      <c r="F59" s="35"/>
      <c r="G59" s="151"/>
      <c r="H59" s="166">
        <v>54</v>
      </c>
      <c r="I59" s="167" t="str">
        <f t="shared" si="1"/>
        <v/>
      </c>
      <c r="J59" s="167" t="e">
        <f t="shared" si="5"/>
        <v>#NUM!</v>
      </c>
      <c r="K59" s="166" t="e">
        <f t="shared" si="2"/>
        <v>#NUM!</v>
      </c>
      <c r="L59" s="166"/>
      <c r="M59" s="168">
        <f t="shared" si="3"/>
        <v>0</v>
      </c>
    </row>
    <row r="60" spans="1:13" x14ac:dyDescent="0.25">
      <c r="A60" s="110">
        <f t="shared" si="4"/>
        <v>0</v>
      </c>
      <c r="B60" s="28" t="str">
        <f t="shared" si="0"/>
        <v/>
      </c>
      <c r="C60" s="29"/>
      <c r="D60" s="29"/>
      <c r="E60" s="29"/>
      <c r="F60" s="29"/>
      <c r="G60" s="151"/>
      <c r="H60" s="163">
        <v>55</v>
      </c>
      <c r="I60" s="164" t="str">
        <f t="shared" si="1"/>
        <v/>
      </c>
      <c r="J60" s="164" t="e">
        <f t="shared" si="5"/>
        <v>#NUM!</v>
      </c>
      <c r="K60" s="163" t="e">
        <f t="shared" si="2"/>
        <v>#NUM!</v>
      </c>
      <c r="L60" s="163"/>
      <c r="M60" s="165">
        <f t="shared" si="3"/>
        <v>0</v>
      </c>
    </row>
    <row r="61" spans="1:13" x14ac:dyDescent="0.25">
      <c r="A61" s="110">
        <f t="shared" si="4"/>
        <v>0</v>
      </c>
      <c r="B61" s="34" t="str">
        <f t="shared" si="0"/>
        <v/>
      </c>
      <c r="C61" s="35"/>
      <c r="D61" s="35"/>
      <c r="E61" s="35"/>
      <c r="F61" s="35"/>
      <c r="G61" s="151"/>
      <c r="H61" s="166">
        <v>56</v>
      </c>
      <c r="I61" s="167" t="str">
        <f t="shared" si="1"/>
        <v/>
      </c>
      <c r="J61" s="167" t="e">
        <f t="shared" si="5"/>
        <v>#NUM!</v>
      </c>
      <c r="K61" s="166" t="e">
        <f t="shared" si="2"/>
        <v>#NUM!</v>
      </c>
      <c r="L61" s="166"/>
      <c r="M61" s="168">
        <f t="shared" si="3"/>
        <v>0</v>
      </c>
    </row>
    <row r="62" spans="1:13" x14ac:dyDescent="0.25">
      <c r="A62" s="110">
        <f t="shared" si="4"/>
        <v>0</v>
      </c>
      <c r="B62" s="28" t="str">
        <f t="shared" si="0"/>
        <v/>
      </c>
      <c r="C62" s="29"/>
      <c r="D62" s="29"/>
      <c r="E62" s="29"/>
      <c r="F62" s="29"/>
      <c r="G62" s="151"/>
      <c r="H62" s="163">
        <v>57</v>
      </c>
      <c r="I62" s="164" t="str">
        <f t="shared" si="1"/>
        <v/>
      </c>
      <c r="J62" s="164" t="e">
        <f t="shared" si="5"/>
        <v>#NUM!</v>
      </c>
      <c r="K62" s="163" t="e">
        <f t="shared" si="2"/>
        <v>#NUM!</v>
      </c>
      <c r="L62" s="163"/>
      <c r="M62" s="165">
        <f t="shared" si="3"/>
        <v>0</v>
      </c>
    </row>
    <row r="63" spans="1:13" x14ac:dyDescent="0.25">
      <c r="A63" s="110">
        <f t="shared" si="4"/>
        <v>0</v>
      </c>
      <c r="B63" s="34" t="str">
        <f t="shared" si="0"/>
        <v/>
      </c>
      <c r="C63" s="35"/>
      <c r="D63" s="35"/>
      <c r="E63" s="35"/>
      <c r="F63" s="35"/>
      <c r="G63" s="151"/>
      <c r="H63" s="166">
        <v>58</v>
      </c>
      <c r="I63" s="167" t="str">
        <f t="shared" si="1"/>
        <v/>
      </c>
      <c r="J63" s="167" t="e">
        <f t="shared" si="5"/>
        <v>#NUM!</v>
      </c>
      <c r="K63" s="166" t="e">
        <f t="shared" si="2"/>
        <v>#NUM!</v>
      </c>
      <c r="L63" s="166"/>
      <c r="M63" s="168">
        <f t="shared" si="3"/>
        <v>0</v>
      </c>
    </row>
    <row r="64" spans="1:13" x14ac:dyDescent="0.25">
      <c r="A64" s="110">
        <f t="shared" si="4"/>
        <v>0</v>
      </c>
      <c r="B64" s="28" t="str">
        <f t="shared" si="0"/>
        <v/>
      </c>
      <c r="C64" s="29"/>
      <c r="D64" s="29"/>
      <c r="E64" s="29"/>
      <c r="F64" s="29"/>
      <c r="G64" s="151"/>
      <c r="H64" s="163">
        <v>59</v>
      </c>
      <c r="I64" s="164" t="str">
        <f t="shared" si="1"/>
        <v/>
      </c>
      <c r="J64" s="164" t="e">
        <f t="shared" si="5"/>
        <v>#NUM!</v>
      </c>
      <c r="K64" s="163" t="e">
        <f t="shared" si="2"/>
        <v>#NUM!</v>
      </c>
      <c r="L64" s="163"/>
      <c r="M64" s="165">
        <f t="shared" si="3"/>
        <v>0</v>
      </c>
    </row>
    <row r="65" spans="1:13" x14ac:dyDescent="0.25">
      <c r="A65" s="110">
        <f t="shared" si="4"/>
        <v>0</v>
      </c>
      <c r="B65" s="34" t="str">
        <f t="shared" si="0"/>
        <v/>
      </c>
      <c r="C65" s="35"/>
      <c r="D65" s="35"/>
      <c r="E65" s="35"/>
      <c r="F65" s="35"/>
      <c r="G65" s="151"/>
      <c r="H65" s="166">
        <v>60</v>
      </c>
      <c r="I65" s="167" t="str">
        <f t="shared" si="1"/>
        <v/>
      </c>
      <c r="J65" s="167" t="e">
        <f t="shared" si="5"/>
        <v>#NUM!</v>
      </c>
      <c r="K65" s="166" t="e">
        <f t="shared" si="2"/>
        <v>#NUM!</v>
      </c>
      <c r="L65" s="166"/>
      <c r="M65" s="168">
        <f t="shared" si="3"/>
        <v>0</v>
      </c>
    </row>
    <row r="66" spans="1:13" x14ac:dyDescent="0.25">
      <c r="A66" s="110">
        <f t="shared" si="4"/>
        <v>0</v>
      </c>
      <c r="B66" s="28"/>
      <c r="G66" s="151"/>
      <c r="H66" s="163">
        <v>61</v>
      </c>
      <c r="I66" s="164" t="str">
        <f t="shared" si="1"/>
        <v/>
      </c>
      <c r="J66" s="164" t="e">
        <f t="shared" si="5"/>
        <v>#NUM!</v>
      </c>
      <c r="K66" s="163" t="e">
        <f t="shared" si="2"/>
        <v>#NUM!</v>
      </c>
      <c r="L66" s="163"/>
      <c r="M66" s="165">
        <f t="shared" si="3"/>
        <v>0</v>
      </c>
    </row>
    <row r="67" spans="1:13" x14ac:dyDescent="0.25">
      <c r="A67" s="110">
        <f t="shared" si="4"/>
        <v>0</v>
      </c>
      <c r="B67" s="34"/>
      <c r="G67" s="151"/>
      <c r="H67" s="163">
        <v>62</v>
      </c>
      <c r="I67" s="164" t="str">
        <f t="shared" si="1"/>
        <v/>
      </c>
      <c r="J67" s="164" t="e">
        <f t="shared" si="5"/>
        <v>#NUM!</v>
      </c>
      <c r="K67" s="163" t="e">
        <f t="shared" si="2"/>
        <v>#NUM!</v>
      </c>
      <c r="L67" s="163"/>
      <c r="M67" s="165">
        <f t="shared" si="3"/>
        <v>0</v>
      </c>
    </row>
    <row r="68" spans="1:13" x14ac:dyDescent="0.25">
      <c r="A68" s="110">
        <f t="shared" si="4"/>
        <v>0</v>
      </c>
      <c r="B68" s="28"/>
      <c r="G68" s="151"/>
      <c r="H68" s="163">
        <v>63</v>
      </c>
      <c r="I68" s="164" t="str">
        <f t="shared" si="1"/>
        <v/>
      </c>
      <c r="J68" s="164" t="e">
        <f t="shared" si="5"/>
        <v>#NUM!</v>
      </c>
      <c r="K68" s="163" t="e">
        <f t="shared" si="2"/>
        <v>#NUM!</v>
      </c>
      <c r="L68" s="163"/>
      <c r="M68" s="165">
        <f t="shared" si="3"/>
        <v>0</v>
      </c>
    </row>
    <row r="69" spans="1:13" x14ac:dyDescent="0.25">
      <c r="A69" s="110">
        <f t="shared" si="4"/>
        <v>0</v>
      </c>
      <c r="B69" s="34"/>
      <c r="G69" s="151"/>
      <c r="H69" s="163">
        <v>64</v>
      </c>
      <c r="I69" s="164" t="str">
        <f t="shared" si="1"/>
        <v/>
      </c>
      <c r="J69" s="164" t="e">
        <f t="shared" si="5"/>
        <v>#NUM!</v>
      </c>
      <c r="K69" s="163" t="e">
        <f t="shared" si="2"/>
        <v>#NUM!</v>
      </c>
      <c r="L69" s="163"/>
      <c r="M69" s="165">
        <f t="shared" si="3"/>
        <v>0</v>
      </c>
    </row>
    <row r="70" spans="1:13" x14ac:dyDescent="0.25">
      <c r="A70" s="110">
        <f t="shared" si="4"/>
        <v>0</v>
      </c>
      <c r="G70" s="151"/>
      <c r="H70" s="163">
        <v>65</v>
      </c>
      <c r="I70" s="164" t="str">
        <f t="shared" ref="I70:I133" si="6">IF(H70&lt;$H$2+1,($I$2-($I$2-1)*(LOG(H70)/LOG($H$2))),"")</f>
        <v/>
      </c>
      <c r="J70" s="164" t="e">
        <f t="shared" si="5"/>
        <v>#NUM!</v>
      </c>
      <c r="K70" s="163" t="e">
        <f t="shared" ref="K70:K133" si="7">J70*$J$2</f>
        <v>#NUM!</v>
      </c>
      <c r="L70" s="163"/>
      <c r="M70" s="165">
        <f t="shared" ref="M70:M133" si="8">IF(I70&lt;&gt;"",K70+I70+L70,0)</f>
        <v>0</v>
      </c>
    </row>
    <row r="71" spans="1:13" x14ac:dyDescent="0.25">
      <c r="A71" s="110">
        <f t="shared" ref="A71:A79" si="9">M71</f>
        <v>0</v>
      </c>
      <c r="G71" s="151"/>
      <c r="H71" s="163">
        <v>66</v>
      </c>
      <c r="I71" s="164" t="str">
        <f t="shared" si="6"/>
        <v/>
      </c>
      <c r="J71" s="164" t="e">
        <f t="shared" ref="J71:J134" si="10">INT(LOG($H$2,2))-ROUNDUP(LOG(H71,2),0)+IF(OR($H$2=1,$H$2=2,$H$2=4,$H$2=8,$H$2=16,$H$2=32,$H$2=64,$H$2=128,$H$2=256),0,1)</f>
        <v>#NUM!</v>
      </c>
      <c r="K71" s="163" t="e">
        <f t="shared" si="7"/>
        <v>#NUM!</v>
      </c>
      <c r="L71" s="163"/>
      <c r="M71" s="165">
        <f t="shared" si="8"/>
        <v>0</v>
      </c>
    </row>
    <row r="72" spans="1:13" x14ac:dyDescent="0.25">
      <c r="A72" s="110">
        <f t="shared" si="9"/>
        <v>0</v>
      </c>
      <c r="G72" s="151"/>
      <c r="H72" s="163">
        <v>67</v>
      </c>
      <c r="I72" s="164" t="str">
        <f t="shared" si="6"/>
        <v/>
      </c>
      <c r="J72" s="164" t="e">
        <f t="shared" si="10"/>
        <v>#NUM!</v>
      </c>
      <c r="K72" s="163" t="e">
        <f t="shared" si="7"/>
        <v>#NUM!</v>
      </c>
      <c r="L72" s="163"/>
      <c r="M72" s="165">
        <f t="shared" si="8"/>
        <v>0</v>
      </c>
    </row>
    <row r="73" spans="1:13" x14ac:dyDescent="0.25">
      <c r="A73" s="110">
        <f t="shared" si="9"/>
        <v>0</v>
      </c>
      <c r="G73" s="151"/>
      <c r="H73" s="163">
        <v>68</v>
      </c>
      <c r="I73" s="164" t="str">
        <f t="shared" si="6"/>
        <v/>
      </c>
      <c r="J73" s="164" t="e">
        <f t="shared" si="10"/>
        <v>#NUM!</v>
      </c>
      <c r="K73" s="163" t="e">
        <f t="shared" si="7"/>
        <v>#NUM!</v>
      </c>
      <c r="L73" s="163"/>
      <c r="M73" s="165">
        <f t="shared" si="8"/>
        <v>0</v>
      </c>
    </row>
    <row r="74" spans="1:13" x14ac:dyDescent="0.25">
      <c r="A74" s="110">
        <f t="shared" si="9"/>
        <v>0</v>
      </c>
      <c r="G74" s="151"/>
      <c r="H74" s="163">
        <v>69</v>
      </c>
      <c r="I74" s="164" t="str">
        <f t="shared" si="6"/>
        <v/>
      </c>
      <c r="J74" s="164" t="e">
        <f t="shared" si="10"/>
        <v>#NUM!</v>
      </c>
      <c r="K74" s="163" t="e">
        <f t="shared" si="7"/>
        <v>#NUM!</v>
      </c>
      <c r="L74" s="163"/>
      <c r="M74" s="165">
        <f t="shared" si="8"/>
        <v>0</v>
      </c>
    </row>
    <row r="75" spans="1:13" x14ac:dyDescent="0.25">
      <c r="A75" s="110">
        <f t="shared" si="9"/>
        <v>0</v>
      </c>
      <c r="G75" s="151"/>
      <c r="H75" s="163">
        <v>70</v>
      </c>
      <c r="I75" s="164" t="str">
        <f t="shared" si="6"/>
        <v/>
      </c>
      <c r="J75" s="164" t="e">
        <f t="shared" si="10"/>
        <v>#NUM!</v>
      </c>
      <c r="K75" s="163" t="e">
        <f t="shared" si="7"/>
        <v>#NUM!</v>
      </c>
      <c r="L75" s="163"/>
      <c r="M75" s="165">
        <f t="shared" si="8"/>
        <v>0</v>
      </c>
    </row>
    <row r="76" spans="1:13" x14ac:dyDescent="0.25">
      <c r="A76" s="110">
        <f t="shared" si="9"/>
        <v>0</v>
      </c>
      <c r="G76" s="151"/>
      <c r="H76" s="163">
        <v>71</v>
      </c>
      <c r="I76" s="164" t="str">
        <f t="shared" si="6"/>
        <v/>
      </c>
      <c r="J76" s="164" t="e">
        <f t="shared" si="10"/>
        <v>#NUM!</v>
      </c>
      <c r="K76" s="163" t="e">
        <f t="shared" si="7"/>
        <v>#NUM!</v>
      </c>
      <c r="L76" s="163"/>
      <c r="M76" s="165">
        <f t="shared" si="8"/>
        <v>0</v>
      </c>
    </row>
    <row r="77" spans="1:13" x14ac:dyDescent="0.25">
      <c r="A77" s="110">
        <f t="shared" si="9"/>
        <v>0</v>
      </c>
      <c r="G77" s="151"/>
      <c r="H77" s="163">
        <v>72</v>
      </c>
      <c r="I77" s="164" t="str">
        <f t="shared" si="6"/>
        <v/>
      </c>
      <c r="J77" s="164" t="e">
        <f t="shared" si="10"/>
        <v>#NUM!</v>
      </c>
      <c r="K77" s="163" t="e">
        <f t="shared" si="7"/>
        <v>#NUM!</v>
      </c>
      <c r="L77" s="163"/>
      <c r="M77" s="165">
        <f t="shared" si="8"/>
        <v>0</v>
      </c>
    </row>
    <row r="78" spans="1:13" x14ac:dyDescent="0.25">
      <c r="A78" s="110">
        <f t="shared" si="9"/>
        <v>0</v>
      </c>
      <c r="G78" s="151"/>
      <c r="H78" s="163">
        <v>73</v>
      </c>
      <c r="I78" s="164" t="str">
        <f t="shared" si="6"/>
        <v/>
      </c>
      <c r="J78" s="164" t="e">
        <f t="shared" si="10"/>
        <v>#NUM!</v>
      </c>
      <c r="K78" s="163" t="e">
        <f t="shared" si="7"/>
        <v>#NUM!</v>
      </c>
      <c r="L78" s="163"/>
      <c r="M78" s="165">
        <f t="shared" si="8"/>
        <v>0</v>
      </c>
    </row>
    <row r="79" spans="1:13" x14ac:dyDescent="0.25">
      <c r="A79" s="110">
        <f t="shared" si="9"/>
        <v>0</v>
      </c>
      <c r="G79" s="151"/>
      <c r="H79" s="163">
        <v>74</v>
      </c>
      <c r="I79" s="164" t="str">
        <f t="shared" si="6"/>
        <v/>
      </c>
      <c r="J79" s="164" t="e">
        <f t="shared" si="10"/>
        <v>#NUM!</v>
      </c>
      <c r="K79" s="163" t="e">
        <f t="shared" si="7"/>
        <v>#NUM!</v>
      </c>
      <c r="L79" s="163"/>
      <c r="M79" s="165">
        <f t="shared" si="8"/>
        <v>0</v>
      </c>
    </row>
    <row r="80" spans="1:13" x14ac:dyDescent="0.25">
      <c r="A80" s="109"/>
      <c r="G80" s="151"/>
      <c r="H80" s="163">
        <v>75</v>
      </c>
      <c r="I80" s="164" t="str">
        <f t="shared" si="6"/>
        <v/>
      </c>
      <c r="J80" s="164" t="e">
        <f t="shared" si="10"/>
        <v>#NUM!</v>
      </c>
      <c r="K80" s="163" t="e">
        <f t="shared" si="7"/>
        <v>#NUM!</v>
      </c>
      <c r="L80" s="163"/>
      <c r="M80" s="165">
        <f t="shared" si="8"/>
        <v>0</v>
      </c>
    </row>
    <row r="81" spans="1:13" x14ac:dyDescent="0.25">
      <c r="A81" s="180"/>
      <c r="G81" s="151"/>
      <c r="H81" s="163">
        <v>76</v>
      </c>
      <c r="I81" s="164" t="str">
        <f t="shared" si="6"/>
        <v/>
      </c>
      <c r="J81" s="164" t="e">
        <f t="shared" si="10"/>
        <v>#NUM!</v>
      </c>
      <c r="K81" s="163" t="e">
        <f t="shared" si="7"/>
        <v>#NUM!</v>
      </c>
      <c r="L81" s="163"/>
      <c r="M81" s="165">
        <f t="shared" si="8"/>
        <v>0</v>
      </c>
    </row>
    <row r="82" spans="1:13" x14ac:dyDescent="0.25">
      <c r="A82" s="180"/>
      <c r="G82" s="151"/>
      <c r="H82" s="163">
        <v>77</v>
      </c>
      <c r="I82" s="164" t="str">
        <f t="shared" si="6"/>
        <v/>
      </c>
      <c r="J82" s="164" t="e">
        <f t="shared" si="10"/>
        <v>#NUM!</v>
      </c>
      <c r="K82" s="163" t="e">
        <f t="shared" si="7"/>
        <v>#NUM!</v>
      </c>
      <c r="L82" s="163"/>
      <c r="M82" s="165">
        <f t="shared" si="8"/>
        <v>0</v>
      </c>
    </row>
    <row r="83" spans="1:13" x14ac:dyDescent="0.25">
      <c r="A83" s="180"/>
      <c r="G83" s="151"/>
      <c r="H83" s="163">
        <v>78</v>
      </c>
      <c r="I83" s="164" t="str">
        <f t="shared" si="6"/>
        <v/>
      </c>
      <c r="J83" s="164" t="e">
        <f t="shared" si="10"/>
        <v>#NUM!</v>
      </c>
      <c r="K83" s="163" t="e">
        <f t="shared" si="7"/>
        <v>#NUM!</v>
      </c>
      <c r="L83" s="163"/>
      <c r="M83" s="165">
        <f t="shared" si="8"/>
        <v>0</v>
      </c>
    </row>
    <row r="84" spans="1:13" x14ac:dyDescent="0.25">
      <c r="A84" s="180"/>
      <c r="G84" s="151"/>
      <c r="H84" s="163">
        <v>79</v>
      </c>
      <c r="I84" s="164" t="str">
        <f t="shared" si="6"/>
        <v/>
      </c>
      <c r="J84" s="164" t="e">
        <f t="shared" si="10"/>
        <v>#NUM!</v>
      </c>
      <c r="K84" s="163" t="e">
        <f t="shared" si="7"/>
        <v>#NUM!</v>
      </c>
      <c r="L84" s="163"/>
      <c r="M84" s="165">
        <f t="shared" si="8"/>
        <v>0</v>
      </c>
    </row>
    <row r="85" spans="1:13" x14ac:dyDescent="0.25">
      <c r="A85" s="180"/>
      <c r="G85" s="151"/>
      <c r="H85" s="163">
        <v>80</v>
      </c>
      <c r="I85" s="164" t="str">
        <f t="shared" si="6"/>
        <v/>
      </c>
      <c r="J85" s="164" t="e">
        <f t="shared" si="10"/>
        <v>#NUM!</v>
      </c>
      <c r="K85" s="163" t="e">
        <f t="shared" si="7"/>
        <v>#NUM!</v>
      </c>
      <c r="L85" s="163"/>
      <c r="M85" s="165">
        <f t="shared" si="8"/>
        <v>0</v>
      </c>
    </row>
    <row r="86" spans="1:13" x14ac:dyDescent="0.25">
      <c r="A86" s="180"/>
      <c r="G86" s="151"/>
      <c r="H86" s="163">
        <v>81</v>
      </c>
      <c r="I86" s="164" t="str">
        <f t="shared" si="6"/>
        <v/>
      </c>
      <c r="J86" s="164" t="e">
        <f t="shared" si="10"/>
        <v>#NUM!</v>
      </c>
      <c r="K86" s="163" t="e">
        <f t="shared" si="7"/>
        <v>#NUM!</v>
      </c>
      <c r="L86" s="163"/>
      <c r="M86" s="165">
        <f t="shared" si="8"/>
        <v>0</v>
      </c>
    </row>
    <row r="87" spans="1:13" x14ac:dyDescent="0.25">
      <c r="A87" s="180"/>
      <c r="G87" s="151"/>
      <c r="H87" s="163">
        <v>82</v>
      </c>
      <c r="I87" s="164" t="str">
        <f t="shared" si="6"/>
        <v/>
      </c>
      <c r="J87" s="164" t="e">
        <f t="shared" si="10"/>
        <v>#NUM!</v>
      </c>
      <c r="K87" s="163" t="e">
        <f t="shared" si="7"/>
        <v>#NUM!</v>
      </c>
      <c r="L87" s="163"/>
      <c r="M87" s="165">
        <f t="shared" si="8"/>
        <v>0</v>
      </c>
    </row>
    <row r="88" spans="1:13" x14ac:dyDescent="0.25">
      <c r="A88" s="180"/>
      <c r="G88" s="151"/>
      <c r="H88" s="163">
        <v>83</v>
      </c>
      <c r="I88" s="164" t="str">
        <f t="shared" si="6"/>
        <v/>
      </c>
      <c r="J88" s="164" t="e">
        <f t="shared" si="10"/>
        <v>#NUM!</v>
      </c>
      <c r="K88" s="163" t="e">
        <f t="shared" si="7"/>
        <v>#NUM!</v>
      </c>
      <c r="L88" s="163"/>
      <c r="M88" s="165">
        <f t="shared" si="8"/>
        <v>0</v>
      </c>
    </row>
    <row r="89" spans="1:13" x14ac:dyDescent="0.25">
      <c r="A89" s="180"/>
      <c r="G89" s="151"/>
      <c r="H89" s="163">
        <v>84</v>
      </c>
      <c r="I89" s="164" t="str">
        <f t="shared" si="6"/>
        <v/>
      </c>
      <c r="J89" s="164" t="e">
        <f t="shared" si="10"/>
        <v>#NUM!</v>
      </c>
      <c r="K89" s="163" t="e">
        <f t="shared" si="7"/>
        <v>#NUM!</v>
      </c>
      <c r="L89" s="163"/>
      <c r="M89" s="165">
        <f t="shared" si="8"/>
        <v>0</v>
      </c>
    </row>
    <row r="90" spans="1:13" x14ac:dyDescent="0.25">
      <c r="A90" s="180"/>
      <c r="G90" s="151"/>
      <c r="H90" s="163">
        <v>85</v>
      </c>
      <c r="I90" s="164" t="str">
        <f t="shared" si="6"/>
        <v/>
      </c>
      <c r="J90" s="164" t="e">
        <f t="shared" si="10"/>
        <v>#NUM!</v>
      </c>
      <c r="K90" s="163" t="e">
        <f t="shared" si="7"/>
        <v>#NUM!</v>
      </c>
      <c r="L90" s="163"/>
      <c r="M90" s="165">
        <f t="shared" si="8"/>
        <v>0</v>
      </c>
    </row>
    <row r="91" spans="1:13" x14ac:dyDescent="0.25">
      <c r="A91" s="180"/>
      <c r="G91" s="151"/>
      <c r="H91" s="163">
        <v>86</v>
      </c>
      <c r="I91" s="164" t="str">
        <f t="shared" si="6"/>
        <v/>
      </c>
      <c r="J91" s="164" t="e">
        <f t="shared" si="10"/>
        <v>#NUM!</v>
      </c>
      <c r="K91" s="163" t="e">
        <f t="shared" si="7"/>
        <v>#NUM!</v>
      </c>
      <c r="L91" s="163"/>
      <c r="M91" s="165">
        <f t="shared" si="8"/>
        <v>0</v>
      </c>
    </row>
    <row r="92" spans="1:13" x14ac:dyDescent="0.25">
      <c r="A92" s="180"/>
      <c r="G92" s="151"/>
      <c r="H92" s="163">
        <v>87</v>
      </c>
      <c r="I92" s="164" t="str">
        <f t="shared" si="6"/>
        <v/>
      </c>
      <c r="J92" s="164" t="e">
        <f t="shared" si="10"/>
        <v>#NUM!</v>
      </c>
      <c r="K92" s="163" t="e">
        <f t="shared" si="7"/>
        <v>#NUM!</v>
      </c>
      <c r="L92" s="163"/>
      <c r="M92" s="165">
        <f t="shared" si="8"/>
        <v>0</v>
      </c>
    </row>
    <row r="93" spans="1:13" x14ac:dyDescent="0.25">
      <c r="A93" s="180"/>
      <c r="G93" s="151"/>
      <c r="H93" s="163">
        <v>88</v>
      </c>
      <c r="I93" s="164" t="str">
        <f t="shared" si="6"/>
        <v/>
      </c>
      <c r="J93" s="164" t="e">
        <f t="shared" si="10"/>
        <v>#NUM!</v>
      </c>
      <c r="K93" s="163" t="e">
        <f t="shared" si="7"/>
        <v>#NUM!</v>
      </c>
      <c r="L93" s="163"/>
      <c r="M93" s="165">
        <f t="shared" si="8"/>
        <v>0</v>
      </c>
    </row>
    <row r="94" spans="1:13" x14ac:dyDescent="0.25">
      <c r="A94" s="180"/>
      <c r="G94" s="151"/>
      <c r="H94" s="163">
        <v>89</v>
      </c>
      <c r="I94" s="164" t="str">
        <f t="shared" si="6"/>
        <v/>
      </c>
      <c r="J94" s="164" t="e">
        <f t="shared" si="10"/>
        <v>#NUM!</v>
      </c>
      <c r="K94" s="163" t="e">
        <f t="shared" si="7"/>
        <v>#NUM!</v>
      </c>
      <c r="L94" s="163"/>
      <c r="M94" s="165">
        <f t="shared" si="8"/>
        <v>0</v>
      </c>
    </row>
    <row r="95" spans="1:13" x14ac:dyDescent="0.25">
      <c r="A95" s="180"/>
      <c r="G95" s="151"/>
      <c r="H95" s="163">
        <v>90</v>
      </c>
      <c r="I95" s="164" t="str">
        <f t="shared" si="6"/>
        <v/>
      </c>
      <c r="J95" s="164" t="e">
        <f t="shared" si="10"/>
        <v>#NUM!</v>
      </c>
      <c r="K95" s="163" t="e">
        <f t="shared" si="7"/>
        <v>#NUM!</v>
      </c>
      <c r="L95" s="163"/>
      <c r="M95" s="165">
        <f t="shared" si="8"/>
        <v>0</v>
      </c>
    </row>
    <row r="96" spans="1:13" x14ac:dyDescent="0.25">
      <c r="A96" s="180"/>
      <c r="G96" s="151"/>
      <c r="H96" s="163">
        <v>91</v>
      </c>
      <c r="I96" s="164" t="str">
        <f t="shared" si="6"/>
        <v/>
      </c>
      <c r="J96" s="164" t="e">
        <f t="shared" si="10"/>
        <v>#NUM!</v>
      </c>
      <c r="K96" s="163" t="e">
        <f t="shared" si="7"/>
        <v>#NUM!</v>
      </c>
      <c r="L96" s="163"/>
      <c r="M96" s="165">
        <f t="shared" si="8"/>
        <v>0</v>
      </c>
    </row>
    <row r="97" spans="1:13" x14ac:dyDescent="0.25">
      <c r="A97" s="180"/>
      <c r="G97" s="151"/>
      <c r="H97" s="163">
        <v>92</v>
      </c>
      <c r="I97" s="164" t="str">
        <f t="shared" si="6"/>
        <v/>
      </c>
      <c r="J97" s="164" t="e">
        <f t="shared" si="10"/>
        <v>#NUM!</v>
      </c>
      <c r="K97" s="163" t="e">
        <f t="shared" si="7"/>
        <v>#NUM!</v>
      </c>
      <c r="L97" s="163"/>
      <c r="M97" s="165">
        <f t="shared" si="8"/>
        <v>0</v>
      </c>
    </row>
    <row r="98" spans="1:13" x14ac:dyDescent="0.25">
      <c r="A98" s="180"/>
      <c r="G98" s="151"/>
      <c r="H98" s="163">
        <v>93</v>
      </c>
      <c r="I98" s="164" t="str">
        <f t="shared" si="6"/>
        <v/>
      </c>
      <c r="J98" s="164" t="e">
        <f t="shared" si="10"/>
        <v>#NUM!</v>
      </c>
      <c r="K98" s="163" t="e">
        <f t="shared" si="7"/>
        <v>#NUM!</v>
      </c>
      <c r="L98" s="163"/>
      <c r="M98" s="165">
        <f t="shared" si="8"/>
        <v>0</v>
      </c>
    </row>
    <row r="99" spans="1:13" x14ac:dyDescent="0.25">
      <c r="A99" s="180"/>
      <c r="G99" s="151"/>
      <c r="H99" s="163">
        <v>94</v>
      </c>
      <c r="I99" s="164" t="str">
        <f t="shared" si="6"/>
        <v/>
      </c>
      <c r="J99" s="164" t="e">
        <f t="shared" si="10"/>
        <v>#NUM!</v>
      </c>
      <c r="K99" s="163" t="e">
        <f t="shared" si="7"/>
        <v>#NUM!</v>
      </c>
      <c r="L99" s="163"/>
      <c r="M99" s="165">
        <f t="shared" si="8"/>
        <v>0</v>
      </c>
    </row>
    <row r="100" spans="1:13" x14ac:dyDescent="0.25">
      <c r="A100" s="180"/>
      <c r="G100" s="151"/>
      <c r="H100" s="163">
        <v>95</v>
      </c>
      <c r="I100" s="164" t="str">
        <f t="shared" si="6"/>
        <v/>
      </c>
      <c r="J100" s="164" t="e">
        <f t="shared" si="10"/>
        <v>#NUM!</v>
      </c>
      <c r="K100" s="163" t="e">
        <f t="shared" si="7"/>
        <v>#NUM!</v>
      </c>
      <c r="L100" s="163"/>
      <c r="M100" s="165">
        <f t="shared" si="8"/>
        <v>0</v>
      </c>
    </row>
    <row r="101" spans="1:13" x14ac:dyDescent="0.25">
      <c r="A101" s="180"/>
      <c r="G101" s="151"/>
      <c r="H101" s="163">
        <v>96</v>
      </c>
      <c r="I101" s="164" t="str">
        <f t="shared" si="6"/>
        <v/>
      </c>
      <c r="J101" s="164" t="e">
        <f t="shared" si="10"/>
        <v>#NUM!</v>
      </c>
      <c r="K101" s="163" t="e">
        <f t="shared" si="7"/>
        <v>#NUM!</v>
      </c>
      <c r="L101" s="163"/>
      <c r="M101" s="165">
        <f t="shared" si="8"/>
        <v>0</v>
      </c>
    </row>
    <row r="102" spans="1:13" x14ac:dyDescent="0.25">
      <c r="A102" s="180"/>
      <c r="G102" s="151"/>
      <c r="H102" s="163">
        <v>97</v>
      </c>
      <c r="I102" s="164" t="str">
        <f t="shared" si="6"/>
        <v/>
      </c>
      <c r="J102" s="164" t="e">
        <f t="shared" si="10"/>
        <v>#NUM!</v>
      </c>
      <c r="K102" s="163" t="e">
        <f t="shared" si="7"/>
        <v>#NUM!</v>
      </c>
      <c r="L102" s="163"/>
      <c r="M102" s="165">
        <f t="shared" si="8"/>
        <v>0</v>
      </c>
    </row>
    <row r="103" spans="1:13" x14ac:dyDescent="0.25">
      <c r="A103" s="180"/>
      <c r="G103" s="151"/>
      <c r="H103" s="163">
        <v>98</v>
      </c>
      <c r="I103" s="164" t="str">
        <f t="shared" si="6"/>
        <v/>
      </c>
      <c r="J103" s="164" t="e">
        <f t="shared" si="10"/>
        <v>#NUM!</v>
      </c>
      <c r="K103" s="163" t="e">
        <f t="shared" si="7"/>
        <v>#NUM!</v>
      </c>
      <c r="L103" s="163"/>
      <c r="M103" s="165">
        <f t="shared" si="8"/>
        <v>0</v>
      </c>
    </row>
    <row r="104" spans="1:13" x14ac:dyDescent="0.25">
      <c r="A104" s="180"/>
      <c r="G104" s="151"/>
      <c r="H104" s="163">
        <v>99</v>
      </c>
      <c r="I104" s="164" t="str">
        <f t="shared" si="6"/>
        <v/>
      </c>
      <c r="J104" s="164" t="e">
        <f t="shared" si="10"/>
        <v>#NUM!</v>
      </c>
      <c r="K104" s="163" t="e">
        <f t="shared" si="7"/>
        <v>#NUM!</v>
      </c>
      <c r="L104" s="163"/>
      <c r="M104" s="165">
        <f t="shared" si="8"/>
        <v>0</v>
      </c>
    </row>
    <row r="105" spans="1:13" x14ac:dyDescent="0.25">
      <c r="A105" s="180"/>
      <c r="G105" s="151"/>
      <c r="H105" s="163">
        <v>100</v>
      </c>
      <c r="I105" s="164" t="str">
        <f t="shared" si="6"/>
        <v/>
      </c>
      <c r="J105" s="164" t="e">
        <f t="shared" si="10"/>
        <v>#NUM!</v>
      </c>
      <c r="K105" s="163" t="e">
        <f t="shared" si="7"/>
        <v>#NUM!</v>
      </c>
      <c r="L105" s="163"/>
      <c r="M105" s="165">
        <f t="shared" si="8"/>
        <v>0</v>
      </c>
    </row>
    <row r="106" spans="1:13" x14ac:dyDescent="0.25">
      <c r="A106" s="180"/>
      <c r="G106" s="151"/>
      <c r="H106" s="163">
        <v>101</v>
      </c>
      <c r="I106" s="164" t="str">
        <f t="shared" si="6"/>
        <v/>
      </c>
      <c r="J106" s="164" t="e">
        <f t="shared" si="10"/>
        <v>#NUM!</v>
      </c>
      <c r="K106" s="163" t="e">
        <f t="shared" si="7"/>
        <v>#NUM!</v>
      </c>
      <c r="L106" s="163"/>
      <c r="M106" s="165">
        <f t="shared" si="8"/>
        <v>0</v>
      </c>
    </row>
    <row r="107" spans="1:13" x14ac:dyDescent="0.25">
      <c r="A107" s="180"/>
      <c r="G107" s="151"/>
      <c r="H107" s="163">
        <v>102</v>
      </c>
      <c r="I107" s="164" t="str">
        <f t="shared" si="6"/>
        <v/>
      </c>
      <c r="J107" s="164" t="e">
        <f t="shared" si="10"/>
        <v>#NUM!</v>
      </c>
      <c r="K107" s="163" t="e">
        <f t="shared" si="7"/>
        <v>#NUM!</v>
      </c>
      <c r="L107" s="163"/>
      <c r="M107" s="165">
        <f t="shared" si="8"/>
        <v>0</v>
      </c>
    </row>
    <row r="108" spans="1:13" x14ac:dyDescent="0.25">
      <c r="A108" s="180"/>
      <c r="G108" s="151"/>
      <c r="H108" s="163">
        <v>103</v>
      </c>
      <c r="I108" s="164" t="str">
        <f t="shared" si="6"/>
        <v/>
      </c>
      <c r="J108" s="164" t="e">
        <f t="shared" si="10"/>
        <v>#NUM!</v>
      </c>
      <c r="K108" s="163" t="e">
        <f t="shared" si="7"/>
        <v>#NUM!</v>
      </c>
      <c r="L108" s="163"/>
      <c r="M108" s="165">
        <f t="shared" si="8"/>
        <v>0</v>
      </c>
    </row>
    <row r="109" spans="1:13" x14ac:dyDescent="0.25">
      <c r="A109" s="180"/>
      <c r="G109" s="151"/>
      <c r="H109" s="163">
        <v>104</v>
      </c>
      <c r="I109" s="164" t="str">
        <f t="shared" si="6"/>
        <v/>
      </c>
      <c r="J109" s="164" t="e">
        <f t="shared" si="10"/>
        <v>#NUM!</v>
      </c>
      <c r="K109" s="163" t="e">
        <f t="shared" si="7"/>
        <v>#NUM!</v>
      </c>
      <c r="L109" s="163"/>
      <c r="M109" s="165">
        <f t="shared" si="8"/>
        <v>0</v>
      </c>
    </row>
    <row r="110" spans="1:13" x14ac:dyDescent="0.25">
      <c r="A110" s="180"/>
      <c r="G110" s="151"/>
      <c r="H110" s="163">
        <v>105</v>
      </c>
      <c r="I110" s="164" t="str">
        <f t="shared" si="6"/>
        <v/>
      </c>
      <c r="J110" s="164" t="e">
        <f t="shared" si="10"/>
        <v>#NUM!</v>
      </c>
      <c r="K110" s="163" t="e">
        <f t="shared" si="7"/>
        <v>#NUM!</v>
      </c>
      <c r="L110" s="163"/>
      <c r="M110" s="165">
        <f t="shared" si="8"/>
        <v>0</v>
      </c>
    </row>
    <row r="111" spans="1:13" x14ac:dyDescent="0.25">
      <c r="A111" s="180"/>
      <c r="G111" s="151"/>
      <c r="H111" s="163">
        <v>106</v>
      </c>
      <c r="I111" s="164" t="str">
        <f t="shared" si="6"/>
        <v/>
      </c>
      <c r="J111" s="164" t="e">
        <f t="shared" si="10"/>
        <v>#NUM!</v>
      </c>
      <c r="K111" s="163" t="e">
        <f t="shared" si="7"/>
        <v>#NUM!</v>
      </c>
      <c r="L111" s="163"/>
      <c r="M111" s="165">
        <f t="shared" si="8"/>
        <v>0</v>
      </c>
    </row>
    <row r="112" spans="1:13" x14ac:dyDescent="0.25">
      <c r="A112" s="180"/>
      <c r="G112" s="151"/>
      <c r="H112" s="163">
        <v>107</v>
      </c>
      <c r="I112" s="164" t="str">
        <f t="shared" si="6"/>
        <v/>
      </c>
      <c r="J112" s="164" t="e">
        <f t="shared" si="10"/>
        <v>#NUM!</v>
      </c>
      <c r="K112" s="163" t="e">
        <f t="shared" si="7"/>
        <v>#NUM!</v>
      </c>
      <c r="L112" s="163"/>
      <c r="M112" s="165">
        <f t="shared" si="8"/>
        <v>0</v>
      </c>
    </row>
    <row r="113" spans="1:13" x14ac:dyDescent="0.25">
      <c r="A113" s="180"/>
      <c r="G113" s="151"/>
      <c r="H113" s="163">
        <v>108</v>
      </c>
      <c r="I113" s="164" t="str">
        <f t="shared" si="6"/>
        <v/>
      </c>
      <c r="J113" s="164" t="e">
        <f t="shared" si="10"/>
        <v>#NUM!</v>
      </c>
      <c r="K113" s="163" t="e">
        <f t="shared" si="7"/>
        <v>#NUM!</v>
      </c>
      <c r="L113" s="163"/>
      <c r="M113" s="165">
        <f t="shared" si="8"/>
        <v>0</v>
      </c>
    </row>
    <row r="114" spans="1:13" x14ac:dyDescent="0.25">
      <c r="A114" s="180"/>
      <c r="G114" s="151"/>
      <c r="H114" s="163">
        <v>109</v>
      </c>
      <c r="I114" s="164" t="str">
        <f t="shared" si="6"/>
        <v/>
      </c>
      <c r="J114" s="164" t="e">
        <f t="shared" si="10"/>
        <v>#NUM!</v>
      </c>
      <c r="K114" s="163" t="e">
        <f t="shared" si="7"/>
        <v>#NUM!</v>
      </c>
      <c r="L114" s="163"/>
      <c r="M114" s="165">
        <f t="shared" si="8"/>
        <v>0</v>
      </c>
    </row>
    <row r="115" spans="1:13" x14ac:dyDescent="0.25">
      <c r="A115" s="180"/>
      <c r="G115" s="151"/>
      <c r="H115" s="163">
        <v>110</v>
      </c>
      <c r="I115" s="164" t="str">
        <f t="shared" si="6"/>
        <v/>
      </c>
      <c r="J115" s="164" t="e">
        <f t="shared" si="10"/>
        <v>#NUM!</v>
      </c>
      <c r="K115" s="163" t="e">
        <f t="shared" si="7"/>
        <v>#NUM!</v>
      </c>
      <c r="L115" s="163"/>
      <c r="M115" s="165">
        <f t="shared" si="8"/>
        <v>0</v>
      </c>
    </row>
    <row r="116" spans="1:13" x14ac:dyDescent="0.25">
      <c r="A116" s="180"/>
      <c r="G116" s="151"/>
      <c r="H116" s="163">
        <v>111</v>
      </c>
      <c r="I116" s="164" t="str">
        <f t="shared" si="6"/>
        <v/>
      </c>
      <c r="J116" s="164" t="e">
        <f t="shared" si="10"/>
        <v>#NUM!</v>
      </c>
      <c r="K116" s="163" t="e">
        <f t="shared" si="7"/>
        <v>#NUM!</v>
      </c>
      <c r="L116" s="163"/>
      <c r="M116" s="165">
        <f t="shared" si="8"/>
        <v>0</v>
      </c>
    </row>
    <row r="117" spans="1:13" x14ac:dyDescent="0.25">
      <c r="A117" s="180"/>
      <c r="G117" s="151"/>
      <c r="H117" s="163">
        <v>112</v>
      </c>
      <c r="I117" s="164" t="str">
        <f t="shared" si="6"/>
        <v/>
      </c>
      <c r="J117" s="164" t="e">
        <f t="shared" si="10"/>
        <v>#NUM!</v>
      </c>
      <c r="K117" s="163" t="e">
        <f t="shared" si="7"/>
        <v>#NUM!</v>
      </c>
      <c r="L117" s="163"/>
      <c r="M117" s="165">
        <f t="shared" si="8"/>
        <v>0</v>
      </c>
    </row>
    <row r="118" spans="1:13" x14ac:dyDescent="0.25">
      <c r="A118" s="180"/>
      <c r="G118" s="151"/>
      <c r="H118" s="163">
        <v>113</v>
      </c>
      <c r="I118" s="164" t="str">
        <f t="shared" si="6"/>
        <v/>
      </c>
      <c r="J118" s="164" t="e">
        <f t="shared" si="10"/>
        <v>#NUM!</v>
      </c>
      <c r="K118" s="163" t="e">
        <f t="shared" si="7"/>
        <v>#NUM!</v>
      </c>
      <c r="L118" s="163"/>
      <c r="M118" s="165">
        <f t="shared" si="8"/>
        <v>0</v>
      </c>
    </row>
    <row r="119" spans="1:13" x14ac:dyDescent="0.25">
      <c r="A119" s="180"/>
      <c r="G119" s="151"/>
      <c r="H119" s="163">
        <v>114</v>
      </c>
      <c r="I119" s="164" t="str">
        <f t="shared" si="6"/>
        <v/>
      </c>
      <c r="J119" s="164" t="e">
        <f t="shared" si="10"/>
        <v>#NUM!</v>
      </c>
      <c r="K119" s="163" t="e">
        <f t="shared" si="7"/>
        <v>#NUM!</v>
      </c>
      <c r="L119" s="163"/>
      <c r="M119" s="165">
        <f t="shared" si="8"/>
        <v>0</v>
      </c>
    </row>
    <row r="120" spans="1:13" x14ac:dyDescent="0.25">
      <c r="A120" s="180"/>
      <c r="G120" s="151"/>
      <c r="H120" s="163">
        <v>115</v>
      </c>
      <c r="I120" s="164" t="str">
        <f t="shared" si="6"/>
        <v/>
      </c>
      <c r="J120" s="164" t="e">
        <f t="shared" si="10"/>
        <v>#NUM!</v>
      </c>
      <c r="K120" s="163" t="e">
        <f t="shared" si="7"/>
        <v>#NUM!</v>
      </c>
      <c r="L120" s="163"/>
      <c r="M120" s="165">
        <f t="shared" si="8"/>
        <v>0</v>
      </c>
    </row>
    <row r="121" spans="1:13" x14ac:dyDescent="0.25">
      <c r="A121" s="180"/>
      <c r="G121" s="151"/>
      <c r="H121" s="163">
        <v>116</v>
      </c>
      <c r="I121" s="164" t="str">
        <f t="shared" si="6"/>
        <v/>
      </c>
      <c r="J121" s="164" t="e">
        <f t="shared" si="10"/>
        <v>#NUM!</v>
      </c>
      <c r="K121" s="163" t="e">
        <f t="shared" si="7"/>
        <v>#NUM!</v>
      </c>
      <c r="L121" s="163"/>
      <c r="M121" s="165">
        <f t="shared" si="8"/>
        <v>0</v>
      </c>
    </row>
    <row r="122" spans="1:13" x14ac:dyDescent="0.25">
      <c r="A122" s="180"/>
      <c r="G122" s="151"/>
      <c r="H122" s="163">
        <v>117</v>
      </c>
      <c r="I122" s="164" t="str">
        <f t="shared" si="6"/>
        <v/>
      </c>
      <c r="J122" s="164" t="e">
        <f t="shared" si="10"/>
        <v>#NUM!</v>
      </c>
      <c r="K122" s="163" t="e">
        <f t="shared" si="7"/>
        <v>#NUM!</v>
      </c>
      <c r="L122" s="163"/>
      <c r="M122" s="165">
        <f t="shared" si="8"/>
        <v>0</v>
      </c>
    </row>
    <row r="123" spans="1:13" x14ac:dyDescent="0.25">
      <c r="A123" s="180"/>
      <c r="G123" s="151"/>
      <c r="H123" s="163">
        <v>118</v>
      </c>
      <c r="I123" s="164" t="str">
        <f t="shared" si="6"/>
        <v/>
      </c>
      <c r="J123" s="164" t="e">
        <f t="shared" si="10"/>
        <v>#NUM!</v>
      </c>
      <c r="K123" s="163" t="e">
        <f t="shared" si="7"/>
        <v>#NUM!</v>
      </c>
      <c r="L123" s="163"/>
      <c r="M123" s="165">
        <f t="shared" si="8"/>
        <v>0</v>
      </c>
    </row>
    <row r="124" spans="1:13" x14ac:dyDescent="0.25">
      <c r="A124" s="180"/>
      <c r="G124" s="151"/>
      <c r="H124" s="163">
        <v>119</v>
      </c>
      <c r="I124" s="164" t="str">
        <f t="shared" si="6"/>
        <v/>
      </c>
      <c r="J124" s="164" t="e">
        <f t="shared" si="10"/>
        <v>#NUM!</v>
      </c>
      <c r="K124" s="163" t="e">
        <f t="shared" si="7"/>
        <v>#NUM!</v>
      </c>
      <c r="L124" s="163"/>
      <c r="M124" s="165">
        <f t="shared" si="8"/>
        <v>0</v>
      </c>
    </row>
    <row r="125" spans="1:13" x14ac:dyDescent="0.25">
      <c r="A125" s="180"/>
      <c r="G125" s="151"/>
      <c r="H125" s="163">
        <v>120</v>
      </c>
      <c r="I125" s="164" t="str">
        <f t="shared" si="6"/>
        <v/>
      </c>
      <c r="J125" s="164" t="e">
        <f t="shared" si="10"/>
        <v>#NUM!</v>
      </c>
      <c r="K125" s="163" t="e">
        <f t="shared" si="7"/>
        <v>#NUM!</v>
      </c>
      <c r="L125" s="163"/>
      <c r="M125" s="165">
        <f t="shared" si="8"/>
        <v>0</v>
      </c>
    </row>
    <row r="126" spans="1:13" x14ac:dyDescent="0.25">
      <c r="A126" s="180"/>
      <c r="G126" s="151"/>
      <c r="H126" s="163">
        <v>121</v>
      </c>
      <c r="I126" s="164" t="str">
        <f t="shared" si="6"/>
        <v/>
      </c>
      <c r="J126" s="164" t="e">
        <f t="shared" si="10"/>
        <v>#NUM!</v>
      </c>
      <c r="K126" s="163" t="e">
        <f t="shared" si="7"/>
        <v>#NUM!</v>
      </c>
      <c r="L126" s="163"/>
      <c r="M126" s="165">
        <f t="shared" si="8"/>
        <v>0</v>
      </c>
    </row>
    <row r="127" spans="1:13" x14ac:dyDescent="0.25">
      <c r="A127" s="180"/>
      <c r="G127" s="151"/>
      <c r="H127" s="163">
        <v>122</v>
      </c>
      <c r="I127" s="164" t="str">
        <f t="shared" si="6"/>
        <v/>
      </c>
      <c r="J127" s="164" t="e">
        <f t="shared" si="10"/>
        <v>#NUM!</v>
      </c>
      <c r="K127" s="163" t="e">
        <f t="shared" si="7"/>
        <v>#NUM!</v>
      </c>
      <c r="L127" s="163"/>
      <c r="M127" s="165">
        <f t="shared" si="8"/>
        <v>0</v>
      </c>
    </row>
    <row r="128" spans="1:13" x14ac:dyDescent="0.25">
      <c r="A128" s="180"/>
      <c r="G128" s="151"/>
      <c r="H128" s="163">
        <v>123</v>
      </c>
      <c r="I128" s="164" t="str">
        <f t="shared" si="6"/>
        <v/>
      </c>
      <c r="J128" s="164" t="e">
        <f t="shared" si="10"/>
        <v>#NUM!</v>
      </c>
      <c r="K128" s="163" t="e">
        <f t="shared" si="7"/>
        <v>#NUM!</v>
      </c>
      <c r="L128" s="163"/>
      <c r="M128" s="165">
        <f t="shared" si="8"/>
        <v>0</v>
      </c>
    </row>
    <row r="129" spans="1:13" x14ac:dyDescent="0.25">
      <c r="A129" s="180"/>
      <c r="G129" s="151"/>
      <c r="H129" s="163">
        <v>124</v>
      </c>
      <c r="I129" s="164" t="str">
        <f t="shared" si="6"/>
        <v/>
      </c>
      <c r="J129" s="164" t="e">
        <f t="shared" si="10"/>
        <v>#NUM!</v>
      </c>
      <c r="K129" s="163" t="e">
        <f t="shared" si="7"/>
        <v>#NUM!</v>
      </c>
      <c r="L129" s="163"/>
      <c r="M129" s="165">
        <f t="shared" si="8"/>
        <v>0</v>
      </c>
    </row>
    <row r="130" spans="1:13" x14ac:dyDescent="0.25">
      <c r="A130" s="180"/>
      <c r="G130" s="151"/>
      <c r="H130" s="163">
        <v>125</v>
      </c>
      <c r="I130" s="164" t="str">
        <f t="shared" si="6"/>
        <v/>
      </c>
      <c r="J130" s="164" t="e">
        <f t="shared" si="10"/>
        <v>#NUM!</v>
      </c>
      <c r="K130" s="163" t="e">
        <f t="shared" si="7"/>
        <v>#NUM!</v>
      </c>
      <c r="L130" s="163"/>
      <c r="M130" s="165">
        <f t="shared" si="8"/>
        <v>0</v>
      </c>
    </row>
    <row r="131" spans="1:13" x14ac:dyDescent="0.25">
      <c r="A131" s="180"/>
      <c r="G131" s="151"/>
      <c r="H131" s="163">
        <v>126</v>
      </c>
      <c r="I131" s="164" t="str">
        <f t="shared" si="6"/>
        <v/>
      </c>
      <c r="J131" s="164" t="e">
        <f t="shared" si="10"/>
        <v>#NUM!</v>
      </c>
      <c r="K131" s="163" t="e">
        <f t="shared" si="7"/>
        <v>#NUM!</v>
      </c>
      <c r="L131" s="163"/>
      <c r="M131" s="165">
        <f t="shared" si="8"/>
        <v>0</v>
      </c>
    </row>
    <row r="132" spans="1:13" x14ac:dyDescent="0.25">
      <c r="A132" s="180"/>
      <c r="G132" s="151"/>
      <c r="H132" s="163">
        <v>127</v>
      </c>
      <c r="I132" s="164" t="str">
        <f t="shared" si="6"/>
        <v/>
      </c>
      <c r="J132" s="164" t="e">
        <f t="shared" si="10"/>
        <v>#NUM!</v>
      </c>
      <c r="K132" s="163" t="e">
        <f t="shared" si="7"/>
        <v>#NUM!</v>
      </c>
      <c r="L132" s="163"/>
      <c r="M132" s="165">
        <f t="shared" si="8"/>
        <v>0</v>
      </c>
    </row>
    <row r="133" spans="1:13" x14ac:dyDescent="0.25">
      <c r="A133" s="180"/>
      <c r="G133" s="151"/>
      <c r="H133" s="163">
        <v>128</v>
      </c>
      <c r="I133" s="164" t="str">
        <f t="shared" si="6"/>
        <v/>
      </c>
      <c r="J133" s="164" t="e">
        <f t="shared" si="10"/>
        <v>#NUM!</v>
      </c>
      <c r="K133" s="163" t="e">
        <f t="shared" si="7"/>
        <v>#NUM!</v>
      </c>
      <c r="L133" s="163"/>
      <c r="M133" s="165">
        <f t="shared" si="8"/>
        <v>0</v>
      </c>
    </row>
    <row r="134" spans="1:13" x14ac:dyDescent="0.25">
      <c r="A134" s="180"/>
      <c r="G134" s="151"/>
      <c r="H134" s="163">
        <v>129</v>
      </c>
      <c r="I134" s="164" t="str">
        <f t="shared" ref="I134:I197" si="11">IF(H134&lt;$H$2+1,($I$2-($I$2-1)*(LOG(H134)/LOG($H$2))),"")</f>
        <v/>
      </c>
      <c r="J134" s="164" t="e">
        <f t="shared" si="10"/>
        <v>#NUM!</v>
      </c>
      <c r="K134" s="163" t="e">
        <f t="shared" ref="K134:K197" si="12">J134*$J$2</f>
        <v>#NUM!</v>
      </c>
      <c r="L134" s="163"/>
      <c r="M134" s="165">
        <f t="shared" ref="M134:M197" si="13">IF(I134&lt;&gt;"",K134+I134+L134,0)</f>
        <v>0</v>
      </c>
    </row>
    <row r="135" spans="1:13" x14ac:dyDescent="0.25">
      <c r="A135" s="180"/>
      <c r="G135" s="151"/>
      <c r="H135" s="163">
        <v>130</v>
      </c>
      <c r="I135" s="164" t="str">
        <f t="shared" si="11"/>
        <v/>
      </c>
      <c r="J135" s="164" t="e">
        <f t="shared" ref="J135:J198" si="14">INT(LOG($H$2,2))-ROUNDUP(LOG(H135,2),0)+IF(OR($H$2=1,$H$2=2,$H$2=4,$H$2=8,$H$2=16,$H$2=32,$H$2=64,$H$2=128,$H$2=256),0,1)</f>
        <v>#NUM!</v>
      </c>
      <c r="K135" s="163" t="e">
        <f t="shared" si="12"/>
        <v>#NUM!</v>
      </c>
      <c r="L135" s="163"/>
      <c r="M135" s="165">
        <f t="shared" si="13"/>
        <v>0</v>
      </c>
    </row>
    <row r="136" spans="1:13" x14ac:dyDescent="0.25">
      <c r="A136" s="180"/>
      <c r="G136" s="151"/>
      <c r="H136" s="163">
        <v>131</v>
      </c>
      <c r="I136" s="164" t="str">
        <f t="shared" si="11"/>
        <v/>
      </c>
      <c r="J136" s="164" t="e">
        <f t="shared" si="14"/>
        <v>#NUM!</v>
      </c>
      <c r="K136" s="163" t="e">
        <f t="shared" si="12"/>
        <v>#NUM!</v>
      </c>
      <c r="L136" s="163"/>
      <c r="M136" s="165">
        <f t="shared" si="13"/>
        <v>0</v>
      </c>
    </row>
    <row r="137" spans="1:13" x14ac:dyDescent="0.25">
      <c r="A137" s="180"/>
      <c r="G137" s="151"/>
      <c r="H137" s="163">
        <v>132</v>
      </c>
      <c r="I137" s="164" t="str">
        <f t="shared" si="11"/>
        <v/>
      </c>
      <c r="J137" s="164" t="e">
        <f t="shared" si="14"/>
        <v>#NUM!</v>
      </c>
      <c r="K137" s="163" t="e">
        <f t="shared" si="12"/>
        <v>#NUM!</v>
      </c>
      <c r="L137" s="163"/>
      <c r="M137" s="165">
        <f t="shared" si="13"/>
        <v>0</v>
      </c>
    </row>
    <row r="138" spans="1:13" x14ac:dyDescent="0.25">
      <c r="A138" s="180"/>
      <c r="G138" s="151"/>
      <c r="H138" s="163">
        <v>133</v>
      </c>
      <c r="I138" s="164" t="str">
        <f t="shared" si="11"/>
        <v/>
      </c>
      <c r="J138" s="164" t="e">
        <f t="shared" si="14"/>
        <v>#NUM!</v>
      </c>
      <c r="K138" s="163" t="e">
        <f t="shared" si="12"/>
        <v>#NUM!</v>
      </c>
      <c r="L138" s="163"/>
      <c r="M138" s="165">
        <f t="shared" si="13"/>
        <v>0</v>
      </c>
    </row>
    <row r="139" spans="1:13" x14ac:dyDescent="0.25">
      <c r="A139" s="180"/>
      <c r="G139" s="151"/>
      <c r="H139" s="163">
        <v>134</v>
      </c>
      <c r="I139" s="164" t="str">
        <f t="shared" si="11"/>
        <v/>
      </c>
      <c r="J139" s="164" t="e">
        <f t="shared" si="14"/>
        <v>#NUM!</v>
      </c>
      <c r="K139" s="163" t="e">
        <f t="shared" si="12"/>
        <v>#NUM!</v>
      </c>
      <c r="L139" s="163"/>
      <c r="M139" s="165">
        <f t="shared" si="13"/>
        <v>0</v>
      </c>
    </row>
    <row r="140" spans="1:13" x14ac:dyDescent="0.25">
      <c r="A140" s="180"/>
      <c r="G140" s="151"/>
      <c r="H140" s="163">
        <v>135</v>
      </c>
      <c r="I140" s="164" t="str">
        <f t="shared" si="11"/>
        <v/>
      </c>
      <c r="J140" s="164" t="e">
        <f t="shared" si="14"/>
        <v>#NUM!</v>
      </c>
      <c r="K140" s="163" t="e">
        <f t="shared" si="12"/>
        <v>#NUM!</v>
      </c>
      <c r="L140" s="163"/>
      <c r="M140" s="165">
        <f t="shared" si="13"/>
        <v>0</v>
      </c>
    </row>
    <row r="141" spans="1:13" x14ac:dyDescent="0.25">
      <c r="A141" s="180"/>
      <c r="G141" s="151"/>
      <c r="H141" s="163">
        <v>136</v>
      </c>
      <c r="I141" s="164" t="str">
        <f t="shared" si="11"/>
        <v/>
      </c>
      <c r="J141" s="164" t="e">
        <f t="shared" si="14"/>
        <v>#NUM!</v>
      </c>
      <c r="K141" s="163" t="e">
        <f t="shared" si="12"/>
        <v>#NUM!</v>
      </c>
      <c r="L141" s="163"/>
      <c r="M141" s="165">
        <f t="shared" si="13"/>
        <v>0</v>
      </c>
    </row>
    <row r="142" spans="1:13" x14ac:dyDescent="0.25">
      <c r="A142" s="180"/>
      <c r="G142" s="151"/>
      <c r="H142" s="163">
        <v>137</v>
      </c>
      <c r="I142" s="164" t="str">
        <f t="shared" si="11"/>
        <v/>
      </c>
      <c r="J142" s="164" t="e">
        <f t="shared" si="14"/>
        <v>#NUM!</v>
      </c>
      <c r="K142" s="163" t="e">
        <f t="shared" si="12"/>
        <v>#NUM!</v>
      </c>
      <c r="L142" s="163"/>
      <c r="M142" s="165">
        <f t="shared" si="13"/>
        <v>0</v>
      </c>
    </row>
    <row r="143" spans="1:13" x14ac:dyDescent="0.25">
      <c r="A143" s="180"/>
      <c r="G143" s="151"/>
      <c r="H143" s="163">
        <v>138</v>
      </c>
      <c r="I143" s="164" t="str">
        <f t="shared" si="11"/>
        <v/>
      </c>
      <c r="J143" s="164" t="e">
        <f t="shared" si="14"/>
        <v>#NUM!</v>
      </c>
      <c r="K143" s="163" t="e">
        <f t="shared" si="12"/>
        <v>#NUM!</v>
      </c>
      <c r="L143" s="163"/>
      <c r="M143" s="165">
        <f t="shared" si="13"/>
        <v>0</v>
      </c>
    </row>
    <row r="144" spans="1:13" x14ac:dyDescent="0.25">
      <c r="A144" s="180"/>
      <c r="G144" s="151"/>
      <c r="H144" s="163">
        <v>139</v>
      </c>
      <c r="I144" s="164" t="str">
        <f t="shared" si="11"/>
        <v/>
      </c>
      <c r="J144" s="164" t="e">
        <f t="shared" si="14"/>
        <v>#NUM!</v>
      </c>
      <c r="K144" s="163" t="e">
        <f t="shared" si="12"/>
        <v>#NUM!</v>
      </c>
      <c r="L144" s="163"/>
      <c r="M144" s="165">
        <f t="shared" si="13"/>
        <v>0</v>
      </c>
    </row>
    <row r="145" spans="1:13" x14ac:dyDescent="0.25">
      <c r="A145" s="180"/>
      <c r="G145" s="151"/>
      <c r="H145" s="163">
        <v>140</v>
      </c>
      <c r="I145" s="164" t="str">
        <f t="shared" si="11"/>
        <v/>
      </c>
      <c r="J145" s="164" t="e">
        <f t="shared" si="14"/>
        <v>#NUM!</v>
      </c>
      <c r="K145" s="163" t="e">
        <f t="shared" si="12"/>
        <v>#NUM!</v>
      </c>
      <c r="L145" s="163"/>
      <c r="M145" s="165">
        <f t="shared" si="13"/>
        <v>0</v>
      </c>
    </row>
    <row r="146" spans="1:13" x14ac:dyDescent="0.25">
      <c r="A146" s="180"/>
      <c r="G146" s="151"/>
      <c r="H146" s="163">
        <v>141</v>
      </c>
      <c r="I146" s="164" t="str">
        <f t="shared" si="11"/>
        <v/>
      </c>
      <c r="J146" s="164" t="e">
        <f t="shared" si="14"/>
        <v>#NUM!</v>
      </c>
      <c r="K146" s="163" t="e">
        <f t="shared" si="12"/>
        <v>#NUM!</v>
      </c>
      <c r="L146" s="163"/>
      <c r="M146" s="165">
        <f t="shared" si="13"/>
        <v>0</v>
      </c>
    </row>
    <row r="147" spans="1:13" x14ac:dyDescent="0.25">
      <c r="A147" s="180"/>
      <c r="G147" s="151"/>
      <c r="H147" s="163">
        <v>142</v>
      </c>
      <c r="I147" s="164" t="str">
        <f t="shared" si="11"/>
        <v/>
      </c>
      <c r="J147" s="164" t="e">
        <f t="shared" si="14"/>
        <v>#NUM!</v>
      </c>
      <c r="K147" s="163" t="e">
        <f t="shared" si="12"/>
        <v>#NUM!</v>
      </c>
      <c r="L147" s="163"/>
      <c r="M147" s="165">
        <f t="shared" si="13"/>
        <v>0</v>
      </c>
    </row>
    <row r="148" spans="1:13" x14ac:dyDescent="0.25">
      <c r="A148" s="180"/>
      <c r="G148" s="151"/>
      <c r="H148" s="163">
        <v>143</v>
      </c>
      <c r="I148" s="164" t="str">
        <f t="shared" si="11"/>
        <v/>
      </c>
      <c r="J148" s="164" t="e">
        <f t="shared" si="14"/>
        <v>#NUM!</v>
      </c>
      <c r="K148" s="163" t="e">
        <f t="shared" si="12"/>
        <v>#NUM!</v>
      </c>
      <c r="L148" s="163"/>
      <c r="M148" s="165">
        <f t="shared" si="13"/>
        <v>0</v>
      </c>
    </row>
    <row r="149" spans="1:13" x14ac:dyDescent="0.25">
      <c r="A149" s="180"/>
      <c r="G149" s="151"/>
      <c r="H149" s="163">
        <v>144</v>
      </c>
      <c r="I149" s="164" t="str">
        <f t="shared" si="11"/>
        <v/>
      </c>
      <c r="J149" s="164" t="e">
        <f t="shared" si="14"/>
        <v>#NUM!</v>
      </c>
      <c r="K149" s="163" t="e">
        <f t="shared" si="12"/>
        <v>#NUM!</v>
      </c>
      <c r="L149" s="163"/>
      <c r="M149" s="165">
        <f t="shared" si="13"/>
        <v>0</v>
      </c>
    </row>
    <row r="150" spans="1:13" x14ac:dyDescent="0.25">
      <c r="A150" s="180"/>
      <c r="G150" s="151"/>
      <c r="H150" s="163">
        <v>145</v>
      </c>
      <c r="I150" s="164" t="str">
        <f t="shared" si="11"/>
        <v/>
      </c>
      <c r="J150" s="164" t="e">
        <f t="shared" si="14"/>
        <v>#NUM!</v>
      </c>
      <c r="K150" s="163" t="e">
        <f t="shared" si="12"/>
        <v>#NUM!</v>
      </c>
      <c r="L150" s="163"/>
      <c r="M150" s="165">
        <f t="shared" si="13"/>
        <v>0</v>
      </c>
    </row>
    <row r="151" spans="1:13" x14ac:dyDescent="0.25">
      <c r="A151" s="180"/>
      <c r="G151" s="151"/>
      <c r="H151" s="163">
        <v>146</v>
      </c>
      <c r="I151" s="164" t="str">
        <f t="shared" si="11"/>
        <v/>
      </c>
      <c r="J151" s="164" t="e">
        <f t="shared" si="14"/>
        <v>#NUM!</v>
      </c>
      <c r="K151" s="163" t="e">
        <f t="shared" si="12"/>
        <v>#NUM!</v>
      </c>
      <c r="L151" s="163"/>
      <c r="M151" s="165">
        <f t="shared" si="13"/>
        <v>0</v>
      </c>
    </row>
    <row r="152" spans="1:13" x14ac:dyDescent="0.25">
      <c r="A152" s="180"/>
      <c r="G152" s="151"/>
      <c r="H152" s="163">
        <v>147</v>
      </c>
      <c r="I152" s="164" t="str">
        <f t="shared" si="11"/>
        <v/>
      </c>
      <c r="J152" s="164" t="e">
        <f t="shared" si="14"/>
        <v>#NUM!</v>
      </c>
      <c r="K152" s="163" t="e">
        <f t="shared" si="12"/>
        <v>#NUM!</v>
      </c>
      <c r="L152" s="163"/>
      <c r="M152" s="165">
        <f t="shared" si="13"/>
        <v>0</v>
      </c>
    </row>
    <row r="153" spans="1:13" x14ac:dyDescent="0.25">
      <c r="A153" s="180"/>
      <c r="G153" s="151"/>
      <c r="H153" s="163">
        <v>148</v>
      </c>
      <c r="I153" s="164" t="str">
        <f t="shared" si="11"/>
        <v/>
      </c>
      <c r="J153" s="164" t="e">
        <f t="shared" si="14"/>
        <v>#NUM!</v>
      </c>
      <c r="K153" s="163" t="e">
        <f t="shared" si="12"/>
        <v>#NUM!</v>
      </c>
      <c r="L153" s="163"/>
      <c r="M153" s="165">
        <f t="shared" si="13"/>
        <v>0</v>
      </c>
    </row>
    <row r="154" spans="1:13" x14ac:dyDescent="0.25">
      <c r="A154" s="180"/>
      <c r="G154" s="151"/>
      <c r="H154" s="163">
        <v>149</v>
      </c>
      <c r="I154" s="164" t="str">
        <f t="shared" si="11"/>
        <v/>
      </c>
      <c r="J154" s="164" t="e">
        <f t="shared" si="14"/>
        <v>#NUM!</v>
      </c>
      <c r="K154" s="163" t="e">
        <f t="shared" si="12"/>
        <v>#NUM!</v>
      </c>
      <c r="L154" s="163"/>
      <c r="M154" s="165">
        <f t="shared" si="13"/>
        <v>0</v>
      </c>
    </row>
    <row r="155" spans="1:13" x14ac:dyDescent="0.25">
      <c r="A155" s="180"/>
      <c r="G155" s="151"/>
      <c r="H155" s="163">
        <v>150</v>
      </c>
      <c r="I155" s="164" t="str">
        <f t="shared" si="11"/>
        <v/>
      </c>
      <c r="J155" s="164" t="e">
        <f t="shared" si="14"/>
        <v>#NUM!</v>
      </c>
      <c r="K155" s="163" t="e">
        <f t="shared" si="12"/>
        <v>#NUM!</v>
      </c>
      <c r="L155" s="163"/>
      <c r="M155" s="165">
        <f t="shared" si="13"/>
        <v>0</v>
      </c>
    </row>
    <row r="156" spans="1:13" x14ac:dyDescent="0.25">
      <c r="A156" s="180"/>
      <c r="G156" s="151"/>
      <c r="H156" s="163">
        <v>151</v>
      </c>
      <c r="I156" s="164" t="str">
        <f t="shared" si="11"/>
        <v/>
      </c>
      <c r="J156" s="164" t="e">
        <f t="shared" si="14"/>
        <v>#NUM!</v>
      </c>
      <c r="K156" s="163" t="e">
        <f t="shared" si="12"/>
        <v>#NUM!</v>
      </c>
      <c r="L156" s="163"/>
      <c r="M156" s="165">
        <f t="shared" si="13"/>
        <v>0</v>
      </c>
    </row>
    <row r="157" spans="1:13" x14ac:dyDescent="0.25">
      <c r="A157" s="180"/>
      <c r="G157" s="151"/>
      <c r="H157" s="163">
        <v>152</v>
      </c>
      <c r="I157" s="164" t="str">
        <f t="shared" si="11"/>
        <v/>
      </c>
      <c r="J157" s="164" t="e">
        <f t="shared" si="14"/>
        <v>#NUM!</v>
      </c>
      <c r="K157" s="163" t="e">
        <f t="shared" si="12"/>
        <v>#NUM!</v>
      </c>
      <c r="L157" s="163"/>
      <c r="M157" s="165">
        <f t="shared" si="13"/>
        <v>0</v>
      </c>
    </row>
    <row r="158" spans="1:13" x14ac:dyDescent="0.25">
      <c r="A158" s="180"/>
      <c r="G158" s="151"/>
      <c r="H158" s="163">
        <v>153</v>
      </c>
      <c r="I158" s="164" t="str">
        <f t="shared" si="11"/>
        <v/>
      </c>
      <c r="J158" s="164" t="e">
        <f t="shared" si="14"/>
        <v>#NUM!</v>
      </c>
      <c r="K158" s="163" t="e">
        <f t="shared" si="12"/>
        <v>#NUM!</v>
      </c>
      <c r="L158" s="163"/>
      <c r="M158" s="165">
        <f t="shared" si="13"/>
        <v>0</v>
      </c>
    </row>
    <row r="159" spans="1:13" x14ac:dyDescent="0.25">
      <c r="A159" s="180"/>
      <c r="G159" s="151"/>
      <c r="H159" s="163">
        <v>154</v>
      </c>
      <c r="I159" s="164" t="str">
        <f t="shared" si="11"/>
        <v/>
      </c>
      <c r="J159" s="164" t="e">
        <f t="shared" si="14"/>
        <v>#NUM!</v>
      </c>
      <c r="K159" s="163" t="e">
        <f t="shared" si="12"/>
        <v>#NUM!</v>
      </c>
      <c r="L159" s="163"/>
      <c r="M159" s="165">
        <f t="shared" si="13"/>
        <v>0</v>
      </c>
    </row>
    <row r="160" spans="1:13" x14ac:dyDescent="0.25">
      <c r="A160" s="180"/>
      <c r="G160" s="151"/>
      <c r="H160" s="163">
        <v>155</v>
      </c>
      <c r="I160" s="164" t="str">
        <f t="shared" si="11"/>
        <v/>
      </c>
      <c r="J160" s="164" t="e">
        <f t="shared" si="14"/>
        <v>#NUM!</v>
      </c>
      <c r="K160" s="163" t="e">
        <f t="shared" si="12"/>
        <v>#NUM!</v>
      </c>
      <c r="L160" s="163"/>
      <c r="M160" s="165">
        <f t="shared" si="13"/>
        <v>0</v>
      </c>
    </row>
    <row r="161" spans="1:13" x14ac:dyDescent="0.25">
      <c r="A161" s="180"/>
      <c r="G161" s="151"/>
      <c r="H161" s="163">
        <v>156</v>
      </c>
      <c r="I161" s="164" t="str">
        <f t="shared" si="11"/>
        <v/>
      </c>
      <c r="J161" s="164" t="e">
        <f t="shared" si="14"/>
        <v>#NUM!</v>
      </c>
      <c r="K161" s="163" t="e">
        <f t="shared" si="12"/>
        <v>#NUM!</v>
      </c>
      <c r="L161" s="163"/>
      <c r="M161" s="165">
        <f t="shared" si="13"/>
        <v>0</v>
      </c>
    </row>
    <row r="162" spans="1:13" x14ac:dyDescent="0.25">
      <c r="A162" s="180"/>
      <c r="G162" s="151"/>
      <c r="H162" s="163">
        <v>157</v>
      </c>
      <c r="I162" s="164" t="str">
        <f t="shared" si="11"/>
        <v/>
      </c>
      <c r="J162" s="164" t="e">
        <f t="shared" si="14"/>
        <v>#NUM!</v>
      </c>
      <c r="K162" s="163" t="e">
        <f t="shared" si="12"/>
        <v>#NUM!</v>
      </c>
      <c r="L162" s="163"/>
      <c r="M162" s="165">
        <f t="shared" si="13"/>
        <v>0</v>
      </c>
    </row>
    <row r="163" spans="1:13" x14ac:dyDescent="0.25">
      <c r="A163" s="180"/>
      <c r="G163" s="151"/>
      <c r="H163" s="163">
        <v>158</v>
      </c>
      <c r="I163" s="164" t="str">
        <f t="shared" si="11"/>
        <v/>
      </c>
      <c r="J163" s="164" t="e">
        <f t="shared" si="14"/>
        <v>#NUM!</v>
      </c>
      <c r="K163" s="163" t="e">
        <f t="shared" si="12"/>
        <v>#NUM!</v>
      </c>
      <c r="L163" s="163"/>
      <c r="M163" s="165">
        <f t="shared" si="13"/>
        <v>0</v>
      </c>
    </row>
    <row r="164" spans="1:13" x14ac:dyDescent="0.25">
      <c r="A164" s="180"/>
      <c r="G164" s="151"/>
      <c r="H164" s="163">
        <v>159</v>
      </c>
      <c r="I164" s="164" t="str">
        <f t="shared" si="11"/>
        <v/>
      </c>
      <c r="J164" s="164" t="e">
        <f t="shared" si="14"/>
        <v>#NUM!</v>
      </c>
      <c r="K164" s="163" t="e">
        <f t="shared" si="12"/>
        <v>#NUM!</v>
      </c>
      <c r="L164" s="163"/>
      <c r="M164" s="165">
        <f t="shared" si="13"/>
        <v>0</v>
      </c>
    </row>
    <row r="165" spans="1:13" x14ac:dyDescent="0.25">
      <c r="A165" s="180"/>
      <c r="G165" s="151"/>
      <c r="H165" s="163">
        <v>160</v>
      </c>
      <c r="I165" s="164" t="str">
        <f t="shared" si="11"/>
        <v/>
      </c>
      <c r="J165" s="164" t="e">
        <f t="shared" si="14"/>
        <v>#NUM!</v>
      </c>
      <c r="K165" s="163" t="e">
        <f t="shared" si="12"/>
        <v>#NUM!</v>
      </c>
      <c r="L165" s="163"/>
      <c r="M165" s="165">
        <f t="shared" si="13"/>
        <v>0</v>
      </c>
    </row>
    <row r="166" spans="1:13" x14ac:dyDescent="0.25">
      <c r="A166" s="180"/>
      <c r="G166" s="151"/>
      <c r="H166" s="163">
        <v>161</v>
      </c>
      <c r="I166" s="164" t="str">
        <f t="shared" si="11"/>
        <v/>
      </c>
      <c r="J166" s="164" t="e">
        <f t="shared" si="14"/>
        <v>#NUM!</v>
      </c>
      <c r="K166" s="163" t="e">
        <f t="shared" si="12"/>
        <v>#NUM!</v>
      </c>
      <c r="L166" s="163"/>
      <c r="M166" s="165">
        <f t="shared" si="13"/>
        <v>0</v>
      </c>
    </row>
    <row r="167" spans="1:13" x14ac:dyDescent="0.25">
      <c r="A167" s="180"/>
      <c r="G167" s="151"/>
      <c r="H167" s="163">
        <v>162</v>
      </c>
      <c r="I167" s="164" t="str">
        <f t="shared" si="11"/>
        <v/>
      </c>
      <c r="J167" s="164" t="e">
        <f t="shared" si="14"/>
        <v>#NUM!</v>
      </c>
      <c r="K167" s="163" t="e">
        <f t="shared" si="12"/>
        <v>#NUM!</v>
      </c>
      <c r="L167" s="163"/>
      <c r="M167" s="165">
        <f t="shared" si="13"/>
        <v>0</v>
      </c>
    </row>
    <row r="168" spans="1:13" x14ac:dyDescent="0.25">
      <c r="A168" s="180"/>
      <c r="G168" s="151"/>
      <c r="H168" s="163">
        <v>163</v>
      </c>
      <c r="I168" s="164" t="str">
        <f t="shared" si="11"/>
        <v/>
      </c>
      <c r="J168" s="164" t="e">
        <f t="shared" si="14"/>
        <v>#NUM!</v>
      </c>
      <c r="K168" s="163" t="e">
        <f t="shared" si="12"/>
        <v>#NUM!</v>
      </c>
      <c r="L168" s="163"/>
      <c r="M168" s="165">
        <f t="shared" si="13"/>
        <v>0</v>
      </c>
    </row>
    <row r="169" spans="1:13" x14ac:dyDescent="0.25">
      <c r="A169" s="180"/>
      <c r="C169" s="179" t="s">
        <v>50</v>
      </c>
      <c r="G169" s="151"/>
      <c r="H169" s="163">
        <v>164</v>
      </c>
      <c r="I169" s="164" t="str">
        <f t="shared" si="11"/>
        <v/>
      </c>
      <c r="J169" s="164" t="e">
        <f t="shared" si="14"/>
        <v>#NUM!</v>
      </c>
      <c r="K169" s="163" t="e">
        <f t="shared" si="12"/>
        <v>#NUM!</v>
      </c>
      <c r="L169" s="163"/>
      <c r="M169" s="165">
        <f t="shared" si="13"/>
        <v>0</v>
      </c>
    </row>
    <row r="170" spans="1:13" x14ac:dyDescent="0.25">
      <c r="A170" s="180"/>
      <c r="G170" s="151"/>
      <c r="H170" s="163">
        <v>165</v>
      </c>
      <c r="I170" s="164" t="str">
        <f t="shared" si="11"/>
        <v/>
      </c>
      <c r="J170" s="164" t="e">
        <f t="shared" si="14"/>
        <v>#NUM!</v>
      </c>
      <c r="K170" s="163" t="e">
        <f t="shared" si="12"/>
        <v>#NUM!</v>
      </c>
      <c r="L170" s="163"/>
      <c r="M170" s="165">
        <f t="shared" si="13"/>
        <v>0</v>
      </c>
    </row>
    <row r="171" spans="1:13" x14ac:dyDescent="0.25">
      <c r="A171" s="180"/>
      <c r="G171" s="151"/>
      <c r="H171" s="163">
        <v>166</v>
      </c>
      <c r="I171" s="164" t="str">
        <f t="shared" si="11"/>
        <v/>
      </c>
      <c r="J171" s="164" t="e">
        <f t="shared" si="14"/>
        <v>#NUM!</v>
      </c>
      <c r="K171" s="163" t="e">
        <f t="shared" si="12"/>
        <v>#NUM!</v>
      </c>
      <c r="L171" s="163"/>
      <c r="M171" s="165">
        <f t="shared" si="13"/>
        <v>0</v>
      </c>
    </row>
    <row r="172" spans="1:13" x14ac:dyDescent="0.25">
      <c r="A172" s="180"/>
      <c r="G172" s="151"/>
      <c r="H172" s="163">
        <v>167</v>
      </c>
      <c r="I172" s="164" t="str">
        <f t="shared" si="11"/>
        <v/>
      </c>
      <c r="J172" s="164" t="e">
        <f t="shared" si="14"/>
        <v>#NUM!</v>
      </c>
      <c r="K172" s="163" t="e">
        <f t="shared" si="12"/>
        <v>#NUM!</v>
      </c>
      <c r="L172" s="163"/>
      <c r="M172" s="165">
        <f t="shared" si="13"/>
        <v>0</v>
      </c>
    </row>
    <row r="173" spans="1:13" x14ac:dyDescent="0.25">
      <c r="A173" s="180"/>
      <c r="G173" s="151"/>
      <c r="H173" s="163">
        <v>168</v>
      </c>
      <c r="I173" s="164" t="str">
        <f t="shared" si="11"/>
        <v/>
      </c>
      <c r="J173" s="164" t="e">
        <f t="shared" si="14"/>
        <v>#NUM!</v>
      </c>
      <c r="K173" s="163" t="e">
        <f t="shared" si="12"/>
        <v>#NUM!</v>
      </c>
      <c r="L173" s="163"/>
      <c r="M173" s="165">
        <f t="shared" si="13"/>
        <v>0</v>
      </c>
    </row>
    <row r="174" spans="1:13" x14ac:dyDescent="0.25">
      <c r="A174" s="180"/>
      <c r="G174" s="151"/>
      <c r="H174" s="163">
        <v>169</v>
      </c>
      <c r="I174" s="164" t="str">
        <f t="shared" si="11"/>
        <v/>
      </c>
      <c r="J174" s="164" t="e">
        <f t="shared" si="14"/>
        <v>#NUM!</v>
      </c>
      <c r="K174" s="163" t="e">
        <f t="shared" si="12"/>
        <v>#NUM!</v>
      </c>
      <c r="L174" s="163"/>
      <c r="M174" s="165">
        <f t="shared" si="13"/>
        <v>0</v>
      </c>
    </row>
    <row r="175" spans="1:13" x14ac:dyDescent="0.25">
      <c r="A175" s="180"/>
      <c r="G175" s="151"/>
      <c r="H175" s="163">
        <v>170</v>
      </c>
      <c r="I175" s="164" t="str">
        <f t="shared" si="11"/>
        <v/>
      </c>
      <c r="J175" s="164" t="e">
        <f t="shared" si="14"/>
        <v>#NUM!</v>
      </c>
      <c r="K175" s="163" t="e">
        <f t="shared" si="12"/>
        <v>#NUM!</v>
      </c>
      <c r="L175" s="163"/>
      <c r="M175" s="165">
        <f t="shared" si="13"/>
        <v>0</v>
      </c>
    </row>
    <row r="176" spans="1:13" x14ac:dyDescent="0.25">
      <c r="A176" s="180"/>
      <c r="G176" s="151"/>
      <c r="H176" s="163">
        <v>171</v>
      </c>
      <c r="I176" s="164" t="str">
        <f t="shared" si="11"/>
        <v/>
      </c>
      <c r="J176" s="164" t="e">
        <f t="shared" si="14"/>
        <v>#NUM!</v>
      </c>
      <c r="K176" s="163" t="e">
        <f t="shared" si="12"/>
        <v>#NUM!</v>
      </c>
      <c r="L176" s="163"/>
      <c r="M176" s="165">
        <f t="shared" si="13"/>
        <v>0</v>
      </c>
    </row>
    <row r="177" spans="1:13" x14ac:dyDescent="0.25">
      <c r="A177" s="180"/>
      <c r="G177" s="151"/>
      <c r="H177" s="163">
        <v>172</v>
      </c>
      <c r="I177" s="164" t="str">
        <f t="shared" si="11"/>
        <v/>
      </c>
      <c r="J177" s="164" t="e">
        <f t="shared" si="14"/>
        <v>#NUM!</v>
      </c>
      <c r="K177" s="163" t="e">
        <f t="shared" si="12"/>
        <v>#NUM!</v>
      </c>
      <c r="L177" s="163"/>
      <c r="M177" s="165">
        <f t="shared" si="13"/>
        <v>0</v>
      </c>
    </row>
    <row r="178" spans="1:13" x14ac:dyDescent="0.25">
      <c r="A178" s="180"/>
      <c r="G178" s="151"/>
      <c r="H178" s="163">
        <v>173</v>
      </c>
      <c r="I178" s="164" t="str">
        <f t="shared" si="11"/>
        <v/>
      </c>
      <c r="J178" s="164" t="e">
        <f t="shared" si="14"/>
        <v>#NUM!</v>
      </c>
      <c r="K178" s="163" t="e">
        <f t="shared" si="12"/>
        <v>#NUM!</v>
      </c>
      <c r="L178" s="163"/>
      <c r="M178" s="165">
        <f t="shared" si="13"/>
        <v>0</v>
      </c>
    </row>
    <row r="179" spans="1:13" x14ac:dyDescent="0.25">
      <c r="A179" s="180"/>
      <c r="G179" s="151"/>
      <c r="H179" s="163">
        <v>174</v>
      </c>
      <c r="I179" s="164" t="str">
        <f t="shared" si="11"/>
        <v/>
      </c>
      <c r="J179" s="164" t="e">
        <f t="shared" si="14"/>
        <v>#NUM!</v>
      </c>
      <c r="K179" s="163" t="e">
        <f t="shared" si="12"/>
        <v>#NUM!</v>
      </c>
      <c r="L179" s="163"/>
      <c r="M179" s="165">
        <f t="shared" si="13"/>
        <v>0</v>
      </c>
    </row>
    <row r="180" spans="1:13" x14ac:dyDescent="0.25">
      <c r="A180" s="180"/>
      <c r="G180" s="151"/>
      <c r="H180" s="163">
        <v>175</v>
      </c>
      <c r="I180" s="164" t="str">
        <f t="shared" si="11"/>
        <v/>
      </c>
      <c r="J180" s="164" t="e">
        <f t="shared" si="14"/>
        <v>#NUM!</v>
      </c>
      <c r="K180" s="163" t="e">
        <f t="shared" si="12"/>
        <v>#NUM!</v>
      </c>
      <c r="L180" s="163"/>
      <c r="M180" s="165">
        <f t="shared" si="13"/>
        <v>0</v>
      </c>
    </row>
    <row r="181" spans="1:13" x14ac:dyDescent="0.25">
      <c r="A181" s="180"/>
      <c r="G181" s="151"/>
      <c r="H181" s="163">
        <v>176</v>
      </c>
      <c r="I181" s="164" t="str">
        <f t="shared" si="11"/>
        <v/>
      </c>
      <c r="J181" s="164" t="e">
        <f t="shared" si="14"/>
        <v>#NUM!</v>
      </c>
      <c r="K181" s="163" t="e">
        <f t="shared" si="12"/>
        <v>#NUM!</v>
      </c>
      <c r="L181" s="163"/>
      <c r="M181" s="165">
        <f t="shared" si="13"/>
        <v>0</v>
      </c>
    </row>
    <row r="182" spans="1:13" x14ac:dyDescent="0.25">
      <c r="A182" s="180"/>
      <c r="G182" s="151"/>
      <c r="H182" s="163">
        <v>177</v>
      </c>
      <c r="I182" s="164" t="str">
        <f t="shared" si="11"/>
        <v/>
      </c>
      <c r="J182" s="164" t="e">
        <f t="shared" si="14"/>
        <v>#NUM!</v>
      </c>
      <c r="K182" s="163" t="e">
        <f t="shared" si="12"/>
        <v>#NUM!</v>
      </c>
      <c r="L182" s="163"/>
      <c r="M182" s="165">
        <f t="shared" si="13"/>
        <v>0</v>
      </c>
    </row>
    <row r="183" spans="1:13" x14ac:dyDescent="0.25">
      <c r="A183" s="180"/>
      <c r="G183" s="151"/>
      <c r="H183" s="163">
        <v>178</v>
      </c>
      <c r="I183" s="164" t="str">
        <f t="shared" si="11"/>
        <v/>
      </c>
      <c r="J183" s="164" t="e">
        <f t="shared" si="14"/>
        <v>#NUM!</v>
      </c>
      <c r="K183" s="163" t="e">
        <f t="shared" si="12"/>
        <v>#NUM!</v>
      </c>
      <c r="L183" s="163"/>
      <c r="M183" s="165">
        <f t="shared" si="13"/>
        <v>0</v>
      </c>
    </row>
    <row r="184" spans="1:13" x14ac:dyDescent="0.25">
      <c r="A184" s="180"/>
      <c r="G184" s="151"/>
      <c r="H184" s="163">
        <v>179</v>
      </c>
      <c r="I184" s="164" t="str">
        <f t="shared" si="11"/>
        <v/>
      </c>
      <c r="J184" s="164" t="e">
        <f t="shared" si="14"/>
        <v>#NUM!</v>
      </c>
      <c r="K184" s="163" t="e">
        <f t="shared" si="12"/>
        <v>#NUM!</v>
      </c>
      <c r="L184" s="163"/>
      <c r="M184" s="165">
        <f t="shared" si="13"/>
        <v>0</v>
      </c>
    </row>
    <row r="185" spans="1:13" x14ac:dyDescent="0.25">
      <c r="A185" s="180"/>
      <c r="G185" s="151"/>
      <c r="H185" s="163">
        <v>180</v>
      </c>
      <c r="I185" s="164" t="str">
        <f t="shared" si="11"/>
        <v/>
      </c>
      <c r="J185" s="164" t="e">
        <f t="shared" si="14"/>
        <v>#NUM!</v>
      </c>
      <c r="K185" s="163" t="e">
        <f t="shared" si="12"/>
        <v>#NUM!</v>
      </c>
      <c r="L185" s="163"/>
      <c r="M185" s="165">
        <f t="shared" si="13"/>
        <v>0</v>
      </c>
    </row>
    <row r="186" spans="1:13" x14ac:dyDescent="0.25">
      <c r="A186" s="180"/>
      <c r="G186" s="151"/>
      <c r="H186" s="163">
        <v>181</v>
      </c>
      <c r="I186" s="164" t="str">
        <f t="shared" si="11"/>
        <v/>
      </c>
      <c r="J186" s="164" t="e">
        <f t="shared" si="14"/>
        <v>#NUM!</v>
      </c>
      <c r="K186" s="163" t="e">
        <f t="shared" si="12"/>
        <v>#NUM!</v>
      </c>
      <c r="L186" s="163"/>
      <c r="M186" s="165">
        <f t="shared" si="13"/>
        <v>0</v>
      </c>
    </row>
    <row r="187" spans="1:13" x14ac:dyDescent="0.25">
      <c r="A187" s="180"/>
      <c r="G187" s="151"/>
      <c r="H187" s="163">
        <v>182</v>
      </c>
      <c r="I187" s="164" t="str">
        <f t="shared" si="11"/>
        <v/>
      </c>
      <c r="J187" s="164" t="e">
        <f t="shared" si="14"/>
        <v>#NUM!</v>
      </c>
      <c r="K187" s="163" t="e">
        <f t="shared" si="12"/>
        <v>#NUM!</v>
      </c>
      <c r="L187" s="163"/>
      <c r="M187" s="165">
        <f t="shared" si="13"/>
        <v>0</v>
      </c>
    </row>
    <row r="188" spans="1:13" x14ac:dyDescent="0.25">
      <c r="A188" s="180"/>
      <c r="G188" s="151"/>
      <c r="H188" s="163">
        <v>183</v>
      </c>
      <c r="I188" s="164" t="str">
        <f t="shared" si="11"/>
        <v/>
      </c>
      <c r="J188" s="164" t="e">
        <f t="shared" si="14"/>
        <v>#NUM!</v>
      </c>
      <c r="K188" s="163" t="e">
        <f t="shared" si="12"/>
        <v>#NUM!</v>
      </c>
      <c r="L188" s="163"/>
      <c r="M188" s="165">
        <f t="shared" si="13"/>
        <v>0</v>
      </c>
    </row>
    <row r="189" spans="1:13" x14ac:dyDescent="0.25">
      <c r="A189" s="180"/>
      <c r="G189" s="151"/>
      <c r="H189" s="163">
        <v>184</v>
      </c>
      <c r="I189" s="164" t="str">
        <f t="shared" si="11"/>
        <v/>
      </c>
      <c r="J189" s="164" t="e">
        <f t="shared" si="14"/>
        <v>#NUM!</v>
      </c>
      <c r="K189" s="163" t="e">
        <f t="shared" si="12"/>
        <v>#NUM!</v>
      </c>
      <c r="L189" s="163"/>
      <c r="M189" s="165">
        <f t="shared" si="13"/>
        <v>0</v>
      </c>
    </row>
    <row r="190" spans="1:13" x14ac:dyDescent="0.25">
      <c r="A190" s="180"/>
      <c r="G190" s="151"/>
      <c r="H190" s="163">
        <v>185</v>
      </c>
      <c r="I190" s="164" t="str">
        <f t="shared" si="11"/>
        <v/>
      </c>
      <c r="J190" s="164" t="e">
        <f t="shared" si="14"/>
        <v>#NUM!</v>
      </c>
      <c r="K190" s="163" t="e">
        <f t="shared" si="12"/>
        <v>#NUM!</v>
      </c>
      <c r="L190" s="163"/>
      <c r="M190" s="165">
        <f t="shared" si="13"/>
        <v>0</v>
      </c>
    </row>
    <row r="191" spans="1:13" x14ac:dyDescent="0.25">
      <c r="A191" s="180"/>
      <c r="G191" s="151"/>
      <c r="H191" s="163">
        <v>186</v>
      </c>
      <c r="I191" s="164" t="str">
        <f t="shared" si="11"/>
        <v/>
      </c>
      <c r="J191" s="164" t="e">
        <f t="shared" si="14"/>
        <v>#NUM!</v>
      </c>
      <c r="K191" s="163" t="e">
        <f t="shared" si="12"/>
        <v>#NUM!</v>
      </c>
      <c r="L191" s="163"/>
      <c r="M191" s="165">
        <f t="shared" si="13"/>
        <v>0</v>
      </c>
    </row>
    <row r="192" spans="1:13" x14ac:dyDescent="0.25">
      <c r="A192" s="180"/>
      <c r="G192" s="151"/>
      <c r="H192" s="163">
        <v>187</v>
      </c>
      <c r="I192" s="164" t="str">
        <f t="shared" si="11"/>
        <v/>
      </c>
      <c r="J192" s="164" t="e">
        <f t="shared" si="14"/>
        <v>#NUM!</v>
      </c>
      <c r="K192" s="163" t="e">
        <f t="shared" si="12"/>
        <v>#NUM!</v>
      </c>
      <c r="L192" s="163"/>
      <c r="M192" s="165">
        <f t="shared" si="13"/>
        <v>0</v>
      </c>
    </row>
    <row r="193" spans="1:13" x14ac:dyDescent="0.25">
      <c r="A193" s="180"/>
      <c r="G193" s="151"/>
      <c r="H193" s="163">
        <v>188</v>
      </c>
      <c r="I193" s="164" t="str">
        <f t="shared" si="11"/>
        <v/>
      </c>
      <c r="J193" s="164" t="e">
        <f t="shared" si="14"/>
        <v>#NUM!</v>
      </c>
      <c r="K193" s="163" t="e">
        <f t="shared" si="12"/>
        <v>#NUM!</v>
      </c>
      <c r="L193" s="163"/>
      <c r="M193" s="165">
        <f t="shared" si="13"/>
        <v>0</v>
      </c>
    </row>
    <row r="194" spans="1:13" x14ac:dyDescent="0.25">
      <c r="A194" s="180"/>
      <c r="G194" s="151"/>
      <c r="H194" s="163">
        <v>189</v>
      </c>
      <c r="I194" s="164" t="str">
        <f t="shared" si="11"/>
        <v/>
      </c>
      <c r="J194" s="164" t="e">
        <f t="shared" si="14"/>
        <v>#NUM!</v>
      </c>
      <c r="K194" s="163" t="e">
        <f t="shared" si="12"/>
        <v>#NUM!</v>
      </c>
      <c r="L194" s="163"/>
      <c r="M194" s="165">
        <f t="shared" si="13"/>
        <v>0</v>
      </c>
    </row>
    <row r="195" spans="1:13" x14ac:dyDescent="0.25">
      <c r="A195" s="180"/>
      <c r="G195" s="151"/>
      <c r="H195" s="163">
        <v>190</v>
      </c>
      <c r="I195" s="164" t="str">
        <f t="shared" si="11"/>
        <v/>
      </c>
      <c r="J195" s="164" t="e">
        <f t="shared" si="14"/>
        <v>#NUM!</v>
      </c>
      <c r="K195" s="163" t="e">
        <f t="shared" si="12"/>
        <v>#NUM!</v>
      </c>
      <c r="L195" s="163"/>
      <c r="M195" s="165">
        <f t="shared" si="13"/>
        <v>0</v>
      </c>
    </row>
    <row r="196" spans="1:13" x14ac:dyDescent="0.25">
      <c r="A196" s="180"/>
      <c r="G196" s="151"/>
      <c r="H196" s="163">
        <v>191</v>
      </c>
      <c r="I196" s="164" t="str">
        <f t="shared" si="11"/>
        <v/>
      </c>
      <c r="J196" s="164" t="e">
        <f t="shared" si="14"/>
        <v>#NUM!</v>
      </c>
      <c r="K196" s="163" t="e">
        <f t="shared" si="12"/>
        <v>#NUM!</v>
      </c>
      <c r="L196" s="163"/>
      <c r="M196" s="165">
        <f t="shared" si="13"/>
        <v>0</v>
      </c>
    </row>
    <row r="197" spans="1:13" x14ac:dyDescent="0.25">
      <c r="A197" s="180"/>
      <c r="G197" s="151"/>
      <c r="H197" s="163">
        <v>192</v>
      </c>
      <c r="I197" s="164" t="str">
        <f t="shared" si="11"/>
        <v/>
      </c>
      <c r="J197" s="164" t="e">
        <f t="shared" si="14"/>
        <v>#NUM!</v>
      </c>
      <c r="K197" s="163" t="e">
        <f t="shared" si="12"/>
        <v>#NUM!</v>
      </c>
      <c r="L197" s="163"/>
      <c r="M197" s="165">
        <f t="shared" si="13"/>
        <v>0</v>
      </c>
    </row>
    <row r="198" spans="1:13" x14ac:dyDescent="0.25">
      <c r="A198" s="180"/>
      <c r="G198" s="151"/>
      <c r="H198" s="163">
        <v>193</v>
      </c>
      <c r="I198" s="164" t="str">
        <f t="shared" ref="I198:I261" si="15">IF(H198&lt;$H$2+1,($I$2-($I$2-1)*(LOG(H198)/LOG($H$2))),"")</f>
        <v/>
      </c>
      <c r="J198" s="164" t="e">
        <f t="shared" si="14"/>
        <v>#NUM!</v>
      </c>
      <c r="K198" s="163" t="e">
        <f t="shared" ref="K198:K261" si="16">J198*$J$2</f>
        <v>#NUM!</v>
      </c>
      <c r="L198" s="163"/>
      <c r="M198" s="165">
        <f t="shared" ref="M198:M261" si="17">IF(I198&lt;&gt;"",K198+I198+L198,0)</f>
        <v>0</v>
      </c>
    </row>
    <row r="199" spans="1:13" x14ac:dyDescent="0.25">
      <c r="A199" s="180"/>
      <c r="G199" s="151"/>
      <c r="H199" s="163">
        <v>194</v>
      </c>
      <c r="I199" s="164" t="str">
        <f t="shared" si="15"/>
        <v/>
      </c>
      <c r="J199" s="164" t="e">
        <f t="shared" ref="J199:J262" si="18">INT(LOG($H$2,2))-ROUNDUP(LOG(H199,2),0)+IF(OR($H$2=1,$H$2=2,$H$2=4,$H$2=8,$H$2=16,$H$2=32,$H$2=64,$H$2=128,$H$2=256),0,1)</f>
        <v>#NUM!</v>
      </c>
      <c r="K199" s="163" t="e">
        <f t="shared" si="16"/>
        <v>#NUM!</v>
      </c>
      <c r="L199" s="163"/>
      <c r="M199" s="165">
        <f t="shared" si="17"/>
        <v>0</v>
      </c>
    </row>
    <row r="200" spans="1:13" x14ac:dyDescent="0.25">
      <c r="A200" s="180"/>
      <c r="G200" s="151"/>
      <c r="H200" s="163">
        <v>195</v>
      </c>
      <c r="I200" s="164" t="str">
        <f t="shared" si="15"/>
        <v/>
      </c>
      <c r="J200" s="164" t="e">
        <f t="shared" si="18"/>
        <v>#NUM!</v>
      </c>
      <c r="K200" s="163" t="e">
        <f t="shared" si="16"/>
        <v>#NUM!</v>
      </c>
      <c r="L200" s="163"/>
      <c r="M200" s="165">
        <f t="shared" si="17"/>
        <v>0</v>
      </c>
    </row>
    <row r="201" spans="1:13" x14ac:dyDescent="0.25">
      <c r="A201" s="180"/>
      <c r="G201" s="151"/>
      <c r="H201" s="163">
        <v>196</v>
      </c>
      <c r="I201" s="164" t="str">
        <f t="shared" si="15"/>
        <v/>
      </c>
      <c r="J201" s="164" t="e">
        <f t="shared" si="18"/>
        <v>#NUM!</v>
      </c>
      <c r="K201" s="163" t="e">
        <f t="shared" si="16"/>
        <v>#NUM!</v>
      </c>
      <c r="L201" s="163"/>
      <c r="M201" s="165">
        <f t="shared" si="17"/>
        <v>0</v>
      </c>
    </row>
    <row r="202" spans="1:13" x14ac:dyDescent="0.25">
      <c r="A202" s="180"/>
      <c r="G202" s="151"/>
      <c r="H202" s="163">
        <v>197</v>
      </c>
      <c r="I202" s="164" t="str">
        <f t="shared" si="15"/>
        <v/>
      </c>
      <c r="J202" s="164" t="e">
        <f t="shared" si="18"/>
        <v>#NUM!</v>
      </c>
      <c r="K202" s="163" t="e">
        <f t="shared" si="16"/>
        <v>#NUM!</v>
      </c>
      <c r="L202" s="163"/>
      <c r="M202" s="165">
        <f t="shared" si="17"/>
        <v>0</v>
      </c>
    </row>
    <row r="203" spans="1:13" x14ac:dyDescent="0.25">
      <c r="A203" s="180"/>
      <c r="G203" s="151"/>
      <c r="H203" s="163">
        <v>198</v>
      </c>
      <c r="I203" s="164" t="str">
        <f t="shared" si="15"/>
        <v/>
      </c>
      <c r="J203" s="164" t="e">
        <f t="shared" si="18"/>
        <v>#NUM!</v>
      </c>
      <c r="K203" s="163" t="e">
        <f t="shared" si="16"/>
        <v>#NUM!</v>
      </c>
      <c r="L203" s="163"/>
      <c r="M203" s="165">
        <f t="shared" si="17"/>
        <v>0</v>
      </c>
    </row>
    <row r="204" spans="1:13" x14ac:dyDescent="0.25">
      <c r="A204" s="180"/>
      <c r="G204" s="151"/>
      <c r="H204" s="163">
        <v>199</v>
      </c>
      <c r="I204" s="164" t="str">
        <f t="shared" si="15"/>
        <v/>
      </c>
      <c r="J204" s="164" t="e">
        <f t="shared" si="18"/>
        <v>#NUM!</v>
      </c>
      <c r="K204" s="163" t="e">
        <f t="shared" si="16"/>
        <v>#NUM!</v>
      </c>
      <c r="L204" s="163"/>
      <c r="M204" s="165">
        <f t="shared" si="17"/>
        <v>0</v>
      </c>
    </row>
    <row r="205" spans="1:13" x14ac:dyDescent="0.25">
      <c r="A205" s="180"/>
      <c r="G205" s="151"/>
      <c r="H205" s="163">
        <v>200</v>
      </c>
      <c r="I205" s="164" t="str">
        <f t="shared" si="15"/>
        <v/>
      </c>
      <c r="J205" s="164" t="e">
        <f t="shared" si="18"/>
        <v>#NUM!</v>
      </c>
      <c r="K205" s="163" t="e">
        <f t="shared" si="16"/>
        <v>#NUM!</v>
      </c>
      <c r="L205" s="163"/>
      <c r="M205" s="165">
        <f t="shared" si="17"/>
        <v>0</v>
      </c>
    </row>
    <row r="206" spans="1:13" x14ac:dyDescent="0.25">
      <c r="A206" s="180"/>
      <c r="G206" s="151"/>
      <c r="H206" s="163">
        <v>201</v>
      </c>
      <c r="I206" s="164" t="str">
        <f t="shared" si="15"/>
        <v/>
      </c>
      <c r="J206" s="164" t="e">
        <f t="shared" si="18"/>
        <v>#NUM!</v>
      </c>
      <c r="K206" s="163" t="e">
        <f t="shared" si="16"/>
        <v>#NUM!</v>
      </c>
      <c r="L206" s="163"/>
      <c r="M206" s="165">
        <f t="shared" si="17"/>
        <v>0</v>
      </c>
    </row>
    <row r="207" spans="1:13" x14ac:dyDescent="0.25">
      <c r="A207" s="180"/>
      <c r="G207" s="151"/>
      <c r="H207" s="163">
        <v>202</v>
      </c>
      <c r="I207" s="164" t="str">
        <f t="shared" si="15"/>
        <v/>
      </c>
      <c r="J207" s="164" t="e">
        <f t="shared" si="18"/>
        <v>#NUM!</v>
      </c>
      <c r="K207" s="163" t="e">
        <f t="shared" si="16"/>
        <v>#NUM!</v>
      </c>
      <c r="L207" s="163"/>
      <c r="M207" s="165">
        <f t="shared" si="17"/>
        <v>0</v>
      </c>
    </row>
    <row r="208" spans="1:13" x14ac:dyDescent="0.25">
      <c r="A208" s="180"/>
      <c r="G208" s="151"/>
      <c r="H208" s="163">
        <v>203</v>
      </c>
      <c r="I208" s="164" t="str">
        <f t="shared" si="15"/>
        <v/>
      </c>
      <c r="J208" s="164" t="e">
        <f t="shared" si="18"/>
        <v>#NUM!</v>
      </c>
      <c r="K208" s="163" t="e">
        <f t="shared" si="16"/>
        <v>#NUM!</v>
      </c>
      <c r="L208" s="163"/>
      <c r="M208" s="165">
        <f t="shared" si="17"/>
        <v>0</v>
      </c>
    </row>
    <row r="209" spans="1:13" x14ac:dyDescent="0.25">
      <c r="A209" s="180"/>
      <c r="G209" s="151"/>
      <c r="H209" s="163">
        <v>204</v>
      </c>
      <c r="I209" s="164" t="str">
        <f t="shared" si="15"/>
        <v/>
      </c>
      <c r="J209" s="164" t="e">
        <f t="shared" si="18"/>
        <v>#NUM!</v>
      </c>
      <c r="K209" s="163" t="e">
        <f t="shared" si="16"/>
        <v>#NUM!</v>
      </c>
      <c r="L209" s="163"/>
      <c r="M209" s="165">
        <f t="shared" si="17"/>
        <v>0</v>
      </c>
    </row>
    <row r="210" spans="1:13" x14ac:dyDescent="0.25">
      <c r="A210" s="180"/>
      <c r="G210" s="151"/>
      <c r="H210" s="163">
        <v>205</v>
      </c>
      <c r="I210" s="164" t="str">
        <f t="shared" si="15"/>
        <v/>
      </c>
      <c r="J210" s="164" t="e">
        <f t="shared" si="18"/>
        <v>#NUM!</v>
      </c>
      <c r="K210" s="163" t="e">
        <f t="shared" si="16"/>
        <v>#NUM!</v>
      </c>
      <c r="L210" s="163"/>
      <c r="M210" s="165">
        <f t="shared" si="17"/>
        <v>0</v>
      </c>
    </row>
    <row r="211" spans="1:13" x14ac:dyDescent="0.25">
      <c r="A211" s="180"/>
      <c r="G211" s="151"/>
      <c r="H211" s="163">
        <v>206</v>
      </c>
      <c r="I211" s="164" t="str">
        <f t="shared" si="15"/>
        <v/>
      </c>
      <c r="J211" s="164" t="e">
        <f t="shared" si="18"/>
        <v>#NUM!</v>
      </c>
      <c r="K211" s="163" t="e">
        <f t="shared" si="16"/>
        <v>#NUM!</v>
      </c>
      <c r="L211" s="163"/>
      <c r="M211" s="165">
        <f t="shared" si="17"/>
        <v>0</v>
      </c>
    </row>
    <row r="212" spans="1:13" x14ac:dyDescent="0.25">
      <c r="A212" s="180"/>
      <c r="G212" s="151"/>
      <c r="H212" s="163">
        <v>207</v>
      </c>
      <c r="I212" s="164" t="str">
        <f t="shared" si="15"/>
        <v/>
      </c>
      <c r="J212" s="164" t="e">
        <f t="shared" si="18"/>
        <v>#NUM!</v>
      </c>
      <c r="K212" s="163" t="e">
        <f t="shared" si="16"/>
        <v>#NUM!</v>
      </c>
      <c r="L212" s="163"/>
      <c r="M212" s="165">
        <f t="shared" si="17"/>
        <v>0</v>
      </c>
    </row>
    <row r="213" spans="1:13" x14ac:dyDescent="0.25">
      <c r="A213" s="180"/>
      <c r="G213" s="151"/>
      <c r="H213" s="163">
        <v>208</v>
      </c>
      <c r="I213" s="164" t="str">
        <f t="shared" si="15"/>
        <v/>
      </c>
      <c r="J213" s="164" t="e">
        <f t="shared" si="18"/>
        <v>#NUM!</v>
      </c>
      <c r="K213" s="163" t="e">
        <f t="shared" si="16"/>
        <v>#NUM!</v>
      </c>
      <c r="L213" s="163"/>
      <c r="M213" s="165">
        <f t="shared" si="17"/>
        <v>0</v>
      </c>
    </row>
    <row r="214" spans="1:13" x14ac:dyDescent="0.25">
      <c r="A214" s="180"/>
      <c r="G214" s="151"/>
      <c r="H214" s="163">
        <v>209</v>
      </c>
      <c r="I214" s="164" t="str">
        <f t="shared" si="15"/>
        <v/>
      </c>
      <c r="J214" s="164" t="e">
        <f t="shared" si="18"/>
        <v>#NUM!</v>
      </c>
      <c r="K214" s="163" t="e">
        <f t="shared" si="16"/>
        <v>#NUM!</v>
      </c>
      <c r="L214" s="163"/>
      <c r="M214" s="165">
        <f t="shared" si="17"/>
        <v>0</v>
      </c>
    </row>
    <row r="215" spans="1:13" x14ac:dyDescent="0.25">
      <c r="A215" s="180"/>
      <c r="G215" s="151"/>
      <c r="H215" s="163">
        <v>210</v>
      </c>
      <c r="I215" s="164" t="str">
        <f t="shared" si="15"/>
        <v/>
      </c>
      <c r="J215" s="164" t="e">
        <f t="shared" si="18"/>
        <v>#NUM!</v>
      </c>
      <c r="K215" s="163" t="e">
        <f t="shared" si="16"/>
        <v>#NUM!</v>
      </c>
      <c r="L215" s="163"/>
      <c r="M215" s="165">
        <f t="shared" si="17"/>
        <v>0</v>
      </c>
    </row>
    <row r="216" spans="1:13" x14ac:dyDescent="0.25">
      <c r="A216" s="180"/>
      <c r="G216" s="151"/>
      <c r="H216" s="163">
        <v>211</v>
      </c>
      <c r="I216" s="164" t="str">
        <f t="shared" si="15"/>
        <v/>
      </c>
      <c r="J216" s="164" t="e">
        <f t="shared" si="18"/>
        <v>#NUM!</v>
      </c>
      <c r="K216" s="163" t="e">
        <f t="shared" si="16"/>
        <v>#NUM!</v>
      </c>
      <c r="L216" s="163"/>
      <c r="M216" s="165">
        <f t="shared" si="17"/>
        <v>0</v>
      </c>
    </row>
    <row r="217" spans="1:13" x14ac:dyDescent="0.25">
      <c r="A217" s="180"/>
      <c r="G217" s="151"/>
      <c r="H217" s="163">
        <v>212</v>
      </c>
      <c r="I217" s="164" t="str">
        <f t="shared" si="15"/>
        <v/>
      </c>
      <c r="J217" s="164" t="e">
        <f t="shared" si="18"/>
        <v>#NUM!</v>
      </c>
      <c r="K217" s="163" t="e">
        <f t="shared" si="16"/>
        <v>#NUM!</v>
      </c>
      <c r="L217" s="163"/>
      <c r="M217" s="165">
        <f t="shared" si="17"/>
        <v>0</v>
      </c>
    </row>
    <row r="218" spans="1:13" x14ac:dyDescent="0.25">
      <c r="A218" s="180"/>
      <c r="G218" s="151"/>
      <c r="H218" s="163">
        <v>213</v>
      </c>
      <c r="I218" s="164" t="str">
        <f t="shared" si="15"/>
        <v/>
      </c>
      <c r="J218" s="164" t="e">
        <f t="shared" si="18"/>
        <v>#NUM!</v>
      </c>
      <c r="K218" s="163" t="e">
        <f t="shared" si="16"/>
        <v>#NUM!</v>
      </c>
      <c r="L218" s="163"/>
      <c r="M218" s="165">
        <f t="shared" si="17"/>
        <v>0</v>
      </c>
    </row>
    <row r="219" spans="1:13" x14ac:dyDescent="0.25">
      <c r="A219" s="180"/>
      <c r="G219" s="151"/>
      <c r="H219" s="163">
        <v>214</v>
      </c>
      <c r="I219" s="164" t="str">
        <f t="shared" si="15"/>
        <v/>
      </c>
      <c r="J219" s="164" t="e">
        <f t="shared" si="18"/>
        <v>#NUM!</v>
      </c>
      <c r="K219" s="163" t="e">
        <f t="shared" si="16"/>
        <v>#NUM!</v>
      </c>
      <c r="L219" s="163"/>
      <c r="M219" s="165">
        <f t="shared" si="17"/>
        <v>0</v>
      </c>
    </row>
    <row r="220" spans="1:13" x14ac:dyDescent="0.25">
      <c r="A220" s="180"/>
      <c r="G220" s="151"/>
      <c r="H220" s="163">
        <v>215</v>
      </c>
      <c r="I220" s="164" t="str">
        <f t="shared" si="15"/>
        <v/>
      </c>
      <c r="J220" s="164" t="e">
        <f t="shared" si="18"/>
        <v>#NUM!</v>
      </c>
      <c r="K220" s="163" t="e">
        <f t="shared" si="16"/>
        <v>#NUM!</v>
      </c>
      <c r="L220" s="163"/>
      <c r="M220" s="165">
        <f t="shared" si="17"/>
        <v>0</v>
      </c>
    </row>
    <row r="221" spans="1:13" x14ac:dyDescent="0.25">
      <c r="A221" s="180"/>
      <c r="G221" s="151"/>
      <c r="H221" s="163">
        <v>216</v>
      </c>
      <c r="I221" s="164" t="str">
        <f t="shared" si="15"/>
        <v/>
      </c>
      <c r="J221" s="164" t="e">
        <f t="shared" si="18"/>
        <v>#NUM!</v>
      </c>
      <c r="K221" s="163" t="e">
        <f t="shared" si="16"/>
        <v>#NUM!</v>
      </c>
      <c r="L221" s="163"/>
      <c r="M221" s="165">
        <f t="shared" si="17"/>
        <v>0</v>
      </c>
    </row>
    <row r="222" spans="1:13" x14ac:dyDescent="0.25">
      <c r="A222" s="180"/>
      <c r="G222" s="151"/>
      <c r="H222" s="163">
        <v>217</v>
      </c>
      <c r="I222" s="164" t="str">
        <f t="shared" si="15"/>
        <v/>
      </c>
      <c r="J222" s="164" t="e">
        <f t="shared" si="18"/>
        <v>#NUM!</v>
      </c>
      <c r="K222" s="163" t="e">
        <f t="shared" si="16"/>
        <v>#NUM!</v>
      </c>
      <c r="L222" s="163"/>
      <c r="M222" s="165">
        <f t="shared" si="17"/>
        <v>0</v>
      </c>
    </row>
    <row r="223" spans="1:13" x14ac:dyDescent="0.25">
      <c r="A223" s="180"/>
      <c r="G223" s="151"/>
      <c r="H223" s="163">
        <v>218</v>
      </c>
      <c r="I223" s="164" t="str">
        <f t="shared" si="15"/>
        <v/>
      </c>
      <c r="J223" s="164" t="e">
        <f t="shared" si="18"/>
        <v>#NUM!</v>
      </c>
      <c r="K223" s="163" t="e">
        <f t="shared" si="16"/>
        <v>#NUM!</v>
      </c>
      <c r="L223" s="163"/>
      <c r="M223" s="165">
        <f t="shared" si="17"/>
        <v>0</v>
      </c>
    </row>
    <row r="224" spans="1:13" x14ac:dyDescent="0.25">
      <c r="A224" s="180"/>
      <c r="G224" s="151"/>
      <c r="H224" s="163">
        <v>219</v>
      </c>
      <c r="I224" s="164" t="str">
        <f t="shared" si="15"/>
        <v/>
      </c>
      <c r="J224" s="164" t="e">
        <f t="shared" si="18"/>
        <v>#NUM!</v>
      </c>
      <c r="K224" s="163" t="e">
        <f t="shared" si="16"/>
        <v>#NUM!</v>
      </c>
      <c r="L224" s="163"/>
      <c r="M224" s="165">
        <f t="shared" si="17"/>
        <v>0</v>
      </c>
    </row>
    <row r="225" spans="1:13" x14ac:dyDescent="0.25">
      <c r="A225" s="180"/>
      <c r="G225" s="151"/>
      <c r="H225" s="163">
        <v>220</v>
      </c>
      <c r="I225" s="164" t="str">
        <f t="shared" si="15"/>
        <v/>
      </c>
      <c r="J225" s="164" t="e">
        <f t="shared" si="18"/>
        <v>#NUM!</v>
      </c>
      <c r="K225" s="163" t="e">
        <f t="shared" si="16"/>
        <v>#NUM!</v>
      </c>
      <c r="L225" s="163"/>
      <c r="M225" s="165">
        <f t="shared" si="17"/>
        <v>0</v>
      </c>
    </row>
    <row r="226" spans="1:13" x14ac:dyDescent="0.25">
      <c r="A226" s="180"/>
      <c r="G226" s="151"/>
      <c r="H226" s="163">
        <v>221</v>
      </c>
      <c r="I226" s="164" t="str">
        <f t="shared" si="15"/>
        <v/>
      </c>
      <c r="J226" s="164" t="e">
        <f t="shared" si="18"/>
        <v>#NUM!</v>
      </c>
      <c r="K226" s="163" t="e">
        <f t="shared" si="16"/>
        <v>#NUM!</v>
      </c>
      <c r="L226" s="163"/>
      <c r="M226" s="165">
        <f t="shared" si="17"/>
        <v>0</v>
      </c>
    </row>
    <row r="227" spans="1:13" x14ac:dyDescent="0.25">
      <c r="A227" s="180"/>
      <c r="G227" s="151"/>
      <c r="H227" s="163">
        <v>222</v>
      </c>
      <c r="I227" s="164" t="str">
        <f t="shared" si="15"/>
        <v/>
      </c>
      <c r="J227" s="164" t="e">
        <f t="shared" si="18"/>
        <v>#NUM!</v>
      </c>
      <c r="K227" s="163" t="e">
        <f t="shared" si="16"/>
        <v>#NUM!</v>
      </c>
      <c r="L227" s="163"/>
      <c r="M227" s="165">
        <f t="shared" si="17"/>
        <v>0</v>
      </c>
    </row>
    <row r="228" spans="1:13" x14ac:dyDescent="0.25">
      <c r="A228" s="180"/>
      <c r="G228" s="151"/>
      <c r="H228" s="163">
        <v>223</v>
      </c>
      <c r="I228" s="164" t="str">
        <f t="shared" si="15"/>
        <v/>
      </c>
      <c r="J228" s="164" t="e">
        <f t="shared" si="18"/>
        <v>#NUM!</v>
      </c>
      <c r="K228" s="163" t="e">
        <f t="shared" si="16"/>
        <v>#NUM!</v>
      </c>
      <c r="L228" s="163"/>
      <c r="M228" s="165">
        <f t="shared" si="17"/>
        <v>0</v>
      </c>
    </row>
    <row r="229" spans="1:13" x14ac:dyDescent="0.25">
      <c r="A229" s="180"/>
      <c r="G229" s="151"/>
      <c r="H229" s="163">
        <v>224</v>
      </c>
      <c r="I229" s="164" t="str">
        <f t="shared" si="15"/>
        <v/>
      </c>
      <c r="J229" s="164" t="e">
        <f t="shared" si="18"/>
        <v>#NUM!</v>
      </c>
      <c r="K229" s="163" t="e">
        <f t="shared" si="16"/>
        <v>#NUM!</v>
      </c>
      <c r="L229" s="163"/>
      <c r="M229" s="165">
        <f t="shared" si="17"/>
        <v>0</v>
      </c>
    </row>
    <row r="230" spans="1:13" x14ac:dyDescent="0.25">
      <c r="A230" s="180"/>
      <c r="G230" s="151"/>
      <c r="H230" s="163">
        <v>225</v>
      </c>
      <c r="I230" s="164" t="str">
        <f t="shared" si="15"/>
        <v/>
      </c>
      <c r="J230" s="164" t="e">
        <f t="shared" si="18"/>
        <v>#NUM!</v>
      </c>
      <c r="K230" s="163" t="e">
        <f t="shared" si="16"/>
        <v>#NUM!</v>
      </c>
      <c r="L230" s="163"/>
      <c r="M230" s="165">
        <f t="shared" si="17"/>
        <v>0</v>
      </c>
    </row>
    <row r="231" spans="1:13" x14ac:dyDescent="0.25">
      <c r="A231" s="180"/>
      <c r="G231" s="151"/>
      <c r="H231" s="163">
        <v>226</v>
      </c>
      <c r="I231" s="164" t="str">
        <f t="shared" si="15"/>
        <v/>
      </c>
      <c r="J231" s="164" t="e">
        <f t="shared" si="18"/>
        <v>#NUM!</v>
      </c>
      <c r="K231" s="163" t="e">
        <f t="shared" si="16"/>
        <v>#NUM!</v>
      </c>
      <c r="L231" s="163"/>
      <c r="M231" s="165">
        <f t="shared" si="17"/>
        <v>0</v>
      </c>
    </row>
    <row r="232" spans="1:13" x14ac:dyDescent="0.25">
      <c r="A232" s="180"/>
      <c r="G232" s="151"/>
      <c r="H232" s="163">
        <v>227</v>
      </c>
      <c r="I232" s="164" t="str">
        <f t="shared" si="15"/>
        <v/>
      </c>
      <c r="J232" s="164" t="e">
        <f t="shared" si="18"/>
        <v>#NUM!</v>
      </c>
      <c r="K232" s="163" t="e">
        <f t="shared" si="16"/>
        <v>#NUM!</v>
      </c>
      <c r="L232" s="163"/>
      <c r="M232" s="165">
        <f t="shared" si="17"/>
        <v>0</v>
      </c>
    </row>
    <row r="233" spans="1:13" x14ac:dyDescent="0.25">
      <c r="A233" s="180"/>
      <c r="G233" s="151"/>
      <c r="H233" s="163">
        <v>228</v>
      </c>
      <c r="I233" s="164" t="str">
        <f t="shared" si="15"/>
        <v/>
      </c>
      <c r="J233" s="164" t="e">
        <f t="shared" si="18"/>
        <v>#NUM!</v>
      </c>
      <c r="K233" s="163" t="e">
        <f t="shared" si="16"/>
        <v>#NUM!</v>
      </c>
      <c r="L233" s="163"/>
      <c r="M233" s="165">
        <f t="shared" si="17"/>
        <v>0</v>
      </c>
    </row>
    <row r="234" spans="1:13" x14ac:dyDescent="0.25">
      <c r="A234" s="180"/>
      <c r="G234" s="151"/>
      <c r="H234" s="163">
        <v>229</v>
      </c>
      <c r="I234" s="164" t="str">
        <f t="shared" si="15"/>
        <v/>
      </c>
      <c r="J234" s="164" t="e">
        <f t="shared" si="18"/>
        <v>#NUM!</v>
      </c>
      <c r="K234" s="163" t="e">
        <f t="shared" si="16"/>
        <v>#NUM!</v>
      </c>
      <c r="L234" s="163"/>
      <c r="M234" s="165">
        <f t="shared" si="17"/>
        <v>0</v>
      </c>
    </row>
    <row r="235" spans="1:13" x14ac:dyDescent="0.25">
      <c r="A235" s="180"/>
      <c r="G235" s="151"/>
      <c r="H235" s="163">
        <v>230</v>
      </c>
      <c r="I235" s="164" t="str">
        <f t="shared" si="15"/>
        <v/>
      </c>
      <c r="J235" s="164" t="e">
        <f t="shared" si="18"/>
        <v>#NUM!</v>
      </c>
      <c r="K235" s="163" t="e">
        <f t="shared" si="16"/>
        <v>#NUM!</v>
      </c>
      <c r="L235" s="163"/>
      <c r="M235" s="165">
        <f t="shared" si="17"/>
        <v>0</v>
      </c>
    </row>
    <row r="236" spans="1:13" x14ac:dyDescent="0.25">
      <c r="A236" s="180"/>
      <c r="G236" s="151"/>
      <c r="H236" s="163">
        <v>231</v>
      </c>
      <c r="I236" s="164" t="str">
        <f t="shared" si="15"/>
        <v/>
      </c>
      <c r="J236" s="164" t="e">
        <f t="shared" si="18"/>
        <v>#NUM!</v>
      </c>
      <c r="K236" s="163" t="e">
        <f t="shared" si="16"/>
        <v>#NUM!</v>
      </c>
      <c r="L236" s="163"/>
      <c r="M236" s="165">
        <f t="shared" si="17"/>
        <v>0</v>
      </c>
    </row>
    <row r="237" spans="1:13" x14ac:dyDescent="0.25">
      <c r="A237" s="180"/>
      <c r="G237" s="151"/>
      <c r="H237" s="163">
        <v>232</v>
      </c>
      <c r="I237" s="164" t="str">
        <f t="shared" si="15"/>
        <v/>
      </c>
      <c r="J237" s="164" t="e">
        <f t="shared" si="18"/>
        <v>#NUM!</v>
      </c>
      <c r="K237" s="163" t="e">
        <f t="shared" si="16"/>
        <v>#NUM!</v>
      </c>
      <c r="L237" s="163"/>
      <c r="M237" s="165">
        <f t="shared" si="17"/>
        <v>0</v>
      </c>
    </row>
    <row r="238" spans="1:13" x14ac:dyDescent="0.25">
      <c r="A238" s="180"/>
      <c r="G238" s="151"/>
      <c r="H238" s="163">
        <v>233</v>
      </c>
      <c r="I238" s="164" t="str">
        <f t="shared" si="15"/>
        <v/>
      </c>
      <c r="J238" s="164" t="e">
        <f t="shared" si="18"/>
        <v>#NUM!</v>
      </c>
      <c r="K238" s="163" t="e">
        <f t="shared" si="16"/>
        <v>#NUM!</v>
      </c>
      <c r="L238" s="163"/>
      <c r="M238" s="165">
        <f t="shared" si="17"/>
        <v>0</v>
      </c>
    </row>
    <row r="239" spans="1:13" x14ac:dyDescent="0.25">
      <c r="A239" s="180"/>
      <c r="G239" s="151"/>
      <c r="H239" s="163">
        <v>234</v>
      </c>
      <c r="I239" s="164" t="str">
        <f t="shared" si="15"/>
        <v/>
      </c>
      <c r="J239" s="164" t="e">
        <f t="shared" si="18"/>
        <v>#NUM!</v>
      </c>
      <c r="K239" s="163" t="e">
        <f t="shared" si="16"/>
        <v>#NUM!</v>
      </c>
      <c r="L239" s="163"/>
      <c r="M239" s="165">
        <f t="shared" si="17"/>
        <v>0</v>
      </c>
    </row>
    <row r="240" spans="1:13" x14ac:dyDescent="0.25">
      <c r="A240" s="180"/>
      <c r="G240" s="151"/>
      <c r="H240" s="163">
        <v>235</v>
      </c>
      <c r="I240" s="164" t="str">
        <f t="shared" si="15"/>
        <v/>
      </c>
      <c r="J240" s="164" t="e">
        <f t="shared" si="18"/>
        <v>#NUM!</v>
      </c>
      <c r="K240" s="163" t="e">
        <f t="shared" si="16"/>
        <v>#NUM!</v>
      </c>
      <c r="L240" s="163"/>
      <c r="M240" s="165">
        <f t="shared" si="17"/>
        <v>0</v>
      </c>
    </row>
    <row r="241" spans="1:13" x14ac:dyDescent="0.25">
      <c r="A241" s="180"/>
      <c r="G241" s="151"/>
      <c r="H241" s="163">
        <v>236</v>
      </c>
      <c r="I241" s="164" t="str">
        <f t="shared" si="15"/>
        <v/>
      </c>
      <c r="J241" s="164" t="e">
        <f t="shared" si="18"/>
        <v>#NUM!</v>
      </c>
      <c r="K241" s="163" t="e">
        <f t="shared" si="16"/>
        <v>#NUM!</v>
      </c>
      <c r="L241" s="163"/>
      <c r="M241" s="165">
        <f t="shared" si="17"/>
        <v>0</v>
      </c>
    </row>
    <row r="242" spans="1:13" x14ac:dyDescent="0.25">
      <c r="A242" s="180"/>
      <c r="G242" s="151"/>
      <c r="H242" s="163">
        <v>237</v>
      </c>
      <c r="I242" s="164" t="str">
        <f t="shared" si="15"/>
        <v/>
      </c>
      <c r="J242" s="164" t="e">
        <f t="shared" si="18"/>
        <v>#NUM!</v>
      </c>
      <c r="K242" s="163" t="e">
        <f t="shared" si="16"/>
        <v>#NUM!</v>
      </c>
      <c r="L242" s="163"/>
      <c r="M242" s="165">
        <f t="shared" si="17"/>
        <v>0</v>
      </c>
    </row>
    <row r="243" spans="1:13" x14ac:dyDescent="0.25">
      <c r="A243" s="180"/>
      <c r="G243" s="151"/>
      <c r="H243" s="163">
        <v>238</v>
      </c>
      <c r="I243" s="164" t="str">
        <f t="shared" si="15"/>
        <v/>
      </c>
      <c r="J243" s="164" t="e">
        <f t="shared" si="18"/>
        <v>#NUM!</v>
      </c>
      <c r="K243" s="163" t="e">
        <f t="shared" si="16"/>
        <v>#NUM!</v>
      </c>
      <c r="L243" s="163"/>
      <c r="M243" s="165">
        <f t="shared" si="17"/>
        <v>0</v>
      </c>
    </row>
    <row r="244" spans="1:13" x14ac:dyDescent="0.25">
      <c r="A244" s="180"/>
      <c r="G244" s="151"/>
      <c r="H244" s="163">
        <v>239</v>
      </c>
      <c r="I244" s="164" t="str">
        <f t="shared" si="15"/>
        <v/>
      </c>
      <c r="J244" s="164" t="e">
        <f t="shared" si="18"/>
        <v>#NUM!</v>
      </c>
      <c r="K244" s="163" t="e">
        <f t="shared" si="16"/>
        <v>#NUM!</v>
      </c>
      <c r="L244" s="163"/>
      <c r="M244" s="165">
        <f t="shared" si="17"/>
        <v>0</v>
      </c>
    </row>
    <row r="245" spans="1:13" x14ac:dyDescent="0.25">
      <c r="A245" s="180"/>
      <c r="G245" s="151"/>
      <c r="H245" s="163">
        <v>240</v>
      </c>
      <c r="I245" s="164" t="str">
        <f t="shared" si="15"/>
        <v/>
      </c>
      <c r="J245" s="164" t="e">
        <f t="shared" si="18"/>
        <v>#NUM!</v>
      </c>
      <c r="K245" s="163" t="e">
        <f t="shared" si="16"/>
        <v>#NUM!</v>
      </c>
      <c r="L245" s="163"/>
      <c r="M245" s="165">
        <f t="shared" si="17"/>
        <v>0</v>
      </c>
    </row>
    <row r="246" spans="1:13" x14ac:dyDescent="0.25">
      <c r="A246" s="180"/>
      <c r="G246" s="151"/>
      <c r="H246" s="163">
        <v>241</v>
      </c>
      <c r="I246" s="164" t="str">
        <f t="shared" si="15"/>
        <v/>
      </c>
      <c r="J246" s="164" t="e">
        <f t="shared" si="18"/>
        <v>#NUM!</v>
      </c>
      <c r="K246" s="163" t="e">
        <f t="shared" si="16"/>
        <v>#NUM!</v>
      </c>
      <c r="L246" s="163"/>
      <c r="M246" s="165">
        <f t="shared" si="17"/>
        <v>0</v>
      </c>
    </row>
    <row r="247" spans="1:13" x14ac:dyDescent="0.25">
      <c r="A247" s="180"/>
      <c r="G247" s="151"/>
      <c r="H247" s="163">
        <v>242</v>
      </c>
      <c r="I247" s="164" t="str">
        <f t="shared" si="15"/>
        <v/>
      </c>
      <c r="J247" s="164" t="e">
        <f t="shared" si="18"/>
        <v>#NUM!</v>
      </c>
      <c r="K247" s="163" t="e">
        <f t="shared" si="16"/>
        <v>#NUM!</v>
      </c>
      <c r="L247" s="163"/>
      <c r="M247" s="165">
        <f t="shared" si="17"/>
        <v>0</v>
      </c>
    </row>
    <row r="248" spans="1:13" x14ac:dyDescent="0.25">
      <c r="A248" s="180"/>
      <c r="G248" s="151"/>
      <c r="H248" s="163">
        <v>243</v>
      </c>
      <c r="I248" s="164" t="str">
        <f t="shared" si="15"/>
        <v/>
      </c>
      <c r="J248" s="164" t="e">
        <f t="shared" si="18"/>
        <v>#NUM!</v>
      </c>
      <c r="K248" s="163" t="e">
        <f t="shared" si="16"/>
        <v>#NUM!</v>
      </c>
      <c r="L248" s="163"/>
      <c r="M248" s="165">
        <f t="shared" si="17"/>
        <v>0</v>
      </c>
    </row>
    <row r="249" spans="1:13" x14ac:dyDescent="0.25">
      <c r="A249" s="180"/>
      <c r="G249" s="151"/>
      <c r="H249" s="163">
        <v>244</v>
      </c>
      <c r="I249" s="164" t="str">
        <f t="shared" si="15"/>
        <v/>
      </c>
      <c r="J249" s="164" t="e">
        <f t="shared" si="18"/>
        <v>#NUM!</v>
      </c>
      <c r="K249" s="163" t="e">
        <f t="shared" si="16"/>
        <v>#NUM!</v>
      </c>
      <c r="L249" s="163"/>
      <c r="M249" s="165">
        <f t="shared" si="17"/>
        <v>0</v>
      </c>
    </row>
    <row r="250" spans="1:13" x14ac:dyDescent="0.25">
      <c r="A250" s="180"/>
      <c r="G250" s="151"/>
      <c r="H250" s="163">
        <v>245</v>
      </c>
      <c r="I250" s="164" t="str">
        <f t="shared" si="15"/>
        <v/>
      </c>
      <c r="J250" s="164" t="e">
        <f t="shared" si="18"/>
        <v>#NUM!</v>
      </c>
      <c r="K250" s="163" t="e">
        <f t="shared" si="16"/>
        <v>#NUM!</v>
      </c>
      <c r="L250" s="163"/>
      <c r="M250" s="165">
        <f t="shared" si="17"/>
        <v>0</v>
      </c>
    </row>
    <row r="251" spans="1:13" x14ac:dyDescent="0.25">
      <c r="A251" s="180"/>
      <c r="G251" s="151"/>
      <c r="H251" s="163">
        <v>246</v>
      </c>
      <c r="I251" s="164" t="str">
        <f t="shared" si="15"/>
        <v/>
      </c>
      <c r="J251" s="164" t="e">
        <f t="shared" si="18"/>
        <v>#NUM!</v>
      </c>
      <c r="K251" s="163" t="e">
        <f t="shared" si="16"/>
        <v>#NUM!</v>
      </c>
      <c r="L251" s="163"/>
      <c r="M251" s="165">
        <f t="shared" si="17"/>
        <v>0</v>
      </c>
    </row>
    <row r="252" spans="1:13" x14ac:dyDescent="0.25">
      <c r="A252" s="180"/>
      <c r="G252" s="151"/>
      <c r="H252" s="163">
        <v>247</v>
      </c>
      <c r="I252" s="164" t="str">
        <f t="shared" si="15"/>
        <v/>
      </c>
      <c r="J252" s="164" t="e">
        <f t="shared" si="18"/>
        <v>#NUM!</v>
      </c>
      <c r="K252" s="163" t="e">
        <f t="shared" si="16"/>
        <v>#NUM!</v>
      </c>
      <c r="L252" s="163"/>
      <c r="M252" s="165">
        <f t="shared" si="17"/>
        <v>0</v>
      </c>
    </row>
    <row r="253" spans="1:13" x14ac:dyDescent="0.25">
      <c r="A253" s="180"/>
      <c r="G253" s="151"/>
      <c r="H253" s="163">
        <v>248</v>
      </c>
      <c r="I253" s="164" t="str">
        <f t="shared" si="15"/>
        <v/>
      </c>
      <c r="J253" s="164" t="e">
        <f t="shared" si="18"/>
        <v>#NUM!</v>
      </c>
      <c r="K253" s="163" t="e">
        <f t="shared" si="16"/>
        <v>#NUM!</v>
      </c>
      <c r="L253" s="163"/>
      <c r="M253" s="165">
        <f t="shared" si="17"/>
        <v>0</v>
      </c>
    </row>
    <row r="254" spans="1:13" x14ac:dyDescent="0.25">
      <c r="A254" s="180"/>
      <c r="G254" s="151"/>
      <c r="H254" s="163">
        <v>249</v>
      </c>
      <c r="I254" s="164" t="str">
        <f t="shared" si="15"/>
        <v/>
      </c>
      <c r="J254" s="164" t="e">
        <f t="shared" si="18"/>
        <v>#NUM!</v>
      </c>
      <c r="K254" s="163" t="e">
        <f t="shared" si="16"/>
        <v>#NUM!</v>
      </c>
      <c r="L254" s="163"/>
      <c r="M254" s="165">
        <f t="shared" si="17"/>
        <v>0</v>
      </c>
    </row>
    <row r="255" spans="1:13" x14ac:dyDescent="0.25">
      <c r="A255" s="180"/>
      <c r="G255" s="151"/>
      <c r="H255" s="163">
        <v>250</v>
      </c>
      <c r="I255" s="164" t="str">
        <f t="shared" si="15"/>
        <v/>
      </c>
      <c r="J255" s="164" t="e">
        <f t="shared" si="18"/>
        <v>#NUM!</v>
      </c>
      <c r="K255" s="163" t="e">
        <f t="shared" si="16"/>
        <v>#NUM!</v>
      </c>
      <c r="L255" s="163"/>
      <c r="M255" s="165">
        <f t="shared" si="17"/>
        <v>0</v>
      </c>
    </row>
    <row r="256" spans="1:13" x14ac:dyDescent="0.25">
      <c r="A256" s="180"/>
      <c r="G256" s="151"/>
      <c r="H256" s="163">
        <v>251</v>
      </c>
      <c r="I256" s="164" t="str">
        <f t="shared" si="15"/>
        <v/>
      </c>
      <c r="J256" s="164" t="e">
        <f t="shared" si="18"/>
        <v>#NUM!</v>
      </c>
      <c r="K256" s="163" t="e">
        <f t="shared" si="16"/>
        <v>#NUM!</v>
      </c>
      <c r="L256" s="163"/>
      <c r="M256" s="165">
        <f t="shared" si="17"/>
        <v>0</v>
      </c>
    </row>
    <row r="257" spans="1:13" x14ac:dyDescent="0.25">
      <c r="A257" s="180"/>
      <c r="G257" s="151"/>
      <c r="H257" s="163">
        <v>252</v>
      </c>
      <c r="I257" s="164" t="str">
        <f t="shared" si="15"/>
        <v/>
      </c>
      <c r="J257" s="164" t="e">
        <f t="shared" si="18"/>
        <v>#NUM!</v>
      </c>
      <c r="K257" s="163" t="e">
        <f t="shared" si="16"/>
        <v>#NUM!</v>
      </c>
      <c r="L257" s="163"/>
      <c r="M257" s="165">
        <f t="shared" si="17"/>
        <v>0</v>
      </c>
    </row>
    <row r="258" spans="1:13" x14ac:dyDescent="0.25">
      <c r="A258" s="180"/>
      <c r="G258" s="151"/>
      <c r="H258" s="163">
        <v>253</v>
      </c>
      <c r="I258" s="164" t="str">
        <f t="shared" si="15"/>
        <v/>
      </c>
      <c r="J258" s="164" t="e">
        <f t="shared" si="18"/>
        <v>#NUM!</v>
      </c>
      <c r="K258" s="163" t="e">
        <f t="shared" si="16"/>
        <v>#NUM!</v>
      </c>
      <c r="L258" s="163"/>
      <c r="M258" s="165">
        <f t="shared" si="17"/>
        <v>0</v>
      </c>
    </row>
    <row r="259" spans="1:13" x14ac:dyDescent="0.25">
      <c r="A259" s="180"/>
      <c r="G259" s="151"/>
      <c r="H259" s="163">
        <v>254</v>
      </c>
      <c r="I259" s="164" t="str">
        <f t="shared" si="15"/>
        <v/>
      </c>
      <c r="J259" s="164" t="e">
        <f t="shared" si="18"/>
        <v>#NUM!</v>
      </c>
      <c r="K259" s="163" t="e">
        <f t="shared" si="16"/>
        <v>#NUM!</v>
      </c>
      <c r="L259" s="163"/>
      <c r="M259" s="165">
        <f t="shared" si="17"/>
        <v>0</v>
      </c>
    </row>
    <row r="260" spans="1:13" x14ac:dyDescent="0.25">
      <c r="A260" s="180"/>
      <c r="G260" s="151"/>
      <c r="H260" s="163">
        <v>255</v>
      </c>
      <c r="I260" s="164" t="str">
        <f t="shared" si="15"/>
        <v/>
      </c>
      <c r="J260" s="164" t="e">
        <f t="shared" si="18"/>
        <v>#NUM!</v>
      </c>
      <c r="K260" s="163" t="e">
        <f t="shared" si="16"/>
        <v>#NUM!</v>
      </c>
      <c r="L260" s="163"/>
      <c r="M260" s="165">
        <f t="shared" si="17"/>
        <v>0</v>
      </c>
    </row>
    <row r="261" spans="1:13" x14ac:dyDescent="0.25">
      <c r="A261" s="180"/>
      <c r="G261" s="151"/>
      <c r="H261" s="163">
        <v>256</v>
      </c>
      <c r="I261" s="164" t="str">
        <f t="shared" si="15"/>
        <v/>
      </c>
      <c r="J261" s="164" t="e">
        <f t="shared" si="18"/>
        <v>#NUM!</v>
      </c>
      <c r="K261" s="163" t="e">
        <f t="shared" si="16"/>
        <v>#NUM!</v>
      </c>
      <c r="L261" s="163"/>
      <c r="M261" s="165">
        <f t="shared" si="17"/>
        <v>0</v>
      </c>
    </row>
    <row r="262" spans="1:13" x14ac:dyDescent="0.25">
      <c r="A262" s="180"/>
      <c r="G262" s="151"/>
      <c r="H262" s="163">
        <v>257</v>
      </c>
      <c r="I262" s="164" t="str">
        <f t="shared" ref="I262:I305" si="19">IF(H262&lt;$H$2+1,($I$2-($I$2-1)*(LOG(H262)/LOG($H$2))),"")</f>
        <v/>
      </c>
      <c r="J262" s="164" t="e">
        <f t="shared" si="18"/>
        <v>#NUM!</v>
      </c>
      <c r="K262" s="163" t="e">
        <f t="shared" ref="K262:K305" si="20">J262*$J$2</f>
        <v>#NUM!</v>
      </c>
      <c r="L262" s="163"/>
      <c r="M262" s="165">
        <f t="shared" ref="M262:M305" si="21">IF(I262&lt;&gt;"",K262+I262+L262,0)</f>
        <v>0</v>
      </c>
    </row>
    <row r="263" spans="1:13" x14ac:dyDescent="0.25">
      <c r="A263" s="180"/>
      <c r="G263" s="151"/>
      <c r="H263" s="163">
        <v>258</v>
      </c>
      <c r="I263" s="164" t="str">
        <f t="shared" si="19"/>
        <v/>
      </c>
      <c r="J263" s="164" t="e">
        <f t="shared" ref="J263:J305" si="22">INT(LOG($H$2,2))-ROUNDUP(LOG(H263,2),0)+IF(OR($H$2=1,$H$2=2,$H$2=4,$H$2=8,$H$2=16,$H$2=32,$H$2=64,$H$2=128,$H$2=256),0,1)</f>
        <v>#NUM!</v>
      </c>
      <c r="K263" s="163" t="e">
        <f t="shared" si="20"/>
        <v>#NUM!</v>
      </c>
      <c r="L263" s="163"/>
      <c r="M263" s="165">
        <f t="shared" si="21"/>
        <v>0</v>
      </c>
    </row>
    <row r="264" spans="1:13" x14ac:dyDescent="0.25">
      <c r="A264" s="180"/>
      <c r="G264" s="151"/>
      <c r="H264" s="163">
        <v>259</v>
      </c>
      <c r="I264" s="164" t="str">
        <f t="shared" si="19"/>
        <v/>
      </c>
      <c r="J264" s="164" t="e">
        <f t="shared" si="22"/>
        <v>#NUM!</v>
      </c>
      <c r="K264" s="163" t="e">
        <f t="shared" si="20"/>
        <v>#NUM!</v>
      </c>
      <c r="L264" s="163"/>
      <c r="M264" s="165">
        <f t="shared" si="21"/>
        <v>0</v>
      </c>
    </row>
    <row r="265" spans="1:13" x14ac:dyDescent="0.25">
      <c r="A265" s="180"/>
      <c r="G265" s="151"/>
      <c r="H265" s="163">
        <v>260</v>
      </c>
      <c r="I265" s="164" t="str">
        <f t="shared" si="19"/>
        <v/>
      </c>
      <c r="J265" s="164" t="e">
        <f t="shared" si="22"/>
        <v>#NUM!</v>
      </c>
      <c r="K265" s="163" t="e">
        <f t="shared" si="20"/>
        <v>#NUM!</v>
      </c>
      <c r="L265" s="163"/>
      <c r="M265" s="165">
        <f t="shared" si="21"/>
        <v>0</v>
      </c>
    </row>
    <row r="266" spans="1:13" x14ac:dyDescent="0.25">
      <c r="A266" s="180"/>
      <c r="G266" s="151"/>
      <c r="H266" s="163">
        <v>261</v>
      </c>
      <c r="I266" s="164" t="str">
        <f t="shared" si="19"/>
        <v/>
      </c>
      <c r="J266" s="164" t="e">
        <f t="shared" si="22"/>
        <v>#NUM!</v>
      </c>
      <c r="K266" s="163" t="e">
        <f t="shared" si="20"/>
        <v>#NUM!</v>
      </c>
      <c r="L266" s="163"/>
      <c r="M266" s="165">
        <f t="shared" si="21"/>
        <v>0</v>
      </c>
    </row>
    <row r="267" spans="1:13" x14ac:dyDescent="0.25">
      <c r="A267" s="180"/>
      <c r="G267" s="151"/>
      <c r="H267" s="163">
        <v>262</v>
      </c>
      <c r="I267" s="164" t="str">
        <f t="shared" si="19"/>
        <v/>
      </c>
      <c r="J267" s="164" t="e">
        <f t="shared" si="22"/>
        <v>#NUM!</v>
      </c>
      <c r="K267" s="163" t="e">
        <f t="shared" si="20"/>
        <v>#NUM!</v>
      </c>
      <c r="L267" s="163"/>
      <c r="M267" s="165">
        <f t="shared" si="21"/>
        <v>0</v>
      </c>
    </row>
    <row r="268" spans="1:13" x14ac:dyDescent="0.25">
      <c r="A268" s="180"/>
      <c r="G268" s="151"/>
      <c r="H268" s="163">
        <v>263</v>
      </c>
      <c r="I268" s="164" t="str">
        <f t="shared" si="19"/>
        <v/>
      </c>
      <c r="J268" s="164" t="e">
        <f t="shared" si="22"/>
        <v>#NUM!</v>
      </c>
      <c r="K268" s="163" t="e">
        <f t="shared" si="20"/>
        <v>#NUM!</v>
      </c>
      <c r="L268" s="163"/>
      <c r="M268" s="165">
        <f t="shared" si="21"/>
        <v>0</v>
      </c>
    </row>
    <row r="269" spans="1:13" x14ac:dyDescent="0.25">
      <c r="A269" s="180"/>
      <c r="G269" s="151"/>
      <c r="H269" s="163">
        <v>264</v>
      </c>
      <c r="I269" s="164" t="str">
        <f t="shared" si="19"/>
        <v/>
      </c>
      <c r="J269" s="164" t="e">
        <f t="shared" si="22"/>
        <v>#NUM!</v>
      </c>
      <c r="K269" s="163" t="e">
        <f t="shared" si="20"/>
        <v>#NUM!</v>
      </c>
      <c r="L269" s="163"/>
      <c r="M269" s="165">
        <f t="shared" si="21"/>
        <v>0</v>
      </c>
    </row>
    <row r="270" spans="1:13" x14ac:dyDescent="0.25">
      <c r="A270" s="180"/>
      <c r="G270" s="151"/>
      <c r="H270" s="163">
        <v>265</v>
      </c>
      <c r="I270" s="164" t="str">
        <f t="shared" si="19"/>
        <v/>
      </c>
      <c r="J270" s="164" t="e">
        <f t="shared" si="22"/>
        <v>#NUM!</v>
      </c>
      <c r="K270" s="163" t="e">
        <f t="shared" si="20"/>
        <v>#NUM!</v>
      </c>
      <c r="L270" s="163"/>
      <c r="M270" s="165">
        <f t="shared" si="21"/>
        <v>0</v>
      </c>
    </row>
    <row r="271" spans="1:13" x14ac:dyDescent="0.25">
      <c r="A271" s="180"/>
      <c r="G271" s="151"/>
      <c r="H271" s="163">
        <v>266</v>
      </c>
      <c r="I271" s="164" t="str">
        <f t="shared" si="19"/>
        <v/>
      </c>
      <c r="J271" s="164" t="e">
        <f t="shared" si="22"/>
        <v>#NUM!</v>
      </c>
      <c r="K271" s="163" t="e">
        <f t="shared" si="20"/>
        <v>#NUM!</v>
      </c>
      <c r="L271" s="163"/>
      <c r="M271" s="165">
        <f t="shared" si="21"/>
        <v>0</v>
      </c>
    </row>
    <row r="272" spans="1:13" x14ac:dyDescent="0.25">
      <c r="A272" s="180"/>
      <c r="G272" s="151"/>
      <c r="H272" s="163">
        <v>267</v>
      </c>
      <c r="I272" s="164" t="str">
        <f t="shared" si="19"/>
        <v/>
      </c>
      <c r="J272" s="164" t="e">
        <f t="shared" si="22"/>
        <v>#NUM!</v>
      </c>
      <c r="K272" s="163" t="e">
        <f t="shared" si="20"/>
        <v>#NUM!</v>
      </c>
      <c r="L272" s="163"/>
      <c r="M272" s="165">
        <f t="shared" si="21"/>
        <v>0</v>
      </c>
    </row>
    <row r="273" spans="1:13" x14ac:dyDescent="0.25">
      <c r="A273" s="180"/>
      <c r="G273" s="151"/>
      <c r="H273" s="163">
        <v>268</v>
      </c>
      <c r="I273" s="164" t="str">
        <f t="shared" si="19"/>
        <v/>
      </c>
      <c r="J273" s="164" t="e">
        <f t="shared" si="22"/>
        <v>#NUM!</v>
      </c>
      <c r="K273" s="163" t="e">
        <f t="shared" si="20"/>
        <v>#NUM!</v>
      </c>
      <c r="L273" s="163"/>
      <c r="M273" s="165">
        <f t="shared" si="21"/>
        <v>0</v>
      </c>
    </row>
    <row r="274" spans="1:13" x14ac:dyDescent="0.25">
      <c r="A274" s="180"/>
      <c r="G274" s="151"/>
      <c r="H274" s="163">
        <v>269</v>
      </c>
      <c r="I274" s="164" t="str">
        <f t="shared" si="19"/>
        <v/>
      </c>
      <c r="J274" s="164" t="e">
        <f t="shared" si="22"/>
        <v>#NUM!</v>
      </c>
      <c r="K274" s="163" t="e">
        <f t="shared" si="20"/>
        <v>#NUM!</v>
      </c>
      <c r="L274" s="163"/>
      <c r="M274" s="165">
        <f t="shared" si="21"/>
        <v>0</v>
      </c>
    </row>
    <row r="275" spans="1:13" x14ac:dyDescent="0.25">
      <c r="A275" s="180"/>
      <c r="G275" s="151"/>
      <c r="H275" s="163">
        <v>270</v>
      </c>
      <c r="I275" s="164" t="str">
        <f t="shared" si="19"/>
        <v/>
      </c>
      <c r="J275" s="164" t="e">
        <f t="shared" si="22"/>
        <v>#NUM!</v>
      </c>
      <c r="K275" s="163" t="e">
        <f t="shared" si="20"/>
        <v>#NUM!</v>
      </c>
      <c r="L275" s="163"/>
      <c r="M275" s="165">
        <f t="shared" si="21"/>
        <v>0</v>
      </c>
    </row>
    <row r="276" spans="1:13" x14ac:dyDescent="0.25">
      <c r="A276" s="180"/>
      <c r="G276" s="151"/>
      <c r="H276" s="163">
        <v>271</v>
      </c>
      <c r="I276" s="164" t="str">
        <f t="shared" si="19"/>
        <v/>
      </c>
      <c r="J276" s="164" t="e">
        <f t="shared" si="22"/>
        <v>#NUM!</v>
      </c>
      <c r="K276" s="163" t="e">
        <f t="shared" si="20"/>
        <v>#NUM!</v>
      </c>
      <c r="L276" s="163"/>
      <c r="M276" s="165">
        <f t="shared" si="21"/>
        <v>0</v>
      </c>
    </row>
    <row r="277" spans="1:13" x14ac:dyDescent="0.25">
      <c r="A277" s="180"/>
      <c r="G277" s="151"/>
      <c r="H277" s="163">
        <v>272</v>
      </c>
      <c r="I277" s="164" t="str">
        <f t="shared" si="19"/>
        <v/>
      </c>
      <c r="J277" s="164" t="e">
        <f t="shared" si="22"/>
        <v>#NUM!</v>
      </c>
      <c r="K277" s="163" t="e">
        <f t="shared" si="20"/>
        <v>#NUM!</v>
      </c>
      <c r="L277" s="163"/>
      <c r="M277" s="165">
        <f t="shared" si="21"/>
        <v>0</v>
      </c>
    </row>
    <row r="278" spans="1:13" x14ac:dyDescent="0.25">
      <c r="A278" s="180"/>
      <c r="G278" s="151"/>
      <c r="H278" s="163">
        <v>273</v>
      </c>
      <c r="I278" s="164" t="str">
        <f t="shared" si="19"/>
        <v/>
      </c>
      <c r="J278" s="164" t="e">
        <f t="shared" si="22"/>
        <v>#NUM!</v>
      </c>
      <c r="K278" s="163" t="e">
        <f t="shared" si="20"/>
        <v>#NUM!</v>
      </c>
      <c r="L278" s="163"/>
      <c r="M278" s="165">
        <f t="shared" si="21"/>
        <v>0</v>
      </c>
    </row>
    <row r="279" spans="1:13" x14ac:dyDescent="0.25">
      <c r="A279" s="180"/>
      <c r="G279" s="151"/>
      <c r="H279" s="163">
        <v>274</v>
      </c>
      <c r="I279" s="164" t="str">
        <f t="shared" si="19"/>
        <v/>
      </c>
      <c r="J279" s="164" t="e">
        <f t="shared" si="22"/>
        <v>#NUM!</v>
      </c>
      <c r="K279" s="163" t="e">
        <f t="shared" si="20"/>
        <v>#NUM!</v>
      </c>
      <c r="L279" s="163"/>
      <c r="M279" s="165">
        <f t="shared" si="21"/>
        <v>0</v>
      </c>
    </row>
    <row r="280" spans="1:13" x14ac:dyDescent="0.25">
      <c r="A280" s="180"/>
      <c r="G280" s="151"/>
      <c r="H280" s="163">
        <v>275</v>
      </c>
      <c r="I280" s="164" t="str">
        <f t="shared" si="19"/>
        <v/>
      </c>
      <c r="J280" s="164" t="e">
        <f t="shared" si="22"/>
        <v>#NUM!</v>
      </c>
      <c r="K280" s="163" t="e">
        <f t="shared" si="20"/>
        <v>#NUM!</v>
      </c>
      <c r="L280" s="163"/>
      <c r="M280" s="165">
        <f t="shared" si="21"/>
        <v>0</v>
      </c>
    </row>
    <row r="281" spans="1:13" x14ac:dyDescent="0.25">
      <c r="A281" s="180"/>
      <c r="G281" s="151"/>
      <c r="H281" s="163">
        <v>276</v>
      </c>
      <c r="I281" s="164" t="str">
        <f t="shared" si="19"/>
        <v/>
      </c>
      <c r="J281" s="164" t="e">
        <f t="shared" si="22"/>
        <v>#NUM!</v>
      </c>
      <c r="K281" s="163" t="e">
        <f t="shared" si="20"/>
        <v>#NUM!</v>
      </c>
      <c r="L281" s="163"/>
      <c r="M281" s="165">
        <f t="shared" si="21"/>
        <v>0</v>
      </c>
    </row>
    <row r="282" spans="1:13" x14ac:dyDescent="0.25">
      <c r="A282" s="180"/>
      <c r="G282" s="151"/>
      <c r="H282" s="163">
        <v>277</v>
      </c>
      <c r="I282" s="164" t="str">
        <f t="shared" si="19"/>
        <v/>
      </c>
      <c r="J282" s="164" t="e">
        <f t="shared" si="22"/>
        <v>#NUM!</v>
      </c>
      <c r="K282" s="163" t="e">
        <f t="shared" si="20"/>
        <v>#NUM!</v>
      </c>
      <c r="L282" s="163"/>
      <c r="M282" s="165">
        <f t="shared" si="21"/>
        <v>0</v>
      </c>
    </row>
    <row r="283" spans="1:13" x14ac:dyDescent="0.25">
      <c r="A283" s="180"/>
      <c r="G283" s="151"/>
      <c r="H283" s="163">
        <v>278</v>
      </c>
      <c r="I283" s="164" t="str">
        <f t="shared" si="19"/>
        <v/>
      </c>
      <c r="J283" s="164" t="e">
        <f t="shared" si="22"/>
        <v>#NUM!</v>
      </c>
      <c r="K283" s="163" t="e">
        <f t="shared" si="20"/>
        <v>#NUM!</v>
      </c>
      <c r="L283" s="163"/>
      <c r="M283" s="165">
        <f t="shared" si="21"/>
        <v>0</v>
      </c>
    </row>
    <row r="284" spans="1:13" x14ac:dyDescent="0.25">
      <c r="A284" s="180"/>
      <c r="G284" s="151"/>
      <c r="H284" s="163">
        <v>279</v>
      </c>
      <c r="I284" s="164" t="str">
        <f t="shared" si="19"/>
        <v/>
      </c>
      <c r="J284" s="164" t="e">
        <f t="shared" si="22"/>
        <v>#NUM!</v>
      </c>
      <c r="K284" s="163" t="e">
        <f t="shared" si="20"/>
        <v>#NUM!</v>
      </c>
      <c r="L284" s="163"/>
      <c r="M284" s="165">
        <f t="shared" si="21"/>
        <v>0</v>
      </c>
    </row>
    <row r="285" spans="1:13" x14ac:dyDescent="0.25">
      <c r="A285" s="180"/>
      <c r="G285" s="151"/>
      <c r="H285" s="163">
        <v>280</v>
      </c>
      <c r="I285" s="164" t="str">
        <f t="shared" si="19"/>
        <v/>
      </c>
      <c r="J285" s="164" t="e">
        <f t="shared" si="22"/>
        <v>#NUM!</v>
      </c>
      <c r="K285" s="163" t="e">
        <f t="shared" si="20"/>
        <v>#NUM!</v>
      </c>
      <c r="L285" s="163"/>
      <c r="M285" s="165">
        <f t="shared" si="21"/>
        <v>0</v>
      </c>
    </row>
    <row r="286" spans="1:13" x14ac:dyDescent="0.25">
      <c r="A286" s="180"/>
      <c r="G286" s="151"/>
      <c r="H286" s="163">
        <v>281</v>
      </c>
      <c r="I286" s="164" t="str">
        <f t="shared" si="19"/>
        <v/>
      </c>
      <c r="J286" s="164" t="e">
        <f t="shared" si="22"/>
        <v>#NUM!</v>
      </c>
      <c r="K286" s="163" t="e">
        <f t="shared" si="20"/>
        <v>#NUM!</v>
      </c>
      <c r="L286" s="163"/>
      <c r="M286" s="165">
        <f t="shared" si="21"/>
        <v>0</v>
      </c>
    </row>
    <row r="287" spans="1:13" x14ac:dyDescent="0.25">
      <c r="A287" s="180"/>
      <c r="G287" s="151"/>
      <c r="H287" s="163">
        <v>282</v>
      </c>
      <c r="I287" s="164" t="str">
        <f t="shared" si="19"/>
        <v/>
      </c>
      <c r="J287" s="164" t="e">
        <f t="shared" si="22"/>
        <v>#NUM!</v>
      </c>
      <c r="K287" s="163" t="e">
        <f t="shared" si="20"/>
        <v>#NUM!</v>
      </c>
      <c r="L287" s="163"/>
      <c r="M287" s="165">
        <f t="shared" si="21"/>
        <v>0</v>
      </c>
    </row>
    <row r="288" spans="1:13" x14ac:dyDescent="0.25">
      <c r="A288" s="180"/>
      <c r="G288" s="151"/>
      <c r="H288" s="163">
        <v>283</v>
      </c>
      <c r="I288" s="164" t="str">
        <f t="shared" si="19"/>
        <v/>
      </c>
      <c r="J288" s="164" t="e">
        <f t="shared" si="22"/>
        <v>#NUM!</v>
      </c>
      <c r="K288" s="163" t="e">
        <f t="shared" si="20"/>
        <v>#NUM!</v>
      </c>
      <c r="L288" s="163"/>
      <c r="M288" s="165">
        <f t="shared" si="21"/>
        <v>0</v>
      </c>
    </row>
    <row r="289" spans="1:13" x14ac:dyDescent="0.25">
      <c r="A289" s="180"/>
      <c r="G289" s="151"/>
      <c r="H289" s="163">
        <v>284</v>
      </c>
      <c r="I289" s="164" t="str">
        <f t="shared" si="19"/>
        <v/>
      </c>
      <c r="J289" s="164" t="e">
        <f t="shared" si="22"/>
        <v>#NUM!</v>
      </c>
      <c r="K289" s="163" t="e">
        <f t="shared" si="20"/>
        <v>#NUM!</v>
      </c>
      <c r="L289" s="163"/>
      <c r="M289" s="165">
        <f t="shared" si="21"/>
        <v>0</v>
      </c>
    </row>
    <row r="290" spans="1:13" x14ac:dyDescent="0.25">
      <c r="A290" s="180"/>
      <c r="G290" s="151"/>
      <c r="H290" s="163">
        <v>285</v>
      </c>
      <c r="I290" s="164" t="str">
        <f t="shared" si="19"/>
        <v/>
      </c>
      <c r="J290" s="164" t="e">
        <f t="shared" si="22"/>
        <v>#NUM!</v>
      </c>
      <c r="K290" s="163" t="e">
        <f t="shared" si="20"/>
        <v>#NUM!</v>
      </c>
      <c r="L290" s="163"/>
      <c r="M290" s="165">
        <f t="shared" si="21"/>
        <v>0</v>
      </c>
    </row>
    <row r="291" spans="1:13" x14ac:dyDescent="0.25">
      <c r="A291" s="180"/>
      <c r="G291" s="151"/>
      <c r="H291" s="163">
        <v>286</v>
      </c>
      <c r="I291" s="164" t="str">
        <f t="shared" si="19"/>
        <v/>
      </c>
      <c r="J291" s="164" t="e">
        <f t="shared" si="22"/>
        <v>#NUM!</v>
      </c>
      <c r="K291" s="163" t="e">
        <f t="shared" si="20"/>
        <v>#NUM!</v>
      </c>
      <c r="L291" s="163"/>
      <c r="M291" s="165">
        <f t="shared" si="21"/>
        <v>0</v>
      </c>
    </row>
    <row r="292" spans="1:13" x14ac:dyDescent="0.25">
      <c r="A292" s="180"/>
      <c r="G292" s="151"/>
      <c r="H292" s="163">
        <v>287</v>
      </c>
      <c r="I292" s="164" t="str">
        <f t="shared" si="19"/>
        <v/>
      </c>
      <c r="J292" s="164" t="e">
        <f t="shared" si="22"/>
        <v>#NUM!</v>
      </c>
      <c r="K292" s="163" t="e">
        <f t="shared" si="20"/>
        <v>#NUM!</v>
      </c>
      <c r="L292" s="163"/>
      <c r="M292" s="165">
        <f t="shared" si="21"/>
        <v>0</v>
      </c>
    </row>
    <row r="293" spans="1:13" x14ac:dyDescent="0.25">
      <c r="A293" s="180"/>
      <c r="G293" s="151"/>
      <c r="H293" s="163">
        <v>288</v>
      </c>
      <c r="I293" s="164" t="str">
        <f t="shared" si="19"/>
        <v/>
      </c>
      <c r="J293" s="164" t="e">
        <f t="shared" si="22"/>
        <v>#NUM!</v>
      </c>
      <c r="K293" s="163" t="e">
        <f t="shared" si="20"/>
        <v>#NUM!</v>
      </c>
      <c r="L293" s="163"/>
      <c r="M293" s="165">
        <f t="shared" si="21"/>
        <v>0</v>
      </c>
    </row>
    <row r="294" spans="1:13" x14ac:dyDescent="0.25">
      <c r="A294" s="180"/>
      <c r="G294" s="151"/>
      <c r="H294" s="163">
        <v>289</v>
      </c>
      <c r="I294" s="164" t="str">
        <f t="shared" si="19"/>
        <v/>
      </c>
      <c r="J294" s="164" t="e">
        <f t="shared" si="22"/>
        <v>#NUM!</v>
      </c>
      <c r="K294" s="163" t="e">
        <f t="shared" si="20"/>
        <v>#NUM!</v>
      </c>
      <c r="L294" s="163"/>
      <c r="M294" s="165">
        <f t="shared" si="21"/>
        <v>0</v>
      </c>
    </row>
    <row r="295" spans="1:13" x14ac:dyDescent="0.25">
      <c r="A295" s="180"/>
      <c r="G295" s="151"/>
      <c r="H295" s="163">
        <v>290</v>
      </c>
      <c r="I295" s="164" t="str">
        <f t="shared" si="19"/>
        <v/>
      </c>
      <c r="J295" s="164" t="e">
        <f t="shared" si="22"/>
        <v>#NUM!</v>
      </c>
      <c r="K295" s="163" t="e">
        <f t="shared" si="20"/>
        <v>#NUM!</v>
      </c>
      <c r="L295" s="163"/>
      <c r="M295" s="165">
        <f t="shared" si="21"/>
        <v>0</v>
      </c>
    </row>
    <row r="296" spans="1:13" x14ac:dyDescent="0.25">
      <c r="A296" s="180"/>
      <c r="G296" s="151"/>
      <c r="H296" s="163">
        <v>291</v>
      </c>
      <c r="I296" s="164" t="str">
        <f t="shared" si="19"/>
        <v/>
      </c>
      <c r="J296" s="164" t="e">
        <f t="shared" si="22"/>
        <v>#NUM!</v>
      </c>
      <c r="K296" s="163" t="e">
        <f t="shared" si="20"/>
        <v>#NUM!</v>
      </c>
      <c r="L296" s="163"/>
      <c r="M296" s="165">
        <f t="shared" si="21"/>
        <v>0</v>
      </c>
    </row>
    <row r="297" spans="1:13" x14ac:dyDescent="0.25">
      <c r="A297" s="180"/>
      <c r="G297" s="151"/>
      <c r="H297" s="163">
        <v>292</v>
      </c>
      <c r="I297" s="164" t="str">
        <f t="shared" si="19"/>
        <v/>
      </c>
      <c r="J297" s="164" t="e">
        <f t="shared" si="22"/>
        <v>#NUM!</v>
      </c>
      <c r="K297" s="163" t="e">
        <f t="shared" si="20"/>
        <v>#NUM!</v>
      </c>
      <c r="L297" s="163"/>
      <c r="M297" s="165">
        <f t="shared" si="21"/>
        <v>0</v>
      </c>
    </row>
    <row r="298" spans="1:13" x14ac:dyDescent="0.25">
      <c r="A298" s="180"/>
      <c r="G298" s="151"/>
      <c r="H298" s="163">
        <v>293</v>
      </c>
      <c r="I298" s="164" t="str">
        <f t="shared" si="19"/>
        <v/>
      </c>
      <c r="J298" s="164" t="e">
        <f t="shared" si="22"/>
        <v>#NUM!</v>
      </c>
      <c r="K298" s="163" t="e">
        <f t="shared" si="20"/>
        <v>#NUM!</v>
      </c>
      <c r="L298" s="163"/>
      <c r="M298" s="165">
        <f t="shared" si="21"/>
        <v>0</v>
      </c>
    </row>
    <row r="299" spans="1:13" x14ac:dyDescent="0.25">
      <c r="A299" s="180"/>
      <c r="G299" s="151"/>
      <c r="H299" s="163">
        <v>294</v>
      </c>
      <c r="I299" s="164" t="str">
        <f t="shared" si="19"/>
        <v/>
      </c>
      <c r="J299" s="164" t="e">
        <f t="shared" si="22"/>
        <v>#NUM!</v>
      </c>
      <c r="K299" s="163" t="e">
        <f t="shared" si="20"/>
        <v>#NUM!</v>
      </c>
      <c r="L299" s="163"/>
      <c r="M299" s="165">
        <f t="shared" si="21"/>
        <v>0</v>
      </c>
    </row>
    <row r="300" spans="1:13" x14ac:dyDescent="0.25">
      <c r="A300" s="180"/>
      <c r="G300" s="151"/>
      <c r="H300" s="163">
        <v>295</v>
      </c>
      <c r="I300" s="164" t="str">
        <f t="shared" si="19"/>
        <v/>
      </c>
      <c r="J300" s="164" t="e">
        <f t="shared" si="22"/>
        <v>#NUM!</v>
      </c>
      <c r="K300" s="163" t="e">
        <f t="shared" si="20"/>
        <v>#NUM!</v>
      </c>
      <c r="L300" s="163"/>
      <c r="M300" s="165">
        <f t="shared" si="21"/>
        <v>0</v>
      </c>
    </row>
    <row r="301" spans="1:13" x14ac:dyDescent="0.25">
      <c r="A301" s="180"/>
      <c r="G301" s="151"/>
      <c r="H301" s="163">
        <v>296</v>
      </c>
      <c r="I301" s="164" t="str">
        <f t="shared" si="19"/>
        <v/>
      </c>
      <c r="J301" s="164" t="e">
        <f t="shared" si="22"/>
        <v>#NUM!</v>
      </c>
      <c r="K301" s="163" t="e">
        <f t="shared" si="20"/>
        <v>#NUM!</v>
      </c>
      <c r="L301" s="163"/>
      <c r="M301" s="165">
        <f t="shared" si="21"/>
        <v>0</v>
      </c>
    </row>
    <row r="302" spans="1:13" x14ac:dyDescent="0.25">
      <c r="A302" s="180"/>
      <c r="G302" s="151"/>
      <c r="H302" s="163">
        <v>297</v>
      </c>
      <c r="I302" s="164" t="str">
        <f t="shared" si="19"/>
        <v/>
      </c>
      <c r="J302" s="164" t="e">
        <f t="shared" si="22"/>
        <v>#NUM!</v>
      </c>
      <c r="K302" s="163" t="e">
        <f t="shared" si="20"/>
        <v>#NUM!</v>
      </c>
      <c r="L302" s="163"/>
      <c r="M302" s="165">
        <f t="shared" si="21"/>
        <v>0</v>
      </c>
    </row>
    <row r="303" spans="1:13" x14ac:dyDescent="0.25">
      <c r="A303" s="180"/>
      <c r="G303" s="151"/>
      <c r="H303" s="163">
        <v>298</v>
      </c>
      <c r="I303" s="164" t="str">
        <f t="shared" si="19"/>
        <v/>
      </c>
      <c r="J303" s="164" t="e">
        <f t="shared" si="22"/>
        <v>#NUM!</v>
      </c>
      <c r="K303" s="163" t="e">
        <f t="shared" si="20"/>
        <v>#NUM!</v>
      </c>
      <c r="L303" s="163"/>
      <c r="M303" s="165">
        <f t="shared" si="21"/>
        <v>0</v>
      </c>
    </row>
    <row r="304" spans="1:13" x14ac:dyDescent="0.25">
      <c r="A304" s="180"/>
      <c r="G304" s="151"/>
      <c r="H304" s="163">
        <v>299</v>
      </c>
      <c r="I304" s="164" t="str">
        <f t="shared" si="19"/>
        <v/>
      </c>
      <c r="J304" s="164" t="e">
        <f t="shared" si="22"/>
        <v>#NUM!</v>
      </c>
      <c r="K304" s="163" t="e">
        <f t="shared" si="20"/>
        <v>#NUM!</v>
      </c>
      <c r="L304" s="163"/>
      <c r="M304" s="165">
        <f t="shared" si="21"/>
        <v>0</v>
      </c>
    </row>
    <row r="305" spans="1:16" x14ac:dyDescent="0.25">
      <c r="A305" s="180"/>
      <c r="G305" s="151"/>
      <c r="H305" s="163">
        <v>300</v>
      </c>
      <c r="I305" s="164" t="str">
        <f t="shared" si="19"/>
        <v/>
      </c>
      <c r="J305" s="164" t="e">
        <f t="shared" si="22"/>
        <v>#NUM!</v>
      </c>
      <c r="K305" s="163" t="e">
        <f t="shared" si="20"/>
        <v>#NUM!</v>
      </c>
      <c r="L305" s="163"/>
      <c r="M305" s="165">
        <f t="shared" si="21"/>
        <v>0</v>
      </c>
    </row>
    <row r="306" spans="1:16" x14ac:dyDescent="0.25">
      <c r="A306" s="181"/>
    </row>
    <row r="314" spans="1:16" x14ac:dyDescent="0.25">
      <c r="L314" s="184"/>
      <c r="P314" s="174"/>
    </row>
    <row r="315" spans="1:16" x14ac:dyDescent="0.25">
      <c r="L315" s="184"/>
      <c r="P315" s="174"/>
    </row>
    <row r="316" spans="1:16" x14ac:dyDescent="0.25">
      <c r="L316" s="184"/>
      <c r="P316" s="174"/>
    </row>
    <row r="317" spans="1:16" x14ac:dyDescent="0.25">
      <c r="L317" s="184"/>
      <c r="P317" s="174"/>
    </row>
  </sheetData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" r:id="rId1" xr:uid="{701B29B7-E02F-4961-80F5-7A7885866EB9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D0E0-D032-439E-891D-DD12592FD300}">
  <sheetPr>
    <tabColor rgb="FF92D050"/>
  </sheetPr>
  <dimension ref="A1:AL317"/>
  <sheetViews>
    <sheetView workbookViewId="0">
      <selection activeCell="E17" sqref="E17"/>
    </sheetView>
  </sheetViews>
  <sheetFormatPr defaultColWidth="8.875" defaultRowHeight="14.3" x14ac:dyDescent="0.25"/>
  <cols>
    <col min="1" max="1" width="8" style="98" customWidth="1"/>
    <col min="2" max="2" width="8.25" style="98" customWidth="1"/>
    <col min="3" max="3" width="34.75" style="98" customWidth="1"/>
    <col min="4" max="4" width="11.25" style="98" customWidth="1"/>
    <col min="5" max="6" width="8.875" style="98"/>
    <col min="7" max="7" width="0.875" style="98" customWidth="1"/>
    <col min="8" max="8" width="8.875" style="100"/>
    <col min="9" max="9" width="11" style="100" customWidth="1"/>
    <col min="10" max="10" width="15" style="100" customWidth="1"/>
    <col min="11" max="11" width="8.75" style="100" customWidth="1"/>
    <col min="12" max="12" width="11" style="100" customWidth="1"/>
    <col min="13" max="13" width="11.75" style="101" customWidth="1"/>
    <col min="14" max="15" width="13.875" style="64" customWidth="1"/>
    <col min="16" max="18" width="8.875" style="64"/>
    <col min="19" max="20" width="8.875" style="71"/>
    <col min="21" max="21" width="12.125" style="71" customWidth="1"/>
    <col min="22" max="22" width="27.375" style="71" customWidth="1"/>
    <col min="23" max="38" width="8.875" style="71"/>
    <col min="39" max="16384" width="8.875" style="98"/>
  </cols>
  <sheetData>
    <row r="1" spans="1:36" x14ac:dyDescent="0.25">
      <c r="A1" s="64"/>
      <c r="B1" s="64"/>
      <c r="C1" s="64"/>
      <c r="D1" s="64"/>
      <c r="E1" s="64"/>
      <c r="F1" s="64"/>
      <c r="G1" s="64"/>
      <c r="H1" s="65" t="s">
        <v>25</v>
      </c>
      <c r="I1" s="66" t="s">
        <v>26</v>
      </c>
      <c r="J1" s="66" t="s">
        <v>27</v>
      </c>
      <c r="K1" s="67" t="s">
        <v>28</v>
      </c>
      <c r="L1" s="70"/>
      <c r="M1" s="70"/>
    </row>
    <row r="2" spans="1:36" x14ac:dyDescent="0.25">
      <c r="A2" s="64"/>
      <c r="B2" s="14" t="s">
        <v>29</v>
      </c>
      <c r="C2" s="262" t="s">
        <v>111</v>
      </c>
      <c r="D2" s="262"/>
      <c r="E2" s="15"/>
      <c r="F2" s="15"/>
      <c r="G2" s="15"/>
      <c r="H2" s="72">
        <v>34</v>
      </c>
      <c r="I2" s="73">
        <v>50</v>
      </c>
      <c r="J2" s="73">
        <v>10</v>
      </c>
      <c r="K2" s="74">
        <f>3*H2^(1/3)</f>
        <v>9.7188354038324505</v>
      </c>
      <c r="L2" s="70"/>
      <c r="M2" s="70"/>
    </row>
    <row r="3" spans="1:36" ht="14.45" customHeight="1" x14ac:dyDescent="0.25">
      <c r="A3" s="64"/>
      <c r="B3" s="76" t="s">
        <v>31</v>
      </c>
      <c r="C3" s="240" t="s">
        <v>112</v>
      </c>
      <c r="D3" s="240"/>
      <c r="E3" s="20"/>
      <c r="F3" s="20"/>
      <c r="G3" s="20"/>
      <c r="H3" s="70"/>
      <c r="I3" s="70"/>
      <c r="J3" s="70"/>
      <c r="K3" s="70"/>
      <c r="L3" s="70"/>
      <c r="M3" s="70"/>
    </row>
    <row r="4" spans="1:36" ht="10.199999999999999" customHeight="1" x14ac:dyDescent="0.25">
      <c r="A4" s="22"/>
      <c r="B4" s="20"/>
      <c r="C4" s="22"/>
      <c r="D4" s="22"/>
      <c r="E4" s="22"/>
      <c r="F4" s="22"/>
      <c r="G4" s="22"/>
      <c r="H4" s="70"/>
      <c r="I4" s="70"/>
      <c r="J4" s="70"/>
      <c r="K4" s="70"/>
      <c r="L4" s="70"/>
      <c r="M4" s="70"/>
    </row>
    <row r="5" spans="1:36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78" t="s">
        <v>39</v>
      </c>
      <c r="I5" s="79" t="s">
        <v>40</v>
      </c>
      <c r="J5" s="79" t="s">
        <v>41</v>
      </c>
      <c r="K5" s="79" t="s">
        <v>42</v>
      </c>
      <c r="L5" s="79" t="s">
        <v>43</v>
      </c>
      <c r="M5" s="78" t="s">
        <v>44</v>
      </c>
    </row>
    <row r="6" spans="1:36" ht="14.45" customHeight="1" x14ac:dyDescent="0.25">
      <c r="A6" s="109">
        <f>M6</f>
        <v>139.15650621149734</v>
      </c>
      <c r="B6" s="28">
        <f t="shared" ref="B6:B65" si="0">IF(H6&gt;$H$2,"",(ROW()-5))</f>
        <v>1</v>
      </c>
      <c r="C6" s="29" t="s">
        <v>50</v>
      </c>
      <c r="D6" s="29"/>
      <c r="E6" s="29"/>
      <c r="F6" s="29"/>
      <c r="G6" s="22"/>
      <c r="H6" s="81">
        <v>1</v>
      </c>
      <c r="I6" s="82">
        <f t="shared" ref="I6:I69" si="1">IF(H6&lt;$H$2+1,($I$2-($I$2-1)*(LOG(H6)/LOG($H$2))),"")</f>
        <v>50</v>
      </c>
      <c r="J6" s="82">
        <f>INT(LOG($H$2,2))-ROUNDUP(LOG(H6,2),0)+IF(OR($H$2=1,$H$2=2,$H$2=4,$H$2=8,$H$2=16,$H$2=32,$H$2=64,$H$2=128,$H$2=256),0,1)</f>
        <v>6</v>
      </c>
      <c r="K6" s="81">
        <f t="shared" ref="K6:K69" si="2">J6*$J$2</f>
        <v>60</v>
      </c>
      <c r="L6" s="83">
        <f>3*K2</f>
        <v>29.156506211497351</v>
      </c>
      <c r="M6" s="83">
        <f t="shared" ref="M6:M69" si="3">IF(I6&lt;&gt;"",K6+I6+L6,0)</f>
        <v>139.15650621149734</v>
      </c>
    </row>
    <row r="7" spans="1:36" ht="14.45" customHeight="1" x14ac:dyDescent="0.25">
      <c r="A7" s="110">
        <f t="shared" ref="A7:A70" si="4">M7</f>
        <v>109.80615082825659</v>
      </c>
      <c r="B7" s="34">
        <f t="shared" si="0"/>
        <v>2</v>
      </c>
      <c r="C7" s="35" t="s">
        <v>50</v>
      </c>
      <c r="D7" s="35"/>
      <c r="E7" s="35"/>
      <c r="F7" s="35"/>
      <c r="G7" s="22"/>
      <c r="H7" s="84">
        <v>2</v>
      </c>
      <c r="I7" s="85">
        <f t="shared" si="1"/>
        <v>40.36848002059169</v>
      </c>
      <c r="J7" s="85">
        <f t="shared" ref="J7:J70" si="5">INT(LOG($H$2,2))-ROUNDUP(LOG(H7,2),0)+IF(OR($H$2=1,$H$2=2,$H$2=4,$H$2=8,$H$2=16,$H$2=32,$H$2=64,$H$2=128,$H$2=256),0,1)</f>
        <v>5</v>
      </c>
      <c r="K7" s="84">
        <f t="shared" si="2"/>
        <v>50</v>
      </c>
      <c r="L7" s="86">
        <f>2*K2</f>
        <v>19.437670807664901</v>
      </c>
      <c r="M7" s="86">
        <f t="shared" si="3"/>
        <v>109.80615082825659</v>
      </c>
    </row>
    <row r="8" spans="1:36" ht="14.45" customHeight="1" x14ac:dyDescent="0.25">
      <c r="A8" s="109">
        <f t="shared" si="4"/>
        <v>84.453237411523673</v>
      </c>
      <c r="B8" s="28">
        <f t="shared" si="0"/>
        <v>3</v>
      </c>
      <c r="C8" s="29" t="s">
        <v>50</v>
      </c>
      <c r="D8" s="29"/>
      <c r="E8" s="29"/>
      <c r="F8" s="29"/>
      <c r="G8" s="22"/>
      <c r="H8" s="81">
        <v>3</v>
      </c>
      <c r="I8" s="82">
        <f t="shared" si="1"/>
        <v>34.73440200769123</v>
      </c>
      <c r="J8" s="82">
        <f t="shared" si="5"/>
        <v>4</v>
      </c>
      <c r="K8" s="81">
        <f t="shared" si="2"/>
        <v>40</v>
      </c>
      <c r="L8" s="83">
        <f>K2</f>
        <v>9.7188354038324505</v>
      </c>
      <c r="M8" s="83">
        <f t="shared" si="3"/>
        <v>84.453237411523673</v>
      </c>
    </row>
    <row r="9" spans="1:36" s="71" customFormat="1" ht="14.45" customHeight="1" x14ac:dyDescent="0.25">
      <c r="A9" s="110">
        <f t="shared" si="4"/>
        <v>84.453237411523673</v>
      </c>
      <c r="B9" s="34">
        <f>IF(H9&gt;$H$2,"",3)</f>
        <v>3</v>
      </c>
      <c r="C9" s="35" t="s">
        <v>50</v>
      </c>
      <c r="D9" s="35"/>
      <c r="E9" s="35"/>
      <c r="F9" s="35"/>
      <c r="G9" s="22"/>
      <c r="H9" s="84">
        <v>3</v>
      </c>
      <c r="I9" s="85">
        <f t="shared" si="1"/>
        <v>34.73440200769123</v>
      </c>
      <c r="J9" s="84">
        <f t="shared" si="5"/>
        <v>4</v>
      </c>
      <c r="K9" s="84">
        <f t="shared" si="2"/>
        <v>40</v>
      </c>
      <c r="L9" s="86">
        <f>K2</f>
        <v>9.7188354038324505</v>
      </c>
      <c r="M9" s="86">
        <f t="shared" si="3"/>
        <v>84.453237411523673</v>
      </c>
      <c r="N9" s="64"/>
      <c r="O9" s="64"/>
      <c r="P9" s="64"/>
      <c r="Q9" s="64"/>
      <c r="R9" s="64"/>
      <c r="V9" s="87"/>
      <c r="Z9" s="88"/>
      <c r="AA9" s="88"/>
      <c r="AG9" s="89"/>
      <c r="AH9" s="71" t="s">
        <v>50</v>
      </c>
      <c r="AI9" s="71">
        <v>23</v>
      </c>
    </row>
    <row r="10" spans="1:36" ht="14.45" customHeight="1" x14ac:dyDescent="0.25">
      <c r="A10" s="109">
        <f t="shared" si="4"/>
        <v>57.636303163342902</v>
      </c>
      <c r="B10" s="28">
        <f t="shared" si="0"/>
        <v>5</v>
      </c>
      <c r="C10" s="29" t="s">
        <v>50</v>
      </c>
      <c r="D10" s="29"/>
      <c r="E10" s="29"/>
      <c r="F10" s="29"/>
      <c r="G10" s="22"/>
      <c r="H10" s="81">
        <v>5</v>
      </c>
      <c r="I10" s="82">
        <f t="shared" si="1"/>
        <v>27.636303163342898</v>
      </c>
      <c r="J10" s="82">
        <f t="shared" si="5"/>
        <v>3</v>
      </c>
      <c r="K10" s="81">
        <f t="shared" si="2"/>
        <v>30</v>
      </c>
      <c r="L10" s="81"/>
      <c r="M10" s="83">
        <f t="shared" si="3"/>
        <v>57.636303163342902</v>
      </c>
      <c r="V10" s="87"/>
      <c r="Z10" s="88"/>
      <c r="AA10" s="88"/>
      <c r="AG10" s="89"/>
      <c r="AH10" s="71" t="s">
        <v>52</v>
      </c>
      <c r="AI10" s="71">
        <v>45</v>
      </c>
    </row>
    <row r="11" spans="1:36" ht="14.45" customHeight="1" x14ac:dyDescent="0.25">
      <c r="A11" s="110">
        <f t="shared" si="4"/>
        <v>55.10288202828292</v>
      </c>
      <c r="B11" s="34">
        <f t="shared" si="0"/>
        <v>6</v>
      </c>
      <c r="C11" s="35" t="s">
        <v>50</v>
      </c>
      <c r="D11" s="35"/>
      <c r="E11" s="35"/>
      <c r="F11" s="35"/>
      <c r="G11" s="22"/>
      <c r="H11" s="84">
        <v>6</v>
      </c>
      <c r="I11" s="85">
        <f t="shared" si="1"/>
        <v>25.102882028282924</v>
      </c>
      <c r="J11" s="85">
        <f t="shared" si="5"/>
        <v>3</v>
      </c>
      <c r="K11" s="84">
        <f t="shared" si="2"/>
        <v>30</v>
      </c>
      <c r="L11" s="84"/>
      <c r="M11" s="86">
        <f t="shared" si="3"/>
        <v>55.10288202828292</v>
      </c>
      <c r="V11" s="90"/>
      <c r="Z11" s="88"/>
      <c r="AA11" s="88"/>
      <c r="AG11" s="89"/>
      <c r="AH11" s="71" t="s">
        <v>53</v>
      </c>
      <c r="AI11" s="71">
        <v>50</v>
      </c>
    </row>
    <row r="12" spans="1:36" ht="14.45" customHeight="1" x14ac:dyDescent="0.25">
      <c r="A12" s="109">
        <f t="shared" si="4"/>
        <v>52.960904978911934</v>
      </c>
      <c r="B12" s="28">
        <f t="shared" si="0"/>
        <v>7</v>
      </c>
      <c r="C12" s="29" t="s">
        <v>50</v>
      </c>
      <c r="D12" s="29"/>
      <c r="E12" s="29"/>
      <c r="F12" s="29"/>
      <c r="G12" s="22"/>
      <c r="H12" s="81">
        <v>7</v>
      </c>
      <c r="I12" s="82">
        <f t="shared" si="1"/>
        <v>22.960904978911934</v>
      </c>
      <c r="J12" s="82">
        <f t="shared" si="5"/>
        <v>3</v>
      </c>
      <c r="K12" s="81">
        <f t="shared" si="2"/>
        <v>30</v>
      </c>
      <c r="L12" s="81"/>
      <c r="M12" s="83">
        <f t="shared" si="3"/>
        <v>52.960904978911934</v>
      </c>
      <c r="Z12" s="88"/>
      <c r="AA12" s="88"/>
      <c r="AG12" s="89"/>
      <c r="AH12" s="71" t="s">
        <v>54</v>
      </c>
      <c r="AI12" s="71">
        <f>AI11-1</f>
        <v>49</v>
      </c>
    </row>
    <row r="13" spans="1:36" ht="14.45" customHeight="1" x14ac:dyDescent="0.25">
      <c r="A13" s="110">
        <f t="shared" si="4"/>
        <v>51.105440061775077</v>
      </c>
      <c r="B13" s="34">
        <f t="shared" si="0"/>
        <v>8</v>
      </c>
      <c r="C13" s="35" t="s">
        <v>50</v>
      </c>
      <c r="D13" s="35"/>
      <c r="E13" s="35"/>
      <c r="F13" s="35"/>
      <c r="G13" s="22"/>
      <c r="H13" s="84">
        <v>8</v>
      </c>
      <c r="I13" s="85">
        <f t="shared" si="1"/>
        <v>21.105440061775077</v>
      </c>
      <c r="J13" s="85">
        <f t="shared" si="5"/>
        <v>3</v>
      </c>
      <c r="K13" s="84">
        <f t="shared" si="2"/>
        <v>30</v>
      </c>
      <c r="L13" s="84"/>
      <c r="M13" s="86">
        <f t="shared" si="3"/>
        <v>51.105440061775077</v>
      </c>
      <c r="X13" s="87"/>
      <c r="AG13" s="89"/>
      <c r="AH13" s="71" t="s">
        <v>55</v>
      </c>
      <c r="AI13" s="71">
        <f>LOG(AI9)</f>
        <v>1.3617278360175928</v>
      </c>
    </row>
    <row r="14" spans="1:36" x14ac:dyDescent="0.25">
      <c r="A14" s="109">
        <f t="shared" si="4"/>
        <v>39.46880401538246</v>
      </c>
      <c r="B14" s="28">
        <f t="shared" si="0"/>
        <v>9</v>
      </c>
      <c r="C14" s="29" t="s">
        <v>50</v>
      </c>
      <c r="D14" s="29"/>
      <c r="E14" s="29"/>
      <c r="F14" s="29"/>
      <c r="G14" s="22"/>
      <c r="H14" s="81">
        <v>9</v>
      </c>
      <c r="I14" s="82">
        <f t="shared" si="1"/>
        <v>19.46880401538246</v>
      </c>
      <c r="J14" s="82">
        <f t="shared" si="5"/>
        <v>2</v>
      </c>
      <c r="K14" s="81">
        <f t="shared" si="2"/>
        <v>20</v>
      </c>
      <c r="L14" s="81"/>
      <c r="M14" s="83">
        <f t="shared" si="3"/>
        <v>39.46880401538246</v>
      </c>
      <c r="X14" s="91"/>
      <c r="Z14" s="88"/>
      <c r="AA14" s="88"/>
      <c r="AG14" s="89"/>
      <c r="AH14" s="71" t="s">
        <v>56</v>
      </c>
      <c r="AI14" s="71">
        <f>LOG(AI10)</f>
        <v>1.6532125137753437</v>
      </c>
    </row>
    <row r="15" spans="1:36" x14ac:dyDescent="0.25">
      <c r="A15" s="110">
        <f t="shared" si="4"/>
        <v>38.004783183934592</v>
      </c>
      <c r="B15" s="34">
        <f t="shared" si="0"/>
        <v>10</v>
      </c>
      <c r="C15" s="35" t="s">
        <v>50</v>
      </c>
      <c r="D15" s="35"/>
      <c r="E15" s="35"/>
      <c r="F15" s="35"/>
      <c r="G15" s="22"/>
      <c r="H15" s="84">
        <v>10</v>
      </c>
      <c r="I15" s="85">
        <f t="shared" si="1"/>
        <v>18.004783183934592</v>
      </c>
      <c r="J15" s="85">
        <f t="shared" si="5"/>
        <v>2</v>
      </c>
      <c r="K15" s="84">
        <f t="shared" si="2"/>
        <v>20</v>
      </c>
      <c r="L15" s="84"/>
      <c r="M15" s="86">
        <f t="shared" si="3"/>
        <v>38.004783183934592</v>
      </c>
      <c r="X15" s="87"/>
      <c r="Z15" s="88"/>
      <c r="AA15" s="88"/>
    </row>
    <row r="16" spans="1:36" x14ac:dyDescent="0.25">
      <c r="A16" s="109">
        <f t="shared" si="4"/>
        <v>36.680415247698051</v>
      </c>
      <c r="B16" s="28">
        <f t="shared" si="0"/>
        <v>11</v>
      </c>
      <c r="C16" s="29" t="s">
        <v>50</v>
      </c>
      <c r="D16" s="29"/>
      <c r="E16" s="29"/>
      <c r="F16" s="29"/>
      <c r="G16" s="22"/>
      <c r="H16" s="81">
        <v>11</v>
      </c>
      <c r="I16" s="82">
        <f t="shared" si="1"/>
        <v>16.680415247698051</v>
      </c>
      <c r="J16" s="82">
        <f t="shared" si="5"/>
        <v>2</v>
      </c>
      <c r="K16" s="81">
        <f t="shared" si="2"/>
        <v>20</v>
      </c>
      <c r="L16" s="81"/>
      <c r="M16" s="83">
        <f t="shared" si="3"/>
        <v>36.680415247698051</v>
      </c>
      <c r="R16" s="92"/>
      <c r="Z16" s="88"/>
      <c r="AA16" s="88"/>
      <c r="AH16" s="93" t="s">
        <v>57</v>
      </c>
      <c r="AI16" s="71">
        <f>AI11-AI12*AI13/AI14</f>
        <v>9.6393909380186855</v>
      </c>
      <c r="AJ16" s="71" t="s">
        <v>58</v>
      </c>
    </row>
    <row r="17" spans="1:19" x14ac:dyDescent="0.25">
      <c r="A17" s="110">
        <f t="shared" si="4"/>
        <v>35.47136204887461</v>
      </c>
      <c r="B17" s="34">
        <f t="shared" si="0"/>
        <v>12</v>
      </c>
      <c r="C17" s="35" t="s">
        <v>50</v>
      </c>
      <c r="D17" s="35"/>
      <c r="E17" s="35"/>
      <c r="F17" s="35"/>
      <c r="G17" s="22"/>
      <c r="H17" s="84">
        <v>12</v>
      </c>
      <c r="I17" s="85">
        <f t="shared" si="1"/>
        <v>15.47136204887461</v>
      </c>
      <c r="J17" s="85">
        <f t="shared" si="5"/>
        <v>2</v>
      </c>
      <c r="K17" s="84">
        <f t="shared" si="2"/>
        <v>20</v>
      </c>
      <c r="L17" s="84"/>
      <c r="M17" s="86">
        <f t="shared" si="3"/>
        <v>35.47136204887461</v>
      </c>
    </row>
    <row r="18" spans="1:19" x14ac:dyDescent="0.25">
      <c r="A18" s="109">
        <f t="shared" si="4"/>
        <v>34.359140922128027</v>
      </c>
      <c r="B18" s="28">
        <f t="shared" si="0"/>
        <v>13</v>
      </c>
      <c r="C18" s="29" t="s">
        <v>50</v>
      </c>
      <c r="D18" s="29"/>
      <c r="E18" s="29"/>
      <c r="F18" s="29"/>
      <c r="G18" s="22"/>
      <c r="H18" s="81">
        <v>13</v>
      </c>
      <c r="I18" s="82">
        <f t="shared" si="1"/>
        <v>14.359140922128027</v>
      </c>
      <c r="J18" s="82">
        <f t="shared" si="5"/>
        <v>2</v>
      </c>
      <c r="K18" s="81">
        <f t="shared" si="2"/>
        <v>20</v>
      </c>
      <c r="L18" s="81"/>
      <c r="M18" s="83">
        <f t="shared" si="3"/>
        <v>34.359140922128027</v>
      </c>
    </row>
    <row r="19" spans="1:19" x14ac:dyDescent="0.25">
      <c r="A19" s="110">
        <f t="shared" si="4"/>
        <v>33.329384999503631</v>
      </c>
      <c r="B19" s="34">
        <f t="shared" si="0"/>
        <v>14</v>
      </c>
      <c r="C19" s="35" t="s">
        <v>50</v>
      </c>
      <c r="D19" s="35"/>
      <c r="E19" s="35"/>
      <c r="F19" s="35"/>
      <c r="G19" s="22"/>
      <c r="H19" s="84">
        <v>14</v>
      </c>
      <c r="I19" s="85">
        <f t="shared" si="1"/>
        <v>13.329384999503631</v>
      </c>
      <c r="J19" s="85">
        <f t="shared" si="5"/>
        <v>2</v>
      </c>
      <c r="K19" s="84">
        <f t="shared" si="2"/>
        <v>20</v>
      </c>
      <c r="L19" s="84"/>
      <c r="M19" s="86">
        <f t="shared" si="3"/>
        <v>33.329384999503631</v>
      </c>
    </row>
    <row r="20" spans="1:19" x14ac:dyDescent="0.25">
      <c r="A20" s="109">
        <f t="shared" si="4"/>
        <v>32.370705171034125</v>
      </c>
      <c r="B20" s="28">
        <f t="shared" si="0"/>
        <v>15</v>
      </c>
      <c r="C20" s="29" t="s">
        <v>50</v>
      </c>
      <c r="D20" s="29"/>
      <c r="E20" s="29"/>
      <c r="F20" s="29"/>
      <c r="G20" s="22"/>
      <c r="H20" s="81">
        <v>15</v>
      </c>
      <c r="I20" s="82">
        <f t="shared" si="1"/>
        <v>12.370705171034125</v>
      </c>
      <c r="J20" s="82">
        <f t="shared" si="5"/>
        <v>2</v>
      </c>
      <c r="K20" s="81">
        <f t="shared" si="2"/>
        <v>20</v>
      </c>
      <c r="L20" s="81"/>
      <c r="M20" s="83">
        <f t="shared" si="3"/>
        <v>32.370705171034125</v>
      </c>
      <c r="R20" s="94"/>
      <c r="S20" s="95"/>
    </row>
    <row r="21" spans="1:19" x14ac:dyDescent="0.25">
      <c r="A21" s="110">
        <f t="shared" si="4"/>
        <v>31.473920082366767</v>
      </c>
      <c r="B21" s="34">
        <f t="shared" si="0"/>
        <v>16</v>
      </c>
      <c r="C21" s="35" t="s">
        <v>50</v>
      </c>
      <c r="D21" s="35"/>
      <c r="E21" s="35"/>
      <c r="F21" s="35"/>
      <c r="G21" s="22"/>
      <c r="H21" s="84">
        <v>16</v>
      </c>
      <c r="I21" s="85">
        <f t="shared" si="1"/>
        <v>11.473920082366767</v>
      </c>
      <c r="J21" s="85">
        <f t="shared" si="5"/>
        <v>2</v>
      </c>
      <c r="K21" s="84">
        <f t="shared" si="2"/>
        <v>20</v>
      </c>
      <c r="L21" s="84"/>
      <c r="M21" s="86">
        <f t="shared" si="3"/>
        <v>31.473920082366767</v>
      </c>
    </row>
    <row r="22" spans="1:19" x14ac:dyDescent="0.25">
      <c r="A22" s="109">
        <f t="shared" si="4"/>
        <v>20.63151997940831</v>
      </c>
      <c r="B22" s="28">
        <f t="shared" si="0"/>
        <v>17</v>
      </c>
      <c r="C22" s="29" t="s">
        <v>50</v>
      </c>
      <c r="D22" s="29"/>
      <c r="E22" s="29"/>
      <c r="F22" s="29"/>
      <c r="G22" s="22"/>
      <c r="H22" s="81">
        <v>17</v>
      </c>
      <c r="I22" s="82">
        <f t="shared" si="1"/>
        <v>10.63151997940831</v>
      </c>
      <c r="J22" s="82">
        <f t="shared" si="5"/>
        <v>1</v>
      </c>
      <c r="K22" s="81">
        <f t="shared" si="2"/>
        <v>10</v>
      </c>
      <c r="L22" s="81"/>
      <c r="M22" s="83">
        <f t="shared" si="3"/>
        <v>20.63151997940831</v>
      </c>
    </row>
    <row r="23" spans="1:19" x14ac:dyDescent="0.25">
      <c r="A23" s="110">
        <f t="shared" si="4"/>
        <v>19.837284035974157</v>
      </c>
      <c r="B23" s="34">
        <f t="shared" si="0"/>
        <v>18</v>
      </c>
      <c r="C23" s="35" t="s">
        <v>50</v>
      </c>
      <c r="D23" s="35"/>
      <c r="E23" s="35"/>
      <c r="F23" s="35"/>
      <c r="G23" s="22"/>
      <c r="H23" s="84">
        <v>18</v>
      </c>
      <c r="I23" s="85">
        <f t="shared" si="1"/>
        <v>9.8372840359741573</v>
      </c>
      <c r="J23" s="85">
        <f t="shared" si="5"/>
        <v>1</v>
      </c>
      <c r="K23" s="84">
        <f t="shared" si="2"/>
        <v>10</v>
      </c>
      <c r="L23" s="84"/>
      <c r="M23" s="86">
        <f t="shared" si="3"/>
        <v>19.837284035974157</v>
      </c>
    </row>
    <row r="24" spans="1:19" x14ac:dyDescent="0.25">
      <c r="A24" s="109">
        <f t="shared" si="4"/>
        <v>19.086001283189859</v>
      </c>
      <c r="B24" s="28">
        <f t="shared" si="0"/>
        <v>19</v>
      </c>
      <c r="C24" s="29" t="s">
        <v>50</v>
      </c>
      <c r="D24" s="29"/>
      <c r="E24" s="29"/>
      <c r="F24" s="29"/>
      <c r="G24" s="22"/>
      <c r="H24" s="81">
        <v>19</v>
      </c>
      <c r="I24" s="82">
        <f t="shared" si="1"/>
        <v>9.0860012831898587</v>
      </c>
      <c r="J24" s="82">
        <f t="shared" si="5"/>
        <v>1</v>
      </c>
      <c r="K24" s="81">
        <f t="shared" si="2"/>
        <v>10</v>
      </c>
      <c r="L24" s="81"/>
      <c r="M24" s="83">
        <f t="shared" si="3"/>
        <v>19.086001283189859</v>
      </c>
      <c r="R24" s="94"/>
      <c r="S24" s="95"/>
    </row>
    <row r="25" spans="1:19" x14ac:dyDescent="0.25">
      <c r="A25" s="110">
        <f t="shared" si="4"/>
        <v>18.373263204526282</v>
      </c>
      <c r="B25" s="34">
        <f t="shared" si="0"/>
        <v>20</v>
      </c>
      <c r="C25" s="35" t="s">
        <v>50</v>
      </c>
      <c r="D25" s="35"/>
      <c r="E25" s="35"/>
      <c r="F25" s="35"/>
      <c r="G25" s="22"/>
      <c r="H25" s="84">
        <v>20</v>
      </c>
      <c r="I25" s="85">
        <f t="shared" si="1"/>
        <v>8.3732632045262818</v>
      </c>
      <c r="J25" s="85">
        <f t="shared" si="5"/>
        <v>1</v>
      </c>
      <c r="K25" s="84">
        <f t="shared" si="2"/>
        <v>10</v>
      </c>
      <c r="L25" s="84"/>
      <c r="M25" s="86">
        <f t="shared" si="3"/>
        <v>18.373263204526282</v>
      </c>
    </row>
    <row r="26" spans="1:19" x14ac:dyDescent="0.25">
      <c r="A26" s="109">
        <f t="shared" si="4"/>
        <v>17.695306986603164</v>
      </c>
      <c r="B26" s="28">
        <f t="shared" si="0"/>
        <v>21</v>
      </c>
      <c r="C26" s="29" t="s">
        <v>50</v>
      </c>
      <c r="D26" s="29"/>
      <c r="E26" s="29"/>
      <c r="F26" s="29"/>
      <c r="G26" s="22"/>
      <c r="H26" s="81">
        <v>21</v>
      </c>
      <c r="I26" s="82">
        <f t="shared" si="1"/>
        <v>7.695306986603164</v>
      </c>
      <c r="J26" s="82">
        <f t="shared" si="5"/>
        <v>1</v>
      </c>
      <c r="K26" s="81">
        <f t="shared" si="2"/>
        <v>10</v>
      </c>
      <c r="L26" s="81"/>
      <c r="M26" s="83">
        <f t="shared" si="3"/>
        <v>17.695306986603164</v>
      </c>
    </row>
    <row r="27" spans="1:19" x14ac:dyDescent="0.25">
      <c r="A27" s="110">
        <f t="shared" si="4"/>
        <v>17.048895268289748</v>
      </c>
      <c r="B27" s="34">
        <f t="shared" si="0"/>
        <v>22</v>
      </c>
      <c r="C27" s="35" t="s">
        <v>50</v>
      </c>
      <c r="D27" s="35"/>
      <c r="E27" s="35"/>
      <c r="F27" s="35"/>
      <c r="G27" s="22"/>
      <c r="H27" s="84">
        <v>22</v>
      </c>
      <c r="I27" s="85">
        <f t="shared" si="1"/>
        <v>7.0488952682897477</v>
      </c>
      <c r="J27" s="85">
        <f t="shared" si="5"/>
        <v>1</v>
      </c>
      <c r="K27" s="84">
        <f t="shared" si="2"/>
        <v>10</v>
      </c>
      <c r="L27" s="84"/>
      <c r="M27" s="86">
        <f t="shared" si="3"/>
        <v>17.048895268289748</v>
      </c>
    </row>
    <row r="28" spans="1:19" x14ac:dyDescent="0.25">
      <c r="A28" s="109">
        <f t="shared" si="4"/>
        <v>16.431222642145556</v>
      </c>
      <c r="B28" s="28">
        <f t="shared" si="0"/>
        <v>23</v>
      </c>
      <c r="C28" s="29" t="s">
        <v>50</v>
      </c>
      <c r="D28" s="29"/>
      <c r="E28" s="29"/>
      <c r="F28" s="29"/>
      <c r="G28" s="22"/>
      <c r="H28" s="81">
        <v>23</v>
      </c>
      <c r="I28" s="82">
        <f t="shared" si="1"/>
        <v>6.4312226421455563</v>
      </c>
      <c r="J28" s="82">
        <f t="shared" si="5"/>
        <v>1</v>
      </c>
      <c r="K28" s="81">
        <f t="shared" si="2"/>
        <v>10</v>
      </c>
      <c r="L28" s="81"/>
      <c r="M28" s="83">
        <f t="shared" si="3"/>
        <v>16.431222642145556</v>
      </c>
      <c r="R28" s="94"/>
      <c r="S28" s="95"/>
    </row>
    <row r="29" spans="1:19" x14ac:dyDescent="0.25">
      <c r="A29" s="110">
        <f t="shared" si="4"/>
        <v>15.839842069466307</v>
      </c>
      <c r="B29" s="34">
        <f t="shared" si="0"/>
        <v>24</v>
      </c>
      <c r="C29" s="35" t="s">
        <v>50</v>
      </c>
      <c r="D29" s="35"/>
      <c r="E29" s="35"/>
      <c r="F29" s="35"/>
      <c r="G29" s="64"/>
      <c r="H29" s="84">
        <v>24</v>
      </c>
      <c r="I29" s="85">
        <f t="shared" si="1"/>
        <v>5.8398420694663074</v>
      </c>
      <c r="J29" s="85">
        <f t="shared" si="5"/>
        <v>1</v>
      </c>
      <c r="K29" s="84">
        <f t="shared" si="2"/>
        <v>10</v>
      </c>
      <c r="L29" s="84"/>
      <c r="M29" s="86">
        <f t="shared" si="3"/>
        <v>15.839842069466307</v>
      </c>
    </row>
    <row r="30" spans="1:19" x14ac:dyDescent="0.25">
      <c r="A30" s="109">
        <f t="shared" si="4"/>
        <v>15.272606326685796</v>
      </c>
      <c r="B30" s="28">
        <f t="shared" si="0"/>
        <v>25</v>
      </c>
      <c r="C30" s="29" t="s">
        <v>50</v>
      </c>
      <c r="D30" s="29"/>
      <c r="E30" s="29"/>
      <c r="F30" s="29"/>
      <c r="G30" s="64"/>
      <c r="H30" s="81">
        <v>25</v>
      </c>
      <c r="I30" s="82">
        <f t="shared" si="1"/>
        <v>5.2726063266857963</v>
      </c>
      <c r="J30" s="82">
        <f t="shared" si="5"/>
        <v>1</v>
      </c>
      <c r="K30" s="81">
        <f t="shared" si="2"/>
        <v>10</v>
      </c>
      <c r="L30" s="81"/>
      <c r="M30" s="83">
        <f t="shared" si="3"/>
        <v>15.272606326685796</v>
      </c>
    </row>
    <row r="31" spans="1:19" x14ac:dyDescent="0.25">
      <c r="A31" s="110">
        <f t="shared" si="4"/>
        <v>14.727620942719717</v>
      </c>
      <c r="B31" s="34">
        <f t="shared" si="0"/>
        <v>26</v>
      </c>
      <c r="C31" s="35" t="s">
        <v>50</v>
      </c>
      <c r="D31" s="35"/>
      <c r="E31" s="35"/>
      <c r="F31" s="35"/>
      <c r="G31" s="64"/>
      <c r="H31" s="84">
        <v>26</v>
      </c>
      <c r="I31" s="85">
        <f t="shared" si="1"/>
        <v>4.7276209427197173</v>
      </c>
      <c r="J31" s="85">
        <f t="shared" si="5"/>
        <v>1</v>
      </c>
      <c r="K31" s="84">
        <f t="shared" si="2"/>
        <v>10</v>
      </c>
      <c r="L31" s="84"/>
      <c r="M31" s="86">
        <f t="shared" si="3"/>
        <v>14.727620942719717</v>
      </c>
    </row>
    <row r="32" spans="1:19" x14ac:dyDescent="0.25">
      <c r="A32" s="109">
        <f t="shared" si="4"/>
        <v>14.20320602307369</v>
      </c>
      <c r="B32" s="28">
        <f t="shared" si="0"/>
        <v>27</v>
      </c>
      <c r="C32" s="29" t="s">
        <v>50</v>
      </c>
      <c r="D32" s="29"/>
      <c r="E32" s="29"/>
      <c r="F32" s="29"/>
      <c r="G32" s="64"/>
      <c r="H32" s="81">
        <v>27</v>
      </c>
      <c r="I32" s="82">
        <f t="shared" si="1"/>
        <v>4.2032060230736903</v>
      </c>
      <c r="J32" s="82">
        <f t="shared" si="5"/>
        <v>1</v>
      </c>
      <c r="K32" s="81">
        <f t="shared" si="2"/>
        <v>10</v>
      </c>
      <c r="L32" s="81"/>
      <c r="M32" s="83">
        <f t="shared" si="3"/>
        <v>14.20320602307369</v>
      </c>
      <c r="R32" s="94"/>
      <c r="S32" s="95"/>
    </row>
    <row r="33" spans="1:21" x14ac:dyDescent="0.25">
      <c r="A33" s="110">
        <f t="shared" si="4"/>
        <v>13.697865020095321</v>
      </c>
      <c r="B33" s="34">
        <f t="shared" si="0"/>
        <v>28</v>
      </c>
      <c r="C33" s="35" t="s">
        <v>50</v>
      </c>
      <c r="D33" s="35"/>
      <c r="E33" s="35"/>
      <c r="F33" s="35"/>
      <c r="G33" s="64"/>
      <c r="H33" s="84">
        <v>28</v>
      </c>
      <c r="I33" s="85">
        <f t="shared" si="1"/>
        <v>3.6978650200953211</v>
      </c>
      <c r="J33" s="85">
        <f t="shared" si="5"/>
        <v>1</v>
      </c>
      <c r="K33" s="84">
        <f t="shared" si="2"/>
        <v>10</v>
      </c>
      <c r="L33" s="84"/>
      <c r="M33" s="86">
        <f t="shared" si="3"/>
        <v>13.697865020095321</v>
      </c>
    </row>
    <row r="34" spans="1:21" x14ac:dyDescent="0.25">
      <c r="A34" s="109">
        <f t="shared" si="4"/>
        <v>13.210258985842934</v>
      </c>
      <c r="B34" s="28">
        <f t="shared" si="0"/>
        <v>29</v>
      </c>
      <c r="C34" s="29" t="s">
        <v>50</v>
      </c>
      <c r="D34" s="29"/>
      <c r="E34" s="29"/>
      <c r="F34" s="29"/>
      <c r="G34" s="64"/>
      <c r="H34" s="81">
        <v>29</v>
      </c>
      <c r="I34" s="82">
        <f t="shared" si="1"/>
        <v>3.210258985842934</v>
      </c>
      <c r="J34" s="82">
        <f t="shared" si="5"/>
        <v>1</v>
      </c>
      <c r="K34" s="81">
        <f t="shared" si="2"/>
        <v>10</v>
      </c>
      <c r="L34" s="81"/>
      <c r="M34" s="83">
        <f t="shared" si="3"/>
        <v>13.210258985842934</v>
      </c>
    </row>
    <row r="35" spans="1:21" x14ac:dyDescent="0.25">
      <c r="A35" s="110">
        <f t="shared" si="4"/>
        <v>12.739185191625822</v>
      </c>
      <c r="B35" s="34">
        <f t="shared" si="0"/>
        <v>30</v>
      </c>
      <c r="C35" s="35" t="s">
        <v>50</v>
      </c>
      <c r="D35" s="35"/>
      <c r="E35" s="35"/>
      <c r="F35" s="35"/>
      <c r="G35" s="64"/>
      <c r="H35" s="84">
        <v>30</v>
      </c>
      <c r="I35" s="85">
        <f t="shared" si="1"/>
        <v>2.7391851916258219</v>
      </c>
      <c r="J35" s="85">
        <f t="shared" si="5"/>
        <v>1</v>
      </c>
      <c r="K35" s="84">
        <f t="shared" si="2"/>
        <v>10</v>
      </c>
      <c r="L35" s="84"/>
      <c r="M35" s="86">
        <f t="shared" si="3"/>
        <v>12.739185191625822</v>
      </c>
    </row>
    <row r="36" spans="1:21" x14ac:dyDescent="0.25">
      <c r="A36" s="109">
        <f t="shared" si="4"/>
        <v>12.28355925459789</v>
      </c>
      <c r="B36" s="28">
        <f t="shared" si="0"/>
        <v>31</v>
      </c>
      <c r="C36" s="29" t="s">
        <v>50</v>
      </c>
      <c r="D36" s="29"/>
      <c r="E36" s="29"/>
      <c r="F36" s="29"/>
      <c r="G36" s="64"/>
      <c r="H36" s="81">
        <v>31</v>
      </c>
      <c r="I36" s="82">
        <f t="shared" si="1"/>
        <v>2.2835592545978898</v>
      </c>
      <c r="J36" s="82">
        <f t="shared" si="5"/>
        <v>1</v>
      </c>
      <c r="K36" s="81">
        <f t="shared" si="2"/>
        <v>10</v>
      </c>
      <c r="L36" s="81"/>
      <c r="M36" s="83">
        <f t="shared" si="3"/>
        <v>12.28355925459789</v>
      </c>
      <c r="R36" s="94"/>
      <c r="S36" s="95"/>
    </row>
    <row r="37" spans="1:21" x14ac:dyDescent="0.25">
      <c r="A37" s="110">
        <f t="shared" si="4"/>
        <v>11.842400102958457</v>
      </c>
      <c r="B37" s="34">
        <f t="shared" si="0"/>
        <v>32</v>
      </c>
      <c r="C37" s="35" t="s">
        <v>50</v>
      </c>
      <c r="D37" s="35"/>
      <c r="E37" s="35"/>
      <c r="F37" s="35"/>
      <c r="G37" s="64"/>
      <c r="H37" s="84">
        <v>32</v>
      </c>
      <c r="I37" s="85">
        <f t="shared" si="1"/>
        <v>1.8424001029584574</v>
      </c>
      <c r="J37" s="85">
        <f t="shared" si="5"/>
        <v>1</v>
      </c>
      <c r="K37" s="84">
        <f t="shared" si="2"/>
        <v>10</v>
      </c>
      <c r="L37" s="84"/>
      <c r="M37" s="86">
        <f t="shared" si="3"/>
        <v>11.842400102958457</v>
      </c>
    </row>
    <row r="38" spans="1:21" x14ac:dyDescent="0.25">
      <c r="A38" s="110">
        <f t="shared" si="4"/>
        <v>1.4148172553892806</v>
      </c>
      <c r="B38" s="28">
        <f t="shared" si="0"/>
        <v>33</v>
      </c>
      <c r="C38" s="29" t="s">
        <v>50</v>
      </c>
      <c r="D38" s="29"/>
      <c r="E38" s="29"/>
      <c r="F38" s="29"/>
      <c r="G38" s="64"/>
      <c r="H38" s="81">
        <v>33</v>
      </c>
      <c r="I38" s="82">
        <f t="shared" si="1"/>
        <v>1.4148172553892806</v>
      </c>
      <c r="J38" s="82">
        <f t="shared" si="5"/>
        <v>0</v>
      </c>
      <c r="K38" s="81">
        <f t="shared" si="2"/>
        <v>0</v>
      </c>
      <c r="L38" s="81"/>
      <c r="M38" s="83">
        <f t="shared" si="3"/>
        <v>1.4148172553892806</v>
      </c>
    </row>
    <row r="39" spans="1:21" x14ac:dyDescent="0.25">
      <c r="A39" s="110">
        <f t="shared" si="4"/>
        <v>1</v>
      </c>
      <c r="B39" s="34">
        <f t="shared" si="0"/>
        <v>34</v>
      </c>
      <c r="C39" s="35" t="s">
        <v>50</v>
      </c>
      <c r="D39" s="35"/>
      <c r="E39" s="35"/>
      <c r="F39" s="35"/>
      <c r="G39" s="64"/>
      <c r="H39" s="84">
        <v>34</v>
      </c>
      <c r="I39" s="85">
        <f t="shared" si="1"/>
        <v>1</v>
      </c>
      <c r="J39" s="85">
        <f t="shared" si="5"/>
        <v>0</v>
      </c>
      <c r="K39" s="84">
        <f t="shared" si="2"/>
        <v>0</v>
      </c>
      <c r="L39" s="84"/>
      <c r="M39" s="86">
        <f t="shared" si="3"/>
        <v>1</v>
      </c>
    </row>
    <row r="40" spans="1:21" x14ac:dyDescent="0.25">
      <c r="A40" s="110">
        <f t="shared" si="4"/>
        <v>0</v>
      </c>
      <c r="B40" s="28" t="str">
        <f t="shared" si="0"/>
        <v/>
      </c>
      <c r="C40" s="29"/>
      <c r="D40" s="29"/>
      <c r="E40" s="29"/>
      <c r="F40" s="29"/>
      <c r="G40" s="64"/>
      <c r="H40" s="81">
        <v>35</v>
      </c>
      <c r="I40" s="82" t="str">
        <f t="shared" si="1"/>
        <v/>
      </c>
      <c r="J40" s="82">
        <f t="shared" si="5"/>
        <v>0</v>
      </c>
      <c r="K40" s="81">
        <f t="shared" si="2"/>
        <v>0</v>
      </c>
      <c r="L40" s="81"/>
      <c r="M40" s="83">
        <f t="shared" si="3"/>
        <v>0</v>
      </c>
    </row>
    <row r="41" spans="1:21" x14ac:dyDescent="0.25">
      <c r="A41" s="110">
        <f t="shared" si="4"/>
        <v>0</v>
      </c>
      <c r="B41" s="34" t="str">
        <f t="shared" si="0"/>
        <v/>
      </c>
      <c r="C41" s="35"/>
      <c r="D41" s="35"/>
      <c r="E41" s="35"/>
      <c r="F41" s="35"/>
      <c r="G41" s="64"/>
      <c r="H41" s="84">
        <v>36</v>
      </c>
      <c r="I41" s="85" t="str">
        <f t="shared" si="1"/>
        <v/>
      </c>
      <c r="J41" s="85">
        <f t="shared" si="5"/>
        <v>0</v>
      </c>
      <c r="K41" s="84">
        <f t="shared" si="2"/>
        <v>0</v>
      </c>
      <c r="L41" s="84"/>
      <c r="M41" s="86">
        <f t="shared" si="3"/>
        <v>0</v>
      </c>
      <c r="S41" s="96"/>
    </row>
    <row r="42" spans="1:21" x14ac:dyDescent="0.25">
      <c r="A42" s="110">
        <f t="shared" si="4"/>
        <v>0</v>
      </c>
      <c r="B42" s="28" t="str">
        <f t="shared" si="0"/>
        <v/>
      </c>
      <c r="C42" s="29"/>
      <c r="D42" s="29"/>
      <c r="E42" s="29"/>
      <c r="F42" s="29"/>
      <c r="G42" s="64"/>
      <c r="H42" s="81">
        <v>37</v>
      </c>
      <c r="I42" s="82" t="str">
        <f t="shared" si="1"/>
        <v/>
      </c>
      <c r="J42" s="82">
        <f t="shared" si="5"/>
        <v>0</v>
      </c>
      <c r="K42" s="81">
        <f t="shared" si="2"/>
        <v>0</v>
      </c>
      <c r="L42" s="81"/>
      <c r="M42" s="83">
        <f t="shared" si="3"/>
        <v>0</v>
      </c>
    </row>
    <row r="43" spans="1:21" x14ac:dyDescent="0.25">
      <c r="A43" s="110">
        <f t="shared" si="4"/>
        <v>0</v>
      </c>
      <c r="B43" s="34" t="str">
        <f t="shared" si="0"/>
        <v/>
      </c>
      <c r="C43" s="35"/>
      <c r="D43" s="35"/>
      <c r="E43" s="35"/>
      <c r="F43" s="35"/>
      <c r="G43" s="64"/>
      <c r="H43" s="84">
        <v>38</v>
      </c>
      <c r="I43" s="85" t="str">
        <f t="shared" si="1"/>
        <v/>
      </c>
      <c r="J43" s="85">
        <f t="shared" si="5"/>
        <v>0</v>
      </c>
      <c r="K43" s="84">
        <f t="shared" si="2"/>
        <v>0</v>
      </c>
      <c r="L43" s="84"/>
      <c r="M43" s="86">
        <f t="shared" si="3"/>
        <v>0</v>
      </c>
    </row>
    <row r="44" spans="1:21" x14ac:dyDescent="0.25">
      <c r="A44" s="110">
        <f t="shared" si="4"/>
        <v>0</v>
      </c>
      <c r="B44" s="28" t="str">
        <f t="shared" si="0"/>
        <v/>
      </c>
      <c r="C44" s="29"/>
      <c r="D44" s="29"/>
      <c r="E44" s="29"/>
      <c r="F44" s="29"/>
      <c r="G44" s="64"/>
      <c r="H44" s="81">
        <v>39</v>
      </c>
      <c r="I44" s="82" t="str">
        <f t="shared" si="1"/>
        <v/>
      </c>
      <c r="J44" s="82">
        <f t="shared" si="5"/>
        <v>0</v>
      </c>
      <c r="K44" s="81">
        <f t="shared" si="2"/>
        <v>0</v>
      </c>
      <c r="L44" s="81"/>
      <c r="M44" s="83">
        <f t="shared" si="3"/>
        <v>0</v>
      </c>
    </row>
    <row r="45" spans="1:21" x14ac:dyDescent="0.25">
      <c r="A45" s="110">
        <f t="shared" si="4"/>
        <v>0</v>
      </c>
      <c r="B45" s="34" t="str">
        <f t="shared" si="0"/>
        <v/>
      </c>
      <c r="C45" s="35"/>
      <c r="D45" s="35"/>
      <c r="E45" s="35"/>
      <c r="F45" s="35"/>
      <c r="G45" s="64"/>
      <c r="H45" s="84">
        <v>40</v>
      </c>
      <c r="I45" s="85" t="str">
        <f t="shared" si="1"/>
        <v/>
      </c>
      <c r="J45" s="85">
        <f t="shared" si="5"/>
        <v>0</v>
      </c>
      <c r="K45" s="84">
        <f t="shared" si="2"/>
        <v>0</v>
      </c>
      <c r="L45" s="84"/>
      <c r="M45" s="86">
        <f t="shared" si="3"/>
        <v>0</v>
      </c>
    </row>
    <row r="46" spans="1:21" x14ac:dyDescent="0.25">
      <c r="A46" s="110">
        <f t="shared" si="4"/>
        <v>0</v>
      </c>
      <c r="B46" s="28" t="str">
        <f t="shared" si="0"/>
        <v/>
      </c>
      <c r="C46" s="29"/>
      <c r="D46" s="29"/>
      <c r="E46" s="29"/>
      <c r="F46" s="29"/>
      <c r="G46" s="64"/>
      <c r="H46" s="81">
        <v>41</v>
      </c>
      <c r="I46" s="82" t="str">
        <f t="shared" si="1"/>
        <v/>
      </c>
      <c r="J46" s="82">
        <f t="shared" si="5"/>
        <v>0</v>
      </c>
      <c r="K46" s="81">
        <f t="shared" si="2"/>
        <v>0</v>
      </c>
      <c r="L46" s="81"/>
      <c r="M46" s="83">
        <f t="shared" si="3"/>
        <v>0</v>
      </c>
      <c r="R46" s="64">
        <f>LOG($H$2,2)</f>
        <v>5.08746284125034</v>
      </c>
      <c r="T46" s="71">
        <f>LOG(H38,2)</f>
        <v>5.0443941193584534</v>
      </c>
      <c r="U46" s="71">
        <f>R46-T46</f>
        <v>4.3068721891886597E-2</v>
      </c>
    </row>
    <row r="47" spans="1:21" x14ac:dyDescent="0.25">
      <c r="A47" s="110">
        <f t="shared" si="4"/>
        <v>0</v>
      </c>
      <c r="B47" s="34" t="str">
        <f t="shared" si="0"/>
        <v/>
      </c>
      <c r="C47" s="35"/>
      <c r="D47" s="35"/>
      <c r="E47" s="35"/>
      <c r="F47" s="35"/>
      <c r="G47" s="64"/>
      <c r="H47" s="84">
        <v>42</v>
      </c>
      <c r="I47" s="85" t="str">
        <f t="shared" si="1"/>
        <v/>
      </c>
      <c r="J47" s="85">
        <f t="shared" si="5"/>
        <v>0</v>
      </c>
      <c r="K47" s="84">
        <f t="shared" si="2"/>
        <v>0</v>
      </c>
      <c r="L47" s="84"/>
      <c r="M47" s="86">
        <f t="shared" si="3"/>
        <v>0</v>
      </c>
    </row>
    <row r="48" spans="1:21" x14ac:dyDescent="0.25">
      <c r="A48" s="110">
        <f t="shared" si="4"/>
        <v>0</v>
      </c>
      <c r="B48" s="28" t="str">
        <f t="shared" si="0"/>
        <v/>
      </c>
      <c r="C48" s="29"/>
      <c r="D48" s="29"/>
      <c r="E48" s="29"/>
      <c r="F48" s="29"/>
      <c r="G48" s="64"/>
      <c r="H48" s="81">
        <v>43</v>
      </c>
      <c r="I48" s="82" t="str">
        <f t="shared" si="1"/>
        <v/>
      </c>
      <c r="J48" s="82">
        <f t="shared" si="5"/>
        <v>0</v>
      </c>
      <c r="K48" s="81">
        <f t="shared" si="2"/>
        <v>0</v>
      </c>
      <c r="L48" s="81"/>
      <c r="M48" s="83">
        <f t="shared" si="3"/>
        <v>0</v>
      </c>
    </row>
    <row r="49" spans="1:13" x14ac:dyDescent="0.25">
      <c r="A49" s="110">
        <f t="shared" si="4"/>
        <v>0</v>
      </c>
      <c r="B49" s="34" t="str">
        <f t="shared" si="0"/>
        <v/>
      </c>
      <c r="C49" s="35"/>
      <c r="D49" s="35"/>
      <c r="E49" s="35"/>
      <c r="F49" s="35"/>
      <c r="G49" s="64"/>
      <c r="H49" s="84">
        <v>44</v>
      </c>
      <c r="I49" s="85" t="str">
        <f t="shared" si="1"/>
        <v/>
      </c>
      <c r="J49" s="85">
        <f t="shared" si="5"/>
        <v>0</v>
      </c>
      <c r="K49" s="84">
        <f t="shared" si="2"/>
        <v>0</v>
      </c>
      <c r="L49" s="84"/>
      <c r="M49" s="86">
        <f t="shared" si="3"/>
        <v>0</v>
      </c>
    </row>
    <row r="50" spans="1:13" x14ac:dyDescent="0.25">
      <c r="A50" s="110">
        <f t="shared" si="4"/>
        <v>0</v>
      </c>
      <c r="B50" s="28" t="str">
        <f t="shared" si="0"/>
        <v/>
      </c>
      <c r="C50" s="29"/>
      <c r="D50" s="29"/>
      <c r="E50" s="29"/>
      <c r="F50" s="29"/>
      <c r="G50" s="64"/>
      <c r="H50" s="81">
        <v>45</v>
      </c>
      <c r="I50" s="82" t="str">
        <f t="shared" si="1"/>
        <v/>
      </c>
      <c r="J50" s="82">
        <f t="shared" si="5"/>
        <v>0</v>
      </c>
      <c r="K50" s="81">
        <f t="shared" si="2"/>
        <v>0</v>
      </c>
      <c r="L50" s="81"/>
      <c r="M50" s="83">
        <f t="shared" si="3"/>
        <v>0</v>
      </c>
    </row>
    <row r="51" spans="1:13" x14ac:dyDescent="0.25">
      <c r="A51" s="110">
        <f t="shared" si="4"/>
        <v>0</v>
      </c>
      <c r="B51" s="34" t="str">
        <f t="shared" si="0"/>
        <v/>
      </c>
      <c r="C51" s="35"/>
      <c r="D51" s="35"/>
      <c r="E51" s="35"/>
      <c r="F51" s="35"/>
      <c r="G51" s="64"/>
      <c r="H51" s="84">
        <v>46</v>
      </c>
      <c r="I51" s="85" t="str">
        <f t="shared" si="1"/>
        <v/>
      </c>
      <c r="J51" s="85">
        <f t="shared" si="5"/>
        <v>0</v>
      </c>
      <c r="K51" s="84">
        <f t="shared" si="2"/>
        <v>0</v>
      </c>
      <c r="L51" s="84"/>
      <c r="M51" s="86">
        <f t="shared" si="3"/>
        <v>0</v>
      </c>
    </row>
    <row r="52" spans="1:13" x14ac:dyDescent="0.25">
      <c r="A52" s="110">
        <f t="shared" si="4"/>
        <v>0</v>
      </c>
      <c r="B52" s="28" t="str">
        <f t="shared" si="0"/>
        <v/>
      </c>
      <c r="C52" s="29"/>
      <c r="D52" s="29"/>
      <c r="E52" s="29"/>
      <c r="F52" s="29"/>
      <c r="G52" s="64"/>
      <c r="H52" s="81">
        <v>47</v>
      </c>
      <c r="I52" s="82" t="str">
        <f t="shared" si="1"/>
        <v/>
      </c>
      <c r="J52" s="82">
        <f t="shared" si="5"/>
        <v>0</v>
      </c>
      <c r="K52" s="81">
        <f t="shared" si="2"/>
        <v>0</v>
      </c>
      <c r="L52" s="81"/>
      <c r="M52" s="83">
        <f t="shared" si="3"/>
        <v>0</v>
      </c>
    </row>
    <row r="53" spans="1:13" x14ac:dyDescent="0.25">
      <c r="A53" s="110">
        <f t="shared" si="4"/>
        <v>0</v>
      </c>
      <c r="B53" s="34" t="str">
        <f t="shared" si="0"/>
        <v/>
      </c>
      <c r="C53" s="35"/>
      <c r="D53" s="35"/>
      <c r="E53" s="35"/>
      <c r="F53" s="35"/>
      <c r="G53" s="64"/>
      <c r="H53" s="84">
        <v>48</v>
      </c>
      <c r="I53" s="85" t="str">
        <f t="shared" si="1"/>
        <v/>
      </c>
      <c r="J53" s="85">
        <f t="shared" si="5"/>
        <v>0</v>
      </c>
      <c r="K53" s="84">
        <f t="shared" si="2"/>
        <v>0</v>
      </c>
      <c r="L53" s="84"/>
      <c r="M53" s="86">
        <f t="shared" si="3"/>
        <v>0</v>
      </c>
    </row>
    <row r="54" spans="1:13" x14ac:dyDescent="0.25">
      <c r="A54" s="110">
        <f t="shared" si="4"/>
        <v>0</v>
      </c>
      <c r="B54" s="28" t="str">
        <f t="shared" si="0"/>
        <v/>
      </c>
      <c r="C54" s="29"/>
      <c r="D54" s="29"/>
      <c r="E54" s="29"/>
      <c r="F54" s="29"/>
      <c r="G54" s="64"/>
      <c r="H54" s="81">
        <v>49</v>
      </c>
      <c r="I54" s="82" t="str">
        <f t="shared" si="1"/>
        <v/>
      </c>
      <c r="J54" s="82">
        <f t="shared" si="5"/>
        <v>0</v>
      </c>
      <c r="K54" s="81">
        <f t="shared" si="2"/>
        <v>0</v>
      </c>
      <c r="L54" s="81"/>
      <c r="M54" s="83">
        <f t="shared" si="3"/>
        <v>0</v>
      </c>
    </row>
    <row r="55" spans="1:13" x14ac:dyDescent="0.25">
      <c r="A55" s="110">
        <f t="shared" si="4"/>
        <v>0</v>
      </c>
      <c r="B55" s="34" t="str">
        <f t="shared" si="0"/>
        <v/>
      </c>
      <c r="C55" s="35"/>
      <c r="D55" s="35"/>
      <c r="E55" s="35"/>
      <c r="F55" s="35"/>
      <c r="G55" s="64"/>
      <c r="H55" s="84">
        <v>50</v>
      </c>
      <c r="I55" s="85" t="str">
        <f t="shared" si="1"/>
        <v/>
      </c>
      <c r="J55" s="85">
        <f t="shared" si="5"/>
        <v>0</v>
      </c>
      <c r="K55" s="84">
        <f t="shared" si="2"/>
        <v>0</v>
      </c>
      <c r="L55" s="84"/>
      <c r="M55" s="86">
        <f t="shared" si="3"/>
        <v>0</v>
      </c>
    </row>
    <row r="56" spans="1:13" x14ac:dyDescent="0.25">
      <c r="A56" s="110">
        <f t="shared" si="4"/>
        <v>0</v>
      </c>
      <c r="B56" s="28" t="str">
        <f t="shared" si="0"/>
        <v/>
      </c>
      <c r="C56" s="29"/>
      <c r="D56" s="29"/>
      <c r="E56" s="29"/>
      <c r="F56" s="29"/>
      <c r="G56" s="64"/>
      <c r="H56" s="81">
        <v>51</v>
      </c>
      <c r="I56" s="82" t="str">
        <f t="shared" si="1"/>
        <v/>
      </c>
      <c r="J56" s="82">
        <f t="shared" si="5"/>
        <v>0</v>
      </c>
      <c r="K56" s="81">
        <f t="shared" si="2"/>
        <v>0</v>
      </c>
      <c r="L56" s="81"/>
      <c r="M56" s="83">
        <f t="shared" si="3"/>
        <v>0</v>
      </c>
    </row>
    <row r="57" spans="1:13" x14ac:dyDescent="0.25">
      <c r="A57" s="110">
        <f t="shared" si="4"/>
        <v>0</v>
      </c>
      <c r="B57" s="34" t="str">
        <f t="shared" si="0"/>
        <v/>
      </c>
      <c r="C57" s="35"/>
      <c r="D57" s="35"/>
      <c r="E57" s="35"/>
      <c r="F57" s="35"/>
      <c r="G57" s="64"/>
      <c r="H57" s="84">
        <v>52</v>
      </c>
      <c r="I57" s="85" t="str">
        <f t="shared" si="1"/>
        <v/>
      </c>
      <c r="J57" s="85">
        <f t="shared" si="5"/>
        <v>0</v>
      </c>
      <c r="K57" s="84">
        <f t="shared" si="2"/>
        <v>0</v>
      </c>
      <c r="L57" s="84"/>
      <c r="M57" s="86">
        <f t="shared" si="3"/>
        <v>0</v>
      </c>
    </row>
    <row r="58" spans="1:13" x14ac:dyDescent="0.25">
      <c r="A58" s="110">
        <f t="shared" si="4"/>
        <v>0</v>
      </c>
      <c r="B58" s="28" t="str">
        <f t="shared" si="0"/>
        <v/>
      </c>
      <c r="C58" s="29"/>
      <c r="D58" s="29"/>
      <c r="E58" s="29"/>
      <c r="F58" s="29"/>
      <c r="G58" s="64"/>
      <c r="H58" s="81">
        <v>53</v>
      </c>
      <c r="I58" s="82" t="str">
        <f t="shared" si="1"/>
        <v/>
      </c>
      <c r="J58" s="82">
        <f t="shared" si="5"/>
        <v>0</v>
      </c>
      <c r="K58" s="81">
        <f t="shared" si="2"/>
        <v>0</v>
      </c>
      <c r="L58" s="81"/>
      <c r="M58" s="83">
        <f t="shared" si="3"/>
        <v>0</v>
      </c>
    </row>
    <row r="59" spans="1:13" x14ac:dyDescent="0.25">
      <c r="A59" s="110">
        <f t="shared" si="4"/>
        <v>0</v>
      </c>
      <c r="B59" s="34" t="str">
        <f t="shared" si="0"/>
        <v/>
      </c>
      <c r="C59" s="35"/>
      <c r="D59" s="35"/>
      <c r="E59" s="35"/>
      <c r="F59" s="35"/>
      <c r="G59" s="64"/>
      <c r="H59" s="84">
        <v>54</v>
      </c>
      <c r="I59" s="85" t="str">
        <f t="shared" si="1"/>
        <v/>
      </c>
      <c r="J59" s="85">
        <f t="shared" si="5"/>
        <v>0</v>
      </c>
      <c r="K59" s="84">
        <f t="shared" si="2"/>
        <v>0</v>
      </c>
      <c r="L59" s="84"/>
      <c r="M59" s="86">
        <f t="shared" si="3"/>
        <v>0</v>
      </c>
    </row>
    <row r="60" spans="1:13" x14ac:dyDescent="0.25">
      <c r="A60" s="110">
        <f t="shared" si="4"/>
        <v>0</v>
      </c>
      <c r="B60" s="28" t="str">
        <f t="shared" si="0"/>
        <v/>
      </c>
      <c r="C60" s="29"/>
      <c r="D60" s="29"/>
      <c r="E60" s="29"/>
      <c r="F60" s="29"/>
      <c r="G60" s="64"/>
      <c r="H60" s="81">
        <v>55</v>
      </c>
      <c r="I60" s="82" t="str">
        <f t="shared" si="1"/>
        <v/>
      </c>
      <c r="J60" s="82">
        <f t="shared" si="5"/>
        <v>0</v>
      </c>
      <c r="K60" s="81">
        <f t="shared" si="2"/>
        <v>0</v>
      </c>
      <c r="L60" s="81"/>
      <c r="M60" s="83">
        <f t="shared" si="3"/>
        <v>0</v>
      </c>
    </row>
    <row r="61" spans="1:13" x14ac:dyDescent="0.25">
      <c r="A61" s="110">
        <f t="shared" si="4"/>
        <v>0</v>
      </c>
      <c r="B61" s="34" t="str">
        <f t="shared" si="0"/>
        <v/>
      </c>
      <c r="C61" s="35"/>
      <c r="D61" s="35"/>
      <c r="E61" s="35"/>
      <c r="F61" s="35"/>
      <c r="G61" s="64"/>
      <c r="H61" s="84">
        <v>56</v>
      </c>
      <c r="I61" s="85" t="str">
        <f t="shared" si="1"/>
        <v/>
      </c>
      <c r="J61" s="85">
        <f t="shared" si="5"/>
        <v>0</v>
      </c>
      <c r="K61" s="84">
        <f t="shared" si="2"/>
        <v>0</v>
      </c>
      <c r="L61" s="84"/>
      <c r="M61" s="86">
        <f t="shared" si="3"/>
        <v>0</v>
      </c>
    </row>
    <row r="62" spans="1:13" x14ac:dyDescent="0.25">
      <c r="A62" s="110">
        <f t="shared" si="4"/>
        <v>0</v>
      </c>
      <c r="B62" s="28" t="str">
        <f t="shared" si="0"/>
        <v/>
      </c>
      <c r="C62" s="29"/>
      <c r="D62" s="29"/>
      <c r="E62" s="29"/>
      <c r="F62" s="29"/>
      <c r="G62" s="64"/>
      <c r="H62" s="81">
        <v>57</v>
      </c>
      <c r="I62" s="82" t="str">
        <f t="shared" si="1"/>
        <v/>
      </c>
      <c r="J62" s="82">
        <f t="shared" si="5"/>
        <v>0</v>
      </c>
      <c r="K62" s="81">
        <f t="shared" si="2"/>
        <v>0</v>
      </c>
      <c r="L62" s="81"/>
      <c r="M62" s="83">
        <f t="shared" si="3"/>
        <v>0</v>
      </c>
    </row>
    <row r="63" spans="1:13" x14ac:dyDescent="0.25">
      <c r="A63" s="110">
        <f t="shared" si="4"/>
        <v>0</v>
      </c>
      <c r="B63" s="34" t="str">
        <f t="shared" si="0"/>
        <v/>
      </c>
      <c r="C63" s="35"/>
      <c r="D63" s="35"/>
      <c r="E63" s="35"/>
      <c r="F63" s="35"/>
      <c r="G63" s="64"/>
      <c r="H63" s="84">
        <v>58</v>
      </c>
      <c r="I63" s="85" t="str">
        <f t="shared" si="1"/>
        <v/>
      </c>
      <c r="J63" s="85">
        <f t="shared" si="5"/>
        <v>0</v>
      </c>
      <c r="K63" s="84">
        <f t="shared" si="2"/>
        <v>0</v>
      </c>
      <c r="L63" s="84"/>
      <c r="M63" s="86">
        <f t="shared" si="3"/>
        <v>0</v>
      </c>
    </row>
    <row r="64" spans="1:13" x14ac:dyDescent="0.25">
      <c r="A64" s="110">
        <f t="shared" si="4"/>
        <v>0</v>
      </c>
      <c r="B64" s="28" t="str">
        <f t="shared" si="0"/>
        <v/>
      </c>
      <c r="C64" s="29"/>
      <c r="D64" s="29"/>
      <c r="E64" s="29"/>
      <c r="F64" s="29"/>
      <c r="G64" s="64"/>
      <c r="H64" s="81">
        <v>59</v>
      </c>
      <c r="I64" s="82" t="str">
        <f t="shared" si="1"/>
        <v/>
      </c>
      <c r="J64" s="82">
        <f t="shared" si="5"/>
        <v>0</v>
      </c>
      <c r="K64" s="81">
        <f t="shared" si="2"/>
        <v>0</v>
      </c>
      <c r="L64" s="81"/>
      <c r="M64" s="83">
        <f t="shared" si="3"/>
        <v>0</v>
      </c>
    </row>
    <row r="65" spans="1:13" x14ac:dyDescent="0.25">
      <c r="A65" s="110">
        <f t="shared" si="4"/>
        <v>0</v>
      </c>
      <c r="B65" s="34" t="str">
        <f t="shared" si="0"/>
        <v/>
      </c>
      <c r="C65" s="35"/>
      <c r="D65" s="35"/>
      <c r="E65" s="35"/>
      <c r="F65" s="35"/>
      <c r="G65" s="64"/>
      <c r="H65" s="84">
        <v>60</v>
      </c>
      <c r="I65" s="85" t="str">
        <f t="shared" si="1"/>
        <v/>
      </c>
      <c r="J65" s="85">
        <f t="shared" si="5"/>
        <v>0</v>
      </c>
      <c r="K65" s="84">
        <f t="shared" si="2"/>
        <v>0</v>
      </c>
      <c r="L65" s="84"/>
      <c r="M65" s="86">
        <f t="shared" si="3"/>
        <v>0</v>
      </c>
    </row>
    <row r="66" spans="1:13" x14ac:dyDescent="0.25">
      <c r="A66" s="110">
        <f t="shared" si="4"/>
        <v>0</v>
      </c>
      <c r="B66" s="28"/>
      <c r="G66" s="64"/>
      <c r="H66" s="81">
        <v>61</v>
      </c>
      <c r="I66" s="82" t="str">
        <f t="shared" si="1"/>
        <v/>
      </c>
      <c r="J66" s="82">
        <f t="shared" si="5"/>
        <v>0</v>
      </c>
      <c r="K66" s="81">
        <f t="shared" si="2"/>
        <v>0</v>
      </c>
      <c r="L66" s="81"/>
      <c r="M66" s="83">
        <f t="shared" si="3"/>
        <v>0</v>
      </c>
    </row>
    <row r="67" spans="1:13" x14ac:dyDescent="0.25">
      <c r="A67" s="110">
        <f t="shared" si="4"/>
        <v>0</v>
      </c>
      <c r="B67" s="34"/>
      <c r="G67" s="64"/>
      <c r="H67" s="81">
        <v>62</v>
      </c>
      <c r="I67" s="82" t="str">
        <f t="shared" si="1"/>
        <v/>
      </c>
      <c r="J67" s="82">
        <f t="shared" si="5"/>
        <v>0</v>
      </c>
      <c r="K67" s="81">
        <f t="shared" si="2"/>
        <v>0</v>
      </c>
      <c r="L67" s="81"/>
      <c r="M67" s="83">
        <f t="shared" si="3"/>
        <v>0</v>
      </c>
    </row>
    <row r="68" spans="1:13" x14ac:dyDescent="0.25">
      <c r="A68" s="110">
        <f t="shared" si="4"/>
        <v>0</v>
      </c>
      <c r="B68" s="28"/>
      <c r="G68" s="64"/>
      <c r="H68" s="81">
        <v>63</v>
      </c>
      <c r="I68" s="82" t="str">
        <f t="shared" si="1"/>
        <v/>
      </c>
      <c r="J68" s="82">
        <f t="shared" si="5"/>
        <v>0</v>
      </c>
      <c r="K68" s="81">
        <f t="shared" si="2"/>
        <v>0</v>
      </c>
      <c r="L68" s="81"/>
      <c r="M68" s="83">
        <f t="shared" si="3"/>
        <v>0</v>
      </c>
    </row>
    <row r="69" spans="1:13" x14ac:dyDescent="0.25">
      <c r="A69" s="110">
        <f t="shared" si="4"/>
        <v>0</v>
      </c>
      <c r="B69" s="34"/>
      <c r="G69" s="64"/>
      <c r="H69" s="81">
        <v>64</v>
      </c>
      <c r="I69" s="82" t="str">
        <f t="shared" si="1"/>
        <v/>
      </c>
      <c r="J69" s="82">
        <f t="shared" si="5"/>
        <v>0</v>
      </c>
      <c r="K69" s="81">
        <f t="shared" si="2"/>
        <v>0</v>
      </c>
      <c r="L69" s="81"/>
      <c r="M69" s="83">
        <f t="shared" si="3"/>
        <v>0</v>
      </c>
    </row>
    <row r="70" spans="1:13" x14ac:dyDescent="0.25">
      <c r="A70" s="110">
        <f t="shared" si="4"/>
        <v>0</v>
      </c>
      <c r="G70" s="64"/>
      <c r="H70" s="81">
        <v>65</v>
      </c>
      <c r="I70" s="82" t="str">
        <f t="shared" ref="I70:I133" si="6">IF(H70&lt;$H$2+1,($I$2-($I$2-1)*(LOG(H70)/LOG($H$2))),"")</f>
        <v/>
      </c>
      <c r="J70" s="82">
        <f t="shared" si="5"/>
        <v>-1</v>
      </c>
      <c r="K70" s="81">
        <f t="shared" ref="K70:K133" si="7">J70*$J$2</f>
        <v>-10</v>
      </c>
      <c r="L70" s="81"/>
      <c r="M70" s="83">
        <f t="shared" ref="M70:M133" si="8">IF(I70&lt;&gt;"",K70+I70+L70,0)</f>
        <v>0</v>
      </c>
    </row>
    <row r="71" spans="1:13" x14ac:dyDescent="0.25">
      <c r="A71" s="110">
        <f t="shared" ref="A71:A79" si="9">M71</f>
        <v>0</v>
      </c>
      <c r="G71" s="64"/>
      <c r="H71" s="81">
        <v>66</v>
      </c>
      <c r="I71" s="82" t="str">
        <f t="shared" si="6"/>
        <v/>
      </c>
      <c r="J71" s="82">
        <f t="shared" ref="J71:J134" si="10">INT(LOG($H$2,2))-ROUNDUP(LOG(H71,2),0)+IF(OR($H$2=1,$H$2=2,$H$2=4,$H$2=8,$H$2=16,$H$2=32,$H$2=64,$H$2=128,$H$2=256),0,1)</f>
        <v>-1</v>
      </c>
      <c r="K71" s="81">
        <f t="shared" si="7"/>
        <v>-10</v>
      </c>
      <c r="L71" s="81"/>
      <c r="M71" s="83">
        <f t="shared" si="8"/>
        <v>0</v>
      </c>
    </row>
    <row r="72" spans="1:13" x14ac:dyDescent="0.25">
      <c r="A72" s="110">
        <f t="shared" si="9"/>
        <v>0</v>
      </c>
      <c r="G72" s="64"/>
      <c r="H72" s="81">
        <v>67</v>
      </c>
      <c r="I72" s="82" t="str">
        <f t="shared" si="6"/>
        <v/>
      </c>
      <c r="J72" s="82">
        <f t="shared" si="10"/>
        <v>-1</v>
      </c>
      <c r="K72" s="81">
        <f t="shared" si="7"/>
        <v>-10</v>
      </c>
      <c r="L72" s="81"/>
      <c r="M72" s="83">
        <f t="shared" si="8"/>
        <v>0</v>
      </c>
    </row>
    <row r="73" spans="1:13" x14ac:dyDescent="0.25">
      <c r="A73" s="110">
        <f t="shared" si="9"/>
        <v>0</v>
      </c>
      <c r="G73" s="64"/>
      <c r="H73" s="81">
        <v>68</v>
      </c>
      <c r="I73" s="82" t="str">
        <f t="shared" si="6"/>
        <v/>
      </c>
      <c r="J73" s="82">
        <f t="shared" si="10"/>
        <v>-1</v>
      </c>
      <c r="K73" s="81">
        <f t="shared" si="7"/>
        <v>-10</v>
      </c>
      <c r="L73" s="81"/>
      <c r="M73" s="83">
        <f t="shared" si="8"/>
        <v>0</v>
      </c>
    </row>
    <row r="74" spans="1:13" x14ac:dyDescent="0.25">
      <c r="A74" s="110">
        <f t="shared" si="9"/>
        <v>0</v>
      </c>
      <c r="G74" s="64"/>
      <c r="H74" s="81">
        <v>69</v>
      </c>
      <c r="I74" s="82" t="str">
        <f t="shared" si="6"/>
        <v/>
      </c>
      <c r="J74" s="82">
        <f t="shared" si="10"/>
        <v>-1</v>
      </c>
      <c r="K74" s="81">
        <f t="shared" si="7"/>
        <v>-10</v>
      </c>
      <c r="L74" s="81"/>
      <c r="M74" s="83">
        <f t="shared" si="8"/>
        <v>0</v>
      </c>
    </row>
    <row r="75" spans="1:13" x14ac:dyDescent="0.25">
      <c r="A75" s="110">
        <f t="shared" si="9"/>
        <v>0</v>
      </c>
      <c r="G75" s="64"/>
      <c r="H75" s="81">
        <v>70</v>
      </c>
      <c r="I75" s="82" t="str">
        <f t="shared" si="6"/>
        <v/>
      </c>
      <c r="J75" s="82">
        <f t="shared" si="10"/>
        <v>-1</v>
      </c>
      <c r="K75" s="81">
        <f t="shared" si="7"/>
        <v>-10</v>
      </c>
      <c r="L75" s="81"/>
      <c r="M75" s="83">
        <f t="shared" si="8"/>
        <v>0</v>
      </c>
    </row>
    <row r="76" spans="1:13" x14ac:dyDescent="0.25">
      <c r="A76" s="110">
        <f t="shared" si="9"/>
        <v>0</v>
      </c>
      <c r="G76" s="64"/>
      <c r="H76" s="81">
        <v>71</v>
      </c>
      <c r="I76" s="82" t="str">
        <f t="shared" si="6"/>
        <v/>
      </c>
      <c r="J76" s="82">
        <f t="shared" si="10"/>
        <v>-1</v>
      </c>
      <c r="K76" s="81">
        <f t="shared" si="7"/>
        <v>-10</v>
      </c>
      <c r="L76" s="81"/>
      <c r="M76" s="83">
        <f t="shared" si="8"/>
        <v>0</v>
      </c>
    </row>
    <row r="77" spans="1:13" x14ac:dyDescent="0.25">
      <c r="A77" s="110">
        <f t="shared" si="9"/>
        <v>0</v>
      </c>
      <c r="G77" s="64"/>
      <c r="H77" s="81">
        <v>72</v>
      </c>
      <c r="I77" s="82" t="str">
        <f t="shared" si="6"/>
        <v/>
      </c>
      <c r="J77" s="82">
        <f t="shared" si="10"/>
        <v>-1</v>
      </c>
      <c r="K77" s="81">
        <f t="shared" si="7"/>
        <v>-10</v>
      </c>
      <c r="L77" s="81"/>
      <c r="M77" s="83">
        <f t="shared" si="8"/>
        <v>0</v>
      </c>
    </row>
    <row r="78" spans="1:13" x14ac:dyDescent="0.25">
      <c r="A78" s="110">
        <f t="shared" si="9"/>
        <v>0</v>
      </c>
      <c r="G78" s="64"/>
      <c r="H78" s="81">
        <v>73</v>
      </c>
      <c r="I78" s="82" t="str">
        <f t="shared" si="6"/>
        <v/>
      </c>
      <c r="J78" s="82">
        <f t="shared" si="10"/>
        <v>-1</v>
      </c>
      <c r="K78" s="81">
        <f t="shared" si="7"/>
        <v>-10</v>
      </c>
      <c r="L78" s="81"/>
      <c r="M78" s="83">
        <f t="shared" si="8"/>
        <v>0</v>
      </c>
    </row>
    <row r="79" spans="1:13" x14ac:dyDescent="0.25">
      <c r="A79" s="110">
        <f t="shared" si="9"/>
        <v>0</v>
      </c>
      <c r="G79" s="64"/>
      <c r="H79" s="81">
        <v>74</v>
      </c>
      <c r="I79" s="82" t="str">
        <f t="shared" si="6"/>
        <v/>
      </c>
      <c r="J79" s="82">
        <f t="shared" si="10"/>
        <v>-1</v>
      </c>
      <c r="K79" s="81">
        <f t="shared" si="7"/>
        <v>-10</v>
      </c>
      <c r="L79" s="81"/>
      <c r="M79" s="83">
        <f t="shared" si="8"/>
        <v>0</v>
      </c>
    </row>
    <row r="80" spans="1:13" x14ac:dyDescent="0.25">
      <c r="A80" s="109"/>
      <c r="G80" s="64"/>
      <c r="H80" s="81">
        <v>75</v>
      </c>
      <c r="I80" s="82" t="str">
        <f t="shared" si="6"/>
        <v/>
      </c>
      <c r="J80" s="82">
        <f t="shared" si="10"/>
        <v>-1</v>
      </c>
      <c r="K80" s="81">
        <f t="shared" si="7"/>
        <v>-10</v>
      </c>
      <c r="L80" s="81"/>
      <c r="M80" s="83">
        <f t="shared" si="8"/>
        <v>0</v>
      </c>
    </row>
    <row r="81" spans="1:13" x14ac:dyDescent="0.25">
      <c r="A81" s="97"/>
      <c r="G81" s="64"/>
      <c r="H81" s="81">
        <v>76</v>
      </c>
      <c r="I81" s="82" t="str">
        <f t="shared" si="6"/>
        <v/>
      </c>
      <c r="J81" s="82">
        <f t="shared" si="10"/>
        <v>-1</v>
      </c>
      <c r="K81" s="81">
        <f t="shared" si="7"/>
        <v>-10</v>
      </c>
      <c r="L81" s="81"/>
      <c r="M81" s="83">
        <f t="shared" si="8"/>
        <v>0</v>
      </c>
    </row>
    <row r="82" spans="1:13" x14ac:dyDescent="0.25">
      <c r="A82" s="97"/>
      <c r="G82" s="64"/>
      <c r="H82" s="81">
        <v>77</v>
      </c>
      <c r="I82" s="82" t="str">
        <f t="shared" si="6"/>
        <v/>
      </c>
      <c r="J82" s="82">
        <f t="shared" si="10"/>
        <v>-1</v>
      </c>
      <c r="K82" s="81">
        <f t="shared" si="7"/>
        <v>-10</v>
      </c>
      <c r="L82" s="81"/>
      <c r="M82" s="83">
        <f t="shared" si="8"/>
        <v>0</v>
      </c>
    </row>
    <row r="83" spans="1:13" x14ac:dyDescent="0.25">
      <c r="A83" s="97"/>
      <c r="G83" s="64"/>
      <c r="H83" s="81">
        <v>78</v>
      </c>
      <c r="I83" s="82" t="str">
        <f t="shared" si="6"/>
        <v/>
      </c>
      <c r="J83" s="82">
        <f t="shared" si="10"/>
        <v>-1</v>
      </c>
      <c r="K83" s="81">
        <f t="shared" si="7"/>
        <v>-10</v>
      </c>
      <c r="L83" s="81"/>
      <c r="M83" s="83">
        <f t="shared" si="8"/>
        <v>0</v>
      </c>
    </row>
    <row r="84" spans="1:13" x14ac:dyDescent="0.25">
      <c r="A84" s="97"/>
      <c r="G84" s="64"/>
      <c r="H84" s="81">
        <v>79</v>
      </c>
      <c r="I84" s="82" t="str">
        <f t="shared" si="6"/>
        <v/>
      </c>
      <c r="J84" s="82">
        <f t="shared" si="10"/>
        <v>-1</v>
      </c>
      <c r="K84" s="81">
        <f t="shared" si="7"/>
        <v>-10</v>
      </c>
      <c r="L84" s="81"/>
      <c r="M84" s="83">
        <f t="shared" si="8"/>
        <v>0</v>
      </c>
    </row>
    <row r="85" spans="1:13" x14ac:dyDescent="0.25">
      <c r="A85" s="97"/>
      <c r="G85" s="64"/>
      <c r="H85" s="81">
        <v>80</v>
      </c>
      <c r="I85" s="82" t="str">
        <f t="shared" si="6"/>
        <v/>
      </c>
      <c r="J85" s="82">
        <f t="shared" si="10"/>
        <v>-1</v>
      </c>
      <c r="K85" s="81">
        <f t="shared" si="7"/>
        <v>-10</v>
      </c>
      <c r="L85" s="81"/>
      <c r="M85" s="83">
        <f t="shared" si="8"/>
        <v>0</v>
      </c>
    </row>
    <row r="86" spans="1:13" x14ac:dyDescent="0.25">
      <c r="A86" s="97"/>
      <c r="G86" s="64"/>
      <c r="H86" s="81">
        <v>81</v>
      </c>
      <c r="I86" s="82" t="str">
        <f t="shared" si="6"/>
        <v/>
      </c>
      <c r="J86" s="82">
        <f t="shared" si="10"/>
        <v>-1</v>
      </c>
      <c r="K86" s="81">
        <f t="shared" si="7"/>
        <v>-10</v>
      </c>
      <c r="L86" s="81"/>
      <c r="M86" s="83">
        <f t="shared" si="8"/>
        <v>0</v>
      </c>
    </row>
    <row r="87" spans="1:13" x14ac:dyDescent="0.25">
      <c r="A87" s="97"/>
      <c r="G87" s="64"/>
      <c r="H87" s="81">
        <v>82</v>
      </c>
      <c r="I87" s="82" t="str">
        <f t="shared" si="6"/>
        <v/>
      </c>
      <c r="J87" s="82">
        <f t="shared" si="10"/>
        <v>-1</v>
      </c>
      <c r="K87" s="81">
        <f t="shared" si="7"/>
        <v>-10</v>
      </c>
      <c r="L87" s="81"/>
      <c r="M87" s="83">
        <f t="shared" si="8"/>
        <v>0</v>
      </c>
    </row>
    <row r="88" spans="1:13" x14ac:dyDescent="0.25">
      <c r="A88" s="97"/>
      <c r="G88" s="64"/>
      <c r="H88" s="81">
        <v>83</v>
      </c>
      <c r="I88" s="82" t="str">
        <f t="shared" si="6"/>
        <v/>
      </c>
      <c r="J88" s="82">
        <f t="shared" si="10"/>
        <v>-1</v>
      </c>
      <c r="K88" s="81">
        <f t="shared" si="7"/>
        <v>-10</v>
      </c>
      <c r="L88" s="81"/>
      <c r="M88" s="83">
        <f t="shared" si="8"/>
        <v>0</v>
      </c>
    </row>
    <row r="89" spans="1:13" x14ac:dyDescent="0.25">
      <c r="A89" s="97"/>
      <c r="G89" s="64"/>
      <c r="H89" s="81">
        <v>84</v>
      </c>
      <c r="I89" s="82" t="str">
        <f t="shared" si="6"/>
        <v/>
      </c>
      <c r="J89" s="82">
        <f t="shared" si="10"/>
        <v>-1</v>
      </c>
      <c r="K89" s="81">
        <f t="shared" si="7"/>
        <v>-10</v>
      </c>
      <c r="L89" s="81"/>
      <c r="M89" s="83">
        <f t="shared" si="8"/>
        <v>0</v>
      </c>
    </row>
    <row r="90" spans="1:13" x14ac:dyDescent="0.25">
      <c r="A90" s="97"/>
      <c r="G90" s="64"/>
      <c r="H90" s="81">
        <v>85</v>
      </c>
      <c r="I90" s="82" t="str">
        <f t="shared" si="6"/>
        <v/>
      </c>
      <c r="J90" s="82">
        <f t="shared" si="10"/>
        <v>-1</v>
      </c>
      <c r="K90" s="81">
        <f t="shared" si="7"/>
        <v>-10</v>
      </c>
      <c r="L90" s="81"/>
      <c r="M90" s="83">
        <f t="shared" si="8"/>
        <v>0</v>
      </c>
    </row>
    <row r="91" spans="1:13" x14ac:dyDescent="0.25">
      <c r="A91" s="97"/>
      <c r="G91" s="64"/>
      <c r="H91" s="81">
        <v>86</v>
      </c>
      <c r="I91" s="82" t="str">
        <f t="shared" si="6"/>
        <v/>
      </c>
      <c r="J91" s="82">
        <f t="shared" si="10"/>
        <v>-1</v>
      </c>
      <c r="K91" s="81">
        <f t="shared" si="7"/>
        <v>-10</v>
      </c>
      <c r="L91" s="81"/>
      <c r="M91" s="83">
        <f t="shared" si="8"/>
        <v>0</v>
      </c>
    </row>
    <row r="92" spans="1:13" x14ac:dyDescent="0.25">
      <c r="A92" s="97"/>
      <c r="G92" s="64"/>
      <c r="H92" s="81">
        <v>87</v>
      </c>
      <c r="I92" s="82" t="str">
        <f t="shared" si="6"/>
        <v/>
      </c>
      <c r="J92" s="82">
        <f t="shared" si="10"/>
        <v>-1</v>
      </c>
      <c r="K92" s="81">
        <f t="shared" si="7"/>
        <v>-10</v>
      </c>
      <c r="L92" s="81"/>
      <c r="M92" s="83">
        <f t="shared" si="8"/>
        <v>0</v>
      </c>
    </row>
    <row r="93" spans="1:13" x14ac:dyDescent="0.25">
      <c r="A93" s="97"/>
      <c r="G93" s="64"/>
      <c r="H93" s="81">
        <v>88</v>
      </c>
      <c r="I93" s="82" t="str">
        <f t="shared" si="6"/>
        <v/>
      </c>
      <c r="J93" s="82">
        <f t="shared" si="10"/>
        <v>-1</v>
      </c>
      <c r="K93" s="81">
        <f t="shared" si="7"/>
        <v>-10</v>
      </c>
      <c r="L93" s="81"/>
      <c r="M93" s="83">
        <f t="shared" si="8"/>
        <v>0</v>
      </c>
    </row>
    <row r="94" spans="1:13" x14ac:dyDescent="0.25">
      <c r="A94" s="97"/>
      <c r="G94" s="64"/>
      <c r="H94" s="81">
        <v>89</v>
      </c>
      <c r="I94" s="82" t="str">
        <f t="shared" si="6"/>
        <v/>
      </c>
      <c r="J94" s="82">
        <f t="shared" si="10"/>
        <v>-1</v>
      </c>
      <c r="K94" s="81">
        <f t="shared" si="7"/>
        <v>-10</v>
      </c>
      <c r="L94" s="81"/>
      <c r="M94" s="83">
        <f t="shared" si="8"/>
        <v>0</v>
      </c>
    </row>
    <row r="95" spans="1:13" x14ac:dyDescent="0.25">
      <c r="A95" s="97"/>
      <c r="G95" s="64"/>
      <c r="H95" s="81">
        <v>90</v>
      </c>
      <c r="I95" s="82" t="str">
        <f t="shared" si="6"/>
        <v/>
      </c>
      <c r="J95" s="82">
        <f t="shared" si="10"/>
        <v>-1</v>
      </c>
      <c r="K95" s="81">
        <f t="shared" si="7"/>
        <v>-10</v>
      </c>
      <c r="L95" s="81"/>
      <c r="M95" s="83">
        <f t="shared" si="8"/>
        <v>0</v>
      </c>
    </row>
    <row r="96" spans="1:13" x14ac:dyDescent="0.25">
      <c r="A96" s="97"/>
      <c r="G96" s="64"/>
      <c r="H96" s="81">
        <v>91</v>
      </c>
      <c r="I96" s="82" t="str">
        <f t="shared" si="6"/>
        <v/>
      </c>
      <c r="J96" s="82">
        <f t="shared" si="10"/>
        <v>-1</v>
      </c>
      <c r="K96" s="81">
        <f t="shared" si="7"/>
        <v>-10</v>
      </c>
      <c r="L96" s="81"/>
      <c r="M96" s="83">
        <f t="shared" si="8"/>
        <v>0</v>
      </c>
    </row>
    <row r="97" spans="1:13" x14ac:dyDescent="0.25">
      <c r="A97" s="97"/>
      <c r="G97" s="64"/>
      <c r="H97" s="81">
        <v>92</v>
      </c>
      <c r="I97" s="82" t="str">
        <f t="shared" si="6"/>
        <v/>
      </c>
      <c r="J97" s="82">
        <f t="shared" si="10"/>
        <v>-1</v>
      </c>
      <c r="K97" s="81">
        <f t="shared" si="7"/>
        <v>-10</v>
      </c>
      <c r="L97" s="81"/>
      <c r="M97" s="83">
        <f t="shared" si="8"/>
        <v>0</v>
      </c>
    </row>
    <row r="98" spans="1:13" x14ac:dyDescent="0.25">
      <c r="A98" s="97"/>
      <c r="G98" s="64"/>
      <c r="H98" s="81">
        <v>93</v>
      </c>
      <c r="I98" s="82" t="str">
        <f t="shared" si="6"/>
        <v/>
      </c>
      <c r="J98" s="82">
        <f t="shared" si="10"/>
        <v>-1</v>
      </c>
      <c r="K98" s="81">
        <f t="shared" si="7"/>
        <v>-10</v>
      </c>
      <c r="L98" s="81"/>
      <c r="M98" s="83">
        <f t="shared" si="8"/>
        <v>0</v>
      </c>
    </row>
    <row r="99" spans="1:13" x14ac:dyDescent="0.25">
      <c r="A99" s="97"/>
      <c r="G99" s="64"/>
      <c r="H99" s="81">
        <v>94</v>
      </c>
      <c r="I99" s="82" t="str">
        <f t="shared" si="6"/>
        <v/>
      </c>
      <c r="J99" s="82">
        <f t="shared" si="10"/>
        <v>-1</v>
      </c>
      <c r="K99" s="81">
        <f t="shared" si="7"/>
        <v>-10</v>
      </c>
      <c r="L99" s="81"/>
      <c r="M99" s="83">
        <f t="shared" si="8"/>
        <v>0</v>
      </c>
    </row>
    <row r="100" spans="1:13" x14ac:dyDescent="0.25">
      <c r="A100" s="97"/>
      <c r="G100" s="64"/>
      <c r="H100" s="81">
        <v>95</v>
      </c>
      <c r="I100" s="82" t="str">
        <f t="shared" si="6"/>
        <v/>
      </c>
      <c r="J100" s="82">
        <f t="shared" si="10"/>
        <v>-1</v>
      </c>
      <c r="K100" s="81">
        <f t="shared" si="7"/>
        <v>-10</v>
      </c>
      <c r="L100" s="81"/>
      <c r="M100" s="83">
        <f t="shared" si="8"/>
        <v>0</v>
      </c>
    </row>
    <row r="101" spans="1:13" x14ac:dyDescent="0.25">
      <c r="A101" s="97"/>
      <c r="G101" s="64"/>
      <c r="H101" s="81">
        <v>96</v>
      </c>
      <c r="I101" s="82" t="str">
        <f t="shared" si="6"/>
        <v/>
      </c>
      <c r="J101" s="82">
        <f t="shared" si="10"/>
        <v>-1</v>
      </c>
      <c r="K101" s="81">
        <f t="shared" si="7"/>
        <v>-10</v>
      </c>
      <c r="L101" s="81"/>
      <c r="M101" s="83">
        <f t="shared" si="8"/>
        <v>0</v>
      </c>
    </row>
    <row r="102" spans="1:13" x14ac:dyDescent="0.25">
      <c r="A102" s="97"/>
      <c r="G102" s="64"/>
      <c r="H102" s="81">
        <v>97</v>
      </c>
      <c r="I102" s="82" t="str">
        <f t="shared" si="6"/>
        <v/>
      </c>
      <c r="J102" s="82">
        <f t="shared" si="10"/>
        <v>-1</v>
      </c>
      <c r="K102" s="81">
        <f t="shared" si="7"/>
        <v>-10</v>
      </c>
      <c r="L102" s="81"/>
      <c r="M102" s="83">
        <f t="shared" si="8"/>
        <v>0</v>
      </c>
    </row>
    <row r="103" spans="1:13" x14ac:dyDescent="0.25">
      <c r="A103" s="97"/>
      <c r="G103" s="64"/>
      <c r="H103" s="81">
        <v>98</v>
      </c>
      <c r="I103" s="82" t="str">
        <f t="shared" si="6"/>
        <v/>
      </c>
      <c r="J103" s="82">
        <f t="shared" si="10"/>
        <v>-1</v>
      </c>
      <c r="K103" s="81">
        <f t="shared" si="7"/>
        <v>-10</v>
      </c>
      <c r="L103" s="81"/>
      <c r="M103" s="83">
        <f t="shared" si="8"/>
        <v>0</v>
      </c>
    </row>
    <row r="104" spans="1:13" x14ac:dyDescent="0.25">
      <c r="A104" s="97"/>
      <c r="G104" s="64"/>
      <c r="H104" s="81">
        <v>99</v>
      </c>
      <c r="I104" s="82" t="str">
        <f t="shared" si="6"/>
        <v/>
      </c>
      <c r="J104" s="82">
        <f t="shared" si="10"/>
        <v>-1</v>
      </c>
      <c r="K104" s="81">
        <f t="shared" si="7"/>
        <v>-10</v>
      </c>
      <c r="L104" s="81"/>
      <c r="M104" s="83">
        <f t="shared" si="8"/>
        <v>0</v>
      </c>
    </row>
    <row r="105" spans="1:13" x14ac:dyDescent="0.25">
      <c r="A105" s="97"/>
      <c r="G105" s="64"/>
      <c r="H105" s="81">
        <v>100</v>
      </c>
      <c r="I105" s="82" t="str">
        <f t="shared" si="6"/>
        <v/>
      </c>
      <c r="J105" s="82">
        <f t="shared" si="10"/>
        <v>-1</v>
      </c>
      <c r="K105" s="81">
        <f t="shared" si="7"/>
        <v>-10</v>
      </c>
      <c r="L105" s="81"/>
      <c r="M105" s="83">
        <f t="shared" si="8"/>
        <v>0</v>
      </c>
    </row>
    <row r="106" spans="1:13" x14ac:dyDescent="0.25">
      <c r="A106" s="97"/>
      <c r="G106" s="64"/>
      <c r="H106" s="81">
        <v>101</v>
      </c>
      <c r="I106" s="82" t="str">
        <f t="shared" si="6"/>
        <v/>
      </c>
      <c r="J106" s="82">
        <f t="shared" si="10"/>
        <v>-1</v>
      </c>
      <c r="K106" s="81">
        <f t="shared" si="7"/>
        <v>-10</v>
      </c>
      <c r="L106" s="81"/>
      <c r="M106" s="83">
        <f t="shared" si="8"/>
        <v>0</v>
      </c>
    </row>
    <row r="107" spans="1:13" x14ac:dyDescent="0.25">
      <c r="A107" s="97"/>
      <c r="G107" s="64"/>
      <c r="H107" s="81">
        <v>102</v>
      </c>
      <c r="I107" s="82" t="str">
        <f t="shared" si="6"/>
        <v/>
      </c>
      <c r="J107" s="82">
        <f t="shared" si="10"/>
        <v>-1</v>
      </c>
      <c r="K107" s="81">
        <f t="shared" si="7"/>
        <v>-10</v>
      </c>
      <c r="L107" s="81"/>
      <c r="M107" s="83">
        <f t="shared" si="8"/>
        <v>0</v>
      </c>
    </row>
    <row r="108" spans="1:13" x14ac:dyDescent="0.25">
      <c r="A108" s="97"/>
      <c r="G108" s="64"/>
      <c r="H108" s="81">
        <v>103</v>
      </c>
      <c r="I108" s="82" t="str">
        <f t="shared" si="6"/>
        <v/>
      </c>
      <c r="J108" s="82">
        <f t="shared" si="10"/>
        <v>-1</v>
      </c>
      <c r="K108" s="81">
        <f t="shared" si="7"/>
        <v>-10</v>
      </c>
      <c r="L108" s="81"/>
      <c r="M108" s="83">
        <f t="shared" si="8"/>
        <v>0</v>
      </c>
    </row>
    <row r="109" spans="1:13" x14ac:dyDescent="0.25">
      <c r="A109" s="97"/>
      <c r="G109" s="64"/>
      <c r="H109" s="81">
        <v>104</v>
      </c>
      <c r="I109" s="82" t="str">
        <f t="shared" si="6"/>
        <v/>
      </c>
      <c r="J109" s="82">
        <f t="shared" si="10"/>
        <v>-1</v>
      </c>
      <c r="K109" s="81">
        <f t="shared" si="7"/>
        <v>-10</v>
      </c>
      <c r="L109" s="81"/>
      <c r="M109" s="83">
        <f t="shared" si="8"/>
        <v>0</v>
      </c>
    </row>
    <row r="110" spans="1:13" x14ac:dyDescent="0.25">
      <c r="A110" s="97"/>
      <c r="G110" s="64"/>
      <c r="H110" s="81">
        <v>105</v>
      </c>
      <c r="I110" s="82" t="str">
        <f t="shared" si="6"/>
        <v/>
      </c>
      <c r="J110" s="82">
        <f t="shared" si="10"/>
        <v>-1</v>
      </c>
      <c r="K110" s="81">
        <f t="shared" si="7"/>
        <v>-10</v>
      </c>
      <c r="L110" s="81"/>
      <c r="M110" s="83">
        <f t="shared" si="8"/>
        <v>0</v>
      </c>
    </row>
    <row r="111" spans="1:13" x14ac:dyDescent="0.25">
      <c r="A111" s="97"/>
      <c r="G111" s="64"/>
      <c r="H111" s="81">
        <v>106</v>
      </c>
      <c r="I111" s="82" t="str">
        <f t="shared" si="6"/>
        <v/>
      </c>
      <c r="J111" s="82">
        <f t="shared" si="10"/>
        <v>-1</v>
      </c>
      <c r="K111" s="81">
        <f t="shared" si="7"/>
        <v>-10</v>
      </c>
      <c r="L111" s="81"/>
      <c r="M111" s="83">
        <f t="shared" si="8"/>
        <v>0</v>
      </c>
    </row>
    <row r="112" spans="1:13" x14ac:dyDescent="0.25">
      <c r="A112" s="97"/>
      <c r="G112" s="64"/>
      <c r="H112" s="81">
        <v>107</v>
      </c>
      <c r="I112" s="82" t="str">
        <f t="shared" si="6"/>
        <v/>
      </c>
      <c r="J112" s="82">
        <f t="shared" si="10"/>
        <v>-1</v>
      </c>
      <c r="K112" s="81">
        <f t="shared" si="7"/>
        <v>-10</v>
      </c>
      <c r="L112" s="81"/>
      <c r="M112" s="83">
        <f t="shared" si="8"/>
        <v>0</v>
      </c>
    </row>
    <row r="113" spans="1:13" x14ac:dyDescent="0.25">
      <c r="A113" s="97"/>
      <c r="G113" s="64"/>
      <c r="H113" s="81">
        <v>108</v>
      </c>
      <c r="I113" s="82" t="str">
        <f t="shared" si="6"/>
        <v/>
      </c>
      <c r="J113" s="82">
        <f t="shared" si="10"/>
        <v>-1</v>
      </c>
      <c r="K113" s="81">
        <f t="shared" si="7"/>
        <v>-10</v>
      </c>
      <c r="L113" s="81"/>
      <c r="M113" s="83">
        <f t="shared" si="8"/>
        <v>0</v>
      </c>
    </row>
    <row r="114" spans="1:13" x14ac:dyDescent="0.25">
      <c r="A114" s="97"/>
      <c r="G114" s="64"/>
      <c r="H114" s="81">
        <v>109</v>
      </c>
      <c r="I114" s="82" t="str">
        <f t="shared" si="6"/>
        <v/>
      </c>
      <c r="J114" s="82">
        <f t="shared" si="10"/>
        <v>-1</v>
      </c>
      <c r="K114" s="81">
        <f t="shared" si="7"/>
        <v>-10</v>
      </c>
      <c r="L114" s="81"/>
      <c r="M114" s="83">
        <f t="shared" si="8"/>
        <v>0</v>
      </c>
    </row>
    <row r="115" spans="1:13" x14ac:dyDescent="0.25">
      <c r="A115" s="97"/>
      <c r="G115" s="64"/>
      <c r="H115" s="81">
        <v>110</v>
      </c>
      <c r="I115" s="82" t="str">
        <f t="shared" si="6"/>
        <v/>
      </c>
      <c r="J115" s="82">
        <f t="shared" si="10"/>
        <v>-1</v>
      </c>
      <c r="K115" s="81">
        <f t="shared" si="7"/>
        <v>-10</v>
      </c>
      <c r="L115" s="81"/>
      <c r="M115" s="83">
        <f t="shared" si="8"/>
        <v>0</v>
      </c>
    </row>
    <row r="116" spans="1:13" x14ac:dyDescent="0.25">
      <c r="A116" s="97"/>
      <c r="G116" s="64"/>
      <c r="H116" s="81">
        <v>111</v>
      </c>
      <c r="I116" s="82" t="str">
        <f t="shared" si="6"/>
        <v/>
      </c>
      <c r="J116" s="82">
        <f t="shared" si="10"/>
        <v>-1</v>
      </c>
      <c r="K116" s="81">
        <f t="shared" si="7"/>
        <v>-10</v>
      </c>
      <c r="L116" s="81"/>
      <c r="M116" s="83">
        <f t="shared" si="8"/>
        <v>0</v>
      </c>
    </row>
    <row r="117" spans="1:13" x14ac:dyDescent="0.25">
      <c r="A117" s="97"/>
      <c r="G117" s="64"/>
      <c r="H117" s="81">
        <v>112</v>
      </c>
      <c r="I117" s="82" t="str">
        <f t="shared" si="6"/>
        <v/>
      </c>
      <c r="J117" s="82">
        <f t="shared" si="10"/>
        <v>-1</v>
      </c>
      <c r="K117" s="81">
        <f t="shared" si="7"/>
        <v>-10</v>
      </c>
      <c r="L117" s="81"/>
      <c r="M117" s="83">
        <f t="shared" si="8"/>
        <v>0</v>
      </c>
    </row>
    <row r="118" spans="1:13" x14ac:dyDescent="0.25">
      <c r="A118" s="97"/>
      <c r="G118" s="64"/>
      <c r="H118" s="81">
        <v>113</v>
      </c>
      <c r="I118" s="82" t="str">
        <f t="shared" si="6"/>
        <v/>
      </c>
      <c r="J118" s="82">
        <f t="shared" si="10"/>
        <v>-1</v>
      </c>
      <c r="K118" s="81">
        <f t="shared" si="7"/>
        <v>-10</v>
      </c>
      <c r="L118" s="81"/>
      <c r="M118" s="83">
        <f t="shared" si="8"/>
        <v>0</v>
      </c>
    </row>
    <row r="119" spans="1:13" x14ac:dyDescent="0.25">
      <c r="A119" s="97"/>
      <c r="G119" s="64"/>
      <c r="H119" s="81">
        <v>114</v>
      </c>
      <c r="I119" s="82" t="str">
        <f t="shared" si="6"/>
        <v/>
      </c>
      <c r="J119" s="82">
        <f t="shared" si="10"/>
        <v>-1</v>
      </c>
      <c r="K119" s="81">
        <f t="shared" si="7"/>
        <v>-10</v>
      </c>
      <c r="L119" s="81"/>
      <c r="M119" s="83">
        <f t="shared" si="8"/>
        <v>0</v>
      </c>
    </row>
    <row r="120" spans="1:13" x14ac:dyDescent="0.25">
      <c r="A120" s="97"/>
      <c r="G120" s="64"/>
      <c r="H120" s="81">
        <v>115</v>
      </c>
      <c r="I120" s="82" t="str">
        <f t="shared" si="6"/>
        <v/>
      </c>
      <c r="J120" s="82">
        <f t="shared" si="10"/>
        <v>-1</v>
      </c>
      <c r="K120" s="81">
        <f t="shared" si="7"/>
        <v>-10</v>
      </c>
      <c r="L120" s="81"/>
      <c r="M120" s="83">
        <f t="shared" si="8"/>
        <v>0</v>
      </c>
    </row>
    <row r="121" spans="1:13" x14ac:dyDescent="0.25">
      <c r="A121" s="97"/>
      <c r="G121" s="64"/>
      <c r="H121" s="81">
        <v>116</v>
      </c>
      <c r="I121" s="82" t="str">
        <f t="shared" si="6"/>
        <v/>
      </c>
      <c r="J121" s="82">
        <f t="shared" si="10"/>
        <v>-1</v>
      </c>
      <c r="K121" s="81">
        <f t="shared" si="7"/>
        <v>-10</v>
      </c>
      <c r="L121" s="81"/>
      <c r="M121" s="83">
        <f t="shared" si="8"/>
        <v>0</v>
      </c>
    </row>
    <row r="122" spans="1:13" x14ac:dyDescent="0.25">
      <c r="A122" s="97"/>
      <c r="G122" s="64"/>
      <c r="H122" s="81">
        <v>117</v>
      </c>
      <c r="I122" s="82" t="str">
        <f t="shared" si="6"/>
        <v/>
      </c>
      <c r="J122" s="82">
        <f t="shared" si="10"/>
        <v>-1</v>
      </c>
      <c r="K122" s="81">
        <f t="shared" si="7"/>
        <v>-10</v>
      </c>
      <c r="L122" s="81"/>
      <c r="M122" s="83">
        <f t="shared" si="8"/>
        <v>0</v>
      </c>
    </row>
    <row r="123" spans="1:13" x14ac:dyDescent="0.25">
      <c r="A123" s="97"/>
      <c r="G123" s="64"/>
      <c r="H123" s="81">
        <v>118</v>
      </c>
      <c r="I123" s="82" t="str">
        <f t="shared" si="6"/>
        <v/>
      </c>
      <c r="J123" s="82">
        <f t="shared" si="10"/>
        <v>-1</v>
      </c>
      <c r="K123" s="81">
        <f t="shared" si="7"/>
        <v>-10</v>
      </c>
      <c r="L123" s="81"/>
      <c r="M123" s="83">
        <f t="shared" si="8"/>
        <v>0</v>
      </c>
    </row>
    <row r="124" spans="1:13" x14ac:dyDescent="0.25">
      <c r="A124" s="97"/>
      <c r="G124" s="64"/>
      <c r="H124" s="81">
        <v>119</v>
      </c>
      <c r="I124" s="82" t="str">
        <f t="shared" si="6"/>
        <v/>
      </c>
      <c r="J124" s="82">
        <f t="shared" si="10"/>
        <v>-1</v>
      </c>
      <c r="K124" s="81">
        <f t="shared" si="7"/>
        <v>-10</v>
      </c>
      <c r="L124" s="81"/>
      <c r="M124" s="83">
        <f t="shared" si="8"/>
        <v>0</v>
      </c>
    </row>
    <row r="125" spans="1:13" x14ac:dyDescent="0.25">
      <c r="A125" s="97"/>
      <c r="G125" s="64"/>
      <c r="H125" s="81">
        <v>120</v>
      </c>
      <c r="I125" s="82" t="str">
        <f t="shared" si="6"/>
        <v/>
      </c>
      <c r="J125" s="82">
        <f t="shared" si="10"/>
        <v>-1</v>
      </c>
      <c r="K125" s="81">
        <f t="shared" si="7"/>
        <v>-10</v>
      </c>
      <c r="L125" s="81"/>
      <c r="M125" s="83">
        <f t="shared" si="8"/>
        <v>0</v>
      </c>
    </row>
    <row r="126" spans="1:13" x14ac:dyDescent="0.25">
      <c r="A126" s="97"/>
      <c r="G126" s="64"/>
      <c r="H126" s="81">
        <v>121</v>
      </c>
      <c r="I126" s="82" t="str">
        <f t="shared" si="6"/>
        <v/>
      </c>
      <c r="J126" s="82">
        <f t="shared" si="10"/>
        <v>-1</v>
      </c>
      <c r="K126" s="81">
        <f t="shared" si="7"/>
        <v>-10</v>
      </c>
      <c r="L126" s="81"/>
      <c r="M126" s="83">
        <f t="shared" si="8"/>
        <v>0</v>
      </c>
    </row>
    <row r="127" spans="1:13" x14ac:dyDescent="0.25">
      <c r="A127" s="97"/>
      <c r="G127" s="64"/>
      <c r="H127" s="81">
        <v>122</v>
      </c>
      <c r="I127" s="82" t="str">
        <f t="shared" si="6"/>
        <v/>
      </c>
      <c r="J127" s="82">
        <f t="shared" si="10"/>
        <v>-1</v>
      </c>
      <c r="K127" s="81">
        <f t="shared" si="7"/>
        <v>-10</v>
      </c>
      <c r="L127" s="81"/>
      <c r="M127" s="83">
        <f t="shared" si="8"/>
        <v>0</v>
      </c>
    </row>
    <row r="128" spans="1:13" x14ac:dyDescent="0.25">
      <c r="A128" s="97"/>
      <c r="G128" s="64"/>
      <c r="H128" s="81">
        <v>123</v>
      </c>
      <c r="I128" s="82" t="str">
        <f t="shared" si="6"/>
        <v/>
      </c>
      <c r="J128" s="82">
        <f t="shared" si="10"/>
        <v>-1</v>
      </c>
      <c r="K128" s="81">
        <f t="shared" si="7"/>
        <v>-10</v>
      </c>
      <c r="L128" s="81"/>
      <c r="M128" s="83">
        <f t="shared" si="8"/>
        <v>0</v>
      </c>
    </row>
    <row r="129" spans="1:13" x14ac:dyDescent="0.25">
      <c r="A129" s="97"/>
      <c r="G129" s="64"/>
      <c r="H129" s="81">
        <v>124</v>
      </c>
      <c r="I129" s="82" t="str">
        <f t="shared" si="6"/>
        <v/>
      </c>
      <c r="J129" s="82">
        <f t="shared" si="10"/>
        <v>-1</v>
      </c>
      <c r="K129" s="81">
        <f t="shared" si="7"/>
        <v>-10</v>
      </c>
      <c r="L129" s="81"/>
      <c r="M129" s="83">
        <f t="shared" si="8"/>
        <v>0</v>
      </c>
    </row>
    <row r="130" spans="1:13" x14ac:dyDescent="0.25">
      <c r="A130" s="97"/>
      <c r="G130" s="64"/>
      <c r="H130" s="81">
        <v>125</v>
      </c>
      <c r="I130" s="82" t="str">
        <f t="shared" si="6"/>
        <v/>
      </c>
      <c r="J130" s="82">
        <f t="shared" si="10"/>
        <v>-1</v>
      </c>
      <c r="K130" s="81">
        <f t="shared" si="7"/>
        <v>-10</v>
      </c>
      <c r="L130" s="81"/>
      <c r="M130" s="83">
        <f t="shared" si="8"/>
        <v>0</v>
      </c>
    </row>
    <row r="131" spans="1:13" x14ac:dyDescent="0.25">
      <c r="A131" s="97"/>
      <c r="G131" s="64"/>
      <c r="H131" s="81">
        <v>126</v>
      </c>
      <c r="I131" s="82" t="str">
        <f t="shared" si="6"/>
        <v/>
      </c>
      <c r="J131" s="82">
        <f t="shared" si="10"/>
        <v>-1</v>
      </c>
      <c r="K131" s="81">
        <f t="shared" si="7"/>
        <v>-10</v>
      </c>
      <c r="L131" s="81"/>
      <c r="M131" s="83">
        <f t="shared" si="8"/>
        <v>0</v>
      </c>
    </row>
    <row r="132" spans="1:13" x14ac:dyDescent="0.25">
      <c r="A132" s="97"/>
      <c r="G132" s="64"/>
      <c r="H132" s="81">
        <v>127</v>
      </c>
      <c r="I132" s="82" t="str">
        <f t="shared" si="6"/>
        <v/>
      </c>
      <c r="J132" s="82">
        <f t="shared" si="10"/>
        <v>-1</v>
      </c>
      <c r="K132" s="81">
        <f t="shared" si="7"/>
        <v>-10</v>
      </c>
      <c r="L132" s="81"/>
      <c r="M132" s="83">
        <f t="shared" si="8"/>
        <v>0</v>
      </c>
    </row>
    <row r="133" spans="1:13" x14ac:dyDescent="0.25">
      <c r="A133" s="97"/>
      <c r="G133" s="64"/>
      <c r="H133" s="81">
        <v>128</v>
      </c>
      <c r="I133" s="82" t="str">
        <f t="shared" si="6"/>
        <v/>
      </c>
      <c r="J133" s="82">
        <f t="shared" si="10"/>
        <v>-1</v>
      </c>
      <c r="K133" s="81">
        <f t="shared" si="7"/>
        <v>-10</v>
      </c>
      <c r="L133" s="81"/>
      <c r="M133" s="83">
        <f t="shared" si="8"/>
        <v>0</v>
      </c>
    </row>
    <row r="134" spans="1:13" x14ac:dyDescent="0.25">
      <c r="A134" s="97"/>
      <c r="G134" s="64"/>
      <c r="H134" s="81">
        <v>129</v>
      </c>
      <c r="I134" s="82" t="str">
        <f t="shared" ref="I134:I197" si="11">IF(H134&lt;$H$2+1,($I$2-($I$2-1)*(LOG(H134)/LOG($H$2))),"")</f>
        <v/>
      </c>
      <c r="J134" s="82">
        <f t="shared" si="10"/>
        <v>-2</v>
      </c>
      <c r="K134" s="81">
        <f t="shared" ref="K134:K197" si="12">J134*$J$2</f>
        <v>-20</v>
      </c>
      <c r="L134" s="81"/>
      <c r="M134" s="83">
        <f t="shared" ref="M134:M197" si="13">IF(I134&lt;&gt;"",K134+I134+L134,0)</f>
        <v>0</v>
      </c>
    </row>
    <row r="135" spans="1:13" x14ac:dyDescent="0.25">
      <c r="A135" s="97"/>
      <c r="G135" s="64"/>
      <c r="H135" s="81">
        <v>130</v>
      </c>
      <c r="I135" s="82" t="str">
        <f t="shared" si="11"/>
        <v/>
      </c>
      <c r="J135" s="82">
        <f t="shared" ref="J135:J198" si="14">INT(LOG($H$2,2))-ROUNDUP(LOG(H135,2),0)+IF(OR($H$2=1,$H$2=2,$H$2=4,$H$2=8,$H$2=16,$H$2=32,$H$2=64,$H$2=128,$H$2=256),0,1)</f>
        <v>-2</v>
      </c>
      <c r="K135" s="81">
        <f t="shared" si="12"/>
        <v>-20</v>
      </c>
      <c r="L135" s="81"/>
      <c r="M135" s="83">
        <f t="shared" si="13"/>
        <v>0</v>
      </c>
    </row>
    <row r="136" spans="1:13" x14ac:dyDescent="0.25">
      <c r="A136" s="97"/>
      <c r="G136" s="64"/>
      <c r="H136" s="81">
        <v>131</v>
      </c>
      <c r="I136" s="82" t="str">
        <f t="shared" si="11"/>
        <v/>
      </c>
      <c r="J136" s="82">
        <f t="shared" si="14"/>
        <v>-2</v>
      </c>
      <c r="K136" s="81">
        <f t="shared" si="12"/>
        <v>-20</v>
      </c>
      <c r="L136" s="81"/>
      <c r="M136" s="83">
        <f t="shared" si="13"/>
        <v>0</v>
      </c>
    </row>
    <row r="137" spans="1:13" x14ac:dyDescent="0.25">
      <c r="A137" s="97"/>
      <c r="G137" s="64"/>
      <c r="H137" s="81">
        <v>132</v>
      </c>
      <c r="I137" s="82" t="str">
        <f t="shared" si="11"/>
        <v/>
      </c>
      <c r="J137" s="82">
        <f t="shared" si="14"/>
        <v>-2</v>
      </c>
      <c r="K137" s="81">
        <f t="shared" si="12"/>
        <v>-20</v>
      </c>
      <c r="L137" s="81"/>
      <c r="M137" s="83">
        <f t="shared" si="13"/>
        <v>0</v>
      </c>
    </row>
    <row r="138" spans="1:13" x14ac:dyDescent="0.25">
      <c r="A138" s="97"/>
      <c r="G138" s="64"/>
      <c r="H138" s="81">
        <v>133</v>
      </c>
      <c r="I138" s="82" t="str">
        <f t="shared" si="11"/>
        <v/>
      </c>
      <c r="J138" s="82">
        <f t="shared" si="14"/>
        <v>-2</v>
      </c>
      <c r="K138" s="81">
        <f t="shared" si="12"/>
        <v>-20</v>
      </c>
      <c r="L138" s="81"/>
      <c r="M138" s="83">
        <f t="shared" si="13"/>
        <v>0</v>
      </c>
    </row>
    <row r="139" spans="1:13" x14ac:dyDescent="0.25">
      <c r="A139" s="97"/>
      <c r="G139" s="64"/>
      <c r="H139" s="81">
        <v>134</v>
      </c>
      <c r="I139" s="82" t="str">
        <f t="shared" si="11"/>
        <v/>
      </c>
      <c r="J139" s="82">
        <f t="shared" si="14"/>
        <v>-2</v>
      </c>
      <c r="K139" s="81">
        <f t="shared" si="12"/>
        <v>-20</v>
      </c>
      <c r="L139" s="81"/>
      <c r="M139" s="83">
        <f t="shared" si="13"/>
        <v>0</v>
      </c>
    </row>
    <row r="140" spans="1:13" x14ac:dyDescent="0.25">
      <c r="A140" s="97"/>
      <c r="G140" s="64"/>
      <c r="H140" s="81">
        <v>135</v>
      </c>
      <c r="I140" s="82" t="str">
        <f t="shared" si="11"/>
        <v/>
      </c>
      <c r="J140" s="82">
        <f t="shared" si="14"/>
        <v>-2</v>
      </c>
      <c r="K140" s="81">
        <f t="shared" si="12"/>
        <v>-20</v>
      </c>
      <c r="L140" s="81"/>
      <c r="M140" s="83">
        <f t="shared" si="13"/>
        <v>0</v>
      </c>
    </row>
    <row r="141" spans="1:13" x14ac:dyDescent="0.25">
      <c r="A141" s="97"/>
      <c r="G141" s="64"/>
      <c r="H141" s="81">
        <v>136</v>
      </c>
      <c r="I141" s="82" t="str">
        <f t="shared" si="11"/>
        <v/>
      </c>
      <c r="J141" s="82">
        <f t="shared" si="14"/>
        <v>-2</v>
      </c>
      <c r="K141" s="81">
        <f t="shared" si="12"/>
        <v>-20</v>
      </c>
      <c r="L141" s="81"/>
      <c r="M141" s="83">
        <f t="shared" si="13"/>
        <v>0</v>
      </c>
    </row>
    <row r="142" spans="1:13" x14ac:dyDescent="0.25">
      <c r="A142" s="97"/>
      <c r="G142" s="64"/>
      <c r="H142" s="81">
        <v>137</v>
      </c>
      <c r="I142" s="82" t="str">
        <f t="shared" si="11"/>
        <v/>
      </c>
      <c r="J142" s="82">
        <f t="shared" si="14"/>
        <v>-2</v>
      </c>
      <c r="K142" s="81">
        <f t="shared" si="12"/>
        <v>-20</v>
      </c>
      <c r="L142" s="81"/>
      <c r="M142" s="83">
        <f t="shared" si="13"/>
        <v>0</v>
      </c>
    </row>
    <row r="143" spans="1:13" x14ac:dyDescent="0.25">
      <c r="A143" s="97"/>
      <c r="G143" s="64"/>
      <c r="H143" s="81">
        <v>138</v>
      </c>
      <c r="I143" s="82" t="str">
        <f t="shared" si="11"/>
        <v/>
      </c>
      <c r="J143" s="82">
        <f t="shared" si="14"/>
        <v>-2</v>
      </c>
      <c r="K143" s="81">
        <f t="shared" si="12"/>
        <v>-20</v>
      </c>
      <c r="L143" s="81"/>
      <c r="M143" s="83">
        <f t="shared" si="13"/>
        <v>0</v>
      </c>
    </row>
    <row r="144" spans="1:13" x14ac:dyDescent="0.25">
      <c r="A144" s="97"/>
      <c r="G144" s="64"/>
      <c r="H144" s="81">
        <v>139</v>
      </c>
      <c r="I144" s="82" t="str">
        <f t="shared" si="11"/>
        <v/>
      </c>
      <c r="J144" s="82">
        <f t="shared" si="14"/>
        <v>-2</v>
      </c>
      <c r="K144" s="81">
        <f t="shared" si="12"/>
        <v>-20</v>
      </c>
      <c r="L144" s="81"/>
      <c r="M144" s="83">
        <f t="shared" si="13"/>
        <v>0</v>
      </c>
    </row>
    <row r="145" spans="1:13" x14ac:dyDescent="0.25">
      <c r="A145" s="97"/>
      <c r="G145" s="64"/>
      <c r="H145" s="81">
        <v>140</v>
      </c>
      <c r="I145" s="82" t="str">
        <f t="shared" si="11"/>
        <v/>
      </c>
      <c r="J145" s="82">
        <f t="shared" si="14"/>
        <v>-2</v>
      </c>
      <c r="K145" s="81">
        <f t="shared" si="12"/>
        <v>-20</v>
      </c>
      <c r="L145" s="81"/>
      <c r="M145" s="83">
        <f t="shared" si="13"/>
        <v>0</v>
      </c>
    </row>
    <row r="146" spans="1:13" x14ac:dyDescent="0.25">
      <c r="A146" s="97"/>
      <c r="G146" s="64"/>
      <c r="H146" s="81">
        <v>141</v>
      </c>
      <c r="I146" s="82" t="str">
        <f t="shared" si="11"/>
        <v/>
      </c>
      <c r="J146" s="82">
        <f t="shared" si="14"/>
        <v>-2</v>
      </c>
      <c r="K146" s="81">
        <f t="shared" si="12"/>
        <v>-20</v>
      </c>
      <c r="L146" s="81"/>
      <c r="M146" s="83">
        <f t="shared" si="13"/>
        <v>0</v>
      </c>
    </row>
    <row r="147" spans="1:13" x14ac:dyDescent="0.25">
      <c r="A147" s="97"/>
      <c r="G147" s="64"/>
      <c r="H147" s="81">
        <v>142</v>
      </c>
      <c r="I147" s="82" t="str">
        <f t="shared" si="11"/>
        <v/>
      </c>
      <c r="J147" s="82">
        <f t="shared" si="14"/>
        <v>-2</v>
      </c>
      <c r="K147" s="81">
        <f t="shared" si="12"/>
        <v>-20</v>
      </c>
      <c r="L147" s="81"/>
      <c r="M147" s="83">
        <f t="shared" si="13"/>
        <v>0</v>
      </c>
    </row>
    <row r="148" spans="1:13" x14ac:dyDescent="0.25">
      <c r="A148" s="97"/>
      <c r="G148" s="64"/>
      <c r="H148" s="81">
        <v>143</v>
      </c>
      <c r="I148" s="82" t="str">
        <f t="shared" si="11"/>
        <v/>
      </c>
      <c r="J148" s="82">
        <f t="shared" si="14"/>
        <v>-2</v>
      </c>
      <c r="K148" s="81">
        <f t="shared" si="12"/>
        <v>-20</v>
      </c>
      <c r="L148" s="81"/>
      <c r="M148" s="83">
        <f t="shared" si="13"/>
        <v>0</v>
      </c>
    </row>
    <row r="149" spans="1:13" x14ac:dyDescent="0.25">
      <c r="A149" s="97"/>
      <c r="G149" s="64"/>
      <c r="H149" s="81">
        <v>144</v>
      </c>
      <c r="I149" s="82" t="str">
        <f t="shared" si="11"/>
        <v/>
      </c>
      <c r="J149" s="82">
        <f t="shared" si="14"/>
        <v>-2</v>
      </c>
      <c r="K149" s="81">
        <f t="shared" si="12"/>
        <v>-20</v>
      </c>
      <c r="L149" s="81"/>
      <c r="M149" s="83">
        <f t="shared" si="13"/>
        <v>0</v>
      </c>
    </row>
    <row r="150" spans="1:13" x14ac:dyDescent="0.25">
      <c r="A150" s="97"/>
      <c r="G150" s="64"/>
      <c r="H150" s="81">
        <v>145</v>
      </c>
      <c r="I150" s="82" t="str">
        <f t="shared" si="11"/>
        <v/>
      </c>
      <c r="J150" s="82">
        <f t="shared" si="14"/>
        <v>-2</v>
      </c>
      <c r="K150" s="81">
        <f t="shared" si="12"/>
        <v>-20</v>
      </c>
      <c r="L150" s="81"/>
      <c r="M150" s="83">
        <f t="shared" si="13"/>
        <v>0</v>
      </c>
    </row>
    <row r="151" spans="1:13" x14ac:dyDescent="0.25">
      <c r="A151" s="97"/>
      <c r="G151" s="64"/>
      <c r="H151" s="81">
        <v>146</v>
      </c>
      <c r="I151" s="82" t="str">
        <f t="shared" si="11"/>
        <v/>
      </c>
      <c r="J151" s="82">
        <f t="shared" si="14"/>
        <v>-2</v>
      </c>
      <c r="K151" s="81">
        <f t="shared" si="12"/>
        <v>-20</v>
      </c>
      <c r="L151" s="81"/>
      <c r="M151" s="83">
        <f t="shared" si="13"/>
        <v>0</v>
      </c>
    </row>
    <row r="152" spans="1:13" x14ac:dyDescent="0.25">
      <c r="A152" s="97"/>
      <c r="G152" s="64"/>
      <c r="H152" s="81">
        <v>147</v>
      </c>
      <c r="I152" s="82" t="str">
        <f t="shared" si="11"/>
        <v/>
      </c>
      <c r="J152" s="82">
        <f t="shared" si="14"/>
        <v>-2</v>
      </c>
      <c r="K152" s="81">
        <f t="shared" si="12"/>
        <v>-20</v>
      </c>
      <c r="L152" s="81"/>
      <c r="M152" s="83">
        <f t="shared" si="13"/>
        <v>0</v>
      </c>
    </row>
    <row r="153" spans="1:13" x14ac:dyDescent="0.25">
      <c r="A153" s="97"/>
      <c r="G153" s="64"/>
      <c r="H153" s="81">
        <v>148</v>
      </c>
      <c r="I153" s="82" t="str">
        <f t="shared" si="11"/>
        <v/>
      </c>
      <c r="J153" s="82">
        <f t="shared" si="14"/>
        <v>-2</v>
      </c>
      <c r="K153" s="81">
        <f t="shared" si="12"/>
        <v>-20</v>
      </c>
      <c r="L153" s="81"/>
      <c r="M153" s="83">
        <f t="shared" si="13"/>
        <v>0</v>
      </c>
    </row>
    <row r="154" spans="1:13" x14ac:dyDescent="0.25">
      <c r="A154" s="97"/>
      <c r="G154" s="64"/>
      <c r="H154" s="81">
        <v>149</v>
      </c>
      <c r="I154" s="82" t="str">
        <f t="shared" si="11"/>
        <v/>
      </c>
      <c r="J154" s="82">
        <f t="shared" si="14"/>
        <v>-2</v>
      </c>
      <c r="K154" s="81">
        <f t="shared" si="12"/>
        <v>-20</v>
      </c>
      <c r="L154" s="81"/>
      <c r="M154" s="83">
        <f t="shared" si="13"/>
        <v>0</v>
      </c>
    </row>
    <row r="155" spans="1:13" x14ac:dyDescent="0.25">
      <c r="A155" s="97"/>
      <c r="G155" s="64"/>
      <c r="H155" s="81">
        <v>150</v>
      </c>
      <c r="I155" s="82" t="str">
        <f t="shared" si="11"/>
        <v/>
      </c>
      <c r="J155" s="82">
        <f t="shared" si="14"/>
        <v>-2</v>
      </c>
      <c r="K155" s="81">
        <f t="shared" si="12"/>
        <v>-20</v>
      </c>
      <c r="L155" s="81"/>
      <c r="M155" s="83">
        <f t="shared" si="13"/>
        <v>0</v>
      </c>
    </row>
    <row r="156" spans="1:13" x14ac:dyDescent="0.25">
      <c r="A156" s="97"/>
      <c r="G156" s="64"/>
      <c r="H156" s="81">
        <v>151</v>
      </c>
      <c r="I156" s="82" t="str">
        <f t="shared" si="11"/>
        <v/>
      </c>
      <c r="J156" s="82">
        <f t="shared" si="14"/>
        <v>-2</v>
      </c>
      <c r="K156" s="81">
        <f t="shared" si="12"/>
        <v>-20</v>
      </c>
      <c r="L156" s="81"/>
      <c r="M156" s="83">
        <f t="shared" si="13"/>
        <v>0</v>
      </c>
    </row>
    <row r="157" spans="1:13" x14ac:dyDescent="0.25">
      <c r="A157" s="97"/>
      <c r="G157" s="64"/>
      <c r="H157" s="81">
        <v>152</v>
      </c>
      <c r="I157" s="82" t="str">
        <f t="shared" si="11"/>
        <v/>
      </c>
      <c r="J157" s="82">
        <f t="shared" si="14"/>
        <v>-2</v>
      </c>
      <c r="K157" s="81">
        <f t="shared" si="12"/>
        <v>-20</v>
      </c>
      <c r="L157" s="81"/>
      <c r="M157" s="83">
        <f t="shared" si="13"/>
        <v>0</v>
      </c>
    </row>
    <row r="158" spans="1:13" x14ac:dyDescent="0.25">
      <c r="A158" s="97"/>
      <c r="G158" s="64"/>
      <c r="H158" s="81">
        <v>153</v>
      </c>
      <c r="I158" s="82" t="str">
        <f t="shared" si="11"/>
        <v/>
      </c>
      <c r="J158" s="82">
        <f t="shared" si="14"/>
        <v>-2</v>
      </c>
      <c r="K158" s="81">
        <f t="shared" si="12"/>
        <v>-20</v>
      </c>
      <c r="L158" s="81"/>
      <c r="M158" s="83">
        <f t="shared" si="13"/>
        <v>0</v>
      </c>
    </row>
    <row r="159" spans="1:13" x14ac:dyDescent="0.25">
      <c r="A159" s="97"/>
      <c r="G159" s="64"/>
      <c r="H159" s="81">
        <v>154</v>
      </c>
      <c r="I159" s="82" t="str">
        <f t="shared" si="11"/>
        <v/>
      </c>
      <c r="J159" s="82">
        <f t="shared" si="14"/>
        <v>-2</v>
      </c>
      <c r="K159" s="81">
        <f t="shared" si="12"/>
        <v>-20</v>
      </c>
      <c r="L159" s="81"/>
      <c r="M159" s="83">
        <f t="shared" si="13"/>
        <v>0</v>
      </c>
    </row>
    <row r="160" spans="1:13" x14ac:dyDescent="0.25">
      <c r="A160" s="97"/>
      <c r="G160" s="64"/>
      <c r="H160" s="81">
        <v>155</v>
      </c>
      <c r="I160" s="82" t="str">
        <f t="shared" si="11"/>
        <v/>
      </c>
      <c r="J160" s="82">
        <f t="shared" si="14"/>
        <v>-2</v>
      </c>
      <c r="K160" s="81">
        <f t="shared" si="12"/>
        <v>-20</v>
      </c>
      <c r="L160" s="81"/>
      <c r="M160" s="83">
        <f t="shared" si="13"/>
        <v>0</v>
      </c>
    </row>
    <row r="161" spans="1:13" x14ac:dyDescent="0.25">
      <c r="A161" s="97"/>
      <c r="G161" s="64"/>
      <c r="H161" s="81">
        <v>156</v>
      </c>
      <c r="I161" s="82" t="str">
        <f t="shared" si="11"/>
        <v/>
      </c>
      <c r="J161" s="82">
        <f t="shared" si="14"/>
        <v>-2</v>
      </c>
      <c r="K161" s="81">
        <f t="shared" si="12"/>
        <v>-20</v>
      </c>
      <c r="L161" s="81"/>
      <c r="M161" s="83">
        <f t="shared" si="13"/>
        <v>0</v>
      </c>
    </row>
    <row r="162" spans="1:13" x14ac:dyDescent="0.25">
      <c r="A162" s="97"/>
      <c r="G162" s="64"/>
      <c r="H162" s="81">
        <v>157</v>
      </c>
      <c r="I162" s="82" t="str">
        <f t="shared" si="11"/>
        <v/>
      </c>
      <c r="J162" s="82">
        <f t="shared" si="14"/>
        <v>-2</v>
      </c>
      <c r="K162" s="81">
        <f t="shared" si="12"/>
        <v>-20</v>
      </c>
      <c r="L162" s="81"/>
      <c r="M162" s="83">
        <f t="shared" si="13"/>
        <v>0</v>
      </c>
    </row>
    <row r="163" spans="1:13" x14ac:dyDescent="0.25">
      <c r="A163" s="97"/>
      <c r="G163" s="64"/>
      <c r="H163" s="81">
        <v>158</v>
      </c>
      <c r="I163" s="82" t="str">
        <f t="shared" si="11"/>
        <v/>
      </c>
      <c r="J163" s="82">
        <f t="shared" si="14"/>
        <v>-2</v>
      </c>
      <c r="K163" s="81">
        <f t="shared" si="12"/>
        <v>-20</v>
      </c>
      <c r="L163" s="81"/>
      <c r="M163" s="83">
        <f t="shared" si="13"/>
        <v>0</v>
      </c>
    </row>
    <row r="164" spans="1:13" x14ac:dyDescent="0.25">
      <c r="A164" s="97"/>
      <c r="G164" s="64"/>
      <c r="H164" s="81">
        <v>159</v>
      </c>
      <c r="I164" s="82" t="str">
        <f t="shared" si="11"/>
        <v/>
      </c>
      <c r="J164" s="82">
        <f t="shared" si="14"/>
        <v>-2</v>
      </c>
      <c r="K164" s="81">
        <f t="shared" si="12"/>
        <v>-20</v>
      </c>
      <c r="L164" s="81"/>
      <c r="M164" s="83">
        <f t="shared" si="13"/>
        <v>0</v>
      </c>
    </row>
    <row r="165" spans="1:13" x14ac:dyDescent="0.25">
      <c r="A165" s="97"/>
      <c r="G165" s="64"/>
      <c r="H165" s="81">
        <v>160</v>
      </c>
      <c r="I165" s="82" t="str">
        <f t="shared" si="11"/>
        <v/>
      </c>
      <c r="J165" s="82">
        <f t="shared" si="14"/>
        <v>-2</v>
      </c>
      <c r="K165" s="81">
        <f t="shared" si="12"/>
        <v>-20</v>
      </c>
      <c r="L165" s="81"/>
      <c r="M165" s="83">
        <f t="shared" si="13"/>
        <v>0</v>
      </c>
    </row>
    <row r="166" spans="1:13" x14ac:dyDescent="0.25">
      <c r="A166" s="97"/>
      <c r="G166" s="64"/>
      <c r="H166" s="81">
        <v>161</v>
      </c>
      <c r="I166" s="82" t="str">
        <f t="shared" si="11"/>
        <v/>
      </c>
      <c r="J166" s="82">
        <f t="shared" si="14"/>
        <v>-2</v>
      </c>
      <c r="K166" s="81">
        <f t="shared" si="12"/>
        <v>-20</v>
      </c>
      <c r="L166" s="81"/>
      <c r="M166" s="83">
        <f t="shared" si="13"/>
        <v>0</v>
      </c>
    </row>
    <row r="167" spans="1:13" x14ac:dyDescent="0.25">
      <c r="A167" s="97"/>
      <c r="G167" s="64"/>
      <c r="H167" s="81">
        <v>162</v>
      </c>
      <c r="I167" s="82" t="str">
        <f t="shared" si="11"/>
        <v/>
      </c>
      <c r="J167" s="82">
        <f t="shared" si="14"/>
        <v>-2</v>
      </c>
      <c r="K167" s="81">
        <f t="shared" si="12"/>
        <v>-20</v>
      </c>
      <c r="L167" s="81"/>
      <c r="M167" s="83">
        <f t="shared" si="13"/>
        <v>0</v>
      </c>
    </row>
    <row r="168" spans="1:13" x14ac:dyDescent="0.25">
      <c r="A168" s="97"/>
      <c r="G168" s="64"/>
      <c r="H168" s="81">
        <v>163</v>
      </c>
      <c r="I168" s="82" t="str">
        <f t="shared" si="11"/>
        <v/>
      </c>
      <c r="J168" s="82">
        <f t="shared" si="14"/>
        <v>-2</v>
      </c>
      <c r="K168" s="81">
        <f t="shared" si="12"/>
        <v>-20</v>
      </c>
      <c r="L168" s="81"/>
      <c r="M168" s="83">
        <f t="shared" si="13"/>
        <v>0</v>
      </c>
    </row>
    <row r="169" spans="1:13" x14ac:dyDescent="0.25">
      <c r="A169" s="97"/>
      <c r="G169" s="64"/>
      <c r="H169" s="81">
        <v>164</v>
      </c>
      <c r="I169" s="82" t="str">
        <f t="shared" si="11"/>
        <v/>
      </c>
      <c r="J169" s="82">
        <f t="shared" si="14"/>
        <v>-2</v>
      </c>
      <c r="K169" s="81">
        <f t="shared" si="12"/>
        <v>-20</v>
      </c>
      <c r="L169" s="81"/>
      <c r="M169" s="83">
        <f t="shared" si="13"/>
        <v>0</v>
      </c>
    </row>
    <row r="170" spans="1:13" x14ac:dyDescent="0.25">
      <c r="A170" s="97"/>
      <c r="G170" s="64"/>
      <c r="H170" s="81">
        <v>165</v>
      </c>
      <c r="I170" s="82" t="str">
        <f t="shared" si="11"/>
        <v/>
      </c>
      <c r="J170" s="82">
        <f t="shared" si="14"/>
        <v>-2</v>
      </c>
      <c r="K170" s="81">
        <f t="shared" si="12"/>
        <v>-20</v>
      </c>
      <c r="L170" s="81"/>
      <c r="M170" s="83">
        <f t="shared" si="13"/>
        <v>0</v>
      </c>
    </row>
    <row r="171" spans="1:13" x14ac:dyDescent="0.25">
      <c r="A171" s="97"/>
      <c r="G171" s="64"/>
      <c r="H171" s="81">
        <v>166</v>
      </c>
      <c r="I171" s="82" t="str">
        <f t="shared" si="11"/>
        <v/>
      </c>
      <c r="J171" s="82">
        <f t="shared" si="14"/>
        <v>-2</v>
      </c>
      <c r="K171" s="81">
        <f t="shared" si="12"/>
        <v>-20</v>
      </c>
      <c r="L171" s="81"/>
      <c r="M171" s="83">
        <f t="shared" si="13"/>
        <v>0</v>
      </c>
    </row>
    <row r="172" spans="1:13" x14ac:dyDescent="0.25">
      <c r="A172" s="97"/>
      <c r="G172" s="64"/>
      <c r="H172" s="81">
        <v>167</v>
      </c>
      <c r="I172" s="82" t="str">
        <f t="shared" si="11"/>
        <v/>
      </c>
      <c r="J172" s="82">
        <f t="shared" si="14"/>
        <v>-2</v>
      </c>
      <c r="K172" s="81">
        <f t="shared" si="12"/>
        <v>-20</v>
      </c>
      <c r="L172" s="81"/>
      <c r="M172" s="83">
        <f t="shared" si="13"/>
        <v>0</v>
      </c>
    </row>
    <row r="173" spans="1:13" x14ac:dyDescent="0.25">
      <c r="A173" s="97"/>
      <c r="G173" s="64"/>
      <c r="H173" s="81">
        <v>168</v>
      </c>
      <c r="I173" s="82" t="str">
        <f t="shared" si="11"/>
        <v/>
      </c>
      <c r="J173" s="82">
        <f t="shared" si="14"/>
        <v>-2</v>
      </c>
      <c r="K173" s="81">
        <f t="shared" si="12"/>
        <v>-20</v>
      </c>
      <c r="L173" s="81"/>
      <c r="M173" s="83">
        <f t="shared" si="13"/>
        <v>0</v>
      </c>
    </row>
    <row r="174" spans="1:13" x14ac:dyDescent="0.25">
      <c r="A174" s="97"/>
      <c r="G174" s="64"/>
      <c r="H174" s="81">
        <v>169</v>
      </c>
      <c r="I174" s="82" t="str">
        <f t="shared" si="11"/>
        <v/>
      </c>
      <c r="J174" s="82">
        <f t="shared" si="14"/>
        <v>-2</v>
      </c>
      <c r="K174" s="81">
        <f t="shared" si="12"/>
        <v>-20</v>
      </c>
      <c r="L174" s="81"/>
      <c r="M174" s="83">
        <f t="shared" si="13"/>
        <v>0</v>
      </c>
    </row>
    <row r="175" spans="1:13" x14ac:dyDescent="0.25">
      <c r="A175" s="97"/>
      <c r="G175" s="64"/>
      <c r="H175" s="81">
        <v>170</v>
      </c>
      <c r="I175" s="82" t="str">
        <f t="shared" si="11"/>
        <v/>
      </c>
      <c r="J175" s="82">
        <f t="shared" si="14"/>
        <v>-2</v>
      </c>
      <c r="K175" s="81">
        <f t="shared" si="12"/>
        <v>-20</v>
      </c>
      <c r="L175" s="81"/>
      <c r="M175" s="83">
        <f t="shared" si="13"/>
        <v>0</v>
      </c>
    </row>
    <row r="176" spans="1:13" x14ac:dyDescent="0.25">
      <c r="A176" s="97"/>
      <c r="G176" s="64"/>
      <c r="H176" s="81">
        <v>171</v>
      </c>
      <c r="I176" s="82" t="str">
        <f t="shared" si="11"/>
        <v/>
      </c>
      <c r="J176" s="82">
        <f t="shared" si="14"/>
        <v>-2</v>
      </c>
      <c r="K176" s="81">
        <f t="shared" si="12"/>
        <v>-20</v>
      </c>
      <c r="L176" s="81"/>
      <c r="M176" s="83">
        <f t="shared" si="13"/>
        <v>0</v>
      </c>
    </row>
    <row r="177" spans="1:13" x14ac:dyDescent="0.25">
      <c r="A177" s="97"/>
      <c r="G177" s="64"/>
      <c r="H177" s="81">
        <v>172</v>
      </c>
      <c r="I177" s="82" t="str">
        <f t="shared" si="11"/>
        <v/>
      </c>
      <c r="J177" s="82">
        <f t="shared" si="14"/>
        <v>-2</v>
      </c>
      <c r="K177" s="81">
        <f t="shared" si="12"/>
        <v>-20</v>
      </c>
      <c r="L177" s="81"/>
      <c r="M177" s="83">
        <f t="shared" si="13"/>
        <v>0</v>
      </c>
    </row>
    <row r="178" spans="1:13" x14ac:dyDescent="0.25">
      <c r="A178" s="97"/>
      <c r="G178" s="64"/>
      <c r="H178" s="81">
        <v>173</v>
      </c>
      <c r="I178" s="82" t="str">
        <f t="shared" si="11"/>
        <v/>
      </c>
      <c r="J178" s="82">
        <f t="shared" si="14"/>
        <v>-2</v>
      </c>
      <c r="K178" s="81">
        <f t="shared" si="12"/>
        <v>-20</v>
      </c>
      <c r="L178" s="81"/>
      <c r="M178" s="83">
        <f t="shared" si="13"/>
        <v>0</v>
      </c>
    </row>
    <row r="179" spans="1:13" x14ac:dyDescent="0.25">
      <c r="A179" s="97"/>
      <c r="G179" s="64"/>
      <c r="H179" s="81">
        <v>174</v>
      </c>
      <c r="I179" s="82" t="str">
        <f t="shared" si="11"/>
        <v/>
      </c>
      <c r="J179" s="82">
        <f t="shared" si="14"/>
        <v>-2</v>
      </c>
      <c r="K179" s="81">
        <f t="shared" si="12"/>
        <v>-20</v>
      </c>
      <c r="L179" s="81"/>
      <c r="M179" s="83">
        <f t="shared" si="13"/>
        <v>0</v>
      </c>
    </row>
    <row r="180" spans="1:13" x14ac:dyDescent="0.25">
      <c r="A180" s="97"/>
      <c r="G180" s="64"/>
      <c r="H180" s="81">
        <v>175</v>
      </c>
      <c r="I180" s="82" t="str">
        <f t="shared" si="11"/>
        <v/>
      </c>
      <c r="J180" s="82">
        <f t="shared" si="14"/>
        <v>-2</v>
      </c>
      <c r="K180" s="81">
        <f t="shared" si="12"/>
        <v>-20</v>
      </c>
      <c r="L180" s="81"/>
      <c r="M180" s="83">
        <f t="shared" si="13"/>
        <v>0</v>
      </c>
    </row>
    <row r="181" spans="1:13" x14ac:dyDescent="0.25">
      <c r="A181" s="97"/>
      <c r="G181" s="64"/>
      <c r="H181" s="81">
        <v>176</v>
      </c>
      <c r="I181" s="82" t="str">
        <f t="shared" si="11"/>
        <v/>
      </c>
      <c r="J181" s="82">
        <f t="shared" si="14"/>
        <v>-2</v>
      </c>
      <c r="K181" s="81">
        <f t="shared" si="12"/>
        <v>-20</v>
      </c>
      <c r="L181" s="81"/>
      <c r="M181" s="83">
        <f t="shared" si="13"/>
        <v>0</v>
      </c>
    </row>
    <row r="182" spans="1:13" x14ac:dyDescent="0.25">
      <c r="A182" s="97"/>
      <c r="G182" s="64"/>
      <c r="H182" s="81">
        <v>177</v>
      </c>
      <c r="I182" s="82" t="str">
        <f t="shared" si="11"/>
        <v/>
      </c>
      <c r="J182" s="82">
        <f t="shared" si="14"/>
        <v>-2</v>
      </c>
      <c r="K182" s="81">
        <f t="shared" si="12"/>
        <v>-20</v>
      </c>
      <c r="L182" s="81"/>
      <c r="M182" s="83">
        <f t="shared" si="13"/>
        <v>0</v>
      </c>
    </row>
    <row r="183" spans="1:13" x14ac:dyDescent="0.25">
      <c r="A183" s="97"/>
      <c r="G183" s="64"/>
      <c r="H183" s="81">
        <v>178</v>
      </c>
      <c r="I183" s="82" t="str">
        <f t="shared" si="11"/>
        <v/>
      </c>
      <c r="J183" s="82">
        <f t="shared" si="14"/>
        <v>-2</v>
      </c>
      <c r="K183" s="81">
        <f t="shared" si="12"/>
        <v>-20</v>
      </c>
      <c r="L183" s="81"/>
      <c r="M183" s="83">
        <f t="shared" si="13"/>
        <v>0</v>
      </c>
    </row>
    <row r="184" spans="1:13" x14ac:dyDescent="0.25">
      <c r="A184" s="97"/>
      <c r="G184" s="64"/>
      <c r="H184" s="81">
        <v>179</v>
      </c>
      <c r="I184" s="82" t="str">
        <f t="shared" si="11"/>
        <v/>
      </c>
      <c r="J184" s="82">
        <f t="shared" si="14"/>
        <v>-2</v>
      </c>
      <c r="K184" s="81">
        <f t="shared" si="12"/>
        <v>-20</v>
      </c>
      <c r="L184" s="81"/>
      <c r="M184" s="83">
        <f t="shared" si="13"/>
        <v>0</v>
      </c>
    </row>
    <row r="185" spans="1:13" x14ac:dyDescent="0.25">
      <c r="A185" s="97"/>
      <c r="G185" s="64"/>
      <c r="H185" s="81">
        <v>180</v>
      </c>
      <c r="I185" s="82" t="str">
        <f t="shared" si="11"/>
        <v/>
      </c>
      <c r="J185" s="82">
        <f t="shared" si="14"/>
        <v>-2</v>
      </c>
      <c r="K185" s="81">
        <f t="shared" si="12"/>
        <v>-20</v>
      </c>
      <c r="L185" s="81"/>
      <c r="M185" s="83">
        <f t="shared" si="13"/>
        <v>0</v>
      </c>
    </row>
    <row r="186" spans="1:13" x14ac:dyDescent="0.25">
      <c r="A186" s="97"/>
      <c r="G186" s="64"/>
      <c r="H186" s="81">
        <v>181</v>
      </c>
      <c r="I186" s="82" t="str">
        <f t="shared" si="11"/>
        <v/>
      </c>
      <c r="J186" s="82">
        <f t="shared" si="14"/>
        <v>-2</v>
      </c>
      <c r="K186" s="81">
        <f t="shared" si="12"/>
        <v>-20</v>
      </c>
      <c r="L186" s="81"/>
      <c r="M186" s="83">
        <f t="shared" si="13"/>
        <v>0</v>
      </c>
    </row>
    <row r="187" spans="1:13" x14ac:dyDescent="0.25">
      <c r="A187" s="97"/>
      <c r="G187" s="64"/>
      <c r="H187" s="81">
        <v>182</v>
      </c>
      <c r="I187" s="82" t="str">
        <f t="shared" si="11"/>
        <v/>
      </c>
      <c r="J187" s="82">
        <f t="shared" si="14"/>
        <v>-2</v>
      </c>
      <c r="K187" s="81">
        <f t="shared" si="12"/>
        <v>-20</v>
      </c>
      <c r="L187" s="81"/>
      <c r="M187" s="83">
        <f t="shared" si="13"/>
        <v>0</v>
      </c>
    </row>
    <row r="188" spans="1:13" x14ac:dyDescent="0.25">
      <c r="A188" s="97"/>
      <c r="G188" s="64"/>
      <c r="H188" s="81">
        <v>183</v>
      </c>
      <c r="I188" s="82" t="str">
        <f t="shared" si="11"/>
        <v/>
      </c>
      <c r="J188" s="82">
        <f t="shared" si="14"/>
        <v>-2</v>
      </c>
      <c r="K188" s="81">
        <f t="shared" si="12"/>
        <v>-20</v>
      </c>
      <c r="L188" s="81"/>
      <c r="M188" s="83">
        <f t="shared" si="13"/>
        <v>0</v>
      </c>
    </row>
    <row r="189" spans="1:13" x14ac:dyDescent="0.25">
      <c r="A189" s="97"/>
      <c r="G189" s="64"/>
      <c r="H189" s="81">
        <v>184</v>
      </c>
      <c r="I189" s="82" t="str">
        <f t="shared" si="11"/>
        <v/>
      </c>
      <c r="J189" s="82">
        <f t="shared" si="14"/>
        <v>-2</v>
      </c>
      <c r="K189" s="81">
        <f t="shared" si="12"/>
        <v>-20</v>
      </c>
      <c r="L189" s="81"/>
      <c r="M189" s="83">
        <f t="shared" si="13"/>
        <v>0</v>
      </c>
    </row>
    <row r="190" spans="1:13" x14ac:dyDescent="0.25">
      <c r="A190" s="97"/>
      <c r="G190" s="64"/>
      <c r="H190" s="81">
        <v>185</v>
      </c>
      <c r="I190" s="82" t="str">
        <f t="shared" si="11"/>
        <v/>
      </c>
      <c r="J190" s="82">
        <f t="shared" si="14"/>
        <v>-2</v>
      </c>
      <c r="K190" s="81">
        <f t="shared" si="12"/>
        <v>-20</v>
      </c>
      <c r="L190" s="81"/>
      <c r="M190" s="83">
        <f t="shared" si="13"/>
        <v>0</v>
      </c>
    </row>
    <row r="191" spans="1:13" x14ac:dyDescent="0.25">
      <c r="A191" s="97"/>
      <c r="G191" s="64"/>
      <c r="H191" s="81">
        <v>186</v>
      </c>
      <c r="I191" s="82" t="str">
        <f t="shared" si="11"/>
        <v/>
      </c>
      <c r="J191" s="82">
        <f t="shared" si="14"/>
        <v>-2</v>
      </c>
      <c r="K191" s="81">
        <f t="shared" si="12"/>
        <v>-20</v>
      </c>
      <c r="L191" s="81"/>
      <c r="M191" s="83">
        <f t="shared" si="13"/>
        <v>0</v>
      </c>
    </row>
    <row r="192" spans="1:13" x14ac:dyDescent="0.25">
      <c r="A192" s="97"/>
      <c r="G192" s="64"/>
      <c r="H192" s="81">
        <v>187</v>
      </c>
      <c r="I192" s="82" t="str">
        <f t="shared" si="11"/>
        <v/>
      </c>
      <c r="J192" s="82">
        <f t="shared" si="14"/>
        <v>-2</v>
      </c>
      <c r="K192" s="81">
        <f t="shared" si="12"/>
        <v>-20</v>
      </c>
      <c r="L192" s="81"/>
      <c r="M192" s="83">
        <f t="shared" si="13"/>
        <v>0</v>
      </c>
    </row>
    <row r="193" spans="1:13" x14ac:dyDescent="0.25">
      <c r="A193" s="97"/>
      <c r="G193" s="64"/>
      <c r="H193" s="81">
        <v>188</v>
      </c>
      <c r="I193" s="82" t="str">
        <f t="shared" si="11"/>
        <v/>
      </c>
      <c r="J193" s="82">
        <f t="shared" si="14"/>
        <v>-2</v>
      </c>
      <c r="K193" s="81">
        <f t="shared" si="12"/>
        <v>-20</v>
      </c>
      <c r="L193" s="81"/>
      <c r="M193" s="83">
        <f t="shared" si="13"/>
        <v>0</v>
      </c>
    </row>
    <row r="194" spans="1:13" x14ac:dyDescent="0.25">
      <c r="A194" s="97"/>
      <c r="G194" s="64"/>
      <c r="H194" s="81">
        <v>189</v>
      </c>
      <c r="I194" s="82" t="str">
        <f t="shared" si="11"/>
        <v/>
      </c>
      <c r="J194" s="82">
        <f t="shared" si="14"/>
        <v>-2</v>
      </c>
      <c r="K194" s="81">
        <f t="shared" si="12"/>
        <v>-20</v>
      </c>
      <c r="L194" s="81"/>
      <c r="M194" s="83">
        <f t="shared" si="13"/>
        <v>0</v>
      </c>
    </row>
    <row r="195" spans="1:13" x14ac:dyDescent="0.25">
      <c r="A195" s="97"/>
      <c r="G195" s="64"/>
      <c r="H195" s="81">
        <v>190</v>
      </c>
      <c r="I195" s="82" t="str">
        <f t="shared" si="11"/>
        <v/>
      </c>
      <c r="J195" s="82">
        <f t="shared" si="14"/>
        <v>-2</v>
      </c>
      <c r="K195" s="81">
        <f t="shared" si="12"/>
        <v>-20</v>
      </c>
      <c r="L195" s="81"/>
      <c r="M195" s="83">
        <f t="shared" si="13"/>
        <v>0</v>
      </c>
    </row>
    <row r="196" spans="1:13" x14ac:dyDescent="0.25">
      <c r="A196" s="97"/>
      <c r="G196" s="64"/>
      <c r="H196" s="81">
        <v>191</v>
      </c>
      <c r="I196" s="82" t="str">
        <f t="shared" si="11"/>
        <v/>
      </c>
      <c r="J196" s="82">
        <f t="shared" si="14"/>
        <v>-2</v>
      </c>
      <c r="K196" s="81">
        <f t="shared" si="12"/>
        <v>-20</v>
      </c>
      <c r="L196" s="81"/>
      <c r="M196" s="83">
        <f t="shared" si="13"/>
        <v>0</v>
      </c>
    </row>
    <row r="197" spans="1:13" x14ac:dyDescent="0.25">
      <c r="A197" s="97"/>
      <c r="G197" s="64"/>
      <c r="H197" s="81">
        <v>192</v>
      </c>
      <c r="I197" s="82" t="str">
        <f t="shared" si="11"/>
        <v/>
      </c>
      <c r="J197" s="82">
        <f t="shared" si="14"/>
        <v>-2</v>
      </c>
      <c r="K197" s="81">
        <f t="shared" si="12"/>
        <v>-20</v>
      </c>
      <c r="L197" s="81"/>
      <c r="M197" s="83">
        <f t="shared" si="13"/>
        <v>0</v>
      </c>
    </row>
    <row r="198" spans="1:13" x14ac:dyDescent="0.25">
      <c r="A198" s="97"/>
      <c r="G198" s="64"/>
      <c r="H198" s="81">
        <v>193</v>
      </c>
      <c r="I198" s="82" t="str">
        <f t="shared" ref="I198:I261" si="15">IF(H198&lt;$H$2+1,($I$2-($I$2-1)*(LOG(H198)/LOG($H$2))),"")</f>
        <v/>
      </c>
      <c r="J198" s="82">
        <f t="shared" si="14"/>
        <v>-2</v>
      </c>
      <c r="K198" s="81">
        <f t="shared" ref="K198:K261" si="16">J198*$J$2</f>
        <v>-20</v>
      </c>
      <c r="L198" s="81"/>
      <c r="M198" s="83">
        <f t="shared" ref="M198:M261" si="17">IF(I198&lt;&gt;"",K198+I198+L198,0)</f>
        <v>0</v>
      </c>
    </row>
    <row r="199" spans="1:13" x14ac:dyDescent="0.25">
      <c r="A199" s="97"/>
      <c r="G199" s="64"/>
      <c r="H199" s="81">
        <v>194</v>
      </c>
      <c r="I199" s="82" t="str">
        <f t="shared" si="15"/>
        <v/>
      </c>
      <c r="J199" s="82">
        <f t="shared" ref="J199:J262" si="18">INT(LOG($H$2,2))-ROUNDUP(LOG(H199,2),0)+IF(OR($H$2=1,$H$2=2,$H$2=4,$H$2=8,$H$2=16,$H$2=32,$H$2=64,$H$2=128,$H$2=256),0,1)</f>
        <v>-2</v>
      </c>
      <c r="K199" s="81">
        <f t="shared" si="16"/>
        <v>-20</v>
      </c>
      <c r="L199" s="81"/>
      <c r="M199" s="83">
        <f t="shared" si="17"/>
        <v>0</v>
      </c>
    </row>
    <row r="200" spans="1:13" x14ac:dyDescent="0.25">
      <c r="A200" s="97"/>
      <c r="G200" s="64"/>
      <c r="H200" s="81">
        <v>195</v>
      </c>
      <c r="I200" s="82" t="str">
        <f t="shared" si="15"/>
        <v/>
      </c>
      <c r="J200" s="82">
        <f t="shared" si="18"/>
        <v>-2</v>
      </c>
      <c r="K200" s="81">
        <f t="shared" si="16"/>
        <v>-20</v>
      </c>
      <c r="L200" s="81"/>
      <c r="M200" s="83">
        <f t="shared" si="17"/>
        <v>0</v>
      </c>
    </row>
    <row r="201" spans="1:13" x14ac:dyDescent="0.25">
      <c r="A201" s="97"/>
      <c r="G201" s="64"/>
      <c r="H201" s="81">
        <v>196</v>
      </c>
      <c r="I201" s="82" t="str">
        <f t="shared" si="15"/>
        <v/>
      </c>
      <c r="J201" s="82">
        <f t="shared" si="18"/>
        <v>-2</v>
      </c>
      <c r="K201" s="81">
        <f t="shared" si="16"/>
        <v>-20</v>
      </c>
      <c r="L201" s="81"/>
      <c r="M201" s="83">
        <f t="shared" si="17"/>
        <v>0</v>
      </c>
    </row>
    <row r="202" spans="1:13" x14ac:dyDescent="0.25">
      <c r="A202" s="97"/>
      <c r="G202" s="64"/>
      <c r="H202" s="81">
        <v>197</v>
      </c>
      <c r="I202" s="82" t="str">
        <f t="shared" si="15"/>
        <v/>
      </c>
      <c r="J202" s="82">
        <f t="shared" si="18"/>
        <v>-2</v>
      </c>
      <c r="K202" s="81">
        <f t="shared" si="16"/>
        <v>-20</v>
      </c>
      <c r="L202" s="81"/>
      <c r="M202" s="83">
        <f t="shared" si="17"/>
        <v>0</v>
      </c>
    </row>
    <row r="203" spans="1:13" x14ac:dyDescent="0.25">
      <c r="A203" s="97"/>
      <c r="G203" s="64"/>
      <c r="H203" s="81">
        <v>198</v>
      </c>
      <c r="I203" s="82" t="str">
        <f t="shared" si="15"/>
        <v/>
      </c>
      <c r="J203" s="82">
        <f t="shared" si="18"/>
        <v>-2</v>
      </c>
      <c r="K203" s="81">
        <f t="shared" si="16"/>
        <v>-20</v>
      </c>
      <c r="L203" s="81"/>
      <c r="M203" s="83">
        <f t="shared" si="17"/>
        <v>0</v>
      </c>
    </row>
    <row r="204" spans="1:13" x14ac:dyDescent="0.25">
      <c r="A204" s="97"/>
      <c r="G204" s="64"/>
      <c r="H204" s="81">
        <v>199</v>
      </c>
      <c r="I204" s="82" t="str">
        <f t="shared" si="15"/>
        <v/>
      </c>
      <c r="J204" s="82">
        <f t="shared" si="18"/>
        <v>-2</v>
      </c>
      <c r="K204" s="81">
        <f t="shared" si="16"/>
        <v>-20</v>
      </c>
      <c r="L204" s="81"/>
      <c r="M204" s="83">
        <f t="shared" si="17"/>
        <v>0</v>
      </c>
    </row>
    <row r="205" spans="1:13" x14ac:dyDescent="0.25">
      <c r="A205" s="97"/>
      <c r="G205" s="64"/>
      <c r="H205" s="81">
        <v>200</v>
      </c>
      <c r="I205" s="82" t="str">
        <f t="shared" si="15"/>
        <v/>
      </c>
      <c r="J205" s="82">
        <f t="shared" si="18"/>
        <v>-2</v>
      </c>
      <c r="K205" s="81">
        <f t="shared" si="16"/>
        <v>-20</v>
      </c>
      <c r="L205" s="81"/>
      <c r="M205" s="83">
        <f t="shared" si="17"/>
        <v>0</v>
      </c>
    </row>
    <row r="206" spans="1:13" x14ac:dyDescent="0.25">
      <c r="A206" s="97"/>
      <c r="G206" s="64"/>
      <c r="H206" s="81">
        <v>201</v>
      </c>
      <c r="I206" s="82" t="str">
        <f t="shared" si="15"/>
        <v/>
      </c>
      <c r="J206" s="82">
        <f t="shared" si="18"/>
        <v>-2</v>
      </c>
      <c r="K206" s="81">
        <f t="shared" si="16"/>
        <v>-20</v>
      </c>
      <c r="L206" s="81"/>
      <c r="M206" s="83">
        <f t="shared" si="17"/>
        <v>0</v>
      </c>
    </row>
    <row r="207" spans="1:13" x14ac:dyDescent="0.25">
      <c r="A207" s="97"/>
      <c r="G207" s="64"/>
      <c r="H207" s="81">
        <v>202</v>
      </c>
      <c r="I207" s="82" t="str">
        <f t="shared" si="15"/>
        <v/>
      </c>
      <c r="J207" s="82">
        <f t="shared" si="18"/>
        <v>-2</v>
      </c>
      <c r="K207" s="81">
        <f t="shared" si="16"/>
        <v>-20</v>
      </c>
      <c r="L207" s="81"/>
      <c r="M207" s="83">
        <f t="shared" si="17"/>
        <v>0</v>
      </c>
    </row>
    <row r="208" spans="1:13" x14ac:dyDescent="0.25">
      <c r="A208" s="97"/>
      <c r="G208" s="64"/>
      <c r="H208" s="81">
        <v>203</v>
      </c>
      <c r="I208" s="82" t="str">
        <f t="shared" si="15"/>
        <v/>
      </c>
      <c r="J208" s="82">
        <f t="shared" si="18"/>
        <v>-2</v>
      </c>
      <c r="K208" s="81">
        <f t="shared" si="16"/>
        <v>-20</v>
      </c>
      <c r="L208" s="81"/>
      <c r="M208" s="83">
        <f t="shared" si="17"/>
        <v>0</v>
      </c>
    </row>
    <row r="209" spans="1:13" x14ac:dyDescent="0.25">
      <c r="A209" s="97"/>
      <c r="G209" s="64"/>
      <c r="H209" s="81">
        <v>204</v>
      </c>
      <c r="I209" s="82" t="str">
        <f t="shared" si="15"/>
        <v/>
      </c>
      <c r="J209" s="82">
        <f t="shared" si="18"/>
        <v>-2</v>
      </c>
      <c r="K209" s="81">
        <f t="shared" si="16"/>
        <v>-20</v>
      </c>
      <c r="L209" s="81"/>
      <c r="M209" s="83">
        <f t="shared" si="17"/>
        <v>0</v>
      </c>
    </row>
    <row r="210" spans="1:13" x14ac:dyDescent="0.25">
      <c r="A210" s="97"/>
      <c r="G210" s="64"/>
      <c r="H210" s="81">
        <v>205</v>
      </c>
      <c r="I210" s="82" t="str">
        <f t="shared" si="15"/>
        <v/>
      </c>
      <c r="J210" s="82">
        <f t="shared" si="18"/>
        <v>-2</v>
      </c>
      <c r="K210" s="81">
        <f t="shared" si="16"/>
        <v>-20</v>
      </c>
      <c r="L210" s="81"/>
      <c r="M210" s="83">
        <f t="shared" si="17"/>
        <v>0</v>
      </c>
    </row>
    <row r="211" spans="1:13" x14ac:dyDescent="0.25">
      <c r="A211" s="97"/>
      <c r="G211" s="64"/>
      <c r="H211" s="81">
        <v>206</v>
      </c>
      <c r="I211" s="82" t="str">
        <f t="shared" si="15"/>
        <v/>
      </c>
      <c r="J211" s="82">
        <f t="shared" si="18"/>
        <v>-2</v>
      </c>
      <c r="K211" s="81">
        <f t="shared" si="16"/>
        <v>-20</v>
      </c>
      <c r="L211" s="81"/>
      <c r="M211" s="83">
        <f t="shared" si="17"/>
        <v>0</v>
      </c>
    </row>
    <row r="212" spans="1:13" x14ac:dyDescent="0.25">
      <c r="A212" s="97"/>
      <c r="G212" s="64"/>
      <c r="H212" s="81">
        <v>207</v>
      </c>
      <c r="I212" s="82" t="str">
        <f t="shared" si="15"/>
        <v/>
      </c>
      <c r="J212" s="82">
        <f t="shared" si="18"/>
        <v>-2</v>
      </c>
      <c r="K212" s="81">
        <f t="shared" si="16"/>
        <v>-20</v>
      </c>
      <c r="L212" s="81"/>
      <c r="M212" s="83">
        <f t="shared" si="17"/>
        <v>0</v>
      </c>
    </row>
    <row r="213" spans="1:13" x14ac:dyDescent="0.25">
      <c r="A213" s="97"/>
      <c r="G213" s="64"/>
      <c r="H213" s="81">
        <v>208</v>
      </c>
      <c r="I213" s="82" t="str">
        <f t="shared" si="15"/>
        <v/>
      </c>
      <c r="J213" s="82">
        <f t="shared" si="18"/>
        <v>-2</v>
      </c>
      <c r="K213" s="81">
        <f t="shared" si="16"/>
        <v>-20</v>
      </c>
      <c r="L213" s="81"/>
      <c r="M213" s="83">
        <f t="shared" si="17"/>
        <v>0</v>
      </c>
    </row>
    <row r="214" spans="1:13" x14ac:dyDescent="0.25">
      <c r="A214" s="97"/>
      <c r="G214" s="64"/>
      <c r="H214" s="81">
        <v>209</v>
      </c>
      <c r="I214" s="82" t="str">
        <f t="shared" si="15"/>
        <v/>
      </c>
      <c r="J214" s="82">
        <f t="shared" si="18"/>
        <v>-2</v>
      </c>
      <c r="K214" s="81">
        <f t="shared" si="16"/>
        <v>-20</v>
      </c>
      <c r="L214" s="81"/>
      <c r="M214" s="83">
        <f t="shared" si="17"/>
        <v>0</v>
      </c>
    </row>
    <row r="215" spans="1:13" x14ac:dyDescent="0.25">
      <c r="A215" s="97"/>
      <c r="G215" s="64"/>
      <c r="H215" s="81">
        <v>210</v>
      </c>
      <c r="I215" s="82" t="str">
        <f t="shared" si="15"/>
        <v/>
      </c>
      <c r="J215" s="82">
        <f t="shared" si="18"/>
        <v>-2</v>
      </c>
      <c r="K215" s="81">
        <f t="shared" si="16"/>
        <v>-20</v>
      </c>
      <c r="L215" s="81"/>
      <c r="M215" s="83">
        <f t="shared" si="17"/>
        <v>0</v>
      </c>
    </row>
    <row r="216" spans="1:13" x14ac:dyDescent="0.25">
      <c r="A216" s="97"/>
      <c r="G216" s="64"/>
      <c r="H216" s="81">
        <v>211</v>
      </c>
      <c r="I216" s="82" t="str">
        <f t="shared" si="15"/>
        <v/>
      </c>
      <c r="J216" s="82">
        <f t="shared" si="18"/>
        <v>-2</v>
      </c>
      <c r="K216" s="81">
        <f t="shared" si="16"/>
        <v>-20</v>
      </c>
      <c r="L216" s="81"/>
      <c r="M216" s="83">
        <f t="shared" si="17"/>
        <v>0</v>
      </c>
    </row>
    <row r="217" spans="1:13" x14ac:dyDescent="0.25">
      <c r="A217" s="97"/>
      <c r="G217" s="64"/>
      <c r="H217" s="81">
        <v>212</v>
      </c>
      <c r="I217" s="82" t="str">
        <f t="shared" si="15"/>
        <v/>
      </c>
      <c r="J217" s="82">
        <f t="shared" si="18"/>
        <v>-2</v>
      </c>
      <c r="K217" s="81">
        <f t="shared" si="16"/>
        <v>-20</v>
      </c>
      <c r="L217" s="81"/>
      <c r="M217" s="83">
        <f t="shared" si="17"/>
        <v>0</v>
      </c>
    </row>
    <row r="218" spans="1:13" x14ac:dyDescent="0.25">
      <c r="A218" s="97"/>
      <c r="G218" s="64"/>
      <c r="H218" s="81">
        <v>213</v>
      </c>
      <c r="I218" s="82" t="str">
        <f t="shared" si="15"/>
        <v/>
      </c>
      <c r="J218" s="82">
        <f t="shared" si="18"/>
        <v>-2</v>
      </c>
      <c r="K218" s="81">
        <f t="shared" si="16"/>
        <v>-20</v>
      </c>
      <c r="L218" s="81"/>
      <c r="M218" s="83">
        <f t="shared" si="17"/>
        <v>0</v>
      </c>
    </row>
    <row r="219" spans="1:13" x14ac:dyDescent="0.25">
      <c r="A219" s="97"/>
      <c r="G219" s="64"/>
      <c r="H219" s="81">
        <v>214</v>
      </c>
      <c r="I219" s="82" t="str">
        <f t="shared" si="15"/>
        <v/>
      </c>
      <c r="J219" s="82">
        <f t="shared" si="18"/>
        <v>-2</v>
      </c>
      <c r="K219" s="81">
        <f t="shared" si="16"/>
        <v>-20</v>
      </c>
      <c r="L219" s="81"/>
      <c r="M219" s="83">
        <f t="shared" si="17"/>
        <v>0</v>
      </c>
    </row>
    <row r="220" spans="1:13" x14ac:dyDescent="0.25">
      <c r="A220" s="97"/>
      <c r="G220" s="64"/>
      <c r="H220" s="81">
        <v>215</v>
      </c>
      <c r="I220" s="82" t="str">
        <f t="shared" si="15"/>
        <v/>
      </c>
      <c r="J220" s="82">
        <f t="shared" si="18"/>
        <v>-2</v>
      </c>
      <c r="K220" s="81">
        <f t="shared" si="16"/>
        <v>-20</v>
      </c>
      <c r="L220" s="81"/>
      <c r="M220" s="83">
        <f t="shared" si="17"/>
        <v>0</v>
      </c>
    </row>
    <row r="221" spans="1:13" x14ac:dyDescent="0.25">
      <c r="A221" s="97"/>
      <c r="G221" s="64"/>
      <c r="H221" s="81">
        <v>216</v>
      </c>
      <c r="I221" s="82" t="str">
        <f t="shared" si="15"/>
        <v/>
      </c>
      <c r="J221" s="82">
        <f t="shared" si="18"/>
        <v>-2</v>
      </c>
      <c r="K221" s="81">
        <f t="shared" si="16"/>
        <v>-20</v>
      </c>
      <c r="L221" s="81"/>
      <c r="M221" s="83">
        <f t="shared" si="17"/>
        <v>0</v>
      </c>
    </row>
    <row r="222" spans="1:13" x14ac:dyDescent="0.25">
      <c r="A222" s="97"/>
      <c r="G222" s="64"/>
      <c r="H222" s="81">
        <v>217</v>
      </c>
      <c r="I222" s="82" t="str">
        <f t="shared" si="15"/>
        <v/>
      </c>
      <c r="J222" s="82">
        <f t="shared" si="18"/>
        <v>-2</v>
      </c>
      <c r="K222" s="81">
        <f t="shared" si="16"/>
        <v>-20</v>
      </c>
      <c r="L222" s="81"/>
      <c r="M222" s="83">
        <f t="shared" si="17"/>
        <v>0</v>
      </c>
    </row>
    <row r="223" spans="1:13" x14ac:dyDescent="0.25">
      <c r="A223" s="97"/>
      <c r="G223" s="64"/>
      <c r="H223" s="81">
        <v>218</v>
      </c>
      <c r="I223" s="82" t="str">
        <f t="shared" si="15"/>
        <v/>
      </c>
      <c r="J223" s="82">
        <f t="shared" si="18"/>
        <v>-2</v>
      </c>
      <c r="K223" s="81">
        <f t="shared" si="16"/>
        <v>-20</v>
      </c>
      <c r="L223" s="81"/>
      <c r="M223" s="83">
        <f t="shared" si="17"/>
        <v>0</v>
      </c>
    </row>
    <row r="224" spans="1:13" x14ac:dyDescent="0.25">
      <c r="A224" s="97"/>
      <c r="G224" s="64"/>
      <c r="H224" s="81">
        <v>219</v>
      </c>
      <c r="I224" s="82" t="str">
        <f t="shared" si="15"/>
        <v/>
      </c>
      <c r="J224" s="82">
        <f t="shared" si="18"/>
        <v>-2</v>
      </c>
      <c r="K224" s="81">
        <f t="shared" si="16"/>
        <v>-20</v>
      </c>
      <c r="L224" s="81"/>
      <c r="M224" s="83">
        <f t="shared" si="17"/>
        <v>0</v>
      </c>
    </row>
    <row r="225" spans="1:13" x14ac:dyDescent="0.25">
      <c r="A225" s="97"/>
      <c r="G225" s="64"/>
      <c r="H225" s="81">
        <v>220</v>
      </c>
      <c r="I225" s="82" t="str">
        <f t="shared" si="15"/>
        <v/>
      </c>
      <c r="J225" s="82">
        <f t="shared" si="18"/>
        <v>-2</v>
      </c>
      <c r="K225" s="81">
        <f t="shared" si="16"/>
        <v>-20</v>
      </c>
      <c r="L225" s="81"/>
      <c r="M225" s="83">
        <f t="shared" si="17"/>
        <v>0</v>
      </c>
    </row>
    <row r="226" spans="1:13" x14ac:dyDescent="0.25">
      <c r="A226" s="97"/>
      <c r="G226" s="64"/>
      <c r="H226" s="81">
        <v>221</v>
      </c>
      <c r="I226" s="82" t="str">
        <f t="shared" si="15"/>
        <v/>
      </c>
      <c r="J226" s="82">
        <f t="shared" si="18"/>
        <v>-2</v>
      </c>
      <c r="K226" s="81">
        <f t="shared" si="16"/>
        <v>-20</v>
      </c>
      <c r="L226" s="81"/>
      <c r="M226" s="83">
        <f t="shared" si="17"/>
        <v>0</v>
      </c>
    </row>
    <row r="227" spans="1:13" x14ac:dyDescent="0.25">
      <c r="A227" s="97"/>
      <c r="G227" s="64"/>
      <c r="H227" s="81">
        <v>222</v>
      </c>
      <c r="I227" s="82" t="str">
        <f t="shared" si="15"/>
        <v/>
      </c>
      <c r="J227" s="82">
        <f t="shared" si="18"/>
        <v>-2</v>
      </c>
      <c r="K227" s="81">
        <f t="shared" si="16"/>
        <v>-20</v>
      </c>
      <c r="L227" s="81"/>
      <c r="M227" s="83">
        <f t="shared" si="17"/>
        <v>0</v>
      </c>
    </row>
    <row r="228" spans="1:13" x14ac:dyDescent="0.25">
      <c r="A228" s="97"/>
      <c r="G228" s="64"/>
      <c r="H228" s="81">
        <v>223</v>
      </c>
      <c r="I228" s="82" t="str">
        <f t="shared" si="15"/>
        <v/>
      </c>
      <c r="J228" s="82">
        <f t="shared" si="18"/>
        <v>-2</v>
      </c>
      <c r="K228" s="81">
        <f t="shared" si="16"/>
        <v>-20</v>
      </c>
      <c r="L228" s="81"/>
      <c r="M228" s="83">
        <f t="shared" si="17"/>
        <v>0</v>
      </c>
    </row>
    <row r="229" spans="1:13" x14ac:dyDescent="0.25">
      <c r="A229" s="97"/>
      <c r="G229" s="64"/>
      <c r="H229" s="81">
        <v>224</v>
      </c>
      <c r="I229" s="82" t="str">
        <f t="shared" si="15"/>
        <v/>
      </c>
      <c r="J229" s="82">
        <f t="shared" si="18"/>
        <v>-2</v>
      </c>
      <c r="K229" s="81">
        <f t="shared" si="16"/>
        <v>-20</v>
      </c>
      <c r="L229" s="81"/>
      <c r="M229" s="83">
        <f t="shared" si="17"/>
        <v>0</v>
      </c>
    </row>
    <row r="230" spans="1:13" x14ac:dyDescent="0.25">
      <c r="A230" s="97"/>
      <c r="G230" s="64"/>
      <c r="H230" s="81">
        <v>225</v>
      </c>
      <c r="I230" s="82" t="str">
        <f t="shared" si="15"/>
        <v/>
      </c>
      <c r="J230" s="82">
        <f t="shared" si="18"/>
        <v>-2</v>
      </c>
      <c r="K230" s="81">
        <f t="shared" si="16"/>
        <v>-20</v>
      </c>
      <c r="L230" s="81"/>
      <c r="M230" s="83">
        <f t="shared" si="17"/>
        <v>0</v>
      </c>
    </row>
    <row r="231" spans="1:13" x14ac:dyDescent="0.25">
      <c r="A231" s="97"/>
      <c r="G231" s="64"/>
      <c r="H231" s="81">
        <v>226</v>
      </c>
      <c r="I231" s="82" t="str">
        <f t="shared" si="15"/>
        <v/>
      </c>
      <c r="J231" s="82">
        <f t="shared" si="18"/>
        <v>-2</v>
      </c>
      <c r="K231" s="81">
        <f t="shared" si="16"/>
        <v>-20</v>
      </c>
      <c r="L231" s="81"/>
      <c r="M231" s="83">
        <f t="shared" si="17"/>
        <v>0</v>
      </c>
    </row>
    <row r="232" spans="1:13" x14ac:dyDescent="0.25">
      <c r="A232" s="97"/>
      <c r="G232" s="64"/>
      <c r="H232" s="81">
        <v>227</v>
      </c>
      <c r="I232" s="82" t="str">
        <f t="shared" si="15"/>
        <v/>
      </c>
      <c r="J232" s="82">
        <f t="shared" si="18"/>
        <v>-2</v>
      </c>
      <c r="K232" s="81">
        <f t="shared" si="16"/>
        <v>-20</v>
      </c>
      <c r="L232" s="81"/>
      <c r="M232" s="83">
        <f t="shared" si="17"/>
        <v>0</v>
      </c>
    </row>
    <row r="233" spans="1:13" x14ac:dyDescent="0.25">
      <c r="A233" s="97"/>
      <c r="G233" s="64"/>
      <c r="H233" s="81">
        <v>228</v>
      </c>
      <c r="I233" s="82" t="str">
        <f t="shared" si="15"/>
        <v/>
      </c>
      <c r="J233" s="82">
        <f t="shared" si="18"/>
        <v>-2</v>
      </c>
      <c r="K233" s="81">
        <f t="shared" si="16"/>
        <v>-20</v>
      </c>
      <c r="L233" s="81"/>
      <c r="M233" s="83">
        <f t="shared" si="17"/>
        <v>0</v>
      </c>
    </row>
    <row r="234" spans="1:13" x14ac:dyDescent="0.25">
      <c r="A234" s="97"/>
      <c r="G234" s="64"/>
      <c r="H234" s="81">
        <v>229</v>
      </c>
      <c r="I234" s="82" t="str">
        <f t="shared" si="15"/>
        <v/>
      </c>
      <c r="J234" s="82">
        <f t="shared" si="18"/>
        <v>-2</v>
      </c>
      <c r="K234" s="81">
        <f t="shared" si="16"/>
        <v>-20</v>
      </c>
      <c r="L234" s="81"/>
      <c r="M234" s="83">
        <f t="shared" si="17"/>
        <v>0</v>
      </c>
    </row>
    <row r="235" spans="1:13" x14ac:dyDescent="0.25">
      <c r="A235" s="97"/>
      <c r="G235" s="64"/>
      <c r="H235" s="81">
        <v>230</v>
      </c>
      <c r="I235" s="82" t="str">
        <f t="shared" si="15"/>
        <v/>
      </c>
      <c r="J235" s="82">
        <f t="shared" si="18"/>
        <v>-2</v>
      </c>
      <c r="K235" s="81">
        <f t="shared" si="16"/>
        <v>-20</v>
      </c>
      <c r="L235" s="81"/>
      <c r="M235" s="83">
        <f t="shared" si="17"/>
        <v>0</v>
      </c>
    </row>
    <row r="236" spans="1:13" x14ac:dyDescent="0.25">
      <c r="A236" s="97"/>
      <c r="G236" s="64"/>
      <c r="H236" s="81">
        <v>231</v>
      </c>
      <c r="I236" s="82" t="str">
        <f t="shared" si="15"/>
        <v/>
      </c>
      <c r="J236" s="82">
        <f t="shared" si="18"/>
        <v>-2</v>
      </c>
      <c r="K236" s="81">
        <f t="shared" si="16"/>
        <v>-20</v>
      </c>
      <c r="L236" s="81"/>
      <c r="M236" s="83">
        <f t="shared" si="17"/>
        <v>0</v>
      </c>
    </row>
    <row r="237" spans="1:13" x14ac:dyDescent="0.25">
      <c r="A237" s="97"/>
      <c r="G237" s="64"/>
      <c r="H237" s="81">
        <v>232</v>
      </c>
      <c r="I237" s="82" t="str">
        <f t="shared" si="15"/>
        <v/>
      </c>
      <c r="J237" s="82">
        <f t="shared" si="18"/>
        <v>-2</v>
      </c>
      <c r="K237" s="81">
        <f t="shared" si="16"/>
        <v>-20</v>
      </c>
      <c r="L237" s="81"/>
      <c r="M237" s="83">
        <f t="shared" si="17"/>
        <v>0</v>
      </c>
    </row>
    <row r="238" spans="1:13" x14ac:dyDescent="0.25">
      <c r="A238" s="97"/>
      <c r="G238" s="64"/>
      <c r="H238" s="81">
        <v>233</v>
      </c>
      <c r="I238" s="82" t="str">
        <f t="shared" si="15"/>
        <v/>
      </c>
      <c r="J238" s="82">
        <f t="shared" si="18"/>
        <v>-2</v>
      </c>
      <c r="K238" s="81">
        <f t="shared" si="16"/>
        <v>-20</v>
      </c>
      <c r="L238" s="81"/>
      <c r="M238" s="83">
        <f t="shared" si="17"/>
        <v>0</v>
      </c>
    </row>
    <row r="239" spans="1:13" x14ac:dyDescent="0.25">
      <c r="A239" s="97"/>
      <c r="G239" s="64"/>
      <c r="H239" s="81">
        <v>234</v>
      </c>
      <c r="I239" s="82" t="str">
        <f t="shared" si="15"/>
        <v/>
      </c>
      <c r="J239" s="82">
        <f t="shared" si="18"/>
        <v>-2</v>
      </c>
      <c r="K239" s="81">
        <f t="shared" si="16"/>
        <v>-20</v>
      </c>
      <c r="L239" s="81"/>
      <c r="M239" s="83">
        <f t="shared" si="17"/>
        <v>0</v>
      </c>
    </row>
    <row r="240" spans="1:13" x14ac:dyDescent="0.25">
      <c r="A240" s="97"/>
      <c r="G240" s="64"/>
      <c r="H240" s="81">
        <v>235</v>
      </c>
      <c r="I240" s="82" t="str">
        <f t="shared" si="15"/>
        <v/>
      </c>
      <c r="J240" s="82">
        <f t="shared" si="18"/>
        <v>-2</v>
      </c>
      <c r="K240" s="81">
        <f t="shared" si="16"/>
        <v>-20</v>
      </c>
      <c r="L240" s="81"/>
      <c r="M240" s="83">
        <f t="shared" si="17"/>
        <v>0</v>
      </c>
    </row>
    <row r="241" spans="1:13" x14ac:dyDescent="0.25">
      <c r="A241" s="97"/>
      <c r="G241" s="64"/>
      <c r="H241" s="81">
        <v>236</v>
      </c>
      <c r="I241" s="82" t="str">
        <f t="shared" si="15"/>
        <v/>
      </c>
      <c r="J241" s="82">
        <f t="shared" si="18"/>
        <v>-2</v>
      </c>
      <c r="K241" s="81">
        <f t="shared" si="16"/>
        <v>-20</v>
      </c>
      <c r="L241" s="81"/>
      <c r="M241" s="83">
        <f t="shared" si="17"/>
        <v>0</v>
      </c>
    </row>
    <row r="242" spans="1:13" x14ac:dyDescent="0.25">
      <c r="A242" s="97"/>
      <c r="G242" s="64"/>
      <c r="H242" s="81">
        <v>237</v>
      </c>
      <c r="I242" s="82" t="str">
        <f t="shared" si="15"/>
        <v/>
      </c>
      <c r="J242" s="82">
        <f t="shared" si="18"/>
        <v>-2</v>
      </c>
      <c r="K242" s="81">
        <f t="shared" si="16"/>
        <v>-20</v>
      </c>
      <c r="L242" s="81"/>
      <c r="M242" s="83">
        <f t="shared" si="17"/>
        <v>0</v>
      </c>
    </row>
    <row r="243" spans="1:13" x14ac:dyDescent="0.25">
      <c r="A243" s="97"/>
      <c r="G243" s="64"/>
      <c r="H243" s="81">
        <v>238</v>
      </c>
      <c r="I243" s="82" t="str">
        <f t="shared" si="15"/>
        <v/>
      </c>
      <c r="J243" s="82">
        <f t="shared" si="18"/>
        <v>-2</v>
      </c>
      <c r="K243" s="81">
        <f t="shared" si="16"/>
        <v>-20</v>
      </c>
      <c r="L243" s="81"/>
      <c r="M243" s="83">
        <f t="shared" si="17"/>
        <v>0</v>
      </c>
    </row>
    <row r="244" spans="1:13" x14ac:dyDescent="0.25">
      <c r="A244" s="97"/>
      <c r="G244" s="64"/>
      <c r="H244" s="81">
        <v>239</v>
      </c>
      <c r="I244" s="82" t="str">
        <f t="shared" si="15"/>
        <v/>
      </c>
      <c r="J244" s="82">
        <f t="shared" si="18"/>
        <v>-2</v>
      </c>
      <c r="K244" s="81">
        <f t="shared" si="16"/>
        <v>-20</v>
      </c>
      <c r="L244" s="81"/>
      <c r="M244" s="83">
        <f t="shared" si="17"/>
        <v>0</v>
      </c>
    </row>
    <row r="245" spans="1:13" x14ac:dyDescent="0.25">
      <c r="A245" s="97"/>
      <c r="G245" s="64"/>
      <c r="H245" s="81">
        <v>240</v>
      </c>
      <c r="I245" s="82" t="str">
        <f t="shared" si="15"/>
        <v/>
      </c>
      <c r="J245" s="82">
        <f t="shared" si="18"/>
        <v>-2</v>
      </c>
      <c r="K245" s="81">
        <f t="shared" si="16"/>
        <v>-20</v>
      </c>
      <c r="L245" s="81"/>
      <c r="M245" s="83">
        <f t="shared" si="17"/>
        <v>0</v>
      </c>
    </row>
    <row r="246" spans="1:13" x14ac:dyDescent="0.25">
      <c r="A246" s="97"/>
      <c r="G246" s="64"/>
      <c r="H246" s="81">
        <v>241</v>
      </c>
      <c r="I246" s="82" t="str">
        <f t="shared" si="15"/>
        <v/>
      </c>
      <c r="J246" s="82">
        <f t="shared" si="18"/>
        <v>-2</v>
      </c>
      <c r="K246" s="81">
        <f t="shared" si="16"/>
        <v>-20</v>
      </c>
      <c r="L246" s="81"/>
      <c r="M246" s="83">
        <f t="shared" si="17"/>
        <v>0</v>
      </c>
    </row>
    <row r="247" spans="1:13" x14ac:dyDescent="0.25">
      <c r="A247" s="97"/>
      <c r="G247" s="64"/>
      <c r="H247" s="81">
        <v>242</v>
      </c>
      <c r="I247" s="82" t="str">
        <f t="shared" si="15"/>
        <v/>
      </c>
      <c r="J247" s="82">
        <f t="shared" si="18"/>
        <v>-2</v>
      </c>
      <c r="K247" s="81">
        <f t="shared" si="16"/>
        <v>-20</v>
      </c>
      <c r="L247" s="81"/>
      <c r="M247" s="83">
        <f t="shared" si="17"/>
        <v>0</v>
      </c>
    </row>
    <row r="248" spans="1:13" x14ac:dyDescent="0.25">
      <c r="A248" s="97"/>
      <c r="G248" s="64"/>
      <c r="H248" s="81">
        <v>243</v>
      </c>
      <c r="I248" s="82" t="str">
        <f t="shared" si="15"/>
        <v/>
      </c>
      <c r="J248" s="82">
        <f t="shared" si="18"/>
        <v>-2</v>
      </c>
      <c r="K248" s="81">
        <f t="shared" si="16"/>
        <v>-20</v>
      </c>
      <c r="L248" s="81"/>
      <c r="M248" s="83">
        <f t="shared" si="17"/>
        <v>0</v>
      </c>
    </row>
    <row r="249" spans="1:13" x14ac:dyDescent="0.25">
      <c r="A249" s="97"/>
      <c r="G249" s="64"/>
      <c r="H249" s="81">
        <v>244</v>
      </c>
      <c r="I249" s="82" t="str">
        <f t="shared" si="15"/>
        <v/>
      </c>
      <c r="J249" s="82">
        <f t="shared" si="18"/>
        <v>-2</v>
      </c>
      <c r="K249" s="81">
        <f t="shared" si="16"/>
        <v>-20</v>
      </c>
      <c r="L249" s="81"/>
      <c r="M249" s="83">
        <f t="shared" si="17"/>
        <v>0</v>
      </c>
    </row>
    <row r="250" spans="1:13" x14ac:dyDescent="0.25">
      <c r="A250" s="97"/>
      <c r="G250" s="64"/>
      <c r="H250" s="81">
        <v>245</v>
      </c>
      <c r="I250" s="82" t="str">
        <f t="shared" si="15"/>
        <v/>
      </c>
      <c r="J250" s="82">
        <f t="shared" si="18"/>
        <v>-2</v>
      </c>
      <c r="K250" s="81">
        <f t="shared" si="16"/>
        <v>-20</v>
      </c>
      <c r="L250" s="81"/>
      <c r="M250" s="83">
        <f t="shared" si="17"/>
        <v>0</v>
      </c>
    </row>
    <row r="251" spans="1:13" x14ac:dyDescent="0.25">
      <c r="A251" s="97"/>
      <c r="G251" s="64"/>
      <c r="H251" s="81">
        <v>246</v>
      </c>
      <c r="I251" s="82" t="str">
        <f t="shared" si="15"/>
        <v/>
      </c>
      <c r="J251" s="82">
        <f t="shared" si="18"/>
        <v>-2</v>
      </c>
      <c r="K251" s="81">
        <f t="shared" si="16"/>
        <v>-20</v>
      </c>
      <c r="L251" s="81"/>
      <c r="M251" s="83">
        <f t="shared" si="17"/>
        <v>0</v>
      </c>
    </row>
    <row r="252" spans="1:13" x14ac:dyDescent="0.25">
      <c r="A252" s="97"/>
      <c r="G252" s="64"/>
      <c r="H252" s="81">
        <v>247</v>
      </c>
      <c r="I252" s="82" t="str">
        <f t="shared" si="15"/>
        <v/>
      </c>
      <c r="J252" s="82">
        <f t="shared" si="18"/>
        <v>-2</v>
      </c>
      <c r="K252" s="81">
        <f t="shared" si="16"/>
        <v>-20</v>
      </c>
      <c r="L252" s="81"/>
      <c r="M252" s="83">
        <f t="shared" si="17"/>
        <v>0</v>
      </c>
    </row>
    <row r="253" spans="1:13" x14ac:dyDescent="0.25">
      <c r="A253" s="97"/>
      <c r="G253" s="64"/>
      <c r="H253" s="81">
        <v>248</v>
      </c>
      <c r="I253" s="82" t="str">
        <f t="shared" si="15"/>
        <v/>
      </c>
      <c r="J253" s="82">
        <f t="shared" si="18"/>
        <v>-2</v>
      </c>
      <c r="K253" s="81">
        <f t="shared" si="16"/>
        <v>-20</v>
      </c>
      <c r="L253" s="81"/>
      <c r="M253" s="83">
        <f t="shared" si="17"/>
        <v>0</v>
      </c>
    </row>
    <row r="254" spans="1:13" x14ac:dyDescent="0.25">
      <c r="A254" s="97"/>
      <c r="G254" s="64"/>
      <c r="H254" s="81">
        <v>249</v>
      </c>
      <c r="I254" s="82" t="str">
        <f t="shared" si="15"/>
        <v/>
      </c>
      <c r="J254" s="82">
        <f t="shared" si="18"/>
        <v>-2</v>
      </c>
      <c r="K254" s="81">
        <f t="shared" si="16"/>
        <v>-20</v>
      </c>
      <c r="L254" s="81"/>
      <c r="M254" s="83">
        <f t="shared" si="17"/>
        <v>0</v>
      </c>
    </row>
    <row r="255" spans="1:13" x14ac:dyDescent="0.25">
      <c r="A255" s="97"/>
      <c r="G255" s="64"/>
      <c r="H255" s="81">
        <v>250</v>
      </c>
      <c r="I255" s="82" t="str">
        <f t="shared" si="15"/>
        <v/>
      </c>
      <c r="J255" s="82">
        <f t="shared" si="18"/>
        <v>-2</v>
      </c>
      <c r="K255" s="81">
        <f t="shared" si="16"/>
        <v>-20</v>
      </c>
      <c r="L255" s="81"/>
      <c r="M255" s="83">
        <f t="shared" si="17"/>
        <v>0</v>
      </c>
    </row>
    <row r="256" spans="1:13" x14ac:dyDescent="0.25">
      <c r="A256" s="97"/>
      <c r="G256" s="64"/>
      <c r="H256" s="81">
        <v>251</v>
      </c>
      <c r="I256" s="82" t="str">
        <f t="shared" si="15"/>
        <v/>
      </c>
      <c r="J256" s="82">
        <f t="shared" si="18"/>
        <v>-2</v>
      </c>
      <c r="K256" s="81">
        <f t="shared" si="16"/>
        <v>-20</v>
      </c>
      <c r="L256" s="81"/>
      <c r="M256" s="83">
        <f t="shared" si="17"/>
        <v>0</v>
      </c>
    </row>
    <row r="257" spans="1:13" x14ac:dyDescent="0.25">
      <c r="A257" s="97"/>
      <c r="G257" s="64"/>
      <c r="H257" s="81">
        <v>252</v>
      </c>
      <c r="I257" s="82" t="str">
        <f t="shared" si="15"/>
        <v/>
      </c>
      <c r="J257" s="82">
        <f t="shared" si="18"/>
        <v>-2</v>
      </c>
      <c r="K257" s="81">
        <f t="shared" si="16"/>
        <v>-20</v>
      </c>
      <c r="L257" s="81"/>
      <c r="M257" s="83">
        <f t="shared" si="17"/>
        <v>0</v>
      </c>
    </row>
    <row r="258" spans="1:13" x14ac:dyDescent="0.25">
      <c r="A258" s="97"/>
      <c r="G258" s="64"/>
      <c r="H258" s="81">
        <v>253</v>
      </c>
      <c r="I258" s="82" t="str">
        <f t="shared" si="15"/>
        <v/>
      </c>
      <c r="J258" s="82">
        <f t="shared" si="18"/>
        <v>-2</v>
      </c>
      <c r="K258" s="81">
        <f t="shared" si="16"/>
        <v>-20</v>
      </c>
      <c r="L258" s="81"/>
      <c r="M258" s="83">
        <f t="shared" si="17"/>
        <v>0</v>
      </c>
    </row>
    <row r="259" spans="1:13" x14ac:dyDescent="0.25">
      <c r="A259" s="97"/>
      <c r="G259" s="64"/>
      <c r="H259" s="81">
        <v>254</v>
      </c>
      <c r="I259" s="82" t="str">
        <f t="shared" si="15"/>
        <v/>
      </c>
      <c r="J259" s="82">
        <f t="shared" si="18"/>
        <v>-2</v>
      </c>
      <c r="K259" s="81">
        <f t="shared" si="16"/>
        <v>-20</v>
      </c>
      <c r="L259" s="81"/>
      <c r="M259" s="83">
        <f t="shared" si="17"/>
        <v>0</v>
      </c>
    </row>
    <row r="260" spans="1:13" x14ac:dyDescent="0.25">
      <c r="A260" s="97"/>
      <c r="G260" s="64"/>
      <c r="H260" s="81">
        <v>255</v>
      </c>
      <c r="I260" s="82" t="str">
        <f t="shared" si="15"/>
        <v/>
      </c>
      <c r="J260" s="82">
        <f t="shared" si="18"/>
        <v>-2</v>
      </c>
      <c r="K260" s="81">
        <f t="shared" si="16"/>
        <v>-20</v>
      </c>
      <c r="L260" s="81"/>
      <c r="M260" s="83">
        <f t="shared" si="17"/>
        <v>0</v>
      </c>
    </row>
    <row r="261" spans="1:13" x14ac:dyDescent="0.25">
      <c r="A261" s="97"/>
      <c r="G261" s="64"/>
      <c r="H261" s="81">
        <v>256</v>
      </c>
      <c r="I261" s="82" t="str">
        <f t="shared" si="15"/>
        <v/>
      </c>
      <c r="J261" s="82">
        <f t="shared" si="18"/>
        <v>-2</v>
      </c>
      <c r="K261" s="81">
        <f t="shared" si="16"/>
        <v>-20</v>
      </c>
      <c r="L261" s="81"/>
      <c r="M261" s="83">
        <f t="shared" si="17"/>
        <v>0</v>
      </c>
    </row>
    <row r="262" spans="1:13" x14ac:dyDescent="0.25">
      <c r="A262" s="97"/>
      <c r="G262" s="64"/>
      <c r="H262" s="81">
        <v>257</v>
      </c>
      <c r="I262" s="82" t="str">
        <f t="shared" ref="I262:I305" si="19">IF(H262&lt;$H$2+1,($I$2-($I$2-1)*(LOG(H262)/LOG($H$2))),"")</f>
        <v/>
      </c>
      <c r="J262" s="82">
        <f t="shared" si="18"/>
        <v>-3</v>
      </c>
      <c r="K262" s="81">
        <f t="shared" ref="K262:K305" si="20">J262*$J$2</f>
        <v>-30</v>
      </c>
      <c r="L262" s="81"/>
      <c r="M262" s="83">
        <f t="shared" ref="M262:M305" si="21">IF(I262&lt;&gt;"",K262+I262+L262,0)</f>
        <v>0</v>
      </c>
    </row>
    <row r="263" spans="1:13" x14ac:dyDescent="0.25">
      <c r="A263" s="97"/>
      <c r="G263" s="64"/>
      <c r="H263" s="81">
        <v>258</v>
      </c>
      <c r="I263" s="82" t="str">
        <f t="shared" si="19"/>
        <v/>
      </c>
      <c r="J263" s="82">
        <f t="shared" ref="J263:J305" si="22">INT(LOG($H$2,2))-ROUNDUP(LOG(H263,2),0)+IF(OR($H$2=1,$H$2=2,$H$2=4,$H$2=8,$H$2=16,$H$2=32,$H$2=64,$H$2=128,$H$2=256),0,1)</f>
        <v>-3</v>
      </c>
      <c r="K263" s="81">
        <f t="shared" si="20"/>
        <v>-30</v>
      </c>
      <c r="L263" s="81"/>
      <c r="M263" s="83">
        <f t="shared" si="21"/>
        <v>0</v>
      </c>
    </row>
    <row r="264" spans="1:13" x14ac:dyDescent="0.25">
      <c r="A264" s="97"/>
      <c r="G264" s="64"/>
      <c r="H264" s="81">
        <v>259</v>
      </c>
      <c r="I264" s="82" t="str">
        <f t="shared" si="19"/>
        <v/>
      </c>
      <c r="J264" s="82">
        <f t="shared" si="22"/>
        <v>-3</v>
      </c>
      <c r="K264" s="81">
        <f t="shared" si="20"/>
        <v>-30</v>
      </c>
      <c r="L264" s="81"/>
      <c r="M264" s="83">
        <f t="shared" si="21"/>
        <v>0</v>
      </c>
    </row>
    <row r="265" spans="1:13" x14ac:dyDescent="0.25">
      <c r="A265" s="97"/>
      <c r="G265" s="64"/>
      <c r="H265" s="81">
        <v>260</v>
      </c>
      <c r="I265" s="82" t="str">
        <f t="shared" si="19"/>
        <v/>
      </c>
      <c r="J265" s="82">
        <f t="shared" si="22"/>
        <v>-3</v>
      </c>
      <c r="K265" s="81">
        <f t="shared" si="20"/>
        <v>-30</v>
      </c>
      <c r="L265" s="81"/>
      <c r="M265" s="83">
        <f t="shared" si="21"/>
        <v>0</v>
      </c>
    </row>
    <row r="266" spans="1:13" x14ac:dyDescent="0.25">
      <c r="A266" s="97"/>
      <c r="G266" s="64"/>
      <c r="H266" s="81">
        <v>261</v>
      </c>
      <c r="I266" s="82" t="str">
        <f t="shared" si="19"/>
        <v/>
      </c>
      <c r="J266" s="82">
        <f t="shared" si="22"/>
        <v>-3</v>
      </c>
      <c r="K266" s="81">
        <f t="shared" si="20"/>
        <v>-30</v>
      </c>
      <c r="L266" s="81"/>
      <c r="M266" s="83">
        <f t="shared" si="21"/>
        <v>0</v>
      </c>
    </row>
    <row r="267" spans="1:13" x14ac:dyDescent="0.25">
      <c r="A267" s="97"/>
      <c r="G267" s="64"/>
      <c r="H267" s="81">
        <v>262</v>
      </c>
      <c r="I267" s="82" t="str">
        <f t="shared" si="19"/>
        <v/>
      </c>
      <c r="J267" s="82">
        <f t="shared" si="22"/>
        <v>-3</v>
      </c>
      <c r="K267" s="81">
        <f t="shared" si="20"/>
        <v>-30</v>
      </c>
      <c r="L267" s="81"/>
      <c r="M267" s="83">
        <f t="shared" si="21"/>
        <v>0</v>
      </c>
    </row>
    <row r="268" spans="1:13" x14ac:dyDescent="0.25">
      <c r="A268" s="97"/>
      <c r="G268" s="64"/>
      <c r="H268" s="81">
        <v>263</v>
      </c>
      <c r="I268" s="82" t="str">
        <f t="shared" si="19"/>
        <v/>
      </c>
      <c r="J268" s="82">
        <f t="shared" si="22"/>
        <v>-3</v>
      </c>
      <c r="K268" s="81">
        <f t="shared" si="20"/>
        <v>-30</v>
      </c>
      <c r="L268" s="81"/>
      <c r="M268" s="83">
        <f t="shared" si="21"/>
        <v>0</v>
      </c>
    </row>
    <row r="269" spans="1:13" x14ac:dyDescent="0.25">
      <c r="A269" s="97"/>
      <c r="G269" s="64"/>
      <c r="H269" s="81">
        <v>264</v>
      </c>
      <c r="I269" s="82" t="str">
        <f t="shared" si="19"/>
        <v/>
      </c>
      <c r="J269" s="82">
        <f t="shared" si="22"/>
        <v>-3</v>
      </c>
      <c r="K269" s="81">
        <f t="shared" si="20"/>
        <v>-30</v>
      </c>
      <c r="L269" s="81"/>
      <c r="M269" s="83">
        <f t="shared" si="21"/>
        <v>0</v>
      </c>
    </row>
    <row r="270" spans="1:13" x14ac:dyDescent="0.25">
      <c r="A270" s="97"/>
      <c r="G270" s="64"/>
      <c r="H270" s="81">
        <v>265</v>
      </c>
      <c r="I270" s="82" t="str">
        <f t="shared" si="19"/>
        <v/>
      </c>
      <c r="J270" s="82">
        <f t="shared" si="22"/>
        <v>-3</v>
      </c>
      <c r="K270" s="81">
        <f t="shared" si="20"/>
        <v>-30</v>
      </c>
      <c r="L270" s="81"/>
      <c r="M270" s="83">
        <f t="shared" si="21"/>
        <v>0</v>
      </c>
    </row>
    <row r="271" spans="1:13" x14ac:dyDescent="0.25">
      <c r="A271" s="97"/>
      <c r="G271" s="64"/>
      <c r="H271" s="81">
        <v>266</v>
      </c>
      <c r="I271" s="82" t="str">
        <f t="shared" si="19"/>
        <v/>
      </c>
      <c r="J271" s="82">
        <f t="shared" si="22"/>
        <v>-3</v>
      </c>
      <c r="K271" s="81">
        <f t="shared" si="20"/>
        <v>-30</v>
      </c>
      <c r="L271" s="81"/>
      <c r="M271" s="83">
        <f t="shared" si="21"/>
        <v>0</v>
      </c>
    </row>
    <row r="272" spans="1:13" x14ac:dyDescent="0.25">
      <c r="A272" s="97"/>
      <c r="G272" s="64"/>
      <c r="H272" s="81">
        <v>267</v>
      </c>
      <c r="I272" s="82" t="str">
        <f t="shared" si="19"/>
        <v/>
      </c>
      <c r="J272" s="82">
        <f t="shared" si="22"/>
        <v>-3</v>
      </c>
      <c r="K272" s="81">
        <f t="shared" si="20"/>
        <v>-30</v>
      </c>
      <c r="L272" s="81"/>
      <c r="M272" s="83">
        <f t="shared" si="21"/>
        <v>0</v>
      </c>
    </row>
    <row r="273" spans="1:13" x14ac:dyDescent="0.25">
      <c r="A273" s="97"/>
      <c r="G273" s="64"/>
      <c r="H273" s="81">
        <v>268</v>
      </c>
      <c r="I273" s="82" t="str">
        <f t="shared" si="19"/>
        <v/>
      </c>
      <c r="J273" s="82">
        <f t="shared" si="22"/>
        <v>-3</v>
      </c>
      <c r="K273" s="81">
        <f t="shared" si="20"/>
        <v>-30</v>
      </c>
      <c r="L273" s="81"/>
      <c r="M273" s="83">
        <f t="shared" si="21"/>
        <v>0</v>
      </c>
    </row>
    <row r="274" spans="1:13" x14ac:dyDescent="0.25">
      <c r="A274" s="97"/>
      <c r="G274" s="64"/>
      <c r="H274" s="81">
        <v>269</v>
      </c>
      <c r="I274" s="82" t="str">
        <f t="shared" si="19"/>
        <v/>
      </c>
      <c r="J274" s="82">
        <f t="shared" si="22"/>
        <v>-3</v>
      </c>
      <c r="K274" s="81">
        <f t="shared" si="20"/>
        <v>-30</v>
      </c>
      <c r="L274" s="81"/>
      <c r="M274" s="83">
        <f t="shared" si="21"/>
        <v>0</v>
      </c>
    </row>
    <row r="275" spans="1:13" x14ac:dyDescent="0.25">
      <c r="A275" s="97"/>
      <c r="G275" s="64"/>
      <c r="H275" s="81">
        <v>270</v>
      </c>
      <c r="I275" s="82" t="str">
        <f t="shared" si="19"/>
        <v/>
      </c>
      <c r="J275" s="82">
        <f t="shared" si="22"/>
        <v>-3</v>
      </c>
      <c r="K275" s="81">
        <f t="shared" si="20"/>
        <v>-30</v>
      </c>
      <c r="L275" s="81"/>
      <c r="M275" s="83">
        <f t="shared" si="21"/>
        <v>0</v>
      </c>
    </row>
    <row r="276" spans="1:13" x14ac:dyDescent="0.25">
      <c r="A276" s="97"/>
      <c r="G276" s="64"/>
      <c r="H276" s="81">
        <v>271</v>
      </c>
      <c r="I276" s="82" t="str">
        <f t="shared" si="19"/>
        <v/>
      </c>
      <c r="J276" s="82">
        <f t="shared" si="22"/>
        <v>-3</v>
      </c>
      <c r="K276" s="81">
        <f t="shared" si="20"/>
        <v>-30</v>
      </c>
      <c r="L276" s="81"/>
      <c r="M276" s="83">
        <f t="shared" si="21"/>
        <v>0</v>
      </c>
    </row>
    <row r="277" spans="1:13" x14ac:dyDescent="0.25">
      <c r="A277" s="97"/>
      <c r="G277" s="64"/>
      <c r="H277" s="81">
        <v>272</v>
      </c>
      <c r="I277" s="82" t="str">
        <f t="shared" si="19"/>
        <v/>
      </c>
      <c r="J277" s="82">
        <f t="shared" si="22"/>
        <v>-3</v>
      </c>
      <c r="K277" s="81">
        <f t="shared" si="20"/>
        <v>-30</v>
      </c>
      <c r="L277" s="81"/>
      <c r="M277" s="83">
        <f t="shared" si="21"/>
        <v>0</v>
      </c>
    </row>
    <row r="278" spans="1:13" x14ac:dyDescent="0.25">
      <c r="A278" s="97"/>
      <c r="G278" s="64"/>
      <c r="H278" s="81">
        <v>273</v>
      </c>
      <c r="I278" s="82" t="str">
        <f t="shared" si="19"/>
        <v/>
      </c>
      <c r="J278" s="82">
        <f t="shared" si="22"/>
        <v>-3</v>
      </c>
      <c r="K278" s="81">
        <f t="shared" si="20"/>
        <v>-30</v>
      </c>
      <c r="L278" s="81"/>
      <c r="M278" s="83">
        <f t="shared" si="21"/>
        <v>0</v>
      </c>
    </row>
    <row r="279" spans="1:13" x14ac:dyDescent="0.25">
      <c r="A279" s="97"/>
      <c r="G279" s="64"/>
      <c r="H279" s="81">
        <v>274</v>
      </c>
      <c r="I279" s="82" t="str">
        <f t="shared" si="19"/>
        <v/>
      </c>
      <c r="J279" s="82">
        <f t="shared" si="22"/>
        <v>-3</v>
      </c>
      <c r="K279" s="81">
        <f t="shared" si="20"/>
        <v>-30</v>
      </c>
      <c r="L279" s="81"/>
      <c r="M279" s="83">
        <f t="shared" si="21"/>
        <v>0</v>
      </c>
    </row>
    <row r="280" spans="1:13" x14ac:dyDescent="0.25">
      <c r="A280" s="97"/>
      <c r="G280" s="64"/>
      <c r="H280" s="81">
        <v>275</v>
      </c>
      <c r="I280" s="82" t="str">
        <f t="shared" si="19"/>
        <v/>
      </c>
      <c r="J280" s="82">
        <f t="shared" si="22"/>
        <v>-3</v>
      </c>
      <c r="K280" s="81">
        <f t="shared" si="20"/>
        <v>-30</v>
      </c>
      <c r="L280" s="81"/>
      <c r="M280" s="83">
        <f t="shared" si="21"/>
        <v>0</v>
      </c>
    </row>
    <row r="281" spans="1:13" x14ac:dyDescent="0.25">
      <c r="A281" s="97"/>
      <c r="G281" s="64"/>
      <c r="H281" s="81">
        <v>276</v>
      </c>
      <c r="I281" s="82" t="str">
        <f t="shared" si="19"/>
        <v/>
      </c>
      <c r="J281" s="82">
        <f t="shared" si="22"/>
        <v>-3</v>
      </c>
      <c r="K281" s="81">
        <f t="shared" si="20"/>
        <v>-30</v>
      </c>
      <c r="L281" s="81"/>
      <c r="M281" s="83">
        <f t="shared" si="21"/>
        <v>0</v>
      </c>
    </row>
    <row r="282" spans="1:13" x14ac:dyDescent="0.25">
      <c r="A282" s="97"/>
      <c r="G282" s="64"/>
      <c r="H282" s="81">
        <v>277</v>
      </c>
      <c r="I282" s="82" t="str">
        <f t="shared" si="19"/>
        <v/>
      </c>
      <c r="J282" s="82">
        <f t="shared" si="22"/>
        <v>-3</v>
      </c>
      <c r="K282" s="81">
        <f t="shared" si="20"/>
        <v>-30</v>
      </c>
      <c r="L282" s="81"/>
      <c r="M282" s="83">
        <f t="shared" si="21"/>
        <v>0</v>
      </c>
    </row>
    <row r="283" spans="1:13" x14ac:dyDescent="0.25">
      <c r="A283" s="97"/>
      <c r="G283" s="64"/>
      <c r="H283" s="81">
        <v>278</v>
      </c>
      <c r="I283" s="82" t="str">
        <f t="shared" si="19"/>
        <v/>
      </c>
      <c r="J283" s="82">
        <f t="shared" si="22"/>
        <v>-3</v>
      </c>
      <c r="K283" s="81">
        <f t="shared" si="20"/>
        <v>-30</v>
      </c>
      <c r="L283" s="81"/>
      <c r="M283" s="83">
        <f t="shared" si="21"/>
        <v>0</v>
      </c>
    </row>
    <row r="284" spans="1:13" x14ac:dyDescent="0.25">
      <c r="A284" s="97"/>
      <c r="G284" s="64"/>
      <c r="H284" s="81">
        <v>279</v>
      </c>
      <c r="I284" s="82" t="str">
        <f t="shared" si="19"/>
        <v/>
      </c>
      <c r="J284" s="82">
        <f t="shared" si="22"/>
        <v>-3</v>
      </c>
      <c r="K284" s="81">
        <f t="shared" si="20"/>
        <v>-30</v>
      </c>
      <c r="L284" s="81"/>
      <c r="M284" s="83">
        <f t="shared" si="21"/>
        <v>0</v>
      </c>
    </row>
    <row r="285" spans="1:13" x14ac:dyDescent="0.25">
      <c r="A285" s="97"/>
      <c r="G285" s="64"/>
      <c r="H285" s="81">
        <v>280</v>
      </c>
      <c r="I285" s="82" t="str">
        <f t="shared" si="19"/>
        <v/>
      </c>
      <c r="J285" s="82">
        <f t="shared" si="22"/>
        <v>-3</v>
      </c>
      <c r="K285" s="81">
        <f t="shared" si="20"/>
        <v>-30</v>
      </c>
      <c r="L285" s="81"/>
      <c r="M285" s="83">
        <f t="shared" si="21"/>
        <v>0</v>
      </c>
    </row>
    <row r="286" spans="1:13" x14ac:dyDescent="0.25">
      <c r="A286" s="97"/>
      <c r="G286" s="64"/>
      <c r="H286" s="81">
        <v>281</v>
      </c>
      <c r="I286" s="82" t="str">
        <f t="shared" si="19"/>
        <v/>
      </c>
      <c r="J286" s="82">
        <f t="shared" si="22"/>
        <v>-3</v>
      </c>
      <c r="K286" s="81">
        <f t="shared" si="20"/>
        <v>-30</v>
      </c>
      <c r="L286" s="81"/>
      <c r="M286" s="83">
        <f t="shared" si="21"/>
        <v>0</v>
      </c>
    </row>
    <row r="287" spans="1:13" x14ac:dyDescent="0.25">
      <c r="A287" s="97"/>
      <c r="G287" s="64"/>
      <c r="H287" s="81">
        <v>282</v>
      </c>
      <c r="I287" s="82" t="str">
        <f t="shared" si="19"/>
        <v/>
      </c>
      <c r="J287" s="82">
        <f t="shared" si="22"/>
        <v>-3</v>
      </c>
      <c r="K287" s="81">
        <f t="shared" si="20"/>
        <v>-30</v>
      </c>
      <c r="L287" s="81"/>
      <c r="M287" s="83">
        <f t="shared" si="21"/>
        <v>0</v>
      </c>
    </row>
    <row r="288" spans="1:13" x14ac:dyDescent="0.25">
      <c r="A288" s="97"/>
      <c r="G288" s="64"/>
      <c r="H288" s="81">
        <v>283</v>
      </c>
      <c r="I288" s="82" t="str">
        <f t="shared" si="19"/>
        <v/>
      </c>
      <c r="J288" s="82">
        <f t="shared" si="22"/>
        <v>-3</v>
      </c>
      <c r="K288" s="81">
        <f t="shared" si="20"/>
        <v>-30</v>
      </c>
      <c r="L288" s="81"/>
      <c r="M288" s="83">
        <f t="shared" si="21"/>
        <v>0</v>
      </c>
    </row>
    <row r="289" spans="1:13" x14ac:dyDescent="0.25">
      <c r="A289" s="97"/>
      <c r="G289" s="64"/>
      <c r="H289" s="81">
        <v>284</v>
      </c>
      <c r="I289" s="82" t="str">
        <f t="shared" si="19"/>
        <v/>
      </c>
      <c r="J289" s="82">
        <f t="shared" si="22"/>
        <v>-3</v>
      </c>
      <c r="K289" s="81">
        <f t="shared" si="20"/>
        <v>-30</v>
      </c>
      <c r="L289" s="81"/>
      <c r="M289" s="83">
        <f t="shared" si="21"/>
        <v>0</v>
      </c>
    </row>
    <row r="290" spans="1:13" x14ac:dyDescent="0.25">
      <c r="A290" s="97"/>
      <c r="G290" s="64"/>
      <c r="H290" s="81">
        <v>285</v>
      </c>
      <c r="I290" s="82" t="str">
        <f t="shared" si="19"/>
        <v/>
      </c>
      <c r="J290" s="82">
        <f t="shared" si="22"/>
        <v>-3</v>
      </c>
      <c r="K290" s="81">
        <f t="shared" si="20"/>
        <v>-30</v>
      </c>
      <c r="L290" s="81"/>
      <c r="M290" s="83">
        <f t="shared" si="21"/>
        <v>0</v>
      </c>
    </row>
    <row r="291" spans="1:13" x14ac:dyDescent="0.25">
      <c r="A291" s="97"/>
      <c r="G291" s="64"/>
      <c r="H291" s="81">
        <v>286</v>
      </c>
      <c r="I291" s="82" t="str">
        <f t="shared" si="19"/>
        <v/>
      </c>
      <c r="J291" s="82">
        <f t="shared" si="22"/>
        <v>-3</v>
      </c>
      <c r="K291" s="81">
        <f t="shared" si="20"/>
        <v>-30</v>
      </c>
      <c r="L291" s="81"/>
      <c r="M291" s="83">
        <f t="shared" si="21"/>
        <v>0</v>
      </c>
    </row>
    <row r="292" spans="1:13" x14ac:dyDescent="0.25">
      <c r="A292" s="97"/>
      <c r="G292" s="64"/>
      <c r="H292" s="81">
        <v>287</v>
      </c>
      <c r="I292" s="82" t="str">
        <f t="shared" si="19"/>
        <v/>
      </c>
      <c r="J292" s="82">
        <f t="shared" si="22"/>
        <v>-3</v>
      </c>
      <c r="K292" s="81">
        <f t="shared" si="20"/>
        <v>-30</v>
      </c>
      <c r="L292" s="81"/>
      <c r="M292" s="83">
        <f t="shared" si="21"/>
        <v>0</v>
      </c>
    </row>
    <row r="293" spans="1:13" x14ac:dyDescent="0.25">
      <c r="A293" s="97"/>
      <c r="G293" s="64"/>
      <c r="H293" s="81">
        <v>288</v>
      </c>
      <c r="I293" s="82" t="str">
        <f t="shared" si="19"/>
        <v/>
      </c>
      <c r="J293" s="82">
        <f t="shared" si="22"/>
        <v>-3</v>
      </c>
      <c r="K293" s="81">
        <f t="shared" si="20"/>
        <v>-30</v>
      </c>
      <c r="L293" s="81"/>
      <c r="M293" s="83">
        <f t="shared" si="21"/>
        <v>0</v>
      </c>
    </row>
    <row r="294" spans="1:13" x14ac:dyDescent="0.25">
      <c r="A294" s="97"/>
      <c r="G294" s="64"/>
      <c r="H294" s="81">
        <v>289</v>
      </c>
      <c r="I294" s="82" t="str">
        <f t="shared" si="19"/>
        <v/>
      </c>
      <c r="J294" s="82">
        <f t="shared" si="22"/>
        <v>-3</v>
      </c>
      <c r="K294" s="81">
        <f t="shared" si="20"/>
        <v>-30</v>
      </c>
      <c r="L294" s="81"/>
      <c r="M294" s="83">
        <f t="shared" si="21"/>
        <v>0</v>
      </c>
    </row>
    <row r="295" spans="1:13" x14ac:dyDescent="0.25">
      <c r="A295" s="97"/>
      <c r="G295" s="64"/>
      <c r="H295" s="81">
        <v>290</v>
      </c>
      <c r="I295" s="82" t="str">
        <f t="shared" si="19"/>
        <v/>
      </c>
      <c r="J295" s="82">
        <f t="shared" si="22"/>
        <v>-3</v>
      </c>
      <c r="K295" s="81">
        <f t="shared" si="20"/>
        <v>-30</v>
      </c>
      <c r="L295" s="81"/>
      <c r="M295" s="83">
        <f t="shared" si="21"/>
        <v>0</v>
      </c>
    </row>
    <row r="296" spans="1:13" x14ac:dyDescent="0.25">
      <c r="A296" s="97"/>
      <c r="G296" s="64"/>
      <c r="H296" s="81">
        <v>291</v>
      </c>
      <c r="I296" s="82" t="str">
        <f t="shared" si="19"/>
        <v/>
      </c>
      <c r="J296" s="82">
        <f t="shared" si="22"/>
        <v>-3</v>
      </c>
      <c r="K296" s="81">
        <f t="shared" si="20"/>
        <v>-30</v>
      </c>
      <c r="L296" s="81"/>
      <c r="M296" s="83">
        <f t="shared" si="21"/>
        <v>0</v>
      </c>
    </row>
    <row r="297" spans="1:13" x14ac:dyDescent="0.25">
      <c r="A297" s="97"/>
      <c r="G297" s="64"/>
      <c r="H297" s="81">
        <v>292</v>
      </c>
      <c r="I297" s="82" t="str">
        <f t="shared" si="19"/>
        <v/>
      </c>
      <c r="J297" s="82">
        <f t="shared" si="22"/>
        <v>-3</v>
      </c>
      <c r="K297" s="81">
        <f t="shared" si="20"/>
        <v>-30</v>
      </c>
      <c r="L297" s="81"/>
      <c r="M297" s="83">
        <f t="shared" si="21"/>
        <v>0</v>
      </c>
    </row>
    <row r="298" spans="1:13" x14ac:dyDescent="0.25">
      <c r="A298" s="97"/>
      <c r="G298" s="64"/>
      <c r="H298" s="81">
        <v>293</v>
      </c>
      <c r="I298" s="82" t="str">
        <f t="shared" si="19"/>
        <v/>
      </c>
      <c r="J298" s="82">
        <f t="shared" si="22"/>
        <v>-3</v>
      </c>
      <c r="K298" s="81">
        <f t="shared" si="20"/>
        <v>-30</v>
      </c>
      <c r="L298" s="81"/>
      <c r="M298" s="83">
        <f t="shared" si="21"/>
        <v>0</v>
      </c>
    </row>
    <row r="299" spans="1:13" x14ac:dyDescent="0.25">
      <c r="A299" s="97"/>
      <c r="G299" s="64"/>
      <c r="H299" s="81">
        <v>294</v>
      </c>
      <c r="I299" s="82" t="str">
        <f t="shared" si="19"/>
        <v/>
      </c>
      <c r="J299" s="82">
        <f t="shared" si="22"/>
        <v>-3</v>
      </c>
      <c r="K299" s="81">
        <f t="shared" si="20"/>
        <v>-30</v>
      </c>
      <c r="L299" s="81"/>
      <c r="M299" s="83">
        <f t="shared" si="21"/>
        <v>0</v>
      </c>
    </row>
    <row r="300" spans="1:13" x14ac:dyDescent="0.25">
      <c r="A300" s="97"/>
      <c r="G300" s="64"/>
      <c r="H300" s="81">
        <v>295</v>
      </c>
      <c r="I300" s="82" t="str">
        <f t="shared" si="19"/>
        <v/>
      </c>
      <c r="J300" s="82">
        <f t="shared" si="22"/>
        <v>-3</v>
      </c>
      <c r="K300" s="81">
        <f t="shared" si="20"/>
        <v>-30</v>
      </c>
      <c r="L300" s="81"/>
      <c r="M300" s="83">
        <f t="shared" si="21"/>
        <v>0</v>
      </c>
    </row>
    <row r="301" spans="1:13" x14ac:dyDescent="0.25">
      <c r="A301" s="97"/>
      <c r="G301" s="64"/>
      <c r="H301" s="81">
        <v>296</v>
      </c>
      <c r="I301" s="82" t="str">
        <f t="shared" si="19"/>
        <v/>
      </c>
      <c r="J301" s="82">
        <f t="shared" si="22"/>
        <v>-3</v>
      </c>
      <c r="K301" s="81">
        <f t="shared" si="20"/>
        <v>-30</v>
      </c>
      <c r="L301" s="81"/>
      <c r="M301" s="83">
        <f t="shared" si="21"/>
        <v>0</v>
      </c>
    </row>
    <row r="302" spans="1:13" x14ac:dyDescent="0.25">
      <c r="A302" s="97"/>
      <c r="G302" s="64"/>
      <c r="H302" s="81">
        <v>297</v>
      </c>
      <c r="I302" s="82" t="str">
        <f t="shared" si="19"/>
        <v/>
      </c>
      <c r="J302" s="82">
        <f t="shared" si="22"/>
        <v>-3</v>
      </c>
      <c r="K302" s="81">
        <f t="shared" si="20"/>
        <v>-30</v>
      </c>
      <c r="L302" s="81"/>
      <c r="M302" s="83">
        <f t="shared" si="21"/>
        <v>0</v>
      </c>
    </row>
    <row r="303" spans="1:13" x14ac:dyDescent="0.25">
      <c r="A303" s="97"/>
      <c r="G303" s="64"/>
      <c r="H303" s="81">
        <v>298</v>
      </c>
      <c r="I303" s="82" t="str">
        <f t="shared" si="19"/>
        <v/>
      </c>
      <c r="J303" s="82">
        <f t="shared" si="22"/>
        <v>-3</v>
      </c>
      <c r="K303" s="81">
        <f t="shared" si="20"/>
        <v>-30</v>
      </c>
      <c r="L303" s="81"/>
      <c r="M303" s="83">
        <f t="shared" si="21"/>
        <v>0</v>
      </c>
    </row>
    <row r="304" spans="1:13" x14ac:dyDescent="0.25">
      <c r="A304" s="97"/>
      <c r="G304" s="64"/>
      <c r="H304" s="81">
        <v>299</v>
      </c>
      <c r="I304" s="82" t="str">
        <f t="shared" si="19"/>
        <v/>
      </c>
      <c r="J304" s="82">
        <f t="shared" si="22"/>
        <v>-3</v>
      </c>
      <c r="K304" s="81">
        <f t="shared" si="20"/>
        <v>-30</v>
      </c>
      <c r="L304" s="81"/>
      <c r="M304" s="83">
        <f t="shared" si="21"/>
        <v>0</v>
      </c>
    </row>
    <row r="305" spans="1:16" x14ac:dyDescent="0.25">
      <c r="A305" s="97"/>
      <c r="G305" s="64"/>
      <c r="H305" s="81">
        <v>300</v>
      </c>
      <c r="I305" s="82" t="str">
        <f t="shared" si="19"/>
        <v/>
      </c>
      <c r="J305" s="82">
        <f t="shared" si="22"/>
        <v>-3</v>
      </c>
      <c r="K305" s="81">
        <f t="shared" si="20"/>
        <v>-30</v>
      </c>
      <c r="L305" s="81"/>
      <c r="M305" s="83">
        <f t="shared" si="21"/>
        <v>0</v>
      </c>
    </row>
    <row r="306" spans="1:16" x14ac:dyDescent="0.25">
      <c r="A306" s="99"/>
    </row>
    <row r="314" spans="1:16" x14ac:dyDescent="0.25">
      <c r="L314" s="102"/>
      <c r="P314" s="92"/>
    </row>
    <row r="315" spans="1:16" x14ac:dyDescent="0.25">
      <c r="L315" s="102"/>
      <c r="P315" s="92"/>
    </row>
    <row r="316" spans="1:16" x14ac:dyDescent="0.25">
      <c r="L316" s="102"/>
      <c r="P316" s="92"/>
    </row>
    <row r="317" spans="1:16" x14ac:dyDescent="0.25">
      <c r="L317" s="102"/>
      <c r="P317" s="92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dataValidations count="2">
    <dataValidation type="list" allowBlank="1" showInputMessage="1" showErrorMessage="1" sqref="C53:C69" xr:uid="{7F32EC53-184C-4F58-A824-4E09E810209F}">
      <formula1>#REF!</formula1>
    </dataValidation>
    <dataValidation allowBlank="1" showInputMessage="1" showErrorMessage="1" sqref="C38:C52" xr:uid="{A0D30FFA-DB9F-47A9-8DB0-0867444A82ED}"/>
  </dataValidations>
  <hyperlinks>
    <hyperlink ref="C2:D2" r:id="rId1" display="Terni" xr:uid="{5C0239F6-1AA0-4AEB-AC02-407AE5ACC18B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ED57-9FC2-4F92-A952-989EEC504D54}">
  <sheetPr>
    <tabColor rgb="FF92D050"/>
  </sheetPr>
  <dimension ref="A1:AL374"/>
  <sheetViews>
    <sheetView zoomScaleNormal="100" workbookViewId="0">
      <selection activeCell="D17" sqref="D17"/>
    </sheetView>
  </sheetViews>
  <sheetFormatPr defaultColWidth="8.875" defaultRowHeight="14.3" x14ac:dyDescent="0.25"/>
  <cols>
    <col min="1" max="1" width="8" style="179" customWidth="1"/>
    <col min="2" max="2" width="8.25" style="179" customWidth="1"/>
    <col min="3" max="3" width="34.75" style="179" customWidth="1"/>
    <col min="4" max="4" width="11.25" style="179" customWidth="1"/>
    <col min="5" max="6" width="8.875" style="179"/>
    <col min="7" max="7" width="0.875" style="179" customWidth="1"/>
    <col min="8" max="8" width="8.875" style="182"/>
    <col min="9" max="9" width="11" style="182" customWidth="1"/>
    <col min="10" max="10" width="15.25" style="182" customWidth="1"/>
    <col min="11" max="11" width="8.75" style="182" customWidth="1"/>
    <col min="12" max="12" width="11" style="182" customWidth="1"/>
    <col min="13" max="13" width="12.25" style="183" customWidth="1"/>
    <col min="14" max="15" width="13.875" style="151" customWidth="1"/>
    <col min="16" max="18" width="8.875" style="151"/>
    <col min="19" max="20" width="8.875" style="156"/>
    <col min="21" max="21" width="12.125" style="156" customWidth="1"/>
    <col min="22" max="22" width="27.375" style="156" customWidth="1"/>
    <col min="23" max="38" width="8.875" style="156"/>
    <col min="39" max="16384" width="8.875" style="179"/>
  </cols>
  <sheetData>
    <row r="1" spans="1:36" x14ac:dyDescent="0.25">
      <c r="A1" s="151"/>
      <c r="B1" s="151"/>
      <c r="C1" s="151"/>
      <c r="D1" s="151"/>
      <c r="E1" s="151"/>
      <c r="F1" s="151"/>
      <c r="G1" s="151"/>
      <c r="H1" s="152" t="s">
        <v>25</v>
      </c>
      <c r="I1" s="153" t="s">
        <v>26</v>
      </c>
      <c r="J1" s="153" t="s">
        <v>27</v>
      </c>
      <c r="K1" s="154" t="s">
        <v>28</v>
      </c>
      <c r="L1" s="155"/>
      <c r="M1" s="155"/>
    </row>
    <row r="2" spans="1:36" x14ac:dyDescent="0.25">
      <c r="A2" s="151"/>
      <c r="B2" s="14" t="s">
        <v>29</v>
      </c>
      <c r="C2" s="111" t="s">
        <v>113</v>
      </c>
      <c r="D2" s="62"/>
      <c r="E2" s="15"/>
      <c r="F2" s="15"/>
      <c r="G2" s="15"/>
      <c r="H2" s="157">
        <v>0</v>
      </c>
      <c r="I2" s="158">
        <v>50</v>
      </c>
      <c r="J2" s="158">
        <v>10</v>
      </c>
      <c r="K2" s="185">
        <f>3*H2^(1/3)</f>
        <v>0</v>
      </c>
      <c r="L2" s="155"/>
      <c r="M2" s="155"/>
    </row>
    <row r="3" spans="1:36" x14ac:dyDescent="0.25">
      <c r="A3" s="151"/>
      <c r="B3" s="160" t="s">
        <v>31</v>
      </c>
      <c r="C3" s="63" t="s">
        <v>114</v>
      </c>
      <c r="D3" s="63"/>
      <c r="E3" s="20"/>
      <c r="F3" s="20"/>
      <c r="G3" s="20"/>
      <c r="H3" s="155"/>
      <c r="I3" s="155"/>
      <c r="J3" s="186"/>
      <c r="K3" s="155"/>
      <c r="L3" s="155"/>
      <c r="M3" s="155"/>
    </row>
    <row r="4" spans="1:36" ht="10.199999999999999" customHeight="1" x14ac:dyDescent="0.25">
      <c r="A4" s="22"/>
      <c r="B4" s="20"/>
      <c r="C4" s="22"/>
      <c r="D4" s="22"/>
      <c r="E4" s="22"/>
      <c r="F4" s="22"/>
      <c r="G4" s="22"/>
      <c r="H4" s="155"/>
      <c r="I4" s="155"/>
      <c r="J4" s="186"/>
      <c r="K4" s="155"/>
      <c r="L4" s="155"/>
      <c r="M4" s="155"/>
    </row>
    <row r="5" spans="1:36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161" t="s">
        <v>39</v>
      </c>
      <c r="I5" s="162" t="s">
        <v>40</v>
      </c>
      <c r="J5" s="187" t="s">
        <v>41</v>
      </c>
      <c r="K5" s="162" t="s">
        <v>42</v>
      </c>
      <c r="L5" s="162" t="s">
        <v>43</v>
      </c>
      <c r="M5" s="161" t="s">
        <v>44</v>
      </c>
    </row>
    <row r="6" spans="1:36" ht="14.45" customHeight="1" x14ac:dyDescent="0.25">
      <c r="A6" s="109">
        <f>M6</f>
        <v>0</v>
      </c>
      <c r="B6" s="28" t="str">
        <f>IF(H6&gt;$H$2,"",(ROW()-5))</f>
        <v/>
      </c>
      <c r="C6" s="29"/>
      <c r="D6" s="29"/>
      <c r="E6" s="29"/>
      <c r="F6" s="29" t="s">
        <v>115</v>
      </c>
      <c r="G6" s="22"/>
      <c r="H6" s="163">
        <v>1</v>
      </c>
      <c r="I6" s="164" t="str">
        <f t="shared" ref="I6:I69" si="0">IF(H6&lt;$H$2+1,($I$2-($I$2-1)*(LOG(H6)/LOG($H$2))),"")</f>
        <v/>
      </c>
      <c r="J6" s="163" t="e">
        <f>INT(LOG($H$2,2))-ROUNDUP(LOG(H6,2),0)+IF(OR($H$2=1,$H$2=2,$H$2=4,$H$2=8,$H$2=16,$H$2=32,$H$2=64,$H$2=128,$H$2=256),0,1)</f>
        <v>#NUM!</v>
      </c>
      <c r="K6" s="163" t="e">
        <f t="shared" ref="K6:K69" si="1">J6*$J$2</f>
        <v>#NUM!</v>
      </c>
      <c r="L6" s="165">
        <f>3*K2</f>
        <v>0</v>
      </c>
      <c r="M6" s="165">
        <f t="shared" ref="M6:M69" si="2">IF(I6&lt;&gt;"",K6+I6+L6,0)</f>
        <v>0</v>
      </c>
    </row>
    <row r="7" spans="1:36" ht="14.45" customHeight="1" x14ac:dyDescent="0.25">
      <c r="A7" s="110">
        <f t="shared" ref="A7:A37" si="3">M7</f>
        <v>0</v>
      </c>
      <c r="B7" s="34" t="str">
        <f t="shared" ref="B7:B65" si="4">IF(H7&gt;$H$2,"",(ROW()-5))</f>
        <v/>
      </c>
      <c r="C7" s="35"/>
      <c r="D7" s="35"/>
      <c r="E7" s="35"/>
      <c r="F7" s="35" t="s">
        <v>115</v>
      </c>
      <c r="G7" s="22"/>
      <c r="H7" s="166">
        <v>2</v>
      </c>
      <c r="I7" s="167" t="str">
        <f t="shared" si="0"/>
        <v/>
      </c>
      <c r="J7" s="166" t="e">
        <f t="shared" ref="J7:J70" si="5">INT(LOG($H$2,2))-ROUNDUP(LOG(H7,2),0)+IF(OR($H$2=1,$H$2=2,$H$2=4,$H$2=8,$H$2=16,$H$2=32,$H$2=64,$H$2=128,$H$2=256),0,1)</f>
        <v>#NUM!</v>
      </c>
      <c r="K7" s="166" t="e">
        <f t="shared" si="1"/>
        <v>#NUM!</v>
      </c>
      <c r="L7" s="168">
        <f>2*K2</f>
        <v>0</v>
      </c>
      <c r="M7" s="168">
        <f t="shared" si="2"/>
        <v>0</v>
      </c>
    </row>
    <row r="8" spans="1:36" ht="14.45" customHeight="1" x14ac:dyDescent="0.25">
      <c r="A8" s="109">
        <f t="shared" si="3"/>
        <v>0</v>
      </c>
      <c r="B8" s="28" t="str">
        <f t="shared" si="4"/>
        <v/>
      </c>
      <c r="C8" s="29"/>
      <c r="D8" s="29"/>
      <c r="E8" s="29"/>
      <c r="F8" s="29" t="s">
        <v>115</v>
      </c>
      <c r="G8" s="22"/>
      <c r="H8" s="163">
        <v>3</v>
      </c>
      <c r="I8" s="164" t="str">
        <f t="shared" si="0"/>
        <v/>
      </c>
      <c r="J8" s="163" t="e">
        <f t="shared" si="5"/>
        <v>#NUM!</v>
      </c>
      <c r="K8" s="163" t="e">
        <f t="shared" si="1"/>
        <v>#NUM!</v>
      </c>
      <c r="L8" s="165">
        <f>K2</f>
        <v>0</v>
      </c>
      <c r="M8" s="165">
        <f t="shared" si="2"/>
        <v>0</v>
      </c>
    </row>
    <row r="9" spans="1:36" s="156" customFormat="1" ht="14.45" customHeight="1" x14ac:dyDescent="0.25">
      <c r="A9" s="110">
        <f t="shared" si="3"/>
        <v>0</v>
      </c>
      <c r="B9" s="34" t="str">
        <f>IF(H9&gt;$H$2,"",3)</f>
        <v/>
      </c>
      <c r="C9" s="35"/>
      <c r="D9" s="35"/>
      <c r="E9" s="35"/>
      <c r="F9" s="35"/>
      <c r="G9" s="22"/>
      <c r="H9" s="166">
        <v>3</v>
      </c>
      <c r="I9" s="167" t="str">
        <f t="shared" si="0"/>
        <v/>
      </c>
      <c r="J9" s="166" t="e">
        <f t="shared" si="5"/>
        <v>#NUM!</v>
      </c>
      <c r="K9" s="166" t="e">
        <f t="shared" si="1"/>
        <v>#NUM!</v>
      </c>
      <c r="L9" s="168">
        <f>K2</f>
        <v>0</v>
      </c>
      <c r="M9" s="168">
        <f t="shared" si="2"/>
        <v>0</v>
      </c>
      <c r="N9" s="151"/>
      <c r="O9" s="151"/>
      <c r="P9" s="151"/>
      <c r="Q9" s="151"/>
      <c r="R9" s="151"/>
      <c r="V9" s="169"/>
      <c r="Z9" s="170"/>
      <c r="AA9" s="170"/>
      <c r="AG9" s="171"/>
      <c r="AH9" s="156" t="s">
        <v>50</v>
      </c>
      <c r="AI9" s="156">
        <v>23</v>
      </c>
    </row>
    <row r="10" spans="1:36" ht="14.45" customHeight="1" x14ac:dyDescent="0.25">
      <c r="A10" s="109">
        <f t="shared" si="3"/>
        <v>0</v>
      </c>
      <c r="B10" s="28" t="str">
        <f t="shared" si="4"/>
        <v/>
      </c>
      <c r="C10" s="29"/>
      <c r="D10" s="29"/>
      <c r="E10" s="29"/>
      <c r="F10" s="29"/>
      <c r="G10" s="22"/>
      <c r="H10" s="163">
        <v>5</v>
      </c>
      <c r="I10" s="164" t="str">
        <f t="shared" si="0"/>
        <v/>
      </c>
      <c r="J10" s="163" t="e">
        <f t="shared" si="5"/>
        <v>#NUM!</v>
      </c>
      <c r="K10" s="163" t="e">
        <f t="shared" si="1"/>
        <v>#NUM!</v>
      </c>
      <c r="L10" s="163"/>
      <c r="M10" s="165">
        <f t="shared" si="2"/>
        <v>0</v>
      </c>
      <c r="V10" s="169"/>
      <c r="Z10" s="170"/>
      <c r="AA10" s="170"/>
      <c r="AG10" s="171"/>
      <c r="AH10" s="156" t="s">
        <v>52</v>
      </c>
      <c r="AI10" s="156">
        <v>45</v>
      </c>
    </row>
    <row r="11" spans="1:36" ht="14.45" customHeight="1" x14ac:dyDescent="0.25">
      <c r="A11" s="110">
        <f t="shared" si="3"/>
        <v>0</v>
      </c>
      <c r="B11" s="34" t="str">
        <f t="shared" si="4"/>
        <v/>
      </c>
      <c r="C11" s="35"/>
      <c r="D11" s="35"/>
      <c r="E11" s="35"/>
      <c r="F11" s="35"/>
      <c r="G11" s="22"/>
      <c r="H11" s="166">
        <v>6</v>
      </c>
      <c r="I11" s="167" t="str">
        <f t="shared" si="0"/>
        <v/>
      </c>
      <c r="J11" s="166" t="e">
        <f t="shared" si="5"/>
        <v>#NUM!</v>
      </c>
      <c r="K11" s="166" t="e">
        <f t="shared" si="1"/>
        <v>#NUM!</v>
      </c>
      <c r="L11" s="166"/>
      <c r="M11" s="168">
        <f t="shared" si="2"/>
        <v>0</v>
      </c>
      <c r="V11" s="172"/>
      <c r="Z11" s="170"/>
      <c r="AA11" s="170"/>
      <c r="AG11" s="171"/>
      <c r="AH11" s="156" t="s">
        <v>53</v>
      </c>
      <c r="AI11" s="156">
        <v>50</v>
      </c>
    </row>
    <row r="12" spans="1:36" ht="14.45" customHeight="1" x14ac:dyDescent="0.25">
      <c r="A12" s="109">
        <f t="shared" si="3"/>
        <v>0</v>
      </c>
      <c r="B12" s="28" t="str">
        <f t="shared" si="4"/>
        <v/>
      </c>
      <c r="C12" s="29"/>
      <c r="D12" s="29"/>
      <c r="E12" s="29"/>
      <c r="F12" s="29"/>
      <c r="G12" s="22"/>
      <c r="H12" s="163">
        <v>7</v>
      </c>
      <c r="I12" s="164" t="str">
        <f t="shared" si="0"/>
        <v/>
      </c>
      <c r="J12" s="163" t="e">
        <f t="shared" si="5"/>
        <v>#NUM!</v>
      </c>
      <c r="K12" s="163" t="e">
        <f t="shared" si="1"/>
        <v>#NUM!</v>
      </c>
      <c r="L12" s="163"/>
      <c r="M12" s="165">
        <f t="shared" si="2"/>
        <v>0</v>
      </c>
      <c r="Z12" s="170"/>
      <c r="AA12" s="170"/>
      <c r="AG12" s="171"/>
      <c r="AH12" s="156" t="s">
        <v>54</v>
      </c>
      <c r="AI12" s="156">
        <f>AI11-1</f>
        <v>49</v>
      </c>
    </row>
    <row r="13" spans="1:36" ht="14.45" customHeight="1" x14ac:dyDescent="0.25">
      <c r="A13" s="110">
        <f t="shared" si="3"/>
        <v>0</v>
      </c>
      <c r="B13" s="34" t="str">
        <f t="shared" si="4"/>
        <v/>
      </c>
      <c r="C13" s="35"/>
      <c r="D13" s="35"/>
      <c r="E13" s="35"/>
      <c r="F13" s="35"/>
      <c r="G13" s="22"/>
      <c r="H13" s="166">
        <v>8</v>
      </c>
      <c r="I13" s="167" t="str">
        <f t="shared" si="0"/>
        <v/>
      </c>
      <c r="J13" s="166" t="e">
        <f t="shared" si="5"/>
        <v>#NUM!</v>
      </c>
      <c r="K13" s="166" t="e">
        <f t="shared" si="1"/>
        <v>#NUM!</v>
      </c>
      <c r="L13" s="166"/>
      <c r="M13" s="168">
        <f t="shared" si="2"/>
        <v>0</v>
      </c>
      <c r="X13" s="169"/>
      <c r="AG13" s="171"/>
      <c r="AH13" s="156" t="s">
        <v>55</v>
      </c>
      <c r="AI13" s="156">
        <f>LOG(AI9)</f>
        <v>1.3617278360175928</v>
      </c>
    </row>
    <row r="14" spans="1:36" x14ac:dyDescent="0.25">
      <c r="A14" s="109">
        <f t="shared" si="3"/>
        <v>0</v>
      </c>
      <c r="B14" s="28" t="str">
        <f t="shared" si="4"/>
        <v/>
      </c>
      <c r="C14" s="29"/>
      <c r="D14" s="29"/>
      <c r="E14" s="29"/>
      <c r="F14" s="29"/>
      <c r="G14" s="22"/>
      <c r="H14" s="163">
        <v>9</v>
      </c>
      <c r="I14" s="164" t="str">
        <f t="shared" si="0"/>
        <v/>
      </c>
      <c r="J14" s="163" t="e">
        <f t="shared" si="5"/>
        <v>#NUM!</v>
      </c>
      <c r="K14" s="163" t="e">
        <f t="shared" si="1"/>
        <v>#NUM!</v>
      </c>
      <c r="L14" s="163"/>
      <c r="M14" s="165">
        <f t="shared" si="2"/>
        <v>0</v>
      </c>
      <c r="X14" s="173"/>
      <c r="Z14" s="170"/>
      <c r="AA14" s="170"/>
      <c r="AG14" s="171"/>
      <c r="AH14" s="156" t="s">
        <v>56</v>
      </c>
      <c r="AI14" s="156">
        <f>LOG(AI10)</f>
        <v>1.6532125137753437</v>
      </c>
    </row>
    <row r="15" spans="1:36" x14ac:dyDescent="0.25">
      <c r="A15" s="110">
        <f t="shared" si="3"/>
        <v>0</v>
      </c>
      <c r="B15" s="34" t="str">
        <f t="shared" si="4"/>
        <v/>
      </c>
      <c r="C15" s="35"/>
      <c r="D15" s="35"/>
      <c r="E15" s="35"/>
      <c r="F15" s="35"/>
      <c r="G15" s="22"/>
      <c r="H15" s="166">
        <v>10</v>
      </c>
      <c r="I15" s="167" t="str">
        <f t="shared" si="0"/>
        <v/>
      </c>
      <c r="J15" s="166" t="e">
        <f t="shared" si="5"/>
        <v>#NUM!</v>
      </c>
      <c r="K15" s="166" t="e">
        <f t="shared" si="1"/>
        <v>#NUM!</v>
      </c>
      <c r="L15" s="166"/>
      <c r="M15" s="168">
        <f t="shared" si="2"/>
        <v>0</v>
      </c>
      <c r="X15" s="169"/>
      <c r="Z15" s="170"/>
      <c r="AA15" s="170"/>
    </row>
    <row r="16" spans="1:36" x14ac:dyDescent="0.25">
      <c r="A16" s="109">
        <f t="shared" si="3"/>
        <v>0</v>
      </c>
      <c r="B16" s="28" t="str">
        <f t="shared" si="4"/>
        <v/>
      </c>
      <c r="C16" s="29"/>
      <c r="D16" s="29"/>
      <c r="E16" s="29"/>
      <c r="F16" s="29"/>
      <c r="G16" s="22"/>
      <c r="H16" s="163">
        <v>11</v>
      </c>
      <c r="I16" s="164" t="str">
        <f t="shared" si="0"/>
        <v/>
      </c>
      <c r="J16" s="163" t="e">
        <f t="shared" si="5"/>
        <v>#NUM!</v>
      </c>
      <c r="K16" s="163" t="e">
        <f t="shared" si="1"/>
        <v>#NUM!</v>
      </c>
      <c r="L16" s="163"/>
      <c r="M16" s="165">
        <f t="shared" si="2"/>
        <v>0</v>
      </c>
      <c r="R16" s="174"/>
      <c r="Z16" s="170"/>
      <c r="AA16" s="170"/>
      <c r="AH16" s="175" t="s">
        <v>57</v>
      </c>
      <c r="AI16" s="156">
        <f>AI11-AI12*AI13/AI14</f>
        <v>9.6393909380186855</v>
      </c>
      <c r="AJ16" s="156" t="s">
        <v>58</v>
      </c>
    </row>
    <row r="17" spans="1:19" x14ac:dyDescent="0.25">
      <c r="A17" s="110">
        <f t="shared" si="3"/>
        <v>0</v>
      </c>
      <c r="B17" s="34" t="str">
        <f t="shared" si="4"/>
        <v/>
      </c>
      <c r="C17" s="35"/>
      <c r="D17" s="35"/>
      <c r="E17" s="35"/>
      <c r="F17" s="35"/>
      <c r="G17" s="22"/>
      <c r="H17" s="166">
        <v>12</v>
      </c>
      <c r="I17" s="167" t="str">
        <f t="shared" si="0"/>
        <v/>
      </c>
      <c r="J17" s="166" t="e">
        <f t="shared" si="5"/>
        <v>#NUM!</v>
      </c>
      <c r="K17" s="166" t="e">
        <f t="shared" si="1"/>
        <v>#NUM!</v>
      </c>
      <c r="L17" s="166"/>
      <c r="M17" s="168">
        <f t="shared" si="2"/>
        <v>0</v>
      </c>
    </row>
    <row r="18" spans="1:19" x14ac:dyDescent="0.25">
      <c r="A18" s="109">
        <f t="shared" si="3"/>
        <v>0</v>
      </c>
      <c r="B18" s="28" t="str">
        <f t="shared" si="4"/>
        <v/>
      </c>
      <c r="C18" s="29"/>
      <c r="D18" s="29"/>
      <c r="E18" s="29"/>
      <c r="F18" s="29"/>
      <c r="G18" s="22"/>
      <c r="H18" s="163">
        <v>13</v>
      </c>
      <c r="I18" s="164" t="str">
        <f t="shared" si="0"/>
        <v/>
      </c>
      <c r="J18" s="163" t="e">
        <f t="shared" si="5"/>
        <v>#NUM!</v>
      </c>
      <c r="K18" s="163" t="e">
        <f t="shared" si="1"/>
        <v>#NUM!</v>
      </c>
      <c r="L18" s="163"/>
      <c r="M18" s="165">
        <f t="shared" si="2"/>
        <v>0</v>
      </c>
    </row>
    <row r="19" spans="1:19" x14ac:dyDescent="0.25">
      <c r="A19" s="110">
        <f t="shared" si="3"/>
        <v>0</v>
      </c>
      <c r="B19" s="34" t="str">
        <f t="shared" si="4"/>
        <v/>
      </c>
      <c r="C19" s="35"/>
      <c r="D19" s="35"/>
      <c r="E19" s="35"/>
      <c r="F19" s="35"/>
      <c r="G19" s="22"/>
      <c r="H19" s="166">
        <v>14</v>
      </c>
      <c r="I19" s="167" t="str">
        <f t="shared" si="0"/>
        <v/>
      </c>
      <c r="J19" s="166" t="e">
        <f t="shared" si="5"/>
        <v>#NUM!</v>
      </c>
      <c r="K19" s="166" t="e">
        <f t="shared" si="1"/>
        <v>#NUM!</v>
      </c>
      <c r="L19" s="166"/>
      <c r="M19" s="168">
        <f t="shared" si="2"/>
        <v>0</v>
      </c>
    </row>
    <row r="20" spans="1:19" x14ac:dyDescent="0.25">
      <c r="A20" s="109">
        <f t="shared" si="3"/>
        <v>0</v>
      </c>
      <c r="B20" s="28" t="str">
        <f t="shared" si="4"/>
        <v/>
      </c>
      <c r="C20" s="29"/>
      <c r="D20" s="29"/>
      <c r="E20" s="29"/>
      <c r="F20" s="29"/>
      <c r="G20" s="22"/>
      <c r="H20" s="163">
        <v>15</v>
      </c>
      <c r="I20" s="164" t="str">
        <f t="shared" si="0"/>
        <v/>
      </c>
      <c r="J20" s="163" t="e">
        <f t="shared" si="5"/>
        <v>#NUM!</v>
      </c>
      <c r="K20" s="163" t="e">
        <f t="shared" si="1"/>
        <v>#NUM!</v>
      </c>
      <c r="L20" s="163"/>
      <c r="M20" s="165">
        <f t="shared" si="2"/>
        <v>0</v>
      </c>
      <c r="R20" s="176"/>
      <c r="S20" s="177"/>
    </row>
    <row r="21" spans="1:19" x14ac:dyDescent="0.25">
      <c r="A21" s="110">
        <f t="shared" si="3"/>
        <v>0</v>
      </c>
      <c r="B21" s="34" t="str">
        <f t="shared" si="4"/>
        <v/>
      </c>
      <c r="C21" s="35"/>
      <c r="D21" s="35"/>
      <c r="E21" s="35"/>
      <c r="F21" s="35"/>
      <c r="G21" s="22"/>
      <c r="H21" s="166">
        <v>16</v>
      </c>
      <c r="I21" s="167" t="str">
        <f t="shared" si="0"/>
        <v/>
      </c>
      <c r="J21" s="166" t="e">
        <f t="shared" si="5"/>
        <v>#NUM!</v>
      </c>
      <c r="K21" s="166" t="e">
        <f t="shared" si="1"/>
        <v>#NUM!</v>
      </c>
      <c r="L21" s="166"/>
      <c r="M21" s="168">
        <f t="shared" si="2"/>
        <v>0</v>
      </c>
    </row>
    <row r="22" spans="1:19" x14ac:dyDescent="0.25">
      <c r="A22" s="109">
        <f t="shared" si="3"/>
        <v>0</v>
      </c>
      <c r="B22" s="28" t="str">
        <f t="shared" si="4"/>
        <v/>
      </c>
      <c r="C22" s="29"/>
      <c r="D22" s="29"/>
      <c r="E22" s="29"/>
      <c r="F22" s="29"/>
      <c r="G22" s="22"/>
      <c r="H22" s="163">
        <v>17</v>
      </c>
      <c r="I22" s="164" t="str">
        <f t="shared" si="0"/>
        <v/>
      </c>
      <c r="J22" s="163" t="e">
        <f t="shared" si="5"/>
        <v>#NUM!</v>
      </c>
      <c r="K22" s="163" t="e">
        <f t="shared" si="1"/>
        <v>#NUM!</v>
      </c>
      <c r="L22" s="163"/>
      <c r="M22" s="165">
        <f t="shared" si="2"/>
        <v>0</v>
      </c>
    </row>
    <row r="23" spans="1:19" x14ac:dyDescent="0.25">
      <c r="A23" s="110">
        <f t="shared" si="3"/>
        <v>0</v>
      </c>
      <c r="B23" s="34" t="str">
        <f t="shared" si="4"/>
        <v/>
      </c>
      <c r="C23" s="35"/>
      <c r="D23" s="35"/>
      <c r="E23" s="35"/>
      <c r="F23" s="35"/>
      <c r="G23" s="22"/>
      <c r="H23" s="166">
        <v>18</v>
      </c>
      <c r="I23" s="167" t="str">
        <f t="shared" si="0"/>
        <v/>
      </c>
      <c r="J23" s="166" t="e">
        <f t="shared" si="5"/>
        <v>#NUM!</v>
      </c>
      <c r="K23" s="166" t="e">
        <f t="shared" si="1"/>
        <v>#NUM!</v>
      </c>
      <c r="L23" s="166"/>
      <c r="M23" s="168">
        <f t="shared" si="2"/>
        <v>0</v>
      </c>
    </row>
    <row r="24" spans="1:19" x14ac:dyDescent="0.25">
      <c r="A24" s="109">
        <f t="shared" si="3"/>
        <v>0</v>
      </c>
      <c r="B24" s="28" t="str">
        <f t="shared" si="4"/>
        <v/>
      </c>
      <c r="C24" s="29"/>
      <c r="D24" s="29"/>
      <c r="E24" s="29"/>
      <c r="F24" s="29"/>
      <c r="G24" s="22"/>
      <c r="H24" s="163">
        <v>19</v>
      </c>
      <c r="I24" s="164" t="str">
        <f t="shared" si="0"/>
        <v/>
      </c>
      <c r="J24" s="163" t="e">
        <f t="shared" si="5"/>
        <v>#NUM!</v>
      </c>
      <c r="K24" s="163" t="e">
        <f t="shared" si="1"/>
        <v>#NUM!</v>
      </c>
      <c r="L24" s="163"/>
      <c r="M24" s="165">
        <f t="shared" si="2"/>
        <v>0</v>
      </c>
      <c r="R24" s="176"/>
      <c r="S24" s="177"/>
    </row>
    <row r="25" spans="1:19" x14ac:dyDescent="0.25">
      <c r="A25" s="110">
        <f t="shared" si="3"/>
        <v>0</v>
      </c>
      <c r="B25" s="34" t="str">
        <f t="shared" si="4"/>
        <v/>
      </c>
      <c r="C25" s="35"/>
      <c r="D25" s="35"/>
      <c r="E25" s="35"/>
      <c r="F25" s="35"/>
      <c r="G25" s="22"/>
      <c r="H25" s="166">
        <v>20</v>
      </c>
      <c r="I25" s="167" t="str">
        <f t="shared" si="0"/>
        <v/>
      </c>
      <c r="J25" s="166" t="e">
        <f t="shared" si="5"/>
        <v>#NUM!</v>
      </c>
      <c r="K25" s="166" t="e">
        <f t="shared" si="1"/>
        <v>#NUM!</v>
      </c>
      <c r="L25" s="166"/>
      <c r="M25" s="168">
        <f t="shared" si="2"/>
        <v>0</v>
      </c>
    </row>
    <row r="26" spans="1:19" x14ac:dyDescent="0.25">
      <c r="A26" s="109">
        <f t="shared" si="3"/>
        <v>0</v>
      </c>
      <c r="B26" s="28" t="str">
        <f t="shared" si="4"/>
        <v/>
      </c>
      <c r="C26" s="29"/>
      <c r="D26" s="29"/>
      <c r="E26" s="29"/>
      <c r="F26" s="29"/>
      <c r="G26" s="22"/>
      <c r="H26" s="163">
        <v>21</v>
      </c>
      <c r="I26" s="164" t="str">
        <f t="shared" si="0"/>
        <v/>
      </c>
      <c r="J26" s="163" t="e">
        <f t="shared" si="5"/>
        <v>#NUM!</v>
      </c>
      <c r="K26" s="163" t="e">
        <f t="shared" si="1"/>
        <v>#NUM!</v>
      </c>
      <c r="L26" s="163"/>
      <c r="M26" s="165">
        <f t="shared" si="2"/>
        <v>0</v>
      </c>
    </row>
    <row r="27" spans="1:19" x14ac:dyDescent="0.25">
      <c r="A27" s="110">
        <f t="shared" si="3"/>
        <v>0</v>
      </c>
      <c r="B27" s="34" t="str">
        <f t="shared" si="4"/>
        <v/>
      </c>
      <c r="C27" s="35"/>
      <c r="D27" s="35"/>
      <c r="E27" s="35"/>
      <c r="F27" s="35"/>
      <c r="G27" s="22"/>
      <c r="H27" s="166">
        <v>22</v>
      </c>
      <c r="I27" s="167" t="str">
        <f t="shared" si="0"/>
        <v/>
      </c>
      <c r="J27" s="166" t="e">
        <f t="shared" si="5"/>
        <v>#NUM!</v>
      </c>
      <c r="K27" s="166" t="e">
        <f t="shared" si="1"/>
        <v>#NUM!</v>
      </c>
      <c r="L27" s="166"/>
      <c r="M27" s="168">
        <f t="shared" si="2"/>
        <v>0</v>
      </c>
    </row>
    <row r="28" spans="1:19" x14ac:dyDescent="0.25">
      <c r="A28" s="109">
        <f t="shared" si="3"/>
        <v>0</v>
      </c>
      <c r="B28" s="28" t="str">
        <f t="shared" si="4"/>
        <v/>
      </c>
      <c r="C28" s="29"/>
      <c r="D28" s="29"/>
      <c r="E28" s="29"/>
      <c r="F28" s="29"/>
      <c r="G28" s="22"/>
      <c r="H28" s="163">
        <v>23</v>
      </c>
      <c r="I28" s="164" t="str">
        <f t="shared" si="0"/>
        <v/>
      </c>
      <c r="J28" s="163" t="e">
        <f t="shared" si="5"/>
        <v>#NUM!</v>
      </c>
      <c r="K28" s="163" t="e">
        <f t="shared" si="1"/>
        <v>#NUM!</v>
      </c>
      <c r="L28" s="163"/>
      <c r="M28" s="165">
        <f t="shared" si="2"/>
        <v>0</v>
      </c>
      <c r="R28" s="176"/>
      <c r="S28" s="177"/>
    </row>
    <row r="29" spans="1:19" x14ac:dyDescent="0.25">
      <c r="A29" s="110">
        <f t="shared" si="3"/>
        <v>0</v>
      </c>
      <c r="B29" s="34" t="str">
        <f t="shared" si="4"/>
        <v/>
      </c>
      <c r="C29" s="35"/>
      <c r="D29" s="35"/>
      <c r="E29" s="35"/>
      <c r="F29" s="35"/>
      <c r="G29" s="151"/>
      <c r="H29" s="166">
        <v>24</v>
      </c>
      <c r="I29" s="167" t="str">
        <f t="shared" si="0"/>
        <v/>
      </c>
      <c r="J29" s="166" t="e">
        <f t="shared" si="5"/>
        <v>#NUM!</v>
      </c>
      <c r="K29" s="166" t="e">
        <f t="shared" si="1"/>
        <v>#NUM!</v>
      </c>
      <c r="L29" s="166"/>
      <c r="M29" s="168">
        <f t="shared" si="2"/>
        <v>0</v>
      </c>
    </row>
    <row r="30" spans="1:19" x14ac:dyDescent="0.25">
      <c r="A30" s="109">
        <f t="shared" si="3"/>
        <v>0</v>
      </c>
      <c r="B30" s="28" t="str">
        <f t="shared" si="4"/>
        <v/>
      </c>
      <c r="C30" s="29"/>
      <c r="D30" s="29"/>
      <c r="E30" s="29"/>
      <c r="F30" s="29"/>
      <c r="G30" s="151"/>
      <c r="H30" s="163">
        <v>25</v>
      </c>
      <c r="I30" s="164" t="str">
        <f t="shared" si="0"/>
        <v/>
      </c>
      <c r="J30" s="163" t="e">
        <f t="shared" si="5"/>
        <v>#NUM!</v>
      </c>
      <c r="K30" s="163" t="e">
        <f t="shared" si="1"/>
        <v>#NUM!</v>
      </c>
      <c r="L30" s="163"/>
      <c r="M30" s="165">
        <f t="shared" si="2"/>
        <v>0</v>
      </c>
    </row>
    <row r="31" spans="1:19" x14ac:dyDescent="0.25">
      <c r="A31" s="110">
        <f t="shared" si="3"/>
        <v>0</v>
      </c>
      <c r="B31" s="34" t="str">
        <f t="shared" si="4"/>
        <v/>
      </c>
      <c r="C31" s="35"/>
      <c r="D31" s="35"/>
      <c r="E31" s="35"/>
      <c r="F31" s="35"/>
      <c r="G31" s="151"/>
      <c r="H31" s="166">
        <v>26</v>
      </c>
      <c r="I31" s="167" t="str">
        <f t="shared" si="0"/>
        <v/>
      </c>
      <c r="J31" s="166" t="e">
        <f t="shared" si="5"/>
        <v>#NUM!</v>
      </c>
      <c r="K31" s="166" t="e">
        <f t="shared" si="1"/>
        <v>#NUM!</v>
      </c>
      <c r="L31" s="166"/>
      <c r="M31" s="168">
        <f t="shared" si="2"/>
        <v>0</v>
      </c>
    </row>
    <row r="32" spans="1:19" x14ac:dyDescent="0.25">
      <c r="A32" s="109">
        <f t="shared" si="3"/>
        <v>0</v>
      </c>
      <c r="B32" s="28" t="str">
        <f t="shared" si="4"/>
        <v/>
      </c>
      <c r="C32" s="29"/>
      <c r="D32" s="29"/>
      <c r="E32" s="29"/>
      <c r="F32" s="29"/>
      <c r="G32" s="151"/>
      <c r="H32" s="163">
        <v>27</v>
      </c>
      <c r="I32" s="164" t="str">
        <f t="shared" si="0"/>
        <v/>
      </c>
      <c r="J32" s="163" t="e">
        <f t="shared" si="5"/>
        <v>#NUM!</v>
      </c>
      <c r="K32" s="163" t="e">
        <f t="shared" si="1"/>
        <v>#NUM!</v>
      </c>
      <c r="L32" s="163"/>
      <c r="M32" s="165">
        <f t="shared" si="2"/>
        <v>0</v>
      </c>
      <c r="R32" s="176"/>
      <c r="S32" s="177"/>
    </row>
    <row r="33" spans="1:21" x14ac:dyDescent="0.25">
      <c r="A33" s="110">
        <f t="shared" si="3"/>
        <v>0</v>
      </c>
      <c r="B33" s="34" t="str">
        <f t="shared" si="4"/>
        <v/>
      </c>
      <c r="C33" s="35"/>
      <c r="D33" s="35"/>
      <c r="E33" s="35"/>
      <c r="F33" s="35"/>
      <c r="G33" s="151"/>
      <c r="H33" s="166">
        <v>28</v>
      </c>
      <c r="I33" s="167" t="str">
        <f t="shared" si="0"/>
        <v/>
      </c>
      <c r="J33" s="166" t="e">
        <f t="shared" si="5"/>
        <v>#NUM!</v>
      </c>
      <c r="K33" s="166" t="e">
        <f t="shared" si="1"/>
        <v>#NUM!</v>
      </c>
      <c r="L33" s="166"/>
      <c r="M33" s="168">
        <f t="shared" si="2"/>
        <v>0</v>
      </c>
    </row>
    <row r="34" spans="1:21" x14ac:dyDescent="0.25">
      <c r="A34" s="109">
        <f t="shared" si="3"/>
        <v>0</v>
      </c>
      <c r="B34" s="28" t="str">
        <f t="shared" si="4"/>
        <v/>
      </c>
      <c r="C34" s="29"/>
      <c r="D34" s="29"/>
      <c r="E34" s="29"/>
      <c r="F34" s="29"/>
      <c r="G34" s="151"/>
      <c r="H34" s="163">
        <v>29</v>
      </c>
      <c r="I34" s="164" t="str">
        <f t="shared" si="0"/>
        <v/>
      </c>
      <c r="J34" s="163" t="e">
        <f t="shared" si="5"/>
        <v>#NUM!</v>
      </c>
      <c r="K34" s="163" t="e">
        <f t="shared" si="1"/>
        <v>#NUM!</v>
      </c>
      <c r="L34" s="163"/>
      <c r="M34" s="165">
        <f t="shared" si="2"/>
        <v>0</v>
      </c>
    </row>
    <row r="35" spans="1:21" x14ac:dyDescent="0.25">
      <c r="A35" s="110">
        <f t="shared" si="3"/>
        <v>0</v>
      </c>
      <c r="B35" s="34" t="str">
        <f t="shared" si="4"/>
        <v/>
      </c>
      <c r="C35" s="35"/>
      <c r="D35" s="35"/>
      <c r="E35" s="35"/>
      <c r="F35" s="35"/>
      <c r="G35" s="151"/>
      <c r="H35" s="166">
        <v>30</v>
      </c>
      <c r="I35" s="167" t="str">
        <f t="shared" si="0"/>
        <v/>
      </c>
      <c r="J35" s="166" t="e">
        <f t="shared" si="5"/>
        <v>#NUM!</v>
      </c>
      <c r="K35" s="166" t="e">
        <f t="shared" si="1"/>
        <v>#NUM!</v>
      </c>
      <c r="L35" s="166"/>
      <c r="M35" s="168">
        <f t="shared" si="2"/>
        <v>0</v>
      </c>
    </row>
    <row r="36" spans="1:21" x14ac:dyDescent="0.25">
      <c r="A36" s="109">
        <f t="shared" si="3"/>
        <v>0</v>
      </c>
      <c r="B36" s="28" t="str">
        <f t="shared" si="4"/>
        <v/>
      </c>
      <c r="C36" s="29"/>
      <c r="D36" s="29"/>
      <c r="E36" s="29"/>
      <c r="F36" s="29"/>
      <c r="G36" s="151"/>
      <c r="H36" s="163">
        <v>31</v>
      </c>
      <c r="I36" s="164" t="str">
        <f t="shared" si="0"/>
        <v/>
      </c>
      <c r="J36" s="163" t="e">
        <f t="shared" si="5"/>
        <v>#NUM!</v>
      </c>
      <c r="K36" s="163" t="e">
        <f t="shared" si="1"/>
        <v>#NUM!</v>
      </c>
      <c r="L36" s="163"/>
      <c r="M36" s="165">
        <f t="shared" si="2"/>
        <v>0</v>
      </c>
      <c r="R36" s="176"/>
      <c r="S36" s="177"/>
    </row>
    <row r="37" spans="1:21" x14ac:dyDescent="0.25">
      <c r="A37" s="110">
        <f t="shared" si="3"/>
        <v>0</v>
      </c>
      <c r="B37" s="34" t="str">
        <f t="shared" si="4"/>
        <v/>
      </c>
      <c r="C37" s="35"/>
      <c r="D37" s="35"/>
      <c r="E37" s="35"/>
      <c r="F37" s="35"/>
      <c r="G37" s="151"/>
      <c r="H37" s="166">
        <v>32</v>
      </c>
      <c r="I37" s="167" t="str">
        <f t="shared" si="0"/>
        <v/>
      </c>
      <c r="J37" s="166" t="e">
        <f t="shared" si="5"/>
        <v>#NUM!</v>
      </c>
      <c r="K37" s="166" t="e">
        <f t="shared" si="1"/>
        <v>#NUM!</v>
      </c>
      <c r="L37" s="166"/>
      <c r="M37" s="168">
        <f t="shared" si="2"/>
        <v>0</v>
      </c>
    </row>
    <row r="38" spans="1:21" x14ac:dyDescent="0.25">
      <c r="A38" s="109"/>
      <c r="B38" s="28" t="str">
        <f t="shared" si="4"/>
        <v/>
      </c>
      <c r="C38" s="29"/>
      <c r="D38" s="29"/>
      <c r="E38" s="29"/>
      <c r="F38" s="29"/>
      <c r="G38" s="151"/>
      <c r="H38" s="163">
        <v>33</v>
      </c>
      <c r="I38" s="164" t="str">
        <f t="shared" si="0"/>
        <v/>
      </c>
      <c r="J38" s="163" t="e">
        <f t="shared" si="5"/>
        <v>#NUM!</v>
      </c>
      <c r="K38" s="163" t="e">
        <f t="shared" si="1"/>
        <v>#NUM!</v>
      </c>
      <c r="L38" s="163"/>
      <c r="M38" s="165">
        <f t="shared" si="2"/>
        <v>0</v>
      </c>
    </row>
    <row r="39" spans="1:21" x14ac:dyDescent="0.25">
      <c r="A39" s="110"/>
      <c r="B39" s="34" t="str">
        <f t="shared" si="4"/>
        <v/>
      </c>
      <c r="C39" s="35"/>
      <c r="D39" s="35"/>
      <c r="E39" s="35"/>
      <c r="F39" s="35"/>
      <c r="G39" s="151"/>
      <c r="H39" s="166">
        <v>34</v>
      </c>
      <c r="I39" s="167" t="str">
        <f t="shared" si="0"/>
        <v/>
      </c>
      <c r="J39" s="166" t="e">
        <f t="shared" si="5"/>
        <v>#NUM!</v>
      </c>
      <c r="K39" s="166" t="e">
        <f t="shared" si="1"/>
        <v>#NUM!</v>
      </c>
      <c r="L39" s="166"/>
      <c r="M39" s="168">
        <f t="shared" si="2"/>
        <v>0</v>
      </c>
    </row>
    <row r="40" spans="1:21" x14ac:dyDescent="0.25">
      <c r="A40" s="109"/>
      <c r="B40" s="28" t="str">
        <f t="shared" si="4"/>
        <v/>
      </c>
      <c r="C40" s="29"/>
      <c r="D40" s="29"/>
      <c r="E40" s="29"/>
      <c r="F40" s="29"/>
      <c r="G40" s="151"/>
      <c r="H40" s="163">
        <v>35</v>
      </c>
      <c r="I40" s="164" t="str">
        <f t="shared" si="0"/>
        <v/>
      </c>
      <c r="J40" s="163" t="e">
        <f t="shared" si="5"/>
        <v>#NUM!</v>
      </c>
      <c r="K40" s="163" t="e">
        <f t="shared" si="1"/>
        <v>#NUM!</v>
      </c>
      <c r="L40" s="163"/>
      <c r="M40" s="165">
        <f t="shared" si="2"/>
        <v>0</v>
      </c>
    </row>
    <row r="41" spans="1:21" x14ac:dyDescent="0.25">
      <c r="A41" s="110"/>
      <c r="B41" s="34" t="str">
        <f t="shared" si="4"/>
        <v/>
      </c>
      <c r="C41" s="35"/>
      <c r="D41" s="35"/>
      <c r="E41" s="35"/>
      <c r="F41" s="35"/>
      <c r="G41" s="151"/>
      <c r="H41" s="166">
        <v>36</v>
      </c>
      <c r="I41" s="167" t="str">
        <f t="shared" si="0"/>
        <v/>
      </c>
      <c r="J41" s="166" t="e">
        <f t="shared" si="5"/>
        <v>#NUM!</v>
      </c>
      <c r="K41" s="166" t="e">
        <f t="shared" si="1"/>
        <v>#NUM!</v>
      </c>
      <c r="L41" s="166"/>
      <c r="M41" s="168">
        <f t="shared" si="2"/>
        <v>0</v>
      </c>
      <c r="S41" s="178"/>
    </row>
    <row r="42" spans="1:21" x14ac:dyDescent="0.25">
      <c r="A42" s="109"/>
      <c r="B42" s="28" t="str">
        <f t="shared" si="4"/>
        <v/>
      </c>
      <c r="C42" s="29"/>
      <c r="D42" s="29"/>
      <c r="E42" s="29"/>
      <c r="F42" s="29"/>
      <c r="G42" s="151"/>
      <c r="H42" s="163">
        <v>37</v>
      </c>
      <c r="I42" s="164" t="str">
        <f t="shared" si="0"/>
        <v/>
      </c>
      <c r="J42" s="163" t="e">
        <f t="shared" si="5"/>
        <v>#NUM!</v>
      </c>
      <c r="K42" s="163" t="e">
        <f t="shared" si="1"/>
        <v>#NUM!</v>
      </c>
      <c r="L42" s="163"/>
      <c r="M42" s="165">
        <f t="shared" si="2"/>
        <v>0</v>
      </c>
    </row>
    <row r="43" spans="1:21" x14ac:dyDescent="0.25">
      <c r="A43" s="110"/>
      <c r="B43" s="34" t="str">
        <f t="shared" si="4"/>
        <v/>
      </c>
      <c r="C43" s="35"/>
      <c r="D43" s="35"/>
      <c r="E43" s="35"/>
      <c r="F43" s="35"/>
      <c r="G43" s="151"/>
      <c r="H43" s="166">
        <v>38</v>
      </c>
      <c r="I43" s="167" t="str">
        <f t="shared" si="0"/>
        <v/>
      </c>
      <c r="J43" s="166" t="e">
        <f t="shared" si="5"/>
        <v>#NUM!</v>
      </c>
      <c r="K43" s="166" t="e">
        <f t="shared" si="1"/>
        <v>#NUM!</v>
      </c>
      <c r="L43" s="166"/>
      <c r="M43" s="168">
        <f t="shared" si="2"/>
        <v>0</v>
      </c>
    </row>
    <row r="44" spans="1:21" x14ac:dyDescent="0.25">
      <c r="A44" s="109"/>
      <c r="B44" s="28" t="str">
        <f t="shared" si="4"/>
        <v/>
      </c>
      <c r="C44" s="29"/>
      <c r="D44" s="29"/>
      <c r="E44" s="29"/>
      <c r="F44" s="29"/>
      <c r="G44" s="151"/>
      <c r="H44" s="163">
        <v>39</v>
      </c>
      <c r="I44" s="164" t="str">
        <f t="shared" si="0"/>
        <v/>
      </c>
      <c r="J44" s="163" t="e">
        <f t="shared" si="5"/>
        <v>#NUM!</v>
      </c>
      <c r="K44" s="163" t="e">
        <f t="shared" si="1"/>
        <v>#NUM!</v>
      </c>
      <c r="L44" s="163"/>
      <c r="M44" s="165">
        <f t="shared" si="2"/>
        <v>0</v>
      </c>
    </row>
    <row r="45" spans="1:21" x14ac:dyDescent="0.25">
      <c r="A45" s="110"/>
      <c r="B45" s="34" t="str">
        <f t="shared" si="4"/>
        <v/>
      </c>
      <c r="C45" s="35"/>
      <c r="D45" s="35"/>
      <c r="E45" s="35"/>
      <c r="F45" s="35"/>
      <c r="G45" s="151"/>
      <c r="H45" s="166">
        <v>40</v>
      </c>
      <c r="I45" s="167" t="str">
        <f t="shared" si="0"/>
        <v/>
      </c>
      <c r="J45" s="166" t="e">
        <f t="shared" si="5"/>
        <v>#NUM!</v>
      </c>
      <c r="K45" s="166" t="e">
        <f t="shared" si="1"/>
        <v>#NUM!</v>
      </c>
      <c r="L45" s="166"/>
      <c r="M45" s="168">
        <f t="shared" si="2"/>
        <v>0</v>
      </c>
    </row>
    <row r="46" spans="1:21" x14ac:dyDescent="0.25">
      <c r="A46" s="109"/>
      <c r="B46" s="28" t="str">
        <f t="shared" si="4"/>
        <v/>
      </c>
      <c r="C46" s="29"/>
      <c r="D46" s="29"/>
      <c r="E46" s="29"/>
      <c r="F46" s="29"/>
      <c r="G46" s="151"/>
      <c r="H46" s="163">
        <v>41</v>
      </c>
      <c r="I46" s="164" t="str">
        <f t="shared" si="0"/>
        <v/>
      </c>
      <c r="J46" s="163" t="e">
        <f t="shared" si="5"/>
        <v>#NUM!</v>
      </c>
      <c r="K46" s="163" t="e">
        <f t="shared" si="1"/>
        <v>#NUM!</v>
      </c>
      <c r="L46" s="163"/>
      <c r="M46" s="165">
        <f t="shared" si="2"/>
        <v>0</v>
      </c>
      <c r="R46" s="151" t="e">
        <f>LOG($H$2,2)</f>
        <v>#NUM!</v>
      </c>
      <c r="T46" s="156">
        <f>LOG(H38,2)</f>
        <v>5.0443941193584534</v>
      </c>
      <c r="U46" s="156" t="e">
        <f>R46-T46</f>
        <v>#NUM!</v>
      </c>
    </row>
    <row r="47" spans="1:21" x14ac:dyDescent="0.25">
      <c r="A47" s="110"/>
      <c r="B47" s="34" t="str">
        <f t="shared" si="4"/>
        <v/>
      </c>
      <c r="C47" s="35"/>
      <c r="D47" s="35"/>
      <c r="E47" s="35"/>
      <c r="F47" s="35"/>
      <c r="G47" s="151"/>
      <c r="H47" s="166">
        <v>42</v>
      </c>
      <c r="I47" s="167" t="str">
        <f t="shared" si="0"/>
        <v/>
      </c>
      <c r="J47" s="166" t="e">
        <f t="shared" si="5"/>
        <v>#NUM!</v>
      </c>
      <c r="K47" s="166" t="e">
        <f t="shared" si="1"/>
        <v>#NUM!</v>
      </c>
      <c r="L47" s="166"/>
      <c r="M47" s="168">
        <f t="shared" si="2"/>
        <v>0</v>
      </c>
    </row>
    <row r="48" spans="1:21" x14ac:dyDescent="0.25">
      <c r="A48" s="109"/>
      <c r="B48" s="28" t="str">
        <f t="shared" si="4"/>
        <v/>
      </c>
      <c r="C48" s="29"/>
      <c r="D48" s="29"/>
      <c r="E48" s="29"/>
      <c r="F48" s="29"/>
      <c r="G48" s="151"/>
      <c r="H48" s="163">
        <v>43</v>
      </c>
      <c r="I48" s="164" t="str">
        <f t="shared" si="0"/>
        <v/>
      </c>
      <c r="J48" s="163" t="e">
        <f t="shared" si="5"/>
        <v>#NUM!</v>
      </c>
      <c r="K48" s="163" t="e">
        <f t="shared" si="1"/>
        <v>#NUM!</v>
      </c>
      <c r="L48" s="163"/>
      <c r="M48" s="165">
        <f t="shared" si="2"/>
        <v>0</v>
      </c>
    </row>
    <row r="49" spans="1:13" x14ac:dyDescent="0.25">
      <c r="A49" s="110"/>
      <c r="B49" s="34" t="str">
        <f t="shared" si="4"/>
        <v/>
      </c>
      <c r="C49" s="35"/>
      <c r="D49" s="35"/>
      <c r="E49" s="35"/>
      <c r="F49" s="35"/>
      <c r="G49" s="151"/>
      <c r="H49" s="166">
        <v>44</v>
      </c>
      <c r="I49" s="167" t="str">
        <f t="shared" si="0"/>
        <v/>
      </c>
      <c r="J49" s="166" t="e">
        <f t="shared" si="5"/>
        <v>#NUM!</v>
      </c>
      <c r="K49" s="166" t="e">
        <f t="shared" si="1"/>
        <v>#NUM!</v>
      </c>
      <c r="L49" s="166"/>
      <c r="M49" s="168">
        <f t="shared" si="2"/>
        <v>0</v>
      </c>
    </row>
    <row r="50" spans="1:13" x14ac:dyDescent="0.25">
      <c r="A50" s="109"/>
      <c r="B50" s="28" t="str">
        <f t="shared" si="4"/>
        <v/>
      </c>
      <c r="C50" s="29"/>
      <c r="D50" s="29"/>
      <c r="E50" s="29"/>
      <c r="F50" s="29"/>
      <c r="G50" s="151"/>
      <c r="H50" s="163">
        <v>45</v>
      </c>
      <c r="I50" s="164" t="str">
        <f t="shared" si="0"/>
        <v/>
      </c>
      <c r="J50" s="163" t="e">
        <f t="shared" si="5"/>
        <v>#NUM!</v>
      </c>
      <c r="K50" s="163" t="e">
        <f t="shared" si="1"/>
        <v>#NUM!</v>
      </c>
      <c r="L50" s="163"/>
      <c r="M50" s="165">
        <f t="shared" si="2"/>
        <v>0</v>
      </c>
    </row>
    <row r="51" spans="1:13" x14ac:dyDescent="0.25">
      <c r="A51" s="110"/>
      <c r="B51" s="34" t="str">
        <f t="shared" si="4"/>
        <v/>
      </c>
      <c r="C51" s="35"/>
      <c r="D51" s="35"/>
      <c r="E51" s="35"/>
      <c r="F51" s="35"/>
      <c r="G51" s="151"/>
      <c r="H51" s="166">
        <v>46</v>
      </c>
      <c r="I51" s="167" t="str">
        <f t="shared" si="0"/>
        <v/>
      </c>
      <c r="J51" s="166" t="e">
        <f t="shared" si="5"/>
        <v>#NUM!</v>
      </c>
      <c r="K51" s="166" t="e">
        <f t="shared" si="1"/>
        <v>#NUM!</v>
      </c>
      <c r="L51" s="166"/>
      <c r="M51" s="168">
        <f t="shared" si="2"/>
        <v>0</v>
      </c>
    </row>
    <row r="52" spans="1:13" x14ac:dyDescent="0.25">
      <c r="A52" s="109"/>
      <c r="B52" s="28" t="str">
        <f t="shared" si="4"/>
        <v/>
      </c>
      <c r="C52" s="29"/>
      <c r="D52" s="29"/>
      <c r="E52" s="29"/>
      <c r="F52" s="29"/>
      <c r="G52" s="151"/>
      <c r="H52" s="163">
        <v>47</v>
      </c>
      <c r="I52" s="164" t="str">
        <f t="shared" si="0"/>
        <v/>
      </c>
      <c r="J52" s="163" t="e">
        <f t="shared" si="5"/>
        <v>#NUM!</v>
      </c>
      <c r="K52" s="163" t="e">
        <f t="shared" si="1"/>
        <v>#NUM!</v>
      </c>
      <c r="L52" s="163"/>
      <c r="M52" s="165">
        <f t="shared" si="2"/>
        <v>0</v>
      </c>
    </row>
    <row r="53" spans="1:13" x14ac:dyDescent="0.25">
      <c r="A53" s="110"/>
      <c r="B53" s="34" t="str">
        <f t="shared" si="4"/>
        <v/>
      </c>
      <c r="C53" s="35"/>
      <c r="D53" s="35"/>
      <c r="E53" s="35"/>
      <c r="F53" s="35"/>
      <c r="G53" s="151"/>
      <c r="H53" s="166">
        <v>48</v>
      </c>
      <c r="I53" s="167" t="str">
        <f t="shared" si="0"/>
        <v/>
      </c>
      <c r="J53" s="166" t="e">
        <f t="shared" si="5"/>
        <v>#NUM!</v>
      </c>
      <c r="K53" s="166" t="e">
        <f t="shared" si="1"/>
        <v>#NUM!</v>
      </c>
      <c r="L53" s="166"/>
      <c r="M53" s="168">
        <f t="shared" si="2"/>
        <v>0</v>
      </c>
    </row>
    <row r="54" spans="1:13" x14ac:dyDescent="0.25">
      <c r="A54" s="109"/>
      <c r="B54" s="28" t="str">
        <f t="shared" si="4"/>
        <v/>
      </c>
      <c r="C54" s="29"/>
      <c r="D54" s="29"/>
      <c r="E54" s="29"/>
      <c r="F54" s="29"/>
      <c r="G54" s="151"/>
      <c r="H54" s="163">
        <v>49</v>
      </c>
      <c r="I54" s="164" t="str">
        <f t="shared" si="0"/>
        <v/>
      </c>
      <c r="J54" s="163" t="e">
        <f t="shared" si="5"/>
        <v>#NUM!</v>
      </c>
      <c r="K54" s="163" t="e">
        <f t="shared" si="1"/>
        <v>#NUM!</v>
      </c>
      <c r="L54" s="163"/>
      <c r="M54" s="165">
        <f t="shared" si="2"/>
        <v>0</v>
      </c>
    </row>
    <row r="55" spans="1:13" x14ac:dyDescent="0.25">
      <c r="A55" s="110"/>
      <c r="B55" s="34" t="str">
        <f t="shared" si="4"/>
        <v/>
      </c>
      <c r="C55" s="35"/>
      <c r="D55" s="35"/>
      <c r="E55" s="35"/>
      <c r="F55" s="35"/>
      <c r="G55" s="151"/>
      <c r="H55" s="166">
        <v>50</v>
      </c>
      <c r="I55" s="167" t="str">
        <f t="shared" si="0"/>
        <v/>
      </c>
      <c r="J55" s="166" t="e">
        <f t="shared" si="5"/>
        <v>#NUM!</v>
      </c>
      <c r="K55" s="166" t="e">
        <f t="shared" si="1"/>
        <v>#NUM!</v>
      </c>
      <c r="L55" s="166"/>
      <c r="M55" s="168">
        <f t="shared" si="2"/>
        <v>0</v>
      </c>
    </row>
    <row r="56" spans="1:13" x14ac:dyDescent="0.25">
      <c r="A56" s="109"/>
      <c r="B56" s="28" t="str">
        <f t="shared" si="4"/>
        <v/>
      </c>
      <c r="C56" s="29"/>
      <c r="D56" s="29"/>
      <c r="E56" s="29"/>
      <c r="F56" s="29"/>
      <c r="G56" s="151"/>
      <c r="H56" s="163">
        <v>51</v>
      </c>
      <c r="I56" s="164" t="str">
        <f t="shared" si="0"/>
        <v/>
      </c>
      <c r="J56" s="163" t="e">
        <f t="shared" si="5"/>
        <v>#NUM!</v>
      </c>
      <c r="K56" s="163" t="e">
        <f t="shared" si="1"/>
        <v>#NUM!</v>
      </c>
      <c r="L56" s="163"/>
      <c r="M56" s="165">
        <f t="shared" si="2"/>
        <v>0</v>
      </c>
    </row>
    <row r="57" spans="1:13" x14ac:dyDescent="0.25">
      <c r="A57" s="110"/>
      <c r="B57" s="34" t="str">
        <f t="shared" si="4"/>
        <v/>
      </c>
      <c r="C57" s="35"/>
      <c r="D57" s="35"/>
      <c r="E57" s="35"/>
      <c r="F57" s="35"/>
      <c r="G57" s="151"/>
      <c r="H57" s="166">
        <v>52</v>
      </c>
      <c r="I57" s="167" t="str">
        <f t="shared" si="0"/>
        <v/>
      </c>
      <c r="J57" s="166" t="e">
        <f t="shared" si="5"/>
        <v>#NUM!</v>
      </c>
      <c r="K57" s="166" t="e">
        <f t="shared" si="1"/>
        <v>#NUM!</v>
      </c>
      <c r="L57" s="166"/>
      <c r="M57" s="168">
        <f t="shared" si="2"/>
        <v>0</v>
      </c>
    </row>
    <row r="58" spans="1:13" x14ac:dyDescent="0.25">
      <c r="A58" s="109"/>
      <c r="B58" s="28" t="str">
        <f t="shared" si="4"/>
        <v/>
      </c>
      <c r="C58" s="29"/>
      <c r="D58" s="29"/>
      <c r="E58" s="29"/>
      <c r="F58" s="29"/>
      <c r="G58" s="151"/>
      <c r="H58" s="163">
        <v>53</v>
      </c>
      <c r="I58" s="164" t="str">
        <f t="shared" si="0"/>
        <v/>
      </c>
      <c r="J58" s="163" t="e">
        <f t="shared" si="5"/>
        <v>#NUM!</v>
      </c>
      <c r="K58" s="163" t="e">
        <f t="shared" si="1"/>
        <v>#NUM!</v>
      </c>
      <c r="L58" s="163"/>
      <c r="M58" s="165">
        <f t="shared" si="2"/>
        <v>0</v>
      </c>
    </row>
    <row r="59" spans="1:13" x14ac:dyDescent="0.25">
      <c r="A59" s="110"/>
      <c r="B59" s="34" t="str">
        <f t="shared" si="4"/>
        <v/>
      </c>
      <c r="C59" s="35"/>
      <c r="D59" s="35"/>
      <c r="E59" s="35"/>
      <c r="F59" s="35"/>
      <c r="G59" s="151"/>
      <c r="H59" s="166">
        <v>54</v>
      </c>
      <c r="I59" s="167" t="str">
        <f t="shared" si="0"/>
        <v/>
      </c>
      <c r="J59" s="166" t="e">
        <f t="shared" si="5"/>
        <v>#NUM!</v>
      </c>
      <c r="K59" s="166" t="e">
        <f t="shared" si="1"/>
        <v>#NUM!</v>
      </c>
      <c r="L59" s="166"/>
      <c r="M59" s="168">
        <f t="shared" si="2"/>
        <v>0</v>
      </c>
    </row>
    <row r="60" spans="1:13" x14ac:dyDescent="0.25">
      <c r="A60" s="109"/>
      <c r="B60" s="28" t="str">
        <f t="shared" si="4"/>
        <v/>
      </c>
      <c r="C60" s="29"/>
      <c r="D60" s="29"/>
      <c r="E60" s="29"/>
      <c r="F60" s="29"/>
      <c r="G60" s="151"/>
      <c r="H60" s="163">
        <v>55</v>
      </c>
      <c r="I60" s="164" t="str">
        <f t="shared" si="0"/>
        <v/>
      </c>
      <c r="J60" s="163" t="e">
        <f t="shared" si="5"/>
        <v>#NUM!</v>
      </c>
      <c r="K60" s="163" t="e">
        <f t="shared" si="1"/>
        <v>#NUM!</v>
      </c>
      <c r="L60" s="163"/>
      <c r="M60" s="165">
        <f t="shared" si="2"/>
        <v>0</v>
      </c>
    </row>
    <row r="61" spans="1:13" x14ac:dyDescent="0.25">
      <c r="A61" s="110"/>
      <c r="B61" s="34" t="str">
        <f t="shared" si="4"/>
        <v/>
      </c>
      <c r="C61" s="35"/>
      <c r="D61" s="35"/>
      <c r="E61" s="35"/>
      <c r="F61" s="35"/>
      <c r="G61" s="151"/>
      <c r="H61" s="166">
        <v>56</v>
      </c>
      <c r="I61" s="167" t="str">
        <f t="shared" si="0"/>
        <v/>
      </c>
      <c r="J61" s="166" t="e">
        <f t="shared" si="5"/>
        <v>#NUM!</v>
      </c>
      <c r="K61" s="166" t="e">
        <f t="shared" si="1"/>
        <v>#NUM!</v>
      </c>
      <c r="L61" s="166"/>
      <c r="M61" s="168">
        <f t="shared" si="2"/>
        <v>0</v>
      </c>
    </row>
    <row r="62" spans="1:13" x14ac:dyDescent="0.25">
      <c r="A62" s="109"/>
      <c r="B62" s="28" t="str">
        <f t="shared" si="4"/>
        <v/>
      </c>
      <c r="C62" s="29"/>
      <c r="D62" s="29"/>
      <c r="E62" s="29"/>
      <c r="F62" s="29"/>
      <c r="G62" s="151"/>
      <c r="H62" s="163">
        <v>57</v>
      </c>
      <c r="I62" s="164" t="str">
        <f t="shared" si="0"/>
        <v/>
      </c>
      <c r="J62" s="163" t="e">
        <f t="shared" si="5"/>
        <v>#NUM!</v>
      </c>
      <c r="K62" s="163" t="e">
        <f t="shared" si="1"/>
        <v>#NUM!</v>
      </c>
      <c r="L62" s="163"/>
      <c r="M62" s="165">
        <f t="shared" si="2"/>
        <v>0</v>
      </c>
    </row>
    <row r="63" spans="1:13" x14ac:dyDescent="0.25">
      <c r="A63" s="110"/>
      <c r="B63" s="34" t="str">
        <f t="shared" si="4"/>
        <v/>
      </c>
      <c r="C63" s="35"/>
      <c r="D63" s="35"/>
      <c r="E63" s="35"/>
      <c r="F63" s="35"/>
      <c r="G63" s="151"/>
      <c r="H63" s="166">
        <v>58</v>
      </c>
      <c r="I63" s="167" t="str">
        <f t="shared" si="0"/>
        <v/>
      </c>
      <c r="J63" s="166" t="e">
        <f t="shared" si="5"/>
        <v>#NUM!</v>
      </c>
      <c r="K63" s="166" t="e">
        <f t="shared" si="1"/>
        <v>#NUM!</v>
      </c>
      <c r="L63" s="166"/>
      <c r="M63" s="168">
        <f t="shared" si="2"/>
        <v>0</v>
      </c>
    </row>
    <row r="64" spans="1:13" x14ac:dyDescent="0.25">
      <c r="A64" s="109"/>
      <c r="B64" s="28" t="str">
        <f t="shared" si="4"/>
        <v/>
      </c>
      <c r="C64" s="29"/>
      <c r="D64" s="29"/>
      <c r="E64" s="29"/>
      <c r="F64" s="29"/>
      <c r="G64" s="151"/>
      <c r="H64" s="163">
        <v>59</v>
      </c>
      <c r="I64" s="164" t="str">
        <f t="shared" si="0"/>
        <v/>
      </c>
      <c r="J64" s="163" t="e">
        <f t="shared" si="5"/>
        <v>#NUM!</v>
      </c>
      <c r="K64" s="163" t="e">
        <f t="shared" si="1"/>
        <v>#NUM!</v>
      </c>
      <c r="L64" s="163"/>
      <c r="M64" s="165">
        <f t="shared" si="2"/>
        <v>0</v>
      </c>
    </row>
    <row r="65" spans="1:13" x14ac:dyDescent="0.25">
      <c r="A65" s="110"/>
      <c r="B65" s="34" t="str">
        <f t="shared" si="4"/>
        <v/>
      </c>
      <c r="C65" s="35"/>
      <c r="D65" s="35"/>
      <c r="E65" s="35"/>
      <c r="F65" s="35"/>
      <c r="G65" s="151"/>
      <c r="H65" s="166">
        <v>60</v>
      </c>
      <c r="I65" s="167" t="str">
        <f t="shared" si="0"/>
        <v/>
      </c>
      <c r="J65" s="166" t="e">
        <f t="shared" si="5"/>
        <v>#NUM!</v>
      </c>
      <c r="K65" s="166" t="e">
        <f t="shared" si="1"/>
        <v>#NUM!</v>
      </c>
      <c r="L65" s="166"/>
      <c r="M65" s="168">
        <f t="shared" si="2"/>
        <v>0</v>
      </c>
    </row>
    <row r="66" spans="1:13" x14ac:dyDescent="0.25">
      <c r="A66" s="188"/>
      <c r="B66" s="28"/>
      <c r="G66" s="151"/>
      <c r="H66" s="163">
        <v>61</v>
      </c>
      <c r="I66" s="164" t="str">
        <f t="shared" si="0"/>
        <v/>
      </c>
      <c r="J66" s="163" t="e">
        <f t="shared" si="5"/>
        <v>#NUM!</v>
      </c>
      <c r="K66" s="163" t="e">
        <f t="shared" si="1"/>
        <v>#NUM!</v>
      </c>
      <c r="L66" s="163"/>
      <c r="M66" s="165">
        <f t="shared" si="2"/>
        <v>0</v>
      </c>
    </row>
    <row r="67" spans="1:13" x14ac:dyDescent="0.25">
      <c r="A67" s="188"/>
      <c r="B67" s="34"/>
      <c r="G67" s="151"/>
      <c r="H67" s="163">
        <v>62</v>
      </c>
      <c r="I67" s="164" t="str">
        <f t="shared" si="0"/>
        <v/>
      </c>
      <c r="J67" s="163" t="e">
        <f t="shared" si="5"/>
        <v>#NUM!</v>
      </c>
      <c r="K67" s="163" t="e">
        <f t="shared" si="1"/>
        <v>#NUM!</v>
      </c>
      <c r="L67" s="163"/>
      <c r="M67" s="165">
        <f t="shared" si="2"/>
        <v>0</v>
      </c>
    </row>
    <row r="68" spans="1:13" x14ac:dyDescent="0.25">
      <c r="A68" s="188"/>
      <c r="B68" s="28"/>
      <c r="G68" s="151"/>
      <c r="H68" s="163">
        <v>63</v>
      </c>
      <c r="I68" s="164" t="str">
        <f t="shared" si="0"/>
        <v/>
      </c>
      <c r="J68" s="163" t="e">
        <f t="shared" si="5"/>
        <v>#NUM!</v>
      </c>
      <c r="K68" s="163" t="e">
        <f t="shared" si="1"/>
        <v>#NUM!</v>
      </c>
      <c r="L68" s="163"/>
      <c r="M68" s="165">
        <f t="shared" si="2"/>
        <v>0</v>
      </c>
    </row>
    <row r="69" spans="1:13" x14ac:dyDescent="0.25">
      <c r="A69" s="188"/>
      <c r="B69" s="34"/>
      <c r="G69" s="151"/>
      <c r="H69" s="163">
        <v>64</v>
      </c>
      <c r="I69" s="164" t="str">
        <f t="shared" si="0"/>
        <v/>
      </c>
      <c r="J69" s="163" t="e">
        <f t="shared" si="5"/>
        <v>#NUM!</v>
      </c>
      <c r="K69" s="163" t="e">
        <f t="shared" si="1"/>
        <v>#NUM!</v>
      </c>
      <c r="L69" s="163"/>
      <c r="M69" s="165">
        <f t="shared" si="2"/>
        <v>0</v>
      </c>
    </row>
    <row r="70" spans="1:13" x14ac:dyDescent="0.25">
      <c r="A70" s="188"/>
      <c r="G70" s="151"/>
      <c r="H70" s="163">
        <v>65</v>
      </c>
      <c r="I70" s="164" t="str">
        <f t="shared" ref="I70:I133" si="6">IF(H70&lt;$H$2+1,($I$2-($I$2-1)*(LOG(H70)/LOG($H$2))),"")</f>
        <v/>
      </c>
      <c r="J70" s="163" t="e">
        <f t="shared" si="5"/>
        <v>#NUM!</v>
      </c>
      <c r="K70" s="163" t="e">
        <f t="shared" ref="K70:K133" si="7">J70*$J$2</f>
        <v>#NUM!</v>
      </c>
      <c r="L70" s="163"/>
      <c r="M70" s="165">
        <f t="shared" ref="M70:M133" si="8">IF(I70&lt;&gt;"",K70+I70+L70,0)</f>
        <v>0</v>
      </c>
    </row>
    <row r="71" spans="1:13" x14ac:dyDescent="0.25">
      <c r="A71" s="188"/>
      <c r="G71" s="151"/>
      <c r="H71" s="163">
        <v>66</v>
      </c>
      <c r="I71" s="164" t="str">
        <f t="shared" si="6"/>
        <v/>
      </c>
      <c r="J71" s="163" t="e">
        <f t="shared" ref="J71:J134" si="9">INT(LOG($H$2,2))-ROUNDUP(LOG(H71,2),0)+IF(OR($H$2=1,$H$2=2,$H$2=4,$H$2=8,$H$2=16,$H$2=32,$H$2=64,$H$2=128,$H$2=256),0,1)</f>
        <v>#NUM!</v>
      </c>
      <c r="K71" s="163" t="e">
        <f t="shared" si="7"/>
        <v>#NUM!</v>
      </c>
      <c r="L71" s="163"/>
      <c r="M71" s="165">
        <f t="shared" si="8"/>
        <v>0</v>
      </c>
    </row>
    <row r="72" spans="1:13" x14ac:dyDescent="0.25">
      <c r="A72" s="188"/>
      <c r="G72" s="151"/>
      <c r="H72" s="163">
        <v>67</v>
      </c>
      <c r="I72" s="164" t="str">
        <f t="shared" si="6"/>
        <v/>
      </c>
      <c r="J72" s="163" t="e">
        <f t="shared" si="9"/>
        <v>#NUM!</v>
      </c>
      <c r="K72" s="163" t="e">
        <f t="shared" si="7"/>
        <v>#NUM!</v>
      </c>
      <c r="L72" s="163"/>
      <c r="M72" s="165">
        <f t="shared" si="8"/>
        <v>0</v>
      </c>
    </row>
    <row r="73" spans="1:13" x14ac:dyDescent="0.25">
      <c r="A73" s="188"/>
      <c r="G73" s="151"/>
      <c r="H73" s="163">
        <v>68</v>
      </c>
      <c r="I73" s="164" t="str">
        <f t="shared" si="6"/>
        <v/>
      </c>
      <c r="J73" s="163" t="e">
        <f t="shared" si="9"/>
        <v>#NUM!</v>
      </c>
      <c r="K73" s="163" t="e">
        <f t="shared" si="7"/>
        <v>#NUM!</v>
      </c>
      <c r="L73" s="163"/>
      <c r="M73" s="165">
        <f t="shared" si="8"/>
        <v>0</v>
      </c>
    </row>
    <row r="74" spans="1:13" x14ac:dyDescent="0.25">
      <c r="A74" s="188"/>
      <c r="G74" s="151"/>
      <c r="H74" s="163">
        <v>69</v>
      </c>
      <c r="I74" s="164" t="str">
        <f t="shared" si="6"/>
        <v/>
      </c>
      <c r="J74" s="163" t="e">
        <f t="shared" si="9"/>
        <v>#NUM!</v>
      </c>
      <c r="K74" s="163" t="e">
        <f t="shared" si="7"/>
        <v>#NUM!</v>
      </c>
      <c r="L74" s="163"/>
      <c r="M74" s="165">
        <f t="shared" si="8"/>
        <v>0</v>
      </c>
    </row>
    <row r="75" spans="1:13" x14ac:dyDescent="0.25">
      <c r="A75" s="188"/>
      <c r="G75" s="151"/>
      <c r="H75" s="163">
        <v>70</v>
      </c>
      <c r="I75" s="164" t="str">
        <f t="shared" si="6"/>
        <v/>
      </c>
      <c r="J75" s="163" t="e">
        <f t="shared" si="9"/>
        <v>#NUM!</v>
      </c>
      <c r="K75" s="163" t="e">
        <f t="shared" si="7"/>
        <v>#NUM!</v>
      </c>
      <c r="L75" s="163"/>
      <c r="M75" s="165">
        <f t="shared" si="8"/>
        <v>0</v>
      </c>
    </row>
    <row r="76" spans="1:13" x14ac:dyDescent="0.25">
      <c r="A76" s="188"/>
      <c r="G76" s="151"/>
      <c r="H76" s="163">
        <v>71</v>
      </c>
      <c r="I76" s="164" t="str">
        <f t="shared" si="6"/>
        <v/>
      </c>
      <c r="J76" s="163" t="e">
        <f t="shared" si="9"/>
        <v>#NUM!</v>
      </c>
      <c r="K76" s="163" t="e">
        <f t="shared" si="7"/>
        <v>#NUM!</v>
      </c>
      <c r="L76" s="163"/>
      <c r="M76" s="165">
        <f t="shared" si="8"/>
        <v>0</v>
      </c>
    </row>
    <row r="77" spans="1:13" x14ac:dyDescent="0.25">
      <c r="A77" s="188"/>
      <c r="G77" s="151"/>
      <c r="H77" s="163">
        <v>72</v>
      </c>
      <c r="I77" s="164" t="str">
        <f t="shared" si="6"/>
        <v/>
      </c>
      <c r="J77" s="163" t="e">
        <f t="shared" si="9"/>
        <v>#NUM!</v>
      </c>
      <c r="K77" s="163" t="e">
        <f t="shared" si="7"/>
        <v>#NUM!</v>
      </c>
      <c r="L77" s="163"/>
      <c r="M77" s="165">
        <f t="shared" si="8"/>
        <v>0</v>
      </c>
    </row>
    <row r="78" spans="1:13" x14ac:dyDescent="0.25">
      <c r="A78" s="188"/>
      <c r="G78" s="151"/>
      <c r="H78" s="163">
        <v>73</v>
      </c>
      <c r="I78" s="164" t="str">
        <f t="shared" si="6"/>
        <v/>
      </c>
      <c r="J78" s="163" t="e">
        <f t="shared" si="9"/>
        <v>#NUM!</v>
      </c>
      <c r="K78" s="163" t="e">
        <f t="shared" si="7"/>
        <v>#NUM!</v>
      </c>
      <c r="L78" s="163"/>
      <c r="M78" s="165">
        <f t="shared" si="8"/>
        <v>0</v>
      </c>
    </row>
    <row r="79" spans="1:13" x14ac:dyDescent="0.25">
      <c r="A79" s="188"/>
      <c r="G79" s="151"/>
      <c r="H79" s="163">
        <v>74</v>
      </c>
      <c r="I79" s="164" t="str">
        <f t="shared" si="6"/>
        <v/>
      </c>
      <c r="J79" s="163" t="e">
        <f t="shared" si="9"/>
        <v>#NUM!</v>
      </c>
      <c r="K79" s="163" t="e">
        <f t="shared" si="7"/>
        <v>#NUM!</v>
      </c>
      <c r="L79" s="163"/>
      <c r="M79" s="165">
        <f t="shared" si="8"/>
        <v>0</v>
      </c>
    </row>
    <row r="80" spans="1:13" x14ac:dyDescent="0.25">
      <c r="A80" s="188"/>
      <c r="G80" s="151"/>
      <c r="H80" s="163">
        <v>75</v>
      </c>
      <c r="I80" s="164" t="str">
        <f t="shared" si="6"/>
        <v/>
      </c>
      <c r="J80" s="163" t="e">
        <f t="shared" si="9"/>
        <v>#NUM!</v>
      </c>
      <c r="K80" s="163" t="e">
        <f t="shared" si="7"/>
        <v>#NUM!</v>
      </c>
      <c r="L80" s="163"/>
      <c r="M80" s="165">
        <f t="shared" si="8"/>
        <v>0</v>
      </c>
    </row>
    <row r="81" spans="1:13" x14ac:dyDescent="0.25">
      <c r="A81" s="188"/>
      <c r="G81" s="151"/>
      <c r="H81" s="163">
        <v>76</v>
      </c>
      <c r="I81" s="164" t="str">
        <f t="shared" si="6"/>
        <v/>
      </c>
      <c r="J81" s="163" t="e">
        <f t="shared" si="9"/>
        <v>#NUM!</v>
      </c>
      <c r="K81" s="163" t="e">
        <f t="shared" si="7"/>
        <v>#NUM!</v>
      </c>
      <c r="L81" s="163"/>
      <c r="M81" s="165">
        <f t="shared" si="8"/>
        <v>0</v>
      </c>
    </row>
    <row r="82" spans="1:13" x14ac:dyDescent="0.25">
      <c r="A82" s="188"/>
      <c r="G82" s="151"/>
      <c r="H82" s="163">
        <v>77</v>
      </c>
      <c r="I82" s="164" t="str">
        <f t="shared" si="6"/>
        <v/>
      </c>
      <c r="J82" s="163" t="e">
        <f t="shared" si="9"/>
        <v>#NUM!</v>
      </c>
      <c r="K82" s="163" t="e">
        <f t="shared" si="7"/>
        <v>#NUM!</v>
      </c>
      <c r="L82" s="163"/>
      <c r="M82" s="165">
        <f t="shared" si="8"/>
        <v>0</v>
      </c>
    </row>
    <row r="83" spans="1:13" x14ac:dyDescent="0.25">
      <c r="A83" s="188"/>
      <c r="G83" s="151"/>
      <c r="H83" s="163">
        <v>78</v>
      </c>
      <c r="I83" s="164" t="str">
        <f t="shared" si="6"/>
        <v/>
      </c>
      <c r="J83" s="163" t="e">
        <f t="shared" si="9"/>
        <v>#NUM!</v>
      </c>
      <c r="K83" s="163" t="e">
        <f t="shared" si="7"/>
        <v>#NUM!</v>
      </c>
      <c r="L83" s="163"/>
      <c r="M83" s="165">
        <f t="shared" si="8"/>
        <v>0</v>
      </c>
    </row>
    <row r="84" spans="1:13" x14ac:dyDescent="0.25">
      <c r="A84" s="188"/>
      <c r="G84" s="151"/>
      <c r="H84" s="163">
        <v>79</v>
      </c>
      <c r="I84" s="164" t="str">
        <f t="shared" si="6"/>
        <v/>
      </c>
      <c r="J84" s="163" t="e">
        <f t="shared" si="9"/>
        <v>#NUM!</v>
      </c>
      <c r="K84" s="163" t="e">
        <f t="shared" si="7"/>
        <v>#NUM!</v>
      </c>
      <c r="L84" s="163"/>
      <c r="M84" s="165">
        <f t="shared" si="8"/>
        <v>0</v>
      </c>
    </row>
    <row r="85" spans="1:13" x14ac:dyDescent="0.25">
      <c r="A85" s="188"/>
      <c r="G85" s="151"/>
      <c r="H85" s="163">
        <v>80</v>
      </c>
      <c r="I85" s="164" t="str">
        <f t="shared" si="6"/>
        <v/>
      </c>
      <c r="J85" s="163" t="e">
        <f t="shared" si="9"/>
        <v>#NUM!</v>
      </c>
      <c r="K85" s="163" t="e">
        <f t="shared" si="7"/>
        <v>#NUM!</v>
      </c>
      <c r="L85" s="163"/>
      <c r="M85" s="165">
        <f t="shared" si="8"/>
        <v>0</v>
      </c>
    </row>
    <row r="86" spans="1:13" x14ac:dyDescent="0.25">
      <c r="A86" s="188"/>
      <c r="G86" s="151"/>
      <c r="H86" s="163">
        <v>81</v>
      </c>
      <c r="I86" s="164" t="str">
        <f t="shared" si="6"/>
        <v/>
      </c>
      <c r="J86" s="163" t="e">
        <f t="shared" si="9"/>
        <v>#NUM!</v>
      </c>
      <c r="K86" s="163" t="e">
        <f t="shared" si="7"/>
        <v>#NUM!</v>
      </c>
      <c r="L86" s="163"/>
      <c r="M86" s="165">
        <f t="shared" si="8"/>
        <v>0</v>
      </c>
    </row>
    <row r="87" spans="1:13" x14ac:dyDescent="0.25">
      <c r="A87" s="188"/>
      <c r="G87" s="151"/>
      <c r="H87" s="163">
        <v>82</v>
      </c>
      <c r="I87" s="164" t="str">
        <f t="shared" si="6"/>
        <v/>
      </c>
      <c r="J87" s="163" t="e">
        <f t="shared" si="9"/>
        <v>#NUM!</v>
      </c>
      <c r="K87" s="163" t="e">
        <f t="shared" si="7"/>
        <v>#NUM!</v>
      </c>
      <c r="L87" s="163"/>
      <c r="M87" s="165">
        <f t="shared" si="8"/>
        <v>0</v>
      </c>
    </row>
    <row r="88" spans="1:13" x14ac:dyDescent="0.25">
      <c r="A88" s="188"/>
      <c r="G88" s="151"/>
      <c r="H88" s="163">
        <v>83</v>
      </c>
      <c r="I88" s="164" t="str">
        <f t="shared" si="6"/>
        <v/>
      </c>
      <c r="J88" s="163" t="e">
        <f t="shared" si="9"/>
        <v>#NUM!</v>
      </c>
      <c r="K88" s="163" t="e">
        <f t="shared" si="7"/>
        <v>#NUM!</v>
      </c>
      <c r="L88" s="163"/>
      <c r="M88" s="165">
        <f t="shared" si="8"/>
        <v>0</v>
      </c>
    </row>
    <row r="89" spans="1:13" x14ac:dyDescent="0.25">
      <c r="A89" s="188"/>
      <c r="G89" s="151"/>
      <c r="H89" s="163">
        <v>84</v>
      </c>
      <c r="I89" s="164" t="str">
        <f t="shared" si="6"/>
        <v/>
      </c>
      <c r="J89" s="163" t="e">
        <f t="shared" si="9"/>
        <v>#NUM!</v>
      </c>
      <c r="K89" s="163" t="e">
        <f t="shared" si="7"/>
        <v>#NUM!</v>
      </c>
      <c r="L89" s="163"/>
      <c r="M89" s="165">
        <f t="shared" si="8"/>
        <v>0</v>
      </c>
    </row>
    <row r="90" spans="1:13" x14ac:dyDescent="0.25">
      <c r="A90" s="188"/>
      <c r="G90" s="151"/>
      <c r="H90" s="163">
        <v>85</v>
      </c>
      <c r="I90" s="164" t="str">
        <f t="shared" si="6"/>
        <v/>
      </c>
      <c r="J90" s="163" t="e">
        <f t="shared" si="9"/>
        <v>#NUM!</v>
      </c>
      <c r="K90" s="163" t="e">
        <f t="shared" si="7"/>
        <v>#NUM!</v>
      </c>
      <c r="L90" s="163"/>
      <c r="M90" s="165">
        <f t="shared" si="8"/>
        <v>0</v>
      </c>
    </row>
    <row r="91" spans="1:13" x14ac:dyDescent="0.25">
      <c r="A91" s="188"/>
      <c r="G91" s="151"/>
      <c r="H91" s="163">
        <v>86</v>
      </c>
      <c r="I91" s="164" t="str">
        <f t="shared" si="6"/>
        <v/>
      </c>
      <c r="J91" s="163" t="e">
        <f t="shared" si="9"/>
        <v>#NUM!</v>
      </c>
      <c r="K91" s="163" t="e">
        <f t="shared" si="7"/>
        <v>#NUM!</v>
      </c>
      <c r="L91" s="163"/>
      <c r="M91" s="165">
        <f t="shared" si="8"/>
        <v>0</v>
      </c>
    </row>
    <row r="92" spans="1:13" x14ac:dyDescent="0.25">
      <c r="A92" s="188"/>
      <c r="G92" s="151"/>
      <c r="H92" s="163">
        <v>87</v>
      </c>
      <c r="I92" s="164" t="str">
        <f t="shared" si="6"/>
        <v/>
      </c>
      <c r="J92" s="163" t="e">
        <f t="shared" si="9"/>
        <v>#NUM!</v>
      </c>
      <c r="K92" s="163" t="e">
        <f t="shared" si="7"/>
        <v>#NUM!</v>
      </c>
      <c r="L92" s="163"/>
      <c r="M92" s="165">
        <f t="shared" si="8"/>
        <v>0</v>
      </c>
    </row>
    <row r="93" spans="1:13" x14ac:dyDescent="0.25">
      <c r="A93" s="188"/>
      <c r="G93" s="151"/>
      <c r="H93" s="163">
        <v>88</v>
      </c>
      <c r="I93" s="164" t="str">
        <f t="shared" si="6"/>
        <v/>
      </c>
      <c r="J93" s="163" t="e">
        <f t="shared" si="9"/>
        <v>#NUM!</v>
      </c>
      <c r="K93" s="163" t="e">
        <f t="shared" si="7"/>
        <v>#NUM!</v>
      </c>
      <c r="L93" s="163"/>
      <c r="M93" s="165">
        <f t="shared" si="8"/>
        <v>0</v>
      </c>
    </row>
    <row r="94" spans="1:13" x14ac:dyDescent="0.25">
      <c r="A94" s="188"/>
      <c r="G94" s="151"/>
      <c r="H94" s="163">
        <v>89</v>
      </c>
      <c r="I94" s="164" t="str">
        <f t="shared" si="6"/>
        <v/>
      </c>
      <c r="J94" s="163" t="e">
        <f t="shared" si="9"/>
        <v>#NUM!</v>
      </c>
      <c r="K94" s="163" t="e">
        <f t="shared" si="7"/>
        <v>#NUM!</v>
      </c>
      <c r="L94" s="163"/>
      <c r="M94" s="165">
        <f t="shared" si="8"/>
        <v>0</v>
      </c>
    </row>
    <row r="95" spans="1:13" x14ac:dyDescent="0.25">
      <c r="A95" s="188"/>
      <c r="G95" s="151"/>
      <c r="H95" s="163">
        <v>90</v>
      </c>
      <c r="I95" s="164" t="str">
        <f t="shared" si="6"/>
        <v/>
      </c>
      <c r="J95" s="163" t="e">
        <f t="shared" si="9"/>
        <v>#NUM!</v>
      </c>
      <c r="K95" s="163" t="e">
        <f t="shared" si="7"/>
        <v>#NUM!</v>
      </c>
      <c r="L95" s="163"/>
      <c r="M95" s="165">
        <f t="shared" si="8"/>
        <v>0</v>
      </c>
    </row>
    <row r="96" spans="1:13" x14ac:dyDescent="0.25">
      <c r="A96" s="188"/>
      <c r="G96" s="151"/>
      <c r="H96" s="163">
        <v>91</v>
      </c>
      <c r="I96" s="164" t="str">
        <f t="shared" si="6"/>
        <v/>
      </c>
      <c r="J96" s="163" t="e">
        <f t="shared" si="9"/>
        <v>#NUM!</v>
      </c>
      <c r="K96" s="163" t="e">
        <f t="shared" si="7"/>
        <v>#NUM!</v>
      </c>
      <c r="L96" s="163"/>
      <c r="M96" s="165">
        <f t="shared" si="8"/>
        <v>0</v>
      </c>
    </row>
    <row r="97" spans="1:13" x14ac:dyDescent="0.25">
      <c r="A97" s="188"/>
      <c r="G97" s="151"/>
      <c r="H97" s="163">
        <v>92</v>
      </c>
      <c r="I97" s="164" t="str">
        <f t="shared" si="6"/>
        <v/>
      </c>
      <c r="J97" s="163" t="e">
        <f t="shared" si="9"/>
        <v>#NUM!</v>
      </c>
      <c r="K97" s="163" t="e">
        <f t="shared" si="7"/>
        <v>#NUM!</v>
      </c>
      <c r="L97" s="163"/>
      <c r="M97" s="165">
        <f t="shared" si="8"/>
        <v>0</v>
      </c>
    </row>
    <row r="98" spans="1:13" x14ac:dyDescent="0.25">
      <c r="A98" s="188"/>
      <c r="G98" s="151"/>
      <c r="H98" s="163">
        <v>93</v>
      </c>
      <c r="I98" s="164" t="str">
        <f t="shared" si="6"/>
        <v/>
      </c>
      <c r="J98" s="163" t="e">
        <f t="shared" si="9"/>
        <v>#NUM!</v>
      </c>
      <c r="K98" s="163" t="e">
        <f t="shared" si="7"/>
        <v>#NUM!</v>
      </c>
      <c r="L98" s="163"/>
      <c r="M98" s="165">
        <f t="shared" si="8"/>
        <v>0</v>
      </c>
    </row>
    <row r="99" spans="1:13" x14ac:dyDescent="0.25">
      <c r="A99" s="188"/>
      <c r="G99" s="151"/>
      <c r="H99" s="163">
        <v>94</v>
      </c>
      <c r="I99" s="164" t="str">
        <f t="shared" si="6"/>
        <v/>
      </c>
      <c r="J99" s="163" t="e">
        <f t="shared" si="9"/>
        <v>#NUM!</v>
      </c>
      <c r="K99" s="163" t="e">
        <f t="shared" si="7"/>
        <v>#NUM!</v>
      </c>
      <c r="L99" s="163"/>
      <c r="M99" s="165">
        <f t="shared" si="8"/>
        <v>0</v>
      </c>
    </row>
    <row r="100" spans="1:13" x14ac:dyDescent="0.25">
      <c r="A100" s="188"/>
      <c r="G100" s="151"/>
      <c r="H100" s="163">
        <v>95</v>
      </c>
      <c r="I100" s="164" t="str">
        <f t="shared" si="6"/>
        <v/>
      </c>
      <c r="J100" s="163" t="e">
        <f t="shared" si="9"/>
        <v>#NUM!</v>
      </c>
      <c r="K100" s="163" t="e">
        <f t="shared" si="7"/>
        <v>#NUM!</v>
      </c>
      <c r="L100" s="163"/>
      <c r="M100" s="165">
        <f t="shared" si="8"/>
        <v>0</v>
      </c>
    </row>
    <row r="101" spans="1:13" x14ac:dyDescent="0.25">
      <c r="A101" s="180"/>
      <c r="G101" s="151"/>
      <c r="H101" s="163">
        <v>96</v>
      </c>
      <c r="I101" s="164" t="str">
        <f t="shared" si="6"/>
        <v/>
      </c>
      <c r="J101" s="163" t="e">
        <f t="shared" si="9"/>
        <v>#NUM!</v>
      </c>
      <c r="K101" s="163" t="e">
        <f t="shared" si="7"/>
        <v>#NUM!</v>
      </c>
      <c r="L101" s="163"/>
      <c r="M101" s="165">
        <f t="shared" si="8"/>
        <v>0</v>
      </c>
    </row>
    <row r="102" spans="1:13" x14ac:dyDescent="0.25">
      <c r="A102" s="180"/>
      <c r="G102" s="151"/>
      <c r="H102" s="163">
        <v>97</v>
      </c>
      <c r="I102" s="164" t="str">
        <f t="shared" si="6"/>
        <v/>
      </c>
      <c r="J102" s="163" t="e">
        <f t="shared" si="9"/>
        <v>#NUM!</v>
      </c>
      <c r="K102" s="163" t="e">
        <f t="shared" si="7"/>
        <v>#NUM!</v>
      </c>
      <c r="L102" s="163"/>
      <c r="M102" s="165">
        <f t="shared" si="8"/>
        <v>0</v>
      </c>
    </row>
    <row r="103" spans="1:13" x14ac:dyDescent="0.25">
      <c r="A103" s="180"/>
      <c r="G103" s="151"/>
      <c r="H103" s="163">
        <v>98</v>
      </c>
      <c r="I103" s="164" t="str">
        <f t="shared" si="6"/>
        <v/>
      </c>
      <c r="J103" s="163" t="e">
        <f t="shared" si="9"/>
        <v>#NUM!</v>
      </c>
      <c r="K103" s="163" t="e">
        <f t="shared" si="7"/>
        <v>#NUM!</v>
      </c>
      <c r="L103" s="163"/>
      <c r="M103" s="165">
        <f t="shared" si="8"/>
        <v>0</v>
      </c>
    </row>
    <row r="104" spans="1:13" x14ac:dyDescent="0.25">
      <c r="A104" s="180"/>
      <c r="G104" s="151"/>
      <c r="H104" s="163">
        <v>99</v>
      </c>
      <c r="I104" s="164" t="str">
        <f t="shared" si="6"/>
        <v/>
      </c>
      <c r="J104" s="163" t="e">
        <f t="shared" si="9"/>
        <v>#NUM!</v>
      </c>
      <c r="K104" s="163" t="e">
        <f t="shared" si="7"/>
        <v>#NUM!</v>
      </c>
      <c r="L104" s="163"/>
      <c r="M104" s="165">
        <f t="shared" si="8"/>
        <v>0</v>
      </c>
    </row>
    <row r="105" spans="1:13" x14ac:dyDescent="0.25">
      <c r="A105" s="180"/>
      <c r="G105" s="151"/>
      <c r="H105" s="163">
        <v>100</v>
      </c>
      <c r="I105" s="164" t="str">
        <f t="shared" si="6"/>
        <v/>
      </c>
      <c r="J105" s="163" t="e">
        <f t="shared" si="9"/>
        <v>#NUM!</v>
      </c>
      <c r="K105" s="163" t="e">
        <f t="shared" si="7"/>
        <v>#NUM!</v>
      </c>
      <c r="L105" s="163"/>
      <c r="M105" s="165">
        <f t="shared" si="8"/>
        <v>0</v>
      </c>
    </row>
    <row r="106" spans="1:13" x14ac:dyDescent="0.25">
      <c r="A106" s="180"/>
      <c r="G106" s="151"/>
      <c r="H106" s="163">
        <v>101</v>
      </c>
      <c r="I106" s="164" t="str">
        <f t="shared" si="6"/>
        <v/>
      </c>
      <c r="J106" s="163" t="e">
        <f t="shared" si="9"/>
        <v>#NUM!</v>
      </c>
      <c r="K106" s="163" t="e">
        <f t="shared" si="7"/>
        <v>#NUM!</v>
      </c>
      <c r="L106" s="163"/>
      <c r="M106" s="165">
        <f t="shared" si="8"/>
        <v>0</v>
      </c>
    </row>
    <row r="107" spans="1:13" x14ac:dyDescent="0.25">
      <c r="A107" s="180"/>
      <c r="G107" s="151"/>
      <c r="H107" s="163">
        <v>102</v>
      </c>
      <c r="I107" s="164" t="str">
        <f t="shared" si="6"/>
        <v/>
      </c>
      <c r="J107" s="163" t="e">
        <f t="shared" si="9"/>
        <v>#NUM!</v>
      </c>
      <c r="K107" s="163" t="e">
        <f t="shared" si="7"/>
        <v>#NUM!</v>
      </c>
      <c r="L107" s="163"/>
      <c r="M107" s="165">
        <f t="shared" si="8"/>
        <v>0</v>
      </c>
    </row>
    <row r="108" spans="1:13" x14ac:dyDescent="0.25">
      <c r="A108" s="180"/>
      <c r="G108" s="151"/>
      <c r="H108" s="163">
        <v>103</v>
      </c>
      <c r="I108" s="164" t="str">
        <f t="shared" si="6"/>
        <v/>
      </c>
      <c r="J108" s="163" t="e">
        <f t="shared" si="9"/>
        <v>#NUM!</v>
      </c>
      <c r="K108" s="163" t="e">
        <f t="shared" si="7"/>
        <v>#NUM!</v>
      </c>
      <c r="L108" s="163"/>
      <c r="M108" s="165">
        <f t="shared" si="8"/>
        <v>0</v>
      </c>
    </row>
    <row r="109" spans="1:13" x14ac:dyDescent="0.25">
      <c r="A109" s="180"/>
      <c r="G109" s="151"/>
      <c r="H109" s="163">
        <v>104</v>
      </c>
      <c r="I109" s="164" t="str">
        <f t="shared" si="6"/>
        <v/>
      </c>
      <c r="J109" s="163" t="e">
        <f t="shared" si="9"/>
        <v>#NUM!</v>
      </c>
      <c r="K109" s="163" t="e">
        <f t="shared" si="7"/>
        <v>#NUM!</v>
      </c>
      <c r="L109" s="163"/>
      <c r="M109" s="165">
        <f t="shared" si="8"/>
        <v>0</v>
      </c>
    </row>
    <row r="110" spans="1:13" x14ac:dyDescent="0.25">
      <c r="A110" s="180"/>
      <c r="G110" s="151"/>
      <c r="H110" s="163">
        <v>105</v>
      </c>
      <c r="I110" s="164" t="str">
        <f t="shared" si="6"/>
        <v/>
      </c>
      <c r="J110" s="163" t="e">
        <f t="shared" si="9"/>
        <v>#NUM!</v>
      </c>
      <c r="K110" s="163" t="e">
        <f t="shared" si="7"/>
        <v>#NUM!</v>
      </c>
      <c r="L110" s="163"/>
      <c r="M110" s="165">
        <f t="shared" si="8"/>
        <v>0</v>
      </c>
    </row>
    <row r="111" spans="1:13" x14ac:dyDescent="0.25">
      <c r="A111" s="180"/>
      <c r="G111" s="151"/>
      <c r="H111" s="163">
        <v>106</v>
      </c>
      <c r="I111" s="164" t="str">
        <f t="shared" si="6"/>
        <v/>
      </c>
      <c r="J111" s="163" t="e">
        <f t="shared" si="9"/>
        <v>#NUM!</v>
      </c>
      <c r="K111" s="163" t="e">
        <f t="shared" si="7"/>
        <v>#NUM!</v>
      </c>
      <c r="L111" s="163"/>
      <c r="M111" s="165">
        <f t="shared" si="8"/>
        <v>0</v>
      </c>
    </row>
    <row r="112" spans="1:13" x14ac:dyDescent="0.25">
      <c r="A112" s="180"/>
      <c r="G112" s="151"/>
      <c r="H112" s="163">
        <v>107</v>
      </c>
      <c r="I112" s="164" t="str">
        <f t="shared" si="6"/>
        <v/>
      </c>
      <c r="J112" s="163" t="e">
        <f t="shared" si="9"/>
        <v>#NUM!</v>
      </c>
      <c r="K112" s="163" t="e">
        <f t="shared" si="7"/>
        <v>#NUM!</v>
      </c>
      <c r="L112" s="163"/>
      <c r="M112" s="165">
        <f t="shared" si="8"/>
        <v>0</v>
      </c>
    </row>
    <row r="113" spans="1:13" x14ac:dyDescent="0.25">
      <c r="A113" s="180"/>
      <c r="G113" s="151"/>
      <c r="H113" s="163">
        <v>108</v>
      </c>
      <c r="I113" s="164" t="str">
        <f t="shared" si="6"/>
        <v/>
      </c>
      <c r="J113" s="163" t="e">
        <f t="shared" si="9"/>
        <v>#NUM!</v>
      </c>
      <c r="K113" s="163" t="e">
        <f t="shared" si="7"/>
        <v>#NUM!</v>
      </c>
      <c r="L113" s="163"/>
      <c r="M113" s="165">
        <f t="shared" si="8"/>
        <v>0</v>
      </c>
    </row>
    <row r="114" spans="1:13" x14ac:dyDescent="0.25">
      <c r="A114" s="180"/>
      <c r="G114" s="151"/>
      <c r="H114" s="163">
        <v>109</v>
      </c>
      <c r="I114" s="164" t="str">
        <f t="shared" si="6"/>
        <v/>
      </c>
      <c r="J114" s="163" t="e">
        <f t="shared" si="9"/>
        <v>#NUM!</v>
      </c>
      <c r="K114" s="163" t="e">
        <f t="shared" si="7"/>
        <v>#NUM!</v>
      </c>
      <c r="L114" s="163"/>
      <c r="M114" s="165">
        <f t="shared" si="8"/>
        <v>0</v>
      </c>
    </row>
    <row r="115" spans="1:13" x14ac:dyDescent="0.25">
      <c r="A115" s="180"/>
      <c r="G115" s="151"/>
      <c r="H115" s="163">
        <v>110</v>
      </c>
      <c r="I115" s="164" t="str">
        <f t="shared" si="6"/>
        <v/>
      </c>
      <c r="J115" s="163" t="e">
        <f t="shared" si="9"/>
        <v>#NUM!</v>
      </c>
      <c r="K115" s="163" t="e">
        <f t="shared" si="7"/>
        <v>#NUM!</v>
      </c>
      <c r="L115" s="163"/>
      <c r="M115" s="165">
        <f t="shared" si="8"/>
        <v>0</v>
      </c>
    </row>
    <row r="116" spans="1:13" x14ac:dyDescent="0.25">
      <c r="A116" s="180"/>
      <c r="G116" s="151"/>
      <c r="H116" s="163">
        <v>111</v>
      </c>
      <c r="I116" s="164" t="str">
        <f t="shared" si="6"/>
        <v/>
      </c>
      <c r="J116" s="163" t="e">
        <f t="shared" si="9"/>
        <v>#NUM!</v>
      </c>
      <c r="K116" s="163" t="e">
        <f t="shared" si="7"/>
        <v>#NUM!</v>
      </c>
      <c r="L116" s="163"/>
      <c r="M116" s="165">
        <f t="shared" si="8"/>
        <v>0</v>
      </c>
    </row>
    <row r="117" spans="1:13" x14ac:dyDescent="0.25">
      <c r="A117" s="180"/>
      <c r="G117" s="151"/>
      <c r="H117" s="163">
        <v>112</v>
      </c>
      <c r="I117" s="164" t="str">
        <f t="shared" si="6"/>
        <v/>
      </c>
      <c r="J117" s="163" t="e">
        <f t="shared" si="9"/>
        <v>#NUM!</v>
      </c>
      <c r="K117" s="163" t="e">
        <f t="shared" si="7"/>
        <v>#NUM!</v>
      </c>
      <c r="L117" s="163"/>
      <c r="M117" s="165">
        <f t="shared" si="8"/>
        <v>0</v>
      </c>
    </row>
    <row r="118" spans="1:13" x14ac:dyDescent="0.25">
      <c r="A118" s="180"/>
      <c r="G118" s="151"/>
      <c r="H118" s="163">
        <v>113</v>
      </c>
      <c r="I118" s="164" t="str">
        <f t="shared" si="6"/>
        <v/>
      </c>
      <c r="J118" s="163" t="e">
        <f t="shared" si="9"/>
        <v>#NUM!</v>
      </c>
      <c r="K118" s="163" t="e">
        <f t="shared" si="7"/>
        <v>#NUM!</v>
      </c>
      <c r="L118" s="163"/>
      <c r="M118" s="165">
        <f t="shared" si="8"/>
        <v>0</v>
      </c>
    </row>
    <row r="119" spans="1:13" x14ac:dyDescent="0.25">
      <c r="A119" s="180"/>
      <c r="G119" s="151"/>
      <c r="H119" s="163">
        <v>114</v>
      </c>
      <c r="I119" s="164" t="str">
        <f t="shared" si="6"/>
        <v/>
      </c>
      <c r="J119" s="163" t="e">
        <f t="shared" si="9"/>
        <v>#NUM!</v>
      </c>
      <c r="K119" s="163" t="e">
        <f t="shared" si="7"/>
        <v>#NUM!</v>
      </c>
      <c r="L119" s="163"/>
      <c r="M119" s="165">
        <f t="shared" si="8"/>
        <v>0</v>
      </c>
    </row>
    <row r="120" spans="1:13" x14ac:dyDescent="0.25">
      <c r="A120" s="180"/>
      <c r="G120" s="151"/>
      <c r="H120" s="163">
        <v>115</v>
      </c>
      <c r="I120" s="164" t="str">
        <f t="shared" si="6"/>
        <v/>
      </c>
      <c r="J120" s="163" t="e">
        <f t="shared" si="9"/>
        <v>#NUM!</v>
      </c>
      <c r="K120" s="163" t="e">
        <f t="shared" si="7"/>
        <v>#NUM!</v>
      </c>
      <c r="L120" s="163"/>
      <c r="M120" s="165">
        <f t="shared" si="8"/>
        <v>0</v>
      </c>
    </row>
    <row r="121" spans="1:13" x14ac:dyDescent="0.25">
      <c r="A121" s="180"/>
      <c r="G121" s="151"/>
      <c r="H121" s="163">
        <v>116</v>
      </c>
      <c r="I121" s="164" t="str">
        <f t="shared" si="6"/>
        <v/>
      </c>
      <c r="J121" s="163" t="e">
        <f t="shared" si="9"/>
        <v>#NUM!</v>
      </c>
      <c r="K121" s="163" t="e">
        <f t="shared" si="7"/>
        <v>#NUM!</v>
      </c>
      <c r="L121" s="163"/>
      <c r="M121" s="165">
        <f t="shared" si="8"/>
        <v>0</v>
      </c>
    </row>
    <row r="122" spans="1:13" x14ac:dyDescent="0.25">
      <c r="A122" s="180"/>
      <c r="G122" s="151"/>
      <c r="H122" s="163">
        <v>117</v>
      </c>
      <c r="I122" s="164" t="str">
        <f t="shared" si="6"/>
        <v/>
      </c>
      <c r="J122" s="163" t="e">
        <f t="shared" si="9"/>
        <v>#NUM!</v>
      </c>
      <c r="K122" s="163" t="e">
        <f t="shared" si="7"/>
        <v>#NUM!</v>
      </c>
      <c r="L122" s="163"/>
      <c r="M122" s="165">
        <f t="shared" si="8"/>
        <v>0</v>
      </c>
    </row>
    <row r="123" spans="1:13" x14ac:dyDescent="0.25">
      <c r="A123" s="180"/>
      <c r="G123" s="151"/>
      <c r="H123" s="163">
        <v>118</v>
      </c>
      <c r="I123" s="164" t="str">
        <f t="shared" si="6"/>
        <v/>
      </c>
      <c r="J123" s="163" t="e">
        <f t="shared" si="9"/>
        <v>#NUM!</v>
      </c>
      <c r="K123" s="163" t="e">
        <f t="shared" si="7"/>
        <v>#NUM!</v>
      </c>
      <c r="L123" s="163"/>
      <c r="M123" s="165">
        <f t="shared" si="8"/>
        <v>0</v>
      </c>
    </row>
    <row r="124" spans="1:13" x14ac:dyDescent="0.25">
      <c r="A124" s="180"/>
      <c r="G124" s="151"/>
      <c r="H124" s="163">
        <v>119</v>
      </c>
      <c r="I124" s="164" t="str">
        <f t="shared" si="6"/>
        <v/>
      </c>
      <c r="J124" s="163" t="e">
        <f t="shared" si="9"/>
        <v>#NUM!</v>
      </c>
      <c r="K124" s="163" t="e">
        <f t="shared" si="7"/>
        <v>#NUM!</v>
      </c>
      <c r="L124" s="163"/>
      <c r="M124" s="165">
        <f t="shared" si="8"/>
        <v>0</v>
      </c>
    </row>
    <row r="125" spans="1:13" x14ac:dyDescent="0.25">
      <c r="A125" s="180"/>
      <c r="G125" s="151"/>
      <c r="H125" s="163">
        <v>120</v>
      </c>
      <c r="I125" s="164" t="str">
        <f t="shared" si="6"/>
        <v/>
      </c>
      <c r="J125" s="163" t="e">
        <f t="shared" si="9"/>
        <v>#NUM!</v>
      </c>
      <c r="K125" s="163" t="e">
        <f t="shared" si="7"/>
        <v>#NUM!</v>
      </c>
      <c r="L125" s="163"/>
      <c r="M125" s="165">
        <f t="shared" si="8"/>
        <v>0</v>
      </c>
    </row>
    <row r="126" spans="1:13" x14ac:dyDescent="0.25">
      <c r="A126" s="180"/>
      <c r="G126" s="151"/>
      <c r="H126" s="163">
        <v>121</v>
      </c>
      <c r="I126" s="164" t="str">
        <f t="shared" si="6"/>
        <v/>
      </c>
      <c r="J126" s="163" t="e">
        <f t="shared" si="9"/>
        <v>#NUM!</v>
      </c>
      <c r="K126" s="163" t="e">
        <f t="shared" si="7"/>
        <v>#NUM!</v>
      </c>
      <c r="L126" s="163"/>
      <c r="M126" s="165">
        <f t="shared" si="8"/>
        <v>0</v>
      </c>
    </row>
    <row r="127" spans="1:13" x14ac:dyDescent="0.25">
      <c r="A127" s="180"/>
      <c r="G127" s="151"/>
      <c r="H127" s="163">
        <v>122</v>
      </c>
      <c r="I127" s="164" t="str">
        <f t="shared" si="6"/>
        <v/>
      </c>
      <c r="J127" s="163" t="e">
        <f t="shared" si="9"/>
        <v>#NUM!</v>
      </c>
      <c r="K127" s="163" t="e">
        <f t="shared" si="7"/>
        <v>#NUM!</v>
      </c>
      <c r="L127" s="163"/>
      <c r="M127" s="165">
        <f t="shared" si="8"/>
        <v>0</v>
      </c>
    </row>
    <row r="128" spans="1:13" x14ac:dyDescent="0.25">
      <c r="A128" s="180"/>
      <c r="G128" s="151"/>
      <c r="H128" s="163">
        <v>123</v>
      </c>
      <c r="I128" s="164" t="str">
        <f t="shared" si="6"/>
        <v/>
      </c>
      <c r="J128" s="163" t="e">
        <f t="shared" si="9"/>
        <v>#NUM!</v>
      </c>
      <c r="K128" s="163" t="e">
        <f t="shared" si="7"/>
        <v>#NUM!</v>
      </c>
      <c r="L128" s="163"/>
      <c r="M128" s="165">
        <f t="shared" si="8"/>
        <v>0</v>
      </c>
    </row>
    <row r="129" spans="1:13" x14ac:dyDescent="0.25">
      <c r="A129" s="180"/>
      <c r="G129" s="151"/>
      <c r="H129" s="163">
        <v>124</v>
      </c>
      <c r="I129" s="164" t="str">
        <f t="shared" si="6"/>
        <v/>
      </c>
      <c r="J129" s="163" t="e">
        <f t="shared" si="9"/>
        <v>#NUM!</v>
      </c>
      <c r="K129" s="163" t="e">
        <f t="shared" si="7"/>
        <v>#NUM!</v>
      </c>
      <c r="L129" s="163"/>
      <c r="M129" s="165">
        <f t="shared" si="8"/>
        <v>0</v>
      </c>
    </row>
    <row r="130" spans="1:13" x14ac:dyDescent="0.25">
      <c r="A130" s="180"/>
      <c r="G130" s="151"/>
      <c r="H130" s="163">
        <v>125</v>
      </c>
      <c r="I130" s="164" t="str">
        <f t="shared" si="6"/>
        <v/>
      </c>
      <c r="J130" s="163" t="e">
        <f t="shared" si="9"/>
        <v>#NUM!</v>
      </c>
      <c r="K130" s="163" t="e">
        <f t="shared" si="7"/>
        <v>#NUM!</v>
      </c>
      <c r="L130" s="163"/>
      <c r="M130" s="165">
        <f t="shared" si="8"/>
        <v>0</v>
      </c>
    </row>
    <row r="131" spans="1:13" x14ac:dyDescent="0.25">
      <c r="A131" s="180"/>
      <c r="G131" s="151"/>
      <c r="H131" s="163">
        <v>126</v>
      </c>
      <c r="I131" s="164" t="str">
        <f t="shared" si="6"/>
        <v/>
      </c>
      <c r="J131" s="163" t="e">
        <f t="shared" si="9"/>
        <v>#NUM!</v>
      </c>
      <c r="K131" s="163" t="e">
        <f t="shared" si="7"/>
        <v>#NUM!</v>
      </c>
      <c r="L131" s="163"/>
      <c r="M131" s="165">
        <f t="shared" si="8"/>
        <v>0</v>
      </c>
    </row>
    <row r="132" spans="1:13" x14ac:dyDescent="0.25">
      <c r="A132" s="180"/>
      <c r="G132" s="151"/>
      <c r="H132" s="163">
        <v>127</v>
      </c>
      <c r="I132" s="164" t="str">
        <f t="shared" si="6"/>
        <v/>
      </c>
      <c r="J132" s="163" t="e">
        <f t="shared" si="9"/>
        <v>#NUM!</v>
      </c>
      <c r="K132" s="163" t="e">
        <f t="shared" si="7"/>
        <v>#NUM!</v>
      </c>
      <c r="L132" s="163"/>
      <c r="M132" s="165">
        <f t="shared" si="8"/>
        <v>0</v>
      </c>
    </row>
    <row r="133" spans="1:13" x14ac:dyDescent="0.25">
      <c r="A133" s="180"/>
      <c r="G133" s="151"/>
      <c r="H133" s="163">
        <v>128</v>
      </c>
      <c r="I133" s="164" t="str">
        <f t="shared" si="6"/>
        <v/>
      </c>
      <c r="J133" s="163" t="e">
        <f t="shared" si="9"/>
        <v>#NUM!</v>
      </c>
      <c r="K133" s="163" t="e">
        <f t="shared" si="7"/>
        <v>#NUM!</v>
      </c>
      <c r="L133" s="163"/>
      <c r="M133" s="165">
        <f t="shared" si="8"/>
        <v>0</v>
      </c>
    </row>
    <row r="134" spans="1:13" x14ac:dyDescent="0.25">
      <c r="A134" s="180"/>
      <c r="G134" s="151"/>
      <c r="H134" s="163">
        <v>129</v>
      </c>
      <c r="I134" s="164" t="str">
        <f t="shared" ref="I134:I197" si="10">IF(H134&lt;$H$2+1,($I$2-($I$2-1)*(LOG(H134)/LOG($H$2))),"")</f>
        <v/>
      </c>
      <c r="J134" s="163" t="e">
        <f t="shared" si="9"/>
        <v>#NUM!</v>
      </c>
      <c r="K134" s="163" t="e">
        <f t="shared" ref="K134:K197" si="11">J134*$J$2</f>
        <v>#NUM!</v>
      </c>
      <c r="L134" s="163"/>
      <c r="M134" s="165">
        <f t="shared" ref="M134:M197" si="12">IF(I134&lt;&gt;"",K134+I134+L134,0)</f>
        <v>0</v>
      </c>
    </row>
    <row r="135" spans="1:13" x14ac:dyDescent="0.25">
      <c r="A135" s="180"/>
      <c r="G135" s="151"/>
      <c r="H135" s="163">
        <v>130</v>
      </c>
      <c r="I135" s="164" t="str">
        <f t="shared" si="10"/>
        <v/>
      </c>
      <c r="J135" s="163" t="e">
        <f t="shared" ref="J135:J198" si="13">INT(LOG($H$2,2))-ROUNDUP(LOG(H135,2),0)+IF(OR($H$2=1,$H$2=2,$H$2=4,$H$2=8,$H$2=16,$H$2=32,$H$2=64,$H$2=128,$H$2=256),0,1)</f>
        <v>#NUM!</v>
      </c>
      <c r="K135" s="163" t="e">
        <f t="shared" si="11"/>
        <v>#NUM!</v>
      </c>
      <c r="L135" s="163"/>
      <c r="M135" s="165">
        <f t="shared" si="12"/>
        <v>0</v>
      </c>
    </row>
    <row r="136" spans="1:13" x14ac:dyDescent="0.25">
      <c r="A136" s="180"/>
      <c r="G136" s="151"/>
      <c r="H136" s="163">
        <v>131</v>
      </c>
      <c r="I136" s="164" t="str">
        <f t="shared" si="10"/>
        <v/>
      </c>
      <c r="J136" s="163" t="e">
        <f t="shared" si="13"/>
        <v>#NUM!</v>
      </c>
      <c r="K136" s="163" t="e">
        <f t="shared" si="11"/>
        <v>#NUM!</v>
      </c>
      <c r="L136" s="163"/>
      <c r="M136" s="165">
        <f t="shared" si="12"/>
        <v>0</v>
      </c>
    </row>
    <row r="137" spans="1:13" x14ac:dyDescent="0.25">
      <c r="A137" s="180"/>
      <c r="G137" s="151"/>
      <c r="H137" s="163">
        <v>132</v>
      </c>
      <c r="I137" s="164" t="str">
        <f t="shared" si="10"/>
        <v/>
      </c>
      <c r="J137" s="163" t="e">
        <f t="shared" si="13"/>
        <v>#NUM!</v>
      </c>
      <c r="K137" s="163" t="e">
        <f t="shared" si="11"/>
        <v>#NUM!</v>
      </c>
      <c r="L137" s="163"/>
      <c r="M137" s="165">
        <f t="shared" si="12"/>
        <v>0</v>
      </c>
    </row>
    <row r="138" spans="1:13" x14ac:dyDescent="0.25">
      <c r="A138" s="180"/>
      <c r="G138" s="151"/>
      <c r="H138" s="163">
        <v>133</v>
      </c>
      <c r="I138" s="164" t="str">
        <f t="shared" si="10"/>
        <v/>
      </c>
      <c r="J138" s="163" t="e">
        <f t="shared" si="13"/>
        <v>#NUM!</v>
      </c>
      <c r="K138" s="163" t="e">
        <f t="shared" si="11"/>
        <v>#NUM!</v>
      </c>
      <c r="L138" s="163"/>
      <c r="M138" s="165">
        <f t="shared" si="12"/>
        <v>0</v>
      </c>
    </row>
    <row r="139" spans="1:13" x14ac:dyDescent="0.25">
      <c r="A139" s="180"/>
      <c r="G139" s="151"/>
      <c r="H139" s="163">
        <v>134</v>
      </c>
      <c r="I139" s="164" t="str">
        <f t="shared" si="10"/>
        <v/>
      </c>
      <c r="J139" s="163" t="e">
        <f t="shared" si="13"/>
        <v>#NUM!</v>
      </c>
      <c r="K139" s="163" t="e">
        <f t="shared" si="11"/>
        <v>#NUM!</v>
      </c>
      <c r="L139" s="163"/>
      <c r="M139" s="165">
        <f t="shared" si="12"/>
        <v>0</v>
      </c>
    </row>
    <row r="140" spans="1:13" x14ac:dyDescent="0.25">
      <c r="A140" s="180"/>
      <c r="G140" s="151"/>
      <c r="H140" s="163">
        <v>135</v>
      </c>
      <c r="I140" s="164" t="str">
        <f t="shared" si="10"/>
        <v/>
      </c>
      <c r="J140" s="163" t="e">
        <f t="shared" si="13"/>
        <v>#NUM!</v>
      </c>
      <c r="K140" s="163" t="e">
        <f t="shared" si="11"/>
        <v>#NUM!</v>
      </c>
      <c r="L140" s="163"/>
      <c r="M140" s="165">
        <f t="shared" si="12"/>
        <v>0</v>
      </c>
    </row>
    <row r="141" spans="1:13" x14ac:dyDescent="0.25">
      <c r="A141" s="180"/>
      <c r="G141" s="151"/>
      <c r="H141" s="163">
        <v>136</v>
      </c>
      <c r="I141" s="164" t="str">
        <f t="shared" si="10"/>
        <v/>
      </c>
      <c r="J141" s="163" t="e">
        <f t="shared" si="13"/>
        <v>#NUM!</v>
      </c>
      <c r="K141" s="163" t="e">
        <f t="shared" si="11"/>
        <v>#NUM!</v>
      </c>
      <c r="L141" s="163"/>
      <c r="M141" s="165">
        <f t="shared" si="12"/>
        <v>0</v>
      </c>
    </row>
    <row r="142" spans="1:13" x14ac:dyDescent="0.25">
      <c r="A142" s="180"/>
      <c r="G142" s="151"/>
      <c r="H142" s="163">
        <v>137</v>
      </c>
      <c r="I142" s="164" t="str">
        <f t="shared" si="10"/>
        <v/>
      </c>
      <c r="J142" s="163" t="e">
        <f t="shared" si="13"/>
        <v>#NUM!</v>
      </c>
      <c r="K142" s="163" t="e">
        <f t="shared" si="11"/>
        <v>#NUM!</v>
      </c>
      <c r="L142" s="163"/>
      <c r="M142" s="165">
        <f t="shared" si="12"/>
        <v>0</v>
      </c>
    </row>
    <row r="143" spans="1:13" x14ac:dyDescent="0.25">
      <c r="A143" s="180"/>
      <c r="G143" s="151"/>
      <c r="H143" s="163">
        <v>138</v>
      </c>
      <c r="I143" s="164" t="str">
        <f t="shared" si="10"/>
        <v/>
      </c>
      <c r="J143" s="163" t="e">
        <f t="shared" si="13"/>
        <v>#NUM!</v>
      </c>
      <c r="K143" s="163" t="e">
        <f t="shared" si="11"/>
        <v>#NUM!</v>
      </c>
      <c r="L143" s="163"/>
      <c r="M143" s="165">
        <f t="shared" si="12"/>
        <v>0</v>
      </c>
    </row>
    <row r="144" spans="1:13" x14ac:dyDescent="0.25">
      <c r="A144" s="180"/>
      <c r="G144" s="151"/>
      <c r="H144" s="163">
        <v>139</v>
      </c>
      <c r="I144" s="164" t="str">
        <f t="shared" si="10"/>
        <v/>
      </c>
      <c r="J144" s="163" t="e">
        <f t="shared" si="13"/>
        <v>#NUM!</v>
      </c>
      <c r="K144" s="163" t="e">
        <f t="shared" si="11"/>
        <v>#NUM!</v>
      </c>
      <c r="L144" s="163"/>
      <c r="M144" s="165">
        <f t="shared" si="12"/>
        <v>0</v>
      </c>
    </row>
    <row r="145" spans="1:13" x14ac:dyDescent="0.25">
      <c r="A145" s="180"/>
      <c r="G145" s="151"/>
      <c r="H145" s="163">
        <v>140</v>
      </c>
      <c r="I145" s="164" t="str">
        <f t="shared" si="10"/>
        <v/>
      </c>
      <c r="J145" s="163" t="e">
        <f t="shared" si="13"/>
        <v>#NUM!</v>
      </c>
      <c r="K145" s="163" t="e">
        <f t="shared" si="11"/>
        <v>#NUM!</v>
      </c>
      <c r="L145" s="163"/>
      <c r="M145" s="165">
        <f t="shared" si="12"/>
        <v>0</v>
      </c>
    </row>
    <row r="146" spans="1:13" x14ac:dyDescent="0.25">
      <c r="A146" s="180"/>
      <c r="G146" s="151"/>
      <c r="H146" s="163">
        <v>141</v>
      </c>
      <c r="I146" s="164" t="str">
        <f t="shared" si="10"/>
        <v/>
      </c>
      <c r="J146" s="163" t="e">
        <f t="shared" si="13"/>
        <v>#NUM!</v>
      </c>
      <c r="K146" s="163" t="e">
        <f t="shared" si="11"/>
        <v>#NUM!</v>
      </c>
      <c r="L146" s="163"/>
      <c r="M146" s="165">
        <f t="shared" si="12"/>
        <v>0</v>
      </c>
    </row>
    <row r="147" spans="1:13" x14ac:dyDescent="0.25">
      <c r="A147" s="180"/>
      <c r="G147" s="151"/>
      <c r="H147" s="163">
        <v>142</v>
      </c>
      <c r="I147" s="164" t="str">
        <f t="shared" si="10"/>
        <v/>
      </c>
      <c r="J147" s="163" t="e">
        <f t="shared" si="13"/>
        <v>#NUM!</v>
      </c>
      <c r="K147" s="163" t="e">
        <f t="shared" si="11"/>
        <v>#NUM!</v>
      </c>
      <c r="L147" s="163"/>
      <c r="M147" s="165">
        <f t="shared" si="12"/>
        <v>0</v>
      </c>
    </row>
    <row r="148" spans="1:13" x14ac:dyDescent="0.25">
      <c r="A148" s="180"/>
      <c r="G148" s="151"/>
      <c r="H148" s="163">
        <v>143</v>
      </c>
      <c r="I148" s="164" t="str">
        <f t="shared" si="10"/>
        <v/>
      </c>
      <c r="J148" s="163" t="e">
        <f t="shared" si="13"/>
        <v>#NUM!</v>
      </c>
      <c r="K148" s="163" t="e">
        <f t="shared" si="11"/>
        <v>#NUM!</v>
      </c>
      <c r="L148" s="163"/>
      <c r="M148" s="165">
        <f t="shared" si="12"/>
        <v>0</v>
      </c>
    </row>
    <row r="149" spans="1:13" x14ac:dyDescent="0.25">
      <c r="A149" s="180"/>
      <c r="G149" s="151"/>
      <c r="H149" s="163">
        <v>144</v>
      </c>
      <c r="I149" s="164" t="str">
        <f t="shared" si="10"/>
        <v/>
      </c>
      <c r="J149" s="163" t="e">
        <f t="shared" si="13"/>
        <v>#NUM!</v>
      </c>
      <c r="K149" s="163" t="e">
        <f t="shared" si="11"/>
        <v>#NUM!</v>
      </c>
      <c r="L149" s="163"/>
      <c r="M149" s="165">
        <f t="shared" si="12"/>
        <v>0</v>
      </c>
    </row>
    <row r="150" spans="1:13" x14ac:dyDescent="0.25">
      <c r="A150" s="180"/>
      <c r="G150" s="151"/>
      <c r="H150" s="163">
        <v>145</v>
      </c>
      <c r="I150" s="164" t="str">
        <f t="shared" si="10"/>
        <v/>
      </c>
      <c r="J150" s="163" t="e">
        <f t="shared" si="13"/>
        <v>#NUM!</v>
      </c>
      <c r="K150" s="163" t="e">
        <f t="shared" si="11"/>
        <v>#NUM!</v>
      </c>
      <c r="L150" s="163"/>
      <c r="M150" s="165">
        <f t="shared" si="12"/>
        <v>0</v>
      </c>
    </row>
    <row r="151" spans="1:13" x14ac:dyDescent="0.25">
      <c r="A151" s="180"/>
      <c r="G151" s="151"/>
      <c r="H151" s="163">
        <v>146</v>
      </c>
      <c r="I151" s="164" t="str">
        <f t="shared" si="10"/>
        <v/>
      </c>
      <c r="J151" s="163" t="e">
        <f t="shared" si="13"/>
        <v>#NUM!</v>
      </c>
      <c r="K151" s="163" t="e">
        <f t="shared" si="11"/>
        <v>#NUM!</v>
      </c>
      <c r="L151" s="163"/>
      <c r="M151" s="165">
        <f t="shared" si="12"/>
        <v>0</v>
      </c>
    </row>
    <row r="152" spans="1:13" x14ac:dyDescent="0.25">
      <c r="A152" s="180"/>
      <c r="G152" s="151"/>
      <c r="H152" s="163">
        <v>147</v>
      </c>
      <c r="I152" s="164" t="str">
        <f t="shared" si="10"/>
        <v/>
      </c>
      <c r="J152" s="163" t="e">
        <f t="shared" si="13"/>
        <v>#NUM!</v>
      </c>
      <c r="K152" s="163" t="e">
        <f t="shared" si="11"/>
        <v>#NUM!</v>
      </c>
      <c r="L152" s="163"/>
      <c r="M152" s="165">
        <f t="shared" si="12"/>
        <v>0</v>
      </c>
    </row>
    <row r="153" spans="1:13" x14ac:dyDescent="0.25">
      <c r="A153" s="180"/>
      <c r="G153" s="151"/>
      <c r="H153" s="163">
        <v>148</v>
      </c>
      <c r="I153" s="164" t="str">
        <f t="shared" si="10"/>
        <v/>
      </c>
      <c r="J153" s="163" t="e">
        <f t="shared" si="13"/>
        <v>#NUM!</v>
      </c>
      <c r="K153" s="163" t="e">
        <f t="shared" si="11"/>
        <v>#NUM!</v>
      </c>
      <c r="L153" s="163"/>
      <c r="M153" s="165">
        <f t="shared" si="12"/>
        <v>0</v>
      </c>
    </row>
    <row r="154" spans="1:13" x14ac:dyDescent="0.25">
      <c r="A154" s="180"/>
      <c r="G154" s="151"/>
      <c r="H154" s="163">
        <v>149</v>
      </c>
      <c r="I154" s="164" t="str">
        <f t="shared" si="10"/>
        <v/>
      </c>
      <c r="J154" s="163" t="e">
        <f t="shared" si="13"/>
        <v>#NUM!</v>
      </c>
      <c r="K154" s="163" t="e">
        <f t="shared" si="11"/>
        <v>#NUM!</v>
      </c>
      <c r="L154" s="163"/>
      <c r="M154" s="165">
        <f t="shared" si="12"/>
        <v>0</v>
      </c>
    </row>
    <row r="155" spans="1:13" x14ac:dyDescent="0.25">
      <c r="A155" s="180"/>
      <c r="G155" s="151"/>
      <c r="H155" s="163">
        <v>150</v>
      </c>
      <c r="I155" s="164" t="str">
        <f t="shared" si="10"/>
        <v/>
      </c>
      <c r="J155" s="163" t="e">
        <f t="shared" si="13"/>
        <v>#NUM!</v>
      </c>
      <c r="K155" s="163" t="e">
        <f t="shared" si="11"/>
        <v>#NUM!</v>
      </c>
      <c r="L155" s="163"/>
      <c r="M155" s="165">
        <f t="shared" si="12"/>
        <v>0</v>
      </c>
    </row>
    <row r="156" spans="1:13" x14ac:dyDescent="0.25">
      <c r="A156" s="180"/>
      <c r="G156" s="151"/>
      <c r="H156" s="163">
        <v>151</v>
      </c>
      <c r="I156" s="164" t="str">
        <f t="shared" si="10"/>
        <v/>
      </c>
      <c r="J156" s="163" t="e">
        <f t="shared" si="13"/>
        <v>#NUM!</v>
      </c>
      <c r="K156" s="163" t="e">
        <f t="shared" si="11"/>
        <v>#NUM!</v>
      </c>
      <c r="L156" s="163"/>
      <c r="M156" s="165">
        <f t="shared" si="12"/>
        <v>0</v>
      </c>
    </row>
    <row r="157" spans="1:13" x14ac:dyDescent="0.25">
      <c r="A157" s="180"/>
      <c r="G157" s="151"/>
      <c r="H157" s="163">
        <v>152</v>
      </c>
      <c r="I157" s="164" t="str">
        <f t="shared" si="10"/>
        <v/>
      </c>
      <c r="J157" s="163" t="e">
        <f t="shared" si="13"/>
        <v>#NUM!</v>
      </c>
      <c r="K157" s="163" t="e">
        <f t="shared" si="11"/>
        <v>#NUM!</v>
      </c>
      <c r="L157" s="163"/>
      <c r="M157" s="165">
        <f t="shared" si="12"/>
        <v>0</v>
      </c>
    </row>
    <row r="158" spans="1:13" x14ac:dyDescent="0.25">
      <c r="A158" s="180"/>
      <c r="G158" s="151"/>
      <c r="H158" s="163">
        <v>153</v>
      </c>
      <c r="I158" s="164" t="str">
        <f t="shared" si="10"/>
        <v/>
      </c>
      <c r="J158" s="163" t="e">
        <f t="shared" si="13"/>
        <v>#NUM!</v>
      </c>
      <c r="K158" s="163" t="e">
        <f t="shared" si="11"/>
        <v>#NUM!</v>
      </c>
      <c r="L158" s="163"/>
      <c r="M158" s="165">
        <f t="shared" si="12"/>
        <v>0</v>
      </c>
    </row>
    <row r="159" spans="1:13" x14ac:dyDescent="0.25">
      <c r="A159" s="180"/>
      <c r="G159" s="151"/>
      <c r="H159" s="163">
        <v>154</v>
      </c>
      <c r="I159" s="164" t="str">
        <f t="shared" si="10"/>
        <v/>
      </c>
      <c r="J159" s="163" t="e">
        <f t="shared" si="13"/>
        <v>#NUM!</v>
      </c>
      <c r="K159" s="163" t="e">
        <f t="shared" si="11"/>
        <v>#NUM!</v>
      </c>
      <c r="L159" s="163"/>
      <c r="M159" s="165">
        <f t="shared" si="12"/>
        <v>0</v>
      </c>
    </row>
    <row r="160" spans="1:13" x14ac:dyDescent="0.25">
      <c r="A160" s="180"/>
      <c r="G160" s="151"/>
      <c r="H160" s="163">
        <v>155</v>
      </c>
      <c r="I160" s="164" t="str">
        <f t="shared" si="10"/>
        <v/>
      </c>
      <c r="J160" s="163" t="e">
        <f t="shared" si="13"/>
        <v>#NUM!</v>
      </c>
      <c r="K160" s="163" t="e">
        <f t="shared" si="11"/>
        <v>#NUM!</v>
      </c>
      <c r="L160" s="163"/>
      <c r="M160" s="165">
        <f t="shared" si="12"/>
        <v>0</v>
      </c>
    </row>
    <row r="161" spans="1:13" x14ac:dyDescent="0.25">
      <c r="A161" s="180"/>
      <c r="G161" s="151"/>
      <c r="H161" s="163">
        <v>156</v>
      </c>
      <c r="I161" s="164" t="str">
        <f t="shared" si="10"/>
        <v/>
      </c>
      <c r="J161" s="163" t="e">
        <f t="shared" si="13"/>
        <v>#NUM!</v>
      </c>
      <c r="K161" s="163" t="e">
        <f t="shared" si="11"/>
        <v>#NUM!</v>
      </c>
      <c r="L161" s="163"/>
      <c r="M161" s="165">
        <f t="shared" si="12"/>
        <v>0</v>
      </c>
    </row>
    <row r="162" spans="1:13" x14ac:dyDescent="0.25">
      <c r="A162" s="180"/>
      <c r="G162" s="151"/>
      <c r="H162" s="163">
        <v>157</v>
      </c>
      <c r="I162" s="164" t="str">
        <f t="shared" si="10"/>
        <v/>
      </c>
      <c r="J162" s="163" t="e">
        <f t="shared" si="13"/>
        <v>#NUM!</v>
      </c>
      <c r="K162" s="163" t="e">
        <f t="shared" si="11"/>
        <v>#NUM!</v>
      </c>
      <c r="L162" s="163"/>
      <c r="M162" s="165">
        <f t="shared" si="12"/>
        <v>0</v>
      </c>
    </row>
    <row r="163" spans="1:13" x14ac:dyDescent="0.25">
      <c r="A163" s="180"/>
      <c r="G163" s="151"/>
      <c r="H163" s="163">
        <v>158</v>
      </c>
      <c r="I163" s="164" t="str">
        <f t="shared" si="10"/>
        <v/>
      </c>
      <c r="J163" s="163" t="e">
        <f t="shared" si="13"/>
        <v>#NUM!</v>
      </c>
      <c r="K163" s="163" t="e">
        <f t="shared" si="11"/>
        <v>#NUM!</v>
      </c>
      <c r="L163" s="163"/>
      <c r="M163" s="165">
        <f t="shared" si="12"/>
        <v>0</v>
      </c>
    </row>
    <row r="164" spans="1:13" x14ac:dyDescent="0.25">
      <c r="A164" s="180"/>
      <c r="G164" s="151"/>
      <c r="H164" s="163">
        <v>159</v>
      </c>
      <c r="I164" s="164" t="str">
        <f t="shared" si="10"/>
        <v/>
      </c>
      <c r="J164" s="163" t="e">
        <f t="shared" si="13"/>
        <v>#NUM!</v>
      </c>
      <c r="K164" s="163" t="e">
        <f t="shared" si="11"/>
        <v>#NUM!</v>
      </c>
      <c r="L164" s="163"/>
      <c r="M164" s="165">
        <f t="shared" si="12"/>
        <v>0</v>
      </c>
    </row>
    <row r="165" spans="1:13" x14ac:dyDescent="0.25">
      <c r="A165" s="180"/>
      <c r="G165" s="151"/>
      <c r="H165" s="163">
        <v>160</v>
      </c>
      <c r="I165" s="164" t="str">
        <f t="shared" si="10"/>
        <v/>
      </c>
      <c r="J165" s="163" t="e">
        <f t="shared" si="13"/>
        <v>#NUM!</v>
      </c>
      <c r="K165" s="163" t="e">
        <f t="shared" si="11"/>
        <v>#NUM!</v>
      </c>
      <c r="L165" s="163"/>
      <c r="M165" s="165">
        <f t="shared" si="12"/>
        <v>0</v>
      </c>
    </row>
    <row r="166" spans="1:13" x14ac:dyDescent="0.25">
      <c r="A166" s="180"/>
      <c r="G166" s="151"/>
      <c r="H166" s="163">
        <v>161</v>
      </c>
      <c r="I166" s="164" t="str">
        <f t="shared" si="10"/>
        <v/>
      </c>
      <c r="J166" s="163" t="e">
        <f t="shared" si="13"/>
        <v>#NUM!</v>
      </c>
      <c r="K166" s="163" t="e">
        <f t="shared" si="11"/>
        <v>#NUM!</v>
      </c>
      <c r="L166" s="163"/>
      <c r="M166" s="165">
        <f t="shared" si="12"/>
        <v>0</v>
      </c>
    </row>
    <row r="167" spans="1:13" x14ac:dyDescent="0.25">
      <c r="A167" s="180"/>
      <c r="G167" s="151"/>
      <c r="H167" s="163">
        <v>162</v>
      </c>
      <c r="I167" s="164" t="str">
        <f t="shared" si="10"/>
        <v/>
      </c>
      <c r="J167" s="163" t="e">
        <f t="shared" si="13"/>
        <v>#NUM!</v>
      </c>
      <c r="K167" s="163" t="e">
        <f t="shared" si="11"/>
        <v>#NUM!</v>
      </c>
      <c r="L167" s="163"/>
      <c r="M167" s="165">
        <f t="shared" si="12"/>
        <v>0</v>
      </c>
    </row>
    <row r="168" spans="1:13" x14ac:dyDescent="0.25">
      <c r="A168" s="180"/>
      <c r="G168" s="151"/>
      <c r="H168" s="163">
        <v>163</v>
      </c>
      <c r="I168" s="164" t="str">
        <f t="shared" si="10"/>
        <v/>
      </c>
      <c r="J168" s="163" t="e">
        <f t="shared" si="13"/>
        <v>#NUM!</v>
      </c>
      <c r="K168" s="163" t="e">
        <f t="shared" si="11"/>
        <v>#NUM!</v>
      </c>
      <c r="L168" s="163"/>
      <c r="M168" s="165">
        <f t="shared" si="12"/>
        <v>0</v>
      </c>
    </row>
    <row r="169" spans="1:13" x14ac:dyDescent="0.25">
      <c r="A169" s="180"/>
      <c r="C169" s="179" t="s">
        <v>50</v>
      </c>
      <c r="G169" s="151"/>
      <c r="H169" s="163">
        <v>164</v>
      </c>
      <c r="I169" s="164" t="str">
        <f t="shared" si="10"/>
        <v/>
      </c>
      <c r="J169" s="163" t="e">
        <f t="shared" si="13"/>
        <v>#NUM!</v>
      </c>
      <c r="K169" s="163" t="e">
        <f t="shared" si="11"/>
        <v>#NUM!</v>
      </c>
      <c r="L169" s="163"/>
      <c r="M169" s="165">
        <f t="shared" si="12"/>
        <v>0</v>
      </c>
    </row>
    <row r="170" spans="1:13" x14ac:dyDescent="0.25">
      <c r="A170" s="180"/>
      <c r="G170" s="151"/>
      <c r="H170" s="163">
        <v>165</v>
      </c>
      <c r="I170" s="164" t="str">
        <f t="shared" si="10"/>
        <v/>
      </c>
      <c r="J170" s="163" t="e">
        <f t="shared" si="13"/>
        <v>#NUM!</v>
      </c>
      <c r="K170" s="163" t="e">
        <f t="shared" si="11"/>
        <v>#NUM!</v>
      </c>
      <c r="L170" s="163"/>
      <c r="M170" s="165">
        <f t="shared" si="12"/>
        <v>0</v>
      </c>
    </row>
    <row r="171" spans="1:13" x14ac:dyDescent="0.25">
      <c r="A171" s="180"/>
      <c r="G171" s="151"/>
      <c r="H171" s="163">
        <v>166</v>
      </c>
      <c r="I171" s="164" t="str">
        <f t="shared" si="10"/>
        <v/>
      </c>
      <c r="J171" s="163" t="e">
        <f t="shared" si="13"/>
        <v>#NUM!</v>
      </c>
      <c r="K171" s="163" t="e">
        <f t="shared" si="11"/>
        <v>#NUM!</v>
      </c>
      <c r="L171" s="163"/>
      <c r="M171" s="165">
        <f t="shared" si="12"/>
        <v>0</v>
      </c>
    </row>
    <row r="172" spans="1:13" x14ac:dyDescent="0.25">
      <c r="A172" s="180"/>
      <c r="G172" s="151"/>
      <c r="H172" s="163">
        <v>167</v>
      </c>
      <c r="I172" s="164" t="str">
        <f t="shared" si="10"/>
        <v/>
      </c>
      <c r="J172" s="163" t="e">
        <f t="shared" si="13"/>
        <v>#NUM!</v>
      </c>
      <c r="K172" s="163" t="e">
        <f t="shared" si="11"/>
        <v>#NUM!</v>
      </c>
      <c r="L172" s="163"/>
      <c r="M172" s="165">
        <f t="shared" si="12"/>
        <v>0</v>
      </c>
    </row>
    <row r="173" spans="1:13" x14ac:dyDescent="0.25">
      <c r="A173" s="180"/>
      <c r="G173" s="151"/>
      <c r="H173" s="163">
        <v>168</v>
      </c>
      <c r="I173" s="164" t="str">
        <f t="shared" si="10"/>
        <v/>
      </c>
      <c r="J173" s="163" t="e">
        <f t="shared" si="13"/>
        <v>#NUM!</v>
      </c>
      <c r="K173" s="163" t="e">
        <f t="shared" si="11"/>
        <v>#NUM!</v>
      </c>
      <c r="L173" s="163"/>
      <c r="M173" s="165">
        <f t="shared" si="12"/>
        <v>0</v>
      </c>
    </row>
    <row r="174" spans="1:13" x14ac:dyDescent="0.25">
      <c r="A174" s="180"/>
      <c r="G174" s="151"/>
      <c r="H174" s="163">
        <v>169</v>
      </c>
      <c r="I174" s="164" t="str">
        <f t="shared" si="10"/>
        <v/>
      </c>
      <c r="J174" s="163" t="e">
        <f t="shared" si="13"/>
        <v>#NUM!</v>
      </c>
      <c r="K174" s="163" t="e">
        <f t="shared" si="11"/>
        <v>#NUM!</v>
      </c>
      <c r="L174" s="163"/>
      <c r="M174" s="165">
        <f t="shared" si="12"/>
        <v>0</v>
      </c>
    </row>
    <row r="175" spans="1:13" x14ac:dyDescent="0.25">
      <c r="A175" s="180"/>
      <c r="G175" s="151"/>
      <c r="H175" s="163">
        <v>170</v>
      </c>
      <c r="I175" s="164" t="str">
        <f t="shared" si="10"/>
        <v/>
      </c>
      <c r="J175" s="163" t="e">
        <f t="shared" si="13"/>
        <v>#NUM!</v>
      </c>
      <c r="K175" s="163" t="e">
        <f t="shared" si="11"/>
        <v>#NUM!</v>
      </c>
      <c r="L175" s="163"/>
      <c r="M175" s="165">
        <f t="shared" si="12"/>
        <v>0</v>
      </c>
    </row>
    <row r="176" spans="1:13" x14ac:dyDescent="0.25">
      <c r="A176" s="180"/>
      <c r="G176" s="151"/>
      <c r="H176" s="163">
        <v>171</v>
      </c>
      <c r="I176" s="164" t="str">
        <f t="shared" si="10"/>
        <v/>
      </c>
      <c r="J176" s="163" t="e">
        <f t="shared" si="13"/>
        <v>#NUM!</v>
      </c>
      <c r="K176" s="163" t="e">
        <f t="shared" si="11"/>
        <v>#NUM!</v>
      </c>
      <c r="L176" s="163"/>
      <c r="M176" s="165">
        <f t="shared" si="12"/>
        <v>0</v>
      </c>
    </row>
    <row r="177" spans="1:13" x14ac:dyDescent="0.25">
      <c r="A177" s="180"/>
      <c r="G177" s="151"/>
      <c r="H177" s="163">
        <v>172</v>
      </c>
      <c r="I177" s="164" t="str">
        <f t="shared" si="10"/>
        <v/>
      </c>
      <c r="J177" s="163" t="e">
        <f t="shared" si="13"/>
        <v>#NUM!</v>
      </c>
      <c r="K177" s="163" t="e">
        <f t="shared" si="11"/>
        <v>#NUM!</v>
      </c>
      <c r="L177" s="163"/>
      <c r="M177" s="165">
        <f t="shared" si="12"/>
        <v>0</v>
      </c>
    </row>
    <row r="178" spans="1:13" x14ac:dyDescent="0.25">
      <c r="A178" s="180"/>
      <c r="G178" s="151"/>
      <c r="H178" s="163">
        <v>173</v>
      </c>
      <c r="I178" s="164" t="str">
        <f t="shared" si="10"/>
        <v/>
      </c>
      <c r="J178" s="163" t="e">
        <f t="shared" si="13"/>
        <v>#NUM!</v>
      </c>
      <c r="K178" s="163" t="e">
        <f t="shared" si="11"/>
        <v>#NUM!</v>
      </c>
      <c r="L178" s="163"/>
      <c r="M178" s="165">
        <f t="shared" si="12"/>
        <v>0</v>
      </c>
    </row>
    <row r="179" spans="1:13" x14ac:dyDescent="0.25">
      <c r="A179" s="180"/>
      <c r="G179" s="151"/>
      <c r="H179" s="163">
        <v>174</v>
      </c>
      <c r="I179" s="164" t="str">
        <f t="shared" si="10"/>
        <v/>
      </c>
      <c r="J179" s="163" t="e">
        <f t="shared" si="13"/>
        <v>#NUM!</v>
      </c>
      <c r="K179" s="163" t="e">
        <f t="shared" si="11"/>
        <v>#NUM!</v>
      </c>
      <c r="L179" s="163"/>
      <c r="M179" s="165">
        <f t="shared" si="12"/>
        <v>0</v>
      </c>
    </row>
    <row r="180" spans="1:13" x14ac:dyDescent="0.25">
      <c r="A180" s="180"/>
      <c r="G180" s="151"/>
      <c r="H180" s="163">
        <v>175</v>
      </c>
      <c r="I180" s="164" t="str">
        <f t="shared" si="10"/>
        <v/>
      </c>
      <c r="J180" s="163" t="e">
        <f t="shared" si="13"/>
        <v>#NUM!</v>
      </c>
      <c r="K180" s="163" t="e">
        <f t="shared" si="11"/>
        <v>#NUM!</v>
      </c>
      <c r="L180" s="163"/>
      <c r="M180" s="165">
        <f t="shared" si="12"/>
        <v>0</v>
      </c>
    </row>
    <row r="181" spans="1:13" x14ac:dyDescent="0.25">
      <c r="A181" s="180"/>
      <c r="G181" s="151"/>
      <c r="H181" s="163">
        <v>176</v>
      </c>
      <c r="I181" s="164" t="str">
        <f t="shared" si="10"/>
        <v/>
      </c>
      <c r="J181" s="163" t="e">
        <f t="shared" si="13"/>
        <v>#NUM!</v>
      </c>
      <c r="K181" s="163" t="e">
        <f t="shared" si="11"/>
        <v>#NUM!</v>
      </c>
      <c r="L181" s="163"/>
      <c r="M181" s="165">
        <f t="shared" si="12"/>
        <v>0</v>
      </c>
    </row>
    <row r="182" spans="1:13" x14ac:dyDescent="0.25">
      <c r="A182" s="180"/>
      <c r="G182" s="151"/>
      <c r="H182" s="163">
        <v>177</v>
      </c>
      <c r="I182" s="164" t="str">
        <f t="shared" si="10"/>
        <v/>
      </c>
      <c r="J182" s="163" t="e">
        <f t="shared" si="13"/>
        <v>#NUM!</v>
      </c>
      <c r="K182" s="163" t="e">
        <f t="shared" si="11"/>
        <v>#NUM!</v>
      </c>
      <c r="L182" s="163"/>
      <c r="M182" s="165">
        <f t="shared" si="12"/>
        <v>0</v>
      </c>
    </row>
    <row r="183" spans="1:13" x14ac:dyDescent="0.25">
      <c r="A183" s="180"/>
      <c r="G183" s="151"/>
      <c r="H183" s="163">
        <v>178</v>
      </c>
      <c r="I183" s="164" t="str">
        <f t="shared" si="10"/>
        <v/>
      </c>
      <c r="J183" s="163" t="e">
        <f t="shared" si="13"/>
        <v>#NUM!</v>
      </c>
      <c r="K183" s="163" t="e">
        <f t="shared" si="11"/>
        <v>#NUM!</v>
      </c>
      <c r="L183" s="163"/>
      <c r="M183" s="165">
        <f t="shared" si="12"/>
        <v>0</v>
      </c>
    </row>
    <row r="184" spans="1:13" x14ac:dyDescent="0.25">
      <c r="A184" s="180"/>
      <c r="G184" s="151"/>
      <c r="H184" s="163">
        <v>179</v>
      </c>
      <c r="I184" s="164" t="str">
        <f t="shared" si="10"/>
        <v/>
      </c>
      <c r="J184" s="163" t="e">
        <f t="shared" si="13"/>
        <v>#NUM!</v>
      </c>
      <c r="K184" s="163" t="e">
        <f t="shared" si="11"/>
        <v>#NUM!</v>
      </c>
      <c r="L184" s="163"/>
      <c r="M184" s="165">
        <f t="shared" si="12"/>
        <v>0</v>
      </c>
    </row>
    <row r="185" spans="1:13" x14ac:dyDescent="0.25">
      <c r="A185" s="180"/>
      <c r="G185" s="151"/>
      <c r="H185" s="163">
        <v>180</v>
      </c>
      <c r="I185" s="164" t="str">
        <f t="shared" si="10"/>
        <v/>
      </c>
      <c r="J185" s="163" t="e">
        <f t="shared" si="13"/>
        <v>#NUM!</v>
      </c>
      <c r="K185" s="163" t="e">
        <f t="shared" si="11"/>
        <v>#NUM!</v>
      </c>
      <c r="L185" s="163"/>
      <c r="M185" s="165">
        <f t="shared" si="12"/>
        <v>0</v>
      </c>
    </row>
    <row r="186" spans="1:13" x14ac:dyDescent="0.25">
      <c r="A186" s="180"/>
      <c r="G186" s="151"/>
      <c r="H186" s="163">
        <v>181</v>
      </c>
      <c r="I186" s="164" t="str">
        <f t="shared" si="10"/>
        <v/>
      </c>
      <c r="J186" s="163" t="e">
        <f t="shared" si="13"/>
        <v>#NUM!</v>
      </c>
      <c r="K186" s="163" t="e">
        <f t="shared" si="11"/>
        <v>#NUM!</v>
      </c>
      <c r="L186" s="163"/>
      <c r="M186" s="165">
        <f t="shared" si="12"/>
        <v>0</v>
      </c>
    </row>
    <row r="187" spans="1:13" x14ac:dyDescent="0.25">
      <c r="A187" s="180"/>
      <c r="G187" s="151"/>
      <c r="H187" s="163">
        <v>182</v>
      </c>
      <c r="I187" s="164" t="str">
        <f t="shared" si="10"/>
        <v/>
      </c>
      <c r="J187" s="163" t="e">
        <f t="shared" si="13"/>
        <v>#NUM!</v>
      </c>
      <c r="K187" s="163" t="e">
        <f t="shared" si="11"/>
        <v>#NUM!</v>
      </c>
      <c r="L187" s="163"/>
      <c r="M187" s="165">
        <f t="shared" si="12"/>
        <v>0</v>
      </c>
    </row>
    <row r="188" spans="1:13" x14ac:dyDescent="0.25">
      <c r="A188" s="180"/>
      <c r="G188" s="151"/>
      <c r="H188" s="163">
        <v>183</v>
      </c>
      <c r="I188" s="164" t="str">
        <f t="shared" si="10"/>
        <v/>
      </c>
      <c r="J188" s="163" t="e">
        <f t="shared" si="13"/>
        <v>#NUM!</v>
      </c>
      <c r="K188" s="163" t="e">
        <f t="shared" si="11"/>
        <v>#NUM!</v>
      </c>
      <c r="L188" s="163"/>
      <c r="M188" s="165">
        <f t="shared" si="12"/>
        <v>0</v>
      </c>
    </row>
    <row r="189" spans="1:13" x14ac:dyDescent="0.25">
      <c r="A189" s="180"/>
      <c r="G189" s="151"/>
      <c r="H189" s="163">
        <v>184</v>
      </c>
      <c r="I189" s="164" t="str">
        <f t="shared" si="10"/>
        <v/>
      </c>
      <c r="J189" s="163" t="e">
        <f t="shared" si="13"/>
        <v>#NUM!</v>
      </c>
      <c r="K189" s="163" t="e">
        <f t="shared" si="11"/>
        <v>#NUM!</v>
      </c>
      <c r="L189" s="163"/>
      <c r="M189" s="165">
        <f t="shared" si="12"/>
        <v>0</v>
      </c>
    </row>
    <row r="190" spans="1:13" x14ac:dyDescent="0.25">
      <c r="A190" s="180"/>
      <c r="G190" s="151"/>
      <c r="H190" s="163">
        <v>185</v>
      </c>
      <c r="I190" s="164" t="str">
        <f t="shared" si="10"/>
        <v/>
      </c>
      <c r="J190" s="163" t="e">
        <f t="shared" si="13"/>
        <v>#NUM!</v>
      </c>
      <c r="K190" s="163" t="e">
        <f t="shared" si="11"/>
        <v>#NUM!</v>
      </c>
      <c r="L190" s="163"/>
      <c r="M190" s="165">
        <f t="shared" si="12"/>
        <v>0</v>
      </c>
    </row>
    <row r="191" spans="1:13" x14ac:dyDescent="0.25">
      <c r="A191" s="180"/>
      <c r="G191" s="151"/>
      <c r="H191" s="163">
        <v>186</v>
      </c>
      <c r="I191" s="164" t="str">
        <f t="shared" si="10"/>
        <v/>
      </c>
      <c r="J191" s="163" t="e">
        <f t="shared" si="13"/>
        <v>#NUM!</v>
      </c>
      <c r="K191" s="163" t="e">
        <f t="shared" si="11"/>
        <v>#NUM!</v>
      </c>
      <c r="L191" s="163"/>
      <c r="M191" s="165">
        <f t="shared" si="12"/>
        <v>0</v>
      </c>
    </row>
    <row r="192" spans="1:13" x14ac:dyDescent="0.25">
      <c r="A192" s="180"/>
      <c r="G192" s="151"/>
      <c r="H192" s="163">
        <v>187</v>
      </c>
      <c r="I192" s="164" t="str">
        <f t="shared" si="10"/>
        <v/>
      </c>
      <c r="J192" s="163" t="e">
        <f t="shared" si="13"/>
        <v>#NUM!</v>
      </c>
      <c r="K192" s="163" t="e">
        <f t="shared" si="11"/>
        <v>#NUM!</v>
      </c>
      <c r="L192" s="163"/>
      <c r="M192" s="165">
        <f t="shared" si="12"/>
        <v>0</v>
      </c>
    </row>
    <row r="193" spans="1:13" x14ac:dyDescent="0.25">
      <c r="A193" s="180"/>
      <c r="G193" s="151"/>
      <c r="H193" s="163">
        <v>188</v>
      </c>
      <c r="I193" s="164" t="str">
        <f t="shared" si="10"/>
        <v/>
      </c>
      <c r="J193" s="163" t="e">
        <f t="shared" si="13"/>
        <v>#NUM!</v>
      </c>
      <c r="K193" s="163" t="e">
        <f t="shared" si="11"/>
        <v>#NUM!</v>
      </c>
      <c r="L193" s="163"/>
      <c r="M193" s="165">
        <f t="shared" si="12"/>
        <v>0</v>
      </c>
    </row>
    <row r="194" spans="1:13" x14ac:dyDescent="0.25">
      <c r="A194" s="180"/>
      <c r="G194" s="151"/>
      <c r="H194" s="163">
        <v>189</v>
      </c>
      <c r="I194" s="164" t="str">
        <f t="shared" si="10"/>
        <v/>
      </c>
      <c r="J194" s="163" t="e">
        <f t="shared" si="13"/>
        <v>#NUM!</v>
      </c>
      <c r="K194" s="163" t="e">
        <f t="shared" si="11"/>
        <v>#NUM!</v>
      </c>
      <c r="L194" s="163"/>
      <c r="M194" s="165">
        <f t="shared" si="12"/>
        <v>0</v>
      </c>
    </row>
    <row r="195" spans="1:13" x14ac:dyDescent="0.25">
      <c r="A195" s="180"/>
      <c r="G195" s="151"/>
      <c r="H195" s="163">
        <v>190</v>
      </c>
      <c r="I195" s="164" t="str">
        <f t="shared" si="10"/>
        <v/>
      </c>
      <c r="J195" s="163" t="e">
        <f t="shared" si="13"/>
        <v>#NUM!</v>
      </c>
      <c r="K195" s="163" t="e">
        <f t="shared" si="11"/>
        <v>#NUM!</v>
      </c>
      <c r="L195" s="163"/>
      <c r="M195" s="165">
        <f t="shared" si="12"/>
        <v>0</v>
      </c>
    </row>
    <row r="196" spans="1:13" x14ac:dyDescent="0.25">
      <c r="A196" s="180"/>
      <c r="G196" s="151"/>
      <c r="H196" s="163">
        <v>191</v>
      </c>
      <c r="I196" s="164" t="str">
        <f t="shared" si="10"/>
        <v/>
      </c>
      <c r="J196" s="163" t="e">
        <f t="shared" si="13"/>
        <v>#NUM!</v>
      </c>
      <c r="K196" s="163" t="e">
        <f t="shared" si="11"/>
        <v>#NUM!</v>
      </c>
      <c r="L196" s="163"/>
      <c r="M196" s="165">
        <f t="shared" si="12"/>
        <v>0</v>
      </c>
    </row>
    <row r="197" spans="1:13" x14ac:dyDescent="0.25">
      <c r="A197" s="180"/>
      <c r="G197" s="151"/>
      <c r="H197" s="163">
        <v>192</v>
      </c>
      <c r="I197" s="164" t="str">
        <f t="shared" si="10"/>
        <v/>
      </c>
      <c r="J197" s="163" t="e">
        <f t="shared" si="13"/>
        <v>#NUM!</v>
      </c>
      <c r="K197" s="163" t="e">
        <f t="shared" si="11"/>
        <v>#NUM!</v>
      </c>
      <c r="L197" s="163"/>
      <c r="M197" s="165">
        <f t="shared" si="12"/>
        <v>0</v>
      </c>
    </row>
    <row r="198" spans="1:13" x14ac:dyDescent="0.25">
      <c r="A198" s="180"/>
      <c r="G198" s="151"/>
      <c r="H198" s="163">
        <v>193</v>
      </c>
      <c r="I198" s="164" t="str">
        <f t="shared" ref="I198:I261" si="14">IF(H198&lt;$H$2+1,($I$2-($I$2-1)*(LOG(H198)/LOG($H$2))),"")</f>
        <v/>
      </c>
      <c r="J198" s="163" t="e">
        <f t="shared" si="13"/>
        <v>#NUM!</v>
      </c>
      <c r="K198" s="163" t="e">
        <f t="shared" ref="K198:K261" si="15">J198*$J$2</f>
        <v>#NUM!</v>
      </c>
      <c r="L198" s="163"/>
      <c r="M198" s="165">
        <f t="shared" ref="M198:M261" si="16">IF(I198&lt;&gt;"",K198+I198+L198,0)</f>
        <v>0</v>
      </c>
    </row>
    <row r="199" spans="1:13" x14ac:dyDescent="0.25">
      <c r="A199" s="180"/>
      <c r="G199" s="151"/>
      <c r="H199" s="163">
        <v>194</v>
      </c>
      <c r="I199" s="164" t="str">
        <f t="shared" si="14"/>
        <v/>
      </c>
      <c r="J199" s="163" t="e">
        <f t="shared" ref="J199:J262" si="17">INT(LOG($H$2,2))-ROUNDUP(LOG(H199,2),0)+IF(OR($H$2=1,$H$2=2,$H$2=4,$H$2=8,$H$2=16,$H$2=32,$H$2=64,$H$2=128,$H$2=256),0,1)</f>
        <v>#NUM!</v>
      </c>
      <c r="K199" s="163" t="e">
        <f t="shared" si="15"/>
        <v>#NUM!</v>
      </c>
      <c r="L199" s="163"/>
      <c r="M199" s="165">
        <f t="shared" si="16"/>
        <v>0</v>
      </c>
    </row>
    <row r="200" spans="1:13" x14ac:dyDescent="0.25">
      <c r="A200" s="180"/>
      <c r="G200" s="151"/>
      <c r="H200" s="163">
        <v>195</v>
      </c>
      <c r="I200" s="164" t="str">
        <f t="shared" si="14"/>
        <v/>
      </c>
      <c r="J200" s="163" t="e">
        <f t="shared" si="17"/>
        <v>#NUM!</v>
      </c>
      <c r="K200" s="163" t="e">
        <f t="shared" si="15"/>
        <v>#NUM!</v>
      </c>
      <c r="L200" s="163"/>
      <c r="M200" s="165">
        <f t="shared" si="16"/>
        <v>0</v>
      </c>
    </row>
    <row r="201" spans="1:13" x14ac:dyDescent="0.25">
      <c r="A201" s="180"/>
      <c r="G201" s="151"/>
      <c r="H201" s="163">
        <v>196</v>
      </c>
      <c r="I201" s="164" t="str">
        <f t="shared" si="14"/>
        <v/>
      </c>
      <c r="J201" s="163" t="e">
        <f t="shared" si="17"/>
        <v>#NUM!</v>
      </c>
      <c r="K201" s="163" t="e">
        <f t="shared" si="15"/>
        <v>#NUM!</v>
      </c>
      <c r="L201" s="163"/>
      <c r="M201" s="165">
        <f t="shared" si="16"/>
        <v>0</v>
      </c>
    </row>
    <row r="202" spans="1:13" x14ac:dyDescent="0.25">
      <c r="A202" s="180"/>
      <c r="G202" s="151"/>
      <c r="H202" s="163">
        <v>197</v>
      </c>
      <c r="I202" s="164" t="str">
        <f t="shared" si="14"/>
        <v/>
      </c>
      <c r="J202" s="163" t="e">
        <f t="shared" si="17"/>
        <v>#NUM!</v>
      </c>
      <c r="K202" s="163" t="e">
        <f t="shared" si="15"/>
        <v>#NUM!</v>
      </c>
      <c r="L202" s="163"/>
      <c r="M202" s="165">
        <f t="shared" si="16"/>
        <v>0</v>
      </c>
    </row>
    <row r="203" spans="1:13" x14ac:dyDescent="0.25">
      <c r="A203" s="180"/>
      <c r="G203" s="151"/>
      <c r="H203" s="163">
        <v>198</v>
      </c>
      <c r="I203" s="164" t="str">
        <f t="shared" si="14"/>
        <v/>
      </c>
      <c r="J203" s="163" t="e">
        <f t="shared" si="17"/>
        <v>#NUM!</v>
      </c>
      <c r="K203" s="163" t="e">
        <f t="shared" si="15"/>
        <v>#NUM!</v>
      </c>
      <c r="L203" s="163"/>
      <c r="M203" s="165">
        <f t="shared" si="16"/>
        <v>0</v>
      </c>
    </row>
    <row r="204" spans="1:13" x14ac:dyDescent="0.25">
      <c r="A204" s="180"/>
      <c r="G204" s="151"/>
      <c r="H204" s="163">
        <v>199</v>
      </c>
      <c r="I204" s="164" t="str">
        <f t="shared" si="14"/>
        <v/>
      </c>
      <c r="J204" s="163" t="e">
        <f t="shared" si="17"/>
        <v>#NUM!</v>
      </c>
      <c r="K204" s="163" t="e">
        <f t="shared" si="15"/>
        <v>#NUM!</v>
      </c>
      <c r="L204" s="163"/>
      <c r="M204" s="165">
        <f t="shared" si="16"/>
        <v>0</v>
      </c>
    </row>
    <row r="205" spans="1:13" x14ac:dyDescent="0.25">
      <c r="A205" s="180"/>
      <c r="G205" s="151"/>
      <c r="H205" s="163">
        <v>200</v>
      </c>
      <c r="I205" s="164" t="str">
        <f t="shared" si="14"/>
        <v/>
      </c>
      <c r="J205" s="163" t="e">
        <f t="shared" si="17"/>
        <v>#NUM!</v>
      </c>
      <c r="K205" s="163" t="e">
        <f t="shared" si="15"/>
        <v>#NUM!</v>
      </c>
      <c r="L205" s="163"/>
      <c r="M205" s="165">
        <f t="shared" si="16"/>
        <v>0</v>
      </c>
    </row>
    <row r="206" spans="1:13" x14ac:dyDescent="0.25">
      <c r="A206" s="180"/>
      <c r="G206" s="151"/>
      <c r="H206" s="163">
        <v>201</v>
      </c>
      <c r="I206" s="164" t="str">
        <f t="shared" si="14"/>
        <v/>
      </c>
      <c r="J206" s="163" t="e">
        <f t="shared" si="17"/>
        <v>#NUM!</v>
      </c>
      <c r="K206" s="163" t="e">
        <f t="shared" si="15"/>
        <v>#NUM!</v>
      </c>
      <c r="L206" s="163"/>
      <c r="M206" s="165">
        <f t="shared" si="16"/>
        <v>0</v>
      </c>
    </row>
    <row r="207" spans="1:13" x14ac:dyDescent="0.25">
      <c r="A207" s="180"/>
      <c r="G207" s="151"/>
      <c r="H207" s="163">
        <v>202</v>
      </c>
      <c r="I207" s="164" t="str">
        <f t="shared" si="14"/>
        <v/>
      </c>
      <c r="J207" s="163" t="e">
        <f t="shared" si="17"/>
        <v>#NUM!</v>
      </c>
      <c r="K207" s="163" t="e">
        <f t="shared" si="15"/>
        <v>#NUM!</v>
      </c>
      <c r="L207" s="163"/>
      <c r="M207" s="165">
        <f t="shared" si="16"/>
        <v>0</v>
      </c>
    </row>
    <row r="208" spans="1:13" x14ac:dyDescent="0.25">
      <c r="A208" s="180"/>
      <c r="G208" s="151"/>
      <c r="H208" s="163">
        <v>203</v>
      </c>
      <c r="I208" s="164" t="str">
        <f t="shared" si="14"/>
        <v/>
      </c>
      <c r="J208" s="163" t="e">
        <f t="shared" si="17"/>
        <v>#NUM!</v>
      </c>
      <c r="K208" s="163" t="e">
        <f t="shared" si="15"/>
        <v>#NUM!</v>
      </c>
      <c r="L208" s="163"/>
      <c r="M208" s="165">
        <f t="shared" si="16"/>
        <v>0</v>
      </c>
    </row>
    <row r="209" spans="1:13" x14ac:dyDescent="0.25">
      <c r="A209" s="180"/>
      <c r="G209" s="151"/>
      <c r="H209" s="163">
        <v>204</v>
      </c>
      <c r="I209" s="164" t="str">
        <f t="shared" si="14"/>
        <v/>
      </c>
      <c r="J209" s="163" t="e">
        <f t="shared" si="17"/>
        <v>#NUM!</v>
      </c>
      <c r="K209" s="163" t="e">
        <f t="shared" si="15"/>
        <v>#NUM!</v>
      </c>
      <c r="L209" s="163"/>
      <c r="M209" s="165">
        <f t="shared" si="16"/>
        <v>0</v>
      </c>
    </row>
    <row r="210" spans="1:13" x14ac:dyDescent="0.25">
      <c r="A210" s="180"/>
      <c r="G210" s="151"/>
      <c r="H210" s="163">
        <v>205</v>
      </c>
      <c r="I210" s="164" t="str">
        <f t="shared" si="14"/>
        <v/>
      </c>
      <c r="J210" s="163" t="e">
        <f t="shared" si="17"/>
        <v>#NUM!</v>
      </c>
      <c r="K210" s="163" t="e">
        <f t="shared" si="15"/>
        <v>#NUM!</v>
      </c>
      <c r="L210" s="163"/>
      <c r="M210" s="165">
        <f t="shared" si="16"/>
        <v>0</v>
      </c>
    </row>
    <row r="211" spans="1:13" x14ac:dyDescent="0.25">
      <c r="A211" s="180"/>
      <c r="G211" s="151"/>
      <c r="H211" s="163">
        <v>206</v>
      </c>
      <c r="I211" s="164" t="str">
        <f t="shared" si="14"/>
        <v/>
      </c>
      <c r="J211" s="163" t="e">
        <f t="shared" si="17"/>
        <v>#NUM!</v>
      </c>
      <c r="K211" s="163" t="e">
        <f t="shared" si="15"/>
        <v>#NUM!</v>
      </c>
      <c r="L211" s="163"/>
      <c r="M211" s="165">
        <f t="shared" si="16"/>
        <v>0</v>
      </c>
    </row>
    <row r="212" spans="1:13" x14ac:dyDescent="0.25">
      <c r="A212" s="180"/>
      <c r="G212" s="151"/>
      <c r="H212" s="163">
        <v>207</v>
      </c>
      <c r="I212" s="164" t="str">
        <f t="shared" si="14"/>
        <v/>
      </c>
      <c r="J212" s="163" t="e">
        <f t="shared" si="17"/>
        <v>#NUM!</v>
      </c>
      <c r="K212" s="163" t="e">
        <f t="shared" si="15"/>
        <v>#NUM!</v>
      </c>
      <c r="L212" s="163"/>
      <c r="M212" s="165">
        <f t="shared" si="16"/>
        <v>0</v>
      </c>
    </row>
    <row r="213" spans="1:13" x14ac:dyDescent="0.25">
      <c r="A213" s="180"/>
      <c r="G213" s="151"/>
      <c r="H213" s="163">
        <v>208</v>
      </c>
      <c r="I213" s="164" t="str">
        <f t="shared" si="14"/>
        <v/>
      </c>
      <c r="J213" s="163" t="e">
        <f t="shared" si="17"/>
        <v>#NUM!</v>
      </c>
      <c r="K213" s="163" t="e">
        <f t="shared" si="15"/>
        <v>#NUM!</v>
      </c>
      <c r="L213" s="163"/>
      <c r="M213" s="165">
        <f t="shared" si="16"/>
        <v>0</v>
      </c>
    </row>
    <row r="214" spans="1:13" x14ac:dyDescent="0.25">
      <c r="A214" s="180"/>
      <c r="G214" s="151"/>
      <c r="H214" s="163">
        <v>209</v>
      </c>
      <c r="I214" s="164" t="str">
        <f t="shared" si="14"/>
        <v/>
      </c>
      <c r="J214" s="163" t="e">
        <f t="shared" si="17"/>
        <v>#NUM!</v>
      </c>
      <c r="K214" s="163" t="e">
        <f t="shared" si="15"/>
        <v>#NUM!</v>
      </c>
      <c r="L214" s="163"/>
      <c r="M214" s="165">
        <f t="shared" si="16"/>
        <v>0</v>
      </c>
    </row>
    <row r="215" spans="1:13" x14ac:dyDescent="0.25">
      <c r="A215" s="180"/>
      <c r="G215" s="151"/>
      <c r="H215" s="163">
        <v>210</v>
      </c>
      <c r="I215" s="164" t="str">
        <f t="shared" si="14"/>
        <v/>
      </c>
      <c r="J215" s="163" t="e">
        <f t="shared" si="17"/>
        <v>#NUM!</v>
      </c>
      <c r="K215" s="163" t="e">
        <f t="shared" si="15"/>
        <v>#NUM!</v>
      </c>
      <c r="L215" s="163"/>
      <c r="M215" s="165">
        <f t="shared" si="16"/>
        <v>0</v>
      </c>
    </row>
    <row r="216" spans="1:13" x14ac:dyDescent="0.25">
      <c r="A216" s="180"/>
      <c r="G216" s="151"/>
      <c r="H216" s="163">
        <v>211</v>
      </c>
      <c r="I216" s="164" t="str">
        <f t="shared" si="14"/>
        <v/>
      </c>
      <c r="J216" s="163" t="e">
        <f t="shared" si="17"/>
        <v>#NUM!</v>
      </c>
      <c r="K216" s="163" t="e">
        <f t="shared" si="15"/>
        <v>#NUM!</v>
      </c>
      <c r="L216" s="163"/>
      <c r="M216" s="165">
        <f t="shared" si="16"/>
        <v>0</v>
      </c>
    </row>
    <row r="217" spans="1:13" x14ac:dyDescent="0.25">
      <c r="A217" s="180"/>
      <c r="G217" s="151"/>
      <c r="H217" s="163">
        <v>212</v>
      </c>
      <c r="I217" s="164" t="str">
        <f t="shared" si="14"/>
        <v/>
      </c>
      <c r="J217" s="163" t="e">
        <f t="shared" si="17"/>
        <v>#NUM!</v>
      </c>
      <c r="K217" s="163" t="e">
        <f t="shared" si="15"/>
        <v>#NUM!</v>
      </c>
      <c r="L217" s="163"/>
      <c r="M217" s="165">
        <f t="shared" si="16"/>
        <v>0</v>
      </c>
    </row>
    <row r="218" spans="1:13" x14ac:dyDescent="0.25">
      <c r="A218" s="180"/>
      <c r="G218" s="151"/>
      <c r="H218" s="163">
        <v>213</v>
      </c>
      <c r="I218" s="164" t="str">
        <f t="shared" si="14"/>
        <v/>
      </c>
      <c r="J218" s="163" t="e">
        <f t="shared" si="17"/>
        <v>#NUM!</v>
      </c>
      <c r="K218" s="163" t="e">
        <f t="shared" si="15"/>
        <v>#NUM!</v>
      </c>
      <c r="L218" s="163"/>
      <c r="M218" s="165">
        <f t="shared" si="16"/>
        <v>0</v>
      </c>
    </row>
    <row r="219" spans="1:13" x14ac:dyDescent="0.25">
      <c r="A219" s="180"/>
      <c r="G219" s="151"/>
      <c r="H219" s="163">
        <v>214</v>
      </c>
      <c r="I219" s="164" t="str">
        <f t="shared" si="14"/>
        <v/>
      </c>
      <c r="J219" s="163" t="e">
        <f t="shared" si="17"/>
        <v>#NUM!</v>
      </c>
      <c r="K219" s="163" t="e">
        <f t="shared" si="15"/>
        <v>#NUM!</v>
      </c>
      <c r="L219" s="163"/>
      <c r="M219" s="165">
        <f t="shared" si="16"/>
        <v>0</v>
      </c>
    </row>
    <row r="220" spans="1:13" x14ac:dyDescent="0.25">
      <c r="A220" s="180"/>
      <c r="G220" s="151"/>
      <c r="H220" s="163">
        <v>215</v>
      </c>
      <c r="I220" s="164" t="str">
        <f t="shared" si="14"/>
        <v/>
      </c>
      <c r="J220" s="163" t="e">
        <f t="shared" si="17"/>
        <v>#NUM!</v>
      </c>
      <c r="K220" s="163" t="e">
        <f t="shared" si="15"/>
        <v>#NUM!</v>
      </c>
      <c r="L220" s="163"/>
      <c r="M220" s="165">
        <f t="shared" si="16"/>
        <v>0</v>
      </c>
    </row>
    <row r="221" spans="1:13" x14ac:dyDescent="0.25">
      <c r="A221" s="180"/>
      <c r="G221" s="151"/>
      <c r="H221" s="163">
        <v>216</v>
      </c>
      <c r="I221" s="164" t="str">
        <f t="shared" si="14"/>
        <v/>
      </c>
      <c r="J221" s="163" t="e">
        <f t="shared" si="17"/>
        <v>#NUM!</v>
      </c>
      <c r="K221" s="163" t="e">
        <f t="shared" si="15"/>
        <v>#NUM!</v>
      </c>
      <c r="L221" s="163"/>
      <c r="M221" s="165">
        <f t="shared" si="16"/>
        <v>0</v>
      </c>
    </row>
    <row r="222" spans="1:13" x14ac:dyDescent="0.25">
      <c r="A222" s="180"/>
      <c r="G222" s="151"/>
      <c r="H222" s="163">
        <v>217</v>
      </c>
      <c r="I222" s="164" t="str">
        <f t="shared" si="14"/>
        <v/>
      </c>
      <c r="J222" s="163" t="e">
        <f t="shared" si="17"/>
        <v>#NUM!</v>
      </c>
      <c r="K222" s="163" t="e">
        <f t="shared" si="15"/>
        <v>#NUM!</v>
      </c>
      <c r="L222" s="163"/>
      <c r="M222" s="165">
        <f t="shared" si="16"/>
        <v>0</v>
      </c>
    </row>
    <row r="223" spans="1:13" x14ac:dyDescent="0.25">
      <c r="A223" s="180"/>
      <c r="G223" s="151"/>
      <c r="H223" s="163">
        <v>218</v>
      </c>
      <c r="I223" s="164" t="str">
        <f t="shared" si="14"/>
        <v/>
      </c>
      <c r="J223" s="163" t="e">
        <f t="shared" si="17"/>
        <v>#NUM!</v>
      </c>
      <c r="K223" s="163" t="e">
        <f t="shared" si="15"/>
        <v>#NUM!</v>
      </c>
      <c r="L223" s="163"/>
      <c r="M223" s="165">
        <f t="shared" si="16"/>
        <v>0</v>
      </c>
    </row>
    <row r="224" spans="1:13" x14ac:dyDescent="0.25">
      <c r="A224" s="180"/>
      <c r="G224" s="151"/>
      <c r="H224" s="163">
        <v>219</v>
      </c>
      <c r="I224" s="164" t="str">
        <f t="shared" si="14"/>
        <v/>
      </c>
      <c r="J224" s="163" t="e">
        <f t="shared" si="17"/>
        <v>#NUM!</v>
      </c>
      <c r="K224" s="163" t="e">
        <f t="shared" si="15"/>
        <v>#NUM!</v>
      </c>
      <c r="L224" s="163"/>
      <c r="M224" s="165">
        <f t="shared" si="16"/>
        <v>0</v>
      </c>
    </row>
    <row r="225" spans="1:13" x14ac:dyDescent="0.25">
      <c r="A225" s="180"/>
      <c r="G225" s="151"/>
      <c r="H225" s="163">
        <v>220</v>
      </c>
      <c r="I225" s="164" t="str">
        <f t="shared" si="14"/>
        <v/>
      </c>
      <c r="J225" s="163" t="e">
        <f t="shared" si="17"/>
        <v>#NUM!</v>
      </c>
      <c r="K225" s="163" t="e">
        <f t="shared" si="15"/>
        <v>#NUM!</v>
      </c>
      <c r="L225" s="163"/>
      <c r="M225" s="165">
        <f t="shared" si="16"/>
        <v>0</v>
      </c>
    </row>
    <row r="226" spans="1:13" x14ac:dyDescent="0.25">
      <c r="A226" s="180"/>
      <c r="G226" s="151"/>
      <c r="H226" s="163">
        <v>221</v>
      </c>
      <c r="I226" s="164" t="str">
        <f t="shared" si="14"/>
        <v/>
      </c>
      <c r="J226" s="163" t="e">
        <f t="shared" si="17"/>
        <v>#NUM!</v>
      </c>
      <c r="K226" s="163" t="e">
        <f t="shared" si="15"/>
        <v>#NUM!</v>
      </c>
      <c r="L226" s="163"/>
      <c r="M226" s="165">
        <f t="shared" si="16"/>
        <v>0</v>
      </c>
    </row>
    <row r="227" spans="1:13" x14ac:dyDescent="0.25">
      <c r="A227" s="180"/>
      <c r="G227" s="151"/>
      <c r="H227" s="163">
        <v>222</v>
      </c>
      <c r="I227" s="164" t="str">
        <f t="shared" si="14"/>
        <v/>
      </c>
      <c r="J227" s="163" t="e">
        <f t="shared" si="17"/>
        <v>#NUM!</v>
      </c>
      <c r="K227" s="163" t="e">
        <f t="shared" si="15"/>
        <v>#NUM!</v>
      </c>
      <c r="L227" s="163"/>
      <c r="M227" s="165">
        <f t="shared" si="16"/>
        <v>0</v>
      </c>
    </row>
    <row r="228" spans="1:13" x14ac:dyDescent="0.25">
      <c r="A228" s="180"/>
      <c r="G228" s="151"/>
      <c r="H228" s="163">
        <v>223</v>
      </c>
      <c r="I228" s="164" t="str">
        <f t="shared" si="14"/>
        <v/>
      </c>
      <c r="J228" s="163" t="e">
        <f t="shared" si="17"/>
        <v>#NUM!</v>
      </c>
      <c r="K228" s="163" t="e">
        <f t="shared" si="15"/>
        <v>#NUM!</v>
      </c>
      <c r="L228" s="163"/>
      <c r="M228" s="165">
        <f t="shared" si="16"/>
        <v>0</v>
      </c>
    </row>
    <row r="229" spans="1:13" x14ac:dyDescent="0.25">
      <c r="A229" s="180"/>
      <c r="G229" s="151"/>
      <c r="H229" s="163">
        <v>224</v>
      </c>
      <c r="I229" s="164" t="str">
        <f t="shared" si="14"/>
        <v/>
      </c>
      <c r="J229" s="163" t="e">
        <f t="shared" si="17"/>
        <v>#NUM!</v>
      </c>
      <c r="K229" s="163" t="e">
        <f t="shared" si="15"/>
        <v>#NUM!</v>
      </c>
      <c r="L229" s="163"/>
      <c r="M229" s="165">
        <f t="shared" si="16"/>
        <v>0</v>
      </c>
    </row>
    <row r="230" spans="1:13" x14ac:dyDescent="0.25">
      <c r="A230" s="180"/>
      <c r="G230" s="151"/>
      <c r="H230" s="163">
        <v>225</v>
      </c>
      <c r="I230" s="164" t="str">
        <f t="shared" si="14"/>
        <v/>
      </c>
      <c r="J230" s="163" t="e">
        <f t="shared" si="17"/>
        <v>#NUM!</v>
      </c>
      <c r="K230" s="163" t="e">
        <f t="shared" si="15"/>
        <v>#NUM!</v>
      </c>
      <c r="L230" s="163"/>
      <c r="M230" s="165">
        <f t="shared" si="16"/>
        <v>0</v>
      </c>
    </row>
    <row r="231" spans="1:13" x14ac:dyDescent="0.25">
      <c r="A231" s="180"/>
      <c r="G231" s="151"/>
      <c r="H231" s="163">
        <v>226</v>
      </c>
      <c r="I231" s="164" t="str">
        <f t="shared" si="14"/>
        <v/>
      </c>
      <c r="J231" s="163" t="e">
        <f t="shared" si="17"/>
        <v>#NUM!</v>
      </c>
      <c r="K231" s="163" t="e">
        <f t="shared" si="15"/>
        <v>#NUM!</v>
      </c>
      <c r="L231" s="163"/>
      <c r="M231" s="165">
        <f t="shared" si="16"/>
        <v>0</v>
      </c>
    </row>
    <row r="232" spans="1:13" x14ac:dyDescent="0.25">
      <c r="A232" s="180"/>
      <c r="G232" s="151"/>
      <c r="H232" s="163">
        <v>227</v>
      </c>
      <c r="I232" s="164" t="str">
        <f t="shared" si="14"/>
        <v/>
      </c>
      <c r="J232" s="163" t="e">
        <f t="shared" si="17"/>
        <v>#NUM!</v>
      </c>
      <c r="K232" s="163" t="e">
        <f t="shared" si="15"/>
        <v>#NUM!</v>
      </c>
      <c r="L232" s="163"/>
      <c r="M232" s="165">
        <f t="shared" si="16"/>
        <v>0</v>
      </c>
    </row>
    <row r="233" spans="1:13" x14ac:dyDescent="0.25">
      <c r="A233" s="180"/>
      <c r="G233" s="151"/>
      <c r="H233" s="163">
        <v>228</v>
      </c>
      <c r="I233" s="164" t="str">
        <f t="shared" si="14"/>
        <v/>
      </c>
      <c r="J233" s="163" t="e">
        <f t="shared" si="17"/>
        <v>#NUM!</v>
      </c>
      <c r="K233" s="163" t="e">
        <f t="shared" si="15"/>
        <v>#NUM!</v>
      </c>
      <c r="L233" s="163"/>
      <c r="M233" s="165">
        <f t="shared" si="16"/>
        <v>0</v>
      </c>
    </row>
    <row r="234" spans="1:13" x14ac:dyDescent="0.25">
      <c r="A234" s="180"/>
      <c r="G234" s="151"/>
      <c r="H234" s="163">
        <v>229</v>
      </c>
      <c r="I234" s="164" t="str">
        <f t="shared" si="14"/>
        <v/>
      </c>
      <c r="J234" s="163" t="e">
        <f t="shared" si="17"/>
        <v>#NUM!</v>
      </c>
      <c r="K234" s="163" t="e">
        <f t="shared" si="15"/>
        <v>#NUM!</v>
      </c>
      <c r="L234" s="163"/>
      <c r="M234" s="165">
        <f t="shared" si="16"/>
        <v>0</v>
      </c>
    </row>
    <row r="235" spans="1:13" x14ac:dyDescent="0.25">
      <c r="A235" s="180"/>
      <c r="G235" s="151"/>
      <c r="H235" s="163">
        <v>230</v>
      </c>
      <c r="I235" s="164" t="str">
        <f t="shared" si="14"/>
        <v/>
      </c>
      <c r="J235" s="163" t="e">
        <f t="shared" si="17"/>
        <v>#NUM!</v>
      </c>
      <c r="K235" s="163" t="e">
        <f t="shared" si="15"/>
        <v>#NUM!</v>
      </c>
      <c r="L235" s="163"/>
      <c r="M235" s="165">
        <f t="shared" si="16"/>
        <v>0</v>
      </c>
    </row>
    <row r="236" spans="1:13" x14ac:dyDescent="0.25">
      <c r="A236" s="180"/>
      <c r="G236" s="151"/>
      <c r="H236" s="163">
        <v>231</v>
      </c>
      <c r="I236" s="164" t="str">
        <f t="shared" si="14"/>
        <v/>
      </c>
      <c r="J236" s="163" t="e">
        <f t="shared" si="17"/>
        <v>#NUM!</v>
      </c>
      <c r="K236" s="163" t="e">
        <f t="shared" si="15"/>
        <v>#NUM!</v>
      </c>
      <c r="L236" s="163"/>
      <c r="M236" s="165">
        <f t="shared" si="16"/>
        <v>0</v>
      </c>
    </row>
    <row r="237" spans="1:13" x14ac:dyDescent="0.25">
      <c r="A237" s="180"/>
      <c r="G237" s="151"/>
      <c r="H237" s="163">
        <v>232</v>
      </c>
      <c r="I237" s="164" t="str">
        <f t="shared" si="14"/>
        <v/>
      </c>
      <c r="J237" s="163" t="e">
        <f t="shared" si="17"/>
        <v>#NUM!</v>
      </c>
      <c r="K237" s="163" t="e">
        <f t="shared" si="15"/>
        <v>#NUM!</v>
      </c>
      <c r="L237" s="163"/>
      <c r="M237" s="165">
        <f t="shared" si="16"/>
        <v>0</v>
      </c>
    </row>
    <row r="238" spans="1:13" x14ac:dyDescent="0.25">
      <c r="A238" s="180"/>
      <c r="G238" s="151"/>
      <c r="H238" s="163">
        <v>233</v>
      </c>
      <c r="I238" s="164" t="str">
        <f t="shared" si="14"/>
        <v/>
      </c>
      <c r="J238" s="163" t="e">
        <f t="shared" si="17"/>
        <v>#NUM!</v>
      </c>
      <c r="K238" s="163" t="e">
        <f t="shared" si="15"/>
        <v>#NUM!</v>
      </c>
      <c r="L238" s="163"/>
      <c r="M238" s="165">
        <f t="shared" si="16"/>
        <v>0</v>
      </c>
    </row>
    <row r="239" spans="1:13" x14ac:dyDescent="0.25">
      <c r="A239" s="180"/>
      <c r="G239" s="151"/>
      <c r="H239" s="163">
        <v>234</v>
      </c>
      <c r="I239" s="164" t="str">
        <f t="shared" si="14"/>
        <v/>
      </c>
      <c r="J239" s="163" t="e">
        <f t="shared" si="17"/>
        <v>#NUM!</v>
      </c>
      <c r="K239" s="163" t="e">
        <f t="shared" si="15"/>
        <v>#NUM!</v>
      </c>
      <c r="L239" s="163"/>
      <c r="M239" s="165">
        <f t="shared" si="16"/>
        <v>0</v>
      </c>
    </row>
    <row r="240" spans="1:13" x14ac:dyDescent="0.25">
      <c r="A240" s="180"/>
      <c r="G240" s="151"/>
      <c r="H240" s="163">
        <v>235</v>
      </c>
      <c r="I240" s="164" t="str">
        <f t="shared" si="14"/>
        <v/>
      </c>
      <c r="J240" s="163" t="e">
        <f t="shared" si="17"/>
        <v>#NUM!</v>
      </c>
      <c r="K240" s="163" t="e">
        <f t="shared" si="15"/>
        <v>#NUM!</v>
      </c>
      <c r="L240" s="163"/>
      <c r="M240" s="165">
        <f t="shared" si="16"/>
        <v>0</v>
      </c>
    </row>
    <row r="241" spans="1:13" x14ac:dyDescent="0.25">
      <c r="A241" s="180"/>
      <c r="G241" s="151"/>
      <c r="H241" s="163">
        <v>236</v>
      </c>
      <c r="I241" s="164" t="str">
        <f t="shared" si="14"/>
        <v/>
      </c>
      <c r="J241" s="163" t="e">
        <f t="shared" si="17"/>
        <v>#NUM!</v>
      </c>
      <c r="K241" s="163" t="e">
        <f t="shared" si="15"/>
        <v>#NUM!</v>
      </c>
      <c r="L241" s="163"/>
      <c r="M241" s="165">
        <f t="shared" si="16"/>
        <v>0</v>
      </c>
    </row>
    <row r="242" spans="1:13" x14ac:dyDescent="0.25">
      <c r="A242" s="180"/>
      <c r="G242" s="151"/>
      <c r="H242" s="163">
        <v>237</v>
      </c>
      <c r="I242" s="164" t="str">
        <f t="shared" si="14"/>
        <v/>
      </c>
      <c r="J242" s="163" t="e">
        <f t="shared" si="17"/>
        <v>#NUM!</v>
      </c>
      <c r="K242" s="163" t="e">
        <f t="shared" si="15"/>
        <v>#NUM!</v>
      </c>
      <c r="L242" s="163"/>
      <c r="M242" s="165">
        <f t="shared" si="16"/>
        <v>0</v>
      </c>
    </row>
    <row r="243" spans="1:13" x14ac:dyDescent="0.25">
      <c r="A243" s="180"/>
      <c r="G243" s="151"/>
      <c r="H243" s="163">
        <v>238</v>
      </c>
      <c r="I243" s="164" t="str">
        <f t="shared" si="14"/>
        <v/>
      </c>
      <c r="J243" s="163" t="e">
        <f t="shared" si="17"/>
        <v>#NUM!</v>
      </c>
      <c r="K243" s="163" t="e">
        <f t="shared" si="15"/>
        <v>#NUM!</v>
      </c>
      <c r="L243" s="163"/>
      <c r="M243" s="165">
        <f t="shared" si="16"/>
        <v>0</v>
      </c>
    </row>
    <row r="244" spans="1:13" x14ac:dyDescent="0.25">
      <c r="A244" s="180"/>
      <c r="G244" s="151"/>
      <c r="H244" s="163">
        <v>239</v>
      </c>
      <c r="I244" s="164" t="str">
        <f t="shared" si="14"/>
        <v/>
      </c>
      <c r="J244" s="163" t="e">
        <f t="shared" si="17"/>
        <v>#NUM!</v>
      </c>
      <c r="K244" s="163" t="e">
        <f t="shared" si="15"/>
        <v>#NUM!</v>
      </c>
      <c r="L244" s="163"/>
      <c r="M244" s="165">
        <f t="shared" si="16"/>
        <v>0</v>
      </c>
    </row>
    <row r="245" spans="1:13" x14ac:dyDescent="0.25">
      <c r="A245" s="180"/>
      <c r="G245" s="151"/>
      <c r="H245" s="163">
        <v>240</v>
      </c>
      <c r="I245" s="164" t="str">
        <f t="shared" si="14"/>
        <v/>
      </c>
      <c r="J245" s="163" t="e">
        <f t="shared" si="17"/>
        <v>#NUM!</v>
      </c>
      <c r="K245" s="163" t="e">
        <f t="shared" si="15"/>
        <v>#NUM!</v>
      </c>
      <c r="L245" s="163"/>
      <c r="M245" s="165">
        <f t="shared" si="16"/>
        <v>0</v>
      </c>
    </row>
    <row r="246" spans="1:13" x14ac:dyDescent="0.25">
      <c r="A246" s="180"/>
      <c r="G246" s="151"/>
      <c r="H246" s="163">
        <v>241</v>
      </c>
      <c r="I246" s="164" t="str">
        <f t="shared" si="14"/>
        <v/>
      </c>
      <c r="J246" s="163" t="e">
        <f t="shared" si="17"/>
        <v>#NUM!</v>
      </c>
      <c r="K246" s="163" t="e">
        <f t="shared" si="15"/>
        <v>#NUM!</v>
      </c>
      <c r="L246" s="163"/>
      <c r="M246" s="165">
        <f t="shared" si="16"/>
        <v>0</v>
      </c>
    </row>
    <row r="247" spans="1:13" x14ac:dyDescent="0.25">
      <c r="A247" s="180"/>
      <c r="G247" s="151"/>
      <c r="H247" s="163">
        <v>242</v>
      </c>
      <c r="I247" s="164" t="str">
        <f t="shared" si="14"/>
        <v/>
      </c>
      <c r="J247" s="163" t="e">
        <f t="shared" si="17"/>
        <v>#NUM!</v>
      </c>
      <c r="K247" s="163" t="e">
        <f t="shared" si="15"/>
        <v>#NUM!</v>
      </c>
      <c r="L247" s="163"/>
      <c r="M247" s="165">
        <f t="shared" si="16"/>
        <v>0</v>
      </c>
    </row>
    <row r="248" spans="1:13" x14ac:dyDescent="0.25">
      <c r="A248" s="180"/>
      <c r="G248" s="151"/>
      <c r="H248" s="163">
        <v>243</v>
      </c>
      <c r="I248" s="164" t="str">
        <f t="shared" si="14"/>
        <v/>
      </c>
      <c r="J248" s="163" t="e">
        <f t="shared" si="17"/>
        <v>#NUM!</v>
      </c>
      <c r="K248" s="163" t="e">
        <f t="shared" si="15"/>
        <v>#NUM!</v>
      </c>
      <c r="L248" s="163"/>
      <c r="M248" s="165">
        <f t="shared" si="16"/>
        <v>0</v>
      </c>
    </row>
    <row r="249" spans="1:13" x14ac:dyDescent="0.25">
      <c r="A249" s="180"/>
      <c r="G249" s="151"/>
      <c r="H249" s="163">
        <v>244</v>
      </c>
      <c r="I249" s="164" t="str">
        <f t="shared" si="14"/>
        <v/>
      </c>
      <c r="J249" s="163" t="e">
        <f t="shared" si="17"/>
        <v>#NUM!</v>
      </c>
      <c r="K249" s="163" t="e">
        <f t="shared" si="15"/>
        <v>#NUM!</v>
      </c>
      <c r="L249" s="163"/>
      <c r="M249" s="165">
        <f t="shared" si="16"/>
        <v>0</v>
      </c>
    </row>
    <row r="250" spans="1:13" x14ac:dyDescent="0.25">
      <c r="A250" s="180"/>
      <c r="G250" s="151"/>
      <c r="H250" s="163">
        <v>245</v>
      </c>
      <c r="I250" s="164" t="str">
        <f t="shared" si="14"/>
        <v/>
      </c>
      <c r="J250" s="163" t="e">
        <f t="shared" si="17"/>
        <v>#NUM!</v>
      </c>
      <c r="K250" s="163" t="e">
        <f t="shared" si="15"/>
        <v>#NUM!</v>
      </c>
      <c r="L250" s="163"/>
      <c r="M250" s="165">
        <f t="shared" si="16"/>
        <v>0</v>
      </c>
    </row>
    <row r="251" spans="1:13" x14ac:dyDescent="0.25">
      <c r="A251" s="180"/>
      <c r="G251" s="151"/>
      <c r="H251" s="163">
        <v>246</v>
      </c>
      <c r="I251" s="164" t="str">
        <f t="shared" si="14"/>
        <v/>
      </c>
      <c r="J251" s="163" t="e">
        <f t="shared" si="17"/>
        <v>#NUM!</v>
      </c>
      <c r="K251" s="163" t="e">
        <f t="shared" si="15"/>
        <v>#NUM!</v>
      </c>
      <c r="L251" s="163"/>
      <c r="M251" s="165">
        <f t="shared" si="16"/>
        <v>0</v>
      </c>
    </row>
    <row r="252" spans="1:13" x14ac:dyDescent="0.25">
      <c r="A252" s="180"/>
      <c r="G252" s="151"/>
      <c r="H252" s="163">
        <v>247</v>
      </c>
      <c r="I252" s="164" t="str">
        <f t="shared" si="14"/>
        <v/>
      </c>
      <c r="J252" s="163" t="e">
        <f t="shared" si="17"/>
        <v>#NUM!</v>
      </c>
      <c r="K252" s="163" t="e">
        <f t="shared" si="15"/>
        <v>#NUM!</v>
      </c>
      <c r="L252" s="163"/>
      <c r="M252" s="165">
        <f t="shared" si="16"/>
        <v>0</v>
      </c>
    </row>
    <row r="253" spans="1:13" x14ac:dyDescent="0.25">
      <c r="A253" s="180"/>
      <c r="G253" s="151"/>
      <c r="H253" s="163">
        <v>248</v>
      </c>
      <c r="I253" s="164" t="str">
        <f t="shared" si="14"/>
        <v/>
      </c>
      <c r="J253" s="163" t="e">
        <f t="shared" si="17"/>
        <v>#NUM!</v>
      </c>
      <c r="K253" s="163" t="e">
        <f t="shared" si="15"/>
        <v>#NUM!</v>
      </c>
      <c r="L253" s="163"/>
      <c r="M253" s="165">
        <f t="shared" si="16"/>
        <v>0</v>
      </c>
    </row>
    <row r="254" spans="1:13" x14ac:dyDescent="0.25">
      <c r="A254" s="180"/>
      <c r="G254" s="151"/>
      <c r="H254" s="163">
        <v>249</v>
      </c>
      <c r="I254" s="164" t="str">
        <f t="shared" si="14"/>
        <v/>
      </c>
      <c r="J254" s="163" t="e">
        <f t="shared" si="17"/>
        <v>#NUM!</v>
      </c>
      <c r="K254" s="163" t="e">
        <f t="shared" si="15"/>
        <v>#NUM!</v>
      </c>
      <c r="L254" s="163"/>
      <c r="M254" s="165">
        <f t="shared" si="16"/>
        <v>0</v>
      </c>
    </row>
    <row r="255" spans="1:13" x14ac:dyDescent="0.25">
      <c r="A255" s="180"/>
      <c r="G255" s="151"/>
      <c r="H255" s="163">
        <v>250</v>
      </c>
      <c r="I255" s="164" t="str">
        <f t="shared" si="14"/>
        <v/>
      </c>
      <c r="J255" s="163" t="e">
        <f t="shared" si="17"/>
        <v>#NUM!</v>
      </c>
      <c r="K255" s="163" t="e">
        <f t="shared" si="15"/>
        <v>#NUM!</v>
      </c>
      <c r="L255" s="163"/>
      <c r="M255" s="165">
        <f t="shared" si="16"/>
        <v>0</v>
      </c>
    </row>
    <row r="256" spans="1:13" x14ac:dyDescent="0.25">
      <c r="A256" s="180"/>
      <c r="G256" s="151"/>
      <c r="H256" s="163">
        <v>251</v>
      </c>
      <c r="I256" s="164" t="str">
        <f t="shared" si="14"/>
        <v/>
      </c>
      <c r="J256" s="163" t="e">
        <f t="shared" si="17"/>
        <v>#NUM!</v>
      </c>
      <c r="K256" s="163" t="e">
        <f t="shared" si="15"/>
        <v>#NUM!</v>
      </c>
      <c r="L256" s="163"/>
      <c r="M256" s="165">
        <f t="shared" si="16"/>
        <v>0</v>
      </c>
    </row>
    <row r="257" spans="1:13" x14ac:dyDescent="0.25">
      <c r="A257" s="180"/>
      <c r="G257" s="151"/>
      <c r="H257" s="163">
        <v>252</v>
      </c>
      <c r="I257" s="164" t="str">
        <f t="shared" si="14"/>
        <v/>
      </c>
      <c r="J257" s="163" t="e">
        <f t="shared" si="17"/>
        <v>#NUM!</v>
      </c>
      <c r="K257" s="163" t="e">
        <f t="shared" si="15"/>
        <v>#NUM!</v>
      </c>
      <c r="L257" s="163"/>
      <c r="M257" s="165">
        <f t="shared" si="16"/>
        <v>0</v>
      </c>
    </row>
    <row r="258" spans="1:13" x14ac:dyDescent="0.25">
      <c r="A258" s="180"/>
      <c r="G258" s="151"/>
      <c r="H258" s="163">
        <v>253</v>
      </c>
      <c r="I258" s="164" t="str">
        <f t="shared" si="14"/>
        <v/>
      </c>
      <c r="J258" s="163" t="e">
        <f t="shared" si="17"/>
        <v>#NUM!</v>
      </c>
      <c r="K258" s="163" t="e">
        <f t="shared" si="15"/>
        <v>#NUM!</v>
      </c>
      <c r="L258" s="163"/>
      <c r="M258" s="165">
        <f t="shared" si="16"/>
        <v>0</v>
      </c>
    </row>
    <row r="259" spans="1:13" x14ac:dyDescent="0.25">
      <c r="A259" s="180"/>
      <c r="G259" s="151"/>
      <c r="H259" s="163">
        <v>254</v>
      </c>
      <c r="I259" s="164" t="str">
        <f t="shared" si="14"/>
        <v/>
      </c>
      <c r="J259" s="163" t="e">
        <f t="shared" si="17"/>
        <v>#NUM!</v>
      </c>
      <c r="K259" s="163" t="e">
        <f t="shared" si="15"/>
        <v>#NUM!</v>
      </c>
      <c r="L259" s="163"/>
      <c r="M259" s="165">
        <f t="shared" si="16"/>
        <v>0</v>
      </c>
    </row>
    <row r="260" spans="1:13" x14ac:dyDescent="0.25">
      <c r="A260" s="180"/>
      <c r="G260" s="151"/>
      <c r="H260" s="163">
        <v>255</v>
      </c>
      <c r="I260" s="164" t="str">
        <f t="shared" si="14"/>
        <v/>
      </c>
      <c r="J260" s="163" t="e">
        <f t="shared" si="17"/>
        <v>#NUM!</v>
      </c>
      <c r="K260" s="163" t="e">
        <f t="shared" si="15"/>
        <v>#NUM!</v>
      </c>
      <c r="L260" s="163"/>
      <c r="M260" s="165">
        <f t="shared" si="16"/>
        <v>0</v>
      </c>
    </row>
    <row r="261" spans="1:13" x14ac:dyDescent="0.25">
      <c r="A261" s="180"/>
      <c r="G261" s="151"/>
      <c r="H261" s="163">
        <v>256</v>
      </c>
      <c r="I261" s="164" t="str">
        <f t="shared" si="14"/>
        <v/>
      </c>
      <c r="J261" s="163" t="e">
        <f t="shared" si="17"/>
        <v>#NUM!</v>
      </c>
      <c r="K261" s="163" t="e">
        <f t="shared" si="15"/>
        <v>#NUM!</v>
      </c>
      <c r="L261" s="163"/>
      <c r="M261" s="165">
        <f t="shared" si="16"/>
        <v>0</v>
      </c>
    </row>
    <row r="262" spans="1:13" x14ac:dyDescent="0.25">
      <c r="A262" s="180"/>
      <c r="G262" s="151"/>
      <c r="H262" s="163">
        <v>257</v>
      </c>
      <c r="I262" s="164" t="str">
        <f t="shared" ref="I262:I305" si="18">IF(H262&lt;$H$2+1,($I$2-($I$2-1)*(LOG(H262)/LOG($H$2))),"")</f>
        <v/>
      </c>
      <c r="J262" s="163" t="e">
        <f t="shared" si="17"/>
        <v>#NUM!</v>
      </c>
      <c r="K262" s="163" t="e">
        <f t="shared" ref="K262:K305" si="19">J262*$J$2</f>
        <v>#NUM!</v>
      </c>
      <c r="L262" s="163"/>
      <c r="M262" s="165">
        <f t="shared" ref="M262:M305" si="20">IF(I262&lt;&gt;"",K262+I262+L262,0)</f>
        <v>0</v>
      </c>
    </row>
    <row r="263" spans="1:13" x14ac:dyDescent="0.25">
      <c r="A263" s="180"/>
      <c r="G263" s="151"/>
      <c r="H263" s="163">
        <v>258</v>
      </c>
      <c r="I263" s="164" t="str">
        <f t="shared" si="18"/>
        <v/>
      </c>
      <c r="J263" s="163" t="e">
        <f t="shared" ref="J263:J326" si="21">INT(LOG($H$2,2))-ROUNDUP(LOG(H263,2),0)+IF(OR($H$2=1,$H$2=2,$H$2=4,$H$2=8,$H$2=16,$H$2=32,$H$2=64,$H$2=128,$H$2=256),0,1)</f>
        <v>#NUM!</v>
      </c>
      <c r="K263" s="163" t="e">
        <f t="shared" si="19"/>
        <v>#NUM!</v>
      </c>
      <c r="L263" s="163"/>
      <c r="M263" s="165">
        <f t="shared" si="20"/>
        <v>0</v>
      </c>
    </row>
    <row r="264" spans="1:13" x14ac:dyDescent="0.25">
      <c r="A264" s="180"/>
      <c r="G264" s="151"/>
      <c r="H264" s="163">
        <v>259</v>
      </c>
      <c r="I264" s="164" t="str">
        <f t="shared" si="18"/>
        <v/>
      </c>
      <c r="J264" s="163" t="e">
        <f t="shared" si="21"/>
        <v>#NUM!</v>
      </c>
      <c r="K264" s="163" t="e">
        <f t="shared" si="19"/>
        <v>#NUM!</v>
      </c>
      <c r="L264" s="163"/>
      <c r="M264" s="165">
        <f t="shared" si="20"/>
        <v>0</v>
      </c>
    </row>
    <row r="265" spans="1:13" x14ac:dyDescent="0.25">
      <c r="A265" s="180"/>
      <c r="G265" s="151"/>
      <c r="H265" s="163">
        <v>260</v>
      </c>
      <c r="I265" s="164" t="str">
        <f t="shared" si="18"/>
        <v/>
      </c>
      <c r="J265" s="163" t="e">
        <f t="shared" si="21"/>
        <v>#NUM!</v>
      </c>
      <c r="K265" s="163" t="e">
        <f t="shared" si="19"/>
        <v>#NUM!</v>
      </c>
      <c r="L265" s="163"/>
      <c r="M265" s="165">
        <f t="shared" si="20"/>
        <v>0</v>
      </c>
    </row>
    <row r="266" spans="1:13" x14ac:dyDescent="0.25">
      <c r="A266" s="180"/>
      <c r="G266" s="151"/>
      <c r="H266" s="163">
        <v>261</v>
      </c>
      <c r="I266" s="164" t="str">
        <f t="shared" si="18"/>
        <v/>
      </c>
      <c r="J266" s="163" t="e">
        <f t="shared" si="21"/>
        <v>#NUM!</v>
      </c>
      <c r="K266" s="163" t="e">
        <f t="shared" si="19"/>
        <v>#NUM!</v>
      </c>
      <c r="L266" s="163"/>
      <c r="M266" s="165">
        <f t="shared" si="20"/>
        <v>0</v>
      </c>
    </row>
    <row r="267" spans="1:13" x14ac:dyDescent="0.25">
      <c r="A267" s="180"/>
      <c r="G267" s="151"/>
      <c r="H267" s="163">
        <v>262</v>
      </c>
      <c r="I267" s="164" t="str">
        <f t="shared" si="18"/>
        <v/>
      </c>
      <c r="J267" s="163" t="e">
        <f t="shared" si="21"/>
        <v>#NUM!</v>
      </c>
      <c r="K267" s="163" t="e">
        <f t="shared" si="19"/>
        <v>#NUM!</v>
      </c>
      <c r="L267" s="163"/>
      <c r="M267" s="165">
        <f t="shared" si="20"/>
        <v>0</v>
      </c>
    </row>
    <row r="268" spans="1:13" x14ac:dyDescent="0.25">
      <c r="A268" s="180"/>
      <c r="G268" s="151"/>
      <c r="H268" s="163">
        <v>263</v>
      </c>
      <c r="I268" s="164" t="str">
        <f t="shared" si="18"/>
        <v/>
      </c>
      <c r="J268" s="163" t="e">
        <f t="shared" si="21"/>
        <v>#NUM!</v>
      </c>
      <c r="K268" s="163" t="e">
        <f t="shared" si="19"/>
        <v>#NUM!</v>
      </c>
      <c r="L268" s="163"/>
      <c r="M268" s="165">
        <f t="shared" si="20"/>
        <v>0</v>
      </c>
    </row>
    <row r="269" spans="1:13" x14ac:dyDescent="0.25">
      <c r="A269" s="180"/>
      <c r="G269" s="151"/>
      <c r="H269" s="163">
        <v>264</v>
      </c>
      <c r="I269" s="164" t="str">
        <f t="shared" si="18"/>
        <v/>
      </c>
      <c r="J269" s="163" t="e">
        <f t="shared" si="21"/>
        <v>#NUM!</v>
      </c>
      <c r="K269" s="163" t="e">
        <f t="shared" si="19"/>
        <v>#NUM!</v>
      </c>
      <c r="L269" s="163"/>
      <c r="M269" s="165">
        <f t="shared" si="20"/>
        <v>0</v>
      </c>
    </row>
    <row r="270" spans="1:13" x14ac:dyDescent="0.25">
      <c r="A270" s="180"/>
      <c r="G270" s="151"/>
      <c r="H270" s="163">
        <v>265</v>
      </c>
      <c r="I270" s="164" t="str">
        <f t="shared" si="18"/>
        <v/>
      </c>
      <c r="J270" s="163" t="e">
        <f t="shared" si="21"/>
        <v>#NUM!</v>
      </c>
      <c r="K270" s="163" t="e">
        <f t="shared" si="19"/>
        <v>#NUM!</v>
      </c>
      <c r="L270" s="163"/>
      <c r="M270" s="165">
        <f t="shared" si="20"/>
        <v>0</v>
      </c>
    </row>
    <row r="271" spans="1:13" x14ac:dyDescent="0.25">
      <c r="A271" s="180"/>
      <c r="G271" s="151"/>
      <c r="H271" s="163">
        <v>266</v>
      </c>
      <c r="I271" s="164" t="str">
        <f t="shared" si="18"/>
        <v/>
      </c>
      <c r="J271" s="163" t="e">
        <f t="shared" si="21"/>
        <v>#NUM!</v>
      </c>
      <c r="K271" s="163" t="e">
        <f t="shared" si="19"/>
        <v>#NUM!</v>
      </c>
      <c r="L271" s="163"/>
      <c r="M271" s="165">
        <f t="shared" si="20"/>
        <v>0</v>
      </c>
    </row>
    <row r="272" spans="1:13" x14ac:dyDescent="0.25">
      <c r="A272" s="180"/>
      <c r="G272" s="151"/>
      <c r="H272" s="163">
        <v>267</v>
      </c>
      <c r="I272" s="164" t="str">
        <f t="shared" si="18"/>
        <v/>
      </c>
      <c r="J272" s="163" t="e">
        <f t="shared" si="21"/>
        <v>#NUM!</v>
      </c>
      <c r="K272" s="163" t="e">
        <f t="shared" si="19"/>
        <v>#NUM!</v>
      </c>
      <c r="L272" s="163"/>
      <c r="M272" s="165">
        <f t="shared" si="20"/>
        <v>0</v>
      </c>
    </row>
    <row r="273" spans="1:13" x14ac:dyDescent="0.25">
      <c r="A273" s="180"/>
      <c r="G273" s="151"/>
      <c r="H273" s="163">
        <v>268</v>
      </c>
      <c r="I273" s="164" t="str">
        <f t="shared" si="18"/>
        <v/>
      </c>
      <c r="J273" s="163" t="e">
        <f t="shared" si="21"/>
        <v>#NUM!</v>
      </c>
      <c r="K273" s="163" t="e">
        <f t="shared" si="19"/>
        <v>#NUM!</v>
      </c>
      <c r="L273" s="163"/>
      <c r="M273" s="165">
        <f t="shared" si="20"/>
        <v>0</v>
      </c>
    </row>
    <row r="274" spans="1:13" x14ac:dyDescent="0.25">
      <c r="A274" s="180"/>
      <c r="G274" s="151"/>
      <c r="H274" s="163">
        <v>269</v>
      </c>
      <c r="I274" s="164" t="str">
        <f t="shared" si="18"/>
        <v/>
      </c>
      <c r="J274" s="163" t="e">
        <f t="shared" si="21"/>
        <v>#NUM!</v>
      </c>
      <c r="K274" s="163" t="e">
        <f t="shared" si="19"/>
        <v>#NUM!</v>
      </c>
      <c r="L274" s="163"/>
      <c r="M274" s="165">
        <f t="shared" si="20"/>
        <v>0</v>
      </c>
    </row>
    <row r="275" spans="1:13" x14ac:dyDescent="0.25">
      <c r="A275" s="180"/>
      <c r="G275" s="151"/>
      <c r="H275" s="163">
        <v>270</v>
      </c>
      <c r="I275" s="164" t="str">
        <f t="shared" si="18"/>
        <v/>
      </c>
      <c r="J275" s="163" t="e">
        <f t="shared" si="21"/>
        <v>#NUM!</v>
      </c>
      <c r="K275" s="163" t="e">
        <f t="shared" si="19"/>
        <v>#NUM!</v>
      </c>
      <c r="L275" s="163"/>
      <c r="M275" s="165">
        <f t="shared" si="20"/>
        <v>0</v>
      </c>
    </row>
    <row r="276" spans="1:13" x14ac:dyDescent="0.25">
      <c r="A276" s="180"/>
      <c r="G276" s="151"/>
      <c r="H276" s="163">
        <v>271</v>
      </c>
      <c r="I276" s="164" t="str">
        <f t="shared" si="18"/>
        <v/>
      </c>
      <c r="J276" s="163" t="e">
        <f t="shared" si="21"/>
        <v>#NUM!</v>
      </c>
      <c r="K276" s="163" t="e">
        <f t="shared" si="19"/>
        <v>#NUM!</v>
      </c>
      <c r="L276" s="163"/>
      <c r="M276" s="165">
        <f t="shared" si="20"/>
        <v>0</v>
      </c>
    </row>
    <row r="277" spans="1:13" x14ac:dyDescent="0.25">
      <c r="A277" s="180"/>
      <c r="G277" s="151"/>
      <c r="H277" s="163">
        <v>272</v>
      </c>
      <c r="I277" s="164" t="str">
        <f t="shared" si="18"/>
        <v/>
      </c>
      <c r="J277" s="163" t="e">
        <f t="shared" si="21"/>
        <v>#NUM!</v>
      </c>
      <c r="K277" s="163" t="e">
        <f t="shared" si="19"/>
        <v>#NUM!</v>
      </c>
      <c r="L277" s="163"/>
      <c r="M277" s="165">
        <f t="shared" si="20"/>
        <v>0</v>
      </c>
    </row>
    <row r="278" spans="1:13" x14ac:dyDescent="0.25">
      <c r="A278" s="180"/>
      <c r="G278" s="151"/>
      <c r="H278" s="163">
        <v>273</v>
      </c>
      <c r="I278" s="164" t="str">
        <f t="shared" si="18"/>
        <v/>
      </c>
      <c r="J278" s="163" t="e">
        <f t="shared" si="21"/>
        <v>#NUM!</v>
      </c>
      <c r="K278" s="163" t="e">
        <f t="shared" si="19"/>
        <v>#NUM!</v>
      </c>
      <c r="L278" s="163"/>
      <c r="M278" s="165">
        <f t="shared" si="20"/>
        <v>0</v>
      </c>
    </row>
    <row r="279" spans="1:13" x14ac:dyDescent="0.25">
      <c r="A279" s="180"/>
      <c r="G279" s="151"/>
      <c r="H279" s="163">
        <v>274</v>
      </c>
      <c r="I279" s="164" t="str">
        <f t="shared" si="18"/>
        <v/>
      </c>
      <c r="J279" s="163" t="e">
        <f t="shared" si="21"/>
        <v>#NUM!</v>
      </c>
      <c r="K279" s="163" t="e">
        <f t="shared" si="19"/>
        <v>#NUM!</v>
      </c>
      <c r="L279" s="163"/>
      <c r="M279" s="165">
        <f t="shared" si="20"/>
        <v>0</v>
      </c>
    </row>
    <row r="280" spans="1:13" x14ac:dyDescent="0.25">
      <c r="A280" s="180"/>
      <c r="G280" s="151"/>
      <c r="H280" s="163">
        <v>275</v>
      </c>
      <c r="I280" s="164" t="str">
        <f t="shared" si="18"/>
        <v/>
      </c>
      <c r="J280" s="163" t="e">
        <f t="shared" si="21"/>
        <v>#NUM!</v>
      </c>
      <c r="K280" s="163" t="e">
        <f t="shared" si="19"/>
        <v>#NUM!</v>
      </c>
      <c r="L280" s="163"/>
      <c r="M280" s="165">
        <f t="shared" si="20"/>
        <v>0</v>
      </c>
    </row>
    <row r="281" spans="1:13" x14ac:dyDescent="0.25">
      <c r="A281" s="180"/>
      <c r="G281" s="151"/>
      <c r="H281" s="163">
        <v>276</v>
      </c>
      <c r="I281" s="164" t="str">
        <f t="shared" si="18"/>
        <v/>
      </c>
      <c r="J281" s="163" t="e">
        <f t="shared" si="21"/>
        <v>#NUM!</v>
      </c>
      <c r="K281" s="163" t="e">
        <f t="shared" si="19"/>
        <v>#NUM!</v>
      </c>
      <c r="L281" s="163"/>
      <c r="M281" s="165">
        <f t="shared" si="20"/>
        <v>0</v>
      </c>
    </row>
    <row r="282" spans="1:13" x14ac:dyDescent="0.25">
      <c r="A282" s="180"/>
      <c r="G282" s="151"/>
      <c r="H282" s="163">
        <v>277</v>
      </c>
      <c r="I282" s="164" t="str">
        <f t="shared" si="18"/>
        <v/>
      </c>
      <c r="J282" s="163" t="e">
        <f t="shared" si="21"/>
        <v>#NUM!</v>
      </c>
      <c r="K282" s="163" t="e">
        <f t="shared" si="19"/>
        <v>#NUM!</v>
      </c>
      <c r="L282" s="163"/>
      <c r="M282" s="165">
        <f t="shared" si="20"/>
        <v>0</v>
      </c>
    </row>
    <row r="283" spans="1:13" x14ac:dyDescent="0.25">
      <c r="A283" s="180"/>
      <c r="G283" s="151"/>
      <c r="H283" s="163">
        <v>278</v>
      </c>
      <c r="I283" s="164" t="str">
        <f t="shared" si="18"/>
        <v/>
      </c>
      <c r="J283" s="163" t="e">
        <f t="shared" si="21"/>
        <v>#NUM!</v>
      </c>
      <c r="K283" s="163" t="e">
        <f t="shared" si="19"/>
        <v>#NUM!</v>
      </c>
      <c r="L283" s="163"/>
      <c r="M283" s="165">
        <f t="shared" si="20"/>
        <v>0</v>
      </c>
    </row>
    <row r="284" spans="1:13" x14ac:dyDescent="0.25">
      <c r="A284" s="180"/>
      <c r="G284" s="151"/>
      <c r="H284" s="163">
        <v>279</v>
      </c>
      <c r="I284" s="164" t="str">
        <f t="shared" si="18"/>
        <v/>
      </c>
      <c r="J284" s="163" t="e">
        <f t="shared" si="21"/>
        <v>#NUM!</v>
      </c>
      <c r="K284" s="163" t="e">
        <f t="shared" si="19"/>
        <v>#NUM!</v>
      </c>
      <c r="L284" s="163"/>
      <c r="M284" s="165">
        <f t="shared" si="20"/>
        <v>0</v>
      </c>
    </row>
    <row r="285" spans="1:13" x14ac:dyDescent="0.25">
      <c r="A285" s="180"/>
      <c r="G285" s="151"/>
      <c r="H285" s="163">
        <v>280</v>
      </c>
      <c r="I285" s="164" t="str">
        <f t="shared" si="18"/>
        <v/>
      </c>
      <c r="J285" s="163" t="e">
        <f t="shared" si="21"/>
        <v>#NUM!</v>
      </c>
      <c r="K285" s="163" t="e">
        <f t="shared" si="19"/>
        <v>#NUM!</v>
      </c>
      <c r="L285" s="163"/>
      <c r="M285" s="165">
        <f t="shared" si="20"/>
        <v>0</v>
      </c>
    </row>
    <row r="286" spans="1:13" x14ac:dyDescent="0.25">
      <c r="A286" s="180"/>
      <c r="G286" s="151"/>
      <c r="H286" s="163">
        <v>281</v>
      </c>
      <c r="I286" s="164" t="str">
        <f t="shared" si="18"/>
        <v/>
      </c>
      <c r="J286" s="163" t="e">
        <f t="shared" si="21"/>
        <v>#NUM!</v>
      </c>
      <c r="K286" s="163" t="e">
        <f t="shared" si="19"/>
        <v>#NUM!</v>
      </c>
      <c r="L286" s="163"/>
      <c r="M286" s="165">
        <f t="shared" si="20"/>
        <v>0</v>
      </c>
    </row>
    <row r="287" spans="1:13" x14ac:dyDescent="0.25">
      <c r="A287" s="180"/>
      <c r="G287" s="151"/>
      <c r="H287" s="163">
        <v>282</v>
      </c>
      <c r="I287" s="164" t="str">
        <f t="shared" si="18"/>
        <v/>
      </c>
      <c r="J287" s="163" t="e">
        <f t="shared" si="21"/>
        <v>#NUM!</v>
      </c>
      <c r="K287" s="163" t="e">
        <f t="shared" si="19"/>
        <v>#NUM!</v>
      </c>
      <c r="L287" s="163"/>
      <c r="M287" s="165">
        <f t="shared" si="20"/>
        <v>0</v>
      </c>
    </row>
    <row r="288" spans="1:13" x14ac:dyDescent="0.25">
      <c r="A288" s="180"/>
      <c r="G288" s="151"/>
      <c r="H288" s="163">
        <v>283</v>
      </c>
      <c r="I288" s="164" t="str">
        <f t="shared" si="18"/>
        <v/>
      </c>
      <c r="J288" s="163" t="e">
        <f t="shared" si="21"/>
        <v>#NUM!</v>
      </c>
      <c r="K288" s="163" t="e">
        <f t="shared" si="19"/>
        <v>#NUM!</v>
      </c>
      <c r="L288" s="163"/>
      <c r="M288" s="165">
        <f t="shared" si="20"/>
        <v>0</v>
      </c>
    </row>
    <row r="289" spans="1:13" x14ac:dyDescent="0.25">
      <c r="A289" s="180"/>
      <c r="G289" s="151"/>
      <c r="H289" s="163">
        <v>284</v>
      </c>
      <c r="I289" s="164" t="str">
        <f t="shared" si="18"/>
        <v/>
      </c>
      <c r="J289" s="163" t="e">
        <f t="shared" si="21"/>
        <v>#NUM!</v>
      </c>
      <c r="K289" s="163" t="e">
        <f t="shared" si="19"/>
        <v>#NUM!</v>
      </c>
      <c r="L289" s="163"/>
      <c r="M289" s="165">
        <f t="shared" si="20"/>
        <v>0</v>
      </c>
    </row>
    <row r="290" spans="1:13" x14ac:dyDescent="0.25">
      <c r="A290" s="180"/>
      <c r="G290" s="151"/>
      <c r="H290" s="163">
        <v>285</v>
      </c>
      <c r="I290" s="164" t="str">
        <f t="shared" si="18"/>
        <v/>
      </c>
      <c r="J290" s="163" t="e">
        <f t="shared" si="21"/>
        <v>#NUM!</v>
      </c>
      <c r="K290" s="163" t="e">
        <f t="shared" si="19"/>
        <v>#NUM!</v>
      </c>
      <c r="L290" s="163"/>
      <c r="M290" s="165">
        <f t="shared" si="20"/>
        <v>0</v>
      </c>
    </row>
    <row r="291" spans="1:13" x14ac:dyDescent="0.25">
      <c r="A291" s="180"/>
      <c r="G291" s="151"/>
      <c r="H291" s="163">
        <v>286</v>
      </c>
      <c r="I291" s="164" t="str">
        <f t="shared" si="18"/>
        <v/>
      </c>
      <c r="J291" s="163" t="e">
        <f t="shared" si="21"/>
        <v>#NUM!</v>
      </c>
      <c r="K291" s="163" t="e">
        <f t="shared" si="19"/>
        <v>#NUM!</v>
      </c>
      <c r="L291" s="163"/>
      <c r="M291" s="165">
        <f t="shared" si="20"/>
        <v>0</v>
      </c>
    </row>
    <row r="292" spans="1:13" x14ac:dyDescent="0.25">
      <c r="A292" s="180"/>
      <c r="G292" s="151"/>
      <c r="H292" s="163">
        <v>287</v>
      </c>
      <c r="I292" s="164" t="str">
        <f t="shared" si="18"/>
        <v/>
      </c>
      <c r="J292" s="163" t="e">
        <f t="shared" si="21"/>
        <v>#NUM!</v>
      </c>
      <c r="K292" s="163" t="e">
        <f t="shared" si="19"/>
        <v>#NUM!</v>
      </c>
      <c r="L292" s="163"/>
      <c r="M292" s="165">
        <f t="shared" si="20"/>
        <v>0</v>
      </c>
    </row>
    <row r="293" spans="1:13" x14ac:dyDescent="0.25">
      <c r="A293" s="180"/>
      <c r="G293" s="151"/>
      <c r="H293" s="163">
        <v>288</v>
      </c>
      <c r="I293" s="164" t="str">
        <f t="shared" si="18"/>
        <v/>
      </c>
      <c r="J293" s="163" t="e">
        <f t="shared" si="21"/>
        <v>#NUM!</v>
      </c>
      <c r="K293" s="163" t="e">
        <f t="shared" si="19"/>
        <v>#NUM!</v>
      </c>
      <c r="L293" s="163"/>
      <c r="M293" s="165">
        <f t="shared" si="20"/>
        <v>0</v>
      </c>
    </row>
    <row r="294" spans="1:13" x14ac:dyDescent="0.25">
      <c r="A294" s="180"/>
      <c r="G294" s="151"/>
      <c r="H294" s="163">
        <v>289</v>
      </c>
      <c r="I294" s="164" t="str">
        <f t="shared" si="18"/>
        <v/>
      </c>
      <c r="J294" s="163" t="e">
        <f t="shared" si="21"/>
        <v>#NUM!</v>
      </c>
      <c r="K294" s="163" t="e">
        <f t="shared" si="19"/>
        <v>#NUM!</v>
      </c>
      <c r="L294" s="163"/>
      <c r="M294" s="165">
        <f t="shared" si="20"/>
        <v>0</v>
      </c>
    </row>
    <row r="295" spans="1:13" x14ac:dyDescent="0.25">
      <c r="A295" s="180"/>
      <c r="G295" s="151"/>
      <c r="H295" s="163">
        <v>290</v>
      </c>
      <c r="I295" s="164" t="str">
        <f t="shared" si="18"/>
        <v/>
      </c>
      <c r="J295" s="163" t="e">
        <f t="shared" si="21"/>
        <v>#NUM!</v>
      </c>
      <c r="K295" s="163" t="e">
        <f t="shared" si="19"/>
        <v>#NUM!</v>
      </c>
      <c r="L295" s="163"/>
      <c r="M295" s="165">
        <f t="shared" si="20"/>
        <v>0</v>
      </c>
    </row>
    <row r="296" spans="1:13" x14ac:dyDescent="0.25">
      <c r="A296" s="180"/>
      <c r="G296" s="151"/>
      <c r="H296" s="163">
        <v>291</v>
      </c>
      <c r="I296" s="164" t="str">
        <f t="shared" si="18"/>
        <v/>
      </c>
      <c r="J296" s="163" t="e">
        <f t="shared" si="21"/>
        <v>#NUM!</v>
      </c>
      <c r="K296" s="163" t="e">
        <f t="shared" si="19"/>
        <v>#NUM!</v>
      </c>
      <c r="L296" s="163"/>
      <c r="M296" s="165">
        <f t="shared" si="20"/>
        <v>0</v>
      </c>
    </row>
    <row r="297" spans="1:13" x14ac:dyDescent="0.25">
      <c r="A297" s="180"/>
      <c r="G297" s="151"/>
      <c r="H297" s="163">
        <v>292</v>
      </c>
      <c r="I297" s="164" t="str">
        <f t="shared" si="18"/>
        <v/>
      </c>
      <c r="J297" s="163" t="e">
        <f t="shared" si="21"/>
        <v>#NUM!</v>
      </c>
      <c r="K297" s="163" t="e">
        <f t="shared" si="19"/>
        <v>#NUM!</v>
      </c>
      <c r="L297" s="163"/>
      <c r="M297" s="165">
        <f t="shared" si="20"/>
        <v>0</v>
      </c>
    </row>
    <row r="298" spans="1:13" x14ac:dyDescent="0.25">
      <c r="A298" s="180"/>
      <c r="G298" s="151"/>
      <c r="H298" s="163">
        <v>293</v>
      </c>
      <c r="I298" s="164" t="str">
        <f t="shared" si="18"/>
        <v/>
      </c>
      <c r="J298" s="163" t="e">
        <f t="shared" si="21"/>
        <v>#NUM!</v>
      </c>
      <c r="K298" s="163" t="e">
        <f t="shared" si="19"/>
        <v>#NUM!</v>
      </c>
      <c r="L298" s="163"/>
      <c r="M298" s="165">
        <f t="shared" si="20"/>
        <v>0</v>
      </c>
    </row>
    <row r="299" spans="1:13" x14ac:dyDescent="0.25">
      <c r="A299" s="180"/>
      <c r="G299" s="151"/>
      <c r="H299" s="163">
        <v>294</v>
      </c>
      <c r="I299" s="164" t="str">
        <f t="shared" si="18"/>
        <v/>
      </c>
      <c r="J299" s="163" t="e">
        <f t="shared" si="21"/>
        <v>#NUM!</v>
      </c>
      <c r="K299" s="163" t="e">
        <f t="shared" si="19"/>
        <v>#NUM!</v>
      </c>
      <c r="L299" s="163"/>
      <c r="M299" s="165">
        <f t="shared" si="20"/>
        <v>0</v>
      </c>
    </row>
    <row r="300" spans="1:13" x14ac:dyDescent="0.25">
      <c r="A300" s="180"/>
      <c r="G300" s="151"/>
      <c r="H300" s="163">
        <v>295</v>
      </c>
      <c r="I300" s="164" t="str">
        <f t="shared" si="18"/>
        <v/>
      </c>
      <c r="J300" s="163" t="e">
        <f t="shared" si="21"/>
        <v>#NUM!</v>
      </c>
      <c r="K300" s="163" t="e">
        <f t="shared" si="19"/>
        <v>#NUM!</v>
      </c>
      <c r="L300" s="163"/>
      <c r="M300" s="165">
        <f t="shared" si="20"/>
        <v>0</v>
      </c>
    </row>
    <row r="301" spans="1:13" x14ac:dyDescent="0.25">
      <c r="A301" s="180"/>
      <c r="G301" s="151"/>
      <c r="H301" s="163">
        <v>296</v>
      </c>
      <c r="I301" s="164" t="str">
        <f t="shared" si="18"/>
        <v/>
      </c>
      <c r="J301" s="163" t="e">
        <f t="shared" si="21"/>
        <v>#NUM!</v>
      </c>
      <c r="K301" s="163" t="e">
        <f t="shared" si="19"/>
        <v>#NUM!</v>
      </c>
      <c r="L301" s="163"/>
      <c r="M301" s="165">
        <f t="shared" si="20"/>
        <v>0</v>
      </c>
    </row>
    <row r="302" spans="1:13" x14ac:dyDescent="0.25">
      <c r="A302" s="180"/>
      <c r="G302" s="151"/>
      <c r="H302" s="163">
        <v>297</v>
      </c>
      <c r="I302" s="164" t="str">
        <f t="shared" si="18"/>
        <v/>
      </c>
      <c r="J302" s="163" t="e">
        <f t="shared" si="21"/>
        <v>#NUM!</v>
      </c>
      <c r="K302" s="163" t="e">
        <f t="shared" si="19"/>
        <v>#NUM!</v>
      </c>
      <c r="L302" s="163"/>
      <c r="M302" s="165">
        <f t="shared" si="20"/>
        <v>0</v>
      </c>
    </row>
    <row r="303" spans="1:13" x14ac:dyDescent="0.25">
      <c r="A303" s="180"/>
      <c r="G303" s="151"/>
      <c r="H303" s="163">
        <v>298</v>
      </c>
      <c r="I303" s="164" t="str">
        <f t="shared" si="18"/>
        <v/>
      </c>
      <c r="J303" s="163" t="e">
        <f t="shared" si="21"/>
        <v>#NUM!</v>
      </c>
      <c r="K303" s="163" t="e">
        <f t="shared" si="19"/>
        <v>#NUM!</v>
      </c>
      <c r="L303" s="163"/>
      <c r="M303" s="165">
        <f t="shared" si="20"/>
        <v>0</v>
      </c>
    </row>
    <row r="304" spans="1:13" x14ac:dyDescent="0.25">
      <c r="A304" s="180"/>
      <c r="G304" s="151"/>
      <c r="H304" s="163">
        <v>299</v>
      </c>
      <c r="I304" s="164" t="str">
        <f t="shared" si="18"/>
        <v/>
      </c>
      <c r="J304" s="163" t="e">
        <f t="shared" si="21"/>
        <v>#NUM!</v>
      </c>
      <c r="K304" s="163" t="e">
        <f t="shared" si="19"/>
        <v>#NUM!</v>
      </c>
      <c r="L304" s="163"/>
      <c r="M304" s="165">
        <f t="shared" si="20"/>
        <v>0</v>
      </c>
    </row>
    <row r="305" spans="1:16" x14ac:dyDescent="0.25">
      <c r="A305" s="180"/>
      <c r="G305" s="151"/>
      <c r="H305" s="163">
        <v>300</v>
      </c>
      <c r="I305" s="164" t="str">
        <f t="shared" si="18"/>
        <v/>
      </c>
      <c r="J305" s="163" t="e">
        <f t="shared" si="21"/>
        <v>#NUM!</v>
      </c>
      <c r="K305" s="163" t="e">
        <f t="shared" si="19"/>
        <v>#NUM!</v>
      </c>
      <c r="L305" s="163"/>
      <c r="M305" s="165">
        <f t="shared" si="20"/>
        <v>0</v>
      </c>
    </row>
    <row r="306" spans="1:16" x14ac:dyDescent="0.25">
      <c r="A306" s="181"/>
      <c r="J306" s="182" t="e">
        <f t="shared" si="21"/>
        <v>#NUM!</v>
      </c>
    </row>
    <row r="307" spans="1:16" x14ac:dyDescent="0.25">
      <c r="J307" s="182" t="e">
        <f t="shared" si="21"/>
        <v>#NUM!</v>
      </c>
    </row>
    <row r="308" spans="1:16" x14ac:dyDescent="0.25">
      <c r="J308" s="182" t="e">
        <f t="shared" si="21"/>
        <v>#NUM!</v>
      </c>
    </row>
    <row r="309" spans="1:16" x14ac:dyDescent="0.25">
      <c r="J309" s="182" t="e">
        <f t="shared" si="21"/>
        <v>#NUM!</v>
      </c>
    </row>
    <row r="310" spans="1:16" x14ac:dyDescent="0.25">
      <c r="J310" s="182" t="e">
        <f t="shared" si="21"/>
        <v>#NUM!</v>
      </c>
    </row>
    <row r="311" spans="1:16" x14ac:dyDescent="0.25">
      <c r="J311" s="182" t="e">
        <f t="shared" si="21"/>
        <v>#NUM!</v>
      </c>
    </row>
    <row r="312" spans="1:16" x14ac:dyDescent="0.25">
      <c r="J312" s="182" t="e">
        <f t="shared" si="21"/>
        <v>#NUM!</v>
      </c>
    </row>
    <row r="313" spans="1:16" x14ac:dyDescent="0.25">
      <c r="J313" s="182" t="e">
        <f t="shared" si="21"/>
        <v>#NUM!</v>
      </c>
    </row>
    <row r="314" spans="1:16" x14ac:dyDescent="0.25">
      <c r="J314" s="182" t="e">
        <f t="shared" si="21"/>
        <v>#NUM!</v>
      </c>
      <c r="L314" s="184"/>
      <c r="P314" s="174"/>
    </row>
    <row r="315" spans="1:16" x14ac:dyDescent="0.25">
      <c r="J315" s="182" t="e">
        <f t="shared" si="21"/>
        <v>#NUM!</v>
      </c>
      <c r="L315" s="184"/>
      <c r="P315" s="174"/>
    </row>
    <row r="316" spans="1:16" x14ac:dyDescent="0.25">
      <c r="J316" s="182" t="e">
        <f t="shared" si="21"/>
        <v>#NUM!</v>
      </c>
      <c r="L316" s="184"/>
      <c r="P316" s="174"/>
    </row>
    <row r="317" spans="1:16" x14ac:dyDescent="0.25">
      <c r="J317" s="182" t="e">
        <f t="shared" si="21"/>
        <v>#NUM!</v>
      </c>
      <c r="L317" s="184"/>
      <c r="P317" s="174"/>
    </row>
    <row r="318" spans="1:16" x14ac:dyDescent="0.25">
      <c r="J318" s="182" t="e">
        <f t="shared" si="21"/>
        <v>#NUM!</v>
      </c>
    </row>
    <row r="319" spans="1:16" x14ac:dyDescent="0.25">
      <c r="J319" s="182" t="e">
        <f t="shared" si="21"/>
        <v>#NUM!</v>
      </c>
    </row>
    <row r="320" spans="1:16" x14ac:dyDescent="0.25">
      <c r="J320" s="182" t="e">
        <f t="shared" si="21"/>
        <v>#NUM!</v>
      </c>
    </row>
    <row r="321" spans="10:10" x14ac:dyDescent="0.25">
      <c r="J321" s="182" t="e">
        <f t="shared" si="21"/>
        <v>#NUM!</v>
      </c>
    </row>
    <row r="322" spans="10:10" x14ac:dyDescent="0.25">
      <c r="J322" s="182" t="e">
        <f t="shared" si="21"/>
        <v>#NUM!</v>
      </c>
    </row>
    <row r="323" spans="10:10" x14ac:dyDescent="0.25">
      <c r="J323" s="182" t="e">
        <f t="shared" si="21"/>
        <v>#NUM!</v>
      </c>
    </row>
    <row r="324" spans="10:10" x14ac:dyDescent="0.25">
      <c r="J324" s="182" t="e">
        <f t="shared" si="21"/>
        <v>#NUM!</v>
      </c>
    </row>
    <row r="325" spans="10:10" x14ac:dyDescent="0.25">
      <c r="J325" s="182" t="e">
        <f t="shared" si="21"/>
        <v>#NUM!</v>
      </c>
    </row>
    <row r="326" spans="10:10" x14ac:dyDescent="0.25">
      <c r="J326" s="182" t="e">
        <f t="shared" si="21"/>
        <v>#NUM!</v>
      </c>
    </row>
    <row r="327" spans="10:10" x14ac:dyDescent="0.25">
      <c r="J327" s="18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2" t="e">
        <f t="shared" si="22"/>
        <v>#NUM!</v>
      </c>
    </row>
    <row r="329" spans="10:10" x14ac:dyDescent="0.25">
      <c r="J329" s="182" t="e">
        <f t="shared" si="22"/>
        <v>#NUM!</v>
      </c>
    </row>
    <row r="330" spans="10:10" x14ac:dyDescent="0.25">
      <c r="J330" s="182" t="e">
        <f t="shared" si="22"/>
        <v>#NUM!</v>
      </c>
    </row>
    <row r="331" spans="10:10" x14ac:dyDescent="0.25">
      <c r="J331" s="182" t="e">
        <f t="shared" si="22"/>
        <v>#NUM!</v>
      </c>
    </row>
    <row r="332" spans="10:10" x14ac:dyDescent="0.25">
      <c r="J332" s="182" t="e">
        <f t="shared" si="22"/>
        <v>#NUM!</v>
      </c>
    </row>
    <row r="333" spans="10:10" x14ac:dyDescent="0.25">
      <c r="J333" s="182" t="e">
        <f t="shared" si="22"/>
        <v>#NUM!</v>
      </c>
    </row>
    <row r="334" spans="10:10" x14ac:dyDescent="0.25">
      <c r="J334" s="182" t="e">
        <f t="shared" si="22"/>
        <v>#NUM!</v>
      </c>
    </row>
    <row r="335" spans="10:10" x14ac:dyDescent="0.25">
      <c r="J335" s="182" t="e">
        <f t="shared" si="22"/>
        <v>#NUM!</v>
      </c>
    </row>
    <row r="336" spans="10:10" x14ac:dyDescent="0.25">
      <c r="J336" s="182" t="e">
        <f t="shared" si="22"/>
        <v>#NUM!</v>
      </c>
    </row>
    <row r="337" spans="10:10" x14ac:dyDescent="0.25">
      <c r="J337" s="182" t="e">
        <f t="shared" si="22"/>
        <v>#NUM!</v>
      </c>
    </row>
    <row r="338" spans="10:10" x14ac:dyDescent="0.25">
      <c r="J338" s="182" t="e">
        <f t="shared" si="22"/>
        <v>#NUM!</v>
      </c>
    </row>
    <row r="339" spans="10:10" x14ac:dyDescent="0.25">
      <c r="J339" s="182" t="e">
        <f t="shared" si="22"/>
        <v>#NUM!</v>
      </c>
    </row>
    <row r="340" spans="10:10" x14ac:dyDescent="0.25">
      <c r="J340" s="182" t="e">
        <f t="shared" si="22"/>
        <v>#NUM!</v>
      </c>
    </row>
    <row r="341" spans="10:10" x14ac:dyDescent="0.25">
      <c r="J341" s="182" t="e">
        <f t="shared" si="22"/>
        <v>#NUM!</v>
      </c>
    </row>
    <row r="342" spans="10:10" x14ac:dyDescent="0.25">
      <c r="J342" s="182" t="e">
        <f t="shared" si="22"/>
        <v>#NUM!</v>
      </c>
    </row>
    <row r="343" spans="10:10" x14ac:dyDescent="0.25">
      <c r="J343" s="182" t="e">
        <f t="shared" si="22"/>
        <v>#NUM!</v>
      </c>
    </row>
    <row r="344" spans="10:10" x14ac:dyDescent="0.25">
      <c r="J344" s="182" t="e">
        <f t="shared" si="22"/>
        <v>#NUM!</v>
      </c>
    </row>
    <row r="345" spans="10:10" x14ac:dyDescent="0.25">
      <c r="J345" s="182" t="e">
        <f t="shared" si="22"/>
        <v>#NUM!</v>
      </c>
    </row>
    <row r="346" spans="10:10" x14ac:dyDescent="0.25">
      <c r="J346" s="182" t="e">
        <f t="shared" si="22"/>
        <v>#NUM!</v>
      </c>
    </row>
    <row r="347" spans="10:10" x14ac:dyDescent="0.25">
      <c r="J347" s="182" t="e">
        <f t="shared" si="22"/>
        <v>#NUM!</v>
      </c>
    </row>
    <row r="348" spans="10:10" x14ac:dyDescent="0.25">
      <c r="J348" s="182" t="e">
        <f t="shared" si="22"/>
        <v>#NUM!</v>
      </c>
    </row>
    <row r="349" spans="10:10" x14ac:dyDescent="0.25">
      <c r="J349" s="182" t="e">
        <f t="shared" si="22"/>
        <v>#NUM!</v>
      </c>
    </row>
    <row r="350" spans="10:10" x14ac:dyDescent="0.25">
      <c r="J350" s="182" t="e">
        <f t="shared" si="22"/>
        <v>#NUM!</v>
      </c>
    </row>
    <row r="351" spans="10:10" x14ac:dyDescent="0.25">
      <c r="J351" s="182" t="e">
        <f t="shared" si="22"/>
        <v>#NUM!</v>
      </c>
    </row>
    <row r="352" spans="10:10" x14ac:dyDescent="0.25">
      <c r="J352" s="182" t="e">
        <f t="shared" si="22"/>
        <v>#NUM!</v>
      </c>
    </row>
    <row r="353" spans="10:10" x14ac:dyDescent="0.25">
      <c r="J353" s="182" t="e">
        <f t="shared" si="22"/>
        <v>#NUM!</v>
      </c>
    </row>
    <row r="354" spans="10:10" x14ac:dyDescent="0.25">
      <c r="J354" s="182" t="e">
        <f t="shared" si="22"/>
        <v>#NUM!</v>
      </c>
    </row>
    <row r="355" spans="10:10" x14ac:dyDescent="0.25">
      <c r="J355" s="182" t="e">
        <f t="shared" si="22"/>
        <v>#NUM!</v>
      </c>
    </row>
    <row r="356" spans="10:10" x14ac:dyDescent="0.25">
      <c r="J356" s="182" t="e">
        <f t="shared" si="22"/>
        <v>#NUM!</v>
      </c>
    </row>
    <row r="357" spans="10:10" x14ac:dyDescent="0.25">
      <c r="J357" s="182" t="e">
        <f t="shared" si="22"/>
        <v>#NUM!</v>
      </c>
    </row>
    <row r="358" spans="10:10" x14ac:dyDescent="0.25">
      <c r="J358" s="182" t="e">
        <f t="shared" si="22"/>
        <v>#NUM!</v>
      </c>
    </row>
    <row r="359" spans="10:10" x14ac:dyDescent="0.25">
      <c r="J359" s="182" t="e">
        <f t="shared" si="22"/>
        <v>#NUM!</v>
      </c>
    </row>
    <row r="360" spans="10:10" x14ac:dyDescent="0.25">
      <c r="J360" s="182" t="e">
        <f t="shared" si="22"/>
        <v>#NUM!</v>
      </c>
    </row>
    <row r="361" spans="10:10" x14ac:dyDescent="0.25">
      <c r="J361" s="182" t="e">
        <f t="shared" si="22"/>
        <v>#NUM!</v>
      </c>
    </row>
    <row r="362" spans="10:10" x14ac:dyDescent="0.25">
      <c r="J362" s="182" t="e">
        <f t="shared" si="22"/>
        <v>#NUM!</v>
      </c>
    </row>
    <row r="363" spans="10:10" x14ac:dyDescent="0.25">
      <c r="J363" s="182" t="e">
        <f t="shared" si="22"/>
        <v>#NUM!</v>
      </c>
    </row>
    <row r="364" spans="10:10" x14ac:dyDescent="0.25">
      <c r="J364" s="182" t="e">
        <f t="shared" si="22"/>
        <v>#NUM!</v>
      </c>
    </row>
    <row r="365" spans="10:10" x14ac:dyDescent="0.25">
      <c r="J365" s="182" t="e">
        <f t="shared" si="22"/>
        <v>#NUM!</v>
      </c>
    </row>
    <row r="366" spans="10:10" x14ac:dyDescent="0.25">
      <c r="J366" s="182" t="e">
        <f t="shared" si="22"/>
        <v>#NUM!</v>
      </c>
    </row>
    <row r="367" spans="10:10" x14ac:dyDescent="0.25">
      <c r="J367" s="182" t="e">
        <f t="shared" si="22"/>
        <v>#NUM!</v>
      </c>
    </row>
    <row r="368" spans="10:10" x14ac:dyDescent="0.25">
      <c r="J368" s="182" t="e">
        <f t="shared" si="22"/>
        <v>#NUM!</v>
      </c>
    </row>
    <row r="369" spans="10:10" x14ac:dyDescent="0.25">
      <c r="J369" s="182" t="e">
        <f t="shared" si="22"/>
        <v>#NUM!</v>
      </c>
    </row>
    <row r="370" spans="10:10" x14ac:dyDescent="0.25">
      <c r="J370" s="182" t="e">
        <f t="shared" si="22"/>
        <v>#NUM!</v>
      </c>
    </row>
    <row r="371" spans="10:10" x14ac:dyDescent="0.25">
      <c r="J371" s="182" t="e">
        <f t="shared" si="22"/>
        <v>#NUM!</v>
      </c>
    </row>
    <row r="372" spans="10:10" x14ac:dyDescent="0.25">
      <c r="J372" s="182" t="e">
        <f t="shared" si="22"/>
        <v>#NUM!</v>
      </c>
    </row>
    <row r="373" spans="10:10" x14ac:dyDescent="0.25">
      <c r="J373" s="182" t="e">
        <f t="shared" si="22"/>
        <v>#NUM!</v>
      </c>
    </row>
    <row r="374" spans="10:10" x14ac:dyDescent="0.25">
      <c r="J374" s="182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E734B2C7-EC92-46CB-BFA8-15FDA13726AE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BE94-1909-434B-A6B5-4D9C370CEAD2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79" customWidth="1"/>
    <col min="2" max="2" width="8.25" style="179" customWidth="1"/>
    <col min="3" max="3" width="34.75" style="179" customWidth="1"/>
    <col min="4" max="4" width="11.25" style="179" customWidth="1"/>
    <col min="5" max="6" width="8.875" style="179"/>
    <col min="7" max="7" width="0.875" style="179" customWidth="1"/>
    <col min="8" max="8" width="8.875" style="182"/>
    <col min="9" max="9" width="11" style="182" customWidth="1"/>
    <col min="10" max="10" width="15.25" style="182" customWidth="1"/>
    <col min="11" max="11" width="8.75" style="182" customWidth="1"/>
    <col min="12" max="12" width="11" style="182" customWidth="1"/>
    <col min="13" max="13" width="12.25" style="183" customWidth="1"/>
    <col min="14" max="15" width="13.875" style="151" customWidth="1"/>
    <col min="16" max="18" width="8.875" style="151"/>
    <col min="19" max="20" width="8.875" style="156"/>
    <col min="21" max="21" width="12.125" style="156" customWidth="1"/>
    <col min="22" max="22" width="27.375" style="156" customWidth="1"/>
    <col min="23" max="38" width="8.875" style="156"/>
    <col min="39" max="16384" width="8.875" style="179"/>
  </cols>
  <sheetData>
    <row r="1" spans="1:36" x14ac:dyDescent="0.25">
      <c r="A1" s="151"/>
      <c r="B1" s="151"/>
      <c r="C1" s="151"/>
      <c r="D1" s="151"/>
      <c r="E1" s="151"/>
      <c r="F1" s="151"/>
      <c r="G1" s="151"/>
      <c r="H1" s="152" t="s">
        <v>25</v>
      </c>
      <c r="I1" s="153" t="s">
        <v>26</v>
      </c>
      <c r="J1" s="153" t="s">
        <v>27</v>
      </c>
      <c r="K1" s="154" t="s">
        <v>28</v>
      </c>
      <c r="L1" s="155"/>
      <c r="M1" s="155"/>
    </row>
    <row r="2" spans="1:36" x14ac:dyDescent="0.25">
      <c r="A2" s="151"/>
      <c r="B2" s="14" t="s">
        <v>29</v>
      </c>
      <c r="C2" s="111" t="s">
        <v>79</v>
      </c>
      <c r="D2" s="62"/>
      <c r="E2" s="15"/>
      <c r="F2" s="15"/>
      <c r="G2" s="15"/>
      <c r="H2" s="157">
        <v>18</v>
      </c>
      <c r="I2" s="158">
        <v>50</v>
      </c>
      <c r="J2" s="158">
        <v>10</v>
      </c>
      <c r="K2" s="185">
        <f>3*H2^(1/3)</f>
        <v>7.8622241826266892</v>
      </c>
      <c r="L2" s="155"/>
      <c r="M2" s="155"/>
    </row>
    <row r="3" spans="1:36" x14ac:dyDescent="0.25">
      <c r="A3" s="151"/>
      <c r="B3" s="160" t="s">
        <v>31</v>
      </c>
      <c r="C3" s="63" t="s">
        <v>116</v>
      </c>
      <c r="D3" s="63"/>
      <c r="E3" s="20"/>
      <c r="F3" s="20"/>
      <c r="G3" s="20"/>
      <c r="H3" s="155"/>
      <c r="I3" s="155"/>
      <c r="J3" s="186"/>
      <c r="K3" s="155"/>
      <c r="L3" s="155"/>
      <c r="M3" s="155"/>
    </row>
    <row r="4" spans="1:36" ht="10.199999999999999" customHeight="1" x14ac:dyDescent="0.25">
      <c r="A4" s="22"/>
      <c r="B4" s="20"/>
      <c r="C4" s="22"/>
      <c r="D4" s="22"/>
      <c r="E4" s="22"/>
      <c r="F4" s="22"/>
      <c r="G4" s="22"/>
      <c r="H4" s="155"/>
      <c r="I4" s="155"/>
      <c r="J4" s="186"/>
      <c r="K4" s="155"/>
      <c r="L4" s="155"/>
      <c r="M4" s="155"/>
    </row>
    <row r="5" spans="1:36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161" t="s">
        <v>39</v>
      </c>
      <c r="I5" s="162" t="s">
        <v>40</v>
      </c>
      <c r="J5" s="187" t="s">
        <v>41</v>
      </c>
      <c r="K5" s="162" t="s">
        <v>42</v>
      </c>
      <c r="L5" s="162" t="s">
        <v>43</v>
      </c>
      <c r="M5" s="161" t="s">
        <v>44</v>
      </c>
    </row>
    <row r="6" spans="1:36" ht="14.45" customHeight="1" x14ac:dyDescent="0.25">
      <c r="A6" s="109">
        <f>M6</f>
        <v>123.58667254788007</v>
      </c>
      <c r="B6" s="28">
        <f t="shared" ref="B6:B65" si="0">IF(H6&gt;$H$2,"",(ROW()-5))</f>
        <v>1</v>
      </c>
      <c r="C6" s="29" t="s">
        <v>117</v>
      </c>
      <c r="D6" s="29" t="s">
        <v>118</v>
      </c>
      <c r="E6" s="29"/>
      <c r="F6" s="29"/>
      <c r="G6" s="22"/>
      <c r="H6" s="163">
        <v>1</v>
      </c>
      <c r="I6" s="164">
        <f t="shared" ref="I6:I69" si="1">IF(H6&lt;$H$2+1,($I$2-($I$2-1)*(LOG(H6)/LOG($H$2))),"")</f>
        <v>50</v>
      </c>
      <c r="J6" s="163">
        <f>INT(LOG($H$2,2))-ROUNDUP(LOG(H6,2),0)+IF(OR($H$2=1,$H$2=2,$H$2=4,$H$2=8,$H$2=16,$H$2=32,$H$2=64,$H$2=128,$H$2=256),0,1)</f>
        <v>5</v>
      </c>
      <c r="K6" s="163">
        <f t="shared" ref="K6:K69" si="2">J6*$J$2</f>
        <v>50</v>
      </c>
      <c r="L6" s="165">
        <f>3*K2</f>
        <v>23.586672547880067</v>
      </c>
      <c r="M6" s="165">
        <f t="shared" ref="M6:M69" si="3">IF(I6&lt;&gt;"",K6+I6+L6,0)</f>
        <v>123.58667254788007</v>
      </c>
    </row>
    <row r="7" spans="1:36" ht="14.45" customHeight="1" x14ac:dyDescent="0.25">
      <c r="A7" s="110">
        <f t="shared" ref="A7:A37" si="4">M7</f>
        <v>93.973637503414935</v>
      </c>
      <c r="B7" s="34">
        <f t="shared" si="0"/>
        <v>2</v>
      </c>
      <c r="C7" s="35" t="s">
        <v>119</v>
      </c>
      <c r="D7" s="35" t="s">
        <v>120</v>
      </c>
      <c r="E7" s="35"/>
      <c r="F7" s="35"/>
      <c r="G7" s="22"/>
      <c r="H7" s="166">
        <v>2</v>
      </c>
      <c r="I7" s="167">
        <f t="shared" si="1"/>
        <v>38.249189138161555</v>
      </c>
      <c r="J7" s="166">
        <f t="shared" ref="J7:J70" si="5">INT(LOG($H$2,2))-ROUNDUP(LOG(H7,2),0)+IF(OR($H$2=1,$H$2=2,$H$2=4,$H$2=8,$H$2=16,$H$2=32,$H$2=64,$H$2=128,$H$2=256),0,1)</f>
        <v>4</v>
      </c>
      <c r="K7" s="166">
        <f t="shared" si="2"/>
        <v>40</v>
      </c>
      <c r="L7" s="168">
        <f>2*K2</f>
        <v>15.724448365253378</v>
      </c>
      <c r="M7" s="168">
        <f t="shared" si="3"/>
        <v>93.973637503414935</v>
      </c>
    </row>
    <row r="8" spans="1:36" ht="14.45" customHeight="1" x14ac:dyDescent="0.25">
      <c r="A8" s="109">
        <f t="shared" si="4"/>
        <v>69.237629613545906</v>
      </c>
      <c r="B8" s="28">
        <f t="shared" si="0"/>
        <v>3</v>
      </c>
      <c r="C8" s="29" t="s">
        <v>16</v>
      </c>
      <c r="D8" s="29" t="s">
        <v>46</v>
      </c>
      <c r="E8" s="29"/>
      <c r="F8" s="29"/>
      <c r="G8" s="22"/>
      <c r="H8" s="163">
        <v>3</v>
      </c>
      <c r="I8" s="164">
        <f t="shared" si="1"/>
        <v>31.375405430919219</v>
      </c>
      <c r="J8" s="163">
        <f t="shared" si="5"/>
        <v>3</v>
      </c>
      <c r="K8" s="163">
        <f t="shared" si="2"/>
        <v>30</v>
      </c>
      <c r="L8" s="165">
        <f>K2</f>
        <v>7.8622241826266892</v>
      </c>
      <c r="M8" s="165">
        <f t="shared" si="3"/>
        <v>69.237629613545906</v>
      </c>
    </row>
    <row r="9" spans="1:36" s="156" customFormat="1" ht="14.45" customHeight="1" x14ac:dyDescent="0.25">
      <c r="A9" s="110">
        <f t="shared" si="4"/>
        <v>69.237629613545906</v>
      </c>
      <c r="B9" s="34">
        <f t="shared" si="0"/>
        <v>4</v>
      </c>
      <c r="C9" s="35" t="s">
        <v>121</v>
      </c>
      <c r="D9" s="35" t="s">
        <v>122</v>
      </c>
      <c r="E9" s="35"/>
      <c r="F9" s="35"/>
      <c r="G9" s="22"/>
      <c r="H9" s="166">
        <v>3</v>
      </c>
      <c r="I9" s="167">
        <f t="shared" si="1"/>
        <v>31.375405430919219</v>
      </c>
      <c r="J9" s="166">
        <f t="shared" si="5"/>
        <v>3</v>
      </c>
      <c r="K9" s="166">
        <f t="shared" si="2"/>
        <v>30</v>
      </c>
      <c r="L9" s="168">
        <f>K2</f>
        <v>7.8622241826266892</v>
      </c>
      <c r="M9" s="168">
        <f t="shared" si="3"/>
        <v>69.237629613545906</v>
      </c>
      <c r="N9" s="151"/>
      <c r="O9" s="151"/>
      <c r="P9" s="151"/>
      <c r="Q9" s="151"/>
      <c r="R9" s="151"/>
      <c r="V9" s="169"/>
      <c r="Z9" s="170"/>
      <c r="AA9" s="170"/>
      <c r="AG9" s="171"/>
      <c r="AH9" s="156" t="s">
        <v>50</v>
      </c>
      <c r="AI9" s="156">
        <v>23</v>
      </c>
    </row>
    <row r="10" spans="1:36" ht="14.45" customHeight="1" x14ac:dyDescent="0.25">
      <c r="A10" s="109">
        <f t="shared" si="4"/>
        <v>42.715462122189749</v>
      </c>
      <c r="B10" s="28">
        <f t="shared" si="0"/>
        <v>5</v>
      </c>
      <c r="C10" s="29" t="s">
        <v>123</v>
      </c>
      <c r="D10" s="29" t="s">
        <v>124</v>
      </c>
      <c r="E10" s="29"/>
      <c r="F10" s="29"/>
      <c r="G10" s="22"/>
      <c r="H10" s="163">
        <v>5</v>
      </c>
      <c r="I10" s="164">
        <f t="shared" si="1"/>
        <v>22.715462122189745</v>
      </c>
      <c r="J10" s="163">
        <f t="shared" si="5"/>
        <v>2</v>
      </c>
      <c r="K10" s="163">
        <f t="shared" si="2"/>
        <v>20</v>
      </c>
      <c r="L10" s="163"/>
      <c r="M10" s="165">
        <f t="shared" si="3"/>
        <v>42.715462122189749</v>
      </c>
      <c r="V10" s="169"/>
      <c r="Z10" s="170"/>
      <c r="AA10" s="170"/>
      <c r="AG10" s="171"/>
      <c r="AH10" s="156" t="s">
        <v>52</v>
      </c>
      <c r="AI10" s="156">
        <v>45</v>
      </c>
    </row>
    <row r="11" spans="1:36" ht="14.45" customHeight="1" x14ac:dyDescent="0.25">
      <c r="A11" s="110">
        <f t="shared" si="4"/>
        <v>39.624594569080777</v>
      </c>
      <c r="B11" s="34">
        <f t="shared" si="0"/>
        <v>6</v>
      </c>
      <c r="C11" s="35" t="s">
        <v>125</v>
      </c>
      <c r="D11" s="35" t="s">
        <v>126</v>
      </c>
      <c r="E11" s="35"/>
      <c r="F11" s="35"/>
      <c r="G11" s="22"/>
      <c r="H11" s="166">
        <v>6</v>
      </c>
      <c r="I11" s="167">
        <f t="shared" si="1"/>
        <v>19.624594569080777</v>
      </c>
      <c r="J11" s="166">
        <f t="shared" si="5"/>
        <v>2</v>
      </c>
      <c r="K11" s="166">
        <f t="shared" si="2"/>
        <v>20</v>
      </c>
      <c r="L11" s="166"/>
      <c r="M11" s="168">
        <f t="shared" si="3"/>
        <v>39.624594569080777</v>
      </c>
      <c r="V11" s="172"/>
      <c r="Z11" s="170"/>
      <c r="AA11" s="170"/>
      <c r="AG11" s="171"/>
      <c r="AH11" s="156" t="s">
        <v>53</v>
      </c>
      <c r="AI11" s="156">
        <v>50</v>
      </c>
    </row>
    <row r="12" spans="1:36" ht="14.45" customHeight="1" x14ac:dyDescent="0.25">
      <c r="A12" s="109">
        <f t="shared" si="4"/>
        <v>37.011303288849895</v>
      </c>
      <c r="B12" s="28">
        <f t="shared" si="0"/>
        <v>7</v>
      </c>
      <c r="C12" s="29" t="s">
        <v>127</v>
      </c>
      <c r="D12" s="29" t="s">
        <v>126</v>
      </c>
      <c r="E12" s="29"/>
      <c r="F12" s="29"/>
      <c r="G12" s="22"/>
      <c r="H12" s="163">
        <v>7</v>
      </c>
      <c r="I12" s="164">
        <f t="shared" si="1"/>
        <v>17.011303288849895</v>
      </c>
      <c r="J12" s="163">
        <f t="shared" si="5"/>
        <v>2</v>
      </c>
      <c r="K12" s="163">
        <f t="shared" si="2"/>
        <v>20</v>
      </c>
      <c r="L12" s="163"/>
      <c r="M12" s="165">
        <f t="shared" si="3"/>
        <v>37.011303288849895</v>
      </c>
      <c r="Z12" s="170"/>
      <c r="AA12" s="170"/>
      <c r="AG12" s="171"/>
      <c r="AH12" s="156" t="s">
        <v>54</v>
      </c>
      <c r="AI12" s="156">
        <f>AI11-1</f>
        <v>49</v>
      </c>
    </row>
    <row r="13" spans="1:36" ht="14.45" customHeight="1" x14ac:dyDescent="0.25">
      <c r="A13" s="110">
        <f t="shared" si="4"/>
        <v>34.747567414484678</v>
      </c>
      <c r="B13" s="34">
        <f t="shared" si="0"/>
        <v>8</v>
      </c>
      <c r="C13" s="35" t="s">
        <v>128</v>
      </c>
      <c r="D13" s="35" t="s">
        <v>129</v>
      </c>
      <c r="E13" s="35"/>
      <c r="F13" s="35"/>
      <c r="G13" s="22"/>
      <c r="H13" s="166">
        <v>8</v>
      </c>
      <c r="I13" s="167">
        <f t="shared" si="1"/>
        <v>14.747567414484678</v>
      </c>
      <c r="J13" s="166">
        <f t="shared" si="5"/>
        <v>2</v>
      </c>
      <c r="K13" s="166">
        <f t="shared" si="2"/>
        <v>20</v>
      </c>
      <c r="L13" s="166"/>
      <c r="M13" s="168">
        <f t="shared" si="3"/>
        <v>34.747567414484678</v>
      </c>
      <c r="X13" s="169"/>
      <c r="AG13" s="171"/>
      <c r="AH13" s="156" t="s">
        <v>55</v>
      </c>
      <c r="AI13" s="156">
        <f>LOG(AI9)</f>
        <v>1.3617278360175928</v>
      </c>
    </row>
    <row r="14" spans="1:36" x14ac:dyDescent="0.25">
      <c r="A14" s="109">
        <f t="shared" si="4"/>
        <v>22.750810861838438</v>
      </c>
      <c r="B14" s="28">
        <f t="shared" si="0"/>
        <v>9</v>
      </c>
      <c r="C14" s="29" t="s">
        <v>130</v>
      </c>
      <c r="D14" s="29" t="s">
        <v>131</v>
      </c>
      <c r="E14" s="29"/>
      <c r="F14" s="29"/>
      <c r="G14" s="22"/>
      <c r="H14" s="163">
        <v>9</v>
      </c>
      <c r="I14" s="164">
        <f t="shared" si="1"/>
        <v>12.750810861838438</v>
      </c>
      <c r="J14" s="163">
        <f t="shared" si="5"/>
        <v>1</v>
      </c>
      <c r="K14" s="163">
        <f t="shared" si="2"/>
        <v>10</v>
      </c>
      <c r="L14" s="163"/>
      <c r="M14" s="165">
        <f t="shared" si="3"/>
        <v>22.750810861838438</v>
      </c>
      <c r="X14" s="173"/>
      <c r="Z14" s="170"/>
      <c r="AA14" s="170"/>
      <c r="AG14" s="171"/>
      <c r="AH14" s="156" t="s">
        <v>56</v>
      </c>
      <c r="AI14" s="156">
        <f>LOG(AI10)</f>
        <v>1.6532125137753437</v>
      </c>
    </row>
    <row r="15" spans="1:36" x14ac:dyDescent="0.25">
      <c r="A15" s="110">
        <f t="shared" si="4"/>
        <v>20.964651260351303</v>
      </c>
      <c r="B15" s="34">
        <f t="shared" si="0"/>
        <v>10</v>
      </c>
      <c r="C15" s="35" t="s">
        <v>132</v>
      </c>
      <c r="D15" s="35" t="s">
        <v>118</v>
      </c>
      <c r="E15" s="35"/>
      <c r="F15" s="35"/>
      <c r="G15" s="22"/>
      <c r="H15" s="166">
        <v>10</v>
      </c>
      <c r="I15" s="167">
        <f t="shared" si="1"/>
        <v>10.964651260351303</v>
      </c>
      <c r="J15" s="166">
        <f t="shared" si="5"/>
        <v>1</v>
      </c>
      <c r="K15" s="166">
        <f t="shared" si="2"/>
        <v>10</v>
      </c>
      <c r="L15" s="166"/>
      <c r="M15" s="168">
        <f t="shared" si="3"/>
        <v>20.964651260351303</v>
      </c>
      <c r="X15" s="169"/>
      <c r="Z15" s="170"/>
      <c r="AA15" s="170"/>
    </row>
    <row r="16" spans="1:36" x14ac:dyDescent="0.25">
      <c r="A16" s="109">
        <f t="shared" si="4"/>
        <v>19.348873359929499</v>
      </c>
      <c r="B16" s="28">
        <f t="shared" si="0"/>
        <v>11</v>
      </c>
      <c r="C16" s="29" t="s">
        <v>133</v>
      </c>
      <c r="D16" s="29" t="s">
        <v>122</v>
      </c>
      <c r="E16" s="29"/>
      <c r="F16" s="29"/>
      <c r="G16" s="22"/>
      <c r="H16" s="163">
        <v>11</v>
      </c>
      <c r="I16" s="164">
        <f t="shared" si="1"/>
        <v>9.3488733599294989</v>
      </c>
      <c r="J16" s="163">
        <f t="shared" si="5"/>
        <v>1</v>
      </c>
      <c r="K16" s="163">
        <f t="shared" si="2"/>
        <v>10</v>
      </c>
      <c r="L16" s="163"/>
      <c r="M16" s="165">
        <f t="shared" si="3"/>
        <v>19.348873359929499</v>
      </c>
      <c r="R16" s="174"/>
      <c r="Z16" s="170"/>
      <c r="AA16" s="170"/>
      <c r="AH16" s="175" t="s">
        <v>57</v>
      </c>
      <c r="AI16" s="156">
        <f>AI11-AI12*AI13/AI14</f>
        <v>9.6393909380186855</v>
      </c>
      <c r="AJ16" s="156" t="s">
        <v>58</v>
      </c>
    </row>
    <row r="17" spans="1:19" x14ac:dyDescent="0.25">
      <c r="A17" s="110">
        <f t="shared" si="4"/>
        <v>17.873783707242332</v>
      </c>
      <c r="B17" s="34">
        <f t="shared" si="0"/>
        <v>12</v>
      </c>
      <c r="C17" s="35" t="s">
        <v>134</v>
      </c>
      <c r="D17" s="35" t="s">
        <v>126</v>
      </c>
      <c r="E17" s="35"/>
      <c r="F17" s="35"/>
      <c r="G17" s="22"/>
      <c r="H17" s="166">
        <v>12</v>
      </c>
      <c r="I17" s="167">
        <f t="shared" si="1"/>
        <v>7.8737837072423318</v>
      </c>
      <c r="J17" s="166">
        <f t="shared" si="5"/>
        <v>1</v>
      </c>
      <c r="K17" s="166">
        <f t="shared" si="2"/>
        <v>10</v>
      </c>
      <c r="L17" s="166"/>
      <c r="M17" s="168">
        <f t="shared" si="3"/>
        <v>17.873783707242332</v>
      </c>
    </row>
    <row r="18" spans="1:19" x14ac:dyDescent="0.25">
      <c r="A18" s="109">
        <f t="shared" si="4"/>
        <v>16.51683276648928</v>
      </c>
      <c r="B18" s="28">
        <f t="shared" si="0"/>
        <v>13</v>
      </c>
      <c r="C18" s="29" t="s">
        <v>17</v>
      </c>
      <c r="D18" s="29" t="s">
        <v>46</v>
      </c>
      <c r="E18" s="29"/>
      <c r="F18" s="29"/>
      <c r="G18" s="22"/>
      <c r="H18" s="163">
        <v>13</v>
      </c>
      <c r="I18" s="164">
        <f t="shared" si="1"/>
        <v>6.51683276648928</v>
      </c>
      <c r="J18" s="163">
        <f t="shared" si="5"/>
        <v>1</v>
      </c>
      <c r="K18" s="163">
        <f t="shared" si="2"/>
        <v>10</v>
      </c>
      <c r="L18" s="163"/>
      <c r="M18" s="165">
        <f t="shared" si="3"/>
        <v>16.51683276648928</v>
      </c>
    </row>
    <row r="19" spans="1:19" x14ac:dyDescent="0.25">
      <c r="A19" s="110">
        <f t="shared" si="4"/>
        <v>15.260492427011457</v>
      </c>
      <c r="B19" s="34">
        <f t="shared" si="0"/>
        <v>14</v>
      </c>
      <c r="C19" s="35" t="s">
        <v>20</v>
      </c>
      <c r="D19" s="35" t="s">
        <v>46</v>
      </c>
      <c r="E19" s="35"/>
      <c r="F19" s="35"/>
      <c r="G19" s="22"/>
      <c r="H19" s="166">
        <v>14</v>
      </c>
      <c r="I19" s="167">
        <f t="shared" si="1"/>
        <v>5.2604924270114566</v>
      </c>
      <c r="J19" s="166">
        <f t="shared" si="5"/>
        <v>1</v>
      </c>
      <c r="K19" s="166">
        <f t="shared" si="2"/>
        <v>10</v>
      </c>
      <c r="L19" s="166"/>
      <c r="M19" s="168">
        <f t="shared" si="3"/>
        <v>15.260492427011457</v>
      </c>
    </row>
    <row r="20" spans="1:19" x14ac:dyDescent="0.25">
      <c r="A20" s="109">
        <f t="shared" si="4"/>
        <v>14.090867553108957</v>
      </c>
      <c r="B20" s="28">
        <f t="shared" si="0"/>
        <v>15</v>
      </c>
      <c r="C20" s="29" t="s">
        <v>135</v>
      </c>
      <c r="D20" s="29" t="s">
        <v>136</v>
      </c>
      <c r="E20" s="29"/>
      <c r="F20" s="29"/>
      <c r="G20" s="22"/>
      <c r="H20" s="163">
        <v>15</v>
      </c>
      <c r="I20" s="164">
        <f t="shared" si="1"/>
        <v>4.0908675531089571</v>
      </c>
      <c r="J20" s="163">
        <f t="shared" si="5"/>
        <v>1</v>
      </c>
      <c r="K20" s="163">
        <f t="shared" si="2"/>
        <v>10</v>
      </c>
      <c r="L20" s="163"/>
      <c r="M20" s="165">
        <f t="shared" si="3"/>
        <v>14.090867553108957</v>
      </c>
      <c r="R20" s="176"/>
      <c r="S20" s="177"/>
    </row>
    <row r="21" spans="1:19" x14ac:dyDescent="0.25">
      <c r="A21" s="110">
        <f t="shared" si="4"/>
        <v>12.996756552646232</v>
      </c>
      <c r="B21" s="34">
        <f t="shared" si="0"/>
        <v>16</v>
      </c>
      <c r="C21" s="35" t="s">
        <v>137</v>
      </c>
      <c r="D21" s="35" t="s">
        <v>46</v>
      </c>
      <c r="E21" s="35"/>
      <c r="F21" s="35"/>
      <c r="G21" s="22"/>
      <c r="H21" s="166">
        <v>16</v>
      </c>
      <c r="I21" s="167">
        <f t="shared" si="1"/>
        <v>2.9967565526462323</v>
      </c>
      <c r="J21" s="166">
        <f t="shared" si="5"/>
        <v>1</v>
      </c>
      <c r="K21" s="166">
        <f t="shared" si="2"/>
        <v>10</v>
      </c>
      <c r="L21" s="166"/>
      <c r="M21" s="168">
        <f t="shared" si="3"/>
        <v>12.996756552646232</v>
      </c>
    </row>
    <row r="22" spans="1:19" x14ac:dyDescent="0.25">
      <c r="A22" s="109">
        <f t="shared" si="4"/>
        <v>1.9689972476744941</v>
      </c>
      <c r="B22" s="28">
        <f t="shared" si="0"/>
        <v>17</v>
      </c>
      <c r="C22" s="29" t="s">
        <v>22</v>
      </c>
      <c r="D22" s="29" t="s">
        <v>46</v>
      </c>
      <c r="E22" s="29"/>
      <c r="F22" s="29"/>
      <c r="G22" s="22"/>
      <c r="H22" s="163">
        <v>17</v>
      </c>
      <c r="I22" s="164">
        <f t="shared" si="1"/>
        <v>1.9689972476744941</v>
      </c>
      <c r="J22" s="163">
        <f t="shared" si="5"/>
        <v>0</v>
      </c>
      <c r="K22" s="163">
        <f t="shared" si="2"/>
        <v>0</v>
      </c>
      <c r="L22" s="163"/>
      <c r="M22" s="165">
        <f t="shared" si="3"/>
        <v>1.9689972476744941</v>
      </c>
    </row>
    <row r="23" spans="1:19" x14ac:dyDescent="0.25">
      <c r="A23" s="110">
        <f t="shared" si="4"/>
        <v>1</v>
      </c>
      <c r="B23" s="34">
        <f t="shared" si="0"/>
        <v>18</v>
      </c>
      <c r="C23" s="35" t="s">
        <v>138</v>
      </c>
      <c r="D23" s="35" t="s">
        <v>122</v>
      </c>
      <c r="E23" s="35"/>
      <c r="F23" s="35"/>
      <c r="G23" s="22"/>
      <c r="H23" s="166">
        <v>18</v>
      </c>
      <c r="I23" s="167">
        <f t="shared" si="1"/>
        <v>1</v>
      </c>
      <c r="J23" s="166">
        <f t="shared" si="5"/>
        <v>0</v>
      </c>
      <c r="K23" s="166">
        <f t="shared" si="2"/>
        <v>0</v>
      </c>
      <c r="L23" s="166"/>
      <c r="M23" s="168">
        <f t="shared" si="3"/>
        <v>1</v>
      </c>
    </row>
    <row r="24" spans="1:19" x14ac:dyDescent="0.25">
      <c r="A24" s="109">
        <f t="shared" si="4"/>
        <v>0</v>
      </c>
      <c r="B24" s="28" t="str">
        <f t="shared" si="0"/>
        <v/>
      </c>
      <c r="C24" s="29"/>
      <c r="D24" s="29"/>
      <c r="E24" s="29"/>
      <c r="F24" s="29"/>
      <c r="G24" s="22"/>
      <c r="H24" s="163">
        <v>19</v>
      </c>
      <c r="I24" s="164" t="str">
        <f t="shared" si="1"/>
        <v/>
      </c>
      <c r="J24" s="163">
        <f t="shared" si="5"/>
        <v>0</v>
      </c>
      <c r="K24" s="163">
        <f t="shared" si="2"/>
        <v>0</v>
      </c>
      <c r="L24" s="163"/>
      <c r="M24" s="165">
        <f t="shared" si="3"/>
        <v>0</v>
      </c>
      <c r="R24" s="176"/>
      <c r="S24" s="177"/>
    </row>
    <row r="25" spans="1:19" x14ac:dyDescent="0.25">
      <c r="A25" s="110">
        <f t="shared" si="4"/>
        <v>0</v>
      </c>
      <c r="B25" s="34" t="str">
        <f t="shared" si="0"/>
        <v/>
      </c>
      <c r="C25" s="35"/>
      <c r="D25" s="35"/>
      <c r="E25" s="35"/>
      <c r="F25" s="35"/>
      <c r="G25" s="22"/>
      <c r="H25" s="166">
        <v>20</v>
      </c>
      <c r="I25" s="167" t="str">
        <f t="shared" si="1"/>
        <v/>
      </c>
      <c r="J25" s="166">
        <f t="shared" si="5"/>
        <v>0</v>
      </c>
      <c r="K25" s="166">
        <f t="shared" si="2"/>
        <v>0</v>
      </c>
      <c r="L25" s="166"/>
      <c r="M25" s="168">
        <f t="shared" si="3"/>
        <v>0</v>
      </c>
    </row>
    <row r="26" spans="1:19" x14ac:dyDescent="0.25">
      <c r="A26" s="109">
        <f t="shared" si="4"/>
        <v>0</v>
      </c>
      <c r="B26" s="28" t="str">
        <f t="shared" si="0"/>
        <v/>
      </c>
      <c r="C26" s="29"/>
      <c r="D26" s="29"/>
      <c r="E26" s="29"/>
      <c r="F26" s="29"/>
      <c r="G26" s="22"/>
      <c r="H26" s="163">
        <v>21</v>
      </c>
      <c r="I26" s="164" t="str">
        <f t="shared" si="1"/>
        <v/>
      </c>
      <c r="J26" s="163">
        <f t="shared" si="5"/>
        <v>0</v>
      </c>
      <c r="K26" s="163">
        <f t="shared" si="2"/>
        <v>0</v>
      </c>
      <c r="L26" s="163"/>
      <c r="M26" s="165">
        <f t="shared" si="3"/>
        <v>0</v>
      </c>
    </row>
    <row r="27" spans="1:19" x14ac:dyDescent="0.25">
      <c r="A27" s="110">
        <f t="shared" si="4"/>
        <v>0</v>
      </c>
      <c r="B27" s="34" t="str">
        <f t="shared" si="0"/>
        <v/>
      </c>
      <c r="C27" s="35"/>
      <c r="D27" s="35"/>
      <c r="E27" s="35"/>
      <c r="F27" s="35"/>
      <c r="G27" s="22"/>
      <c r="H27" s="166">
        <v>22</v>
      </c>
      <c r="I27" s="167" t="str">
        <f t="shared" si="1"/>
        <v/>
      </c>
      <c r="J27" s="166">
        <f t="shared" si="5"/>
        <v>0</v>
      </c>
      <c r="K27" s="166">
        <f t="shared" si="2"/>
        <v>0</v>
      </c>
      <c r="L27" s="166"/>
      <c r="M27" s="168">
        <f t="shared" si="3"/>
        <v>0</v>
      </c>
    </row>
    <row r="28" spans="1:19" x14ac:dyDescent="0.25">
      <c r="A28" s="109">
        <f t="shared" si="4"/>
        <v>0</v>
      </c>
      <c r="B28" s="28" t="str">
        <f t="shared" si="0"/>
        <v/>
      </c>
      <c r="C28" s="29"/>
      <c r="D28" s="29"/>
      <c r="E28" s="29"/>
      <c r="F28" s="29"/>
      <c r="G28" s="22"/>
      <c r="H28" s="163">
        <v>23</v>
      </c>
      <c r="I28" s="164" t="str">
        <f t="shared" si="1"/>
        <v/>
      </c>
      <c r="J28" s="163">
        <f t="shared" si="5"/>
        <v>0</v>
      </c>
      <c r="K28" s="163">
        <f t="shared" si="2"/>
        <v>0</v>
      </c>
      <c r="L28" s="163"/>
      <c r="M28" s="165">
        <f t="shared" si="3"/>
        <v>0</v>
      </c>
      <c r="R28" s="176"/>
      <c r="S28" s="177"/>
    </row>
    <row r="29" spans="1:19" x14ac:dyDescent="0.25">
      <c r="A29" s="110">
        <f t="shared" si="4"/>
        <v>0</v>
      </c>
      <c r="B29" s="34" t="str">
        <f t="shared" si="0"/>
        <v/>
      </c>
      <c r="C29" s="35"/>
      <c r="D29" s="35"/>
      <c r="E29" s="35"/>
      <c r="F29" s="35"/>
      <c r="G29" s="151"/>
      <c r="H29" s="166">
        <v>24</v>
      </c>
      <c r="I29" s="167" t="str">
        <f t="shared" si="1"/>
        <v/>
      </c>
      <c r="J29" s="166">
        <f t="shared" si="5"/>
        <v>0</v>
      </c>
      <c r="K29" s="166">
        <f t="shared" si="2"/>
        <v>0</v>
      </c>
      <c r="L29" s="166"/>
      <c r="M29" s="168">
        <f t="shared" si="3"/>
        <v>0</v>
      </c>
    </row>
    <row r="30" spans="1:19" x14ac:dyDescent="0.25">
      <c r="A30" s="109">
        <f t="shared" si="4"/>
        <v>0</v>
      </c>
      <c r="B30" s="28" t="str">
        <f t="shared" si="0"/>
        <v/>
      </c>
      <c r="C30" s="29"/>
      <c r="D30" s="29"/>
      <c r="E30" s="29"/>
      <c r="F30" s="29"/>
      <c r="G30" s="151"/>
      <c r="H30" s="163">
        <v>25</v>
      </c>
      <c r="I30" s="164" t="str">
        <f t="shared" si="1"/>
        <v/>
      </c>
      <c r="J30" s="163">
        <f t="shared" si="5"/>
        <v>0</v>
      </c>
      <c r="K30" s="163">
        <f t="shared" si="2"/>
        <v>0</v>
      </c>
      <c r="L30" s="163"/>
      <c r="M30" s="165">
        <f t="shared" si="3"/>
        <v>0</v>
      </c>
    </row>
    <row r="31" spans="1:19" x14ac:dyDescent="0.25">
      <c r="A31" s="110">
        <f t="shared" si="4"/>
        <v>0</v>
      </c>
      <c r="B31" s="34" t="str">
        <f t="shared" si="0"/>
        <v/>
      </c>
      <c r="C31" s="35"/>
      <c r="D31" s="35"/>
      <c r="E31" s="35"/>
      <c r="F31" s="35"/>
      <c r="G31" s="151"/>
      <c r="H31" s="166">
        <v>26</v>
      </c>
      <c r="I31" s="167" t="str">
        <f t="shared" si="1"/>
        <v/>
      </c>
      <c r="J31" s="166">
        <f t="shared" si="5"/>
        <v>0</v>
      </c>
      <c r="K31" s="166">
        <f t="shared" si="2"/>
        <v>0</v>
      </c>
      <c r="L31" s="166"/>
      <c r="M31" s="168">
        <f t="shared" si="3"/>
        <v>0</v>
      </c>
    </row>
    <row r="32" spans="1:19" x14ac:dyDescent="0.25">
      <c r="A32" s="109">
        <f t="shared" si="4"/>
        <v>0</v>
      </c>
      <c r="B32" s="28" t="str">
        <f t="shared" si="0"/>
        <v/>
      </c>
      <c r="C32" s="29"/>
      <c r="D32" s="29"/>
      <c r="E32" s="29"/>
      <c r="F32" s="29"/>
      <c r="G32" s="151"/>
      <c r="H32" s="163">
        <v>27</v>
      </c>
      <c r="I32" s="164" t="str">
        <f t="shared" si="1"/>
        <v/>
      </c>
      <c r="J32" s="163">
        <f t="shared" si="5"/>
        <v>0</v>
      </c>
      <c r="K32" s="163">
        <f t="shared" si="2"/>
        <v>0</v>
      </c>
      <c r="L32" s="163"/>
      <c r="M32" s="165">
        <f t="shared" si="3"/>
        <v>0</v>
      </c>
      <c r="R32" s="176"/>
      <c r="S32" s="177"/>
    </row>
    <row r="33" spans="1:21" x14ac:dyDescent="0.25">
      <c r="A33" s="110">
        <f t="shared" si="4"/>
        <v>0</v>
      </c>
      <c r="B33" s="34" t="str">
        <f t="shared" si="0"/>
        <v/>
      </c>
      <c r="C33" s="35"/>
      <c r="D33" s="35"/>
      <c r="E33" s="35"/>
      <c r="F33" s="35"/>
      <c r="G33" s="151"/>
      <c r="H33" s="166">
        <v>28</v>
      </c>
      <c r="I33" s="167" t="str">
        <f t="shared" si="1"/>
        <v/>
      </c>
      <c r="J33" s="166">
        <f t="shared" si="5"/>
        <v>0</v>
      </c>
      <c r="K33" s="166">
        <f t="shared" si="2"/>
        <v>0</v>
      </c>
      <c r="L33" s="166"/>
      <c r="M33" s="168">
        <f t="shared" si="3"/>
        <v>0</v>
      </c>
    </row>
    <row r="34" spans="1:21" x14ac:dyDescent="0.25">
      <c r="A34" s="109">
        <f t="shared" si="4"/>
        <v>0</v>
      </c>
      <c r="B34" s="28" t="str">
        <f t="shared" si="0"/>
        <v/>
      </c>
      <c r="C34" s="29"/>
      <c r="D34" s="29"/>
      <c r="E34" s="29"/>
      <c r="F34" s="29"/>
      <c r="G34" s="151"/>
      <c r="H34" s="163">
        <v>29</v>
      </c>
      <c r="I34" s="164" t="str">
        <f t="shared" si="1"/>
        <v/>
      </c>
      <c r="J34" s="163">
        <f t="shared" si="5"/>
        <v>0</v>
      </c>
      <c r="K34" s="163">
        <f t="shared" si="2"/>
        <v>0</v>
      </c>
      <c r="L34" s="163"/>
      <c r="M34" s="165">
        <f t="shared" si="3"/>
        <v>0</v>
      </c>
    </row>
    <row r="35" spans="1:21" x14ac:dyDescent="0.25">
      <c r="A35" s="110">
        <f t="shared" si="4"/>
        <v>0</v>
      </c>
      <c r="B35" s="34" t="str">
        <f t="shared" si="0"/>
        <v/>
      </c>
      <c r="C35" s="35"/>
      <c r="D35" s="35"/>
      <c r="E35" s="35"/>
      <c r="F35" s="35"/>
      <c r="G35" s="151"/>
      <c r="H35" s="166">
        <v>30</v>
      </c>
      <c r="I35" s="167" t="str">
        <f t="shared" si="1"/>
        <v/>
      </c>
      <c r="J35" s="166">
        <f t="shared" si="5"/>
        <v>0</v>
      </c>
      <c r="K35" s="166">
        <f t="shared" si="2"/>
        <v>0</v>
      </c>
      <c r="L35" s="166"/>
      <c r="M35" s="168">
        <f t="shared" si="3"/>
        <v>0</v>
      </c>
    </row>
    <row r="36" spans="1:21" x14ac:dyDescent="0.25">
      <c r="A36" s="109">
        <f t="shared" si="4"/>
        <v>0</v>
      </c>
      <c r="B36" s="28" t="str">
        <f t="shared" si="0"/>
        <v/>
      </c>
      <c r="C36" s="29"/>
      <c r="D36" s="29"/>
      <c r="E36" s="29"/>
      <c r="F36" s="29"/>
      <c r="G36" s="151"/>
      <c r="H36" s="163">
        <v>31</v>
      </c>
      <c r="I36" s="164" t="str">
        <f t="shared" si="1"/>
        <v/>
      </c>
      <c r="J36" s="163">
        <f t="shared" si="5"/>
        <v>0</v>
      </c>
      <c r="K36" s="163">
        <f t="shared" si="2"/>
        <v>0</v>
      </c>
      <c r="L36" s="163"/>
      <c r="M36" s="165">
        <f t="shared" si="3"/>
        <v>0</v>
      </c>
      <c r="R36" s="176"/>
      <c r="S36" s="177"/>
    </row>
    <row r="37" spans="1:21" x14ac:dyDescent="0.25">
      <c r="A37" s="110">
        <f t="shared" si="4"/>
        <v>0</v>
      </c>
      <c r="B37" s="34" t="str">
        <f t="shared" si="0"/>
        <v/>
      </c>
      <c r="C37" s="35"/>
      <c r="D37" s="35"/>
      <c r="E37" s="35"/>
      <c r="F37" s="35"/>
      <c r="G37" s="151"/>
      <c r="H37" s="166">
        <v>32</v>
      </c>
      <c r="I37" s="167" t="str">
        <f t="shared" si="1"/>
        <v/>
      </c>
      <c r="J37" s="166">
        <f t="shared" si="5"/>
        <v>0</v>
      </c>
      <c r="K37" s="166">
        <f t="shared" si="2"/>
        <v>0</v>
      </c>
      <c r="L37" s="166"/>
      <c r="M37" s="168">
        <f t="shared" si="3"/>
        <v>0</v>
      </c>
    </row>
    <row r="38" spans="1:21" x14ac:dyDescent="0.25">
      <c r="A38" s="109"/>
      <c r="B38" s="28" t="str">
        <f t="shared" si="0"/>
        <v/>
      </c>
      <c r="C38" s="29"/>
      <c r="D38" s="29"/>
      <c r="E38" s="29"/>
      <c r="F38" s="29"/>
      <c r="G38" s="151"/>
      <c r="H38" s="163">
        <v>33</v>
      </c>
      <c r="I38" s="164" t="str">
        <f t="shared" si="1"/>
        <v/>
      </c>
      <c r="J38" s="163">
        <f t="shared" si="5"/>
        <v>-1</v>
      </c>
      <c r="K38" s="163">
        <f t="shared" si="2"/>
        <v>-10</v>
      </c>
      <c r="L38" s="163"/>
      <c r="M38" s="165">
        <f t="shared" si="3"/>
        <v>0</v>
      </c>
    </row>
    <row r="39" spans="1:21" x14ac:dyDescent="0.25">
      <c r="A39" s="110"/>
      <c r="B39" s="34" t="str">
        <f t="shared" si="0"/>
        <v/>
      </c>
      <c r="C39" s="35"/>
      <c r="D39" s="35"/>
      <c r="E39" s="35"/>
      <c r="F39" s="35"/>
      <c r="G39" s="151"/>
      <c r="H39" s="166">
        <v>34</v>
      </c>
      <c r="I39" s="167" t="str">
        <f t="shared" si="1"/>
        <v/>
      </c>
      <c r="J39" s="166">
        <f t="shared" si="5"/>
        <v>-1</v>
      </c>
      <c r="K39" s="166">
        <f t="shared" si="2"/>
        <v>-10</v>
      </c>
      <c r="L39" s="166"/>
      <c r="M39" s="168">
        <f t="shared" si="3"/>
        <v>0</v>
      </c>
    </row>
    <row r="40" spans="1:21" x14ac:dyDescent="0.25">
      <c r="A40" s="109"/>
      <c r="B40" s="28" t="str">
        <f t="shared" si="0"/>
        <v/>
      </c>
      <c r="C40" s="29"/>
      <c r="D40" s="29"/>
      <c r="E40" s="29"/>
      <c r="F40" s="29"/>
      <c r="G40" s="151"/>
      <c r="H40" s="163">
        <v>35</v>
      </c>
      <c r="I40" s="164" t="str">
        <f t="shared" si="1"/>
        <v/>
      </c>
      <c r="J40" s="163">
        <f t="shared" si="5"/>
        <v>-1</v>
      </c>
      <c r="K40" s="163">
        <f t="shared" si="2"/>
        <v>-10</v>
      </c>
      <c r="L40" s="163"/>
      <c r="M40" s="165">
        <f t="shared" si="3"/>
        <v>0</v>
      </c>
    </row>
    <row r="41" spans="1:21" x14ac:dyDescent="0.25">
      <c r="A41" s="110"/>
      <c r="B41" s="34" t="str">
        <f t="shared" si="0"/>
        <v/>
      </c>
      <c r="C41" s="35"/>
      <c r="D41" s="35"/>
      <c r="E41" s="35"/>
      <c r="F41" s="35"/>
      <c r="G41" s="151"/>
      <c r="H41" s="166">
        <v>36</v>
      </c>
      <c r="I41" s="167" t="str">
        <f t="shared" si="1"/>
        <v/>
      </c>
      <c r="J41" s="166">
        <f t="shared" si="5"/>
        <v>-1</v>
      </c>
      <c r="K41" s="166">
        <f t="shared" si="2"/>
        <v>-10</v>
      </c>
      <c r="L41" s="166"/>
      <c r="M41" s="168">
        <f t="shared" si="3"/>
        <v>0</v>
      </c>
      <c r="S41" s="178"/>
    </row>
    <row r="42" spans="1:21" x14ac:dyDescent="0.25">
      <c r="A42" s="109"/>
      <c r="B42" s="28" t="str">
        <f t="shared" si="0"/>
        <v/>
      </c>
      <c r="C42" s="29"/>
      <c r="D42" s="29"/>
      <c r="E42" s="29"/>
      <c r="F42" s="29"/>
      <c r="G42" s="151"/>
      <c r="H42" s="163">
        <v>37</v>
      </c>
      <c r="I42" s="164" t="str">
        <f t="shared" si="1"/>
        <v/>
      </c>
      <c r="J42" s="163">
        <f t="shared" si="5"/>
        <v>-1</v>
      </c>
      <c r="K42" s="163">
        <f t="shared" si="2"/>
        <v>-10</v>
      </c>
      <c r="L42" s="163"/>
      <c r="M42" s="165">
        <f t="shared" si="3"/>
        <v>0</v>
      </c>
    </row>
    <row r="43" spans="1:21" x14ac:dyDescent="0.25">
      <c r="A43" s="110"/>
      <c r="B43" s="34" t="str">
        <f t="shared" si="0"/>
        <v/>
      </c>
      <c r="C43" s="35"/>
      <c r="D43" s="35"/>
      <c r="E43" s="35"/>
      <c r="F43" s="35"/>
      <c r="G43" s="151"/>
      <c r="H43" s="166">
        <v>38</v>
      </c>
      <c r="I43" s="167" t="str">
        <f t="shared" si="1"/>
        <v/>
      </c>
      <c r="J43" s="166">
        <f t="shared" si="5"/>
        <v>-1</v>
      </c>
      <c r="K43" s="166">
        <f t="shared" si="2"/>
        <v>-10</v>
      </c>
      <c r="L43" s="166"/>
      <c r="M43" s="168">
        <f t="shared" si="3"/>
        <v>0</v>
      </c>
    </row>
    <row r="44" spans="1:21" x14ac:dyDescent="0.25">
      <c r="A44" s="109"/>
      <c r="B44" s="28" t="str">
        <f t="shared" si="0"/>
        <v/>
      </c>
      <c r="C44" s="29"/>
      <c r="D44" s="29"/>
      <c r="E44" s="29"/>
      <c r="F44" s="29"/>
      <c r="G44" s="151"/>
      <c r="H44" s="163">
        <v>39</v>
      </c>
      <c r="I44" s="164" t="str">
        <f t="shared" si="1"/>
        <v/>
      </c>
      <c r="J44" s="163">
        <f t="shared" si="5"/>
        <v>-1</v>
      </c>
      <c r="K44" s="163">
        <f t="shared" si="2"/>
        <v>-10</v>
      </c>
      <c r="L44" s="163"/>
      <c r="M44" s="165">
        <f t="shared" si="3"/>
        <v>0</v>
      </c>
    </row>
    <row r="45" spans="1:21" x14ac:dyDescent="0.25">
      <c r="A45" s="110"/>
      <c r="B45" s="34" t="str">
        <f t="shared" si="0"/>
        <v/>
      </c>
      <c r="C45" s="35"/>
      <c r="D45" s="35"/>
      <c r="E45" s="35"/>
      <c r="F45" s="35"/>
      <c r="G45" s="151"/>
      <c r="H45" s="166">
        <v>40</v>
      </c>
      <c r="I45" s="167" t="str">
        <f t="shared" si="1"/>
        <v/>
      </c>
      <c r="J45" s="166">
        <f t="shared" si="5"/>
        <v>-1</v>
      </c>
      <c r="K45" s="166">
        <f t="shared" si="2"/>
        <v>-10</v>
      </c>
      <c r="L45" s="166"/>
      <c r="M45" s="168">
        <f t="shared" si="3"/>
        <v>0</v>
      </c>
    </row>
    <row r="46" spans="1:21" x14ac:dyDescent="0.25">
      <c r="A46" s="109"/>
      <c r="B46" s="28" t="str">
        <f t="shared" si="0"/>
        <v/>
      </c>
      <c r="C46" s="29"/>
      <c r="D46" s="29"/>
      <c r="E46" s="29"/>
      <c r="F46" s="29"/>
      <c r="G46" s="151"/>
      <c r="H46" s="163">
        <v>41</v>
      </c>
      <c r="I46" s="164" t="str">
        <f t="shared" si="1"/>
        <v/>
      </c>
      <c r="J46" s="163">
        <f t="shared" si="5"/>
        <v>-1</v>
      </c>
      <c r="K46" s="163">
        <f t="shared" si="2"/>
        <v>-10</v>
      </c>
      <c r="L46" s="163"/>
      <c r="M46" s="165">
        <f t="shared" si="3"/>
        <v>0</v>
      </c>
      <c r="R46" s="151">
        <f>LOG($H$2,2)</f>
        <v>4.1699250014423122</v>
      </c>
      <c r="T46" s="156">
        <f>LOG(H38,2)</f>
        <v>5.0443941193584534</v>
      </c>
      <c r="U46" s="156">
        <f>R46-T46</f>
        <v>-0.87446911791614124</v>
      </c>
    </row>
    <row r="47" spans="1:21" x14ac:dyDescent="0.25">
      <c r="A47" s="110"/>
      <c r="B47" s="34" t="str">
        <f t="shared" si="0"/>
        <v/>
      </c>
      <c r="C47" s="35"/>
      <c r="D47" s="35"/>
      <c r="E47" s="35"/>
      <c r="F47" s="35"/>
      <c r="G47" s="151"/>
      <c r="H47" s="166">
        <v>42</v>
      </c>
      <c r="I47" s="167" t="str">
        <f t="shared" si="1"/>
        <v/>
      </c>
      <c r="J47" s="166">
        <f t="shared" si="5"/>
        <v>-1</v>
      </c>
      <c r="K47" s="166">
        <f t="shared" si="2"/>
        <v>-10</v>
      </c>
      <c r="L47" s="166"/>
      <c r="M47" s="168">
        <f t="shared" si="3"/>
        <v>0</v>
      </c>
    </row>
    <row r="48" spans="1:21" x14ac:dyDescent="0.25">
      <c r="A48" s="109"/>
      <c r="B48" s="28" t="str">
        <f t="shared" si="0"/>
        <v/>
      </c>
      <c r="C48" s="29"/>
      <c r="D48" s="29"/>
      <c r="E48" s="29"/>
      <c r="F48" s="29"/>
      <c r="G48" s="151"/>
      <c r="H48" s="163">
        <v>43</v>
      </c>
      <c r="I48" s="164" t="str">
        <f t="shared" si="1"/>
        <v/>
      </c>
      <c r="J48" s="163">
        <f t="shared" si="5"/>
        <v>-1</v>
      </c>
      <c r="K48" s="163">
        <f t="shared" si="2"/>
        <v>-10</v>
      </c>
      <c r="L48" s="163"/>
      <c r="M48" s="165">
        <f t="shared" si="3"/>
        <v>0</v>
      </c>
    </row>
    <row r="49" spans="1:13" x14ac:dyDescent="0.25">
      <c r="A49" s="110"/>
      <c r="B49" s="34" t="str">
        <f t="shared" si="0"/>
        <v/>
      </c>
      <c r="C49" s="35"/>
      <c r="D49" s="35"/>
      <c r="E49" s="35"/>
      <c r="F49" s="35"/>
      <c r="G49" s="151"/>
      <c r="H49" s="166">
        <v>44</v>
      </c>
      <c r="I49" s="167" t="str">
        <f t="shared" si="1"/>
        <v/>
      </c>
      <c r="J49" s="166">
        <f t="shared" si="5"/>
        <v>-1</v>
      </c>
      <c r="K49" s="166">
        <f t="shared" si="2"/>
        <v>-10</v>
      </c>
      <c r="L49" s="166"/>
      <c r="M49" s="168">
        <f t="shared" si="3"/>
        <v>0</v>
      </c>
    </row>
    <row r="50" spans="1:13" x14ac:dyDescent="0.25">
      <c r="A50" s="109"/>
      <c r="B50" s="28" t="str">
        <f t="shared" si="0"/>
        <v/>
      </c>
      <c r="C50" s="29"/>
      <c r="D50" s="29"/>
      <c r="E50" s="29"/>
      <c r="F50" s="29"/>
      <c r="G50" s="151"/>
      <c r="H50" s="163">
        <v>45</v>
      </c>
      <c r="I50" s="164" t="str">
        <f t="shared" si="1"/>
        <v/>
      </c>
      <c r="J50" s="163">
        <f t="shared" si="5"/>
        <v>-1</v>
      </c>
      <c r="K50" s="163">
        <f t="shared" si="2"/>
        <v>-10</v>
      </c>
      <c r="L50" s="163"/>
      <c r="M50" s="165">
        <f t="shared" si="3"/>
        <v>0</v>
      </c>
    </row>
    <row r="51" spans="1:13" x14ac:dyDescent="0.25">
      <c r="A51" s="110"/>
      <c r="B51" s="34" t="str">
        <f t="shared" si="0"/>
        <v/>
      </c>
      <c r="C51" s="35"/>
      <c r="D51" s="35"/>
      <c r="E51" s="35"/>
      <c r="F51" s="35"/>
      <c r="G51" s="151"/>
      <c r="H51" s="166">
        <v>46</v>
      </c>
      <c r="I51" s="167" t="str">
        <f t="shared" si="1"/>
        <v/>
      </c>
      <c r="J51" s="166">
        <f t="shared" si="5"/>
        <v>-1</v>
      </c>
      <c r="K51" s="166">
        <f t="shared" si="2"/>
        <v>-10</v>
      </c>
      <c r="L51" s="166"/>
      <c r="M51" s="168">
        <f t="shared" si="3"/>
        <v>0</v>
      </c>
    </row>
    <row r="52" spans="1:13" x14ac:dyDescent="0.25">
      <c r="A52" s="109"/>
      <c r="B52" s="28" t="str">
        <f t="shared" si="0"/>
        <v/>
      </c>
      <c r="C52" s="29"/>
      <c r="D52" s="29"/>
      <c r="E52" s="29"/>
      <c r="F52" s="29"/>
      <c r="G52" s="151"/>
      <c r="H52" s="163">
        <v>47</v>
      </c>
      <c r="I52" s="164" t="str">
        <f t="shared" si="1"/>
        <v/>
      </c>
      <c r="J52" s="163">
        <f t="shared" si="5"/>
        <v>-1</v>
      </c>
      <c r="K52" s="163">
        <f t="shared" si="2"/>
        <v>-10</v>
      </c>
      <c r="L52" s="163"/>
      <c r="M52" s="165">
        <f t="shared" si="3"/>
        <v>0</v>
      </c>
    </row>
    <row r="53" spans="1:13" x14ac:dyDescent="0.25">
      <c r="A53" s="110"/>
      <c r="B53" s="34" t="str">
        <f t="shared" si="0"/>
        <v/>
      </c>
      <c r="C53" s="35"/>
      <c r="D53" s="35"/>
      <c r="E53" s="35"/>
      <c r="F53" s="35"/>
      <c r="G53" s="151"/>
      <c r="H53" s="166">
        <v>48</v>
      </c>
      <c r="I53" s="167" t="str">
        <f t="shared" si="1"/>
        <v/>
      </c>
      <c r="J53" s="166">
        <f t="shared" si="5"/>
        <v>-1</v>
      </c>
      <c r="K53" s="166">
        <f t="shared" si="2"/>
        <v>-10</v>
      </c>
      <c r="L53" s="166"/>
      <c r="M53" s="168">
        <f t="shared" si="3"/>
        <v>0</v>
      </c>
    </row>
    <row r="54" spans="1:13" x14ac:dyDescent="0.25">
      <c r="A54" s="109"/>
      <c r="B54" s="28" t="str">
        <f t="shared" si="0"/>
        <v/>
      </c>
      <c r="C54" s="29"/>
      <c r="D54" s="29"/>
      <c r="E54" s="29"/>
      <c r="F54" s="29"/>
      <c r="G54" s="151"/>
      <c r="H54" s="163">
        <v>49</v>
      </c>
      <c r="I54" s="164" t="str">
        <f t="shared" si="1"/>
        <v/>
      </c>
      <c r="J54" s="163">
        <f t="shared" si="5"/>
        <v>-1</v>
      </c>
      <c r="K54" s="163">
        <f t="shared" si="2"/>
        <v>-10</v>
      </c>
      <c r="L54" s="163"/>
      <c r="M54" s="165">
        <f t="shared" si="3"/>
        <v>0</v>
      </c>
    </row>
    <row r="55" spans="1:13" x14ac:dyDescent="0.25">
      <c r="A55" s="110"/>
      <c r="B55" s="34" t="str">
        <f t="shared" si="0"/>
        <v/>
      </c>
      <c r="C55" s="35"/>
      <c r="D55" s="35"/>
      <c r="E55" s="35"/>
      <c r="F55" s="35"/>
      <c r="G55" s="151"/>
      <c r="H55" s="166">
        <v>50</v>
      </c>
      <c r="I55" s="167" t="str">
        <f t="shared" si="1"/>
        <v/>
      </c>
      <c r="J55" s="166">
        <f t="shared" si="5"/>
        <v>-1</v>
      </c>
      <c r="K55" s="166">
        <f t="shared" si="2"/>
        <v>-10</v>
      </c>
      <c r="L55" s="166"/>
      <c r="M55" s="168">
        <f t="shared" si="3"/>
        <v>0</v>
      </c>
    </row>
    <row r="56" spans="1:13" x14ac:dyDescent="0.25">
      <c r="A56" s="109"/>
      <c r="B56" s="28" t="str">
        <f t="shared" si="0"/>
        <v/>
      </c>
      <c r="C56" s="29"/>
      <c r="D56" s="29"/>
      <c r="E56" s="29"/>
      <c r="F56" s="29"/>
      <c r="G56" s="151"/>
      <c r="H56" s="163">
        <v>51</v>
      </c>
      <c r="I56" s="164" t="str">
        <f t="shared" si="1"/>
        <v/>
      </c>
      <c r="J56" s="163">
        <f t="shared" si="5"/>
        <v>-1</v>
      </c>
      <c r="K56" s="163">
        <f t="shared" si="2"/>
        <v>-10</v>
      </c>
      <c r="L56" s="163"/>
      <c r="M56" s="165">
        <f t="shared" si="3"/>
        <v>0</v>
      </c>
    </row>
    <row r="57" spans="1:13" x14ac:dyDescent="0.25">
      <c r="A57" s="110"/>
      <c r="B57" s="34" t="str">
        <f t="shared" si="0"/>
        <v/>
      </c>
      <c r="C57" s="35"/>
      <c r="D57" s="35"/>
      <c r="E57" s="35"/>
      <c r="F57" s="35"/>
      <c r="G57" s="151"/>
      <c r="H57" s="166">
        <v>52</v>
      </c>
      <c r="I57" s="167" t="str">
        <f t="shared" si="1"/>
        <v/>
      </c>
      <c r="J57" s="166">
        <f t="shared" si="5"/>
        <v>-1</v>
      </c>
      <c r="K57" s="166">
        <f t="shared" si="2"/>
        <v>-10</v>
      </c>
      <c r="L57" s="166"/>
      <c r="M57" s="168">
        <f t="shared" si="3"/>
        <v>0</v>
      </c>
    </row>
    <row r="58" spans="1:13" x14ac:dyDescent="0.25">
      <c r="A58" s="109"/>
      <c r="B58" s="28" t="str">
        <f t="shared" si="0"/>
        <v/>
      </c>
      <c r="C58" s="29"/>
      <c r="D58" s="29"/>
      <c r="E58" s="29"/>
      <c r="F58" s="29"/>
      <c r="G58" s="151"/>
      <c r="H58" s="163">
        <v>53</v>
      </c>
      <c r="I58" s="164" t="str">
        <f t="shared" si="1"/>
        <v/>
      </c>
      <c r="J58" s="163">
        <f t="shared" si="5"/>
        <v>-1</v>
      </c>
      <c r="K58" s="163">
        <f t="shared" si="2"/>
        <v>-10</v>
      </c>
      <c r="L58" s="163"/>
      <c r="M58" s="165">
        <f t="shared" si="3"/>
        <v>0</v>
      </c>
    </row>
    <row r="59" spans="1:13" x14ac:dyDescent="0.25">
      <c r="A59" s="110"/>
      <c r="B59" s="34" t="str">
        <f t="shared" si="0"/>
        <v/>
      </c>
      <c r="C59" s="35"/>
      <c r="D59" s="35"/>
      <c r="E59" s="35"/>
      <c r="F59" s="35"/>
      <c r="G59" s="151"/>
      <c r="H59" s="166">
        <v>54</v>
      </c>
      <c r="I59" s="167" t="str">
        <f t="shared" si="1"/>
        <v/>
      </c>
      <c r="J59" s="166">
        <f t="shared" si="5"/>
        <v>-1</v>
      </c>
      <c r="K59" s="166">
        <f t="shared" si="2"/>
        <v>-10</v>
      </c>
      <c r="L59" s="166"/>
      <c r="M59" s="168">
        <f t="shared" si="3"/>
        <v>0</v>
      </c>
    </row>
    <row r="60" spans="1:13" x14ac:dyDescent="0.25">
      <c r="A60" s="109"/>
      <c r="B60" s="28" t="str">
        <f t="shared" si="0"/>
        <v/>
      </c>
      <c r="C60" s="29"/>
      <c r="D60" s="29"/>
      <c r="E60" s="29"/>
      <c r="F60" s="29"/>
      <c r="G60" s="151"/>
      <c r="H60" s="163">
        <v>55</v>
      </c>
      <c r="I60" s="164" t="str">
        <f t="shared" si="1"/>
        <v/>
      </c>
      <c r="J60" s="163">
        <f t="shared" si="5"/>
        <v>-1</v>
      </c>
      <c r="K60" s="163">
        <f t="shared" si="2"/>
        <v>-10</v>
      </c>
      <c r="L60" s="163"/>
      <c r="M60" s="165">
        <f t="shared" si="3"/>
        <v>0</v>
      </c>
    </row>
    <row r="61" spans="1:13" x14ac:dyDescent="0.25">
      <c r="A61" s="110"/>
      <c r="B61" s="34" t="str">
        <f t="shared" si="0"/>
        <v/>
      </c>
      <c r="C61" s="35"/>
      <c r="D61" s="35"/>
      <c r="E61" s="35"/>
      <c r="F61" s="35"/>
      <c r="G61" s="151"/>
      <c r="H61" s="166">
        <v>56</v>
      </c>
      <c r="I61" s="167" t="str">
        <f t="shared" si="1"/>
        <v/>
      </c>
      <c r="J61" s="166">
        <f t="shared" si="5"/>
        <v>-1</v>
      </c>
      <c r="K61" s="166">
        <f t="shared" si="2"/>
        <v>-10</v>
      </c>
      <c r="L61" s="166"/>
      <c r="M61" s="168">
        <f t="shared" si="3"/>
        <v>0</v>
      </c>
    </row>
    <row r="62" spans="1:13" x14ac:dyDescent="0.25">
      <c r="A62" s="109"/>
      <c r="B62" s="28" t="str">
        <f t="shared" si="0"/>
        <v/>
      </c>
      <c r="C62" s="29"/>
      <c r="D62" s="29"/>
      <c r="E62" s="29"/>
      <c r="F62" s="29"/>
      <c r="G62" s="151"/>
      <c r="H62" s="163">
        <v>57</v>
      </c>
      <c r="I62" s="164" t="str">
        <f t="shared" si="1"/>
        <v/>
      </c>
      <c r="J62" s="163">
        <f t="shared" si="5"/>
        <v>-1</v>
      </c>
      <c r="K62" s="163">
        <f t="shared" si="2"/>
        <v>-10</v>
      </c>
      <c r="L62" s="163"/>
      <c r="M62" s="165">
        <f t="shared" si="3"/>
        <v>0</v>
      </c>
    </row>
    <row r="63" spans="1:13" x14ac:dyDescent="0.25">
      <c r="A63" s="110"/>
      <c r="B63" s="34" t="str">
        <f t="shared" si="0"/>
        <v/>
      </c>
      <c r="C63" s="35"/>
      <c r="D63" s="35"/>
      <c r="E63" s="35"/>
      <c r="F63" s="35"/>
      <c r="G63" s="151"/>
      <c r="H63" s="166">
        <v>58</v>
      </c>
      <c r="I63" s="167" t="str">
        <f t="shared" si="1"/>
        <v/>
      </c>
      <c r="J63" s="166">
        <f t="shared" si="5"/>
        <v>-1</v>
      </c>
      <c r="K63" s="166">
        <f t="shared" si="2"/>
        <v>-10</v>
      </c>
      <c r="L63" s="166"/>
      <c r="M63" s="168">
        <f t="shared" si="3"/>
        <v>0</v>
      </c>
    </row>
    <row r="64" spans="1:13" x14ac:dyDescent="0.25">
      <c r="A64" s="109"/>
      <c r="B64" s="28" t="str">
        <f t="shared" si="0"/>
        <v/>
      </c>
      <c r="C64" s="29"/>
      <c r="D64" s="29"/>
      <c r="E64" s="29"/>
      <c r="F64" s="29"/>
      <c r="G64" s="151"/>
      <c r="H64" s="163">
        <v>59</v>
      </c>
      <c r="I64" s="164" t="str">
        <f t="shared" si="1"/>
        <v/>
      </c>
      <c r="J64" s="163">
        <f t="shared" si="5"/>
        <v>-1</v>
      </c>
      <c r="K64" s="163">
        <f t="shared" si="2"/>
        <v>-10</v>
      </c>
      <c r="L64" s="163"/>
      <c r="M64" s="165">
        <f t="shared" si="3"/>
        <v>0</v>
      </c>
    </row>
    <row r="65" spans="1:13" x14ac:dyDescent="0.25">
      <c r="A65" s="110"/>
      <c r="B65" s="34" t="str">
        <f t="shared" si="0"/>
        <v/>
      </c>
      <c r="C65" s="35"/>
      <c r="D65" s="35"/>
      <c r="E65" s="35"/>
      <c r="F65" s="35"/>
      <c r="G65" s="151"/>
      <c r="H65" s="166">
        <v>60</v>
      </c>
      <c r="I65" s="167" t="str">
        <f t="shared" si="1"/>
        <v/>
      </c>
      <c r="J65" s="166">
        <f t="shared" si="5"/>
        <v>-1</v>
      </c>
      <c r="K65" s="166">
        <f t="shared" si="2"/>
        <v>-10</v>
      </c>
      <c r="L65" s="166"/>
      <c r="M65" s="168">
        <f t="shared" si="3"/>
        <v>0</v>
      </c>
    </row>
    <row r="66" spans="1:13" x14ac:dyDescent="0.25">
      <c r="A66" s="188"/>
      <c r="B66" s="28"/>
      <c r="G66" s="151"/>
      <c r="H66" s="163">
        <v>61</v>
      </c>
      <c r="I66" s="164" t="str">
        <f t="shared" si="1"/>
        <v/>
      </c>
      <c r="J66" s="163">
        <f t="shared" si="5"/>
        <v>-1</v>
      </c>
      <c r="K66" s="163">
        <f t="shared" si="2"/>
        <v>-10</v>
      </c>
      <c r="L66" s="163"/>
      <c r="M66" s="165">
        <f t="shared" si="3"/>
        <v>0</v>
      </c>
    </row>
    <row r="67" spans="1:13" x14ac:dyDescent="0.25">
      <c r="A67" s="188"/>
      <c r="B67" s="34"/>
      <c r="G67" s="151"/>
      <c r="H67" s="163">
        <v>62</v>
      </c>
      <c r="I67" s="164" t="str">
        <f t="shared" si="1"/>
        <v/>
      </c>
      <c r="J67" s="163">
        <f t="shared" si="5"/>
        <v>-1</v>
      </c>
      <c r="K67" s="163">
        <f t="shared" si="2"/>
        <v>-10</v>
      </c>
      <c r="L67" s="163"/>
      <c r="M67" s="165">
        <f t="shared" si="3"/>
        <v>0</v>
      </c>
    </row>
    <row r="68" spans="1:13" x14ac:dyDescent="0.25">
      <c r="A68" s="188"/>
      <c r="B68" s="28"/>
      <c r="G68" s="151"/>
      <c r="H68" s="163">
        <v>63</v>
      </c>
      <c r="I68" s="164" t="str">
        <f t="shared" si="1"/>
        <v/>
      </c>
      <c r="J68" s="163">
        <f t="shared" si="5"/>
        <v>-1</v>
      </c>
      <c r="K68" s="163">
        <f t="shared" si="2"/>
        <v>-10</v>
      </c>
      <c r="L68" s="163"/>
      <c r="M68" s="165">
        <f t="shared" si="3"/>
        <v>0</v>
      </c>
    </row>
    <row r="69" spans="1:13" x14ac:dyDescent="0.25">
      <c r="A69" s="188"/>
      <c r="B69" s="34"/>
      <c r="G69" s="151"/>
      <c r="H69" s="163">
        <v>64</v>
      </c>
      <c r="I69" s="164" t="str">
        <f t="shared" si="1"/>
        <v/>
      </c>
      <c r="J69" s="163">
        <f t="shared" si="5"/>
        <v>-1</v>
      </c>
      <c r="K69" s="163">
        <f t="shared" si="2"/>
        <v>-10</v>
      </c>
      <c r="L69" s="163"/>
      <c r="M69" s="165">
        <f t="shared" si="3"/>
        <v>0</v>
      </c>
    </row>
    <row r="70" spans="1:13" x14ac:dyDescent="0.25">
      <c r="A70" s="188"/>
      <c r="G70" s="151"/>
      <c r="H70" s="163">
        <v>65</v>
      </c>
      <c r="I70" s="164" t="str">
        <f t="shared" ref="I70:I133" si="6">IF(H70&lt;$H$2+1,($I$2-($I$2-1)*(LOG(H70)/LOG($H$2))),"")</f>
        <v/>
      </c>
      <c r="J70" s="163">
        <f t="shared" si="5"/>
        <v>-2</v>
      </c>
      <c r="K70" s="163">
        <f t="shared" ref="K70:K133" si="7">J70*$J$2</f>
        <v>-20</v>
      </c>
      <c r="L70" s="163"/>
      <c r="M70" s="165">
        <f t="shared" ref="M70:M133" si="8">IF(I70&lt;&gt;"",K70+I70+L70,0)</f>
        <v>0</v>
      </c>
    </row>
    <row r="71" spans="1:13" x14ac:dyDescent="0.25">
      <c r="A71" s="188"/>
      <c r="G71" s="151"/>
      <c r="H71" s="163">
        <v>66</v>
      </c>
      <c r="I71" s="164" t="str">
        <f t="shared" si="6"/>
        <v/>
      </c>
      <c r="J71" s="163">
        <f t="shared" ref="J71:J134" si="9">INT(LOG($H$2,2))-ROUNDUP(LOG(H71,2),0)+IF(OR($H$2=1,$H$2=2,$H$2=4,$H$2=8,$H$2=16,$H$2=32,$H$2=64,$H$2=128,$H$2=256),0,1)</f>
        <v>-2</v>
      </c>
      <c r="K71" s="163">
        <f t="shared" si="7"/>
        <v>-20</v>
      </c>
      <c r="L71" s="163"/>
      <c r="M71" s="165">
        <f t="shared" si="8"/>
        <v>0</v>
      </c>
    </row>
    <row r="72" spans="1:13" x14ac:dyDescent="0.25">
      <c r="A72" s="188"/>
      <c r="G72" s="151"/>
      <c r="H72" s="163">
        <v>67</v>
      </c>
      <c r="I72" s="164" t="str">
        <f t="shared" si="6"/>
        <v/>
      </c>
      <c r="J72" s="163">
        <f t="shared" si="9"/>
        <v>-2</v>
      </c>
      <c r="K72" s="163">
        <f t="shared" si="7"/>
        <v>-20</v>
      </c>
      <c r="L72" s="163"/>
      <c r="M72" s="165">
        <f t="shared" si="8"/>
        <v>0</v>
      </c>
    </row>
    <row r="73" spans="1:13" x14ac:dyDescent="0.25">
      <c r="A73" s="188"/>
      <c r="G73" s="151"/>
      <c r="H73" s="163">
        <v>68</v>
      </c>
      <c r="I73" s="164" t="str">
        <f t="shared" si="6"/>
        <v/>
      </c>
      <c r="J73" s="163">
        <f t="shared" si="9"/>
        <v>-2</v>
      </c>
      <c r="K73" s="163">
        <f t="shared" si="7"/>
        <v>-20</v>
      </c>
      <c r="L73" s="163"/>
      <c r="M73" s="165">
        <f t="shared" si="8"/>
        <v>0</v>
      </c>
    </row>
    <row r="74" spans="1:13" x14ac:dyDescent="0.25">
      <c r="A74" s="188"/>
      <c r="G74" s="151"/>
      <c r="H74" s="163">
        <v>69</v>
      </c>
      <c r="I74" s="164" t="str">
        <f t="shared" si="6"/>
        <v/>
      </c>
      <c r="J74" s="163">
        <f t="shared" si="9"/>
        <v>-2</v>
      </c>
      <c r="K74" s="163">
        <f t="shared" si="7"/>
        <v>-20</v>
      </c>
      <c r="L74" s="163"/>
      <c r="M74" s="165">
        <f t="shared" si="8"/>
        <v>0</v>
      </c>
    </row>
    <row r="75" spans="1:13" x14ac:dyDescent="0.25">
      <c r="A75" s="188"/>
      <c r="G75" s="151"/>
      <c r="H75" s="163">
        <v>70</v>
      </c>
      <c r="I75" s="164" t="str">
        <f t="shared" si="6"/>
        <v/>
      </c>
      <c r="J75" s="163">
        <f t="shared" si="9"/>
        <v>-2</v>
      </c>
      <c r="K75" s="163">
        <f t="shared" si="7"/>
        <v>-20</v>
      </c>
      <c r="L75" s="163"/>
      <c r="M75" s="165">
        <f t="shared" si="8"/>
        <v>0</v>
      </c>
    </row>
    <row r="76" spans="1:13" x14ac:dyDescent="0.25">
      <c r="A76" s="188"/>
      <c r="G76" s="151"/>
      <c r="H76" s="163">
        <v>71</v>
      </c>
      <c r="I76" s="164" t="str">
        <f t="shared" si="6"/>
        <v/>
      </c>
      <c r="J76" s="163">
        <f t="shared" si="9"/>
        <v>-2</v>
      </c>
      <c r="K76" s="163">
        <f t="shared" si="7"/>
        <v>-20</v>
      </c>
      <c r="L76" s="163"/>
      <c r="M76" s="165">
        <f t="shared" si="8"/>
        <v>0</v>
      </c>
    </row>
    <row r="77" spans="1:13" x14ac:dyDescent="0.25">
      <c r="A77" s="188"/>
      <c r="G77" s="151"/>
      <c r="H77" s="163">
        <v>72</v>
      </c>
      <c r="I77" s="164" t="str">
        <f t="shared" si="6"/>
        <v/>
      </c>
      <c r="J77" s="163">
        <f t="shared" si="9"/>
        <v>-2</v>
      </c>
      <c r="K77" s="163">
        <f t="shared" si="7"/>
        <v>-20</v>
      </c>
      <c r="L77" s="163"/>
      <c r="M77" s="165">
        <f t="shared" si="8"/>
        <v>0</v>
      </c>
    </row>
    <row r="78" spans="1:13" x14ac:dyDescent="0.25">
      <c r="A78" s="188"/>
      <c r="G78" s="151"/>
      <c r="H78" s="163">
        <v>73</v>
      </c>
      <c r="I78" s="164" t="str">
        <f t="shared" si="6"/>
        <v/>
      </c>
      <c r="J78" s="163">
        <f t="shared" si="9"/>
        <v>-2</v>
      </c>
      <c r="K78" s="163">
        <f t="shared" si="7"/>
        <v>-20</v>
      </c>
      <c r="L78" s="163"/>
      <c r="M78" s="165">
        <f t="shared" si="8"/>
        <v>0</v>
      </c>
    </row>
    <row r="79" spans="1:13" x14ac:dyDescent="0.25">
      <c r="A79" s="188"/>
      <c r="G79" s="151"/>
      <c r="H79" s="163">
        <v>74</v>
      </c>
      <c r="I79" s="164" t="str">
        <f t="shared" si="6"/>
        <v/>
      </c>
      <c r="J79" s="163">
        <f t="shared" si="9"/>
        <v>-2</v>
      </c>
      <c r="K79" s="163">
        <f t="shared" si="7"/>
        <v>-20</v>
      </c>
      <c r="L79" s="163"/>
      <c r="M79" s="165">
        <f t="shared" si="8"/>
        <v>0</v>
      </c>
    </row>
    <row r="80" spans="1:13" x14ac:dyDescent="0.25">
      <c r="A80" s="188"/>
      <c r="G80" s="151"/>
      <c r="H80" s="163">
        <v>75</v>
      </c>
      <c r="I80" s="164" t="str">
        <f t="shared" si="6"/>
        <v/>
      </c>
      <c r="J80" s="163">
        <f t="shared" si="9"/>
        <v>-2</v>
      </c>
      <c r="K80" s="163">
        <f t="shared" si="7"/>
        <v>-20</v>
      </c>
      <c r="L80" s="163"/>
      <c r="M80" s="165">
        <f t="shared" si="8"/>
        <v>0</v>
      </c>
    </row>
    <row r="81" spans="1:13" x14ac:dyDescent="0.25">
      <c r="A81" s="188"/>
      <c r="G81" s="151"/>
      <c r="H81" s="163">
        <v>76</v>
      </c>
      <c r="I81" s="164" t="str">
        <f t="shared" si="6"/>
        <v/>
      </c>
      <c r="J81" s="163">
        <f t="shared" si="9"/>
        <v>-2</v>
      </c>
      <c r="K81" s="163">
        <f t="shared" si="7"/>
        <v>-20</v>
      </c>
      <c r="L81" s="163"/>
      <c r="M81" s="165">
        <f t="shared" si="8"/>
        <v>0</v>
      </c>
    </row>
    <row r="82" spans="1:13" x14ac:dyDescent="0.25">
      <c r="A82" s="188"/>
      <c r="G82" s="151"/>
      <c r="H82" s="163">
        <v>77</v>
      </c>
      <c r="I82" s="164" t="str">
        <f t="shared" si="6"/>
        <v/>
      </c>
      <c r="J82" s="163">
        <f t="shared" si="9"/>
        <v>-2</v>
      </c>
      <c r="K82" s="163">
        <f t="shared" si="7"/>
        <v>-20</v>
      </c>
      <c r="L82" s="163"/>
      <c r="M82" s="165">
        <f t="shared" si="8"/>
        <v>0</v>
      </c>
    </row>
    <row r="83" spans="1:13" x14ac:dyDescent="0.25">
      <c r="A83" s="188"/>
      <c r="G83" s="151"/>
      <c r="H83" s="163">
        <v>78</v>
      </c>
      <c r="I83" s="164" t="str">
        <f t="shared" si="6"/>
        <v/>
      </c>
      <c r="J83" s="163">
        <f t="shared" si="9"/>
        <v>-2</v>
      </c>
      <c r="K83" s="163">
        <f t="shared" si="7"/>
        <v>-20</v>
      </c>
      <c r="L83" s="163"/>
      <c r="M83" s="165">
        <f t="shared" si="8"/>
        <v>0</v>
      </c>
    </row>
    <row r="84" spans="1:13" x14ac:dyDescent="0.25">
      <c r="A84" s="188"/>
      <c r="G84" s="151"/>
      <c r="H84" s="163">
        <v>79</v>
      </c>
      <c r="I84" s="164" t="str">
        <f t="shared" si="6"/>
        <v/>
      </c>
      <c r="J84" s="163">
        <f t="shared" si="9"/>
        <v>-2</v>
      </c>
      <c r="K84" s="163">
        <f t="shared" si="7"/>
        <v>-20</v>
      </c>
      <c r="L84" s="163"/>
      <c r="M84" s="165">
        <f t="shared" si="8"/>
        <v>0</v>
      </c>
    </row>
    <row r="85" spans="1:13" x14ac:dyDescent="0.25">
      <c r="A85" s="188"/>
      <c r="G85" s="151"/>
      <c r="H85" s="163">
        <v>80</v>
      </c>
      <c r="I85" s="164" t="str">
        <f t="shared" si="6"/>
        <v/>
      </c>
      <c r="J85" s="163">
        <f t="shared" si="9"/>
        <v>-2</v>
      </c>
      <c r="K85" s="163">
        <f t="shared" si="7"/>
        <v>-20</v>
      </c>
      <c r="L85" s="163"/>
      <c r="M85" s="165">
        <f t="shared" si="8"/>
        <v>0</v>
      </c>
    </row>
    <row r="86" spans="1:13" x14ac:dyDescent="0.25">
      <c r="A86" s="188"/>
      <c r="G86" s="151"/>
      <c r="H86" s="163">
        <v>81</v>
      </c>
      <c r="I86" s="164" t="str">
        <f t="shared" si="6"/>
        <v/>
      </c>
      <c r="J86" s="163">
        <f t="shared" si="9"/>
        <v>-2</v>
      </c>
      <c r="K86" s="163">
        <f t="shared" si="7"/>
        <v>-20</v>
      </c>
      <c r="L86" s="163"/>
      <c r="M86" s="165">
        <f t="shared" si="8"/>
        <v>0</v>
      </c>
    </row>
    <row r="87" spans="1:13" x14ac:dyDescent="0.25">
      <c r="A87" s="188"/>
      <c r="G87" s="151"/>
      <c r="H87" s="163">
        <v>82</v>
      </c>
      <c r="I87" s="164" t="str">
        <f t="shared" si="6"/>
        <v/>
      </c>
      <c r="J87" s="163">
        <f t="shared" si="9"/>
        <v>-2</v>
      </c>
      <c r="K87" s="163">
        <f t="shared" si="7"/>
        <v>-20</v>
      </c>
      <c r="L87" s="163"/>
      <c r="M87" s="165">
        <f t="shared" si="8"/>
        <v>0</v>
      </c>
    </row>
    <row r="88" spans="1:13" x14ac:dyDescent="0.25">
      <c r="A88" s="188"/>
      <c r="G88" s="151"/>
      <c r="H88" s="163">
        <v>83</v>
      </c>
      <c r="I88" s="164" t="str">
        <f t="shared" si="6"/>
        <v/>
      </c>
      <c r="J88" s="163">
        <f t="shared" si="9"/>
        <v>-2</v>
      </c>
      <c r="K88" s="163">
        <f t="shared" si="7"/>
        <v>-20</v>
      </c>
      <c r="L88" s="163"/>
      <c r="M88" s="165">
        <f t="shared" si="8"/>
        <v>0</v>
      </c>
    </row>
    <row r="89" spans="1:13" x14ac:dyDescent="0.25">
      <c r="A89" s="188"/>
      <c r="G89" s="151"/>
      <c r="H89" s="163">
        <v>84</v>
      </c>
      <c r="I89" s="164" t="str">
        <f t="shared" si="6"/>
        <v/>
      </c>
      <c r="J89" s="163">
        <f t="shared" si="9"/>
        <v>-2</v>
      </c>
      <c r="K89" s="163">
        <f t="shared" si="7"/>
        <v>-20</v>
      </c>
      <c r="L89" s="163"/>
      <c r="M89" s="165">
        <f t="shared" si="8"/>
        <v>0</v>
      </c>
    </row>
    <row r="90" spans="1:13" x14ac:dyDescent="0.25">
      <c r="A90" s="188"/>
      <c r="G90" s="151"/>
      <c r="H90" s="163">
        <v>85</v>
      </c>
      <c r="I90" s="164" t="str">
        <f t="shared" si="6"/>
        <v/>
      </c>
      <c r="J90" s="163">
        <f t="shared" si="9"/>
        <v>-2</v>
      </c>
      <c r="K90" s="163">
        <f t="shared" si="7"/>
        <v>-20</v>
      </c>
      <c r="L90" s="163"/>
      <c r="M90" s="165">
        <f t="shared" si="8"/>
        <v>0</v>
      </c>
    </row>
    <row r="91" spans="1:13" x14ac:dyDescent="0.25">
      <c r="A91" s="188"/>
      <c r="G91" s="151"/>
      <c r="H91" s="163">
        <v>86</v>
      </c>
      <c r="I91" s="164" t="str">
        <f t="shared" si="6"/>
        <v/>
      </c>
      <c r="J91" s="163">
        <f t="shared" si="9"/>
        <v>-2</v>
      </c>
      <c r="K91" s="163">
        <f t="shared" si="7"/>
        <v>-20</v>
      </c>
      <c r="L91" s="163"/>
      <c r="M91" s="165">
        <f t="shared" si="8"/>
        <v>0</v>
      </c>
    </row>
    <row r="92" spans="1:13" x14ac:dyDescent="0.25">
      <c r="A92" s="188"/>
      <c r="G92" s="151"/>
      <c r="H92" s="163">
        <v>87</v>
      </c>
      <c r="I92" s="164" t="str">
        <f t="shared" si="6"/>
        <v/>
      </c>
      <c r="J92" s="163">
        <f t="shared" si="9"/>
        <v>-2</v>
      </c>
      <c r="K92" s="163">
        <f t="shared" si="7"/>
        <v>-20</v>
      </c>
      <c r="L92" s="163"/>
      <c r="M92" s="165">
        <f t="shared" si="8"/>
        <v>0</v>
      </c>
    </row>
    <row r="93" spans="1:13" x14ac:dyDescent="0.25">
      <c r="A93" s="188"/>
      <c r="G93" s="151"/>
      <c r="H93" s="163">
        <v>88</v>
      </c>
      <c r="I93" s="164" t="str">
        <f t="shared" si="6"/>
        <v/>
      </c>
      <c r="J93" s="163">
        <f t="shared" si="9"/>
        <v>-2</v>
      </c>
      <c r="K93" s="163">
        <f t="shared" si="7"/>
        <v>-20</v>
      </c>
      <c r="L93" s="163"/>
      <c r="M93" s="165">
        <f t="shared" si="8"/>
        <v>0</v>
      </c>
    </row>
    <row r="94" spans="1:13" x14ac:dyDescent="0.25">
      <c r="A94" s="188"/>
      <c r="G94" s="151"/>
      <c r="H94" s="163">
        <v>89</v>
      </c>
      <c r="I94" s="164" t="str">
        <f t="shared" si="6"/>
        <v/>
      </c>
      <c r="J94" s="163">
        <f t="shared" si="9"/>
        <v>-2</v>
      </c>
      <c r="K94" s="163">
        <f t="shared" si="7"/>
        <v>-20</v>
      </c>
      <c r="L94" s="163"/>
      <c r="M94" s="165">
        <f t="shared" si="8"/>
        <v>0</v>
      </c>
    </row>
    <row r="95" spans="1:13" x14ac:dyDescent="0.25">
      <c r="A95" s="188"/>
      <c r="G95" s="151"/>
      <c r="H95" s="163">
        <v>90</v>
      </c>
      <c r="I95" s="164" t="str">
        <f t="shared" si="6"/>
        <v/>
      </c>
      <c r="J95" s="163">
        <f t="shared" si="9"/>
        <v>-2</v>
      </c>
      <c r="K95" s="163">
        <f t="shared" si="7"/>
        <v>-20</v>
      </c>
      <c r="L95" s="163"/>
      <c r="M95" s="165">
        <f t="shared" si="8"/>
        <v>0</v>
      </c>
    </row>
    <row r="96" spans="1:13" x14ac:dyDescent="0.25">
      <c r="A96" s="188"/>
      <c r="G96" s="151"/>
      <c r="H96" s="163">
        <v>91</v>
      </c>
      <c r="I96" s="164" t="str">
        <f t="shared" si="6"/>
        <v/>
      </c>
      <c r="J96" s="163">
        <f t="shared" si="9"/>
        <v>-2</v>
      </c>
      <c r="K96" s="163">
        <f t="shared" si="7"/>
        <v>-20</v>
      </c>
      <c r="L96" s="163"/>
      <c r="M96" s="165">
        <f t="shared" si="8"/>
        <v>0</v>
      </c>
    </row>
    <row r="97" spans="1:13" x14ac:dyDescent="0.25">
      <c r="A97" s="188"/>
      <c r="G97" s="151"/>
      <c r="H97" s="163">
        <v>92</v>
      </c>
      <c r="I97" s="164" t="str">
        <f t="shared" si="6"/>
        <v/>
      </c>
      <c r="J97" s="163">
        <f t="shared" si="9"/>
        <v>-2</v>
      </c>
      <c r="K97" s="163">
        <f t="shared" si="7"/>
        <v>-20</v>
      </c>
      <c r="L97" s="163"/>
      <c r="M97" s="165">
        <f t="shared" si="8"/>
        <v>0</v>
      </c>
    </row>
    <row r="98" spans="1:13" x14ac:dyDescent="0.25">
      <c r="A98" s="188"/>
      <c r="G98" s="151"/>
      <c r="H98" s="163">
        <v>93</v>
      </c>
      <c r="I98" s="164" t="str">
        <f t="shared" si="6"/>
        <v/>
      </c>
      <c r="J98" s="163">
        <f t="shared" si="9"/>
        <v>-2</v>
      </c>
      <c r="K98" s="163">
        <f t="shared" si="7"/>
        <v>-20</v>
      </c>
      <c r="L98" s="163"/>
      <c r="M98" s="165">
        <f t="shared" si="8"/>
        <v>0</v>
      </c>
    </row>
    <row r="99" spans="1:13" x14ac:dyDescent="0.25">
      <c r="A99" s="188"/>
      <c r="G99" s="151"/>
      <c r="H99" s="163">
        <v>94</v>
      </c>
      <c r="I99" s="164" t="str">
        <f t="shared" si="6"/>
        <v/>
      </c>
      <c r="J99" s="163">
        <f t="shared" si="9"/>
        <v>-2</v>
      </c>
      <c r="K99" s="163">
        <f t="shared" si="7"/>
        <v>-20</v>
      </c>
      <c r="L99" s="163"/>
      <c r="M99" s="165">
        <f t="shared" si="8"/>
        <v>0</v>
      </c>
    </row>
    <row r="100" spans="1:13" x14ac:dyDescent="0.25">
      <c r="A100" s="188"/>
      <c r="G100" s="151"/>
      <c r="H100" s="163">
        <v>95</v>
      </c>
      <c r="I100" s="164" t="str">
        <f t="shared" si="6"/>
        <v/>
      </c>
      <c r="J100" s="163">
        <f t="shared" si="9"/>
        <v>-2</v>
      </c>
      <c r="K100" s="163">
        <f t="shared" si="7"/>
        <v>-20</v>
      </c>
      <c r="L100" s="163"/>
      <c r="M100" s="165">
        <f t="shared" si="8"/>
        <v>0</v>
      </c>
    </row>
    <row r="101" spans="1:13" x14ac:dyDescent="0.25">
      <c r="A101" s="180"/>
      <c r="G101" s="151"/>
      <c r="H101" s="163">
        <v>96</v>
      </c>
      <c r="I101" s="164" t="str">
        <f t="shared" si="6"/>
        <v/>
      </c>
      <c r="J101" s="163">
        <f t="shared" si="9"/>
        <v>-2</v>
      </c>
      <c r="K101" s="163">
        <f t="shared" si="7"/>
        <v>-20</v>
      </c>
      <c r="L101" s="163"/>
      <c r="M101" s="165">
        <f t="shared" si="8"/>
        <v>0</v>
      </c>
    </row>
    <row r="102" spans="1:13" x14ac:dyDescent="0.25">
      <c r="A102" s="180"/>
      <c r="G102" s="151"/>
      <c r="H102" s="163">
        <v>97</v>
      </c>
      <c r="I102" s="164" t="str">
        <f t="shared" si="6"/>
        <v/>
      </c>
      <c r="J102" s="163">
        <f t="shared" si="9"/>
        <v>-2</v>
      </c>
      <c r="K102" s="163">
        <f t="shared" si="7"/>
        <v>-20</v>
      </c>
      <c r="L102" s="163"/>
      <c r="M102" s="165">
        <f t="shared" si="8"/>
        <v>0</v>
      </c>
    </row>
    <row r="103" spans="1:13" x14ac:dyDescent="0.25">
      <c r="A103" s="180"/>
      <c r="G103" s="151"/>
      <c r="H103" s="163">
        <v>98</v>
      </c>
      <c r="I103" s="164" t="str">
        <f t="shared" si="6"/>
        <v/>
      </c>
      <c r="J103" s="163">
        <f t="shared" si="9"/>
        <v>-2</v>
      </c>
      <c r="K103" s="163">
        <f t="shared" si="7"/>
        <v>-20</v>
      </c>
      <c r="L103" s="163"/>
      <c r="M103" s="165">
        <f t="shared" si="8"/>
        <v>0</v>
      </c>
    </row>
    <row r="104" spans="1:13" x14ac:dyDescent="0.25">
      <c r="A104" s="180"/>
      <c r="G104" s="151"/>
      <c r="H104" s="163">
        <v>99</v>
      </c>
      <c r="I104" s="164" t="str">
        <f t="shared" si="6"/>
        <v/>
      </c>
      <c r="J104" s="163">
        <f t="shared" si="9"/>
        <v>-2</v>
      </c>
      <c r="K104" s="163">
        <f t="shared" si="7"/>
        <v>-20</v>
      </c>
      <c r="L104" s="163"/>
      <c r="M104" s="165">
        <f t="shared" si="8"/>
        <v>0</v>
      </c>
    </row>
    <row r="105" spans="1:13" x14ac:dyDescent="0.25">
      <c r="A105" s="180"/>
      <c r="G105" s="151"/>
      <c r="H105" s="163">
        <v>100</v>
      </c>
      <c r="I105" s="164" t="str">
        <f t="shared" si="6"/>
        <v/>
      </c>
      <c r="J105" s="163">
        <f t="shared" si="9"/>
        <v>-2</v>
      </c>
      <c r="K105" s="163">
        <f t="shared" si="7"/>
        <v>-20</v>
      </c>
      <c r="L105" s="163"/>
      <c r="M105" s="165">
        <f t="shared" si="8"/>
        <v>0</v>
      </c>
    </row>
    <row r="106" spans="1:13" x14ac:dyDescent="0.25">
      <c r="A106" s="180"/>
      <c r="G106" s="151"/>
      <c r="H106" s="163">
        <v>101</v>
      </c>
      <c r="I106" s="164" t="str">
        <f t="shared" si="6"/>
        <v/>
      </c>
      <c r="J106" s="163">
        <f t="shared" si="9"/>
        <v>-2</v>
      </c>
      <c r="K106" s="163">
        <f t="shared" si="7"/>
        <v>-20</v>
      </c>
      <c r="L106" s="163"/>
      <c r="M106" s="165">
        <f t="shared" si="8"/>
        <v>0</v>
      </c>
    </row>
    <row r="107" spans="1:13" x14ac:dyDescent="0.25">
      <c r="A107" s="180"/>
      <c r="G107" s="151"/>
      <c r="H107" s="163">
        <v>102</v>
      </c>
      <c r="I107" s="164" t="str">
        <f t="shared" si="6"/>
        <v/>
      </c>
      <c r="J107" s="163">
        <f t="shared" si="9"/>
        <v>-2</v>
      </c>
      <c r="K107" s="163">
        <f t="shared" si="7"/>
        <v>-20</v>
      </c>
      <c r="L107" s="163"/>
      <c r="M107" s="165">
        <f t="shared" si="8"/>
        <v>0</v>
      </c>
    </row>
    <row r="108" spans="1:13" x14ac:dyDescent="0.25">
      <c r="A108" s="180"/>
      <c r="G108" s="151"/>
      <c r="H108" s="163">
        <v>103</v>
      </c>
      <c r="I108" s="164" t="str">
        <f t="shared" si="6"/>
        <v/>
      </c>
      <c r="J108" s="163">
        <f t="shared" si="9"/>
        <v>-2</v>
      </c>
      <c r="K108" s="163">
        <f t="shared" si="7"/>
        <v>-20</v>
      </c>
      <c r="L108" s="163"/>
      <c r="M108" s="165">
        <f t="shared" si="8"/>
        <v>0</v>
      </c>
    </row>
    <row r="109" spans="1:13" x14ac:dyDescent="0.25">
      <c r="A109" s="180"/>
      <c r="G109" s="151"/>
      <c r="H109" s="163">
        <v>104</v>
      </c>
      <c r="I109" s="164" t="str">
        <f t="shared" si="6"/>
        <v/>
      </c>
      <c r="J109" s="163">
        <f t="shared" si="9"/>
        <v>-2</v>
      </c>
      <c r="K109" s="163">
        <f t="shared" si="7"/>
        <v>-20</v>
      </c>
      <c r="L109" s="163"/>
      <c r="M109" s="165">
        <f t="shared" si="8"/>
        <v>0</v>
      </c>
    </row>
    <row r="110" spans="1:13" x14ac:dyDescent="0.25">
      <c r="A110" s="180"/>
      <c r="G110" s="151"/>
      <c r="H110" s="163">
        <v>105</v>
      </c>
      <c r="I110" s="164" t="str">
        <f t="shared" si="6"/>
        <v/>
      </c>
      <c r="J110" s="163">
        <f t="shared" si="9"/>
        <v>-2</v>
      </c>
      <c r="K110" s="163">
        <f t="shared" si="7"/>
        <v>-20</v>
      </c>
      <c r="L110" s="163"/>
      <c r="M110" s="165">
        <f t="shared" si="8"/>
        <v>0</v>
      </c>
    </row>
    <row r="111" spans="1:13" x14ac:dyDescent="0.25">
      <c r="A111" s="180"/>
      <c r="G111" s="151"/>
      <c r="H111" s="163">
        <v>106</v>
      </c>
      <c r="I111" s="164" t="str">
        <f t="shared" si="6"/>
        <v/>
      </c>
      <c r="J111" s="163">
        <f t="shared" si="9"/>
        <v>-2</v>
      </c>
      <c r="K111" s="163">
        <f t="shared" si="7"/>
        <v>-20</v>
      </c>
      <c r="L111" s="163"/>
      <c r="M111" s="165">
        <f t="shared" si="8"/>
        <v>0</v>
      </c>
    </row>
    <row r="112" spans="1:13" x14ac:dyDescent="0.25">
      <c r="A112" s="180"/>
      <c r="G112" s="151"/>
      <c r="H112" s="163">
        <v>107</v>
      </c>
      <c r="I112" s="164" t="str">
        <f t="shared" si="6"/>
        <v/>
      </c>
      <c r="J112" s="163">
        <f t="shared" si="9"/>
        <v>-2</v>
      </c>
      <c r="K112" s="163">
        <f t="shared" si="7"/>
        <v>-20</v>
      </c>
      <c r="L112" s="163"/>
      <c r="M112" s="165">
        <f t="shared" si="8"/>
        <v>0</v>
      </c>
    </row>
    <row r="113" spans="1:13" x14ac:dyDescent="0.25">
      <c r="A113" s="180"/>
      <c r="G113" s="151"/>
      <c r="H113" s="163">
        <v>108</v>
      </c>
      <c r="I113" s="164" t="str">
        <f t="shared" si="6"/>
        <v/>
      </c>
      <c r="J113" s="163">
        <f t="shared" si="9"/>
        <v>-2</v>
      </c>
      <c r="K113" s="163">
        <f t="shared" si="7"/>
        <v>-20</v>
      </c>
      <c r="L113" s="163"/>
      <c r="M113" s="165">
        <f t="shared" si="8"/>
        <v>0</v>
      </c>
    </row>
    <row r="114" spans="1:13" x14ac:dyDescent="0.25">
      <c r="A114" s="180"/>
      <c r="G114" s="151"/>
      <c r="H114" s="163">
        <v>109</v>
      </c>
      <c r="I114" s="164" t="str">
        <f t="shared" si="6"/>
        <v/>
      </c>
      <c r="J114" s="163">
        <f t="shared" si="9"/>
        <v>-2</v>
      </c>
      <c r="K114" s="163">
        <f t="shared" si="7"/>
        <v>-20</v>
      </c>
      <c r="L114" s="163"/>
      <c r="M114" s="165">
        <f t="shared" si="8"/>
        <v>0</v>
      </c>
    </row>
    <row r="115" spans="1:13" x14ac:dyDescent="0.25">
      <c r="A115" s="180"/>
      <c r="G115" s="151"/>
      <c r="H115" s="163">
        <v>110</v>
      </c>
      <c r="I115" s="164" t="str">
        <f t="shared" si="6"/>
        <v/>
      </c>
      <c r="J115" s="163">
        <f t="shared" si="9"/>
        <v>-2</v>
      </c>
      <c r="K115" s="163">
        <f t="shared" si="7"/>
        <v>-20</v>
      </c>
      <c r="L115" s="163"/>
      <c r="M115" s="165">
        <f t="shared" si="8"/>
        <v>0</v>
      </c>
    </row>
    <row r="116" spans="1:13" x14ac:dyDescent="0.25">
      <c r="A116" s="180"/>
      <c r="G116" s="151"/>
      <c r="H116" s="163">
        <v>111</v>
      </c>
      <c r="I116" s="164" t="str">
        <f t="shared" si="6"/>
        <v/>
      </c>
      <c r="J116" s="163">
        <f t="shared" si="9"/>
        <v>-2</v>
      </c>
      <c r="K116" s="163">
        <f t="shared" si="7"/>
        <v>-20</v>
      </c>
      <c r="L116" s="163"/>
      <c r="M116" s="165">
        <f t="shared" si="8"/>
        <v>0</v>
      </c>
    </row>
    <row r="117" spans="1:13" x14ac:dyDescent="0.25">
      <c r="A117" s="180"/>
      <c r="G117" s="151"/>
      <c r="H117" s="163">
        <v>112</v>
      </c>
      <c r="I117" s="164" t="str">
        <f t="shared" si="6"/>
        <v/>
      </c>
      <c r="J117" s="163">
        <f t="shared" si="9"/>
        <v>-2</v>
      </c>
      <c r="K117" s="163">
        <f t="shared" si="7"/>
        <v>-20</v>
      </c>
      <c r="L117" s="163"/>
      <c r="M117" s="165">
        <f t="shared" si="8"/>
        <v>0</v>
      </c>
    </row>
    <row r="118" spans="1:13" x14ac:dyDescent="0.25">
      <c r="A118" s="180"/>
      <c r="G118" s="151"/>
      <c r="H118" s="163">
        <v>113</v>
      </c>
      <c r="I118" s="164" t="str">
        <f t="shared" si="6"/>
        <v/>
      </c>
      <c r="J118" s="163">
        <f t="shared" si="9"/>
        <v>-2</v>
      </c>
      <c r="K118" s="163">
        <f t="shared" si="7"/>
        <v>-20</v>
      </c>
      <c r="L118" s="163"/>
      <c r="M118" s="165">
        <f t="shared" si="8"/>
        <v>0</v>
      </c>
    </row>
    <row r="119" spans="1:13" x14ac:dyDescent="0.25">
      <c r="A119" s="180"/>
      <c r="G119" s="151"/>
      <c r="H119" s="163">
        <v>114</v>
      </c>
      <c r="I119" s="164" t="str">
        <f t="shared" si="6"/>
        <v/>
      </c>
      <c r="J119" s="163">
        <f t="shared" si="9"/>
        <v>-2</v>
      </c>
      <c r="K119" s="163">
        <f t="shared" si="7"/>
        <v>-20</v>
      </c>
      <c r="L119" s="163"/>
      <c r="M119" s="165">
        <f t="shared" si="8"/>
        <v>0</v>
      </c>
    </row>
    <row r="120" spans="1:13" x14ac:dyDescent="0.25">
      <c r="A120" s="180"/>
      <c r="G120" s="151"/>
      <c r="H120" s="163">
        <v>115</v>
      </c>
      <c r="I120" s="164" t="str">
        <f t="shared" si="6"/>
        <v/>
      </c>
      <c r="J120" s="163">
        <f t="shared" si="9"/>
        <v>-2</v>
      </c>
      <c r="K120" s="163">
        <f t="shared" si="7"/>
        <v>-20</v>
      </c>
      <c r="L120" s="163"/>
      <c r="M120" s="165">
        <f t="shared" si="8"/>
        <v>0</v>
      </c>
    </row>
    <row r="121" spans="1:13" x14ac:dyDescent="0.25">
      <c r="A121" s="180"/>
      <c r="G121" s="151"/>
      <c r="H121" s="163">
        <v>116</v>
      </c>
      <c r="I121" s="164" t="str">
        <f t="shared" si="6"/>
        <v/>
      </c>
      <c r="J121" s="163">
        <f t="shared" si="9"/>
        <v>-2</v>
      </c>
      <c r="K121" s="163">
        <f t="shared" si="7"/>
        <v>-20</v>
      </c>
      <c r="L121" s="163"/>
      <c r="M121" s="165">
        <f t="shared" si="8"/>
        <v>0</v>
      </c>
    </row>
    <row r="122" spans="1:13" x14ac:dyDescent="0.25">
      <c r="A122" s="180"/>
      <c r="G122" s="151"/>
      <c r="H122" s="163">
        <v>117</v>
      </c>
      <c r="I122" s="164" t="str">
        <f t="shared" si="6"/>
        <v/>
      </c>
      <c r="J122" s="163">
        <f t="shared" si="9"/>
        <v>-2</v>
      </c>
      <c r="K122" s="163">
        <f t="shared" si="7"/>
        <v>-20</v>
      </c>
      <c r="L122" s="163"/>
      <c r="M122" s="165">
        <f t="shared" si="8"/>
        <v>0</v>
      </c>
    </row>
    <row r="123" spans="1:13" x14ac:dyDescent="0.25">
      <c r="A123" s="180"/>
      <c r="G123" s="151"/>
      <c r="H123" s="163">
        <v>118</v>
      </c>
      <c r="I123" s="164" t="str">
        <f t="shared" si="6"/>
        <v/>
      </c>
      <c r="J123" s="163">
        <f t="shared" si="9"/>
        <v>-2</v>
      </c>
      <c r="K123" s="163">
        <f t="shared" si="7"/>
        <v>-20</v>
      </c>
      <c r="L123" s="163"/>
      <c r="M123" s="165">
        <f t="shared" si="8"/>
        <v>0</v>
      </c>
    </row>
    <row r="124" spans="1:13" x14ac:dyDescent="0.25">
      <c r="A124" s="180"/>
      <c r="G124" s="151"/>
      <c r="H124" s="163">
        <v>119</v>
      </c>
      <c r="I124" s="164" t="str">
        <f t="shared" si="6"/>
        <v/>
      </c>
      <c r="J124" s="163">
        <f t="shared" si="9"/>
        <v>-2</v>
      </c>
      <c r="K124" s="163">
        <f t="shared" si="7"/>
        <v>-20</v>
      </c>
      <c r="L124" s="163"/>
      <c r="M124" s="165">
        <f t="shared" si="8"/>
        <v>0</v>
      </c>
    </row>
    <row r="125" spans="1:13" x14ac:dyDescent="0.25">
      <c r="A125" s="180"/>
      <c r="G125" s="151"/>
      <c r="H125" s="163">
        <v>120</v>
      </c>
      <c r="I125" s="164" t="str">
        <f t="shared" si="6"/>
        <v/>
      </c>
      <c r="J125" s="163">
        <f t="shared" si="9"/>
        <v>-2</v>
      </c>
      <c r="K125" s="163">
        <f t="shared" si="7"/>
        <v>-20</v>
      </c>
      <c r="L125" s="163"/>
      <c r="M125" s="165">
        <f t="shared" si="8"/>
        <v>0</v>
      </c>
    </row>
    <row r="126" spans="1:13" x14ac:dyDescent="0.25">
      <c r="A126" s="180"/>
      <c r="G126" s="151"/>
      <c r="H126" s="163">
        <v>121</v>
      </c>
      <c r="I126" s="164" t="str">
        <f t="shared" si="6"/>
        <v/>
      </c>
      <c r="J126" s="163">
        <f t="shared" si="9"/>
        <v>-2</v>
      </c>
      <c r="K126" s="163">
        <f t="shared" si="7"/>
        <v>-20</v>
      </c>
      <c r="L126" s="163"/>
      <c r="M126" s="165">
        <f t="shared" si="8"/>
        <v>0</v>
      </c>
    </row>
    <row r="127" spans="1:13" x14ac:dyDescent="0.25">
      <c r="A127" s="180"/>
      <c r="G127" s="151"/>
      <c r="H127" s="163">
        <v>122</v>
      </c>
      <c r="I127" s="164" t="str">
        <f t="shared" si="6"/>
        <v/>
      </c>
      <c r="J127" s="163">
        <f t="shared" si="9"/>
        <v>-2</v>
      </c>
      <c r="K127" s="163">
        <f t="shared" si="7"/>
        <v>-20</v>
      </c>
      <c r="L127" s="163"/>
      <c r="M127" s="165">
        <f t="shared" si="8"/>
        <v>0</v>
      </c>
    </row>
    <row r="128" spans="1:13" x14ac:dyDescent="0.25">
      <c r="A128" s="180"/>
      <c r="G128" s="151"/>
      <c r="H128" s="163">
        <v>123</v>
      </c>
      <c r="I128" s="164" t="str">
        <f t="shared" si="6"/>
        <v/>
      </c>
      <c r="J128" s="163">
        <f t="shared" si="9"/>
        <v>-2</v>
      </c>
      <c r="K128" s="163">
        <f t="shared" si="7"/>
        <v>-20</v>
      </c>
      <c r="L128" s="163"/>
      <c r="M128" s="165">
        <f t="shared" si="8"/>
        <v>0</v>
      </c>
    </row>
    <row r="129" spans="1:13" x14ac:dyDescent="0.25">
      <c r="A129" s="180"/>
      <c r="G129" s="151"/>
      <c r="H129" s="163">
        <v>124</v>
      </c>
      <c r="I129" s="164" t="str">
        <f t="shared" si="6"/>
        <v/>
      </c>
      <c r="J129" s="163">
        <f t="shared" si="9"/>
        <v>-2</v>
      </c>
      <c r="K129" s="163">
        <f t="shared" si="7"/>
        <v>-20</v>
      </c>
      <c r="L129" s="163"/>
      <c r="M129" s="165">
        <f t="shared" si="8"/>
        <v>0</v>
      </c>
    </row>
    <row r="130" spans="1:13" x14ac:dyDescent="0.25">
      <c r="A130" s="180"/>
      <c r="G130" s="151"/>
      <c r="H130" s="163">
        <v>125</v>
      </c>
      <c r="I130" s="164" t="str">
        <f t="shared" si="6"/>
        <v/>
      </c>
      <c r="J130" s="163">
        <f t="shared" si="9"/>
        <v>-2</v>
      </c>
      <c r="K130" s="163">
        <f t="shared" si="7"/>
        <v>-20</v>
      </c>
      <c r="L130" s="163"/>
      <c r="M130" s="165">
        <f t="shared" si="8"/>
        <v>0</v>
      </c>
    </row>
    <row r="131" spans="1:13" x14ac:dyDescent="0.25">
      <c r="A131" s="180"/>
      <c r="G131" s="151"/>
      <c r="H131" s="163">
        <v>126</v>
      </c>
      <c r="I131" s="164" t="str">
        <f t="shared" si="6"/>
        <v/>
      </c>
      <c r="J131" s="163">
        <f t="shared" si="9"/>
        <v>-2</v>
      </c>
      <c r="K131" s="163">
        <f t="shared" si="7"/>
        <v>-20</v>
      </c>
      <c r="L131" s="163"/>
      <c r="M131" s="165">
        <f t="shared" si="8"/>
        <v>0</v>
      </c>
    </row>
    <row r="132" spans="1:13" x14ac:dyDescent="0.25">
      <c r="A132" s="180"/>
      <c r="G132" s="151"/>
      <c r="H132" s="163">
        <v>127</v>
      </c>
      <c r="I132" s="164" t="str">
        <f t="shared" si="6"/>
        <v/>
      </c>
      <c r="J132" s="163">
        <f t="shared" si="9"/>
        <v>-2</v>
      </c>
      <c r="K132" s="163">
        <f t="shared" si="7"/>
        <v>-20</v>
      </c>
      <c r="L132" s="163"/>
      <c r="M132" s="165">
        <f t="shared" si="8"/>
        <v>0</v>
      </c>
    </row>
    <row r="133" spans="1:13" x14ac:dyDescent="0.25">
      <c r="A133" s="180"/>
      <c r="G133" s="151"/>
      <c r="H133" s="163">
        <v>128</v>
      </c>
      <c r="I133" s="164" t="str">
        <f t="shared" si="6"/>
        <v/>
      </c>
      <c r="J133" s="163">
        <f t="shared" si="9"/>
        <v>-2</v>
      </c>
      <c r="K133" s="163">
        <f t="shared" si="7"/>
        <v>-20</v>
      </c>
      <c r="L133" s="163"/>
      <c r="M133" s="165">
        <f t="shared" si="8"/>
        <v>0</v>
      </c>
    </row>
    <row r="134" spans="1:13" x14ac:dyDescent="0.25">
      <c r="A134" s="180"/>
      <c r="G134" s="151"/>
      <c r="H134" s="163">
        <v>129</v>
      </c>
      <c r="I134" s="164" t="str">
        <f t="shared" ref="I134:I197" si="10">IF(H134&lt;$H$2+1,($I$2-($I$2-1)*(LOG(H134)/LOG($H$2))),"")</f>
        <v/>
      </c>
      <c r="J134" s="163">
        <f t="shared" si="9"/>
        <v>-3</v>
      </c>
      <c r="K134" s="163">
        <f t="shared" ref="K134:K197" si="11">J134*$J$2</f>
        <v>-30</v>
      </c>
      <c r="L134" s="163"/>
      <c r="M134" s="165">
        <f t="shared" ref="M134:M197" si="12">IF(I134&lt;&gt;"",K134+I134+L134,0)</f>
        <v>0</v>
      </c>
    </row>
    <row r="135" spans="1:13" x14ac:dyDescent="0.25">
      <c r="A135" s="180"/>
      <c r="G135" s="151"/>
      <c r="H135" s="163">
        <v>130</v>
      </c>
      <c r="I135" s="164" t="str">
        <f t="shared" si="10"/>
        <v/>
      </c>
      <c r="J135" s="163">
        <f t="shared" ref="J135:J198" si="13">INT(LOG($H$2,2))-ROUNDUP(LOG(H135,2),0)+IF(OR($H$2=1,$H$2=2,$H$2=4,$H$2=8,$H$2=16,$H$2=32,$H$2=64,$H$2=128,$H$2=256),0,1)</f>
        <v>-3</v>
      </c>
      <c r="K135" s="163">
        <f t="shared" si="11"/>
        <v>-30</v>
      </c>
      <c r="L135" s="163"/>
      <c r="M135" s="165">
        <f t="shared" si="12"/>
        <v>0</v>
      </c>
    </row>
    <row r="136" spans="1:13" x14ac:dyDescent="0.25">
      <c r="A136" s="180"/>
      <c r="G136" s="151"/>
      <c r="H136" s="163">
        <v>131</v>
      </c>
      <c r="I136" s="164" t="str">
        <f t="shared" si="10"/>
        <v/>
      </c>
      <c r="J136" s="163">
        <f t="shared" si="13"/>
        <v>-3</v>
      </c>
      <c r="K136" s="163">
        <f t="shared" si="11"/>
        <v>-30</v>
      </c>
      <c r="L136" s="163"/>
      <c r="M136" s="165">
        <f t="shared" si="12"/>
        <v>0</v>
      </c>
    </row>
    <row r="137" spans="1:13" x14ac:dyDescent="0.25">
      <c r="A137" s="180"/>
      <c r="G137" s="151"/>
      <c r="H137" s="163">
        <v>132</v>
      </c>
      <c r="I137" s="164" t="str">
        <f t="shared" si="10"/>
        <v/>
      </c>
      <c r="J137" s="163">
        <f t="shared" si="13"/>
        <v>-3</v>
      </c>
      <c r="K137" s="163">
        <f t="shared" si="11"/>
        <v>-30</v>
      </c>
      <c r="L137" s="163"/>
      <c r="M137" s="165">
        <f t="shared" si="12"/>
        <v>0</v>
      </c>
    </row>
    <row r="138" spans="1:13" x14ac:dyDescent="0.25">
      <c r="A138" s="180"/>
      <c r="G138" s="151"/>
      <c r="H138" s="163">
        <v>133</v>
      </c>
      <c r="I138" s="164" t="str">
        <f t="shared" si="10"/>
        <v/>
      </c>
      <c r="J138" s="163">
        <f t="shared" si="13"/>
        <v>-3</v>
      </c>
      <c r="K138" s="163">
        <f t="shared" si="11"/>
        <v>-30</v>
      </c>
      <c r="L138" s="163"/>
      <c r="M138" s="165">
        <f t="shared" si="12"/>
        <v>0</v>
      </c>
    </row>
    <row r="139" spans="1:13" x14ac:dyDescent="0.25">
      <c r="A139" s="180"/>
      <c r="G139" s="151"/>
      <c r="H139" s="163">
        <v>134</v>
      </c>
      <c r="I139" s="164" t="str">
        <f t="shared" si="10"/>
        <v/>
      </c>
      <c r="J139" s="163">
        <f t="shared" si="13"/>
        <v>-3</v>
      </c>
      <c r="K139" s="163">
        <f t="shared" si="11"/>
        <v>-30</v>
      </c>
      <c r="L139" s="163"/>
      <c r="M139" s="165">
        <f t="shared" si="12"/>
        <v>0</v>
      </c>
    </row>
    <row r="140" spans="1:13" x14ac:dyDescent="0.25">
      <c r="A140" s="180"/>
      <c r="G140" s="151"/>
      <c r="H140" s="163">
        <v>135</v>
      </c>
      <c r="I140" s="164" t="str">
        <f t="shared" si="10"/>
        <v/>
      </c>
      <c r="J140" s="163">
        <f t="shared" si="13"/>
        <v>-3</v>
      </c>
      <c r="K140" s="163">
        <f t="shared" si="11"/>
        <v>-30</v>
      </c>
      <c r="L140" s="163"/>
      <c r="M140" s="165">
        <f t="shared" si="12"/>
        <v>0</v>
      </c>
    </row>
    <row r="141" spans="1:13" x14ac:dyDescent="0.25">
      <c r="A141" s="180"/>
      <c r="G141" s="151"/>
      <c r="H141" s="163">
        <v>136</v>
      </c>
      <c r="I141" s="164" t="str">
        <f t="shared" si="10"/>
        <v/>
      </c>
      <c r="J141" s="163">
        <f t="shared" si="13"/>
        <v>-3</v>
      </c>
      <c r="K141" s="163">
        <f t="shared" si="11"/>
        <v>-30</v>
      </c>
      <c r="L141" s="163"/>
      <c r="M141" s="165">
        <f t="shared" si="12"/>
        <v>0</v>
      </c>
    </row>
    <row r="142" spans="1:13" x14ac:dyDescent="0.25">
      <c r="A142" s="180"/>
      <c r="G142" s="151"/>
      <c r="H142" s="163">
        <v>137</v>
      </c>
      <c r="I142" s="164" t="str">
        <f t="shared" si="10"/>
        <v/>
      </c>
      <c r="J142" s="163">
        <f t="shared" si="13"/>
        <v>-3</v>
      </c>
      <c r="K142" s="163">
        <f t="shared" si="11"/>
        <v>-30</v>
      </c>
      <c r="L142" s="163"/>
      <c r="M142" s="165">
        <f t="shared" si="12"/>
        <v>0</v>
      </c>
    </row>
    <row r="143" spans="1:13" x14ac:dyDescent="0.25">
      <c r="A143" s="180"/>
      <c r="G143" s="151"/>
      <c r="H143" s="163">
        <v>138</v>
      </c>
      <c r="I143" s="164" t="str">
        <f t="shared" si="10"/>
        <v/>
      </c>
      <c r="J143" s="163">
        <f t="shared" si="13"/>
        <v>-3</v>
      </c>
      <c r="K143" s="163">
        <f t="shared" si="11"/>
        <v>-30</v>
      </c>
      <c r="L143" s="163"/>
      <c r="M143" s="165">
        <f t="shared" si="12"/>
        <v>0</v>
      </c>
    </row>
    <row r="144" spans="1:13" x14ac:dyDescent="0.25">
      <c r="A144" s="180"/>
      <c r="G144" s="151"/>
      <c r="H144" s="163">
        <v>139</v>
      </c>
      <c r="I144" s="164" t="str">
        <f t="shared" si="10"/>
        <v/>
      </c>
      <c r="J144" s="163">
        <f t="shared" si="13"/>
        <v>-3</v>
      </c>
      <c r="K144" s="163">
        <f t="shared" si="11"/>
        <v>-30</v>
      </c>
      <c r="L144" s="163"/>
      <c r="M144" s="165">
        <f t="shared" si="12"/>
        <v>0</v>
      </c>
    </row>
    <row r="145" spans="1:13" x14ac:dyDescent="0.25">
      <c r="A145" s="180"/>
      <c r="G145" s="151"/>
      <c r="H145" s="163">
        <v>140</v>
      </c>
      <c r="I145" s="164" t="str">
        <f t="shared" si="10"/>
        <v/>
      </c>
      <c r="J145" s="163">
        <f t="shared" si="13"/>
        <v>-3</v>
      </c>
      <c r="K145" s="163">
        <f t="shared" si="11"/>
        <v>-30</v>
      </c>
      <c r="L145" s="163"/>
      <c r="M145" s="165">
        <f t="shared" si="12"/>
        <v>0</v>
      </c>
    </row>
    <row r="146" spans="1:13" x14ac:dyDescent="0.25">
      <c r="A146" s="180"/>
      <c r="G146" s="151"/>
      <c r="H146" s="163">
        <v>141</v>
      </c>
      <c r="I146" s="164" t="str">
        <f t="shared" si="10"/>
        <v/>
      </c>
      <c r="J146" s="163">
        <f t="shared" si="13"/>
        <v>-3</v>
      </c>
      <c r="K146" s="163">
        <f t="shared" si="11"/>
        <v>-30</v>
      </c>
      <c r="L146" s="163"/>
      <c r="M146" s="165">
        <f t="shared" si="12"/>
        <v>0</v>
      </c>
    </row>
    <row r="147" spans="1:13" x14ac:dyDescent="0.25">
      <c r="A147" s="180"/>
      <c r="G147" s="151"/>
      <c r="H147" s="163">
        <v>142</v>
      </c>
      <c r="I147" s="164" t="str">
        <f t="shared" si="10"/>
        <v/>
      </c>
      <c r="J147" s="163">
        <f t="shared" si="13"/>
        <v>-3</v>
      </c>
      <c r="K147" s="163">
        <f t="shared" si="11"/>
        <v>-30</v>
      </c>
      <c r="L147" s="163"/>
      <c r="M147" s="165">
        <f t="shared" si="12"/>
        <v>0</v>
      </c>
    </row>
    <row r="148" spans="1:13" x14ac:dyDescent="0.25">
      <c r="A148" s="180"/>
      <c r="G148" s="151"/>
      <c r="H148" s="163">
        <v>143</v>
      </c>
      <c r="I148" s="164" t="str">
        <f t="shared" si="10"/>
        <v/>
      </c>
      <c r="J148" s="163">
        <f t="shared" si="13"/>
        <v>-3</v>
      </c>
      <c r="K148" s="163">
        <f t="shared" si="11"/>
        <v>-30</v>
      </c>
      <c r="L148" s="163"/>
      <c r="M148" s="165">
        <f t="shared" si="12"/>
        <v>0</v>
      </c>
    </row>
    <row r="149" spans="1:13" x14ac:dyDescent="0.25">
      <c r="A149" s="180"/>
      <c r="G149" s="151"/>
      <c r="H149" s="163">
        <v>144</v>
      </c>
      <c r="I149" s="164" t="str">
        <f t="shared" si="10"/>
        <v/>
      </c>
      <c r="J149" s="163">
        <f t="shared" si="13"/>
        <v>-3</v>
      </c>
      <c r="K149" s="163">
        <f t="shared" si="11"/>
        <v>-30</v>
      </c>
      <c r="L149" s="163"/>
      <c r="M149" s="165">
        <f t="shared" si="12"/>
        <v>0</v>
      </c>
    </row>
    <row r="150" spans="1:13" x14ac:dyDescent="0.25">
      <c r="A150" s="180"/>
      <c r="G150" s="151"/>
      <c r="H150" s="163">
        <v>145</v>
      </c>
      <c r="I150" s="164" t="str">
        <f t="shared" si="10"/>
        <v/>
      </c>
      <c r="J150" s="163">
        <f t="shared" si="13"/>
        <v>-3</v>
      </c>
      <c r="K150" s="163">
        <f t="shared" si="11"/>
        <v>-30</v>
      </c>
      <c r="L150" s="163"/>
      <c r="M150" s="165">
        <f t="shared" si="12"/>
        <v>0</v>
      </c>
    </row>
    <row r="151" spans="1:13" x14ac:dyDescent="0.25">
      <c r="A151" s="180"/>
      <c r="G151" s="151"/>
      <c r="H151" s="163">
        <v>146</v>
      </c>
      <c r="I151" s="164" t="str">
        <f t="shared" si="10"/>
        <v/>
      </c>
      <c r="J151" s="163">
        <f t="shared" si="13"/>
        <v>-3</v>
      </c>
      <c r="K151" s="163">
        <f t="shared" si="11"/>
        <v>-30</v>
      </c>
      <c r="L151" s="163"/>
      <c r="M151" s="165">
        <f t="shared" si="12"/>
        <v>0</v>
      </c>
    </row>
    <row r="152" spans="1:13" x14ac:dyDescent="0.25">
      <c r="A152" s="180"/>
      <c r="G152" s="151"/>
      <c r="H152" s="163">
        <v>147</v>
      </c>
      <c r="I152" s="164" t="str">
        <f t="shared" si="10"/>
        <v/>
      </c>
      <c r="J152" s="163">
        <f t="shared" si="13"/>
        <v>-3</v>
      </c>
      <c r="K152" s="163">
        <f t="shared" si="11"/>
        <v>-30</v>
      </c>
      <c r="L152" s="163"/>
      <c r="M152" s="165">
        <f t="shared" si="12"/>
        <v>0</v>
      </c>
    </row>
    <row r="153" spans="1:13" x14ac:dyDescent="0.25">
      <c r="A153" s="180"/>
      <c r="G153" s="151"/>
      <c r="H153" s="163">
        <v>148</v>
      </c>
      <c r="I153" s="164" t="str">
        <f t="shared" si="10"/>
        <v/>
      </c>
      <c r="J153" s="163">
        <f t="shared" si="13"/>
        <v>-3</v>
      </c>
      <c r="K153" s="163">
        <f t="shared" si="11"/>
        <v>-30</v>
      </c>
      <c r="L153" s="163"/>
      <c r="M153" s="165">
        <f t="shared" si="12"/>
        <v>0</v>
      </c>
    </row>
    <row r="154" spans="1:13" x14ac:dyDescent="0.25">
      <c r="A154" s="180"/>
      <c r="G154" s="151"/>
      <c r="H154" s="163">
        <v>149</v>
      </c>
      <c r="I154" s="164" t="str">
        <f t="shared" si="10"/>
        <v/>
      </c>
      <c r="J154" s="163">
        <f t="shared" si="13"/>
        <v>-3</v>
      </c>
      <c r="K154" s="163">
        <f t="shared" si="11"/>
        <v>-30</v>
      </c>
      <c r="L154" s="163"/>
      <c r="M154" s="165">
        <f t="shared" si="12"/>
        <v>0</v>
      </c>
    </row>
    <row r="155" spans="1:13" x14ac:dyDescent="0.25">
      <c r="A155" s="180"/>
      <c r="G155" s="151"/>
      <c r="H155" s="163">
        <v>150</v>
      </c>
      <c r="I155" s="164" t="str">
        <f t="shared" si="10"/>
        <v/>
      </c>
      <c r="J155" s="163">
        <f t="shared" si="13"/>
        <v>-3</v>
      </c>
      <c r="K155" s="163">
        <f t="shared" si="11"/>
        <v>-30</v>
      </c>
      <c r="L155" s="163"/>
      <c r="M155" s="165">
        <f t="shared" si="12"/>
        <v>0</v>
      </c>
    </row>
    <row r="156" spans="1:13" x14ac:dyDescent="0.25">
      <c r="A156" s="180"/>
      <c r="G156" s="151"/>
      <c r="H156" s="163">
        <v>151</v>
      </c>
      <c r="I156" s="164" t="str">
        <f t="shared" si="10"/>
        <v/>
      </c>
      <c r="J156" s="163">
        <f t="shared" si="13"/>
        <v>-3</v>
      </c>
      <c r="K156" s="163">
        <f t="shared" si="11"/>
        <v>-30</v>
      </c>
      <c r="L156" s="163"/>
      <c r="M156" s="165">
        <f t="shared" si="12"/>
        <v>0</v>
      </c>
    </row>
    <row r="157" spans="1:13" x14ac:dyDescent="0.25">
      <c r="A157" s="180"/>
      <c r="G157" s="151"/>
      <c r="H157" s="163">
        <v>152</v>
      </c>
      <c r="I157" s="164" t="str">
        <f t="shared" si="10"/>
        <v/>
      </c>
      <c r="J157" s="163">
        <f t="shared" si="13"/>
        <v>-3</v>
      </c>
      <c r="K157" s="163">
        <f t="shared" si="11"/>
        <v>-30</v>
      </c>
      <c r="L157" s="163"/>
      <c r="M157" s="165">
        <f t="shared" si="12"/>
        <v>0</v>
      </c>
    </row>
    <row r="158" spans="1:13" x14ac:dyDescent="0.25">
      <c r="A158" s="180"/>
      <c r="G158" s="151"/>
      <c r="H158" s="163">
        <v>153</v>
      </c>
      <c r="I158" s="164" t="str">
        <f t="shared" si="10"/>
        <v/>
      </c>
      <c r="J158" s="163">
        <f t="shared" si="13"/>
        <v>-3</v>
      </c>
      <c r="K158" s="163">
        <f t="shared" si="11"/>
        <v>-30</v>
      </c>
      <c r="L158" s="163"/>
      <c r="M158" s="165">
        <f t="shared" si="12"/>
        <v>0</v>
      </c>
    </row>
    <row r="159" spans="1:13" x14ac:dyDescent="0.25">
      <c r="A159" s="180"/>
      <c r="G159" s="151"/>
      <c r="H159" s="163">
        <v>154</v>
      </c>
      <c r="I159" s="164" t="str">
        <f t="shared" si="10"/>
        <v/>
      </c>
      <c r="J159" s="163">
        <f t="shared" si="13"/>
        <v>-3</v>
      </c>
      <c r="K159" s="163">
        <f t="shared" si="11"/>
        <v>-30</v>
      </c>
      <c r="L159" s="163"/>
      <c r="M159" s="165">
        <f t="shared" si="12"/>
        <v>0</v>
      </c>
    </row>
    <row r="160" spans="1:13" x14ac:dyDescent="0.25">
      <c r="A160" s="180"/>
      <c r="G160" s="151"/>
      <c r="H160" s="163">
        <v>155</v>
      </c>
      <c r="I160" s="164" t="str">
        <f t="shared" si="10"/>
        <v/>
      </c>
      <c r="J160" s="163">
        <f t="shared" si="13"/>
        <v>-3</v>
      </c>
      <c r="K160" s="163">
        <f t="shared" si="11"/>
        <v>-30</v>
      </c>
      <c r="L160" s="163"/>
      <c r="M160" s="165">
        <f t="shared" si="12"/>
        <v>0</v>
      </c>
    </row>
    <row r="161" spans="1:13" x14ac:dyDescent="0.25">
      <c r="A161" s="180"/>
      <c r="G161" s="151"/>
      <c r="H161" s="163">
        <v>156</v>
      </c>
      <c r="I161" s="164" t="str">
        <f t="shared" si="10"/>
        <v/>
      </c>
      <c r="J161" s="163">
        <f t="shared" si="13"/>
        <v>-3</v>
      </c>
      <c r="K161" s="163">
        <f t="shared" si="11"/>
        <v>-30</v>
      </c>
      <c r="L161" s="163"/>
      <c r="M161" s="165">
        <f t="shared" si="12"/>
        <v>0</v>
      </c>
    </row>
    <row r="162" spans="1:13" x14ac:dyDescent="0.25">
      <c r="A162" s="180"/>
      <c r="G162" s="151"/>
      <c r="H162" s="163">
        <v>157</v>
      </c>
      <c r="I162" s="164" t="str">
        <f t="shared" si="10"/>
        <v/>
      </c>
      <c r="J162" s="163">
        <f t="shared" si="13"/>
        <v>-3</v>
      </c>
      <c r="K162" s="163">
        <f t="shared" si="11"/>
        <v>-30</v>
      </c>
      <c r="L162" s="163"/>
      <c r="M162" s="165">
        <f t="shared" si="12"/>
        <v>0</v>
      </c>
    </row>
    <row r="163" spans="1:13" x14ac:dyDescent="0.25">
      <c r="A163" s="180"/>
      <c r="G163" s="151"/>
      <c r="H163" s="163">
        <v>158</v>
      </c>
      <c r="I163" s="164" t="str">
        <f t="shared" si="10"/>
        <v/>
      </c>
      <c r="J163" s="163">
        <f t="shared" si="13"/>
        <v>-3</v>
      </c>
      <c r="K163" s="163">
        <f t="shared" si="11"/>
        <v>-30</v>
      </c>
      <c r="L163" s="163"/>
      <c r="M163" s="165">
        <f t="shared" si="12"/>
        <v>0</v>
      </c>
    </row>
    <row r="164" spans="1:13" x14ac:dyDescent="0.25">
      <c r="A164" s="180"/>
      <c r="G164" s="151"/>
      <c r="H164" s="163">
        <v>159</v>
      </c>
      <c r="I164" s="164" t="str">
        <f t="shared" si="10"/>
        <v/>
      </c>
      <c r="J164" s="163">
        <f t="shared" si="13"/>
        <v>-3</v>
      </c>
      <c r="K164" s="163">
        <f t="shared" si="11"/>
        <v>-30</v>
      </c>
      <c r="L164" s="163"/>
      <c r="M164" s="165">
        <f t="shared" si="12"/>
        <v>0</v>
      </c>
    </row>
    <row r="165" spans="1:13" x14ac:dyDescent="0.25">
      <c r="A165" s="180"/>
      <c r="G165" s="151"/>
      <c r="H165" s="163">
        <v>160</v>
      </c>
      <c r="I165" s="164" t="str">
        <f t="shared" si="10"/>
        <v/>
      </c>
      <c r="J165" s="163">
        <f t="shared" si="13"/>
        <v>-3</v>
      </c>
      <c r="K165" s="163">
        <f t="shared" si="11"/>
        <v>-30</v>
      </c>
      <c r="L165" s="163"/>
      <c r="M165" s="165">
        <f t="shared" si="12"/>
        <v>0</v>
      </c>
    </row>
    <row r="166" spans="1:13" x14ac:dyDescent="0.25">
      <c r="A166" s="180"/>
      <c r="G166" s="151"/>
      <c r="H166" s="163">
        <v>161</v>
      </c>
      <c r="I166" s="164" t="str">
        <f t="shared" si="10"/>
        <v/>
      </c>
      <c r="J166" s="163">
        <f t="shared" si="13"/>
        <v>-3</v>
      </c>
      <c r="K166" s="163">
        <f t="shared" si="11"/>
        <v>-30</v>
      </c>
      <c r="L166" s="163"/>
      <c r="M166" s="165">
        <f t="shared" si="12"/>
        <v>0</v>
      </c>
    </row>
    <row r="167" spans="1:13" x14ac:dyDescent="0.25">
      <c r="A167" s="180"/>
      <c r="G167" s="151"/>
      <c r="H167" s="163">
        <v>162</v>
      </c>
      <c r="I167" s="164" t="str">
        <f t="shared" si="10"/>
        <v/>
      </c>
      <c r="J167" s="163">
        <f t="shared" si="13"/>
        <v>-3</v>
      </c>
      <c r="K167" s="163">
        <f t="shared" si="11"/>
        <v>-30</v>
      </c>
      <c r="L167" s="163"/>
      <c r="M167" s="165">
        <f t="shared" si="12"/>
        <v>0</v>
      </c>
    </row>
    <row r="168" spans="1:13" x14ac:dyDescent="0.25">
      <c r="A168" s="180"/>
      <c r="G168" s="151"/>
      <c r="H168" s="163">
        <v>163</v>
      </c>
      <c r="I168" s="164" t="str">
        <f t="shared" si="10"/>
        <v/>
      </c>
      <c r="J168" s="163">
        <f t="shared" si="13"/>
        <v>-3</v>
      </c>
      <c r="K168" s="163">
        <f t="shared" si="11"/>
        <v>-30</v>
      </c>
      <c r="L168" s="163"/>
      <c r="M168" s="165">
        <f t="shared" si="12"/>
        <v>0</v>
      </c>
    </row>
    <row r="169" spans="1:13" x14ac:dyDescent="0.25">
      <c r="A169" s="180"/>
      <c r="C169" s="179" t="s">
        <v>50</v>
      </c>
      <c r="G169" s="151"/>
      <c r="H169" s="163">
        <v>164</v>
      </c>
      <c r="I169" s="164" t="str">
        <f t="shared" si="10"/>
        <v/>
      </c>
      <c r="J169" s="163">
        <f t="shared" si="13"/>
        <v>-3</v>
      </c>
      <c r="K169" s="163">
        <f t="shared" si="11"/>
        <v>-30</v>
      </c>
      <c r="L169" s="163"/>
      <c r="M169" s="165">
        <f t="shared" si="12"/>
        <v>0</v>
      </c>
    </row>
    <row r="170" spans="1:13" x14ac:dyDescent="0.25">
      <c r="A170" s="180"/>
      <c r="G170" s="151"/>
      <c r="H170" s="163">
        <v>165</v>
      </c>
      <c r="I170" s="164" t="str">
        <f t="shared" si="10"/>
        <v/>
      </c>
      <c r="J170" s="163">
        <f t="shared" si="13"/>
        <v>-3</v>
      </c>
      <c r="K170" s="163">
        <f t="shared" si="11"/>
        <v>-30</v>
      </c>
      <c r="L170" s="163"/>
      <c r="M170" s="165">
        <f t="shared" si="12"/>
        <v>0</v>
      </c>
    </row>
    <row r="171" spans="1:13" x14ac:dyDescent="0.25">
      <c r="A171" s="180"/>
      <c r="G171" s="151"/>
      <c r="H171" s="163">
        <v>166</v>
      </c>
      <c r="I171" s="164" t="str">
        <f t="shared" si="10"/>
        <v/>
      </c>
      <c r="J171" s="163">
        <f t="shared" si="13"/>
        <v>-3</v>
      </c>
      <c r="K171" s="163">
        <f t="shared" si="11"/>
        <v>-30</v>
      </c>
      <c r="L171" s="163"/>
      <c r="M171" s="165">
        <f t="shared" si="12"/>
        <v>0</v>
      </c>
    </row>
    <row r="172" spans="1:13" x14ac:dyDescent="0.25">
      <c r="A172" s="180"/>
      <c r="G172" s="151"/>
      <c r="H172" s="163">
        <v>167</v>
      </c>
      <c r="I172" s="164" t="str">
        <f t="shared" si="10"/>
        <v/>
      </c>
      <c r="J172" s="163">
        <f t="shared" si="13"/>
        <v>-3</v>
      </c>
      <c r="K172" s="163">
        <f t="shared" si="11"/>
        <v>-30</v>
      </c>
      <c r="L172" s="163"/>
      <c r="M172" s="165">
        <f t="shared" si="12"/>
        <v>0</v>
      </c>
    </row>
    <row r="173" spans="1:13" x14ac:dyDescent="0.25">
      <c r="A173" s="180"/>
      <c r="G173" s="151"/>
      <c r="H173" s="163">
        <v>168</v>
      </c>
      <c r="I173" s="164" t="str">
        <f t="shared" si="10"/>
        <v/>
      </c>
      <c r="J173" s="163">
        <f t="shared" si="13"/>
        <v>-3</v>
      </c>
      <c r="K173" s="163">
        <f t="shared" si="11"/>
        <v>-30</v>
      </c>
      <c r="L173" s="163"/>
      <c r="M173" s="165">
        <f t="shared" si="12"/>
        <v>0</v>
      </c>
    </row>
    <row r="174" spans="1:13" x14ac:dyDescent="0.25">
      <c r="A174" s="180"/>
      <c r="G174" s="151"/>
      <c r="H174" s="163">
        <v>169</v>
      </c>
      <c r="I174" s="164" t="str">
        <f t="shared" si="10"/>
        <v/>
      </c>
      <c r="J174" s="163">
        <f t="shared" si="13"/>
        <v>-3</v>
      </c>
      <c r="K174" s="163">
        <f t="shared" si="11"/>
        <v>-30</v>
      </c>
      <c r="L174" s="163"/>
      <c r="M174" s="165">
        <f t="shared" si="12"/>
        <v>0</v>
      </c>
    </row>
    <row r="175" spans="1:13" x14ac:dyDescent="0.25">
      <c r="A175" s="180"/>
      <c r="G175" s="151"/>
      <c r="H175" s="163">
        <v>170</v>
      </c>
      <c r="I175" s="164" t="str">
        <f t="shared" si="10"/>
        <v/>
      </c>
      <c r="J175" s="163">
        <f t="shared" si="13"/>
        <v>-3</v>
      </c>
      <c r="K175" s="163">
        <f t="shared" si="11"/>
        <v>-30</v>
      </c>
      <c r="L175" s="163"/>
      <c r="M175" s="165">
        <f t="shared" si="12"/>
        <v>0</v>
      </c>
    </row>
    <row r="176" spans="1:13" x14ac:dyDescent="0.25">
      <c r="A176" s="180"/>
      <c r="G176" s="151"/>
      <c r="H176" s="163">
        <v>171</v>
      </c>
      <c r="I176" s="164" t="str">
        <f t="shared" si="10"/>
        <v/>
      </c>
      <c r="J176" s="163">
        <f t="shared" si="13"/>
        <v>-3</v>
      </c>
      <c r="K176" s="163">
        <f t="shared" si="11"/>
        <v>-30</v>
      </c>
      <c r="L176" s="163"/>
      <c r="M176" s="165">
        <f t="shared" si="12"/>
        <v>0</v>
      </c>
    </row>
    <row r="177" spans="1:13" x14ac:dyDescent="0.25">
      <c r="A177" s="180"/>
      <c r="G177" s="151"/>
      <c r="H177" s="163">
        <v>172</v>
      </c>
      <c r="I177" s="164" t="str">
        <f t="shared" si="10"/>
        <v/>
      </c>
      <c r="J177" s="163">
        <f t="shared" si="13"/>
        <v>-3</v>
      </c>
      <c r="K177" s="163">
        <f t="shared" si="11"/>
        <v>-30</v>
      </c>
      <c r="L177" s="163"/>
      <c r="M177" s="165">
        <f t="shared" si="12"/>
        <v>0</v>
      </c>
    </row>
    <row r="178" spans="1:13" x14ac:dyDescent="0.25">
      <c r="A178" s="180"/>
      <c r="G178" s="151"/>
      <c r="H178" s="163">
        <v>173</v>
      </c>
      <c r="I178" s="164" t="str">
        <f t="shared" si="10"/>
        <v/>
      </c>
      <c r="J178" s="163">
        <f t="shared" si="13"/>
        <v>-3</v>
      </c>
      <c r="K178" s="163">
        <f t="shared" si="11"/>
        <v>-30</v>
      </c>
      <c r="L178" s="163"/>
      <c r="M178" s="165">
        <f t="shared" si="12"/>
        <v>0</v>
      </c>
    </row>
    <row r="179" spans="1:13" x14ac:dyDescent="0.25">
      <c r="A179" s="180"/>
      <c r="G179" s="151"/>
      <c r="H179" s="163">
        <v>174</v>
      </c>
      <c r="I179" s="164" t="str">
        <f t="shared" si="10"/>
        <v/>
      </c>
      <c r="J179" s="163">
        <f t="shared" si="13"/>
        <v>-3</v>
      </c>
      <c r="K179" s="163">
        <f t="shared" si="11"/>
        <v>-30</v>
      </c>
      <c r="L179" s="163"/>
      <c r="M179" s="165">
        <f t="shared" si="12"/>
        <v>0</v>
      </c>
    </row>
    <row r="180" spans="1:13" x14ac:dyDescent="0.25">
      <c r="A180" s="180"/>
      <c r="G180" s="151"/>
      <c r="H180" s="163">
        <v>175</v>
      </c>
      <c r="I180" s="164" t="str">
        <f t="shared" si="10"/>
        <v/>
      </c>
      <c r="J180" s="163">
        <f t="shared" si="13"/>
        <v>-3</v>
      </c>
      <c r="K180" s="163">
        <f t="shared" si="11"/>
        <v>-30</v>
      </c>
      <c r="L180" s="163"/>
      <c r="M180" s="165">
        <f t="shared" si="12"/>
        <v>0</v>
      </c>
    </row>
    <row r="181" spans="1:13" x14ac:dyDescent="0.25">
      <c r="A181" s="180"/>
      <c r="G181" s="151"/>
      <c r="H181" s="163">
        <v>176</v>
      </c>
      <c r="I181" s="164" t="str">
        <f t="shared" si="10"/>
        <v/>
      </c>
      <c r="J181" s="163">
        <f t="shared" si="13"/>
        <v>-3</v>
      </c>
      <c r="K181" s="163">
        <f t="shared" si="11"/>
        <v>-30</v>
      </c>
      <c r="L181" s="163"/>
      <c r="M181" s="165">
        <f t="shared" si="12"/>
        <v>0</v>
      </c>
    </row>
    <row r="182" spans="1:13" x14ac:dyDescent="0.25">
      <c r="A182" s="180"/>
      <c r="G182" s="151"/>
      <c r="H182" s="163">
        <v>177</v>
      </c>
      <c r="I182" s="164" t="str">
        <f t="shared" si="10"/>
        <v/>
      </c>
      <c r="J182" s="163">
        <f t="shared" si="13"/>
        <v>-3</v>
      </c>
      <c r="K182" s="163">
        <f t="shared" si="11"/>
        <v>-30</v>
      </c>
      <c r="L182" s="163"/>
      <c r="M182" s="165">
        <f t="shared" si="12"/>
        <v>0</v>
      </c>
    </row>
    <row r="183" spans="1:13" x14ac:dyDescent="0.25">
      <c r="A183" s="180"/>
      <c r="G183" s="151"/>
      <c r="H183" s="163">
        <v>178</v>
      </c>
      <c r="I183" s="164" t="str">
        <f t="shared" si="10"/>
        <v/>
      </c>
      <c r="J183" s="163">
        <f t="shared" si="13"/>
        <v>-3</v>
      </c>
      <c r="K183" s="163">
        <f t="shared" si="11"/>
        <v>-30</v>
      </c>
      <c r="L183" s="163"/>
      <c r="M183" s="165">
        <f t="shared" si="12"/>
        <v>0</v>
      </c>
    </row>
    <row r="184" spans="1:13" x14ac:dyDescent="0.25">
      <c r="A184" s="180"/>
      <c r="G184" s="151"/>
      <c r="H184" s="163">
        <v>179</v>
      </c>
      <c r="I184" s="164" t="str">
        <f t="shared" si="10"/>
        <v/>
      </c>
      <c r="J184" s="163">
        <f t="shared" si="13"/>
        <v>-3</v>
      </c>
      <c r="K184" s="163">
        <f t="shared" si="11"/>
        <v>-30</v>
      </c>
      <c r="L184" s="163"/>
      <c r="M184" s="165">
        <f t="shared" si="12"/>
        <v>0</v>
      </c>
    </row>
    <row r="185" spans="1:13" x14ac:dyDescent="0.25">
      <c r="A185" s="180"/>
      <c r="G185" s="151"/>
      <c r="H185" s="163">
        <v>180</v>
      </c>
      <c r="I185" s="164" t="str">
        <f t="shared" si="10"/>
        <v/>
      </c>
      <c r="J185" s="163">
        <f t="shared" si="13"/>
        <v>-3</v>
      </c>
      <c r="K185" s="163">
        <f t="shared" si="11"/>
        <v>-30</v>
      </c>
      <c r="L185" s="163"/>
      <c r="M185" s="165">
        <f t="shared" si="12"/>
        <v>0</v>
      </c>
    </row>
    <row r="186" spans="1:13" x14ac:dyDescent="0.25">
      <c r="A186" s="180"/>
      <c r="G186" s="151"/>
      <c r="H186" s="163">
        <v>181</v>
      </c>
      <c r="I186" s="164" t="str">
        <f t="shared" si="10"/>
        <v/>
      </c>
      <c r="J186" s="163">
        <f t="shared" si="13"/>
        <v>-3</v>
      </c>
      <c r="K186" s="163">
        <f t="shared" si="11"/>
        <v>-30</v>
      </c>
      <c r="L186" s="163"/>
      <c r="M186" s="165">
        <f t="shared" si="12"/>
        <v>0</v>
      </c>
    </row>
    <row r="187" spans="1:13" x14ac:dyDescent="0.25">
      <c r="A187" s="180"/>
      <c r="G187" s="151"/>
      <c r="H187" s="163">
        <v>182</v>
      </c>
      <c r="I187" s="164" t="str">
        <f t="shared" si="10"/>
        <v/>
      </c>
      <c r="J187" s="163">
        <f t="shared" si="13"/>
        <v>-3</v>
      </c>
      <c r="K187" s="163">
        <f t="shared" si="11"/>
        <v>-30</v>
      </c>
      <c r="L187" s="163"/>
      <c r="M187" s="165">
        <f t="shared" si="12"/>
        <v>0</v>
      </c>
    </row>
    <row r="188" spans="1:13" x14ac:dyDescent="0.25">
      <c r="A188" s="180"/>
      <c r="G188" s="151"/>
      <c r="H188" s="163">
        <v>183</v>
      </c>
      <c r="I188" s="164" t="str">
        <f t="shared" si="10"/>
        <v/>
      </c>
      <c r="J188" s="163">
        <f t="shared" si="13"/>
        <v>-3</v>
      </c>
      <c r="K188" s="163">
        <f t="shared" si="11"/>
        <v>-30</v>
      </c>
      <c r="L188" s="163"/>
      <c r="M188" s="165">
        <f t="shared" si="12"/>
        <v>0</v>
      </c>
    </row>
    <row r="189" spans="1:13" x14ac:dyDescent="0.25">
      <c r="A189" s="180"/>
      <c r="G189" s="151"/>
      <c r="H189" s="163">
        <v>184</v>
      </c>
      <c r="I189" s="164" t="str">
        <f t="shared" si="10"/>
        <v/>
      </c>
      <c r="J189" s="163">
        <f t="shared" si="13"/>
        <v>-3</v>
      </c>
      <c r="K189" s="163">
        <f t="shared" si="11"/>
        <v>-30</v>
      </c>
      <c r="L189" s="163"/>
      <c r="M189" s="165">
        <f t="shared" si="12"/>
        <v>0</v>
      </c>
    </row>
    <row r="190" spans="1:13" x14ac:dyDescent="0.25">
      <c r="A190" s="180"/>
      <c r="G190" s="151"/>
      <c r="H190" s="163">
        <v>185</v>
      </c>
      <c r="I190" s="164" t="str">
        <f t="shared" si="10"/>
        <v/>
      </c>
      <c r="J190" s="163">
        <f t="shared" si="13"/>
        <v>-3</v>
      </c>
      <c r="K190" s="163">
        <f t="shared" si="11"/>
        <v>-30</v>
      </c>
      <c r="L190" s="163"/>
      <c r="M190" s="165">
        <f t="shared" si="12"/>
        <v>0</v>
      </c>
    </row>
    <row r="191" spans="1:13" x14ac:dyDescent="0.25">
      <c r="A191" s="180"/>
      <c r="G191" s="151"/>
      <c r="H191" s="163">
        <v>186</v>
      </c>
      <c r="I191" s="164" t="str">
        <f t="shared" si="10"/>
        <v/>
      </c>
      <c r="J191" s="163">
        <f t="shared" si="13"/>
        <v>-3</v>
      </c>
      <c r="K191" s="163">
        <f t="shared" si="11"/>
        <v>-30</v>
      </c>
      <c r="L191" s="163"/>
      <c r="M191" s="165">
        <f t="shared" si="12"/>
        <v>0</v>
      </c>
    </row>
    <row r="192" spans="1:13" x14ac:dyDescent="0.25">
      <c r="A192" s="180"/>
      <c r="G192" s="151"/>
      <c r="H192" s="163">
        <v>187</v>
      </c>
      <c r="I192" s="164" t="str">
        <f t="shared" si="10"/>
        <v/>
      </c>
      <c r="J192" s="163">
        <f t="shared" si="13"/>
        <v>-3</v>
      </c>
      <c r="K192" s="163">
        <f t="shared" si="11"/>
        <v>-30</v>
      </c>
      <c r="L192" s="163"/>
      <c r="M192" s="165">
        <f t="shared" si="12"/>
        <v>0</v>
      </c>
    </row>
    <row r="193" spans="1:13" x14ac:dyDescent="0.25">
      <c r="A193" s="180"/>
      <c r="G193" s="151"/>
      <c r="H193" s="163">
        <v>188</v>
      </c>
      <c r="I193" s="164" t="str">
        <f t="shared" si="10"/>
        <v/>
      </c>
      <c r="J193" s="163">
        <f t="shared" si="13"/>
        <v>-3</v>
      </c>
      <c r="K193" s="163">
        <f t="shared" si="11"/>
        <v>-30</v>
      </c>
      <c r="L193" s="163"/>
      <c r="M193" s="165">
        <f t="shared" si="12"/>
        <v>0</v>
      </c>
    </row>
    <row r="194" spans="1:13" x14ac:dyDescent="0.25">
      <c r="A194" s="180"/>
      <c r="G194" s="151"/>
      <c r="H194" s="163">
        <v>189</v>
      </c>
      <c r="I194" s="164" t="str">
        <f t="shared" si="10"/>
        <v/>
      </c>
      <c r="J194" s="163">
        <f t="shared" si="13"/>
        <v>-3</v>
      </c>
      <c r="K194" s="163">
        <f t="shared" si="11"/>
        <v>-30</v>
      </c>
      <c r="L194" s="163"/>
      <c r="M194" s="165">
        <f t="shared" si="12"/>
        <v>0</v>
      </c>
    </row>
    <row r="195" spans="1:13" x14ac:dyDescent="0.25">
      <c r="A195" s="180"/>
      <c r="G195" s="151"/>
      <c r="H195" s="163">
        <v>190</v>
      </c>
      <c r="I195" s="164" t="str">
        <f t="shared" si="10"/>
        <v/>
      </c>
      <c r="J195" s="163">
        <f t="shared" si="13"/>
        <v>-3</v>
      </c>
      <c r="K195" s="163">
        <f t="shared" si="11"/>
        <v>-30</v>
      </c>
      <c r="L195" s="163"/>
      <c r="M195" s="165">
        <f t="shared" si="12"/>
        <v>0</v>
      </c>
    </row>
    <row r="196" spans="1:13" x14ac:dyDescent="0.25">
      <c r="A196" s="180"/>
      <c r="G196" s="151"/>
      <c r="H196" s="163">
        <v>191</v>
      </c>
      <c r="I196" s="164" t="str">
        <f t="shared" si="10"/>
        <v/>
      </c>
      <c r="J196" s="163">
        <f t="shared" si="13"/>
        <v>-3</v>
      </c>
      <c r="K196" s="163">
        <f t="shared" si="11"/>
        <v>-30</v>
      </c>
      <c r="L196" s="163"/>
      <c r="M196" s="165">
        <f t="shared" si="12"/>
        <v>0</v>
      </c>
    </row>
    <row r="197" spans="1:13" x14ac:dyDescent="0.25">
      <c r="A197" s="180"/>
      <c r="G197" s="151"/>
      <c r="H197" s="163">
        <v>192</v>
      </c>
      <c r="I197" s="164" t="str">
        <f t="shared" si="10"/>
        <v/>
      </c>
      <c r="J197" s="163">
        <f t="shared" si="13"/>
        <v>-3</v>
      </c>
      <c r="K197" s="163">
        <f t="shared" si="11"/>
        <v>-30</v>
      </c>
      <c r="L197" s="163"/>
      <c r="M197" s="165">
        <f t="shared" si="12"/>
        <v>0</v>
      </c>
    </row>
    <row r="198" spans="1:13" x14ac:dyDescent="0.25">
      <c r="A198" s="180"/>
      <c r="G198" s="151"/>
      <c r="H198" s="163">
        <v>193</v>
      </c>
      <c r="I198" s="164" t="str">
        <f t="shared" ref="I198:I261" si="14">IF(H198&lt;$H$2+1,($I$2-($I$2-1)*(LOG(H198)/LOG($H$2))),"")</f>
        <v/>
      </c>
      <c r="J198" s="163">
        <f t="shared" si="13"/>
        <v>-3</v>
      </c>
      <c r="K198" s="163">
        <f t="shared" ref="K198:K261" si="15">J198*$J$2</f>
        <v>-30</v>
      </c>
      <c r="L198" s="163"/>
      <c r="M198" s="165">
        <f t="shared" ref="M198:M261" si="16">IF(I198&lt;&gt;"",K198+I198+L198,0)</f>
        <v>0</v>
      </c>
    </row>
    <row r="199" spans="1:13" x14ac:dyDescent="0.25">
      <c r="A199" s="180"/>
      <c r="G199" s="151"/>
      <c r="H199" s="163">
        <v>194</v>
      </c>
      <c r="I199" s="164" t="str">
        <f t="shared" si="14"/>
        <v/>
      </c>
      <c r="J199" s="163">
        <f t="shared" ref="J199:J262" si="17">INT(LOG($H$2,2))-ROUNDUP(LOG(H199,2),0)+IF(OR($H$2=1,$H$2=2,$H$2=4,$H$2=8,$H$2=16,$H$2=32,$H$2=64,$H$2=128,$H$2=256),0,1)</f>
        <v>-3</v>
      </c>
      <c r="K199" s="163">
        <f t="shared" si="15"/>
        <v>-30</v>
      </c>
      <c r="L199" s="163"/>
      <c r="M199" s="165">
        <f t="shared" si="16"/>
        <v>0</v>
      </c>
    </row>
    <row r="200" spans="1:13" x14ac:dyDescent="0.25">
      <c r="A200" s="180"/>
      <c r="G200" s="151"/>
      <c r="H200" s="163">
        <v>195</v>
      </c>
      <c r="I200" s="164" t="str">
        <f t="shared" si="14"/>
        <v/>
      </c>
      <c r="J200" s="163">
        <f t="shared" si="17"/>
        <v>-3</v>
      </c>
      <c r="K200" s="163">
        <f t="shared" si="15"/>
        <v>-30</v>
      </c>
      <c r="L200" s="163"/>
      <c r="M200" s="165">
        <f t="shared" si="16"/>
        <v>0</v>
      </c>
    </row>
    <row r="201" spans="1:13" x14ac:dyDescent="0.25">
      <c r="A201" s="180"/>
      <c r="G201" s="151"/>
      <c r="H201" s="163">
        <v>196</v>
      </c>
      <c r="I201" s="164" t="str">
        <f t="shared" si="14"/>
        <v/>
      </c>
      <c r="J201" s="163">
        <f t="shared" si="17"/>
        <v>-3</v>
      </c>
      <c r="K201" s="163">
        <f t="shared" si="15"/>
        <v>-30</v>
      </c>
      <c r="L201" s="163"/>
      <c r="M201" s="165">
        <f t="shared" si="16"/>
        <v>0</v>
      </c>
    </row>
    <row r="202" spans="1:13" x14ac:dyDescent="0.25">
      <c r="A202" s="180"/>
      <c r="G202" s="151"/>
      <c r="H202" s="163">
        <v>197</v>
      </c>
      <c r="I202" s="164" t="str">
        <f t="shared" si="14"/>
        <v/>
      </c>
      <c r="J202" s="163">
        <f t="shared" si="17"/>
        <v>-3</v>
      </c>
      <c r="K202" s="163">
        <f t="shared" si="15"/>
        <v>-30</v>
      </c>
      <c r="L202" s="163"/>
      <c r="M202" s="165">
        <f t="shared" si="16"/>
        <v>0</v>
      </c>
    </row>
    <row r="203" spans="1:13" x14ac:dyDescent="0.25">
      <c r="A203" s="180"/>
      <c r="G203" s="151"/>
      <c r="H203" s="163">
        <v>198</v>
      </c>
      <c r="I203" s="164" t="str">
        <f t="shared" si="14"/>
        <v/>
      </c>
      <c r="J203" s="163">
        <f t="shared" si="17"/>
        <v>-3</v>
      </c>
      <c r="K203" s="163">
        <f t="shared" si="15"/>
        <v>-30</v>
      </c>
      <c r="L203" s="163"/>
      <c r="M203" s="165">
        <f t="shared" si="16"/>
        <v>0</v>
      </c>
    </row>
    <row r="204" spans="1:13" x14ac:dyDescent="0.25">
      <c r="A204" s="180"/>
      <c r="G204" s="151"/>
      <c r="H204" s="163">
        <v>199</v>
      </c>
      <c r="I204" s="164" t="str">
        <f t="shared" si="14"/>
        <v/>
      </c>
      <c r="J204" s="163">
        <f t="shared" si="17"/>
        <v>-3</v>
      </c>
      <c r="K204" s="163">
        <f t="shared" si="15"/>
        <v>-30</v>
      </c>
      <c r="L204" s="163"/>
      <c r="M204" s="165">
        <f t="shared" si="16"/>
        <v>0</v>
      </c>
    </row>
    <row r="205" spans="1:13" x14ac:dyDescent="0.25">
      <c r="A205" s="180"/>
      <c r="G205" s="151"/>
      <c r="H205" s="163">
        <v>200</v>
      </c>
      <c r="I205" s="164" t="str">
        <f t="shared" si="14"/>
        <v/>
      </c>
      <c r="J205" s="163">
        <f t="shared" si="17"/>
        <v>-3</v>
      </c>
      <c r="K205" s="163">
        <f t="shared" si="15"/>
        <v>-30</v>
      </c>
      <c r="L205" s="163"/>
      <c r="M205" s="165">
        <f t="shared" si="16"/>
        <v>0</v>
      </c>
    </row>
    <row r="206" spans="1:13" x14ac:dyDescent="0.25">
      <c r="A206" s="180"/>
      <c r="G206" s="151"/>
      <c r="H206" s="163">
        <v>201</v>
      </c>
      <c r="I206" s="164" t="str">
        <f t="shared" si="14"/>
        <v/>
      </c>
      <c r="J206" s="163">
        <f t="shared" si="17"/>
        <v>-3</v>
      </c>
      <c r="K206" s="163">
        <f t="shared" si="15"/>
        <v>-30</v>
      </c>
      <c r="L206" s="163"/>
      <c r="M206" s="165">
        <f t="shared" si="16"/>
        <v>0</v>
      </c>
    </row>
    <row r="207" spans="1:13" x14ac:dyDescent="0.25">
      <c r="A207" s="180"/>
      <c r="G207" s="151"/>
      <c r="H207" s="163">
        <v>202</v>
      </c>
      <c r="I207" s="164" t="str">
        <f t="shared" si="14"/>
        <v/>
      </c>
      <c r="J207" s="163">
        <f t="shared" si="17"/>
        <v>-3</v>
      </c>
      <c r="K207" s="163">
        <f t="shared" si="15"/>
        <v>-30</v>
      </c>
      <c r="L207" s="163"/>
      <c r="M207" s="165">
        <f t="shared" si="16"/>
        <v>0</v>
      </c>
    </row>
    <row r="208" spans="1:13" x14ac:dyDescent="0.25">
      <c r="A208" s="180"/>
      <c r="G208" s="151"/>
      <c r="H208" s="163">
        <v>203</v>
      </c>
      <c r="I208" s="164" t="str">
        <f t="shared" si="14"/>
        <v/>
      </c>
      <c r="J208" s="163">
        <f t="shared" si="17"/>
        <v>-3</v>
      </c>
      <c r="K208" s="163">
        <f t="shared" si="15"/>
        <v>-30</v>
      </c>
      <c r="L208" s="163"/>
      <c r="M208" s="165">
        <f t="shared" si="16"/>
        <v>0</v>
      </c>
    </row>
    <row r="209" spans="1:13" x14ac:dyDescent="0.25">
      <c r="A209" s="180"/>
      <c r="G209" s="151"/>
      <c r="H209" s="163">
        <v>204</v>
      </c>
      <c r="I209" s="164" t="str">
        <f t="shared" si="14"/>
        <v/>
      </c>
      <c r="J209" s="163">
        <f t="shared" si="17"/>
        <v>-3</v>
      </c>
      <c r="K209" s="163">
        <f t="shared" si="15"/>
        <v>-30</v>
      </c>
      <c r="L209" s="163"/>
      <c r="M209" s="165">
        <f t="shared" si="16"/>
        <v>0</v>
      </c>
    </row>
    <row r="210" spans="1:13" x14ac:dyDescent="0.25">
      <c r="A210" s="180"/>
      <c r="G210" s="151"/>
      <c r="H210" s="163">
        <v>205</v>
      </c>
      <c r="I210" s="164" t="str">
        <f t="shared" si="14"/>
        <v/>
      </c>
      <c r="J210" s="163">
        <f t="shared" si="17"/>
        <v>-3</v>
      </c>
      <c r="K210" s="163">
        <f t="shared" si="15"/>
        <v>-30</v>
      </c>
      <c r="L210" s="163"/>
      <c r="M210" s="165">
        <f t="shared" si="16"/>
        <v>0</v>
      </c>
    </row>
    <row r="211" spans="1:13" x14ac:dyDescent="0.25">
      <c r="A211" s="180"/>
      <c r="G211" s="151"/>
      <c r="H211" s="163">
        <v>206</v>
      </c>
      <c r="I211" s="164" t="str">
        <f t="shared" si="14"/>
        <v/>
      </c>
      <c r="J211" s="163">
        <f t="shared" si="17"/>
        <v>-3</v>
      </c>
      <c r="K211" s="163">
        <f t="shared" si="15"/>
        <v>-30</v>
      </c>
      <c r="L211" s="163"/>
      <c r="M211" s="165">
        <f t="shared" si="16"/>
        <v>0</v>
      </c>
    </row>
    <row r="212" spans="1:13" x14ac:dyDescent="0.25">
      <c r="A212" s="180"/>
      <c r="G212" s="151"/>
      <c r="H212" s="163">
        <v>207</v>
      </c>
      <c r="I212" s="164" t="str">
        <f t="shared" si="14"/>
        <v/>
      </c>
      <c r="J212" s="163">
        <f t="shared" si="17"/>
        <v>-3</v>
      </c>
      <c r="K212" s="163">
        <f t="shared" si="15"/>
        <v>-30</v>
      </c>
      <c r="L212" s="163"/>
      <c r="M212" s="165">
        <f t="shared" si="16"/>
        <v>0</v>
      </c>
    </row>
    <row r="213" spans="1:13" x14ac:dyDescent="0.25">
      <c r="A213" s="180"/>
      <c r="G213" s="151"/>
      <c r="H213" s="163">
        <v>208</v>
      </c>
      <c r="I213" s="164" t="str">
        <f t="shared" si="14"/>
        <v/>
      </c>
      <c r="J213" s="163">
        <f t="shared" si="17"/>
        <v>-3</v>
      </c>
      <c r="K213" s="163">
        <f t="shared" si="15"/>
        <v>-30</v>
      </c>
      <c r="L213" s="163"/>
      <c r="M213" s="165">
        <f t="shared" si="16"/>
        <v>0</v>
      </c>
    </row>
    <row r="214" spans="1:13" x14ac:dyDescent="0.25">
      <c r="A214" s="180"/>
      <c r="G214" s="151"/>
      <c r="H214" s="163">
        <v>209</v>
      </c>
      <c r="I214" s="164" t="str">
        <f t="shared" si="14"/>
        <v/>
      </c>
      <c r="J214" s="163">
        <f t="shared" si="17"/>
        <v>-3</v>
      </c>
      <c r="K214" s="163">
        <f t="shared" si="15"/>
        <v>-30</v>
      </c>
      <c r="L214" s="163"/>
      <c r="M214" s="165">
        <f t="shared" si="16"/>
        <v>0</v>
      </c>
    </row>
    <row r="215" spans="1:13" x14ac:dyDescent="0.25">
      <c r="A215" s="180"/>
      <c r="G215" s="151"/>
      <c r="H215" s="163">
        <v>210</v>
      </c>
      <c r="I215" s="164" t="str">
        <f t="shared" si="14"/>
        <v/>
      </c>
      <c r="J215" s="163">
        <f t="shared" si="17"/>
        <v>-3</v>
      </c>
      <c r="K215" s="163">
        <f t="shared" si="15"/>
        <v>-30</v>
      </c>
      <c r="L215" s="163"/>
      <c r="M215" s="165">
        <f t="shared" si="16"/>
        <v>0</v>
      </c>
    </row>
    <row r="216" spans="1:13" x14ac:dyDescent="0.25">
      <c r="A216" s="180"/>
      <c r="G216" s="151"/>
      <c r="H216" s="163">
        <v>211</v>
      </c>
      <c r="I216" s="164" t="str">
        <f t="shared" si="14"/>
        <v/>
      </c>
      <c r="J216" s="163">
        <f t="shared" si="17"/>
        <v>-3</v>
      </c>
      <c r="K216" s="163">
        <f t="shared" si="15"/>
        <v>-30</v>
      </c>
      <c r="L216" s="163"/>
      <c r="M216" s="165">
        <f t="shared" si="16"/>
        <v>0</v>
      </c>
    </row>
    <row r="217" spans="1:13" x14ac:dyDescent="0.25">
      <c r="A217" s="180"/>
      <c r="G217" s="151"/>
      <c r="H217" s="163">
        <v>212</v>
      </c>
      <c r="I217" s="164" t="str">
        <f t="shared" si="14"/>
        <v/>
      </c>
      <c r="J217" s="163">
        <f t="shared" si="17"/>
        <v>-3</v>
      </c>
      <c r="K217" s="163">
        <f t="shared" si="15"/>
        <v>-30</v>
      </c>
      <c r="L217" s="163"/>
      <c r="M217" s="165">
        <f t="shared" si="16"/>
        <v>0</v>
      </c>
    </row>
    <row r="218" spans="1:13" x14ac:dyDescent="0.25">
      <c r="A218" s="180"/>
      <c r="G218" s="151"/>
      <c r="H218" s="163">
        <v>213</v>
      </c>
      <c r="I218" s="164" t="str">
        <f t="shared" si="14"/>
        <v/>
      </c>
      <c r="J218" s="163">
        <f t="shared" si="17"/>
        <v>-3</v>
      </c>
      <c r="K218" s="163">
        <f t="shared" si="15"/>
        <v>-30</v>
      </c>
      <c r="L218" s="163"/>
      <c r="M218" s="165">
        <f t="shared" si="16"/>
        <v>0</v>
      </c>
    </row>
    <row r="219" spans="1:13" x14ac:dyDescent="0.25">
      <c r="A219" s="180"/>
      <c r="G219" s="151"/>
      <c r="H219" s="163">
        <v>214</v>
      </c>
      <c r="I219" s="164" t="str">
        <f t="shared" si="14"/>
        <v/>
      </c>
      <c r="J219" s="163">
        <f t="shared" si="17"/>
        <v>-3</v>
      </c>
      <c r="K219" s="163">
        <f t="shared" si="15"/>
        <v>-30</v>
      </c>
      <c r="L219" s="163"/>
      <c r="M219" s="165">
        <f t="shared" si="16"/>
        <v>0</v>
      </c>
    </row>
    <row r="220" spans="1:13" x14ac:dyDescent="0.25">
      <c r="A220" s="180"/>
      <c r="G220" s="151"/>
      <c r="H220" s="163">
        <v>215</v>
      </c>
      <c r="I220" s="164" t="str">
        <f t="shared" si="14"/>
        <v/>
      </c>
      <c r="J220" s="163">
        <f t="shared" si="17"/>
        <v>-3</v>
      </c>
      <c r="K220" s="163">
        <f t="shared" si="15"/>
        <v>-30</v>
      </c>
      <c r="L220" s="163"/>
      <c r="M220" s="165">
        <f t="shared" si="16"/>
        <v>0</v>
      </c>
    </row>
    <row r="221" spans="1:13" x14ac:dyDescent="0.25">
      <c r="A221" s="180"/>
      <c r="G221" s="151"/>
      <c r="H221" s="163">
        <v>216</v>
      </c>
      <c r="I221" s="164" t="str">
        <f t="shared" si="14"/>
        <v/>
      </c>
      <c r="J221" s="163">
        <f t="shared" si="17"/>
        <v>-3</v>
      </c>
      <c r="K221" s="163">
        <f t="shared" si="15"/>
        <v>-30</v>
      </c>
      <c r="L221" s="163"/>
      <c r="M221" s="165">
        <f t="shared" si="16"/>
        <v>0</v>
      </c>
    </row>
    <row r="222" spans="1:13" x14ac:dyDescent="0.25">
      <c r="A222" s="180"/>
      <c r="G222" s="151"/>
      <c r="H222" s="163">
        <v>217</v>
      </c>
      <c r="I222" s="164" t="str">
        <f t="shared" si="14"/>
        <v/>
      </c>
      <c r="J222" s="163">
        <f t="shared" si="17"/>
        <v>-3</v>
      </c>
      <c r="K222" s="163">
        <f t="shared" si="15"/>
        <v>-30</v>
      </c>
      <c r="L222" s="163"/>
      <c r="M222" s="165">
        <f t="shared" si="16"/>
        <v>0</v>
      </c>
    </row>
    <row r="223" spans="1:13" x14ac:dyDescent="0.25">
      <c r="A223" s="180"/>
      <c r="G223" s="151"/>
      <c r="H223" s="163">
        <v>218</v>
      </c>
      <c r="I223" s="164" t="str">
        <f t="shared" si="14"/>
        <v/>
      </c>
      <c r="J223" s="163">
        <f t="shared" si="17"/>
        <v>-3</v>
      </c>
      <c r="K223" s="163">
        <f t="shared" si="15"/>
        <v>-30</v>
      </c>
      <c r="L223" s="163"/>
      <c r="M223" s="165">
        <f t="shared" si="16"/>
        <v>0</v>
      </c>
    </row>
    <row r="224" spans="1:13" x14ac:dyDescent="0.25">
      <c r="A224" s="180"/>
      <c r="G224" s="151"/>
      <c r="H224" s="163">
        <v>219</v>
      </c>
      <c r="I224" s="164" t="str">
        <f t="shared" si="14"/>
        <v/>
      </c>
      <c r="J224" s="163">
        <f t="shared" si="17"/>
        <v>-3</v>
      </c>
      <c r="K224" s="163">
        <f t="shared" si="15"/>
        <v>-30</v>
      </c>
      <c r="L224" s="163"/>
      <c r="M224" s="165">
        <f t="shared" si="16"/>
        <v>0</v>
      </c>
    </row>
    <row r="225" spans="1:13" x14ac:dyDescent="0.25">
      <c r="A225" s="180"/>
      <c r="G225" s="151"/>
      <c r="H225" s="163">
        <v>220</v>
      </c>
      <c r="I225" s="164" t="str">
        <f t="shared" si="14"/>
        <v/>
      </c>
      <c r="J225" s="163">
        <f t="shared" si="17"/>
        <v>-3</v>
      </c>
      <c r="K225" s="163">
        <f t="shared" si="15"/>
        <v>-30</v>
      </c>
      <c r="L225" s="163"/>
      <c r="M225" s="165">
        <f t="shared" si="16"/>
        <v>0</v>
      </c>
    </row>
    <row r="226" spans="1:13" x14ac:dyDescent="0.25">
      <c r="A226" s="180"/>
      <c r="G226" s="151"/>
      <c r="H226" s="163">
        <v>221</v>
      </c>
      <c r="I226" s="164" t="str">
        <f t="shared" si="14"/>
        <v/>
      </c>
      <c r="J226" s="163">
        <f t="shared" si="17"/>
        <v>-3</v>
      </c>
      <c r="K226" s="163">
        <f t="shared" si="15"/>
        <v>-30</v>
      </c>
      <c r="L226" s="163"/>
      <c r="M226" s="165">
        <f t="shared" si="16"/>
        <v>0</v>
      </c>
    </row>
    <row r="227" spans="1:13" x14ac:dyDescent="0.25">
      <c r="A227" s="180"/>
      <c r="G227" s="151"/>
      <c r="H227" s="163">
        <v>222</v>
      </c>
      <c r="I227" s="164" t="str">
        <f t="shared" si="14"/>
        <v/>
      </c>
      <c r="J227" s="163">
        <f t="shared" si="17"/>
        <v>-3</v>
      </c>
      <c r="K227" s="163">
        <f t="shared" si="15"/>
        <v>-30</v>
      </c>
      <c r="L227" s="163"/>
      <c r="M227" s="165">
        <f t="shared" si="16"/>
        <v>0</v>
      </c>
    </row>
    <row r="228" spans="1:13" x14ac:dyDescent="0.25">
      <c r="A228" s="180"/>
      <c r="G228" s="151"/>
      <c r="H228" s="163">
        <v>223</v>
      </c>
      <c r="I228" s="164" t="str">
        <f t="shared" si="14"/>
        <v/>
      </c>
      <c r="J228" s="163">
        <f t="shared" si="17"/>
        <v>-3</v>
      </c>
      <c r="K228" s="163">
        <f t="shared" si="15"/>
        <v>-30</v>
      </c>
      <c r="L228" s="163"/>
      <c r="M228" s="165">
        <f t="shared" si="16"/>
        <v>0</v>
      </c>
    </row>
    <row r="229" spans="1:13" x14ac:dyDescent="0.25">
      <c r="A229" s="180"/>
      <c r="G229" s="151"/>
      <c r="H229" s="163">
        <v>224</v>
      </c>
      <c r="I229" s="164" t="str">
        <f t="shared" si="14"/>
        <v/>
      </c>
      <c r="J229" s="163">
        <f t="shared" si="17"/>
        <v>-3</v>
      </c>
      <c r="K229" s="163">
        <f t="shared" si="15"/>
        <v>-30</v>
      </c>
      <c r="L229" s="163"/>
      <c r="M229" s="165">
        <f t="shared" si="16"/>
        <v>0</v>
      </c>
    </row>
    <row r="230" spans="1:13" x14ac:dyDescent="0.25">
      <c r="A230" s="180"/>
      <c r="G230" s="151"/>
      <c r="H230" s="163">
        <v>225</v>
      </c>
      <c r="I230" s="164" t="str">
        <f t="shared" si="14"/>
        <v/>
      </c>
      <c r="J230" s="163">
        <f t="shared" si="17"/>
        <v>-3</v>
      </c>
      <c r="K230" s="163">
        <f t="shared" si="15"/>
        <v>-30</v>
      </c>
      <c r="L230" s="163"/>
      <c r="M230" s="165">
        <f t="shared" si="16"/>
        <v>0</v>
      </c>
    </row>
    <row r="231" spans="1:13" x14ac:dyDescent="0.25">
      <c r="A231" s="180"/>
      <c r="G231" s="151"/>
      <c r="H231" s="163">
        <v>226</v>
      </c>
      <c r="I231" s="164" t="str">
        <f t="shared" si="14"/>
        <v/>
      </c>
      <c r="J231" s="163">
        <f t="shared" si="17"/>
        <v>-3</v>
      </c>
      <c r="K231" s="163">
        <f t="shared" si="15"/>
        <v>-30</v>
      </c>
      <c r="L231" s="163"/>
      <c r="M231" s="165">
        <f t="shared" si="16"/>
        <v>0</v>
      </c>
    </row>
    <row r="232" spans="1:13" x14ac:dyDescent="0.25">
      <c r="A232" s="180"/>
      <c r="G232" s="151"/>
      <c r="H232" s="163">
        <v>227</v>
      </c>
      <c r="I232" s="164" t="str">
        <f t="shared" si="14"/>
        <v/>
      </c>
      <c r="J232" s="163">
        <f t="shared" si="17"/>
        <v>-3</v>
      </c>
      <c r="K232" s="163">
        <f t="shared" si="15"/>
        <v>-30</v>
      </c>
      <c r="L232" s="163"/>
      <c r="M232" s="165">
        <f t="shared" si="16"/>
        <v>0</v>
      </c>
    </row>
    <row r="233" spans="1:13" x14ac:dyDescent="0.25">
      <c r="A233" s="180"/>
      <c r="G233" s="151"/>
      <c r="H233" s="163">
        <v>228</v>
      </c>
      <c r="I233" s="164" t="str">
        <f t="shared" si="14"/>
        <v/>
      </c>
      <c r="J233" s="163">
        <f t="shared" si="17"/>
        <v>-3</v>
      </c>
      <c r="K233" s="163">
        <f t="shared" si="15"/>
        <v>-30</v>
      </c>
      <c r="L233" s="163"/>
      <c r="M233" s="165">
        <f t="shared" si="16"/>
        <v>0</v>
      </c>
    </row>
    <row r="234" spans="1:13" x14ac:dyDescent="0.25">
      <c r="A234" s="180"/>
      <c r="G234" s="151"/>
      <c r="H234" s="163">
        <v>229</v>
      </c>
      <c r="I234" s="164" t="str">
        <f t="shared" si="14"/>
        <v/>
      </c>
      <c r="J234" s="163">
        <f t="shared" si="17"/>
        <v>-3</v>
      </c>
      <c r="K234" s="163">
        <f t="shared" si="15"/>
        <v>-30</v>
      </c>
      <c r="L234" s="163"/>
      <c r="M234" s="165">
        <f t="shared" si="16"/>
        <v>0</v>
      </c>
    </row>
    <row r="235" spans="1:13" x14ac:dyDescent="0.25">
      <c r="A235" s="180"/>
      <c r="G235" s="151"/>
      <c r="H235" s="163">
        <v>230</v>
      </c>
      <c r="I235" s="164" t="str">
        <f t="shared" si="14"/>
        <v/>
      </c>
      <c r="J235" s="163">
        <f t="shared" si="17"/>
        <v>-3</v>
      </c>
      <c r="K235" s="163">
        <f t="shared" si="15"/>
        <v>-30</v>
      </c>
      <c r="L235" s="163"/>
      <c r="M235" s="165">
        <f t="shared" si="16"/>
        <v>0</v>
      </c>
    </row>
    <row r="236" spans="1:13" x14ac:dyDescent="0.25">
      <c r="A236" s="180"/>
      <c r="G236" s="151"/>
      <c r="H236" s="163">
        <v>231</v>
      </c>
      <c r="I236" s="164" t="str">
        <f t="shared" si="14"/>
        <v/>
      </c>
      <c r="J236" s="163">
        <f t="shared" si="17"/>
        <v>-3</v>
      </c>
      <c r="K236" s="163">
        <f t="shared" si="15"/>
        <v>-30</v>
      </c>
      <c r="L236" s="163"/>
      <c r="M236" s="165">
        <f t="shared" si="16"/>
        <v>0</v>
      </c>
    </row>
    <row r="237" spans="1:13" x14ac:dyDescent="0.25">
      <c r="A237" s="180"/>
      <c r="G237" s="151"/>
      <c r="H237" s="163">
        <v>232</v>
      </c>
      <c r="I237" s="164" t="str">
        <f t="shared" si="14"/>
        <v/>
      </c>
      <c r="J237" s="163">
        <f t="shared" si="17"/>
        <v>-3</v>
      </c>
      <c r="K237" s="163">
        <f t="shared" si="15"/>
        <v>-30</v>
      </c>
      <c r="L237" s="163"/>
      <c r="M237" s="165">
        <f t="shared" si="16"/>
        <v>0</v>
      </c>
    </row>
    <row r="238" spans="1:13" x14ac:dyDescent="0.25">
      <c r="A238" s="180"/>
      <c r="G238" s="151"/>
      <c r="H238" s="163">
        <v>233</v>
      </c>
      <c r="I238" s="164" t="str">
        <f t="shared" si="14"/>
        <v/>
      </c>
      <c r="J238" s="163">
        <f t="shared" si="17"/>
        <v>-3</v>
      </c>
      <c r="K238" s="163">
        <f t="shared" si="15"/>
        <v>-30</v>
      </c>
      <c r="L238" s="163"/>
      <c r="M238" s="165">
        <f t="shared" si="16"/>
        <v>0</v>
      </c>
    </row>
    <row r="239" spans="1:13" x14ac:dyDescent="0.25">
      <c r="A239" s="180"/>
      <c r="G239" s="151"/>
      <c r="H239" s="163">
        <v>234</v>
      </c>
      <c r="I239" s="164" t="str">
        <f t="shared" si="14"/>
        <v/>
      </c>
      <c r="J239" s="163">
        <f t="shared" si="17"/>
        <v>-3</v>
      </c>
      <c r="K239" s="163">
        <f t="shared" si="15"/>
        <v>-30</v>
      </c>
      <c r="L239" s="163"/>
      <c r="M239" s="165">
        <f t="shared" si="16"/>
        <v>0</v>
      </c>
    </row>
    <row r="240" spans="1:13" x14ac:dyDescent="0.25">
      <c r="A240" s="180"/>
      <c r="G240" s="151"/>
      <c r="H240" s="163">
        <v>235</v>
      </c>
      <c r="I240" s="164" t="str">
        <f t="shared" si="14"/>
        <v/>
      </c>
      <c r="J240" s="163">
        <f t="shared" si="17"/>
        <v>-3</v>
      </c>
      <c r="K240" s="163">
        <f t="shared" si="15"/>
        <v>-30</v>
      </c>
      <c r="L240" s="163"/>
      <c r="M240" s="165">
        <f t="shared" si="16"/>
        <v>0</v>
      </c>
    </row>
    <row r="241" spans="1:13" x14ac:dyDescent="0.25">
      <c r="A241" s="180"/>
      <c r="G241" s="151"/>
      <c r="H241" s="163">
        <v>236</v>
      </c>
      <c r="I241" s="164" t="str">
        <f t="shared" si="14"/>
        <v/>
      </c>
      <c r="J241" s="163">
        <f t="shared" si="17"/>
        <v>-3</v>
      </c>
      <c r="K241" s="163">
        <f t="shared" si="15"/>
        <v>-30</v>
      </c>
      <c r="L241" s="163"/>
      <c r="M241" s="165">
        <f t="shared" si="16"/>
        <v>0</v>
      </c>
    </row>
    <row r="242" spans="1:13" x14ac:dyDescent="0.25">
      <c r="A242" s="180"/>
      <c r="G242" s="151"/>
      <c r="H242" s="163">
        <v>237</v>
      </c>
      <c r="I242" s="164" t="str">
        <f t="shared" si="14"/>
        <v/>
      </c>
      <c r="J242" s="163">
        <f t="shared" si="17"/>
        <v>-3</v>
      </c>
      <c r="K242" s="163">
        <f t="shared" si="15"/>
        <v>-30</v>
      </c>
      <c r="L242" s="163"/>
      <c r="M242" s="165">
        <f t="shared" si="16"/>
        <v>0</v>
      </c>
    </row>
    <row r="243" spans="1:13" x14ac:dyDescent="0.25">
      <c r="A243" s="180"/>
      <c r="G243" s="151"/>
      <c r="H243" s="163">
        <v>238</v>
      </c>
      <c r="I243" s="164" t="str">
        <f t="shared" si="14"/>
        <v/>
      </c>
      <c r="J243" s="163">
        <f t="shared" si="17"/>
        <v>-3</v>
      </c>
      <c r="K243" s="163">
        <f t="shared" si="15"/>
        <v>-30</v>
      </c>
      <c r="L243" s="163"/>
      <c r="M243" s="165">
        <f t="shared" si="16"/>
        <v>0</v>
      </c>
    </row>
    <row r="244" spans="1:13" x14ac:dyDescent="0.25">
      <c r="A244" s="180"/>
      <c r="G244" s="151"/>
      <c r="H244" s="163">
        <v>239</v>
      </c>
      <c r="I244" s="164" t="str">
        <f t="shared" si="14"/>
        <v/>
      </c>
      <c r="J244" s="163">
        <f t="shared" si="17"/>
        <v>-3</v>
      </c>
      <c r="K244" s="163">
        <f t="shared" si="15"/>
        <v>-30</v>
      </c>
      <c r="L244" s="163"/>
      <c r="M244" s="165">
        <f t="shared" si="16"/>
        <v>0</v>
      </c>
    </row>
    <row r="245" spans="1:13" x14ac:dyDescent="0.25">
      <c r="A245" s="180"/>
      <c r="G245" s="151"/>
      <c r="H245" s="163">
        <v>240</v>
      </c>
      <c r="I245" s="164" t="str">
        <f t="shared" si="14"/>
        <v/>
      </c>
      <c r="J245" s="163">
        <f t="shared" si="17"/>
        <v>-3</v>
      </c>
      <c r="K245" s="163">
        <f t="shared" si="15"/>
        <v>-30</v>
      </c>
      <c r="L245" s="163"/>
      <c r="M245" s="165">
        <f t="shared" si="16"/>
        <v>0</v>
      </c>
    </row>
    <row r="246" spans="1:13" x14ac:dyDescent="0.25">
      <c r="A246" s="180"/>
      <c r="G246" s="151"/>
      <c r="H246" s="163">
        <v>241</v>
      </c>
      <c r="I246" s="164" t="str">
        <f t="shared" si="14"/>
        <v/>
      </c>
      <c r="J246" s="163">
        <f t="shared" si="17"/>
        <v>-3</v>
      </c>
      <c r="K246" s="163">
        <f t="shared" si="15"/>
        <v>-30</v>
      </c>
      <c r="L246" s="163"/>
      <c r="M246" s="165">
        <f t="shared" si="16"/>
        <v>0</v>
      </c>
    </row>
    <row r="247" spans="1:13" x14ac:dyDescent="0.25">
      <c r="A247" s="180"/>
      <c r="G247" s="151"/>
      <c r="H247" s="163">
        <v>242</v>
      </c>
      <c r="I247" s="164" t="str">
        <f t="shared" si="14"/>
        <v/>
      </c>
      <c r="J247" s="163">
        <f t="shared" si="17"/>
        <v>-3</v>
      </c>
      <c r="K247" s="163">
        <f t="shared" si="15"/>
        <v>-30</v>
      </c>
      <c r="L247" s="163"/>
      <c r="M247" s="165">
        <f t="shared" si="16"/>
        <v>0</v>
      </c>
    </row>
    <row r="248" spans="1:13" x14ac:dyDescent="0.25">
      <c r="A248" s="180"/>
      <c r="G248" s="151"/>
      <c r="H248" s="163">
        <v>243</v>
      </c>
      <c r="I248" s="164" t="str">
        <f t="shared" si="14"/>
        <v/>
      </c>
      <c r="J248" s="163">
        <f t="shared" si="17"/>
        <v>-3</v>
      </c>
      <c r="K248" s="163">
        <f t="shared" si="15"/>
        <v>-30</v>
      </c>
      <c r="L248" s="163"/>
      <c r="M248" s="165">
        <f t="shared" si="16"/>
        <v>0</v>
      </c>
    </row>
    <row r="249" spans="1:13" x14ac:dyDescent="0.25">
      <c r="A249" s="180"/>
      <c r="G249" s="151"/>
      <c r="H249" s="163">
        <v>244</v>
      </c>
      <c r="I249" s="164" t="str">
        <f t="shared" si="14"/>
        <v/>
      </c>
      <c r="J249" s="163">
        <f t="shared" si="17"/>
        <v>-3</v>
      </c>
      <c r="K249" s="163">
        <f t="shared" si="15"/>
        <v>-30</v>
      </c>
      <c r="L249" s="163"/>
      <c r="M249" s="165">
        <f t="shared" si="16"/>
        <v>0</v>
      </c>
    </row>
    <row r="250" spans="1:13" x14ac:dyDescent="0.25">
      <c r="A250" s="180"/>
      <c r="G250" s="151"/>
      <c r="H250" s="163">
        <v>245</v>
      </c>
      <c r="I250" s="164" t="str">
        <f t="shared" si="14"/>
        <v/>
      </c>
      <c r="J250" s="163">
        <f t="shared" si="17"/>
        <v>-3</v>
      </c>
      <c r="K250" s="163">
        <f t="shared" si="15"/>
        <v>-30</v>
      </c>
      <c r="L250" s="163"/>
      <c r="M250" s="165">
        <f t="shared" si="16"/>
        <v>0</v>
      </c>
    </row>
    <row r="251" spans="1:13" x14ac:dyDescent="0.25">
      <c r="A251" s="180"/>
      <c r="G251" s="151"/>
      <c r="H251" s="163">
        <v>246</v>
      </c>
      <c r="I251" s="164" t="str">
        <f t="shared" si="14"/>
        <v/>
      </c>
      <c r="J251" s="163">
        <f t="shared" si="17"/>
        <v>-3</v>
      </c>
      <c r="K251" s="163">
        <f t="shared" si="15"/>
        <v>-30</v>
      </c>
      <c r="L251" s="163"/>
      <c r="M251" s="165">
        <f t="shared" si="16"/>
        <v>0</v>
      </c>
    </row>
    <row r="252" spans="1:13" x14ac:dyDescent="0.25">
      <c r="A252" s="180"/>
      <c r="G252" s="151"/>
      <c r="H252" s="163">
        <v>247</v>
      </c>
      <c r="I252" s="164" t="str">
        <f t="shared" si="14"/>
        <v/>
      </c>
      <c r="J252" s="163">
        <f t="shared" si="17"/>
        <v>-3</v>
      </c>
      <c r="K252" s="163">
        <f t="shared" si="15"/>
        <v>-30</v>
      </c>
      <c r="L252" s="163"/>
      <c r="M252" s="165">
        <f t="shared" si="16"/>
        <v>0</v>
      </c>
    </row>
    <row r="253" spans="1:13" x14ac:dyDescent="0.25">
      <c r="A253" s="180"/>
      <c r="G253" s="151"/>
      <c r="H253" s="163">
        <v>248</v>
      </c>
      <c r="I253" s="164" t="str">
        <f t="shared" si="14"/>
        <v/>
      </c>
      <c r="J253" s="163">
        <f t="shared" si="17"/>
        <v>-3</v>
      </c>
      <c r="K253" s="163">
        <f t="shared" si="15"/>
        <v>-30</v>
      </c>
      <c r="L253" s="163"/>
      <c r="M253" s="165">
        <f t="shared" si="16"/>
        <v>0</v>
      </c>
    </row>
    <row r="254" spans="1:13" x14ac:dyDescent="0.25">
      <c r="A254" s="180"/>
      <c r="G254" s="151"/>
      <c r="H254" s="163">
        <v>249</v>
      </c>
      <c r="I254" s="164" t="str">
        <f t="shared" si="14"/>
        <v/>
      </c>
      <c r="J254" s="163">
        <f t="shared" si="17"/>
        <v>-3</v>
      </c>
      <c r="K254" s="163">
        <f t="shared" si="15"/>
        <v>-30</v>
      </c>
      <c r="L254" s="163"/>
      <c r="M254" s="165">
        <f t="shared" si="16"/>
        <v>0</v>
      </c>
    </row>
    <row r="255" spans="1:13" x14ac:dyDescent="0.25">
      <c r="A255" s="180"/>
      <c r="G255" s="151"/>
      <c r="H255" s="163">
        <v>250</v>
      </c>
      <c r="I255" s="164" t="str">
        <f t="shared" si="14"/>
        <v/>
      </c>
      <c r="J255" s="163">
        <f t="shared" si="17"/>
        <v>-3</v>
      </c>
      <c r="K255" s="163">
        <f t="shared" si="15"/>
        <v>-30</v>
      </c>
      <c r="L255" s="163"/>
      <c r="M255" s="165">
        <f t="shared" si="16"/>
        <v>0</v>
      </c>
    </row>
    <row r="256" spans="1:13" x14ac:dyDescent="0.25">
      <c r="A256" s="180"/>
      <c r="G256" s="151"/>
      <c r="H256" s="163">
        <v>251</v>
      </c>
      <c r="I256" s="164" t="str">
        <f t="shared" si="14"/>
        <v/>
      </c>
      <c r="J256" s="163">
        <f t="shared" si="17"/>
        <v>-3</v>
      </c>
      <c r="K256" s="163">
        <f t="shared" si="15"/>
        <v>-30</v>
      </c>
      <c r="L256" s="163"/>
      <c r="M256" s="165">
        <f t="shared" si="16"/>
        <v>0</v>
      </c>
    </row>
    <row r="257" spans="1:13" x14ac:dyDescent="0.25">
      <c r="A257" s="180"/>
      <c r="G257" s="151"/>
      <c r="H257" s="163">
        <v>252</v>
      </c>
      <c r="I257" s="164" t="str">
        <f t="shared" si="14"/>
        <v/>
      </c>
      <c r="J257" s="163">
        <f t="shared" si="17"/>
        <v>-3</v>
      </c>
      <c r="K257" s="163">
        <f t="shared" si="15"/>
        <v>-30</v>
      </c>
      <c r="L257" s="163"/>
      <c r="M257" s="165">
        <f t="shared" si="16"/>
        <v>0</v>
      </c>
    </row>
    <row r="258" spans="1:13" x14ac:dyDescent="0.25">
      <c r="A258" s="180"/>
      <c r="G258" s="151"/>
      <c r="H258" s="163">
        <v>253</v>
      </c>
      <c r="I258" s="164" t="str">
        <f t="shared" si="14"/>
        <v/>
      </c>
      <c r="J258" s="163">
        <f t="shared" si="17"/>
        <v>-3</v>
      </c>
      <c r="K258" s="163">
        <f t="shared" si="15"/>
        <v>-30</v>
      </c>
      <c r="L258" s="163"/>
      <c r="M258" s="165">
        <f t="shared" si="16"/>
        <v>0</v>
      </c>
    </row>
    <row r="259" spans="1:13" x14ac:dyDescent="0.25">
      <c r="A259" s="180"/>
      <c r="G259" s="151"/>
      <c r="H259" s="163">
        <v>254</v>
      </c>
      <c r="I259" s="164" t="str">
        <f t="shared" si="14"/>
        <v/>
      </c>
      <c r="J259" s="163">
        <f t="shared" si="17"/>
        <v>-3</v>
      </c>
      <c r="K259" s="163">
        <f t="shared" si="15"/>
        <v>-30</v>
      </c>
      <c r="L259" s="163"/>
      <c r="M259" s="165">
        <f t="shared" si="16"/>
        <v>0</v>
      </c>
    </row>
    <row r="260" spans="1:13" x14ac:dyDescent="0.25">
      <c r="A260" s="180"/>
      <c r="G260" s="151"/>
      <c r="H260" s="163">
        <v>255</v>
      </c>
      <c r="I260" s="164" t="str">
        <f t="shared" si="14"/>
        <v/>
      </c>
      <c r="J260" s="163">
        <f t="shared" si="17"/>
        <v>-3</v>
      </c>
      <c r="K260" s="163">
        <f t="shared" si="15"/>
        <v>-30</v>
      </c>
      <c r="L260" s="163"/>
      <c r="M260" s="165">
        <f t="shared" si="16"/>
        <v>0</v>
      </c>
    </row>
    <row r="261" spans="1:13" x14ac:dyDescent="0.25">
      <c r="A261" s="180"/>
      <c r="G261" s="151"/>
      <c r="H261" s="163">
        <v>256</v>
      </c>
      <c r="I261" s="164" t="str">
        <f t="shared" si="14"/>
        <v/>
      </c>
      <c r="J261" s="163">
        <f t="shared" si="17"/>
        <v>-3</v>
      </c>
      <c r="K261" s="163">
        <f t="shared" si="15"/>
        <v>-30</v>
      </c>
      <c r="L261" s="163"/>
      <c r="M261" s="165">
        <f t="shared" si="16"/>
        <v>0</v>
      </c>
    </row>
    <row r="262" spans="1:13" x14ac:dyDescent="0.25">
      <c r="A262" s="180"/>
      <c r="G262" s="151"/>
      <c r="H262" s="163">
        <v>257</v>
      </c>
      <c r="I262" s="164" t="str">
        <f t="shared" ref="I262:I305" si="18">IF(H262&lt;$H$2+1,($I$2-($I$2-1)*(LOG(H262)/LOG($H$2))),"")</f>
        <v/>
      </c>
      <c r="J262" s="163">
        <f t="shared" si="17"/>
        <v>-4</v>
      </c>
      <c r="K262" s="163">
        <f t="shared" ref="K262:K305" si="19">J262*$J$2</f>
        <v>-40</v>
      </c>
      <c r="L262" s="163"/>
      <c r="M262" s="165">
        <f t="shared" ref="M262:M305" si="20">IF(I262&lt;&gt;"",K262+I262+L262,0)</f>
        <v>0</v>
      </c>
    </row>
    <row r="263" spans="1:13" x14ac:dyDescent="0.25">
      <c r="A263" s="180"/>
      <c r="G263" s="151"/>
      <c r="H263" s="163">
        <v>258</v>
      </c>
      <c r="I263" s="164" t="str">
        <f t="shared" si="18"/>
        <v/>
      </c>
      <c r="J263" s="163">
        <f t="shared" ref="J263:J326" si="21">INT(LOG($H$2,2))-ROUNDUP(LOG(H263,2),0)+IF(OR($H$2=1,$H$2=2,$H$2=4,$H$2=8,$H$2=16,$H$2=32,$H$2=64,$H$2=128,$H$2=256),0,1)</f>
        <v>-4</v>
      </c>
      <c r="K263" s="163">
        <f t="shared" si="19"/>
        <v>-40</v>
      </c>
      <c r="L263" s="163"/>
      <c r="M263" s="165">
        <f t="shared" si="20"/>
        <v>0</v>
      </c>
    </row>
    <row r="264" spans="1:13" x14ac:dyDescent="0.25">
      <c r="A264" s="180"/>
      <c r="G264" s="151"/>
      <c r="H264" s="163">
        <v>259</v>
      </c>
      <c r="I264" s="164" t="str">
        <f t="shared" si="18"/>
        <v/>
      </c>
      <c r="J264" s="163">
        <f t="shared" si="21"/>
        <v>-4</v>
      </c>
      <c r="K264" s="163">
        <f t="shared" si="19"/>
        <v>-40</v>
      </c>
      <c r="L264" s="163"/>
      <c r="M264" s="165">
        <f t="shared" si="20"/>
        <v>0</v>
      </c>
    </row>
    <row r="265" spans="1:13" x14ac:dyDescent="0.25">
      <c r="A265" s="180"/>
      <c r="G265" s="151"/>
      <c r="H265" s="163">
        <v>260</v>
      </c>
      <c r="I265" s="164" t="str">
        <f t="shared" si="18"/>
        <v/>
      </c>
      <c r="J265" s="163">
        <f t="shared" si="21"/>
        <v>-4</v>
      </c>
      <c r="K265" s="163">
        <f t="shared" si="19"/>
        <v>-40</v>
      </c>
      <c r="L265" s="163"/>
      <c r="M265" s="165">
        <f t="shared" si="20"/>
        <v>0</v>
      </c>
    </row>
    <row r="266" spans="1:13" x14ac:dyDescent="0.25">
      <c r="A266" s="180"/>
      <c r="G266" s="151"/>
      <c r="H266" s="163">
        <v>261</v>
      </c>
      <c r="I266" s="164" t="str">
        <f t="shared" si="18"/>
        <v/>
      </c>
      <c r="J266" s="163">
        <f t="shared" si="21"/>
        <v>-4</v>
      </c>
      <c r="K266" s="163">
        <f t="shared" si="19"/>
        <v>-40</v>
      </c>
      <c r="L266" s="163"/>
      <c r="M266" s="165">
        <f t="shared" si="20"/>
        <v>0</v>
      </c>
    </row>
    <row r="267" spans="1:13" x14ac:dyDescent="0.25">
      <c r="A267" s="180"/>
      <c r="G267" s="151"/>
      <c r="H267" s="163">
        <v>262</v>
      </c>
      <c r="I267" s="164" t="str">
        <f t="shared" si="18"/>
        <v/>
      </c>
      <c r="J267" s="163">
        <f t="shared" si="21"/>
        <v>-4</v>
      </c>
      <c r="K267" s="163">
        <f t="shared" si="19"/>
        <v>-40</v>
      </c>
      <c r="L267" s="163"/>
      <c r="M267" s="165">
        <f t="shared" si="20"/>
        <v>0</v>
      </c>
    </row>
    <row r="268" spans="1:13" x14ac:dyDescent="0.25">
      <c r="A268" s="180"/>
      <c r="G268" s="151"/>
      <c r="H268" s="163">
        <v>263</v>
      </c>
      <c r="I268" s="164" t="str">
        <f t="shared" si="18"/>
        <v/>
      </c>
      <c r="J268" s="163">
        <f t="shared" si="21"/>
        <v>-4</v>
      </c>
      <c r="K268" s="163">
        <f t="shared" si="19"/>
        <v>-40</v>
      </c>
      <c r="L268" s="163"/>
      <c r="M268" s="165">
        <f t="shared" si="20"/>
        <v>0</v>
      </c>
    </row>
    <row r="269" spans="1:13" x14ac:dyDescent="0.25">
      <c r="A269" s="180"/>
      <c r="G269" s="151"/>
      <c r="H269" s="163">
        <v>264</v>
      </c>
      <c r="I269" s="164" t="str">
        <f t="shared" si="18"/>
        <v/>
      </c>
      <c r="J269" s="163">
        <f t="shared" si="21"/>
        <v>-4</v>
      </c>
      <c r="K269" s="163">
        <f t="shared" si="19"/>
        <v>-40</v>
      </c>
      <c r="L269" s="163"/>
      <c r="M269" s="165">
        <f t="shared" si="20"/>
        <v>0</v>
      </c>
    </row>
    <row r="270" spans="1:13" x14ac:dyDescent="0.25">
      <c r="A270" s="180"/>
      <c r="G270" s="151"/>
      <c r="H270" s="163">
        <v>265</v>
      </c>
      <c r="I270" s="164" t="str">
        <f t="shared" si="18"/>
        <v/>
      </c>
      <c r="J270" s="163">
        <f t="shared" si="21"/>
        <v>-4</v>
      </c>
      <c r="K270" s="163">
        <f t="shared" si="19"/>
        <v>-40</v>
      </c>
      <c r="L270" s="163"/>
      <c r="M270" s="165">
        <f t="shared" si="20"/>
        <v>0</v>
      </c>
    </row>
    <row r="271" spans="1:13" x14ac:dyDescent="0.25">
      <c r="A271" s="180"/>
      <c r="G271" s="151"/>
      <c r="H271" s="163">
        <v>266</v>
      </c>
      <c r="I271" s="164" t="str">
        <f t="shared" si="18"/>
        <v/>
      </c>
      <c r="J271" s="163">
        <f t="shared" si="21"/>
        <v>-4</v>
      </c>
      <c r="K271" s="163">
        <f t="shared" si="19"/>
        <v>-40</v>
      </c>
      <c r="L271" s="163"/>
      <c r="M271" s="165">
        <f t="shared" si="20"/>
        <v>0</v>
      </c>
    </row>
    <row r="272" spans="1:13" x14ac:dyDescent="0.25">
      <c r="A272" s="180"/>
      <c r="G272" s="151"/>
      <c r="H272" s="163">
        <v>267</v>
      </c>
      <c r="I272" s="164" t="str">
        <f t="shared" si="18"/>
        <v/>
      </c>
      <c r="J272" s="163">
        <f t="shared" si="21"/>
        <v>-4</v>
      </c>
      <c r="K272" s="163">
        <f t="shared" si="19"/>
        <v>-40</v>
      </c>
      <c r="L272" s="163"/>
      <c r="M272" s="165">
        <f t="shared" si="20"/>
        <v>0</v>
      </c>
    </row>
    <row r="273" spans="1:13" x14ac:dyDescent="0.25">
      <c r="A273" s="180"/>
      <c r="G273" s="151"/>
      <c r="H273" s="163">
        <v>268</v>
      </c>
      <c r="I273" s="164" t="str">
        <f t="shared" si="18"/>
        <v/>
      </c>
      <c r="J273" s="163">
        <f t="shared" si="21"/>
        <v>-4</v>
      </c>
      <c r="K273" s="163">
        <f t="shared" si="19"/>
        <v>-40</v>
      </c>
      <c r="L273" s="163"/>
      <c r="M273" s="165">
        <f t="shared" si="20"/>
        <v>0</v>
      </c>
    </row>
    <row r="274" spans="1:13" x14ac:dyDescent="0.25">
      <c r="A274" s="180"/>
      <c r="G274" s="151"/>
      <c r="H274" s="163">
        <v>269</v>
      </c>
      <c r="I274" s="164" t="str">
        <f t="shared" si="18"/>
        <v/>
      </c>
      <c r="J274" s="163">
        <f t="shared" si="21"/>
        <v>-4</v>
      </c>
      <c r="K274" s="163">
        <f t="shared" si="19"/>
        <v>-40</v>
      </c>
      <c r="L274" s="163"/>
      <c r="M274" s="165">
        <f t="shared" si="20"/>
        <v>0</v>
      </c>
    </row>
    <row r="275" spans="1:13" x14ac:dyDescent="0.25">
      <c r="A275" s="180"/>
      <c r="G275" s="151"/>
      <c r="H275" s="163">
        <v>270</v>
      </c>
      <c r="I275" s="164" t="str">
        <f t="shared" si="18"/>
        <v/>
      </c>
      <c r="J275" s="163">
        <f t="shared" si="21"/>
        <v>-4</v>
      </c>
      <c r="K275" s="163">
        <f t="shared" si="19"/>
        <v>-40</v>
      </c>
      <c r="L275" s="163"/>
      <c r="M275" s="165">
        <f t="shared" si="20"/>
        <v>0</v>
      </c>
    </row>
    <row r="276" spans="1:13" x14ac:dyDescent="0.25">
      <c r="A276" s="180"/>
      <c r="G276" s="151"/>
      <c r="H276" s="163">
        <v>271</v>
      </c>
      <c r="I276" s="164" t="str">
        <f t="shared" si="18"/>
        <v/>
      </c>
      <c r="J276" s="163">
        <f t="shared" si="21"/>
        <v>-4</v>
      </c>
      <c r="K276" s="163">
        <f t="shared" si="19"/>
        <v>-40</v>
      </c>
      <c r="L276" s="163"/>
      <c r="M276" s="165">
        <f t="shared" si="20"/>
        <v>0</v>
      </c>
    </row>
    <row r="277" spans="1:13" x14ac:dyDescent="0.25">
      <c r="A277" s="180"/>
      <c r="G277" s="151"/>
      <c r="H277" s="163">
        <v>272</v>
      </c>
      <c r="I277" s="164" t="str">
        <f t="shared" si="18"/>
        <v/>
      </c>
      <c r="J277" s="163">
        <f t="shared" si="21"/>
        <v>-4</v>
      </c>
      <c r="K277" s="163">
        <f t="shared" si="19"/>
        <v>-40</v>
      </c>
      <c r="L277" s="163"/>
      <c r="M277" s="165">
        <f t="shared" si="20"/>
        <v>0</v>
      </c>
    </row>
    <row r="278" spans="1:13" x14ac:dyDescent="0.25">
      <c r="A278" s="180"/>
      <c r="G278" s="151"/>
      <c r="H278" s="163">
        <v>273</v>
      </c>
      <c r="I278" s="164" t="str">
        <f t="shared" si="18"/>
        <v/>
      </c>
      <c r="J278" s="163">
        <f t="shared" si="21"/>
        <v>-4</v>
      </c>
      <c r="K278" s="163">
        <f t="shared" si="19"/>
        <v>-40</v>
      </c>
      <c r="L278" s="163"/>
      <c r="M278" s="165">
        <f t="shared" si="20"/>
        <v>0</v>
      </c>
    </row>
    <row r="279" spans="1:13" x14ac:dyDescent="0.25">
      <c r="A279" s="180"/>
      <c r="G279" s="151"/>
      <c r="H279" s="163">
        <v>274</v>
      </c>
      <c r="I279" s="164" t="str">
        <f t="shared" si="18"/>
        <v/>
      </c>
      <c r="J279" s="163">
        <f t="shared" si="21"/>
        <v>-4</v>
      </c>
      <c r="K279" s="163">
        <f t="shared" si="19"/>
        <v>-40</v>
      </c>
      <c r="L279" s="163"/>
      <c r="M279" s="165">
        <f t="shared" si="20"/>
        <v>0</v>
      </c>
    </row>
    <row r="280" spans="1:13" x14ac:dyDescent="0.25">
      <c r="A280" s="180"/>
      <c r="G280" s="151"/>
      <c r="H280" s="163">
        <v>275</v>
      </c>
      <c r="I280" s="164" t="str">
        <f t="shared" si="18"/>
        <v/>
      </c>
      <c r="J280" s="163">
        <f t="shared" si="21"/>
        <v>-4</v>
      </c>
      <c r="K280" s="163">
        <f t="shared" si="19"/>
        <v>-40</v>
      </c>
      <c r="L280" s="163"/>
      <c r="M280" s="165">
        <f t="shared" si="20"/>
        <v>0</v>
      </c>
    </row>
    <row r="281" spans="1:13" x14ac:dyDescent="0.25">
      <c r="A281" s="180"/>
      <c r="G281" s="151"/>
      <c r="H281" s="163">
        <v>276</v>
      </c>
      <c r="I281" s="164" t="str">
        <f t="shared" si="18"/>
        <v/>
      </c>
      <c r="J281" s="163">
        <f t="shared" si="21"/>
        <v>-4</v>
      </c>
      <c r="K281" s="163">
        <f t="shared" si="19"/>
        <v>-40</v>
      </c>
      <c r="L281" s="163"/>
      <c r="M281" s="165">
        <f t="shared" si="20"/>
        <v>0</v>
      </c>
    </row>
    <row r="282" spans="1:13" x14ac:dyDescent="0.25">
      <c r="A282" s="180"/>
      <c r="G282" s="151"/>
      <c r="H282" s="163">
        <v>277</v>
      </c>
      <c r="I282" s="164" t="str">
        <f t="shared" si="18"/>
        <v/>
      </c>
      <c r="J282" s="163">
        <f t="shared" si="21"/>
        <v>-4</v>
      </c>
      <c r="K282" s="163">
        <f t="shared" si="19"/>
        <v>-40</v>
      </c>
      <c r="L282" s="163"/>
      <c r="M282" s="165">
        <f t="shared" si="20"/>
        <v>0</v>
      </c>
    </row>
    <row r="283" spans="1:13" x14ac:dyDescent="0.25">
      <c r="A283" s="180"/>
      <c r="G283" s="151"/>
      <c r="H283" s="163">
        <v>278</v>
      </c>
      <c r="I283" s="164" t="str">
        <f t="shared" si="18"/>
        <v/>
      </c>
      <c r="J283" s="163">
        <f t="shared" si="21"/>
        <v>-4</v>
      </c>
      <c r="K283" s="163">
        <f t="shared" si="19"/>
        <v>-40</v>
      </c>
      <c r="L283" s="163"/>
      <c r="M283" s="165">
        <f t="shared" si="20"/>
        <v>0</v>
      </c>
    </row>
    <row r="284" spans="1:13" x14ac:dyDescent="0.25">
      <c r="A284" s="180"/>
      <c r="G284" s="151"/>
      <c r="H284" s="163">
        <v>279</v>
      </c>
      <c r="I284" s="164" t="str">
        <f t="shared" si="18"/>
        <v/>
      </c>
      <c r="J284" s="163">
        <f t="shared" si="21"/>
        <v>-4</v>
      </c>
      <c r="K284" s="163">
        <f t="shared" si="19"/>
        <v>-40</v>
      </c>
      <c r="L284" s="163"/>
      <c r="M284" s="165">
        <f t="shared" si="20"/>
        <v>0</v>
      </c>
    </row>
    <row r="285" spans="1:13" x14ac:dyDescent="0.25">
      <c r="A285" s="180"/>
      <c r="G285" s="151"/>
      <c r="H285" s="163">
        <v>280</v>
      </c>
      <c r="I285" s="164" t="str">
        <f t="shared" si="18"/>
        <v/>
      </c>
      <c r="J285" s="163">
        <f t="shared" si="21"/>
        <v>-4</v>
      </c>
      <c r="K285" s="163">
        <f t="shared" si="19"/>
        <v>-40</v>
      </c>
      <c r="L285" s="163"/>
      <c r="M285" s="165">
        <f t="shared" si="20"/>
        <v>0</v>
      </c>
    </row>
    <row r="286" spans="1:13" x14ac:dyDescent="0.25">
      <c r="A286" s="180"/>
      <c r="G286" s="151"/>
      <c r="H286" s="163">
        <v>281</v>
      </c>
      <c r="I286" s="164" t="str">
        <f t="shared" si="18"/>
        <v/>
      </c>
      <c r="J286" s="163">
        <f t="shared" si="21"/>
        <v>-4</v>
      </c>
      <c r="K286" s="163">
        <f t="shared" si="19"/>
        <v>-40</v>
      </c>
      <c r="L286" s="163"/>
      <c r="M286" s="165">
        <f t="shared" si="20"/>
        <v>0</v>
      </c>
    </row>
    <row r="287" spans="1:13" x14ac:dyDescent="0.25">
      <c r="A287" s="180"/>
      <c r="G287" s="151"/>
      <c r="H287" s="163">
        <v>282</v>
      </c>
      <c r="I287" s="164" t="str">
        <f t="shared" si="18"/>
        <v/>
      </c>
      <c r="J287" s="163">
        <f t="shared" si="21"/>
        <v>-4</v>
      </c>
      <c r="K287" s="163">
        <f t="shared" si="19"/>
        <v>-40</v>
      </c>
      <c r="L287" s="163"/>
      <c r="M287" s="165">
        <f t="shared" si="20"/>
        <v>0</v>
      </c>
    </row>
    <row r="288" spans="1:13" x14ac:dyDescent="0.25">
      <c r="A288" s="180"/>
      <c r="G288" s="151"/>
      <c r="H288" s="163">
        <v>283</v>
      </c>
      <c r="I288" s="164" t="str">
        <f t="shared" si="18"/>
        <v/>
      </c>
      <c r="J288" s="163">
        <f t="shared" si="21"/>
        <v>-4</v>
      </c>
      <c r="K288" s="163">
        <f t="shared" si="19"/>
        <v>-40</v>
      </c>
      <c r="L288" s="163"/>
      <c r="M288" s="165">
        <f t="shared" si="20"/>
        <v>0</v>
      </c>
    </row>
    <row r="289" spans="1:13" x14ac:dyDescent="0.25">
      <c r="A289" s="180"/>
      <c r="G289" s="151"/>
      <c r="H289" s="163">
        <v>284</v>
      </c>
      <c r="I289" s="164" t="str">
        <f t="shared" si="18"/>
        <v/>
      </c>
      <c r="J289" s="163">
        <f t="shared" si="21"/>
        <v>-4</v>
      </c>
      <c r="K289" s="163">
        <f t="shared" si="19"/>
        <v>-40</v>
      </c>
      <c r="L289" s="163"/>
      <c r="M289" s="165">
        <f t="shared" si="20"/>
        <v>0</v>
      </c>
    </row>
    <row r="290" spans="1:13" x14ac:dyDescent="0.25">
      <c r="A290" s="180"/>
      <c r="G290" s="151"/>
      <c r="H290" s="163">
        <v>285</v>
      </c>
      <c r="I290" s="164" t="str">
        <f t="shared" si="18"/>
        <v/>
      </c>
      <c r="J290" s="163">
        <f t="shared" si="21"/>
        <v>-4</v>
      </c>
      <c r="K290" s="163">
        <f t="shared" si="19"/>
        <v>-40</v>
      </c>
      <c r="L290" s="163"/>
      <c r="M290" s="165">
        <f t="shared" si="20"/>
        <v>0</v>
      </c>
    </row>
    <row r="291" spans="1:13" x14ac:dyDescent="0.25">
      <c r="A291" s="180"/>
      <c r="G291" s="151"/>
      <c r="H291" s="163">
        <v>286</v>
      </c>
      <c r="I291" s="164" t="str">
        <f t="shared" si="18"/>
        <v/>
      </c>
      <c r="J291" s="163">
        <f t="shared" si="21"/>
        <v>-4</v>
      </c>
      <c r="K291" s="163">
        <f t="shared" si="19"/>
        <v>-40</v>
      </c>
      <c r="L291" s="163"/>
      <c r="M291" s="165">
        <f t="shared" si="20"/>
        <v>0</v>
      </c>
    </row>
    <row r="292" spans="1:13" x14ac:dyDescent="0.25">
      <c r="A292" s="180"/>
      <c r="G292" s="151"/>
      <c r="H292" s="163">
        <v>287</v>
      </c>
      <c r="I292" s="164" t="str">
        <f t="shared" si="18"/>
        <v/>
      </c>
      <c r="J292" s="163">
        <f t="shared" si="21"/>
        <v>-4</v>
      </c>
      <c r="K292" s="163">
        <f t="shared" si="19"/>
        <v>-40</v>
      </c>
      <c r="L292" s="163"/>
      <c r="M292" s="165">
        <f t="shared" si="20"/>
        <v>0</v>
      </c>
    </row>
    <row r="293" spans="1:13" x14ac:dyDescent="0.25">
      <c r="A293" s="180"/>
      <c r="G293" s="151"/>
      <c r="H293" s="163">
        <v>288</v>
      </c>
      <c r="I293" s="164" t="str">
        <f t="shared" si="18"/>
        <v/>
      </c>
      <c r="J293" s="163">
        <f t="shared" si="21"/>
        <v>-4</v>
      </c>
      <c r="K293" s="163">
        <f t="shared" si="19"/>
        <v>-40</v>
      </c>
      <c r="L293" s="163"/>
      <c r="M293" s="165">
        <f t="shared" si="20"/>
        <v>0</v>
      </c>
    </row>
    <row r="294" spans="1:13" x14ac:dyDescent="0.25">
      <c r="A294" s="180"/>
      <c r="G294" s="151"/>
      <c r="H294" s="163">
        <v>289</v>
      </c>
      <c r="I294" s="164" t="str">
        <f t="shared" si="18"/>
        <v/>
      </c>
      <c r="J294" s="163">
        <f t="shared" si="21"/>
        <v>-4</v>
      </c>
      <c r="K294" s="163">
        <f t="shared" si="19"/>
        <v>-40</v>
      </c>
      <c r="L294" s="163"/>
      <c r="M294" s="165">
        <f t="shared" si="20"/>
        <v>0</v>
      </c>
    </row>
    <row r="295" spans="1:13" x14ac:dyDescent="0.25">
      <c r="A295" s="180"/>
      <c r="G295" s="151"/>
      <c r="H295" s="163">
        <v>290</v>
      </c>
      <c r="I295" s="164" t="str">
        <f t="shared" si="18"/>
        <v/>
      </c>
      <c r="J295" s="163">
        <f t="shared" si="21"/>
        <v>-4</v>
      </c>
      <c r="K295" s="163">
        <f t="shared" si="19"/>
        <v>-40</v>
      </c>
      <c r="L295" s="163"/>
      <c r="M295" s="165">
        <f t="shared" si="20"/>
        <v>0</v>
      </c>
    </row>
    <row r="296" spans="1:13" x14ac:dyDescent="0.25">
      <c r="A296" s="180"/>
      <c r="G296" s="151"/>
      <c r="H296" s="163">
        <v>291</v>
      </c>
      <c r="I296" s="164" t="str">
        <f t="shared" si="18"/>
        <v/>
      </c>
      <c r="J296" s="163">
        <f t="shared" si="21"/>
        <v>-4</v>
      </c>
      <c r="K296" s="163">
        <f t="shared" si="19"/>
        <v>-40</v>
      </c>
      <c r="L296" s="163"/>
      <c r="M296" s="165">
        <f t="shared" si="20"/>
        <v>0</v>
      </c>
    </row>
    <row r="297" spans="1:13" x14ac:dyDescent="0.25">
      <c r="A297" s="180"/>
      <c r="G297" s="151"/>
      <c r="H297" s="163">
        <v>292</v>
      </c>
      <c r="I297" s="164" t="str">
        <f t="shared" si="18"/>
        <v/>
      </c>
      <c r="J297" s="163">
        <f t="shared" si="21"/>
        <v>-4</v>
      </c>
      <c r="K297" s="163">
        <f t="shared" si="19"/>
        <v>-40</v>
      </c>
      <c r="L297" s="163"/>
      <c r="M297" s="165">
        <f t="shared" si="20"/>
        <v>0</v>
      </c>
    </row>
    <row r="298" spans="1:13" x14ac:dyDescent="0.25">
      <c r="A298" s="180"/>
      <c r="G298" s="151"/>
      <c r="H298" s="163">
        <v>293</v>
      </c>
      <c r="I298" s="164" t="str">
        <f t="shared" si="18"/>
        <v/>
      </c>
      <c r="J298" s="163">
        <f t="shared" si="21"/>
        <v>-4</v>
      </c>
      <c r="K298" s="163">
        <f t="shared" si="19"/>
        <v>-40</v>
      </c>
      <c r="L298" s="163"/>
      <c r="M298" s="165">
        <f t="shared" si="20"/>
        <v>0</v>
      </c>
    </row>
    <row r="299" spans="1:13" x14ac:dyDescent="0.25">
      <c r="A299" s="180"/>
      <c r="G299" s="151"/>
      <c r="H299" s="163">
        <v>294</v>
      </c>
      <c r="I299" s="164" t="str">
        <f t="shared" si="18"/>
        <v/>
      </c>
      <c r="J299" s="163">
        <f t="shared" si="21"/>
        <v>-4</v>
      </c>
      <c r="K299" s="163">
        <f t="shared" si="19"/>
        <v>-40</v>
      </c>
      <c r="L299" s="163"/>
      <c r="M299" s="165">
        <f t="shared" si="20"/>
        <v>0</v>
      </c>
    </row>
    <row r="300" spans="1:13" x14ac:dyDescent="0.25">
      <c r="A300" s="180"/>
      <c r="G300" s="151"/>
      <c r="H300" s="163">
        <v>295</v>
      </c>
      <c r="I300" s="164" t="str">
        <f t="shared" si="18"/>
        <v/>
      </c>
      <c r="J300" s="163">
        <f t="shared" si="21"/>
        <v>-4</v>
      </c>
      <c r="K300" s="163">
        <f t="shared" si="19"/>
        <v>-40</v>
      </c>
      <c r="L300" s="163"/>
      <c r="M300" s="165">
        <f t="shared" si="20"/>
        <v>0</v>
      </c>
    </row>
    <row r="301" spans="1:13" x14ac:dyDescent="0.25">
      <c r="A301" s="180"/>
      <c r="G301" s="151"/>
      <c r="H301" s="163">
        <v>296</v>
      </c>
      <c r="I301" s="164" t="str">
        <f t="shared" si="18"/>
        <v/>
      </c>
      <c r="J301" s="163">
        <f t="shared" si="21"/>
        <v>-4</v>
      </c>
      <c r="K301" s="163">
        <f t="shared" si="19"/>
        <v>-40</v>
      </c>
      <c r="L301" s="163"/>
      <c r="M301" s="165">
        <f t="shared" si="20"/>
        <v>0</v>
      </c>
    </row>
    <row r="302" spans="1:13" x14ac:dyDescent="0.25">
      <c r="A302" s="180"/>
      <c r="G302" s="151"/>
      <c r="H302" s="163">
        <v>297</v>
      </c>
      <c r="I302" s="164" t="str">
        <f t="shared" si="18"/>
        <v/>
      </c>
      <c r="J302" s="163">
        <f t="shared" si="21"/>
        <v>-4</v>
      </c>
      <c r="K302" s="163">
        <f t="shared" si="19"/>
        <v>-40</v>
      </c>
      <c r="L302" s="163"/>
      <c r="M302" s="165">
        <f t="shared" si="20"/>
        <v>0</v>
      </c>
    </row>
    <row r="303" spans="1:13" x14ac:dyDescent="0.25">
      <c r="A303" s="180"/>
      <c r="G303" s="151"/>
      <c r="H303" s="163">
        <v>298</v>
      </c>
      <c r="I303" s="164" t="str">
        <f t="shared" si="18"/>
        <v/>
      </c>
      <c r="J303" s="163">
        <f t="shared" si="21"/>
        <v>-4</v>
      </c>
      <c r="K303" s="163">
        <f t="shared" si="19"/>
        <v>-40</v>
      </c>
      <c r="L303" s="163"/>
      <c r="M303" s="165">
        <f t="shared" si="20"/>
        <v>0</v>
      </c>
    </row>
    <row r="304" spans="1:13" x14ac:dyDescent="0.25">
      <c r="A304" s="180"/>
      <c r="G304" s="151"/>
      <c r="H304" s="163">
        <v>299</v>
      </c>
      <c r="I304" s="164" t="str">
        <f t="shared" si="18"/>
        <v/>
      </c>
      <c r="J304" s="163">
        <f t="shared" si="21"/>
        <v>-4</v>
      </c>
      <c r="K304" s="163">
        <f t="shared" si="19"/>
        <v>-40</v>
      </c>
      <c r="L304" s="163"/>
      <c r="M304" s="165">
        <f t="shared" si="20"/>
        <v>0</v>
      </c>
    </row>
    <row r="305" spans="1:16" x14ac:dyDescent="0.25">
      <c r="A305" s="180"/>
      <c r="G305" s="151"/>
      <c r="H305" s="163">
        <v>300</v>
      </c>
      <c r="I305" s="164" t="str">
        <f t="shared" si="18"/>
        <v/>
      </c>
      <c r="J305" s="163">
        <f t="shared" si="21"/>
        <v>-4</v>
      </c>
      <c r="K305" s="163">
        <f t="shared" si="19"/>
        <v>-40</v>
      </c>
      <c r="L305" s="163"/>
      <c r="M305" s="165">
        <f t="shared" si="20"/>
        <v>0</v>
      </c>
    </row>
    <row r="306" spans="1:16" x14ac:dyDescent="0.25">
      <c r="A306" s="181"/>
      <c r="J306" s="182" t="e">
        <f t="shared" si="21"/>
        <v>#NUM!</v>
      </c>
    </row>
    <row r="307" spans="1:16" x14ac:dyDescent="0.25">
      <c r="J307" s="182" t="e">
        <f t="shared" si="21"/>
        <v>#NUM!</v>
      </c>
    </row>
    <row r="308" spans="1:16" x14ac:dyDescent="0.25">
      <c r="J308" s="182" t="e">
        <f t="shared" si="21"/>
        <v>#NUM!</v>
      </c>
    </row>
    <row r="309" spans="1:16" x14ac:dyDescent="0.25">
      <c r="J309" s="182" t="e">
        <f t="shared" si="21"/>
        <v>#NUM!</v>
      </c>
    </row>
    <row r="310" spans="1:16" x14ac:dyDescent="0.25">
      <c r="J310" s="182" t="e">
        <f t="shared" si="21"/>
        <v>#NUM!</v>
      </c>
    </row>
    <row r="311" spans="1:16" x14ac:dyDescent="0.25">
      <c r="J311" s="182" t="e">
        <f t="shared" si="21"/>
        <v>#NUM!</v>
      </c>
    </row>
    <row r="312" spans="1:16" x14ac:dyDescent="0.25">
      <c r="J312" s="182" t="e">
        <f t="shared" si="21"/>
        <v>#NUM!</v>
      </c>
    </row>
    <row r="313" spans="1:16" x14ac:dyDescent="0.25">
      <c r="J313" s="182" t="e">
        <f t="shared" si="21"/>
        <v>#NUM!</v>
      </c>
    </row>
    <row r="314" spans="1:16" x14ac:dyDescent="0.25">
      <c r="J314" s="182" t="e">
        <f t="shared" si="21"/>
        <v>#NUM!</v>
      </c>
      <c r="L314" s="184"/>
      <c r="P314" s="174"/>
    </row>
    <row r="315" spans="1:16" x14ac:dyDescent="0.25">
      <c r="J315" s="182" t="e">
        <f t="shared" si="21"/>
        <v>#NUM!</v>
      </c>
      <c r="L315" s="184"/>
      <c r="P315" s="174"/>
    </row>
    <row r="316" spans="1:16" x14ac:dyDescent="0.25">
      <c r="J316" s="182" t="e">
        <f t="shared" si="21"/>
        <v>#NUM!</v>
      </c>
      <c r="L316" s="184"/>
      <c r="P316" s="174"/>
    </row>
    <row r="317" spans="1:16" x14ac:dyDescent="0.25">
      <c r="J317" s="182" t="e">
        <f t="shared" si="21"/>
        <v>#NUM!</v>
      </c>
      <c r="L317" s="184"/>
      <c r="P317" s="174"/>
    </row>
    <row r="318" spans="1:16" x14ac:dyDescent="0.25">
      <c r="J318" s="182" t="e">
        <f t="shared" si="21"/>
        <v>#NUM!</v>
      </c>
    </row>
    <row r="319" spans="1:16" x14ac:dyDescent="0.25">
      <c r="J319" s="182" t="e">
        <f t="shared" si="21"/>
        <v>#NUM!</v>
      </c>
    </row>
    <row r="320" spans="1:16" x14ac:dyDescent="0.25">
      <c r="J320" s="182" t="e">
        <f t="shared" si="21"/>
        <v>#NUM!</v>
      </c>
    </row>
    <row r="321" spans="10:10" x14ac:dyDescent="0.25">
      <c r="J321" s="182" t="e">
        <f t="shared" si="21"/>
        <v>#NUM!</v>
      </c>
    </row>
    <row r="322" spans="10:10" x14ac:dyDescent="0.25">
      <c r="J322" s="182" t="e">
        <f t="shared" si="21"/>
        <v>#NUM!</v>
      </c>
    </row>
    <row r="323" spans="10:10" x14ac:dyDescent="0.25">
      <c r="J323" s="182" t="e">
        <f t="shared" si="21"/>
        <v>#NUM!</v>
      </c>
    </row>
    <row r="324" spans="10:10" x14ac:dyDescent="0.25">
      <c r="J324" s="182" t="e">
        <f t="shared" si="21"/>
        <v>#NUM!</v>
      </c>
    </row>
    <row r="325" spans="10:10" x14ac:dyDescent="0.25">
      <c r="J325" s="182" t="e">
        <f t="shared" si="21"/>
        <v>#NUM!</v>
      </c>
    </row>
    <row r="326" spans="10:10" x14ac:dyDescent="0.25">
      <c r="J326" s="182" t="e">
        <f t="shared" si="21"/>
        <v>#NUM!</v>
      </c>
    </row>
    <row r="327" spans="10:10" x14ac:dyDescent="0.25">
      <c r="J327" s="18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2" t="e">
        <f t="shared" si="22"/>
        <v>#NUM!</v>
      </c>
    </row>
    <row r="329" spans="10:10" x14ac:dyDescent="0.25">
      <c r="J329" s="182" t="e">
        <f t="shared" si="22"/>
        <v>#NUM!</v>
      </c>
    </row>
    <row r="330" spans="10:10" x14ac:dyDescent="0.25">
      <c r="J330" s="182" t="e">
        <f t="shared" si="22"/>
        <v>#NUM!</v>
      </c>
    </row>
    <row r="331" spans="10:10" x14ac:dyDescent="0.25">
      <c r="J331" s="182" t="e">
        <f t="shared" si="22"/>
        <v>#NUM!</v>
      </c>
    </row>
    <row r="332" spans="10:10" x14ac:dyDescent="0.25">
      <c r="J332" s="182" t="e">
        <f t="shared" si="22"/>
        <v>#NUM!</v>
      </c>
    </row>
    <row r="333" spans="10:10" x14ac:dyDescent="0.25">
      <c r="J333" s="182" t="e">
        <f t="shared" si="22"/>
        <v>#NUM!</v>
      </c>
    </row>
    <row r="334" spans="10:10" x14ac:dyDescent="0.25">
      <c r="J334" s="182" t="e">
        <f t="shared" si="22"/>
        <v>#NUM!</v>
      </c>
    </row>
    <row r="335" spans="10:10" x14ac:dyDescent="0.25">
      <c r="J335" s="182" t="e">
        <f t="shared" si="22"/>
        <v>#NUM!</v>
      </c>
    </row>
    <row r="336" spans="10:10" x14ac:dyDescent="0.25">
      <c r="J336" s="182" t="e">
        <f t="shared" si="22"/>
        <v>#NUM!</v>
      </c>
    </row>
    <row r="337" spans="10:10" x14ac:dyDescent="0.25">
      <c r="J337" s="182" t="e">
        <f t="shared" si="22"/>
        <v>#NUM!</v>
      </c>
    </row>
    <row r="338" spans="10:10" x14ac:dyDescent="0.25">
      <c r="J338" s="182" t="e">
        <f t="shared" si="22"/>
        <v>#NUM!</v>
      </c>
    </row>
    <row r="339" spans="10:10" x14ac:dyDescent="0.25">
      <c r="J339" s="182" t="e">
        <f t="shared" si="22"/>
        <v>#NUM!</v>
      </c>
    </row>
    <row r="340" spans="10:10" x14ac:dyDescent="0.25">
      <c r="J340" s="182" t="e">
        <f t="shared" si="22"/>
        <v>#NUM!</v>
      </c>
    </row>
    <row r="341" spans="10:10" x14ac:dyDescent="0.25">
      <c r="J341" s="182" t="e">
        <f t="shared" si="22"/>
        <v>#NUM!</v>
      </c>
    </row>
    <row r="342" spans="10:10" x14ac:dyDescent="0.25">
      <c r="J342" s="182" t="e">
        <f t="shared" si="22"/>
        <v>#NUM!</v>
      </c>
    </row>
    <row r="343" spans="10:10" x14ac:dyDescent="0.25">
      <c r="J343" s="182" t="e">
        <f t="shared" si="22"/>
        <v>#NUM!</v>
      </c>
    </row>
    <row r="344" spans="10:10" x14ac:dyDescent="0.25">
      <c r="J344" s="182" t="e">
        <f t="shared" si="22"/>
        <v>#NUM!</v>
      </c>
    </row>
    <row r="345" spans="10:10" x14ac:dyDescent="0.25">
      <c r="J345" s="182" t="e">
        <f t="shared" si="22"/>
        <v>#NUM!</v>
      </c>
    </row>
    <row r="346" spans="10:10" x14ac:dyDescent="0.25">
      <c r="J346" s="182" t="e">
        <f t="shared" si="22"/>
        <v>#NUM!</v>
      </c>
    </row>
    <row r="347" spans="10:10" x14ac:dyDescent="0.25">
      <c r="J347" s="182" t="e">
        <f t="shared" si="22"/>
        <v>#NUM!</v>
      </c>
    </row>
    <row r="348" spans="10:10" x14ac:dyDescent="0.25">
      <c r="J348" s="182" t="e">
        <f t="shared" si="22"/>
        <v>#NUM!</v>
      </c>
    </row>
    <row r="349" spans="10:10" x14ac:dyDescent="0.25">
      <c r="J349" s="182" t="e">
        <f t="shared" si="22"/>
        <v>#NUM!</v>
      </c>
    </row>
    <row r="350" spans="10:10" x14ac:dyDescent="0.25">
      <c r="J350" s="182" t="e">
        <f t="shared" si="22"/>
        <v>#NUM!</v>
      </c>
    </row>
    <row r="351" spans="10:10" x14ac:dyDescent="0.25">
      <c r="J351" s="182" t="e">
        <f t="shared" si="22"/>
        <v>#NUM!</v>
      </c>
    </row>
    <row r="352" spans="10:10" x14ac:dyDescent="0.25">
      <c r="J352" s="182" t="e">
        <f t="shared" si="22"/>
        <v>#NUM!</v>
      </c>
    </row>
    <row r="353" spans="10:10" x14ac:dyDescent="0.25">
      <c r="J353" s="182" t="e">
        <f t="shared" si="22"/>
        <v>#NUM!</v>
      </c>
    </row>
    <row r="354" spans="10:10" x14ac:dyDescent="0.25">
      <c r="J354" s="182" t="e">
        <f t="shared" si="22"/>
        <v>#NUM!</v>
      </c>
    </row>
    <row r="355" spans="10:10" x14ac:dyDescent="0.25">
      <c r="J355" s="182" t="e">
        <f t="shared" si="22"/>
        <v>#NUM!</v>
      </c>
    </row>
    <row r="356" spans="10:10" x14ac:dyDescent="0.25">
      <c r="J356" s="182" t="e">
        <f t="shared" si="22"/>
        <v>#NUM!</v>
      </c>
    </row>
    <row r="357" spans="10:10" x14ac:dyDescent="0.25">
      <c r="J357" s="182" t="e">
        <f t="shared" si="22"/>
        <v>#NUM!</v>
      </c>
    </row>
    <row r="358" spans="10:10" x14ac:dyDescent="0.25">
      <c r="J358" s="182" t="e">
        <f t="shared" si="22"/>
        <v>#NUM!</v>
      </c>
    </row>
    <row r="359" spans="10:10" x14ac:dyDescent="0.25">
      <c r="J359" s="182" t="e">
        <f t="shared" si="22"/>
        <v>#NUM!</v>
      </c>
    </row>
    <row r="360" spans="10:10" x14ac:dyDescent="0.25">
      <c r="J360" s="182" t="e">
        <f t="shared" si="22"/>
        <v>#NUM!</v>
      </c>
    </row>
    <row r="361" spans="10:10" x14ac:dyDescent="0.25">
      <c r="J361" s="182" t="e">
        <f t="shared" si="22"/>
        <v>#NUM!</v>
      </c>
    </row>
    <row r="362" spans="10:10" x14ac:dyDescent="0.25">
      <c r="J362" s="182" t="e">
        <f t="shared" si="22"/>
        <v>#NUM!</v>
      </c>
    </row>
    <row r="363" spans="10:10" x14ac:dyDescent="0.25">
      <c r="J363" s="182" t="e">
        <f t="shared" si="22"/>
        <v>#NUM!</v>
      </c>
    </row>
    <row r="364" spans="10:10" x14ac:dyDescent="0.25">
      <c r="J364" s="182" t="e">
        <f t="shared" si="22"/>
        <v>#NUM!</v>
      </c>
    </row>
    <row r="365" spans="10:10" x14ac:dyDescent="0.25">
      <c r="J365" s="182" t="e">
        <f t="shared" si="22"/>
        <v>#NUM!</v>
      </c>
    </row>
    <row r="366" spans="10:10" x14ac:dyDescent="0.25">
      <c r="J366" s="182" t="e">
        <f t="shared" si="22"/>
        <v>#NUM!</v>
      </c>
    </row>
    <row r="367" spans="10:10" x14ac:dyDescent="0.25">
      <c r="J367" s="182" t="e">
        <f t="shared" si="22"/>
        <v>#NUM!</v>
      </c>
    </row>
    <row r="368" spans="10:10" x14ac:dyDescent="0.25">
      <c r="J368" s="182" t="e">
        <f t="shared" si="22"/>
        <v>#NUM!</v>
      </c>
    </row>
    <row r="369" spans="10:10" x14ac:dyDescent="0.25">
      <c r="J369" s="182" t="e">
        <f t="shared" si="22"/>
        <v>#NUM!</v>
      </c>
    </row>
    <row r="370" spans="10:10" x14ac:dyDescent="0.25">
      <c r="J370" s="182" t="e">
        <f t="shared" si="22"/>
        <v>#NUM!</v>
      </c>
    </row>
    <row r="371" spans="10:10" x14ac:dyDescent="0.25">
      <c r="J371" s="182" t="e">
        <f t="shared" si="22"/>
        <v>#NUM!</v>
      </c>
    </row>
    <row r="372" spans="10:10" x14ac:dyDescent="0.25">
      <c r="J372" s="182" t="e">
        <f t="shared" si="22"/>
        <v>#NUM!</v>
      </c>
    </row>
    <row r="373" spans="10:10" x14ac:dyDescent="0.25">
      <c r="J373" s="182" t="e">
        <f t="shared" si="22"/>
        <v>#NUM!</v>
      </c>
    </row>
    <row r="374" spans="10:10" x14ac:dyDescent="0.25">
      <c r="J374" s="182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4E57F419-193B-4E89-BB24-A08649F925F8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FA9C4-1F22-4031-87DA-659033D9BBF5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79" customWidth="1"/>
    <col min="2" max="2" width="8.25" style="179" customWidth="1"/>
    <col min="3" max="3" width="34.75" style="179" customWidth="1"/>
    <col min="4" max="4" width="11.25" style="179" customWidth="1"/>
    <col min="5" max="6" width="8.875" style="179"/>
    <col min="7" max="7" width="0.875" style="179" customWidth="1"/>
    <col min="8" max="8" width="8.875" style="182"/>
    <col min="9" max="9" width="11" style="182" customWidth="1"/>
    <col min="10" max="10" width="15.25" style="182" customWidth="1"/>
    <col min="11" max="11" width="8.75" style="182" customWidth="1"/>
    <col min="12" max="12" width="11" style="182" customWidth="1"/>
    <col min="13" max="13" width="12.25" style="183" customWidth="1"/>
    <col min="14" max="15" width="13.875" style="151" customWidth="1"/>
    <col min="16" max="18" width="8.875" style="151"/>
    <col min="19" max="20" width="8.875" style="156"/>
    <col min="21" max="21" width="12.125" style="156" customWidth="1"/>
    <col min="22" max="22" width="27.375" style="156" customWidth="1"/>
    <col min="23" max="38" width="8.875" style="156"/>
    <col min="39" max="16384" width="8.875" style="179"/>
  </cols>
  <sheetData>
    <row r="1" spans="1:36" x14ac:dyDescent="0.25">
      <c r="A1" s="151"/>
      <c r="B1" s="151"/>
      <c r="C1" s="151"/>
      <c r="D1" s="151"/>
      <c r="E1" s="151"/>
      <c r="F1" s="151"/>
      <c r="G1" s="151"/>
      <c r="H1" s="152" t="s">
        <v>25</v>
      </c>
      <c r="I1" s="153" t="s">
        <v>26</v>
      </c>
      <c r="J1" s="153" t="s">
        <v>27</v>
      </c>
      <c r="K1" s="154" t="s">
        <v>28</v>
      </c>
      <c r="L1" s="155"/>
      <c r="M1" s="155"/>
    </row>
    <row r="2" spans="1:36" x14ac:dyDescent="0.25">
      <c r="A2" s="151"/>
      <c r="B2" s="14" t="s">
        <v>29</v>
      </c>
      <c r="C2" s="195" t="s">
        <v>139</v>
      </c>
      <c r="D2" s="62"/>
      <c r="E2" s="15"/>
      <c r="F2" s="15"/>
      <c r="G2" s="15"/>
      <c r="H2" s="157">
        <v>0</v>
      </c>
      <c r="I2" s="158">
        <v>50</v>
      </c>
      <c r="J2" s="158">
        <v>10</v>
      </c>
      <c r="K2" s="159">
        <f>3*H2^(1/3)</f>
        <v>0</v>
      </c>
      <c r="L2" s="155"/>
      <c r="M2" s="155"/>
    </row>
    <row r="3" spans="1:36" x14ac:dyDescent="0.25">
      <c r="A3" s="151"/>
      <c r="B3" s="160" t="s">
        <v>31</v>
      </c>
      <c r="C3" s="63" t="s">
        <v>140</v>
      </c>
      <c r="D3" s="63"/>
      <c r="E3" s="20"/>
      <c r="F3" s="20"/>
      <c r="G3" s="20"/>
      <c r="H3" s="155"/>
      <c r="I3" s="155"/>
      <c r="J3" s="186"/>
      <c r="K3" s="155"/>
      <c r="L3" s="155"/>
      <c r="M3" s="155"/>
    </row>
    <row r="4" spans="1:36" ht="10.199999999999999" customHeight="1" x14ac:dyDescent="0.25">
      <c r="A4" s="22"/>
      <c r="B4" s="20"/>
      <c r="C4" s="22"/>
      <c r="D4" s="22"/>
      <c r="E4" s="22"/>
      <c r="F4" s="22"/>
      <c r="G4" s="22"/>
      <c r="H4" s="155"/>
      <c r="I4" s="155"/>
      <c r="J4" s="186"/>
      <c r="K4" s="155"/>
      <c r="L4" s="155"/>
      <c r="M4" s="155"/>
    </row>
    <row r="5" spans="1:36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161" t="s">
        <v>39</v>
      </c>
      <c r="I5" s="162" t="s">
        <v>40</v>
      </c>
      <c r="J5" s="187" t="s">
        <v>41</v>
      </c>
      <c r="K5" s="162" t="s">
        <v>42</v>
      </c>
      <c r="L5" s="162" t="s">
        <v>43</v>
      </c>
      <c r="M5" s="161" t="s">
        <v>44</v>
      </c>
    </row>
    <row r="6" spans="1:36" ht="14.45" customHeight="1" x14ac:dyDescent="0.25">
      <c r="A6" s="109">
        <f>M6</f>
        <v>0</v>
      </c>
      <c r="B6" s="28" t="str">
        <f t="shared" ref="B6:B69" si="0">IF(H6&gt;$H$2,"",(ROW()-5))</f>
        <v/>
      </c>
      <c r="C6" s="29"/>
      <c r="D6" s="29"/>
      <c r="E6" s="29"/>
      <c r="F6" s="29"/>
      <c r="G6" s="22"/>
      <c r="H6" s="163">
        <v>1</v>
      </c>
      <c r="I6" s="164" t="str">
        <f t="shared" ref="I6:I69" si="1">IF(H6&lt;$H$2+1,($I$2-($I$2-1)*(LOG(H6)/LOG($H$2))),"")</f>
        <v/>
      </c>
      <c r="J6" s="163" t="e">
        <f>INT(LOG($H$2,2))-ROUNDUP(LOG(H6,2),0)+IF(OR($H$2=1,$H$2=2,$H$2=4,$H$2=8,$H$2=16,$H$2=32,$H$2=64,$H$2=128,$H$2=256),0,1)</f>
        <v>#NUM!</v>
      </c>
      <c r="K6" s="163" t="e">
        <f t="shared" ref="K6:K69" si="2">J6*$J$2</f>
        <v>#NUM!</v>
      </c>
      <c r="L6" s="165">
        <f>3*K2</f>
        <v>0</v>
      </c>
      <c r="M6" s="165">
        <f t="shared" ref="M6:M69" si="3">IF(I6&lt;&gt;"",K6+I6+L6,0)</f>
        <v>0</v>
      </c>
    </row>
    <row r="7" spans="1:36" ht="14.45" customHeight="1" x14ac:dyDescent="0.25">
      <c r="A7" s="110">
        <f t="shared" ref="A7:A70" si="4">M7</f>
        <v>0</v>
      </c>
      <c r="B7" s="34" t="str">
        <f t="shared" si="0"/>
        <v/>
      </c>
      <c r="C7" s="35"/>
      <c r="D7" s="35"/>
      <c r="E7" s="35"/>
      <c r="F7" s="35"/>
      <c r="G7" s="22"/>
      <c r="H7" s="166">
        <v>2</v>
      </c>
      <c r="I7" s="167" t="str">
        <f t="shared" si="1"/>
        <v/>
      </c>
      <c r="J7" s="166" t="e">
        <f t="shared" ref="J7:J70" si="5">INT(LOG($H$2,2))-ROUNDUP(LOG(H7,2),0)+IF(OR($H$2=1,$H$2=2,$H$2=4,$H$2=8,$H$2=16,$H$2=32,$H$2=64,$H$2=128,$H$2=256),0,1)</f>
        <v>#NUM!</v>
      </c>
      <c r="K7" s="166" t="e">
        <f t="shared" si="2"/>
        <v>#NUM!</v>
      </c>
      <c r="L7" s="168">
        <f>2*K2</f>
        <v>0</v>
      </c>
      <c r="M7" s="168">
        <f t="shared" si="3"/>
        <v>0</v>
      </c>
    </row>
    <row r="8" spans="1:36" ht="14.45" customHeight="1" x14ac:dyDescent="0.25">
      <c r="A8" s="109">
        <f t="shared" si="4"/>
        <v>0</v>
      </c>
      <c r="B8" s="28" t="str">
        <f t="shared" si="0"/>
        <v/>
      </c>
      <c r="C8" s="29"/>
      <c r="D8" s="29"/>
      <c r="E8" s="29"/>
      <c r="F8" s="29"/>
      <c r="G8" s="22"/>
      <c r="H8" s="163">
        <v>3</v>
      </c>
      <c r="I8" s="164" t="str">
        <f t="shared" si="1"/>
        <v/>
      </c>
      <c r="J8" s="163" t="e">
        <f t="shared" si="5"/>
        <v>#NUM!</v>
      </c>
      <c r="K8" s="163" t="e">
        <f t="shared" si="2"/>
        <v>#NUM!</v>
      </c>
      <c r="L8" s="165">
        <f>K2</f>
        <v>0</v>
      </c>
      <c r="M8" s="165">
        <f t="shared" si="3"/>
        <v>0</v>
      </c>
    </row>
    <row r="9" spans="1:36" s="156" customFormat="1" ht="14.45" customHeight="1" x14ac:dyDescent="0.25">
      <c r="A9" s="110">
        <f t="shared" si="4"/>
        <v>0</v>
      </c>
      <c r="B9" s="34" t="str">
        <f>IF(H9&gt;$H$2,"",3)</f>
        <v/>
      </c>
      <c r="C9" s="35"/>
      <c r="D9" s="35"/>
      <c r="E9" s="35"/>
      <c r="F9" s="35"/>
      <c r="G9" s="22"/>
      <c r="H9" s="166">
        <v>3</v>
      </c>
      <c r="I9" s="167" t="str">
        <f t="shared" si="1"/>
        <v/>
      </c>
      <c r="J9" s="166" t="e">
        <f t="shared" si="5"/>
        <v>#NUM!</v>
      </c>
      <c r="K9" s="166" t="e">
        <f t="shared" si="2"/>
        <v>#NUM!</v>
      </c>
      <c r="L9" s="168">
        <f>K2</f>
        <v>0</v>
      </c>
      <c r="M9" s="168">
        <f t="shared" si="3"/>
        <v>0</v>
      </c>
      <c r="N9" s="151"/>
      <c r="O9" s="151"/>
      <c r="P9" s="151"/>
      <c r="Q9" s="151"/>
      <c r="R9" s="151"/>
      <c r="V9" s="169"/>
      <c r="Z9" s="170"/>
      <c r="AA9" s="170"/>
      <c r="AG9" s="171"/>
      <c r="AH9" s="156" t="s">
        <v>50</v>
      </c>
      <c r="AI9" s="156">
        <v>23</v>
      </c>
    </row>
    <row r="10" spans="1:36" ht="14.45" customHeight="1" x14ac:dyDescent="0.25">
      <c r="A10" s="109">
        <f t="shared" si="4"/>
        <v>0</v>
      </c>
      <c r="B10" s="28" t="str">
        <f t="shared" si="0"/>
        <v/>
      </c>
      <c r="C10" s="29"/>
      <c r="D10" s="29"/>
      <c r="E10" s="29"/>
      <c r="F10" s="29"/>
      <c r="G10" s="22"/>
      <c r="H10" s="163">
        <v>5</v>
      </c>
      <c r="I10" s="164" t="str">
        <f t="shared" si="1"/>
        <v/>
      </c>
      <c r="J10" s="163" t="e">
        <f t="shared" si="5"/>
        <v>#NUM!</v>
      </c>
      <c r="K10" s="163" t="e">
        <f t="shared" si="2"/>
        <v>#NUM!</v>
      </c>
      <c r="L10" s="163"/>
      <c r="M10" s="165">
        <f t="shared" si="3"/>
        <v>0</v>
      </c>
      <c r="V10" s="169"/>
      <c r="Z10" s="170"/>
      <c r="AA10" s="170"/>
      <c r="AG10" s="171"/>
      <c r="AH10" s="156" t="s">
        <v>52</v>
      </c>
      <c r="AI10" s="156">
        <v>45</v>
      </c>
    </row>
    <row r="11" spans="1:36" ht="14.45" customHeight="1" x14ac:dyDescent="0.25">
      <c r="A11" s="110">
        <f t="shared" si="4"/>
        <v>0</v>
      </c>
      <c r="B11" s="34" t="str">
        <f t="shared" si="0"/>
        <v/>
      </c>
      <c r="C11" s="35"/>
      <c r="D11" s="35"/>
      <c r="E11" s="35"/>
      <c r="F11" s="35"/>
      <c r="G11" s="22"/>
      <c r="H11" s="166">
        <v>6</v>
      </c>
      <c r="I11" s="167" t="str">
        <f t="shared" si="1"/>
        <v/>
      </c>
      <c r="J11" s="166" t="e">
        <f t="shared" si="5"/>
        <v>#NUM!</v>
      </c>
      <c r="K11" s="166" t="e">
        <f t="shared" si="2"/>
        <v>#NUM!</v>
      </c>
      <c r="L11" s="166"/>
      <c r="M11" s="168">
        <f t="shared" si="3"/>
        <v>0</v>
      </c>
      <c r="V11" s="172"/>
      <c r="Z11" s="170"/>
      <c r="AA11" s="170"/>
      <c r="AG11" s="171"/>
      <c r="AH11" s="156" t="s">
        <v>53</v>
      </c>
      <c r="AI11" s="156">
        <v>50</v>
      </c>
    </row>
    <row r="12" spans="1:36" ht="14.45" customHeight="1" x14ac:dyDescent="0.25">
      <c r="A12" s="109">
        <f t="shared" si="4"/>
        <v>0</v>
      </c>
      <c r="B12" s="28" t="str">
        <f t="shared" si="0"/>
        <v/>
      </c>
      <c r="C12" s="29"/>
      <c r="D12" s="29"/>
      <c r="E12" s="29"/>
      <c r="F12" s="29"/>
      <c r="G12" s="22"/>
      <c r="H12" s="163">
        <v>7</v>
      </c>
      <c r="I12" s="164" t="str">
        <f t="shared" si="1"/>
        <v/>
      </c>
      <c r="J12" s="163" t="e">
        <f t="shared" si="5"/>
        <v>#NUM!</v>
      </c>
      <c r="K12" s="163" t="e">
        <f t="shared" si="2"/>
        <v>#NUM!</v>
      </c>
      <c r="L12" s="163"/>
      <c r="M12" s="165">
        <f t="shared" si="3"/>
        <v>0</v>
      </c>
      <c r="Z12" s="170"/>
      <c r="AA12" s="170"/>
      <c r="AG12" s="171"/>
      <c r="AH12" s="156" t="s">
        <v>54</v>
      </c>
      <c r="AI12" s="156">
        <f>AI11-1</f>
        <v>49</v>
      </c>
    </row>
    <row r="13" spans="1:36" ht="14.45" customHeight="1" x14ac:dyDescent="0.25">
      <c r="A13" s="110">
        <f t="shared" si="4"/>
        <v>0</v>
      </c>
      <c r="B13" s="34" t="str">
        <f t="shared" si="0"/>
        <v/>
      </c>
      <c r="C13" s="35"/>
      <c r="D13" s="35"/>
      <c r="E13" s="35"/>
      <c r="F13" s="35"/>
      <c r="G13" s="22"/>
      <c r="H13" s="166">
        <v>8</v>
      </c>
      <c r="I13" s="167" t="str">
        <f t="shared" si="1"/>
        <v/>
      </c>
      <c r="J13" s="166" t="e">
        <f t="shared" si="5"/>
        <v>#NUM!</v>
      </c>
      <c r="K13" s="166" t="e">
        <f t="shared" si="2"/>
        <v>#NUM!</v>
      </c>
      <c r="L13" s="166"/>
      <c r="M13" s="168">
        <f t="shared" si="3"/>
        <v>0</v>
      </c>
      <c r="X13" s="169"/>
      <c r="AG13" s="171"/>
      <c r="AH13" s="156" t="s">
        <v>55</v>
      </c>
      <c r="AI13" s="156">
        <f>LOG(AI9)</f>
        <v>1.3617278360175928</v>
      </c>
    </row>
    <row r="14" spans="1:36" x14ac:dyDescent="0.25">
      <c r="A14" s="109">
        <f t="shared" si="4"/>
        <v>0</v>
      </c>
      <c r="B14" s="28" t="str">
        <f t="shared" si="0"/>
        <v/>
      </c>
      <c r="C14" s="29"/>
      <c r="D14" s="29"/>
      <c r="E14" s="29"/>
      <c r="F14" s="29"/>
      <c r="G14" s="22"/>
      <c r="H14" s="163">
        <v>9</v>
      </c>
      <c r="I14" s="164" t="str">
        <f t="shared" si="1"/>
        <v/>
      </c>
      <c r="J14" s="163" t="e">
        <f t="shared" si="5"/>
        <v>#NUM!</v>
      </c>
      <c r="K14" s="163" t="e">
        <f t="shared" si="2"/>
        <v>#NUM!</v>
      </c>
      <c r="L14" s="163"/>
      <c r="M14" s="165">
        <f t="shared" si="3"/>
        <v>0</v>
      </c>
      <c r="X14" s="173"/>
      <c r="Z14" s="170"/>
      <c r="AA14" s="170"/>
      <c r="AG14" s="171"/>
      <c r="AH14" s="156" t="s">
        <v>56</v>
      </c>
      <c r="AI14" s="156">
        <f>LOG(AI10)</f>
        <v>1.6532125137753437</v>
      </c>
    </row>
    <row r="15" spans="1:36" x14ac:dyDescent="0.25">
      <c r="A15" s="110">
        <f t="shared" si="4"/>
        <v>0</v>
      </c>
      <c r="B15" s="34" t="str">
        <f t="shared" si="0"/>
        <v/>
      </c>
      <c r="C15" s="35"/>
      <c r="D15" s="35"/>
      <c r="E15" s="35"/>
      <c r="F15" s="35"/>
      <c r="G15" s="22"/>
      <c r="H15" s="166">
        <v>10</v>
      </c>
      <c r="I15" s="167" t="str">
        <f t="shared" si="1"/>
        <v/>
      </c>
      <c r="J15" s="166" t="e">
        <f t="shared" si="5"/>
        <v>#NUM!</v>
      </c>
      <c r="K15" s="166" t="e">
        <f t="shared" si="2"/>
        <v>#NUM!</v>
      </c>
      <c r="L15" s="166"/>
      <c r="M15" s="168">
        <f t="shared" si="3"/>
        <v>0</v>
      </c>
      <c r="X15" s="169"/>
      <c r="Z15" s="170"/>
      <c r="AA15" s="170"/>
    </row>
    <row r="16" spans="1:36" x14ac:dyDescent="0.25">
      <c r="A16" s="109">
        <f t="shared" si="4"/>
        <v>0</v>
      </c>
      <c r="B16" s="28" t="str">
        <f t="shared" si="0"/>
        <v/>
      </c>
      <c r="C16" s="29"/>
      <c r="D16" s="29"/>
      <c r="E16" s="29"/>
      <c r="F16" s="29"/>
      <c r="G16" s="22"/>
      <c r="H16" s="163">
        <v>11</v>
      </c>
      <c r="I16" s="164" t="str">
        <f t="shared" si="1"/>
        <v/>
      </c>
      <c r="J16" s="163" t="e">
        <f t="shared" si="5"/>
        <v>#NUM!</v>
      </c>
      <c r="K16" s="163" t="e">
        <f t="shared" si="2"/>
        <v>#NUM!</v>
      </c>
      <c r="L16" s="163"/>
      <c r="M16" s="165">
        <f t="shared" si="3"/>
        <v>0</v>
      </c>
      <c r="R16" s="174"/>
      <c r="Z16" s="170"/>
      <c r="AA16" s="170"/>
      <c r="AH16" s="175" t="s">
        <v>57</v>
      </c>
      <c r="AI16" s="156">
        <f>AI11-AI12*AI13/AI14</f>
        <v>9.6393909380186855</v>
      </c>
      <c r="AJ16" s="156" t="s">
        <v>58</v>
      </c>
    </row>
    <row r="17" spans="1:19" x14ac:dyDescent="0.25">
      <c r="A17" s="110">
        <f t="shared" si="4"/>
        <v>0</v>
      </c>
      <c r="B17" s="34" t="str">
        <f t="shared" si="0"/>
        <v/>
      </c>
      <c r="C17" s="35"/>
      <c r="D17" s="35"/>
      <c r="E17" s="35"/>
      <c r="F17" s="35"/>
      <c r="G17" s="22"/>
      <c r="H17" s="166">
        <v>12</v>
      </c>
      <c r="I17" s="167" t="str">
        <f t="shared" si="1"/>
        <v/>
      </c>
      <c r="J17" s="166" t="e">
        <f t="shared" si="5"/>
        <v>#NUM!</v>
      </c>
      <c r="K17" s="166" t="e">
        <f t="shared" si="2"/>
        <v>#NUM!</v>
      </c>
      <c r="L17" s="166"/>
      <c r="M17" s="168">
        <f t="shared" si="3"/>
        <v>0</v>
      </c>
    </row>
    <row r="18" spans="1:19" x14ac:dyDescent="0.25">
      <c r="A18" s="109">
        <f t="shared" si="4"/>
        <v>0</v>
      </c>
      <c r="B18" s="28" t="str">
        <f t="shared" si="0"/>
        <v/>
      </c>
      <c r="C18" s="29"/>
      <c r="D18" s="29"/>
      <c r="E18" s="29"/>
      <c r="F18" s="29"/>
      <c r="G18" s="22"/>
      <c r="H18" s="163">
        <v>13</v>
      </c>
      <c r="I18" s="164" t="str">
        <f t="shared" si="1"/>
        <v/>
      </c>
      <c r="J18" s="163" t="e">
        <f t="shared" si="5"/>
        <v>#NUM!</v>
      </c>
      <c r="K18" s="163" t="e">
        <f t="shared" si="2"/>
        <v>#NUM!</v>
      </c>
      <c r="L18" s="163"/>
      <c r="M18" s="165">
        <f t="shared" si="3"/>
        <v>0</v>
      </c>
    </row>
    <row r="19" spans="1:19" x14ac:dyDescent="0.25">
      <c r="A19" s="110">
        <f t="shared" si="4"/>
        <v>0</v>
      </c>
      <c r="B19" s="34" t="str">
        <f t="shared" si="0"/>
        <v/>
      </c>
      <c r="C19" s="35"/>
      <c r="D19" s="35"/>
      <c r="E19" s="35"/>
      <c r="F19" s="35"/>
      <c r="G19" s="22"/>
      <c r="H19" s="166">
        <v>14</v>
      </c>
      <c r="I19" s="167" t="str">
        <f t="shared" si="1"/>
        <v/>
      </c>
      <c r="J19" s="166" t="e">
        <f t="shared" si="5"/>
        <v>#NUM!</v>
      </c>
      <c r="K19" s="166" t="e">
        <f t="shared" si="2"/>
        <v>#NUM!</v>
      </c>
      <c r="L19" s="166"/>
      <c r="M19" s="168">
        <f t="shared" si="3"/>
        <v>0</v>
      </c>
    </row>
    <row r="20" spans="1:19" x14ac:dyDescent="0.25">
      <c r="A20" s="109">
        <f t="shared" si="4"/>
        <v>0</v>
      </c>
      <c r="B20" s="28" t="str">
        <f t="shared" si="0"/>
        <v/>
      </c>
      <c r="C20" s="29"/>
      <c r="D20" s="29"/>
      <c r="E20" s="29"/>
      <c r="F20" s="29"/>
      <c r="G20" s="22"/>
      <c r="H20" s="163">
        <v>15</v>
      </c>
      <c r="I20" s="164" t="str">
        <f t="shared" si="1"/>
        <v/>
      </c>
      <c r="J20" s="163" t="e">
        <f t="shared" si="5"/>
        <v>#NUM!</v>
      </c>
      <c r="K20" s="163" t="e">
        <f t="shared" si="2"/>
        <v>#NUM!</v>
      </c>
      <c r="L20" s="163"/>
      <c r="M20" s="165">
        <f t="shared" si="3"/>
        <v>0</v>
      </c>
      <c r="R20" s="176"/>
      <c r="S20" s="177"/>
    </row>
    <row r="21" spans="1:19" x14ac:dyDescent="0.25">
      <c r="A21" s="110">
        <f t="shared" si="4"/>
        <v>0</v>
      </c>
      <c r="B21" s="34" t="str">
        <f t="shared" si="0"/>
        <v/>
      </c>
      <c r="C21" s="35"/>
      <c r="D21" s="35"/>
      <c r="E21" s="35"/>
      <c r="F21" s="35"/>
      <c r="G21" s="22"/>
      <c r="H21" s="166">
        <v>16</v>
      </c>
      <c r="I21" s="167" t="str">
        <f t="shared" si="1"/>
        <v/>
      </c>
      <c r="J21" s="166" t="e">
        <f t="shared" si="5"/>
        <v>#NUM!</v>
      </c>
      <c r="K21" s="166" t="e">
        <f t="shared" si="2"/>
        <v>#NUM!</v>
      </c>
      <c r="L21" s="166"/>
      <c r="M21" s="168">
        <f t="shared" si="3"/>
        <v>0</v>
      </c>
    </row>
    <row r="22" spans="1:19" x14ac:dyDescent="0.25">
      <c r="A22" s="109">
        <f t="shared" si="4"/>
        <v>0</v>
      </c>
      <c r="B22" s="28" t="str">
        <f t="shared" si="0"/>
        <v/>
      </c>
      <c r="C22" s="29"/>
      <c r="D22" s="29"/>
      <c r="E22" s="29"/>
      <c r="F22" s="29"/>
      <c r="G22" s="22"/>
      <c r="H22" s="163">
        <v>17</v>
      </c>
      <c r="I22" s="164" t="str">
        <f t="shared" si="1"/>
        <v/>
      </c>
      <c r="J22" s="163" t="e">
        <f t="shared" si="5"/>
        <v>#NUM!</v>
      </c>
      <c r="K22" s="163" t="e">
        <f t="shared" si="2"/>
        <v>#NUM!</v>
      </c>
      <c r="L22" s="163"/>
      <c r="M22" s="165">
        <f t="shared" si="3"/>
        <v>0</v>
      </c>
    </row>
    <row r="23" spans="1:19" x14ac:dyDescent="0.25">
      <c r="A23" s="110">
        <f t="shared" si="4"/>
        <v>0</v>
      </c>
      <c r="B23" s="34" t="str">
        <f t="shared" si="0"/>
        <v/>
      </c>
      <c r="C23" s="35"/>
      <c r="D23" s="35"/>
      <c r="E23" s="35"/>
      <c r="F23" s="35"/>
      <c r="G23" s="22"/>
      <c r="H23" s="166">
        <v>18</v>
      </c>
      <c r="I23" s="167" t="str">
        <f t="shared" si="1"/>
        <v/>
      </c>
      <c r="J23" s="166" t="e">
        <f t="shared" si="5"/>
        <v>#NUM!</v>
      </c>
      <c r="K23" s="166" t="e">
        <f t="shared" si="2"/>
        <v>#NUM!</v>
      </c>
      <c r="L23" s="166"/>
      <c r="M23" s="168">
        <f t="shared" si="3"/>
        <v>0</v>
      </c>
    </row>
    <row r="24" spans="1:19" x14ac:dyDescent="0.25">
      <c r="A24" s="109">
        <f t="shared" si="4"/>
        <v>0</v>
      </c>
      <c r="B24" s="28" t="str">
        <f t="shared" si="0"/>
        <v/>
      </c>
      <c r="C24" s="29"/>
      <c r="D24" s="29"/>
      <c r="E24" s="29"/>
      <c r="F24" s="29"/>
      <c r="G24" s="22"/>
      <c r="H24" s="163">
        <v>19</v>
      </c>
      <c r="I24" s="164" t="str">
        <f t="shared" si="1"/>
        <v/>
      </c>
      <c r="J24" s="163" t="e">
        <f t="shared" si="5"/>
        <v>#NUM!</v>
      </c>
      <c r="K24" s="163" t="e">
        <f t="shared" si="2"/>
        <v>#NUM!</v>
      </c>
      <c r="L24" s="163"/>
      <c r="M24" s="165">
        <f t="shared" si="3"/>
        <v>0</v>
      </c>
      <c r="R24" s="176"/>
      <c r="S24" s="177"/>
    </row>
    <row r="25" spans="1:19" x14ac:dyDescent="0.25">
      <c r="A25" s="110">
        <f t="shared" si="4"/>
        <v>0</v>
      </c>
      <c r="B25" s="34" t="str">
        <f t="shared" si="0"/>
        <v/>
      </c>
      <c r="C25" s="35"/>
      <c r="D25" s="35"/>
      <c r="E25" s="35"/>
      <c r="F25" s="35"/>
      <c r="G25" s="22"/>
      <c r="H25" s="166">
        <v>20</v>
      </c>
      <c r="I25" s="167" t="str">
        <f t="shared" si="1"/>
        <v/>
      </c>
      <c r="J25" s="166" t="e">
        <f t="shared" si="5"/>
        <v>#NUM!</v>
      </c>
      <c r="K25" s="166" t="e">
        <f t="shared" si="2"/>
        <v>#NUM!</v>
      </c>
      <c r="L25" s="166"/>
      <c r="M25" s="168">
        <f t="shared" si="3"/>
        <v>0</v>
      </c>
    </row>
    <row r="26" spans="1:19" x14ac:dyDescent="0.25">
      <c r="A26" s="109">
        <f t="shared" si="4"/>
        <v>0</v>
      </c>
      <c r="B26" s="28" t="str">
        <f t="shared" si="0"/>
        <v/>
      </c>
      <c r="C26" s="29"/>
      <c r="D26" s="29"/>
      <c r="E26" s="29"/>
      <c r="F26" s="29"/>
      <c r="G26" s="22"/>
      <c r="H26" s="163">
        <v>21</v>
      </c>
      <c r="I26" s="164" t="str">
        <f t="shared" si="1"/>
        <v/>
      </c>
      <c r="J26" s="163" t="e">
        <f t="shared" si="5"/>
        <v>#NUM!</v>
      </c>
      <c r="K26" s="163" t="e">
        <f t="shared" si="2"/>
        <v>#NUM!</v>
      </c>
      <c r="L26" s="163"/>
      <c r="M26" s="165">
        <f t="shared" si="3"/>
        <v>0</v>
      </c>
    </row>
    <row r="27" spans="1:19" x14ac:dyDescent="0.25">
      <c r="A27" s="110">
        <f t="shared" si="4"/>
        <v>0</v>
      </c>
      <c r="B27" s="34" t="str">
        <f t="shared" si="0"/>
        <v/>
      </c>
      <c r="C27" s="35"/>
      <c r="D27" s="35"/>
      <c r="E27" s="35"/>
      <c r="F27" s="35"/>
      <c r="G27" s="22"/>
      <c r="H27" s="166">
        <v>22</v>
      </c>
      <c r="I27" s="167" t="str">
        <f t="shared" si="1"/>
        <v/>
      </c>
      <c r="J27" s="166" t="e">
        <f t="shared" si="5"/>
        <v>#NUM!</v>
      </c>
      <c r="K27" s="166" t="e">
        <f t="shared" si="2"/>
        <v>#NUM!</v>
      </c>
      <c r="L27" s="166"/>
      <c r="M27" s="168">
        <f t="shared" si="3"/>
        <v>0</v>
      </c>
    </row>
    <row r="28" spans="1:19" x14ac:dyDescent="0.25">
      <c r="A28" s="109">
        <f t="shared" si="4"/>
        <v>0</v>
      </c>
      <c r="B28" s="28" t="str">
        <f t="shared" si="0"/>
        <v/>
      </c>
      <c r="C28" s="29"/>
      <c r="D28" s="29"/>
      <c r="E28" s="29"/>
      <c r="F28" s="29"/>
      <c r="G28" s="22"/>
      <c r="H28" s="163">
        <v>23</v>
      </c>
      <c r="I28" s="164" t="str">
        <f t="shared" si="1"/>
        <v/>
      </c>
      <c r="J28" s="163" t="e">
        <f t="shared" si="5"/>
        <v>#NUM!</v>
      </c>
      <c r="K28" s="163" t="e">
        <f t="shared" si="2"/>
        <v>#NUM!</v>
      </c>
      <c r="L28" s="163"/>
      <c r="M28" s="165">
        <f t="shared" si="3"/>
        <v>0</v>
      </c>
      <c r="R28" s="176"/>
      <c r="S28" s="177"/>
    </row>
    <row r="29" spans="1:19" x14ac:dyDescent="0.25">
      <c r="A29" s="110">
        <f t="shared" si="4"/>
        <v>0</v>
      </c>
      <c r="B29" s="34" t="str">
        <f t="shared" si="0"/>
        <v/>
      </c>
      <c r="C29" s="35"/>
      <c r="D29" s="35"/>
      <c r="E29" s="35"/>
      <c r="F29" s="35"/>
      <c r="G29" s="151"/>
      <c r="H29" s="166">
        <v>24</v>
      </c>
      <c r="I29" s="167" t="str">
        <f t="shared" si="1"/>
        <v/>
      </c>
      <c r="J29" s="166" t="e">
        <f t="shared" si="5"/>
        <v>#NUM!</v>
      </c>
      <c r="K29" s="166" t="e">
        <f t="shared" si="2"/>
        <v>#NUM!</v>
      </c>
      <c r="L29" s="166"/>
      <c r="M29" s="168">
        <f t="shared" si="3"/>
        <v>0</v>
      </c>
    </row>
    <row r="30" spans="1:19" x14ac:dyDescent="0.25">
      <c r="A30" s="109">
        <f t="shared" si="4"/>
        <v>0</v>
      </c>
      <c r="B30" s="28" t="str">
        <f t="shared" si="0"/>
        <v/>
      </c>
      <c r="C30" s="29"/>
      <c r="D30" s="29"/>
      <c r="E30" s="29"/>
      <c r="F30" s="29"/>
      <c r="G30" s="151"/>
      <c r="H30" s="163">
        <v>25</v>
      </c>
      <c r="I30" s="164" t="str">
        <f t="shared" si="1"/>
        <v/>
      </c>
      <c r="J30" s="163" t="e">
        <f t="shared" si="5"/>
        <v>#NUM!</v>
      </c>
      <c r="K30" s="163" t="e">
        <f t="shared" si="2"/>
        <v>#NUM!</v>
      </c>
      <c r="L30" s="163"/>
      <c r="M30" s="165">
        <f t="shared" si="3"/>
        <v>0</v>
      </c>
    </row>
    <row r="31" spans="1:19" x14ac:dyDescent="0.25">
      <c r="A31" s="110">
        <f t="shared" si="4"/>
        <v>0</v>
      </c>
      <c r="B31" s="34" t="str">
        <f t="shared" si="0"/>
        <v/>
      </c>
      <c r="C31" s="35"/>
      <c r="D31" s="35"/>
      <c r="E31" s="35"/>
      <c r="F31" s="35"/>
      <c r="G31" s="151"/>
      <c r="H31" s="166">
        <v>26</v>
      </c>
      <c r="I31" s="167" t="str">
        <f t="shared" si="1"/>
        <v/>
      </c>
      <c r="J31" s="166" t="e">
        <f t="shared" si="5"/>
        <v>#NUM!</v>
      </c>
      <c r="K31" s="166" t="e">
        <f t="shared" si="2"/>
        <v>#NUM!</v>
      </c>
      <c r="L31" s="166"/>
      <c r="M31" s="168">
        <f t="shared" si="3"/>
        <v>0</v>
      </c>
    </row>
    <row r="32" spans="1:19" x14ac:dyDescent="0.25">
      <c r="A32" s="109">
        <f t="shared" si="4"/>
        <v>0</v>
      </c>
      <c r="B32" s="28" t="str">
        <f t="shared" si="0"/>
        <v/>
      </c>
      <c r="C32" s="29"/>
      <c r="D32" s="29"/>
      <c r="E32" s="29"/>
      <c r="F32" s="29"/>
      <c r="G32" s="151"/>
      <c r="H32" s="163">
        <v>27</v>
      </c>
      <c r="I32" s="164" t="str">
        <f t="shared" si="1"/>
        <v/>
      </c>
      <c r="J32" s="163" t="e">
        <f t="shared" si="5"/>
        <v>#NUM!</v>
      </c>
      <c r="K32" s="163" t="e">
        <f t="shared" si="2"/>
        <v>#NUM!</v>
      </c>
      <c r="L32" s="163"/>
      <c r="M32" s="165">
        <f t="shared" si="3"/>
        <v>0</v>
      </c>
      <c r="R32" s="176"/>
      <c r="S32" s="177"/>
    </row>
    <row r="33" spans="1:19" x14ac:dyDescent="0.25">
      <c r="A33" s="110">
        <f t="shared" si="4"/>
        <v>0</v>
      </c>
      <c r="B33" s="34" t="str">
        <f t="shared" si="0"/>
        <v/>
      </c>
      <c r="C33" s="35"/>
      <c r="D33" s="35"/>
      <c r="E33" s="35"/>
      <c r="F33" s="35"/>
      <c r="G33" s="151"/>
      <c r="H33" s="166">
        <v>28</v>
      </c>
      <c r="I33" s="167" t="str">
        <f t="shared" si="1"/>
        <v/>
      </c>
      <c r="J33" s="166" t="e">
        <f t="shared" si="5"/>
        <v>#NUM!</v>
      </c>
      <c r="K33" s="166" t="e">
        <f t="shared" si="2"/>
        <v>#NUM!</v>
      </c>
      <c r="L33" s="166"/>
      <c r="M33" s="168">
        <f t="shared" si="3"/>
        <v>0</v>
      </c>
    </row>
    <row r="34" spans="1:19" x14ac:dyDescent="0.25">
      <c r="A34" s="109">
        <f t="shared" si="4"/>
        <v>0</v>
      </c>
      <c r="B34" s="28" t="str">
        <f t="shared" si="0"/>
        <v/>
      </c>
      <c r="C34" s="29"/>
      <c r="D34" s="29"/>
      <c r="E34" s="29"/>
      <c r="F34" s="29"/>
      <c r="G34" s="151"/>
      <c r="H34" s="163">
        <v>29</v>
      </c>
      <c r="I34" s="164" t="str">
        <f t="shared" si="1"/>
        <v/>
      </c>
      <c r="J34" s="163" t="e">
        <f t="shared" si="5"/>
        <v>#NUM!</v>
      </c>
      <c r="K34" s="163" t="e">
        <f t="shared" si="2"/>
        <v>#NUM!</v>
      </c>
      <c r="L34" s="163"/>
      <c r="M34" s="165">
        <f t="shared" si="3"/>
        <v>0</v>
      </c>
    </row>
    <row r="35" spans="1:19" x14ac:dyDescent="0.25">
      <c r="A35" s="110">
        <f t="shared" si="4"/>
        <v>0</v>
      </c>
      <c r="B35" s="34" t="str">
        <f t="shared" si="0"/>
        <v/>
      </c>
      <c r="C35" s="35"/>
      <c r="D35" s="35"/>
      <c r="E35" s="35"/>
      <c r="F35" s="35"/>
      <c r="G35" s="151"/>
      <c r="H35" s="166">
        <v>30</v>
      </c>
      <c r="I35" s="167" t="str">
        <f t="shared" si="1"/>
        <v/>
      </c>
      <c r="J35" s="166" t="e">
        <f t="shared" si="5"/>
        <v>#NUM!</v>
      </c>
      <c r="K35" s="166" t="e">
        <f t="shared" si="2"/>
        <v>#NUM!</v>
      </c>
      <c r="L35" s="166"/>
      <c r="M35" s="168">
        <f t="shared" si="3"/>
        <v>0</v>
      </c>
    </row>
    <row r="36" spans="1:19" x14ac:dyDescent="0.25">
      <c r="A36" s="109">
        <f t="shared" si="4"/>
        <v>0</v>
      </c>
      <c r="B36" s="28" t="str">
        <f t="shared" si="0"/>
        <v/>
      </c>
      <c r="C36" s="29"/>
      <c r="D36" s="29"/>
      <c r="E36" s="29"/>
      <c r="F36" s="29"/>
      <c r="G36" s="151"/>
      <c r="H36" s="163">
        <v>31</v>
      </c>
      <c r="I36" s="164" t="str">
        <f t="shared" si="1"/>
        <v/>
      </c>
      <c r="J36" s="163" t="e">
        <f t="shared" si="5"/>
        <v>#NUM!</v>
      </c>
      <c r="K36" s="163" t="e">
        <f t="shared" si="2"/>
        <v>#NUM!</v>
      </c>
      <c r="L36" s="163"/>
      <c r="M36" s="165">
        <f t="shared" si="3"/>
        <v>0</v>
      </c>
      <c r="R36" s="176"/>
      <c r="S36" s="177"/>
    </row>
    <row r="37" spans="1:19" x14ac:dyDescent="0.25">
      <c r="A37" s="110">
        <f t="shared" si="4"/>
        <v>0</v>
      </c>
      <c r="B37" s="34" t="str">
        <f t="shared" si="0"/>
        <v/>
      </c>
      <c r="C37" s="35"/>
      <c r="D37" s="35"/>
      <c r="E37" s="35"/>
      <c r="F37" s="35"/>
      <c r="G37" s="151"/>
      <c r="H37" s="166">
        <v>32</v>
      </c>
      <c r="I37" s="167" t="str">
        <f t="shared" si="1"/>
        <v/>
      </c>
      <c r="J37" s="166" t="e">
        <f t="shared" si="5"/>
        <v>#NUM!</v>
      </c>
      <c r="K37" s="166" t="e">
        <f t="shared" si="2"/>
        <v>#NUM!</v>
      </c>
      <c r="L37" s="166"/>
      <c r="M37" s="168">
        <f t="shared" si="3"/>
        <v>0</v>
      </c>
    </row>
    <row r="38" spans="1:19" x14ac:dyDescent="0.25">
      <c r="A38" s="109">
        <f t="shared" si="4"/>
        <v>0</v>
      </c>
      <c r="B38" s="28" t="str">
        <f t="shared" si="0"/>
        <v/>
      </c>
      <c r="C38" s="29"/>
      <c r="D38" s="29"/>
      <c r="E38" s="29"/>
      <c r="F38" s="29"/>
      <c r="G38" s="151"/>
      <c r="H38" s="163">
        <v>33</v>
      </c>
      <c r="I38" s="164" t="str">
        <f t="shared" si="1"/>
        <v/>
      </c>
      <c r="J38" s="163" t="e">
        <f t="shared" si="5"/>
        <v>#NUM!</v>
      </c>
      <c r="K38" s="163" t="e">
        <f t="shared" si="2"/>
        <v>#NUM!</v>
      </c>
      <c r="L38" s="163"/>
      <c r="M38" s="165">
        <f t="shared" si="3"/>
        <v>0</v>
      </c>
    </row>
    <row r="39" spans="1:19" x14ac:dyDescent="0.25">
      <c r="A39" s="110">
        <f t="shared" si="4"/>
        <v>0</v>
      </c>
      <c r="B39" s="34" t="str">
        <f t="shared" si="0"/>
        <v/>
      </c>
      <c r="C39" s="35"/>
      <c r="D39" s="35"/>
      <c r="E39" s="35"/>
      <c r="F39" s="35"/>
      <c r="G39" s="151"/>
      <c r="H39" s="166">
        <v>34</v>
      </c>
      <c r="I39" s="167" t="str">
        <f t="shared" si="1"/>
        <v/>
      </c>
      <c r="J39" s="166" t="e">
        <f t="shared" si="5"/>
        <v>#NUM!</v>
      </c>
      <c r="K39" s="166" t="e">
        <f t="shared" si="2"/>
        <v>#NUM!</v>
      </c>
      <c r="L39" s="166"/>
      <c r="M39" s="168">
        <f t="shared" si="3"/>
        <v>0</v>
      </c>
    </row>
    <row r="40" spans="1:19" x14ac:dyDescent="0.25">
      <c r="A40" s="109">
        <f t="shared" si="4"/>
        <v>0</v>
      </c>
      <c r="B40" s="28" t="str">
        <f t="shared" si="0"/>
        <v/>
      </c>
      <c r="C40" s="29"/>
      <c r="D40" s="29"/>
      <c r="E40" s="29"/>
      <c r="F40" s="29"/>
      <c r="G40" s="151"/>
      <c r="H40" s="163">
        <v>35</v>
      </c>
      <c r="I40" s="164" t="str">
        <f t="shared" si="1"/>
        <v/>
      </c>
      <c r="J40" s="163" t="e">
        <f t="shared" si="5"/>
        <v>#NUM!</v>
      </c>
      <c r="K40" s="163" t="e">
        <f t="shared" si="2"/>
        <v>#NUM!</v>
      </c>
      <c r="L40" s="163"/>
      <c r="M40" s="165">
        <f t="shared" si="3"/>
        <v>0</v>
      </c>
    </row>
    <row r="41" spans="1:19" x14ac:dyDescent="0.25">
      <c r="A41" s="110">
        <f t="shared" si="4"/>
        <v>0</v>
      </c>
      <c r="B41" s="34" t="str">
        <f t="shared" si="0"/>
        <v/>
      </c>
      <c r="C41" s="35"/>
      <c r="D41" s="35"/>
      <c r="E41" s="35"/>
      <c r="F41" s="35"/>
      <c r="G41" s="151"/>
      <c r="H41" s="166">
        <v>36</v>
      </c>
      <c r="I41" s="167" t="str">
        <f t="shared" si="1"/>
        <v/>
      </c>
      <c r="J41" s="166" t="e">
        <f t="shared" si="5"/>
        <v>#NUM!</v>
      </c>
      <c r="K41" s="166" t="e">
        <f t="shared" si="2"/>
        <v>#NUM!</v>
      </c>
      <c r="L41" s="166"/>
      <c r="M41" s="168">
        <f t="shared" si="3"/>
        <v>0</v>
      </c>
      <c r="S41" s="178"/>
    </row>
    <row r="42" spans="1:19" x14ac:dyDescent="0.25">
      <c r="A42" s="109">
        <f t="shared" si="4"/>
        <v>0</v>
      </c>
      <c r="B42" s="28" t="str">
        <f t="shared" si="0"/>
        <v/>
      </c>
      <c r="C42" s="29"/>
      <c r="D42" s="29"/>
      <c r="E42" s="29"/>
      <c r="F42" s="29"/>
      <c r="G42" s="151"/>
      <c r="H42" s="163">
        <v>37</v>
      </c>
      <c r="I42" s="164" t="str">
        <f t="shared" si="1"/>
        <v/>
      </c>
      <c r="J42" s="163" t="e">
        <f t="shared" si="5"/>
        <v>#NUM!</v>
      </c>
      <c r="K42" s="163" t="e">
        <f t="shared" si="2"/>
        <v>#NUM!</v>
      </c>
      <c r="L42" s="163"/>
      <c r="M42" s="165">
        <f t="shared" si="3"/>
        <v>0</v>
      </c>
    </row>
    <row r="43" spans="1:19" x14ac:dyDescent="0.25">
      <c r="A43" s="110">
        <f t="shared" si="4"/>
        <v>0</v>
      </c>
      <c r="B43" s="34" t="str">
        <f t="shared" si="0"/>
        <v/>
      </c>
      <c r="C43" s="35"/>
      <c r="D43" s="35"/>
      <c r="E43" s="35"/>
      <c r="F43" s="35"/>
      <c r="G43" s="151"/>
      <c r="H43" s="166">
        <v>38</v>
      </c>
      <c r="I43" s="167" t="str">
        <f t="shared" si="1"/>
        <v/>
      </c>
      <c r="J43" s="166" t="e">
        <f t="shared" si="5"/>
        <v>#NUM!</v>
      </c>
      <c r="K43" s="166" t="e">
        <f t="shared" si="2"/>
        <v>#NUM!</v>
      </c>
      <c r="L43" s="166"/>
      <c r="M43" s="168">
        <f t="shared" si="3"/>
        <v>0</v>
      </c>
    </row>
    <row r="44" spans="1:19" x14ac:dyDescent="0.25">
      <c r="A44" s="109">
        <f t="shared" si="4"/>
        <v>0</v>
      </c>
      <c r="B44" s="28" t="str">
        <f t="shared" si="0"/>
        <v/>
      </c>
      <c r="C44" s="29"/>
      <c r="D44" s="29"/>
      <c r="E44" s="29"/>
      <c r="F44" s="29"/>
      <c r="G44" s="151"/>
      <c r="H44" s="163">
        <v>39</v>
      </c>
      <c r="I44" s="164" t="str">
        <f t="shared" si="1"/>
        <v/>
      </c>
      <c r="J44" s="163" t="e">
        <f t="shared" si="5"/>
        <v>#NUM!</v>
      </c>
      <c r="K44" s="163" t="e">
        <f t="shared" si="2"/>
        <v>#NUM!</v>
      </c>
      <c r="L44" s="163"/>
      <c r="M44" s="165">
        <f t="shared" si="3"/>
        <v>0</v>
      </c>
    </row>
    <row r="45" spans="1:19" x14ac:dyDescent="0.25">
      <c r="A45" s="110">
        <f t="shared" si="4"/>
        <v>0</v>
      </c>
      <c r="B45" s="34" t="str">
        <f t="shared" si="0"/>
        <v/>
      </c>
      <c r="C45" s="35"/>
      <c r="D45" s="35"/>
      <c r="E45" s="35"/>
      <c r="F45" s="35"/>
      <c r="G45" s="151"/>
      <c r="H45" s="166">
        <v>40</v>
      </c>
      <c r="I45" s="167" t="str">
        <f t="shared" si="1"/>
        <v/>
      </c>
      <c r="J45" s="166" t="e">
        <f t="shared" si="5"/>
        <v>#NUM!</v>
      </c>
      <c r="K45" s="166" t="e">
        <f t="shared" si="2"/>
        <v>#NUM!</v>
      </c>
      <c r="L45" s="166"/>
      <c r="M45" s="168">
        <f t="shared" si="3"/>
        <v>0</v>
      </c>
    </row>
    <row r="46" spans="1:19" x14ac:dyDescent="0.25">
      <c r="A46" s="109">
        <f t="shared" si="4"/>
        <v>0</v>
      </c>
      <c r="B46" s="28" t="str">
        <f t="shared" si="0"/>
        <v/>
      </c>
      <c r="C46" s="29"/>
      <c r="D46" s="29"/>
      <c r="E46" s="29"/>
      <c r="F46" s="29"/>
      <c r="G46" s="151"/>
      <c r="H46" s="163">
        <v>41</v>
      </c>
      <c r="I46" s="164" t="str">
        <f t="shared" si="1"/>
        <v/>
      </c>
      <c r="J46" s="163" t="e">
        <f t="shared" si="5"/>
        <v>#NUM!</v>
      </c>
      <c r="K46" s="163" t="e">
        <f t="shared" si="2"/>
        <v>#NUM!</v>
      </c>
      <c r="L46" s="163"/>
      <c r="M46" s="165">
        <f t="shared" si="3"/>
        <v>0</v>
      </c>
    </row>
    <row r="47" spans="1:19" x14ac:dyDescent="0.25">
      <c r="A47" s="110">
        <f t="shared" si="4"/>
        <v>0</v>
      </c>
      <c r="B47" s="34" t="str">
        <f t="shared" si="0"/>
        <v/>
      </c>
      <c r="C47" s="35"/>
      <c r="D47" s="35"/>
      <c r="E47" s="35"/>
      <c r="F47" s="35"/>
      <c r="G47" s="151"/>
      <c r="H47" s="166">
        <v>42</v>
      </c>
      <c r="I47" s="167" t="str">
        <f t="shared" si="1"/>
        <v/>
      </c>
      <c r="J47" s="166" t="e">
        <f t="shared" si="5"/>
        <v>#NUM!</v>
      </c>
      <c r="K47" s="166" t="e">
        <f t="shared" si="2"/>
        <v>#NUM!</v>
      </c>
      <c r="L47" s="166"/>
      <c r="M47" s="168">
        <f t="shared" si="3"/>
        <v>0</v>
      </c>
    </row>
    <row r="48" spans="1:19" x14ac:dyDescent="0.25">
      <c r="A48" s="109">
        <f t="shared" si="4"/>
        <v>0</v>
      </c>
      <c r="B48" s="28" t="str">
        <f t="shared" si="0"/>
        <v/>
      </c>
      <c r="C48" s="29"/>
      <c r="D48" s="29"/>
      <c r="E48" s="29"/>
      <c r="F48" s="29"/>
      <c r="G48" s="151"/>
      <c r="H48" s="163">
        <v>43</v>
      </c>
      <c r="I48" s="164" t="str">
        <f t="shared" si="1"/>
        <v/>
      </c>
      <c r="J48" s="163" t="e">
        <f t="shared" si="5"/>
        <v>#NUM!</v>
      </c>
      <c r="K48" s="163" t="e">
        <f t="shared" si="2"/>
        <v>#NUM!</v>
      </c>
      <c r="L48" s="163"/>
      <c r="M48" s="165">
        <f t="shared" si="3"/>
        <v>0</v>
      </c>
    </row>
    <row r="49" spans="1:38" x14ac:dyDescent="0.25">
      <c r="A49" s="110">
        <f t="shared" si="4"/>
        <v>0</v>
      </c>
      <c r="B49" s="34" t="str">
        <f t="shared" si="0"/>
        <v/>
      </c>
      <c r="C49" s="35"/>
      <c r="D49" s="35"/>
      <c r="E49" s="35"/>
      <c r="F49" s="35"/>
      <c r="G49" s="151"/>
      <c r="H49" s="166">
        <v>44</v>
      </c>
      <c r="I49" s="167" t="str">
        <f t="shared" si="1"/>
        <v/>
      </c>
      <c r="J49" s="166" t="e">
        <f t="shared" si="5"/>
        <v>#NUM!</v>
      </c>
      <c r="K49" s="166" t="e">
        <f t="shared" si="2"/>
        <v>#NUM!</v>
      </c>
      <c r="L49" s="166"/>
      <c r="M49" s="168">
        <f t="shared" si="3"/>
        <v>0</v>
      </c>
    </row>
    <row r="50" spans="1:38" x14ac:dyDescent="0.25">
      <c r="A50" s="109">
        <f t="shared" si="4"/>
        <v>0</v>
      </c>
      <c r="B50" s="28" t="str">
        <f t="shared" si="0"/>
        <v/>
      </c>
      <c r="C50" s="29"/>
      <c r="D50" s="29"/>
      <c r="E50" s="29"/>
      <c r="F50" s="29"/>
      <c r="G50" s="151"/>
      <c r="H50" s="163">
        <v>45</v>
      </c>
      <c r="I50" s="164" t="str">
        <f t="shared" si="1"/>
        <v/>
      </c>
      <c r="J50" s="163" t="e">
        <f t="shared" si="5"/>
        <v>#NUM!</v>
      </c>
      <c r="K50" s="163" t="e">
        <f t="shared" si="2"/>
        <v>#NUM!</v>
      </c>
      <c r="L50" s="163"/>
      <c r="M50" s="165">
        <f t="shared" si="3"/>
        <v>0</v>
      </c>
    </row>
    <row r="51" spans="1:38" x14ac:dyDescent="0.25">
      <c r="A51" s="110">
        <f t="shared" si="4"/>
        <v>0</v>
      </c>
      <c r="B51" s="34" t="str">
        <f t="shared" si="0"/>
        <v/>
      </c>
      <c r="C51" s="35"/>
      <c r="D51" s="35"/>
      <c r="E51" s="35"/>
      <c r="F51" s="35"/>
      <c r="G51" s="151"/>
      <c r="H51" s="166">
        <v>46</v>
      </c>
      <c r="I51" s="167" t="str">
        <f t="shared" si="1"/>
        <v/>
      </c>
      <c r="J51" s="166" t="e">
        <f t="shared" si="5"/>
        <v>#NUM!</v>
      </c>
      <c r="K51" s="166" t="e">
        <f t="shared" si="2"/>
        <v>#NUM!</v>
      </c>
      <c r="L51" s="166"/>
      <c r="M51" s="168">
        <f t="shared" si="3"/>
        <v>0</v>
      </c>
    </row>
    <row r="52" spans="1:38" x14ac:dyDescent="0.25">
      <c r="A52" s="109">
        <f t="shared" si="4"/>
        <v>0</v>
      </c>
      <c r="B52" s="28" t="str">
        <f t="shared" si="0"/>
        <v/>
      </c>
      <c r="C52" s="29"/>
      <c r="D52" s="29"/>
      <c r="E52" s="29"/>
      <c r="F52" s="29"/>
      <c r="G52" s="151"/>
      <c r="H52" s="163">
        <v>47</v>
      </c>
      <c r="I52" s="164" t="str">
        <f t="shared" si="1"/>
        <v/>
      </c>
      <c r="J52" s="163" t="e">
        <f t="shared" si="5"/>
        <v>#NUM!</v>
      </c>
      <c r="K52" s="163" t="e">
        <f t="shared" si="2"/>
        <v>#NUM!</v>
      </c>
      <c r="L52" s="163"/>
      <c r="M52" s="165">
        <f t="shared" si="3"/>
        <v>0</v>
      </c>
    </row>
    <row r="53" spans="1:38" x14ac:dyDescent="0.25">
      <c r="A53" s="110">
        <f t="shared" si="4"/>
        <v>0</v>
      </c>
      <c r="B53" s="34" t="str">
        <f t="shared" si="0"/>
        <v/>
      </c>
      <c r="C53" s="35"/>
      <c r="D53" s="35"/>
      <c r="E53" s="35"/>
      <c r="F53" s="35"/>
      <c r="G53" s="151"/>
      <c r="H53" s="166">
        <v>48</v>
      </c>
      <c r="I53" s="167" t="str">
        <f t="shared" si="1"/>
        <v/>
      </c>
      <c r="J53" s="166" t="e">
        <f t="shared" si="5"/>
        <v>#NUM!</v>
      </c>
      <c r="K53" s="166" t="e">
        <f t="shared" si="2"/>
        <v>#NUM!</v>
      </c>
      <c r="L53" s="166"/>
      <c r="M53" s="168">
        <f t="shared" si="3"/>
        <v>0</v>
      </c>
    </row>
    <row r="54" spans="1:38" x14ac:dyDescent="0.25">
      <c r="A54" s="109">
        <f t="shared" si="4"/>
        <v>0</v>
      </c>
      <c r="B54" s="28" t="str">
        <f t="shared" si="0"/>
        <v/>
      </c>
      <c r="C54" s="29"/>
      <c r="D54" s="29"/>
      <c r="E54" s="29"/>
      <c r="F54" s="29"/>
      <c r="G54" s="151"/>
      <c r="H54" s="163">
        <v>49</v>
      </c>
      <c r="I54" s="164" t="str">
        <f t="shared" si="1"/>
        <v/>
      </c>
      <c r="J54" s="163" t="e">
        <f t="shared" si="5"/>
        <v>#NUM!</v>
      </c>
      <c r="K54" s="163" t="e">
        <f t="shared" si="2"/>
        <v>#NUM!</v>
      </c>
      <c r="L54" s="163"/>
      <c r="M54" s="165">
        <f t="shared" si="3"/>
        <v>0</v>
      </c>
    </row>
    <row r="55" spans="1:38" x14ac:dyDescent="0.25">
      <c r="A55" s="110">
        <f t="shared" si="4"/>
        <v>0</v>
      </c>
      <c r="B55" s="34" t="str">
        <f t="shared" si="0"/>
        <v/>
      </c>
      <c r="C55" s="35"/>
      <c r="D55" s="35"/>
      <c r="E55" s="35"/>
      <c r="F55" s="35"/>
      <c r="G55" s="151"/>
      <c r="H55" s="166">
        <v>50</v>
      </c>
      <c r="I55" s="167" t="str">
        <f t="shared" si="1"/>
        <v/>
      </c>
      <c r="J55" s="166" t="e">
        <f t="shared" si="5"/>
        <v>#NUM!</v>
      </c>
      <c r="K55" s="166" t="e">
        <f t="shared" si="2"/>
        <v>#NUM!</v>
      </c>
      <c r="L55" s="166"/>
      <c r="M55" s="168">
        <f t="shared" si="3"/>
        <v>0</v>
      </c>
    </row>
    <row r="56" spans="1:38" x14ac:dyDescent="0.25">
      <c r="A56" s="109">
        <f t="shared" si="4"/>
        <v>0</v>
      </c>
      <c r="B56" s="28" t="str">
        <f t="shared" si="0"/>
        <v/>
      </c>
      <c r="C56" s="29"/>
      <c r="D56" s="29"/>
      <c r="E56" s="29"/>
      <c r="F56" s="29"/>
      <c r="G56" s="151"/>
      <c r="H56" s="163">
        <v>51</v>
      </c>
      <c r="I56" s="164" t="str">
        <f t="shared" si="1"/>
        <v/>
      </c>
      <c r="J56" s="163" t="e">
        <f t="shared" si="5"/>
        <v>#NUM!</v>
      </c>
      <c r="K56" s="163" t="e">
        <f t="shared" si="2"/>
        <v>#NUM!</v>
      </c>
      <c r="L56" s="163"/>
      <c r="M56" s="165">
        <f t="shared" si="3"/>
        <v>0</v>
      </c>
    </row>
    <row r="57" spans="1:38" s="151" customFormat="1" x14ac:dyDescent="0.25">
      <c r="A57" s="110">
        <f t="shared" si="4"/>
        <v>0</v>
      </c>
      <c r="B57" s="34" t="str">
        <f t="shared" si="0"/>
        <v/>
      </c>
      <c r="C57" s="35"/>
      <c r="D57" s="35"/>
      <c r="E57" s="35"/>
      <c r="F57" s="35"/>
      <c r="H57" s="166">
        <v>52</v>
      </c>
      <c r="I57" s="167" t="str">
        <f t="shared" si="1"/>
        <v/>
      </c>
      <c r="J57" s="166" t="e">
        <f t="shared" si="5"/>
        <v>#NUM!</v>
      </c>
      <c r="K57" s="166" t="e">
        <f t="shared" si="2"/>
        <v>#NUM!</v>
      </c>
      <c r="L57" s="166"/>
      <c r="M57" s="168">
        <f t="shared" si="3"/>
        <v>0</v>
      </c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</row>
    <row r="58" spans="1:38" s="151" customFormat="1" x14ac:dyDescent="0.25">
      <c r="A58" s="109">
        <f t="shared" si="4"/>
        <v>0</v>
      </c>
      <c r="B58" s="28" t="str">
        <f t="shared" si="0"/>
        <v/>
      </c>
      <c r="C58" s="29"/>
      <c r="D58" s="29"/>
      <c r="E58" s="29"/>
      <c r="F58" s="29"/>
      <c r="H58" s="163">
        <v>53</v>
      </c>
      <c r="I58" s="164" t="str">
        <f t="shared" si="1"/>
        <v/>
      </c>
      <c r="J58" s="163" t="e">
        <f t="shared" si="5"/>
        <v>#NUM!</v>
      </c>
      <c r="K58" s="163" t="e">
        <f t="shared" si="2"/>
        <v>#NUM!</v>
      </c>
      <c r="L58" s="163"/>
      <c r="M58" s="165">
        <f t="shared" si="3"/>
        <v>0</v>
      </c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</row>
    <row r="59" spans="1:38" s="151" customFormat="1" x14ac:dyDescent="0.25">
      <c r="A59" s="110">
        <f t="shared" si="4"/>
        <v>0</v>
      </c>
      <c r="B59" s="34" t="str">
        <f t="shared" si="0"/>
        <v/>
      </c>
      <c r="C59" s="35"/>
      <c r="D59" s="35"/>
      <c r="E59" s="35"/>
      <c r="F59" s="35"/>
      <c r="H59" s="166">
        <v>54</v>
      </c>
      <c r="I59" s="167" t="str">
        <f t="shared" si="1"/>
        <v/>
      </c>
      <c r="J59" s="166" t="e">
        <f t="shared" si="5"/>
        <v>#NUM!</v>
      </c>
      <c r="K59" s="166" t="e">
        <f t="shared" si="2"/>
        <v>#NUM!</v>
      </c>
      <c r="L59" s="166"/>
      <c r="M59" s="168">
        <f t="shared" si="3"/>
        <v>0</v>
      </c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</row>
    <row r="60" spans="1:38" s="151" customFormat="1" x14ac:dyDescent="0.25">
      <c r="A60" s="109">
        <f t="shared" si="4"/>
        <v>0</v>
      </c>
      <c r="B60" s="28" t="str">
        <f t="shared" si="0"/>
        <v/>
      </c>
      <c r="C60" s="29"/>
      <c r="D60" s="29"/>
      <c r="E60" s="29"/>
      <c r="F60" s="29"/>
      <c r="H60" s="163">
        <v>55</v>
      </c>
      <c r="I60" s="164" t="str">
        <f t="shared" si="1"/>
        <v/>
      </c>
      <c r="J60" s="163" t="e">
        <f t="shared" si="5"/>
        <v>#NUM!</v>
      </c>
      <c r="K60" s="163" t="e">
        <f t="shared" si="2"/>
        <v>#NUM!</v>
      </c>
      <c r="L60" s="163"/>
      <c r="M60" s="165">
        <f t="shared" si="3"/>
        <v>0</v>
      </c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</row>
    <row r="61" spans="1:38" s="151" customFormat="1" x14ac:dyDescent="0.25">
      <c r="A61" s="110">
        <f t="shared" si="4"/>
        <v>0</v>
      </c>
      <c r="B61" s="34" t="str">
        <f t="shared" si="0"/>
        <v/>
      </c>
      <c r="C61" s="35"/>
      <c r="D61" s="35"/>
      <c r="E61" s="35"/>
      <c r="F61" s="35"/>
      <c r="H61" s="166">
        <v>56</v>
      </c>
      <c r="I61" s="167" t="str">
        <f t="shared" si="1"/>
        <v/>
      </c>
      <c r="J61" s="166" t="e">
        <f t="shared" si="5"/>
        <v>#NUM!</v>
      </c>
      <c r="K61" s="166" t="e">
        <f t="shared" si="2"/>
        <v>#NUM!</v>
      </c>
      <c r="L61" s="166"/>
      <c r="M61" s="168">
        <f t="shared" si="3"/>
        <v>0</v>
      </c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</row>
    <row r="62" spans="1:38" s="151" customFormat="1" x14ac:dyDescent="0.25">
      <c r="A62" s="109">
        <f t="shared" si="4"/>
        <v>0</v>
      </c>
      <c r="B62" s="28" t="str">
        <f t="shared" si="0"/>
        <v/>
      </c>
      <c r="C62" s="29"/>
      <c r="D62" s="29"/>
      <c r="E62" s="29"/>
      <c r="F62" s="29"/>
      <c r="H62" s="163">
        <v>57</v>
      </c>
      <c r="I62" s="164" t="str">
        <f t="shared" si="1"/>
        <v/>
      </c>
      <c r="J62" s="163" t="e">
        <f t="shared" si="5"/>
        <v>#NUM!</v>
      </c>
      <c r="K62" s="163" t="e">
        <f t="shared" si="2"/>
        <v>#NUM!</v>
      </c>
      <c r="L62" s="163"/>
      <c r="M62" s="165">
        <f t="shared" si="3"/>
        <v>0</v>
      </c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</row>
    <row r="63" spans="1:38" s="151" customFormat="1" x14ac:dyDescent="0.25">
      <c r="A63" s="110">
        <f t="shared" si="4"/>
        <v>0</v>
      </c>
      <c r="B63" s="34" t="str">
        <f t="shared" si="0"/>
        <v/>
      </c>
      <c r="C63" s="35"/>
      <c r="D63" s="35"/>
      <c r="E63" s="35"/>
      <c r="F63" s="35"/>
      <c r="H63" s="166">
        <v>58</v>
      </c>
      <c r="I63" s="167" t="str">
        <f t="shared" si="1"/>
        <v/>
      </c>
      <c r="J63" s="166" t="e">
        <f t="shared" si="5"/>
        <v>#NUM!</v>
      </c>
      <c r="K63" s="166" t="e">
        <f t="shared" si="2"/>
        <v>#NUM!</v>
      </c>
      <c r="L63" s="166"/>
      <c r="M63" s="168">
        <f t="shared" si="3"/>
        <v>0</v>
      </c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</row>
    <row r="64" spans="1:38" s="151" customFormat="1" x14ac:dyDescent="0.25">
      <c r="A64" s="109">
        <f t="shared" si="4"/>
        <v>0</v>
      </c>
      <c r="B64" s="28" t="str">
        <f t="shared" si="0"/>
        <v/>
      </c>
      <c r="C64" s="29"/>
      <c r="D64" s="29"/>
      <c r="E64" s="29"/>
      <c r="F64" s="29"/>
      <c r="H64" s="163">
        <v>59</v>
      </c>
      <c r="I64" s="164" t="str">
        <f t="shared" si="1"/>
        <v/>
      </c>
      <c r="J64" s="163" t="e">
        <f t="shared" si="5"/>
        <v>#NUM!</v>
      </c>
      <c r="K64" s="163" t="e">
        <f t="shared" si="2"/>
        <v>#NUM!</v>
      </c>
      <c r="L64" s="163"/>
      <c r="M64" s="165">
        <f t="shared" si="3"/>
        <v>0</v>
      </c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</row>
    <row r="65" spans="1:38" s="151" customFormat="1" x14ac:dyDescent="0.25">
      <c r="A65" s="110">
        <f t="shared" si="4"/>
        <v>0</v>
      </c>
      <c r="B65" s="34" t="str">
        <f t="shared" si="0"/>
        <v/>
      </c>
      <c r="C65" s="35"/>
      <c r="D65" s="35"/>
      <c r="E65" s="35"/>
      <c r="F65" s="35"/>
      <c r="H65" s="166">
        <v>60</v>
      </c>
      <c r="I65" s="167" t="str">
        <f t="shared" si="1"/>
        <v/>
      </c>
      <c r="J65" s="166" t="e">
        <f t="shared" si="5"/>
        <v>#NUM!</v>
      </c>
      <c r="K65" s="166" t="e">
        <f t="shared" si="2"/>
        <v>#NUM!</v>
      </c>
      <c r="L65" s="166"/>
      <c r="M65" s="168">
        <f t="shared" si="3"/>
        <v>0</v>
      </c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</row>
    <row r="66" spans="1:38" s="151" customFormat="1" x14ac:dyDescent="0.25">
      <c r="A66" s="109">
        <f t="shared" si="4"/>
        <v>0</v>
      </c>
      <c r="B66" s="28" t="str">
        <f t="shared" si="0"/>
        <v/>
      </c>
      <c r="C66" s="29"/>
      <c r="D66" s="29"/>
      <c r="E66" s="29"/>
      <c r="F66" s="29"/>
      <c r="H66" s="163">
        <v>61</v>
      </c>
      <c r="I66" s="164" t="str">
        <f t="shared" si="1"/>
        <v/>
      </c>
      <c r="J66" s="163" t="e">
        <f t="shared" si="5"/>
        <v>#NUM!</v>
      </c>
      <c r="K66" s="163" t="e">
        <f t="shared" si="2"/>
        <v>#NUM!</v>
      </c>
      <c r="L66" s="163"/>
      <c r="M66" s="165">
        <f t="shared" si="3"/>
        <v>0</v>
      </c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</row>
    <row r="67" spans="1:38" s="151" customFormat="1" x14ac:dyDescent="0.25">
      <c r="A67" s="110">
        <f t="shared" si="4"/>
        <v>0</v>
      </c>
      <c r="B67" s="34" t="str">
        <f t="shared" si="0"/>
        <v/>
      </c>
      <c r="C67" s="35"/>
      <c r="D67" s="35"/>
      <c r="E67" s="35"/>
      <c r="F67" s="35"/>
      <c r="H67" s="166">
        <v>62</v>
      </c>
      <c r="I67" s="167" t="str">
        <f t="shared" si="1"/>
        <v/>
      </c>
      <c r="J67" s="166" t="e">
        <f t="shared" si="5"/>
        <v>#NUM!</v>
      </c>
      <c r="K67" s="166" t="e">
        <f t="shared" si="2"/>
        <v>#NUM!</v>
      </c>
      <c r="L67" s="166"/>
      <c r="M67" s="168">
        <f t="shared" si="3"/>
        <v>0</v>
      </c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</row>
    <row r="68" spans="1:38" s="151" customFormat="1" x14ac:dyDescent="0.25">
      <c r="A68" s="109">
        <f t="shared" si="4"/>
        <v>0</v>
      </c>
      <c r="B68" s="28" t="str">
        <f t="shared" si="0"/>
        <v/>
      </c>
      <c r="C68" s="29"/>
      <c r="D68" s="29"/>
      <c r="E68" s="29"/>
      <c r="F68" s="29"/>
      <c r="H68" s="163">
        <v>63</v>
      </c>
      <c r="I68" s="164" t="str">
        <f t="shared" si="1"/>
        <v/>
      </c>
      <c r="J68" s="163" t="e">
        <f t="shared" si="5"/>
        <v>#NUM!</v>
      </c>
      <c r="K68" s="163" t="e">
        <f t="shared" si="2"/>
        <v>#NUM!</v>
      </c>
      <c r="L68" s="163"/>
      <c r="M68" s="165">
        <f t="shared" si="3"/>
        <v>0</v>
      </c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</row>
    <row r="69" spans="1:38" s="151" customFormat="1" x14ac:dyDescent="0.25">
      <c r="A69" s="110">
        <f t="shared" si="4"/>
        <v>0</v>
      </c>
      <c r="B69" s="34" t="str">
        <f t="shared" si="0"/>
        <v/>
      </c>
      <c r="C69" s="35"/>
      <c r="D69" s="35"/>
      <c r="E69" s="35"/>
      <c r="F69" s="35"/>
      <c r="H69" s="166">
        <v>64</v>
      </c>
      <c r="I69" s="167" t="str">
        <f t="shared" si="1"/>
        <v/>
      </c>
      <c r="J69" s="166" t="e">
        <f t="shared" si="5"/>
        <v>#NUM!</v>
      </c>
      <c r="K69" s="166" t="e">
        <f t="shared" si="2"/>
        <v>#NUM!</v>
      </c>
      <c r="L69" s="166"/>
      <c r="M69" s="168">
        <f t="shared" si="3"/>
        <v>0</v>
      </c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</row>
    <row r="70" spans="1:38" s="151" customFormat="1" x14ac:dyDescent="0.25">
      <c r="A70" s="109">
        <f t="shared" si="4"/>
        <v>0</v>
      </c>
      <c r="B70" s="28" t="str">
        <f t="shared" ref="B70:B133" si="6">IF(H70&gt;$H$2,"",(ROW()-5))</f>
        <v/>
      </c>
      <c r="C70" s="29"/>
      <c r="D70" s="29"/>
      <c r="E70" s="29"/>
      <c r="F70" s="29"/>
      <c r="H70" s="163">
        <v>65</v>
      </c>
      <c r="I70" s="164" t="str">
        <f t="shared" ref="I70:I133" si="7">IF(H70&lt;$H$2+1,($I$2-($I$2-1)*(LOG(H70)/LOG($H$2))),"")</f>
        <v/>
      </c>
      <c r="J70" s="163" t="e">
        <f t="shared" si="5"/>
        <v>#NUM!</v>
      </c>
      <c r="K70" s="163" t="e">
        <f t="shared" ref="K70:K133" si="8">J70*$J$2</f>
        <v>#NUM!</v>
      </c>
      <c r="L70" s="163"/>
      <c r="M70" s="165">
        <f t="shared" ref="M70:M133" si="9">IF(I70&lt;&gt;"",K70+I70+L70,0)</f>
        <v>0</v>
      </c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</row>
    <row r="71" spans="1:38" s="151" customFormat="1" x14ac:dyDescent="0.25">
      <c r="A71" s="110">
        <f t="shared" ref="A71:A134" si="10">M71</f>
        <v>0</v>
      </c>
      <c r="B71" s="34" t="str">
        <f t="shared" si="6"/>
        <v/>
      </c>
      <c r="C71" s="35"/>
      <c r="D71" s="35"/>
      <c r="E71" s="35"/>
      <c r="F71" s="35"/>
      <c r="H71" s="166">
        <v>66</v>
      </c>
      <c r="I71" s="167" t="str">
        <f t="shared" si="7"/>
        <v/>
      </c>
      <c r="J71" s="166" t="e">
        <f t="shared" ref="J71:J134" si="11">INT(LOG($H$2,2))-ROUNDUP(LOG(H71,2),0)+IF(OR($H$2=1,$H$2=2,$H$2=4,$H$2=8,$H$2=16,$H$2=32,$H$2=64,$H$2=128,$H$2=256),0,1)</f>
        <v>#NUM!</v>
      </c>
      <c r="K71" s="166" t="e">
        <f t="shared" si="8"/>
        <v>#NUM!</v>
      </c>
      <c r="L71" s="166"/>
      <c r="M71" s="168">
        <f t="shared" si="9"/>
        <v>0</v>
      </c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</row>
    <row r="72" spans="1:38" s="151" customFormat="1" x14ac:dyDescent="0.25">
      <c r="A72" s="109">
        <f t="shared" si="10"/>
        <v>0</v>
      </c>
      <c r="B72" s="28" t="str">
        <f t="shared" si="6"/>
        <v/>
      </c>
      <c r="C72" s="29"/>
      <c r="D72" s="29"/>
      <c r="E72" s="29"/>
      <c r="F72" s="29"/>
      <c r="H72" s="163">
        <v>67</v>
      </c>
      <c r="I72" s="164" t="str">
        <f t="shared" si="7"/>
        <v/>
      </c>
      <c r="J72" s="163" t="e">
        <f t="shared" si="11"/>
        <v>#NUM!</v>
      </c>
      <c r="K72" s="163" t="e">
        <f t="shared" si="8"/>
        <v>#NUM!</v>
      </c>
      <c r="L72" s="163"/>
      <c r="M72" s="165">
        <f t="shared" si="9"/>
        <v>0</v>
      </c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</row>
    <row r="73" spans="1:38" s="151" customFormat="1" x14ac:dyDescent="0.25">
      <c r="A73" s="110">
        <f t="shared" si="10"/>
        <v>0</v>
      </c>
      <c r="B73" s="34" t="str">
        <f t="shared" si="6"/>
        <v/>
      </c>
      <c r="C73" s="35"/>
      <c r="D73" s="35"/>
      <c r="E73" s="35"/>
      <c r="F73" s="35"/>
      <c r="H73" s="166">
        <v>68</v>
      </c>
      <c r="I73" s="167" t="str">
        <f t="shared" si="7"/>
        <v/>
      </c>
      <c r="J73" s="166" t="e">
        <f t="shared" si="11"/>
        <v>#NUM!</v>
      </c>
      <c r="K73" s="166" t="e">
        <f t="shared" si="8"/>
        <v>#NUM!</v>
      </c>
      <c r="L73" s="166"/>
      <c r="M73" s="168">
        <f t="shared" si="9"/>
        <v>0</v>
      </c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</row>
    <row r="74" spans="1:38" s="151" customFormat="1" x14ac:dyDescent="0.25">
      <c r="A74" s="109">
        <f t="shared" si="10"/>
        <v>0</v>
      </c>
      <c r="B74" s="28" t="str">
        <f t="shared" si="6"/>
        <v/>
      </c>
      <c r="C74" s="29"/>
      <c r="D74" s="29"/>
      <c r="E74" s="29"/>
      <c r="F74" s="29"/>
      <c r="H74" s="163">
        <v>69</v>
      </c>
      <c r="I74" s="164" t="str">
        <f t="shared" si="7"/>
        <v/>
      </c>
      <c r="J74" s="163" t="e">
        <f t="shared" si="11"/>
        <v>#NUM!</v>
      </c>
      <c r="K74" s="163" t="e">
        <f t="shared" si="8"/>
        <v>#NUM!</v>
      </c>
      <c r="L74" s="163"/>
      <c r="M74" s="165">
        <f t="shared" si="9"/>
        <v>0</v>
      </c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</row>
    <row r="75" spans="1:38" s="151" customFormat="1" x14ac:dyDescent="0.25">
      <c r="A75" s="110">
        <f t="shared" si="10"/>
        <v>0</v>
      </c>
      <c r="B75" s="34" t="str">
        <f t="shared" si="6"/>
        <v/>
      </c>
      <c r="C75" s="35"/>
      <c r="D75" s="35"/>
      <c r="E75" s="35"/>
      <c r="F75" s="35"/>
      <c r="H75" s="166">
        <v>70</v>
      </c>
      <c r="I75" s="167" t="str">
        <f t="shared" si="7"/>
        <v/>
      </c>
      <c r="J75" s="166" t="e">
        <f t="shared" si="11"/>
        <v>#NUM!</v>
      </c>
      <c r="K75" s="166" t="e">
        <f t="shared" si="8"/>
        <v>#NUM!</v>
      </c>
      <c r="L75" s="166"/>
      <c r="M75" s="168">
        <f t="shared" si="9"/>
        <v>0</v>
      </c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</row>
    <row r="76" spans="1:38" s="151" customFormat="1" x14ac:dyDescent="0.25">
      <c r="A76" s="109">
        <f t="shared" si="10"/>
        <v>0</v>
      </c>
      <c r="B76" s="28" t="str">
        <f t="shared" si="6"/>
        <v/>
      </c>
      <c r="C76" s="29"/>
      <c r="D76" s="29"/>
      <c r="E76" s="29"/>
      <c r="F76" s="29"/>
      <c r="H76" s="163">
        <v>71</v>
      </c>
      <c r="I76" s="164" t="str">
        <f t="shared" si="7"/>
        <v/>
      </c>
      <c r="J76" s="163" t="e">
        <f t="shared" si="11"/>
        <v>#NUM!</v>
      </c>
      <c r="K76" s="163" t="e">
        <f t="shared" si="8"/>
        <v>#NUM!</v>
      </c>
      <c r="L76" s="163"/>
      <c r="M76" s="165">
        <f t="shared" si="9"/>
        <v>0</v>
      </c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</row>
    <row r="77" spans="1:38" s="151" customFormat="1" x14ac:dyDescent="0.25">
      <c r="A77" s="110">
        <f t="shared" si="10"/>
        <v>0</v>
      </c>
      <c r="B77" s="34" t="str">
        <f t="shared" si="6"/>
        <v/>
      </c>
      <c r="C77" s="35"/>
      <c r="D77" s="35"/>
      <c r="E77" s="35"/>
      <c r="F77" s="35"/>
      <c r="H77" s="166">
        <v>72</v>
      </c>
      <c r="I77" s="167" t="str">
        <f t="shared" si="7"/>
        <v/>
      </c>
      <c r="J77" s="166" t="e">
        <f t="shared" si="11"/>
        <v>#NUM!</v>
      </c>
      <c r="K77" s="166" t="e">
        <f t="shared" si="8"/>
        <v>#NUM!</v>
      </c>
      <c r="L77" s="166"/>
      <c r="M77" s="168">
        <f t="shared" si="9"/>
        <v>0</v>
      </c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</row>
    <row r="78" spans="1:38" s="151" customFormat="1" x14ac:dyDescent="0.25">
      <c r="A78" s="109">
        <f t="shared" si="10"/>
        <v>0</v>
      </c>
      <c r="B78" s="28" t="str">
        <f t="shared" si="6"/>
        <v/>
      </c>
      <c r="C78" s="29"/>
      <c r="D78" s="29"/>
      <c r="E78" s="29"/>
      <c r="F78" s="29"/>
      <c r="H78" s="163">
        <v>73</v>
      </c>
      <c r="I78" s="164" t="str">
        <f t="shared" si="7"/>
        <v/>
      </c>
      <c r="J78" s="163" t="e">
        <f t="shared" si="11"/>
        <v>#NUM!</v>
      </c>
      <c r="K78" s="163" t="e">
        <f t="shared" si="8"/>
        <v>#NUM!</v>
      </c>
      <c r="L78" s="163"/>
      <c r="M78" s="165">
        <f t="shared" si="9"/>
        <v>0</v>
      </c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</row>
    <row r="79" spans="1:38" s="151" customFormat="1" x14ac:dyDescent="0.25">
      <c r="A79" s="110">
        <f t="shared" si="10"/>
        <v>0</v>
      </c>
      <c r="B79" s="34" t="str">
        <f t="shared" si="6"/>
        <v/>
      </c>
      <c r="C79" s="35"/>
      <c r="D79" s="35"/>
      <c r="E79" s="35"/>
      <c r="F79" s="35"/>
      <c r="H79" s="166">
        <v>74</v>
      </c>
      <c r="I79" s="167" t="str">
        <f t="shared" si="7"/>
        <v/>
      </c>
      <c r="J79" s="166" t="e">
        <f t="shared" si="11"/>
        <v>#NUM!</v>
      </c>
      <c r="K79" s="166" t="e">
        <f t="shared" si="8"/>
        <v>#NUM!</v>
      </c>
      <c r="L79" s="166"/>
      <c r="M79" s="168">
        <f t="shared" si="9"/>
        <v>0</v>
      </c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</row>
    <row r="80" spans="1:38" s="151" customFormat="1" x14ac:dyDescent="0.25">
      <c r="A80" s="109">
        <f t="shared" si="10"/>
        <v>0</v>
      </c>
      <c r="B80" s="28" t="str">
        <f t="shared" si="6"/>
        <v/>
      </c>
      <c r="C80" s="29"/>
      <c r="D80" s="29"/>
      <c r="E80" s="29"/>
      <c r="F80" s="29"/>
      <c r="H80" s="163">
        <v>75</v>
      </c>
      <c r="I80" s="164" t="str">
        <f t="shared" si="7"/>
        <v/>
      </c>
      <c r="J80" s="163" t="e">
        <f t="shared" si="11"/>
        <v>#NUM!</v>
      </c>
      <c r="K80" s="163" t="e">
        <f t="shared" si="8"/>
        <v>#NUM!</v>
      </c>
      <c r="L80" s="163"/>
      <c r="M80" s="165">
        <f t="shared" si="9"/>
        <v>0</v>
      </c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</row>
    <row r="81" spans="1:38" s="151" customFormat="1" x14ac:dyDescent="0.25">
      <c r="A81" s="110">
        <f t="shared" si="10"/>
        <v>0</v>
      </c>
      <c r="B81" s="34" t="str">
        <f t="shared" si="6"/>
        <v/>
      </c>
      <c r="C81" s="35"/>
      <c r="D81" s="35"/>
      <c r="E81" s="35"/>
      <c r="F81" s="35"/>
      <c r="H81" s="166">
        <v>76</v>
      </c>
      <c r="I81" s="167" t="str">
        <f t="shared" si="7"/>
        <v/>
      </c>
      <c r="J81" s="166" t="e">
        <f t="shared" si="11"/>
        <v>#NUM!</v>
      </c>
      <c r="K81" s="166" t="e">
        <f t="shared" si="8"/>
        <v>#NUM!</v>
      </c>
      <c r="L81" s="166"/>
      <c r="M81" s="168">
        <f t="shared" si="9"/>
        <v>0</v>
      </c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</row>
    <row r="82" spans="1:38" s="151" customFormat="1" x14ac:dyDescent="0.25">
      <c r="A82" s="109">
        <f t="shared" si="10"/>
        <v>0</v>
      </c>
      <c r="B82" s="28" t="str">
        <f t="shared" si="6"/>
        <v/>
      </c>
      <c r="C82" s="29"/>
      <c r="D82" s="29"/>
      <c r="E82" s="29"/>
      <c r="F82" s="29"/>
      <c r="H82" s="163">
        <v>77</v>
      </c>
      <c r="I82" s="164" t="str">
        <f t="shared" si="7"/>
        <v/>
      </c>
      <c r="J82" s="163" t="e">
        <f t="shared" si="11"/>
        <v>#NUM!</v>
      </c>
      <c r="K82" s="163" t="e">
        <f t="shared" si="8"/>
        <v>#NUM!</v>
      </c>
      <c r="L82" s="163"/>
      <c r="M82" s="165">
        <f t="shared" si="9"/>
        <v>0</v>
      </c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</row>
    <row r="83" spans="1:38" s="151" customFormat="1" x14ac:dyDescent="0.25">
      <c r="A83" s="110">
        <f t="shared" si="10"/>
        <v>0</v>
      </c>
      <c r="B83" s="34" t="str">
        <f t="shared" si="6"/>
        <v/>
      </c>
      <c r="C83" s="35"/>
      <c r="D83" s="35"/>
      <c r="E83" s="35"/>
      <c r="F83" s="35"/>
      <c r="H83" s="166">
        <v>78</v>
      </c>
      <c r="I83" s="167" t="str">
        <f t="shared" si="7"/>
        <v/>
      </c>
      <c r="J83" s="166" t="e">
        <f t="shared" si="11"/>
        <v>#NUM!</v>
      </c>
      <c r="K83" s="166" t="e">
        <f t="shared" si="8"/>
        <v>#NUM!</v>
      </c>
      <c r="L83" s="166"/>
      <c r="M83" s="168">
        <f t="shared" si="9"/>
        <v>0</v>
      </c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</row>
    <row r="84" spans="1:38" s="151" customFormat="1" x14ac:dyDescent="0.25">
      <c r="A84" s="109">
        <f t="shared" si="10"/>
        <v>0</v>
      </c>
      <c r="B84" s="28" t="str">
        <f t="shared" si="6"/>
        <v/>
      </c>
      <c r="C84" s="29"/>
      <c r="D84" s="29"/>
      <c r="E84" s="29"/>
      <c r="F84" s="29"/>
      <c r="H84" s="163">
        <v>79</v>
      </c>
      <c r="I84" s="164" t="str">
        <f t="shared" si="7"/>
        <v/>
      </c>
      <c r="J84" s="163" t="e">
        <f t="shared" si="11"/>
        <v>#NUM!</v>
      </c>
      <c r="K84" s="163" t="e">
        <f t="shared" si="8"/>
        <v>#NUM!</v>
      </c>
      <c r="L84" s="163"/>
      <c r="M84" s="165">
        <f t="shared" si="9"/>
        <v>0</v>
      </c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</row>
    <row r="85" spans="1:38" s="151" customFormat="1" x14ac:dyDescent="0.25">
      <c r="A85" s="110">
        <f t="shared" si="10"/>
        <v>0</v>
      </c>
      <c r="B85" s="34" t="str">
        <f t="shared" si="6"/>
        <v/>
      </c>
      <c r="C85" s="35"/>
      <c r="D85" s="35"/>
      <c r="E85" s="35"/>
      <c r="F85" s="35"/>
      <c r="H85" s="166">
        <v>80</v>
      </c>
      <c r="I85" s="167" t="str">
        <f t="shared" si="7"/>
        <v/>
      </c>
      <c r="J85" s="166" t="e">
        <f t="shared" si="11"/>
        <v>#NUM!</v>
      </c>
      <c r="K85" s="166" t="e">
        <f t="shared" si="8"/>
        <v>#NUM!</v>
      </c>
      <c r="L85" s="166"/>
      <c r="M85" s="168">
        <f t="shared" si="9"/>
        <v>0</v>
      </c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</row>
    <row r="86" spans="1:38" s="151" customFormat="1" x14ac:dyDescent="0.25">
      <c r="A86" s="109">
        <f t="shared" si="10"/>
        <v>0</v>
      </c>
      <c r="B86" s="28" t="str">
        <f t="shared" si="6"/>
        <v/>
      </c>
      <c r="C86" s="29"/>
      <c r="D86" s="29"/>
      <c r="E86" s="29"/>
      <c r="F86" s="29"/>
      <c r="H86" s="163">
        <v>81</v>
      </c>
      <c r="I86" s="164" t="str">
        <f t="shared" si="7"/>
        <v/>
      </c>
      <c r="J86" s="163" t="e">
        <f t="shared" si="11"/>
        <v>#NUM!</v>
      </c>
      <c r="K86" s="163" t="e">
        <f t="shared" si="8"/>
        <v>#NUM!</v>
      </c>
      <c r="L86" s="163"/>
      <c r="M86" s="165">
        <f t="shared" si="9"/>
        <v>0</v>
      </c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</row>
    <row r="87" spans="1:38" s="151" customFormat="1" x14ac:dyDescent="0.25">
      <c r="A87" s="110">
        <f t="shared" si="10"/>
        <v>0</v>
      </c>
      <c r="B87" s="34" t="str">
        <f t="shared" si="6"/>
        <v/>
      </c>
      <c r="C87" s="35"/>
      <c r="D87" s="35"/>
      <c r="E87" s="35"/>
      <c r="F87" s="35"/>
      <c r="H87" s="166">
        <v>82</v>
      </c>
      <c r="I87" s="167" t="str">
        <f t="shared" si="7"/>
        <v/>
      </c>
      <c r="J87" s="166" t="e">
        <f t="shared" si="11"/>
        <v>#NUM!</v>
      </c>
      <c r="K87" s="166" t="e">
        <f t="shared" si="8"/>
        <v>#NUM!</v>
      </c>
      <c r="L87" s="166"/>
      <c r="M87" s="168">
        <f t="shared" si="9"/>
        <v>0</v>
      </c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</row>
    <row r="88" spans="1:38" s="151" customFormat="1" x14ac:dyDescent="0.25">
      <c r="A88" s="109">
        <f t="shared" si="10"/>
        <v>0</v>
      </c>
      <c r="B88" s="28" t="str">
        <f t="shared" si="6"/>
        <v/>
      </c>
      <c r="C88" s="29"/>
      <c r="D88" s="29"/>
      <c r="E88" s="29"/>
      <c r="F88" s="29"/>
      <c r="H88" s="163">
        <v>83</v>
      </c>
      <c r="I88" s="164" t="str">
        <f t="shared" si="7"/>
        <v/>
      </c>
      <c r="J88" s="163" t="e">
        <f t="shared" si="11"/>
        <v>#NUM!</v>
      </c>
      <c r="K88" s="163" t="e">
        <f t="shared" si="8"/>
        <v>#NUM!</v>
      </c>
      <c r="L88" s="163"/>
      <c r="M88" s="165">
        <f t="shared" si="9"/>
        <v>0</v>
      </c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</row>
    <row r="89" spans="1:38" s="151" customFormat="1" x14ac:dyDescent="0.25">
      <c r="A89" s="110">
        <f t="shared" si="10"/>
        <v>0</v>
      </c>
      <c r="B89" s="34" t="str">
        <f t="shared" si="6"/>
        <v/>
      </c>
      <c r="C89" s="35"/>
      <c r="D89" s="35"/>
      <c r="E89" s="35"/>
      <c r="F89" s="35"/>
      <c r="H89" s="166">
        <v>84</v>
      </c>
      <c r="I89" s="167" t="str">
        <f t="shared" si="7"/>
        <v/>
      </c>
      <c r="J89" s="166" t="e">
        <f t="shared" si="11"/>
        <v>#NUM!</v>
      </c>
      <c r="K89" s="166" t="e">
        <f t="shared" si="8"/>
        <v>#NUM!</v>
      </c>
      <c r="L89" s="166"/>
      <c r="M89" s="168">
        <f t="shared" si="9"/>
        <v>0</v>
      </c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  <c r="AK89" s="156"/>
      <c r="AL89" s="156"/>
    </row>
    <row r="90" spans="1:38" s="151" customFormat="1" x14ac:dyDescent="0.25">
      <c r="A90" s="109">
        <f t="shared" si="10"/>
        <v>0</v>
      </c>
      <c r="B90" s="28" t="str">
        <f t="shared" si="6"/>
        <v/>
      </c>
      <c r="C90" s="29"/>
      <c r="D90" s="29"/>
      <c r="E90" s="29"/>
      <c r="F90" s="29"/>
      <c r="H90" s="163">
        <v>85</v>
      </c>
      <c r="I90" s="164" t="str">
        <f t="shared" si="7"/>
        <v/>
      </c>
      <c r="J90" s="163" t="e">
        <f t="shared" si="11"/>
        <v>#NUM!</v>
      </c>
      <c r="K90" s="163" t="e">
        <f t="shared" si="8"/>
        <v>#NUM!</v>
      </c>
      <c r="L90" s="163"/>
      <c r="M90" s="165">
        <f t="shared" si="9"/>
        <v>0</v>
      </c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</row>
    <row r="91" spans="1:38" s="151" customFormat="1" x14ac:dyDescent="0.25">
      <c r="A91" s="110">
        <f t="shared" si="10"/>
        <v>0</v>
      </c>
      <c r="B91" s="34" t="str">
        <f t="shared" si="6"/>
        <v/>
      </c>
      <c r="C91" s="35"/>
      <c r="D91" s="35"/>
      <c r="E91" s="35"/>
      <c r="F91" s="35"/>
      <c r="H91" s="166">
        <v>86</v>
      </c>
      <c r="I91" s="167" t="str">
        <f t="shared" si="7"/>
        <v/>
      </c>
      <c r="J91" s="166" t="e">
        <f t="shared" si="11"/>
        <v>#NUM!</v>
      </c>
      <c r="K91" s="166" t="e">
        <f t="shared" si="8"/>
        <v>#NUM!</v>
      </c>
      <c r="L91" s="166"/>
      <c r="M91" s="168">
        <f t="shared" si="9"/>
        <v>0</v>
      </c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  <c r="AK91" s="156"/>
      <c r="AL91" s="156"/>
    </row>
    <row r="92" spans="1:38" s="151" customFormat="1" x14ac:dyDescent="0.25">
      <c r="A92" s="109">
        <f t="shared" si="10"/>
        <v>0</v>
      </c>
      <c r="B92" s="28" t="str">
        <f t="shared" si="6"/>
        <v/>
      </c>
      <c r="C92" s="29"/>
      <c r="D92" s="29"/>
      <c r="E92" s="29"/>
      <c r="F92" s="29"/>
      <c r="H92" s="163">
        <v>87</v>
      </c>
      <c r="I92" s="164" t="str">
        <f t="shared" si="7"/>
        <v/>
      </c>
      <c r="J92" s="163" t="e">
        <f t="shared" si="11"/>
        <v>#NUM!</v>
      </c>
      <c r="K92" s="163" t="e">
        <f t="shared" si="8"/>
        <v>#NUM!</v>
      </c>
      <c r="L92" s="163"/>
      <c r="M92" s="165">
        <f t="shared" si="9"/>
        <v>0</v>
      </c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H92" s="156"/>
      <c r="AI92" s="156"/>
      <c r="AJ92" s="156"/>
      <c r="AK92" s="156"/>
      <c r="AL92" s="156"/>
    </row>
    <row r="93" spans="1:38" s="151" customFormat="1" x14ac:dyDescent="0.25">
      <c r="A93" s="110">
        <f t="shared" si="10"/>
        <v>0</v>
      </c>
      <c r="B93" s="34" t="str">
        <f t="shared" si="6"/>
        <v/>
      </c>
      <c r="C93" s="35"/>
      <c r="D93" s="35"/>
      <c r="E93" s="35"/>
      <c r="F93" s="35"/>
      <c r="H93" s="166">
        <v>88</v>
      </c>
      <c r="I93" s="167" t="str">
        <f t="shared" si="7"/>
        <v/>
      </c>
      <c r="J93" s="166" t="e">
        <f t="shared" si="11"/>
        <v>#NUM!</v>
      </c>
      <c r="K93" s="166" t="e">
        <f t="shared" si="8"/>
        <v>#NUM!</v>
      </c>
      <c r="L93" s="166"/>
      <c r="M93" s="168">
        <f t="shared" si="9"/>
        <v>0</v>
      </c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</row>
    <row r="94" spans="1:38" s="151" customFormat="1" x14ac:dyDescent="0.25">
      <c r="A94" s="109">
        <f t="shared" si="10"/>
        <v>0</v>
      </c>
      <c r="B94" s="28" t="str">
        <f t="shared" si="6"/>
        <v/>
      </c>
      <c r="C94" s="29"/>
      <c r="D94" s="29"/>
      <c r="E94" s="29"/>
      <c r="F94" s="29"/>
      <c r="H94" s="163">
        <v>89</v>
      </c>
      <c r="I94" s="164" t="str">
        <f t="shared" si="7"/>
        <v/>
      </c>
      <c r="J94" s="163" t="e">
        <f t="shared" si="11"/>
        <v>#NUM!</v>
      </c>
      <c r="K94" s="163" t="e">
        <f t="shared" si="8"/>
        <v>#NUM!</v>
      </c>
      <c r="L94" s="163"/>
      <c r="M94" s="165">
        <f t="shared" si="9"/>
        <v>0</v>
      </c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/>
      <c r="AL94" s="156"/>
    </row>
    <row r="95" spans="1:38" s="151" customFormat="1" x14ac:dyDescent="0.25">
      <c r="A95" s="110">
        <f t="shared" si="10"/>
        <v>0</v>
      </c>
      <c r="B95" s="34" t="str">
        <f t="shared" si="6"/>
        <v/>
      </c>
      <c r="C95" s="35"/>
      <c r="D95" s="35"/>
      <c r="E95" s="35"/>
      <c r="F95" s="35"/>
      <c r="H95" s="166">
        <v>90</v>
      </c>
      <c r="I95" s="167" t="str">
        <f t="shared" si="7"/>
        <v/>
      </c>
      <c r="J95" s="166" t="e">
        <f t="shared" si="11"/>
        <v>#NUM!</v>
      </c>
      <c r="K95" s="166" t="e">
        <f t="shared" si="8"/>
        <v>#NUM!</v>
      </c>
      <c r="L95" s="166"/>
      <c r="M95" s="168">
        <f t="shared" si="9"/>
        <v>0</v>
      </c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  <c r="AH95" s="156"/>
      <c r="AI95" s="156"/>
      <c r="AJ95" s="156"/>
      <c r="AK95" s="156"/>
      <c r="AL95" s="156"/>
    </row>
    <row r="96" spans="1:38" s="151" customFormat="1" x14ac:dyDescent="0.25">
      <c r="A96" s="109">
        <f t="shared" si="10"/>
        <v>0</v>
      </c>
      <c r="B96" s="28" t="str">
        <f t="shared" si="6"/>
        <v/>
      </c>
      <c r="C96" s="29"/>
      <c r="D96" s="29"/>
      <c r="E96" s="29"/>
      <c r="F96" s="29"/>
      <c r="H96" s="163">
        <v>91</v>
      </c>
      <c r="I96" s="164" t="str">
        <f t="shared" si="7"/>
        <v/>
      </c>
      <c r="J96" s="163" t="e">
        <f t="shared" si="11"/>
        <v>#NUM!</v>
      </c>
      <c r="K96" s="163" t="e">
        <f t="shared" si="8"/>
        <v>#NUM!</v>
      </c>
      <c r="L96" s="163"/>
      <c r="M96" s="165">
        <f t="shared" si="9"/>
        <v>0</v>
      </c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  <c r="AL96" s="156"/>
    </row>
    <row r="97" spans="1:38" s="151" customFormat="1" x14ac:dyDescent="0.25">
      <c r="A97" s="110">
        <f t="shared" si="10"/>
        <v>0</v>
      </c>
      <c r="B97" s="34" t="str">
        <f t="shared" si="6"/>
        <v/>
      </c>
      <c r="C97" s="35"/>
      <c r="D97" s="35"/>
      <c r="E97" s="35"/>
      <c r="F97" s="35"/>
      <c r="H97" s="166">
        <v>92</v>
      </c>
      <c r="I97" s="167" t="str">
        <f t="shared" si="7"/>
        <v/>
      </c>
      <c r="J97" s="166" t="e">
        <f t="shared" si="11"/>
        <v>#NUM!</v>
      </c>
      <c r="K97" s="166" t="e">
        <f t="shared" si="8"/>
        <v>#NUM!</v>
      </c>
      <c r="L97" s="166"/>
      <c r="M97" s="168">
        <f t="shared" si="9"/>
        <v>0</v>
      </c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</row>
    <row r="98" spans="1:38" s="151" customFormat="1" x14ac:dyDescent="0.25">
      <c r="A98" s="109">
        <f t="shared" si="10"/>
        <v>0</v>
      </c>
      <c r="B98" s="28" t="str">
        <f t="shared" si="6"/>
        <v/>
      </c>
      <c r="C98" s="29"/>
      <c r="D98" s="29"/>
      <c r="E98" s="29"/>
      <c r="F98" s="29"/>
      <c r="H98" s="163">
        <v>93</v>
      </c>
      <c r="I98" s="164" t="str">
        <f t="shared" si="7"/>
        <v/>
      </c>
      <c r="J98" s="163" t="e">
        <f t="shared" si="11"/>
        <v>#NUM!</v>
      </c>
      <c r="K98" s="163" t="e">
        <f t="shared" si="8"/>
        <v>#NUM!</v>
      </c>
      <c r="L98" s="163"/>
      <c r="M98" s="165">
        <f t="shared" si="9"/>
        <v>0</v>
      </c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  <c r="AK98" s="156"/>
      <c r="AL98" s="156"/>
    </row>
    <row r="99" spans="1:38" s="151" customFormat="1" x14ac:dyDescent="0.25">
      <c r="A99" s="110">
        <f t="shared" si="10"/>
        <v>0</v>
      </c>
      <c r="B99" s="34" t="str">
        <f t="shared" si="6"/>
        <v/>
      </c>
      <c r="C99" s="35"/>
      <c r="D99" s="35"/>
      <c r="E99" s="35"/>
      <c r="F99" s="35"/>
      <c r="H99" s="166">
        <v>94</v>
      </c>
      <c r="I99" s="167" t="str">
        <f t="shared" si="7"/>
        <v/>
      </c>
      <c r="J99" s="166" t="e">
        <f t="shared" si="11"/>
        <v>#NUM!</v>
      </c>
      <c r="K99" s="166" t="e">
        <f t="shared" si="8"/>
        <v>#NUM!</v>
      </c>
      <c r="L99" s="166"/>
      <c r="M99" s="168">
        <f t="shared" si="9"/>
        <v>0</v>
      </c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  <c r="AK99" s="156"/>
      <c r="AL99" s="156"/>
    </row>
    <row r="100" spans="1:38" s="151" customFormat="1" x14ac:dyDescent="0.25">
      <c r="A100" s="109">
        <f t="shared" si="10"/>
        <v>0</v>
      </c>
      <c r="B100" s="28" t="str">
        <f t="shared" si="6"/>
        <v/>
      </c>
      <c r="C100" s="29"/>
      <c r="D100" s="29"/>
      <c r="E100" s="29"/>
      <c r="F100" s="29"/>
      <c r="H100" s="163">
        <v>95</v>
      </c>
      <c r="I100" s="164" t="str">
        <f t="shared" si="7"/>
        <v/>
      </c>
      <c r="J100" s="163" t="e">
        <f t="shared" si="11"/>
        <v>#NUM!</v>
      </c>
      <c r="K100" s="163" t="e">
        <f t="shared" si="8"/>
        <v>#NUM!</v>
      </c>
      <c r="L100" s="163"/>
      <c r="M100" s="165">
        <f t="shared" si="9"/>
        <v>0</v>
      </c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  <c r="AK100" s="156"/>
      <c r="AL100" s="156"/>
    </row>
    <row r="101" spans="1:38" s="151" customFormat="1" x14ac:dyDescent="0.25">
      <c r="A101" s="110">
        <f t="shared" si="10"/>
        <v>0</v>
      </c>
      <c r="B101" s="34" t="str">
        <f t="shared" si="6"/>
        <v/>
      </c>
      <c r="C101" s="35"/>
      <c r="D101" s="35"/>
      <c r="E101" s="35"/>
      <c r="F101" s="35"/>
      <c r="H101" s="166">
        <v>96</v>
      </c>
      <c r="I101" s="167" t="str">
        <f t="shared" si="7"/>
        <v/>
      </c>
      <c r="J101" s="166" t="e">
        <f t="shared" si="11"/>
        <v>#NUM!</v>
      </c>
      <c r="K101" s="166" t="e">
        <f t="shared" si="8"/>
        <v>#NUM!</v>
      </c>
      <c r="L101" s="166"/>
      <c r="M101" s="168">
        <f t="shared" si="9"/>
        <v>0</v>
      </c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</row>
    <row r="102" spans="1:38" s="151" customFormat="1" x14ac:dyDescent="0.25">
      <c r="A102" s="109">
        <f t="shared" si="10"/>
        <v>0</v>
      </c>
      <c r="B102" s="28" t="str">
        <f t="shared" si="6"/>
        <v/>
      </c>
      <c r="C102" s="29"/>
      <c r="D102" s="29"/>
      <c r="E102" s="29"/>
      <c r="F102" s="29"/>
      <c r="H102" s="163">
        <v>97</v>
      </c>
      <c r="I102" s="164" t="str">
        <f t="shared" si="7"/>
        <v/>
      </c>
      <c r="J102" s="163" t="e">
        <f t="shared" si="11"/>
        <v>#NUM!</v>
      </c>
      <c r="K102" s="163" t="e">
        <f t="shared" si="8"/>
        <v>#NUM!</v>
      </c>
      <c r="L102" s="163"/>
      <c r="M102" s="165">
        <f t="shared" si="9"/>
        <v>0</v>
      </c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  <c r="AK102" s="156"/>
      <c r="AL102" s="156"/>
    </row>
    <row r="103" spans="1:38" s="151" customFormat="1" x14ac:dyDescent="0.25">
      <c r="A103" s="110">
        <f t="shared" si="10"/>
        <v>0</v>
      </c>
      <c r="B103" s="34" t="str">
        <f t="shared" si="6"/>
        <v/>
      </c>
      <c r="C103" s="35"/>
      <c r="D103" s="35"/>
      <c r="E103" s="35"/>
      <c r="F103" s="35"/>
      <c r="H103" s="166">
        <v>98</v>
      </c>
      <c r="I103" s="167" t="str">
        <f t="shared" si="7"/>
        <v/>
      </c>
      <c r="J103" s="166" t="e">
        <f t="shared" si="11"/>
        <v>#NUM!</v>
      </c>
      <c r="K103" s="166" t="e">
        <f t="shared" si="8"/>
        <v>#NUM!</v>
      </c>
      <c r="L103" s="166"/>
      <c r="M103" s="168">
        <f t="shared" si="9"/>
        <v>0</v>
      </c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  <c r="AL103" s="156"/>
    </row>
    <row r="104" spans="1:38" s="151" customFormat="1" x14ac:dyDescent="0.25">
      <c r="A104" s="109">
        <f t="shared" si="10"/>
        <v>0</v>
      </c>
      <c r="B104" s="28" t="str">
        <f t="shared" si="6"/>
        <v/>
      </c>
      <c r="C104" s="29"/>
      <c r="D104" s="29"/>
      <c r="E104" s="29"/>
      <c r="F104" s="29"/>
      <c r="H104" s="163">
        <v>99</v>
      </c>
      <c r="I104" s="164" t="str">
        <f t="shared" si="7"/>
        <v/>
      </c>
      <c r="J104" s="163" t="e">
        <f t="shared" si="11"/>
        <v>#NUM!</v>
      </c>
      <c r="K104" s="163" t="e">
        <f t="shared" si="8"/>
        <v>#NUM!</v>
      </c>
      <c r="L104" s="163"/>
      <c r="M104" s="165">
        <f t="shared" si="9"/>
        <v>0</v>
      </c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  <c r="AL104" s="156"/>
    </row>
    <row r="105" spans="1:38" s="151" customFormat="1" x14ac:dyDescent="0.25">
      <c r="A105" s="110">
        <f t="shared" si="10"/>
        <v>0</v>
      </c>
      <c r="B105" s="34" t="str">
        <f t="shared" si="6"/>
        <v/>
      </c>
      <c r="C105" s="35"/>
      <c r="D105" s="35"/>
      <c r="E105" s="35"/>
      <c r="F105" s="35"/>
      <c r="H105" s="166">
        <v>100</v>
      </c>
      <c r="I105" s="167" t="str">
        <f t="shared" si="7"/>
        <v/>
      </c>
      <c r="J105" s="166" t="e">
        <f t="shared" si="11"/>
        <v>#NUM!</v>
      </c>
      <c r="K105" s="166" t="e">
        <f t="shared" si="8"/>
        <v>#NUM!</v>
      </c>
      <c r="L105" s="166"/>
      <c r="M105" s="168">
        <f t="shared" si="9"/>
        <v>0</v>
      </c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</row>
    <row r="106" spans="1:38" s="151" customFormat="1" x14ac:dyDescent="0.25">
      <c r="A106" s="109">
        <f t="shared" si="10"/>
        <v>0</v>
      </c>
      <c r="B106" s="28" t="str">
        <f t="shared" si="6"/>
        <v/>
      </c>
      <c r="C106" s="29"/>
      <c r="D106" s="29"/>
      <c r="E106" s="29"/>
      <c r="F106" s="29"/>
      <c r="H106" s="163">
        <v>101</v>
      </c>
      <c r="I106" s="164" t="str">
        <f t="shared" si="7"/>
        <v/>
      </c>
      <c r="J106" s="163" t="e">
        <f t="shared" si="11"/>
        <v>#NUM!</v>
      </c>
      <c r="K106" s="163" t="e">
        <f t="shared" si="8"/>
        <v>#NUM!</v>
      </c>
      <c r="L106" s="163"/>
      <c r="M106" s="165">
        <f t="shared" si="9"/>
        <v>0</v>
      </c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</row>
    <row r="107" spans="1:38" s="151" customFormat="1" x14ac:dyDescent="0.25">
      <c r="A107" s="110">
        <f t="shared" si="10"/>
        <v>0</v>
      </c>
      <c r="B107" s="34" t="str">
        <f t="shared" si="6"/>
        <v/>
      </c>
      <c r="C107" s="35"/>
      <c r="D107" s="35"/>
      <c r="E107" s="35"/>
      <c r="F107" s="35"/>
      <c r="H107" s="166">
        <v>102</v>
      </c>
      <c r="I107" s="167" t="str">
        <f t="shared" si="7"/>
        <v/>
      </c>
      <c r="J107" s="166" t="e">
        <f t="shared" si="11"/>
        <v>#NUM!</v>
      </c>
      <c r="K107" s="166" t="e">
        <f t="shared" si="8"/>
        <v>#NUM!</v>
      </c>
      <c r="L107" s="166"/>
      <c r="M107" s="168">
        <f t="shared" si="9"/>
        <v>0</v>
      </c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</row>
    <row r="108" spans="1:38" s="151" customFormat="1" x14ac:dyDescent="0.25">
      <c r="A108" s="109">
        <f t="shared" si="10"/>
        <v>0</v>
      </c>
      <c r="B108" s="28" t="str">
        <f t="shared" si="6"/>
        <v/>
      </c>
      <c r="C108" s="29"/>
      <c r="D108" s="29"/>
      <c r="E108" s="29"/>
      <c r="F108" s="29"/>
      <c r="H108" s="163">
        <v>103</v>
      </c>
      <c r="I108" s="164" t="str">
        <f t="shared" si="7"/>
        <v/>
      </c>
      <c r="J108" s="163" t="e">
        <f t="shared" si="11"/>
        <v>#NUM!</v>
      </c>
      <c r="K108" s="163" t="e">
        <f t="shared" si="8"/>
        <v>#NUM!</v>
      </c>
      <c r="L108" s="163"/>
      <c r="M108" s="165">
        <f t="shared" si="9"/>
        <v>0</v>
      </c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</row>
    <row r="109" spans="1:38" s="151" customFormat="1" x14ac:dyDescent="0.25">
      <c r="A109" s="110">
        <f t="shared" si="10"/>
        <v>0</v>
      </c>
      <c r="B109" s="34" t="str">
        <f t="shared" si="6"/>
        <v/>
      </c>
      <c r="C109" s="35"/>
      <c r="D109" s="35"/>
      <c r="E109" s="35"/>
      <c r="F109" s="35"/>
      <c r="H109" s="166">
        <v>104</v>
      </c>
      <c r="I109" s="167" t="str">
        <f t="shared" si="7"/>
        <v/>
      </c>
      <c r="J109" s="166" t="e">
        <f t="shared" si="11"/>
        <v>#NUM!</v>
      </c>
      <c r="K109" s="166" t="e">
        <f t="shared" si="8"/>
        <v>#NUM!</v>
      </c>
      <c r="L109" s="166"/>
      <c r="M109" s="168">
        <f t="shared" si="9"/>
        <v>0</v>
      </c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  <c r="AK109" s="156"/>
      <c r="AL109" s="156"/>
    </row>
    <row r="110" spans="1:38" s="151" customFormat="1" x14ac:dyDescent="0.25">
      <c r="A110" s="109">
        <f t="shared" si="10"/>
        <v>0</v>
      </c>
      <c r="B110" s="28" t="str">
        <f t="shared" si="6"/>
        <v/>
      </c>
      <c r="C110" s="29"/>
      <c r="D110" s="29"/>
      <c r="E110" s="29"/>
      <c r="F110" s="29"/>
      <c r="H110" s="163">
        <v>105</v>
      </c>
      <c r="I110" s="164" t="str">
        <f t="shared" si="7"/>
        <v/>
      </c>
      <c r="J110" s="163" t="e">
        <f t="shared" si="11"/>
        <v>#NUM!</v>
      </c>
      <c r="K110" s="163" t="e">
        <f t="shared" si="8"/>
        <v>#NUM!</v>
      </c>
      <c r="L110" s="163"/>
      <c r="M110" s="165">
        <f t="shared" si="9"/>
        <v>0</v>
      </c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  <c r="AK110" s="156"/>
      <c r="AL110" s="156"/>
    </row>
    <row r="111" spans="1:38" s="151" customFormat="1" x14ac:dyDescent="0.25">
      <c r="A111" s="110">
        <f t="shared" si="10"/>
        <v>0</v>
      </c>
      <c r="B111" s="34" t="str">
        <f t="shared" si="6"/>
        <v/>
      </c>
      <c r="C111" s="35"/>
      <c r="D111" s="35"/>
      <c r="E111" s="35"/>
      <c r="F111" s="35"/>
      <c r="H111" s="166">
        <v>106</v>
      </c>
      <c r="I111" s="167" t="str">
        <f t="shared" si="7"/>
        <v/>
      </c>
      <c r="J111" s="166" t="e">
        <f t="shared" si="11"/>
        <v>#NUM!</v>
      </c>
      <c r="K111" s="166" t="e">
        <f t="shared" si="8"/>
        <v>#NUM!</v>
      </c>
      <c r="L111" s="166"/>
      <c r="M111" s="168">
        <f t="shared" si="9"/>
        <v>0</v>
      </c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  <c r="AK111" s="156"/>
      <c r="AL111" s="156"/>
    </row>
    <row r="112" spans="1:38" s="151" customFormat="1" x14ac:dyDescent="0.25">
      <c r="A112" s="109">
        <f t="shared" si="10"/>
        <v>0</v>
      </c>
      <c r="B112" s="28" t="str">
        <f t="shared" si="6"/>
        <v/>
      </c>
      <c r="C112" s="29"/>
      <c r="D112" s="29"/>
      <c r="E112" s="29"/>
      <c r="F112" s="29"/>
      <c r="H112" s="163">
        <v>107</v>
      </c>
      <c r="I112" s="164" t="str">
        <f t="shared" si="7"/>
        <v/>
      </c>
      <c r="J112" s="163" t="e">
        <f t="shared" si="11"/>
        <v>#NUM!</v>
      </c>
      <c r="K112" s="163" t="e">
        <f t="shared" si="8"/>
        <v>#NUM!</v>
      </c>
      <c r="L112" s="163"/>
      <c r="M112" s="165">
        <f t="shared" si="9"/>
        <v>0</v>
      </c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  <c r="AK112" s="156"/>
      <c r="AL112" s="156"/>
    </row>
    <row r="113" spans="1:38" s="151" customFormat="1" x14ac:dyDescent="0.25">
      <c r="A113" s="110">
        <f t="shared" si="10"/>
        <v>0</v>
      </c>
      <c r="B113" s="34" t="str">
        <f t="shared" si="6"/>
        <v/>
      </c>
      <c r="C113" s="35"/>
      <c r="D113" s="35"/>
      <c r="E113" s="35"/>
      <c r="F113" s="35"/>
      <c r="H113" s="166">
        <v>108</v>
      </c>
      <c r="I113" s="167" t="str">
        <f t="shared" si="7"/>
        <v/>
      </c>
      <c r="J113" s="166" t="e">
        <f t="shared" si="11"/>
        <v>#NUM!</v>
      </c>
      <c r="K113" s="166" t="e">
        <f t="shared" si="8"/>
        <v>#NUM!</v>
      </c>
      <c r="L113" s="166"/>
      <c r="M113" s="168">
        <f t="shared" si="9"/>
        <v>0</v>
      </c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  <c r="AK113" s="156"/>
      <c r="AL113" s="156"/>
    </row>
    <row r="114" spans="1:38" s="151" customFormat="1" x14ac:dyDescent="0.25">
      <c r="A114" s="109">
        <f t="shared" si="10"/>
        <v>0</v>
      </c>
      <c r="B114" s="28" t="str">
        <f t="shared" si="6"/>
        <v/>
      </c>
      <c r="C114" s="29"/>
      <c r="D114" s="29"/>
      <c r="E114" s="29"/>
      <c r="F114" s="29"/>
      <c r="H114" s="163">
        <v>109</v>
      </c>
      <c r="I114" s="164" t="str">
        <f t="shared" si="7"/>
        <v/>
      </c>
      <c r="J114" s="163" t="e">
        <f t="shared" si="11"/>
        <v>#NUM!</v>
      </c>
      <c r="K114" s="163" t="e">
        <f t="shared" si="8"/>
        <v>#NUM!</v>
      </c>
      <c r="L114" s="163"/>
      <c r="M114" s="165">
        <f t="shared" si="9"/>
        <v>0</v>
      </c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  <c r="AH114" s="156"/>
      <c r="AI114" s="156"/>
      <c r="AJ114" s="156"/>
      <c r="AK114" s="156"/>
      <c r="AL114" s="156"/>
    </row>
    <row r="115" spans="1:38" s="151" customFormat="1" x14ac:dyDescent="0.25">
      <c r="A115" s="110">
        <f t="shared" si="10"/>
        <v>0</v>
      </c>
      <c r="B115" s="34" t="str">
        <f t="shared" si="6"/>
        <v/>
      </c>
      <c r="C115" s="35"/>
      <c r="D115" s="35"/>
      <c r="E115" s="35"/>
      <c r="F115" s="35"/>
      <c r="H115" s="166">
        <v>110</v>
      </c>
      <c r="I115" s="167" t="str">
        <f t="shared" si="7"/>
        <v/>
      </c>
      <c r="J115" s="166" t="e">
        <f t="shared" si="11"/>
        <v>#NUM!</v>
      </c>
      <c r="K115" s="166" t="e">
        <f t="shared" si="8"/>
        <v>#NUM!</v>
      </c>
      <c r="L115" s="166"/>
      <c r="M115" s="168">
        <f t="shared" si="9"/>
        <v>0</v>
      </c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6"/>
      <c r="AL115" s="156"/>
    </row>
    <row r="116" spans="1:38" s="151" customFormat="1" x14ac:dyDescent="0.25">
      <c r="A116" s="109">
        <f t="shared" si="10"/>
        <v>0</v>
      </c>
      <c r="B116" s="28" t="str">
        <f t="shared" si="6"/>
        <v/>
      </c>
      <c r="C116" s="29"/>
      <c r="D116" s="29"/>
      <c r="E116" s="29"/>
      <c r="F116" s="29"/>
      <c r="H116" s="163">
        <v>111</v>
      </c>
      <c r="I116" s="164" t="str">
        <f t="shared" si="7"/>
        <v/>
      </c>
      <c r="J116" s="163" t="e">
        <f t="shared" si="11"/>
        <v>#NUM!</v>
      </c>
      <c r="K116" s="163" t="e">
        <f t="shared" si="8"/>
        <v>#NUM!</v>
      </c>
      <c r="L116" s="163"/>
      <c r="M116" s="165">
        <f t="shared" si="9"/>
        <v>0</v>
      </c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  <c r="AH116" s="156"/>
      <c r="AI116" s="156"/>
      <c r="AJ116" s="156"/>
      <c r="AK116" s="156"/>
      <c r="AL116" s="156"/>
    </row>
    <row r="117" spans="1:38" s="151" customFormat="1" x14ac:dyDescent="0.25">
      <c r="A117" s="110">
        <f t="shared" si="10"/>
        <v>0</v>
      </c>
      <c r="B117" s="34" t="str">
        <f t="shared" si="6"/>
        <v/>
      </c>
      <c r="C117" s="35"/>
      <c r="D117" s="35"/>
      <c r="E117" s="35"/>
      <c r="F117" s="35"/>
      <c r="H117" s="166">
        <v>112</v>
      </c>
      <c r="I117" s="167" t="str">
        <f t="shared" si="7"/>
        <v/>
      </c>
      <c r="J117" s="166" t="e">
        <f t="shared" si="11"/>
        <v>#NUM!</v>
      </c>
      <c r="K117" s="166" t="e">
        <f t="shared" si="8"/>
        <v>#NUM!</v>
      </c>
      <c r="L117" s="166"/>
      <c r="M117" s="168">
        <f t="shared" si="9"/>
        <v>0</v>
      </c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  <c r="AH117" s="156"/>
      <c r="AI117" s="156"/>
      <c r="AJ117" s="156"/>
      <c r="AK117" s="156"/>
      <c r="AL117" s="156"/>
    </row>
    <row r="118" spans="1:38" s="151" customFormat="1" x14ac:dyDescent="0.25">
      <c r="A118" s="109">
        <f t="shared" si="10"/>
        <v>0</v>
      </c>
      <c r="B118" s="28" t="str">
        <f t="shared" si="6"/>
        <v/>
      </c>
      <c r="C118" s="29"/>
      <c r="D118" s="29"/>
      <c r="E118" s="29"/>
      <c r="F118" s="29"/>
      <c r="H118" s="163">
        <v>113</v>
      </c>
      <c r="I118" s="164" t="str">
        <f t="shared" si="7"/>
        <v/>
      </c>
      <c r="J118" s="163" t="e">
        <f t="shared" si="11"/>
        <v>#NUM!</v>
      </c>
      <c r="K118" s="163" t="e">
        <f t="shared" si="8"/>
        <v>#NUM!</v>
      </c>
      <c r="L118" s="163"/>
      <c r="M118" s="165">
        <f t="shared" si="9"/>
        <v>0</v>
      </c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  <c r="AH118" s="156"/>
      <c r="AI118" s="156"/>
      <c r="AJ118" s="156"/>
      <c r="AK118" s="156"/>
      <c r="AL118" s="156"/>
    </row>
    <row r="119" spans="1:38" s="151" customFormat="1" x14ac:dyDescent="0.25">
      <c r="A119" s="110">
        <f t="shared" si="10"/>
        <v>0</v>
      </c>
      <c r="B119" s="34" t="str">
        <f t="shared" si="6"/>
        <v/>
      </c>
      <c r="C119" s="35"/>
      <c r="D119" s="35"/>
      <c r="E119" s="35"/>
      <c r="F119" s="35"/>
      <c r="H119" s="166">
        <v>114</v>
      </c>
      <c r="I119" s="167" t="str">
        <f t="shared" si="7"/>
        <v/>
      </c>
      <c r="J119" s="166" t="e">
        <f t="shared" si="11"/>
        <v>#NUM!</v>
      </c>
      <c r="K119" s="166" t="e">
        <f t="shared" si="8"/>
        <v>#NUM!</v>
      </c>
      <c r="L119" s="166"/>
      <c r="M119" s="168">
        <f t="shared" si="9"/>
        <v>0</v>
      </c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  <c r="AK119" s="156"/>
      <c r="AL119" s="156"/>
    </row>
    <row r="120" spans="1:38" s="151" customFormat="1" x14ac:dyDescent="0.25">
      <c r="A120" s="109">
        <f t="shared" si="10"/>
        <v>0</v>
      </c>
      <c r="B120" s="28" t="str">
        <f t="shared" si="6"/>
        <v/>
      </c>
      <c r="C120" s="29"/>
      <c r="D120" s="29"/>
      <c r="E120" s="29"/>
      <c r="F120" s="29"/>
      <c r="H120" s="163">
        <v>115</v>
      </c>
      <c r="I120" s="164" t="str">
        <f t="shared" si="7"/>
        <v/>
      </c>
      <c r="J120" s="163" t="e">
        <f t="shared" si="11"/>
        <v>#NUM!</v>
      </c>
      <c r="K120" s="163" t="e">
        <f t="shared" si="8"/>
        <v>#NUM!</v>
      </c>
      <c r="L120" s="163"/>
      <c r="M120" s="165">
        <f t="shared" si="9"/>
        <v>0</v>
      </c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  <c r="AK120" s="156"/>
      <c r="AL120" s="156"/>
    </row>
    <row r="121" spans="1:38" s="151" customFormat="1" x14ac:dyDescent="0.25">
      <c r="A121" s="110">
        <f t="shared" si="10"/>
        <v>0</v>
      </c>
      <c r="B121" s="34" t="str">
        <f t="shared" si="6"/>
        <v/>
      </c>
      <c r="C121" s="35"/>
      <c r="D121" s="35"/>
      <c r="E121" s="35"/>
      <c r="F121" s="35"/>
      <c r="H121" s="166">
        <v>116</v>
      </c>
      <c r="I121" s="167" t="str">
        <f t="shared" si="7"/>
        <v/>
      </c>
      <c r="J121" s="166" t="e">
        <f t="shared" si="11"/>
        <v>#NUM!</v>
      </c>
      <c r="K121" s="166" t="e">
        <f t="shared" si="8"/>
        <v>#NUM!</v>
      </c>
      <c r="L121" s="166"/>
      <c r="M121" s="168">
        <f t="shared" si="9"/>
        <v>0</v>
      </c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  <c r="AH121" s="156"/>
      <c r="AI121" s="156"/>
      <c r="AJ121" s="156"/>
      <c r="AK121" s="156"/>
      <c r="AL121" s="156"/>
    </row>
    <row r="122" spans="1:38" s="151" customFormat="1" x14ac:dyDescent="0.25">
      <c r="A122" s="109">
        <f t="shared" si="10"/>
        <v>0</v>
      </c>
      <c r="B122" s="28" t="str">
        <f t="shared" si="6"/>
        <v/>
      </c>
      <c r="C122" s="29"/>
      <c r="D122" s="29"/>
      <c r="E122" s="29"/>
      <c r="F122" s="29"/>
      <c r="H122" s="163">
        <v>117</v>
      </c>
      <c r="I122" s="164" t="str">
        <f t="shared" si="7"/>
        <v/>
      </c>
      <c r="J122" s="163" t="e">
        <f t="shared" si="11"/>
        <v>#NUM!</v>
      </c>
      <c r="K122" s="163" t="e">
        <f t="shared" si="8"/>
        <v>#NUM!</v>
      </c>
      <c r="L122" s="163"/>
      <c r="M122" s="165">
        <f t="shared" si="9"/>
        <v>0</v>
      </c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</row>
    <row r="123" spans="1:38" s="151" customFormat="1" x14ac:dyDescent="0.25">
      <c r="A123" s="110">
        <f t="shared" si="10"/>
        <v>0</v>
      </c>
      <c r="B123" s="34" t="str">
        <f t="shared" si="6"/>
        <v/>
      </c>
      <c r="C123" s="35"/>
      <c r="D123" s="35"/>
      <c r="E123" s="35"/>
      <c r="F123" s="35"/>
      <c r="H123" s="166">
        <v>118</v>
      </c>
      <c r="I123" s="167" t="str">
        <f t="shared" si="7"/>
        <v/>
      </c>
      <c r="J123" s="166" t="e">
        <f t="shared" si="11"/>
        <v>#NUM!</v>
      </c>
      <c r="K123" s="166" t="e">
        <f t="shared" si="8"/>
        <v>#NUM!</v>
      </c>
      <c r="L123" s="166"/>
      <c r="M123" s="168">
        <f t="shared" si="9"/>
        <v>0</v>
      </c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  <c r="AH123" s="156"/>
      <c r="AI123" s="156"/>
      <c r="AJ123" s="156"/>
      <c r="AK123" s="156"/>
      <c r="AL123" s="156"/>
    </row>
    <row r="124" spans="1:38" s="151" customFormat="1" x14ac:dyDescent="0.25">
      <c r="A124" s="109">
        <f t="shared" si="10"/>
        <v>0</v>
      </c>
      <c r="B124" s="28" t="str">
        <f t="shared" si="6"/>
        <v/>
      </c>
      <c r="C124" s="29"/>
      <c r="D124" s="29"/>
      <c r="E124" s="29"/>
      <c r="F124" s="29"/>
      <c r="H124" s="163">
        <v>119</v>
      </c>
      <c r="I124" s="164" t="str">
        <f t="shared" si="7"/>
        <v/>
      </c>
      <c r="J124" s="163" t="e">
        <f t="shared" si="11"/>
        <v>#NUM!</v>
      </c>
      <c r="K124" s="163" t="e">
        <f t="shared" si="8"/>
        <v>#NUM!</v>
      </c>
      <c r="L124" s="163"/>
      <c r="M124" s="165">
        <f t="shared" si="9"/>
        <v>0</v>
      </c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  <c r="AH124" s="156"/>
      <c r="AI124" s="156"/>
      <c r="AJ124" s="156"/>
      <c r="AK124" s="156"/>
      <c r="AL124" s="156"/>
    </row>
    <row r="125" spans="1:38" s="151" customFormat="1" x14ac:dyDescent="0.25">
      <c r="A125" s="110">
        <f t="shared" si="10"/>
        <v>0</v>
      </c>
      <c r="B125" s="34" t="str">
        <f t="shared" si="6"/>
        <v/>
      </c>
      <c r="C125" s="35"/>
      <c r="D125" s="35"/>
      <c r="E125" s="35"/>
      <c r="F125" s="35"/>
      <c r="H125" s="166">
        <v>120</v>
      </c>
      <c r="I125" s="167" t="str">
        <f t="shared" si="7"/>
        <v/>
      </c>
      <c r="J125" s="166" t="e">
        <f t="shared" si="11"/>
        <v>#NUM!</v>
      </c>
      <c r="K125" s="166" t="e">
        <f t="shared" si="8"/>
        <v>#NUM!</v>
      </c>
      <c r="L125" s="166"/>
      <c r="M125" s="168">
        <f t="shared" si="9"/>
        <v>0</v>
      </c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</row>
    <row r="126" spans="1:38" s="151" customFormat="1" x14ac:dyDescent="0.25">
      <c r="A126" s="109">
        <f t="shared" si="10"/>
        <v>0</v>
      </c>
      <c r="B126" s="28" t="str">
        <f t="shared" si="6"/>
        <v/>
      </c>
      <c r="C126" s="29"/>
      <c r="D126" s="29"/>
      <c r="E126" s="29"/>
      <c r="F126" s="29"/>
      <c r="H126" s="163">
        <v>121</v>
      </c>
      <c r="I126" s="164" t="str">
        <f t="shared" si="7"/>
        <v/>
      </c>
      <c r="J126" s="163" t="e">
        <f t="shared" si="11"/>
        <v>#NUM!</v>
      </c>
      <c r="K126" s="163" t="e">
        <f t="shared" si="8"/>
        <v>#NUM!</v>
      </c>
      <c r="L126" s="163"/>
      <c r="M126" s="165">
        <f t="shared" si="9"/>
        <v>0</v>
      </c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</row>
    <row r="127" spans="1:38" s="151" customFormat="1" x14ac:dyDescent="0.25">
      <c r="A127" s="110">
        <f t="shared" si="10"/>
        <v>0</v>
      </c>
      <c r="B127" s="34" t="str">
        <f t="shared" si="6"/>
        <v/>
      </c>
      <c r="C127" s="35"/>
      <c r="D127" s="35"/>
      <c r="E127" s="35"/>
      <c r="F127" s="35"/>
      <c r="H127" s="166">
        <v>122</v>
      </c>
      <c r="I127" s="167" t="str">
        <f t="shared" si="7"/>
        <v/>
      </c>
      <c r="J127" s="166" t="e">
        <f t="shared" si="11"/>
        <v>#NUM!</v>
      </c>
      <c r="K127" s="166" t="e">
        <f t="shared" si="8"/>
        <v>#NUM!</v>
      </c>
      <c r="L127" s="166"/>
      <c r="M127" s="168">
        <f t="shared" si="9"/>
        <v>0</v>
      </c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</row>
    <row r="128" spans="1:38" s="151" customFormat="1" x14ac:dyDescent="0.25">
      <c r="A128" s="109">
        <f t="shared" si="10"/>
        <v>0</v>
      </c>
      <c r="B128" s="28" t="str">
        <f t="shared" si="6"/>
        <v/>
      </c>
      <c r="C128" s="29"/>
      <c r="D128" s="29"/>
      <c r="E128" s="29"/>
      <c r="F128" s="29"/>
      <c r="H128" s="163">
        <v>123</v>
      </c>
      <c r="I128" s="164" t="str">
        <f t="shared" si="7"/>
        <v/>
      </c>
      <c r="J128" s="163" t="e">
        <f t="shared" si="11"/>
        <v>#NUM!</v>
      </c>
      <c r="K128" s="163" t="e">
        <f t="shared" si="8"/>
        <v>#NUM!</v>
      </c>
      <c r="L128" s="163"/>
      <c r="M128" s="165">
        <f t="shared" si="9"/>
        <v>0</v>
      </c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</row>
    <row r="129" spans="1:38" s="151" customFormat="1" x14ac:dyDescent="0.25">
      <c r="A129" s="110">
        <f t="shared" si="10"/>
        <v>0</v>
      </c>
      <c r="B129" s="34" t="str">
        <f t="shared" si="6"/>
        <v/>
      </c>
      <c r="C129" s="35"/>
      <c r="D129" s="35"/>
      <c r="E129" s="35"/>
      <c r="F129" s="35"/>
      <c r="H129" s="166">
        <v>124</v>
      </c>
      <c r="I129" s="167" t="str">
        <f t="shared" si="7"/>
        <v/>
      </c>
      <c r="J129" s="166" t="e">
        <f t="shared" si="11"/>
        <v>#NUM!</v>
      </c>
      <c r="K129" s="166" t="e">
        <f t="shared" si="8"/>
        <v>#NUM!</v>
      </c>
      <c r="L129" s="166"/>
      <c r="M129" s="168">
        <f t="shared" si="9"/>
        <v>0</v>
      </c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</row>
    <row r="130" spans="1:38" s="151" customFormat="1" x14ac:dyDescent="0.25">
      <c r="A130" s="109">
        <f t="shared" si="10"/>
        <v>0</v>
      </c>
      <c r="B130" s="28" t="str">
        <f t="shared" si="6"/>
        <v/>
      </c>
      <c r="C130" s="29"/>
      <c r="D130" s="29"/>
      <c r="E130" s="29"/>
      <c r="F130" s="29"/>
      <c r="H130" s="163">
        <v>125</v>
      </c>
      <c r="I130" s="164" t="str">
        <f t="shared" si="7"/>
        <v/>
      </c>
      <c r="J130" s="163" t="e">
        <f t="shared" si="11"/>
        <v>#NUM!</v>
      </c>
      <c r="K130" s="163" t="e">
        <f t="shared" si="8"/>
        <v>#NUM!</v>
      </c>
      <c r="L130" s="163"/>
      <c r="M130" s="165">
        <f t="shared" si="9"/>
        <v>0</v>
      </c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  <c r="AL130" s="156"/>
    </row>
    <row r="131" spans="1:38" s="151" customFormat="1" x14ac:dyDescent="0.25">
      <c r="A131" s="110">
        <f t="shared" si="10"/>
        <v>0</v>
      </c>
      <c r="B131" s="34" t="str">
        <f t="shared" si="6"/>
        <v/>
      </c>
      <c r="C131" s="35"/>
      <c r="D131" s="35"/>
      <c r="E131" s="35"/>
      <c r="F131" s="35"/>
      <c r="H131" s="166">
        <v>126</v>
      </c>
      <c r="I131" s="167" t="str">
        <f t="shared" si="7"/>
        <v/>
      </c>
      <c r="J131" s="166" t="e">
        <f t="shared" si="11"/>
        <v>#NUM!</v>
      </c>
      <c r="K131" s="166" t="e">
        <f t="shared" si="8"/>
        <v>#NUM!</v>
      </c>
      <c r="L131" s="166"/>
      <c r="M131" s="168">
        <f t="shared" si="9"/>
        <v>0</v>
      </c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  <c r="AL131" s="156"/>
    </row>
    <row r="132" spans="1:38" s="151" customFormat="1" x14ac:dyDescent="0.25">
      <c r="A132" s="109">
        <f t="shared" si="10"/>
        <v>0</v>
      </c>
      <c r="B132" s="28" t="str">
        <f t="shared" si="6"/>
        <v/>
      </c>
      <c r="C132" s="29"/>
      <c r="D132" s="29"/>
      <c r="E132" s="29"/>
      <c r="F132" s="29"/>
      <c r="H132" s="163">
        <v>127</v>
      </c>
      <c r="I132" s="164" t="str">
        <f t="shared" si="7"/>
        <v/>
      </c>
      <c r="J132" s="163" t="e">
        <f t="shared" si="11"/>
        <v>#NUM!</v>
      </c>
      <c r="K132" s="163" t="e">
        <f t="shared" si="8"/>
        <v>#NUM!</v>
      </c>
      <c r="L132" s="163"/>
      <c r="M132" s="165">
        <f t="shared" si="9"/>
        <v>0</v>
      </c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</row>
    <row r="133" spans="1:38" s="151" customFormat="1" x14ac:dyDescent="0.25">
      <c r="A133" s="110">
        <f t="shared" si="10"/>
        <v>0</v>
      </c>
      <c r="B133" s="34" t="str">
        <f t="shared" si="6"/>
        <v/>
      </c>
      <c r="C133" s="35"/>
      <c r="D133" s="35"/>
      <c r="E133" s="35"/>
      <c r="F133" s="35"/>
      <c r="H133" s="166">
        <v>128</v>
      </c>
      <c r="I133" s="167" t="str">
        <f t="shared" si="7"/>
        <v/>
      </c>
      <c r="J133" s="166" t="e">
        <f t="shared" si="11"/>
        <v>#NUM!</v>
      </c>
      <c r="K133" s="166" t="e">
        <f t="shared" si="8"/>
        <v>#NUM!</v>
      </c>
      <c r="L133" s="166"/>
      <c r="M133" s="168">
        <f t="shared" si="9"/>
        <v>0</v>
      </c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</row>
    <row r="134" spans="1:38" s="151" customFormat="1" x14ac:dyDescent="0.25">
      <c r="A134" s="109">
        <f t="shared" si="10"/>
        <v>0</v>
      </c>
      <c r="B134" s="28" t="str">
        <f t="shared" ref="B134:B140" si="12">IF(H134&gt;$H$2,"",(ROW()-5))</f>
        <v/>
      </c>
      <c r="C134" s="29"/>
      <c r="D134" s="29"/>
      <c r="E134" s="29"/>
      <c r="F134" s="29"/>
      <c r="H134" s="163">
        <v>129</v>
      </c>
      <c r="I134" s="164" t="str">
        <f t="shared" ref="I134:I197" si="13">IF(H134&lt;$H$2+1,($I$2-($I$2-1)*(LOG(H134)/LOG($H$2))),"")</f>
        <v/>
      </c>
      <c r="J134" s="163" t="e">
        <f t="shared" si="11"/>
        <v>#NUM!</v>
      </c>
      <c r="K134" s="163" t="e">
        <f t="shared" ref="K134:K197" si="14">J134*$J$2</f>
        <v>#NUM!</v>
      </c>
      <c r="L134" s="163"/>
      <c r="M134" s="165">
        <f t="shared" ref="M134:M197" si="15">IF(I134&lt;&gt;"",K134+I134+L134,0)</f>
        <v>0</v>
      </c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  <c r="AL134" s="156"/>
    </row>
    <row r="135" spans="1:38" s="151" customFormat="1" x14ac:dyDescent="0.25">
      <c r="A135" s="110">
        <f t="shared" ref="A135:A140" si="16">M135</f>
        <v>0</v>
      </c>
      <c r="B135" s="34" t="str">
        <f t="shared" si="12"/>
        <v/>
      </c>
      <c r="C135" s="35"/>
      <c r="D135" s="35"/>
      <c r="E135" s="35"/>
      <c r="F135" s="35"/>
      <c r="H135" s="166">
        <v>130</v>
      </c>
      <c r="I135" s="167" t="str">
        <f t="shared" si="13"/>
        <v/>
      </c>
      <c r="J135" s="166" t="e">
        <f t="shared" ref="J135:J198" si="17">INT(LOG($H$2,2))-ROUNDUP(LOG(H135,2),0)+IF(OR($H$2=1,$H$2=2,$H$2=4,$H$2=8,$H$2=16,$H$2=32,$H$2=64,$H$2=128,$H$2=256),0,1)</f>
        <v>#NUM!</v>
      </c>
      <c r="K135" s="166" t="e">
        <f t="shared" si="14"/>
        <v>#NUM!</v>
      </c>
      <c r="L135" s="166"/>
      <c r="M135" s="168">
        <f t="shared" si="15"/>
        <v>0</v>
      </c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6"/>
      <c r="AL135" s="156"/>
    </row>
    <row r="136" spans="1:38" s="151" customFormat="1" x14ac:dyDescent="0.25">
      <c r="A136" s="109">
        <f t="shared" si="16"/>
        <v>0</v>
      </c>
      <c r="B136" s="28" t="str">
        <f t="shared" si="12"/>
        <v/>
      </c>
      <c r="C136" s="29"/>
      <c r="D136" s="29"/>
      <c r="E136" s="29"/>
      <c r="F136" s="29"/>
      <c r="H136" s="163">
        <v>131</v>
      </c>
      <c r="I136" s="164" t="str">
        <f t="shared" si="13"/>
        <v/>
      </c>
      <c r="J136" s="163" t="e">
        <f t="shared" si="17"/>
        <v>#NUM!</v>
      </c>
      <c r="K136" s="163" t="e">
        <f t="shared" si="14"/>
        <v>#NUM!</v>
      </c>
      <c r="L136" s="163"/>
      <c r="M136" s="165">
        <f t="shared" si="15"/>
        <v>0</v>
      </c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</row>
    <row r="137" spans="1:38" s="151" customFormat="1" x14ac:dyDescent="0.25">
      <c r="A137" s="110">
        <f t="shared" si="16"/>
        <v>0</v>
      </c>
      <c r="B137" s="34" t="str">
        <f t="shared" si="12"/>
        <v/>
      </c>
      <c r="C137" s="35"/>
      <c r="D137" s="35"/>
      <c r="E137" s="35"/>
      <c r="F137" s="35"/>
      <c r="H137" s="166">
        <v>132</v>
      </c>
      <c r="I137" s="167" t="str">
        <f t="shared" si="13"/>
        <v/>
      </c>
      <c r="J137" s="166" t="e">
        <f t="shared" si="17"/>
        <v>#NUM!</v>
      </c>
      <c r="K137" s="166" t="e">
        <f t="shared" si="14"/>
        <v>#NUM!</v>
      </c>
      <c r="L137" s="166"/>
      <c r="M137" s="168">
        <f t="shared" si="15"/>
        <v>0</v>
      </c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  <c r="AH137" s="156"/>
      <c r="AI137" s="156"/>
      <c r="AJ137" s="156"/>
      <c r="AK137" s="156"/>
      <c r="AL137" s="156"/>
    </row>
    <row r="138" spans="1:38" s="151" customFormat="1" x14ac:dyDescent="0.25">
      <c r="A138" s="109">
        <f t="shared" si="16"/>
        <v>0</v>
      </c>
      <c r="B138" s="28" t="str">
        <f t="shared" si="12"/>
        <v/>
      </c>
      <c r="C138" s="29"/>
      <c r="D138" s="29"/>
      <c r="E138" s="29"/>
      <c r="F138" s="29"/>
      <c r="H138" s="163">
        <v>133</v>
      </c>
      <c r="I138" s="164" t="str">
        <f t="shared" si="13"/>
        <v/>
      </c>
      <c r="J138" s="163" t="e">
        <f t="shared" si="17"/>
        <v>#NUM!</v>
      </c>
      <c r="K138" s="163" t="e">
        <f t="shared" si="14"/>
        <v>#NUM!</v>
      </c>
      <c r="L138" s="163"/>
      <c r="M138" s="165">
        <f t="shared" si="15"/>
        <v>0</v>
      </c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  <c r="AH138" s="156"/>
      <c r="AI138" s="156"/>
      <c r="AJ138" s="156"/>
      <c r="AK138" s="156"/>
      <c r="AL138" s="156"/>
    </row>
    <row r="139" spans="1:38" s="151" customFormat="1" x14ac:dyDescent="0.25">
      <c r="A139" s="110">
        <f t="shared" si="16"/>
        <v>0</v>
      </c>
      <c r="B139" s="34" t="str">
        <f t="shared" si="12"/>
        <v/>
      </c>
      <c r="C139" s="35"/>
      <c r="D139" s="35"/>
      <c r="E139" s="35"/>
      <c r="F139" s="35"/>
      <c r="H139" s="166">
        <v>134</v>
      </c>
      <c r="I139" s="167" t="str">
        <f t="shared" si="13"/>
        <v/>
      </c>
      <c r="J139" s="166" t="e">
        <f t="shared" si="17"/>
        <v>#NUM!</v>
      </c>
      <c r="K139" s="166" t="e">
        <f t="shared" si="14"/>
        <v>#NUM!</v>
      </c>
      <c r="L139" s="166"/>
      <c r="M139" s="168">
        <f t="shared" si="15"/>
        <v>0</v>
      </c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</row>
    <row r="140" spans="1:38" s="151" customFormat="1" x14ac:dyDescent="0.25">
      <c r="A140" s="109">
        <f t="shared" si="16"/>
        <v>0</v>
      </c>
      <c r="B140" s="28" t="str">
        <f t="shared" si="12"/>
        <v/>
      </c>
      <c r="C140" s="29"/>
      <c r="D140" s="29"/>
      <c r="E140" s="29"/>
      <c r="F140" s="29"/>
      <c r="H140" s="163">
        <v>135</v>
      </c>
      <c r="I140" s="164" t="str">
        <f t="shared" si="13"/>
        <v/>
      </c>
      <c r="J140" s="163" t="e">
        <f t="shared" si="17"/>
        <v>#NUM!</v>
      </c>
      <c r="K140" s="163" t="e">
        <f t="shared" si="14"/>
        <v>#NUM!</v>
      </c>
      <c r="L140" s="163"/>
      <c r="M140" s="165">
        <f t="shared" si="15"/>
        <v>0</v>
      </c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  <c r="AH140" s="156"/>
      <c r="AI140" s="156"/>
      <c r="AJ140" s="156"/>
      <c r="AK140" s="156"/>
      <c r="AL140" s="156"/>
    </row>
    <row r="141" spans="1:38" x14ac:dyDescent="0.25">
      <c r="A141" s="180"/>
      <c r="G141" s="151"/>
      <c r="H141" s="166">
        <v>136</v>
      </c>
      <c r="I141" s="164" t="str">
        <f t="shared" si="13"/>
        <v/>
      </c>
      <c r="J141" s="163" t="e">
        <f t="shared" si="17"/>
        <v>#NUM!</v>
      </c>
      <c r="K141" s="163" t="e">
        <f t="shared" si="14"/>
        <v>#NUM!</v>
      </c>
      <c r="L141" s="163"/>
      <c r="M141" s="165">
        <f t="shared" si="15"/>
        <v>0</v>
      </c>
    </row>
    <row r="142" spans="1:38" x14ac:dyDescent="0.25">
      <c r="A142" s="180"/>
      <c r="G142" s="151"/>
      <c r="H142" s="163">
        <v>137</v>
      </c>
      <c r="I142" s="164" t="str">
        <f t="shared" si="13"/>
        <v/>
      </c>
      <c r="J142" s="163" t="e">
        <f t="shared" si="17"/>
        <v>#NUM!</v>
      </c>
      <c r="K142" s="163" t="e">
        <f t="shared" si="14"/>
        <v>#NUM!</v>
      </c>
      <c r="L142" s="163"/>
      <c r="M142" s="165">
        <f t="shared" si="15"/>
        <v>0</v>
      </c>
    </row>
    <row r="143" spans="1:38" x14ac:dyDescent="0.25">
      <c r="A143" s="180"/>
      <c r="G143" s="151"/>
      <c r="H143" s="166">
        <v>138</v>
      </c>
      <c r="I143" s="164" t="str">
        <f t="shared" si="13"/>
        <v/>
      </c>
      <c r="J143" s="163" t="e">
        <f t="shared" si="17"/>
        <v>#NUM!</v>
      </c>
      <c r="K143" s="163" t="e">
        <f t="shared" si="14"/>
        <v>#NUM!</v>
      </c>
      <c r="L143" s="163"/>
      <c r="M143" s="165">
        <f t="shared" si="15"/>
        <v>0</v>
      </c>
    </row>
    <row r="144" spans="1:38" x14ac:dyDescent="0.25">
      <c r="A144" s="180"/>
      <c r="G144" s="151"/>
      <c r="H144" s="163">
        <v>139</v>
      </c>
      <c r="I144" s="164" t="str">
        <f t="shared" si="13"/>
        <v/>
      </c>
      <c r="J144" s="163" t="e">
        <f t="shared" si="17"/>
        <v>#NUM!</v>
      </c>
      <c r="K144" s="163" t="e">
        <f t="shared" si="14"/>
        <v>#NUM!</v>
      </c>
      <c r="L144" s="163"/>
      <c r="M144" s="165">
        <f t="shared" si="15"/>
        <v>0</v>
      </c>
    </row>
    <row r="145" spans="1:13" x14ac:dyDescent="0.25">
      <c r="A145" s="180"/>
      <c r="G145" s="151"/>
      <c r="H145" s="166">
        <v>140</v>
      </c>
      <c r="I145" s="164" t="str">
        <f t="shared" si="13"/>
        <v/>
      </c>
      <c r="J145" s="163" t="e">
        <f t="shared" si="17"/>
        <v>#NUM!</v>
      </c>
      <c r="K145" s="163" t="e">
        <f t="shared" si="14"/>
        <v>#NUM!</v>
      </c>
      <c r="L145" s="163"/>
      <c r="M145" s="165">
        <f t="shared" si="15"/>
        <v>0</v>
      </c>
    </row>
    <row r="146" spans="1:13" x14ac:dyDescent="0.25">
      <c r="A146" s="180"/>
      <c r="G146" s="151"/>
      <c r="H146" s="163">
        <v>141</v>
      </c>
      <c r="I146" s="164" t="str">
        <f t="shared" si="13"/>
        <v/>
      </c>
      <c r="J146" s="163" t="e">
        <f t="shared" si="17"/>
        <v>#NUM!</v>
      </c>
      <c r="K146" s="163" t="e">
        <f t="shared" si="14"/>
        <v>#NUM!</v>
      </c>
      <c r="L146" s="163"/>
      <c r="M146" s="165">
        <f t="shared" si="15"/>
        <v>0</v>
      </c>
    </row>
    <row r="147" spans="1:13" x14ac:dyDescent="0.25">
      <c r="A147" s="180"/>
      <c r="G147" s="151"/>
      <c r="H147" s="166">
        <v>142</v>
      </c>
      <c r="I147" s="164" t="str">
        <f t="shared" si="13"/>
        <v/>
      </c>
      <c r="J147" s="163" t="e">
        <f t="shared" si="17"/>
        <v>#NUM!</v>
      </c>
      <c r="K147" s="163" t="e">
        <f t="shared" si="14"/>
        <v>#NUM!</v>
      </c>
      <c r="L147" s="163"/>
      <c r="M147" s="165">
        <f t="shared" si="15"/>
        <v>0</v>
      </c>
    </row>
    <row r="148" spans="1:13" x14ac:dyDescent="0.25">
      <c r="A148" s="180"/>
      <c r="G148" s="151"/>
      <c r="H148" s="163">
        <v>143</v>
      </c>
      <c r="I148" s="164" t="str">
        <f t="shared" si="13"/>
        <v/>
      </c>
      <c r="J148" s="163" t="e">
        <f t="shared" si="17"/>
        <v>#NUM!</v>
      </c>
      <c r="K148" s="163" t="e">
        <f t="shared" si="14"/>
        <v>#NUM!</v>
      </c>
      <c r="L148" s="163"/>
      <c r="M148" s="165">
        <f t="shared" si="15"/>
        <v>0</v>
      </c>
    </row>
    <row r="149" spans="1:13" x14ac:dyDescent="0.25">
      <c r="A149" s="180"/>
      <c r="G149" s="151"/>
      <c r="H149" s="166">
        <v>144</v>
      </c>
      <c r="I149" s="164" t="str">
        <f t="shared" si="13"/>
        <v/>
      </c>
      <c r="J149" s="163" t="e">
        <f t="shared" si="17"/>
        <v>#NUM!</v>
      </c>
      <c r="K149" s="163" t="e">
        <f t="shared" si="14"/>
        <v>#NUM!</v>
      </c>
      <c r="L149" s="163"/>
      <c r="M149" s="165">
        <f t="shared" si="15"/>
        <v>0</v>
      </c>
    </row>
    <row r="150" spans="1:13" x14ac:dyDescent="0.25">
      <c r="A150" s="180"/>
      <c r="G150" s="151"/>
      <c r="H150" s="163">
        <v>145</v>
      </c>
      <c r="I150" s="164" t="str">
        <f t="shared" si="13"/>
        <v/>
      </c>
      <c r="J150" s="163" t="e">
        <f t="shared" si="17"/>
        <v>#NUM!</v>
      </c>
      <c r="K150" s="163" t="e">
        <f t="shared" si="14"/>
        <v>#NUM!</v>
      </c>
      <c r="L150" s="163"/>
      <c r="M150" s="165">
        <f t="shared" si="15"/>
        <v>0</v>
      </c>
    </row>
    <row r="151" spans="1:13" x14ac:dyDescent="0.25">
      <c r="A151" s="180"/>
      <c r="G151" s="151"/>
      <c r="H151" s="166">
        <v>146</v>
      </c>
      <c r="I151" s="164" t="str">
        <f t="shared" si="13"/>
        <v/>
      </c>
      <c r="J151" s="163" t="e">
        <f t="shared" si="17"/>
        <v>#NUM!</v>
      </c>
      <c r="K151" s="163" t="e">
        <f t="shared" si="14"/>
        <v>#NUM!</v>
      </c>
      <c r="L151" s="163"/>
      <c r="M151" s="165">
        <f t="shared" si="15"/>
        <v>0</v>
      </c>
    </row>
    <row r="152" spans="1:13" x14ac:dyDescent="0.25">
      <c r="A152" s="180"/>
      <c r="G152" s="151"/>
      <c r="H152" s="163">
        <v>147</v>
      </c>
      <c r="I152" s="164" t="str">
        <f t="shared" si="13"/>
        <v/>
      </c>
      <c r="J152" s="163" t="e">
        <f t="shared" si="17"/>
        <v>#NUM!</v>
      </c>
      <c r="K152" s="163" t="e">
        <f t="shared" si="14"/>
        <v>#NUM!</v>
      </c>
      <c r="L152" s="163"/>
      <c r="M152" s="165">
        <f t="shared" si="15"/>
        <v>0</v>
      </c>
    </row>
    <row r="153" spans="1:13" x14ac:dyDescent="0.25">
      <c r="A153" s="180"/>
      <c r="G153" s="151"/>
      <c r="H153" s="166">
        <v>148</v>
      </c>
      <c r="I153" s="164" t="str">
        <f t="shared" si="13"/>
        <v/>
      </c>
      <c r="J153" s="163" t="e">
        <f t="shared" si="17"/>
        <v>#NUM!</v>
      </c>
      <c r="K153" s="163" t="e">
        <f t="shared" si="14"/>
        <v>#NUM!</v>
      </c>
      <c r="L153" s="163"/>
      <c r="M153" s="165">
        <f t="shared" si="15"/>
        <v>0</v>
      </c>
    </row>
    <row r="154" spans="1:13" x14ac:dyDescent="0.25">
      <c r="A154" s="180"/>
      <c r="G154" s="151"/>
      <c r="H154" s="163">
        <v>149</v>
      </c>
      <c r="I154" s="164" t="str">
        <f t="shared" si="13"/>
        <v/>
      </c>
      <c r="J154" s="163" t="e">
        <f t="shared" si="17"/>
        <v>#NUM!</v>
      </c>
      <c r="K154" s="163" t="e">
        <f t="shared" si="14"/>
        <v>#NUM!</v>
      </c>
      <c r="L154" s="163"/>
      <c r="M154" s="165">
        <f t="shared" si="15"/>
        <v>0</v>
      </c>
    </row>
    <row r="155" spans="1:13" x14ac:dyDescent="0.25">
      <c r="A155" s="180"/>
      <c r="G155" s="151"/>
      <c r="H155" s="166">
        <v>150</v>
      </c>
      <c r="I155" s="164" t="str">
        <f t="shared" si="13"/>
        <v/>
      </c>
      <c r="J155" s="163" t="e">
        <f t="shared" si="17"/>
        <v>#NUM!</v>
      </c>
      <c r="K155" s="163" t="e">
        <f t="shared" si="14"/>
        <v>#NUM!</v>
      </c>
      <c r="L155" s="163"/>
      <c r="M155" s="165">
        <f t="shared" si="15"/>
        <v>0</v>
      </c>
    </row>
    <row r="156" spans="1:13" x14ac:dyDescent="0.25">
      <c r="A156" s="180"/>
      <c r="G156" s="151"/>
      <c r="H156" s="163">
        <v>151</v>
      </c>
      <c r="I156" s="164" t="str">
        <f t="shared" si="13"/>
        <v/>
      </c>
      <c r="J156" s="163" t="e">
        <f t="shared" si="17"/>
        <v>#NUM!</v>
      </c>
      <c r="K156" s="163" t="e">
        <f t="shared" si="14"/>
        <v>#NUM!</v>
      </c>
      <c r="L156" s="163"/>
      <c r="M156" s="165">
        <f t="shared" si="15"/>
        <v>0</v>
      </c>
    </row>
    <row r="157" spans="1:13" x14ac:dyDescent="0.25">
      <c r="A157" s="180"/>
      <c r="G157" s="151"/>
      <c r="H157" s="166">
        <v>152</v>
      </c>
      <c r="I157" s="164" t="str">
        <f t="shared" si="13"/>
        <v/>
      </c>
      <c r="J157" s="163" t="e">
        <f t="shared" si="17"/>
        <v>#NUM!</v>
      </c>
      <c r="K157" s="163" t="e">
        <f t="shared" si="14"/>
        <v>#NUM!</v>
      </c>
      <c r="L157" s="163"/>
      <c r="M157" s="165">
        <f t="shared" si="15"/>
        <v>0</v>
      </c>
    </row>
    <row r="158" spans="1:13" x14ac:dyDescent="0.25">
      <c r="A158" s="180"/>
      <c r="G158" s="151"/>
      <c r="H158" s="163">
        <v>153</v>
      </c>
      <c r="I158" s="164" t="str">
        <f t="shared" si="13"/>
        <v/>
      </c>
      <c r="J158" s="163" t="e">
        <f t="shared" si="17"/>
        <v>#NUM!</v>
      </c>
      <c r="K158" s="163" t="e">
        <f t="shared" si="14"/>
        <v>#NUM!</v>
      </c>
      <c r="L158" s="163"/>
      <c r="M158" s="165">
        <f t="shared" si="15"/>
        <v>0</v>
      </c>
    </row>
    <row r="159" spans="1:13" x14ac:dyDescent="0.25">
      <c r="A159" s="180"/>
      <c r="G159" s="151"/>
      <c r="H159" s="166">
        <v>154</v>
      </c>
      <c r="I159" s="164" t="str">
        <f t="shared" si="13"/>
        <v/>
      </c>
      <c r="J159" s="163" t="e">
        <f t="shared" si="17"/>
        <v>#NUM!</v>
      </c>
      <c r="K159" s="163" t="e">
        <f t="shared" si="14"/>
        <v>#NUM!</v>
      </c>
      <c r="L159" s="163"/>
      <c r="M159" s="165">
        <f t="shared" si="15"/>
        <v>0</v>
      </c>
    </row>
    <row r="160" spans="1:13" x14ac:dyDescent="0.25">
      <c r="A160" s="180"/>
      <c r="G160" s="151"/>
      <c r="H160" s="163">
        <v>155</v>
      </c>
      <c r="I160" s="164" t="str">
        <f t="shared" si="13"/>
        <v/>
      </c>
      <c r="J160" s="163" t="e">
        <f t="shared" si="17"/>
        <v>#NUM!</v>
      </c>
      <c r="K160" s="163" t="e">
        <f t="shared" si="14"/>
        <v>#NUM!</v>
      </c>
      <c r="L160" s="163"/>
      <c r="M160" s="165">
        <f t="shared" si="15"/>
        <v>0</v>
      </c>
    </row>
    <row r="161" spans="1:13" x14ac:dyDescent="0.25">
      <c r="A161" s="180"/>
      <c r="G161" s="151"/>
      <c r="H161" s="166">
        <v>156</v>
      </c>
      <c r="I161" s="164" t="str">
        <f t="shared" si="13"/>
        <v/>
      </c>
      <c r="J161" s="163" t="e">
        <f t="shared" si="17"/>
        <v>#NUM!</v>
      </c>
      <c r="K161" s="163" t="e">
        <f t="shared" si="14"/>
        <v>#NUM!</v>
      </c>
      <c r="L161" s="163"/>
      <c r="M161" s="165">
        <f t="shared" si="15"/>
        <v>0</v>
      </c>
    </row>
    <row r="162" spans="1:13" x14ac:dyDescent="0.25">
      <c r="A162" s="180"/>
      <c r="G162" s="151"/>
      <c r="H162" s="163">
        <v>157</v>
      </c>
      <c r="I162" s="164" t="str">
        <f t="shared" si="13"/>
        <v/>
      </c>
      <c r="J162" s="163" t="e">
        <f t="shared" si="17"/>
        <v>#NUM!</v>
      </c>
      <c r="K162" s="163" t="e">
        <f t="shared" si="14"/>
        <v>#NUM!</v>
      </c>
      <c r="L162" s="163"/>
      <c r="M162" s="165">
        <f t="shared" si="15"/>
        <v>0</v>
      </c>
    </row>
    <row r="163" spans="1:13" x14ac:dyDescent="0.25">
      <c r="A163" s="180"/>
      <c r="G163" s="151"/>
      <c r="H163" s="166">
        <v>158</v>
      </c>
      <c r="I163" s="164" t="str">
        <f t="shared" si="13"/>
        <v/>
      </c>
      <c r="J163" s="163" t="e">
        <f t="shared" si="17"/>
        <v>#NUM!</v>
      </c>
      <c r="K163" s="163" t="e">
        <f t="shared" si="14"/>
        <v>#NUM!</v>
      </c>
      <c r="L163" s="163"/>
      <c r="M163" s="165">
        <f t="shared" si="15"/>
        <v>0</v>
      </c>
    </row>
    <row r="164" spans="1:13" x14ac:dyDescent="0.25">
      <c r="A164" s="180"/>
      <c r="G164" s="151"/>
      <c r="H164" s="163">
        <v>159</v>
      </c>
      <c r="I164" s="164" t="str">
        <f t="shared" si="13"/>
        <v/>
      </c>
      <c r="J164" s="163" t="e">
        <f t="shared" si="17"/>
        <v>#NUM!</v>
      </c>
      <c r="K164" s="163" t="e">
        <f t="shared" si="14"/>
        <v>#NUM!</v>
      </c>
      <c r="L164" s="163"/>
      <c r="M164" s="165">
        <f t="shared" si="15"/>
        <v>0</v>
      </c>
    </row>
    <row r="165" spans="1:13" x14ac:dyDescent="0.25">
      <c r="A165" s="180"/>
      <c r="G165" s="151"/>
      <c r="H165" s="166">
        <v>160</v>
      </c>
      <c r="I165" s="164" t="str">
        <f t="shared" si="13"/>
        <v/>
      </c>
      <c r="J165" s="163" t="e">
        <f t="shared" si="17"/>
        <v>#NUM!</v>
      </c>
      <c r="K165" s="163" t="e">
        <f t="shared" si="14"/>
        <v>#NUM!</v>
      </c>
      <c r="L165" s="163"/>
      <c r="M165" s="165">
        <f t="shared" si="15"/>
        <v>0</v>
      </c>
    </row>
    <row r="166" spans="1:13" x14ac:dyDescent="0.25">
      <c r="A166" s="180"/>
      <c r="G166" s="151"/>
      <c r="H166" s="163">
        <v>161</v>
      </c>
      <c r="I166" s="164" t="str">
        <f t="shared" si="13"/>
        <v/>
      </c>
      <c r="J166" s="163" t="e">
        <f t="shared" si="17"/>
        <v>#NUM!</v>
      </c>
      <c r="K166" s="163" t="e">
        <f t="shared" si="14"/>
        <v>#NUM!</v>
      </c>
      <c r="L166" s="163"/>
      <c r="M166" s="165">
        <f t="shared" si="15"/>
        <v>0</v>
      </c>
    </row>
    <row r="167" spans="1:13" x14ac:dyDescent="0.25">
      <c r="A167" s="180"/>
      <c r="G167" s="151"/>
      <c r="H167" s="166">
        <v>162</v>
      </c>
      <c r="I167" s="164" t="str">
        <f t="shared" si="13"/>
        <v/>
      </c>
      <c r="J167" s="163" t="e">
        <f t="shared" si="17"/>
        <v>#NUM!</v>
      </c>
      <c r="K167" s="163" t="e">
        <f t="shared" si="14"/>
        <v>#NUM!</v>
      </c>
      <c r="L167" s="163"/>
      <c r="M167" s="165">
        <f t="shared" si="15"/>
        <v>0</v>
      </c>
    </row>
    <row r="168" spans="1:13" x14ac:dyDescent="0.25">
      <c r="A168" s="180"/>
      <c r="G168" s="151"/>
      <c r="H168" s="163">
        <v>163</v>
      </c>
      <c r="I168" s="164" t="str">
        <f t="shared" si="13"/>
        <v/>
      </c>
      <c r="J168" s="163" t="e">
        <f t="shared" si="17"/>
        <v>#NUM!</v>
      </c>
      <c r="K168" s="163" t="e">
        <f t="shared" si="14"/>
        <v>#NUM!</v>
      </c>
      <c r="L168" s="163"/>
      <c r="M168" s="165">
        <f t="shared" si="15"/>
        <v>0</v>
      </c>
    </row>
    <row r="169" spans="1:13" x14ac:dyDescent="0.25">
      <c r="A169" s="180"/>
      <c r="C169" s="179" t="s">
        <v>50</v>
      </c>
      <c r="G169" s="151"/>
      <c r="H169" s="166">
        <v>164</v>
      </c>
      <c r="I169" s="164" t="str">
        <f t="shared" si="13"/>
        <v/>
      </c>
      <c r="J169" s="163" t="e">
        <f t="shared" si="17"/>
        <v>#NUM!</v>
      </c>
      <c r="K169" s="163" t="e">
        <f t="shared" si="14"/>
        <v>#NUM!</v>
      </c>
      <c r="L169" s="163"/>
      <c r="M169" s="165">
        <f t="shared" si="15"/>
        <v>0</v>
      </c>
    </row>
    <row r="170" spans="1:13" x14ac:dyDescent="0.25">
      <c r="A170" s="180"/>
      <c r="G170" s="151"/>
      <c r="H170" s="163">
        <v>165</v>
      </c>
      <c r="I170" s="164" t="str">
        <f t="shared" si="13"/>
        <v/>
      </c>
      <c r="J170" s="163" t="e">
        <f t="shared" si="17"/>
        <v>#NUM!</v>
      </c>
      <c r="K170" s="163" t="e">
        <f t="shared" si="14"/>
        <v>#NUM!</v>
      </c>
      <c r="L170" s="163"/>
      <c r="M170" s="165">
        <f t="shared" si="15"/>
        <v>0</v>
      </c>
    </row>
    <row r="171" spans="1:13" x14ac:dyDescent="0.25">
      <c r="A171" s="180"/>
      <c r="G171" s="151"/>
      <c r="H171" s="166">
        <v>166</v>
      </c>
      <c r="I171" s="164" t="str">
        <f t="shared" si="13"/>
        <v/>
      </c>
      <c r="J171" s="163" t="e">
        <f t="shared" si="17"/>
        <v>#NUM!</v>
      </c>
      <c r="K171" s="163" t="e">
        <f t="shared" si="14"/>
        <v>#NUM!</v>
      </c>
      <c r="L171" s="163"/>
      <c r="M171" s="165">
        <f t="shared" si="15"/>
        <v>0</v>
      </c>
    </row>
    <row r="172" spans="1:13" x14ac:dyDescent="0.25">
      <c r="A172" s="180"/>
      <c r="G172" s="151"/>
      <c r="H172" s="163">
        <v>167</v>
      </c>
      <c r="I172" s="164" t="str">
        <f t="shared" si="13"/>
        <v/>
      </c>
      <c r="J172" s="163" t="e">
        <f t="shared" si="17"/>
        <v>#NUM!</v>
      </c>
      <c r="K172" s="163" t="e">
        <f t="shared" si="14"/>
        <v>#NUM!</v>
      </c>
      <c r="L172" s="163"/>
      <c r="M172" s="165">
        <f t="shared" si="15"/>
        <v>0</v>
      </c>
    </row>
    <row r="173" spans="1:13" x14ac:dyDescent="0.25">
      <c r="A173" s="180"/>
      <c r="G173" s="151"/>
      <c r="H173" s="166">
        <v>168</v>
      </c>
      <c r="I173" s="164" t="str">
        <f t="shared" si="13"/>
        <v/>
      </c>
      <c r="J173" s="163" t="e">
        <f t="shared" si="17"/>
        <v>#NUM!</v>
      </c>
      <c r="K173" s="163" t="e">
        <f t="shared" si="14"/>
        <v>#NUM!</v>
      </c>
      <c r="L173" s="163"/>
      <c r="M173" s="165">
        <f t="shared" si="15"/>
        <v>0</v>
      </c>
    </row>
    <row r="174" spans="1:13" x14ac:dyDescent="0.25">
      <c r="A174" s="180"/>
      <c r="G174" s="151"/>
      <c r="H174" s="163">
        <v>169</v>
      </c>
      <c r="I174" s="164" t="str">
        <f t="shared" si="13"/>
        <v/>
      </c>
      <c r="J174" s="163" t="e">
        <f t="shared" si="17"/>
        <v>#NUM!</v>
      </c>
      <c r="K174" s="163" t="e">
        <f t="shared" si="14"/>
        <v>#NUM!</v>
      </c>
      <c r="L174" s="163"/>
      <c r="M174" s="165">
        <f t="shared" si="15"/>
        <v>0</v>
      </c>
    </row>
    <row r="175" spans="1:13" x14ac:dyDescent="0.25">
      <c r="A175" s="180"/>
      <c r="G175" s="151"/>
      <c r="H175" s="166">
        <v>170</v>
      </c>
      <c r="I175" s="164" t="str">
        <f t="shared" si="13"/>
        <v/>
      </c>
      <c r="J175" s="163" t="e">
        <f t="shared" si="17"/>
        <v>#NUM!</v>
      </c>
      <c r="K175" s="163" t="e">
        <f t="shared" si="14"/>
        <v>#NUM!</v>
      </c>
      <c r="L175" s="163"/>
      <c r="M175" s="165">
        <f t="shared" si="15"/>
        <v>0</v>
      </c>
    </row>
    <row r="176" spans="1:13" x14ac:dyDescent="0.25">
      <c r="A176" s="180"/>
      <c r="G176" s="151"/>
      <c r="H176" s="163">
        <v>171</v>
      </c>
      <c r="I176" s="164" t="str">
        <f t="shared" si="13"/>
        <v/>
      </c>
      <c r="J176" s="163" t="e">
        <f t="shared" si="17"/>
        <v>#NUM!</v>
      </c>
      <c r="K176" s="163" t="e">
        <f t="shared" si="14"/>
        <v>#NUM!</v>
      </c>
      <c r="L176" s="163"/>
      <c r="M176" s="165">
        <f t="shared" si="15"/>
        <v>0</v>
      </c>
    </row>
    <row r="177" spans="1:13" x14ac:dyDescent="0.25">
      <c r="A177" s="180"/>
      <c r="G177" s="151"/>
      <c r="H177" s="166">
        <v>172</v>
      </c>
      <c r="I177" s="164" t="str">
        <f t="shared" si="13"/>
        <v/>
      </c>
      <c r="J177" s="163" t="e">
        <f t="shared" si="17"/>
        <v>#NUM!</v>
      </c>
      <c r="K177" s="163" t="e">
        <f t="shared" si="14"/>
        <v>#NUM!</v>
      </c>
      <c r="L177" s="163"/>
      <c r="M177" s="165">
        <f t="shared" si="15"/>
        <v>0</v>
      </c>
    </row>
    <row r="178" spans="1:13" x14ac:dyDescent="0.25">
      <c r="A178" s="180"/>
      <c r="G178" s="151"/>
      <c r="H178" s="163">
        <v>173</v>
      </c>
      <c r="I178" s="164" t="str">
        <f t="shared" si="13"/>
        <v/>
      </c>
      <c r="J178" s="163" t="e">
        <f t="shared" si="17"/>
        <v>#NUM!</v>
      </c>
      <c r="K178" s="163" t="e">
        <f t="shared" si="14"/>
        <v>#NUM!</v>
      </c>
      <c r="L178" s="163"/>
      <c r="M178" s="165">
        <f t="shared" si="15"/>
        <v>0</v>
      </c>
    </row>
    <row r="179" spans="1:13" x14ac:dyDescent="0.25">
      <c r="A179" s="180"/>
      <c r="G179" s="151"/>
      <c r="H179" s="166">
        <v>174</v>
      </c>
      <c r="I179" s="164" t="str">
        <f t="shared" si="13"/>
        <v/>
      </c>
      <c r="J179" s="163" t="e">
        <f t="shared" si="17"/>
        <v>#NUM!</v>
      </c>
      <c r="K179" s="163" t="e">
        <f t="shared" si="14"/>
        <v>#NUM!</v>
      </c>
      <c r="L179" s="163"/>
      <c r="M179" s="165">
        <f t="shared" si="15"/>
        <v>0</v>
      </c>
    </row>
    <row r="180" spans="1:13" x14ac:dyDescent="0.25">
      <c r="A180" s="180"/>
      <c r="G180" s="151"/>
      <c r="H180" s="163">
        <v>175</v>
      </c>
      <c r="I180" s="164" t="str">
        <f t="shared" si="13"/>
        <v/>
      </c>
      <c r="J180" s="163" t="e">
        <f t="shared" si="17"/>
        <v>#NUM!</v>
      </c>
      <c r="K180" s="163" t="e">
        <f t="shared" si="14"/>
        <v>#NUM!</v>
      </c>
      <c r="L180" s="163"/>
      <c r="M180" s="165">
        <f t="shared" si="15"/>
        <v>0</v>
      </c>
    </row>
    <row r="181" spans="1:13" x14ac:dyDescent="0.25">
      <c r="A181" s="180"/>
      <c r="G181" s="151"/>
      <c r="H181" s="166">
        <v>176</v>
      </c>
      <c r="I181" s="164" t="str">
        <f t="shared" si="13"/>
        <v/>
      </c>
      <c r="J181" s="163" t="e">
        <f t="shared" si="17"/>
        <v>#NUM!</v>
      </c>
      <c r="K181" s="163" t="e">
        <f t="shared" si="14"/>
        <v>#NUM!</v>
      </c>
      <c r="L181" s="163"/>
      <c r="M181" s="165">
        <f t="shared" si="15"/>
        <v>0</v>
      </c>
    </row>
    <row r="182" spans="1:13" x14ac:dyDescent="0.25">
      <c r="A182" s="180"/>
      <c r="G182" s="151"/>
      <c r="H182" s="163">
        <v>177</v>
      </c>
      <c r="I182" s="164" t="str">
        <f t="shared" si="13"/>
        <v/>
      </c>
      <c r="J182" s="163" t="e">
        <f t="shared" si="17"/>
        <v>#NUM!</v>
      </c>
      <c r="K182" s="163" t="e">
        <f t="shared" si="14"/>
        <v>#NUM!</v>
      </c>
      <c r="L182" s="163"/>
      <c r="M182" s="165">
        <f t="shared" si="15"/>
        <v>0</v>
      </c>
    </row>
    <row r="183" spans="1:13" x14ac:dyDescent="0.25">
      <c r="A183" s="180"/>
      <c r="G183" s="151"/>
      <c r="H183" s="166">
        <v>178</v>
      </c>
      <c r="I183" s="164" t="str">
        <f t="shared" si="13"/>
        <v/>
      </c>
      <c r="J183" s="163" t="e">
        <f t="shared" si="17"/>
        <v>#NUM!</v>
      </c>
      <c r="K183" s="163" t="e">
        <f t="shared" si="14"/>
        <v>#NUM!</v>
      </c>
      <c r="L183" s="163"/>
      <c r="M183" s="165">
        <f t="shared" si="15"/>
        <v>0</v>
      </c>
    </row>
    <row r="184" spans="1:13" x14ac:dyDescent="0.25">
      <c r="A184" s="180"/>
      <c r="G184" s="151"/>
      <c r="H184" s="163">
        <v>179</v>
      </c>
      <c r="I184" s="164" t="str">
        <f t="shared" si="13"/>
        <v/>
      </c>
      <c r="J184" s="163" t="e">
        <f t="shared" si="17"/>
        <v>#NUM!</v>
      </c>
      <c r="K184" s="163" t="e">
        <f t="shared" si="14"/>
        <v>#NUM!</v>
      </c>
      <c r="L184" s="163"/>
      <c r="M184" s="165">
        <f t="shared" si="15"/>
        <v>0</v>
      </c>
    </row>
    <row r="185" spans="1:13" x14ac:dyDescent="0.25">
      <c r="A185" s="180"/>
      <c r="G185" s="151"/>
      <c r="H185" s="166">
        <v>180</v>
      </c>
      <c r="I185" s="164" t="str">
        <f t="shared" si="13"/>
        <v/>
      </c>
      <c r="J185" s="163" t="e">
        <f t="shared" si="17"/>
        <v>#NUM!</v>
      </c>
      <c r="K185" s="163" t="e">
        <f t="shared" si="14"/>
        <v>#NUM!</v>
      </c>
      <c r="L185" s="163"/>
      <c r="M185" s="165">
        <f t="shared" si="15"/>
        <v>0</v>
      </c>
    </row>
    <row r="186" spans="1:13" x14ac:dyDescent="0.25">
      <c r="A186" s="180"/>
      <c r="G186" s="151"/>
      <c r="H186" s="163">
        <v>181</v>
      </c>
      <c r="I186" s="164" t="str">
        <f t="shared" si="13"/>
        <v/>
      </c>
      <c r="J186" s="163" t="e">
        <f t="shared" si="17"/>
        <v>#NUM!</v>
      </c>
      <c r="K186" s="163" t="e">
        <f t="shared" si="14"/>
        <v>#NUM!</v>
      </c>
      <c r="L186" s="163"/>
      <c r="M186" s="165">
        <f t="shared" si="15"/>
        <v>0</v>
      </c>
    </row>
    <row r="187" spans="1:13" x14ac:dyDescent="0.25">
      <c r="A187" s="180"/>
      <c r="G187" s="151"/>
      <c r="H187" s="166">
        <v>182</v>
      </c>
      <c r="I187" s="164" t="str">
        <f t="shared" si="13"/>
        <v/>
      </c>
      <c r="J187" s="163" t="e">
        <f t="shared" si="17"/>
        <v>#NUM!</v>
      </c>
      <c r="K187" s="163" t="e">
        <f t="shared" si="14"/>
        <v>#NUM!</v>
      </c>
      <c r="L187" s="163"/>
      <c r="M187" s="165">
        <f t="shared" si="15"/>
        <v>0</v>
      </c>
    </row>
    <row r="188" spans="1:13" x14ac:dyDescent="0.25">
      <c r="A188" s="180"/>
      <c r="G188" s="151"/>
      <c r="H188" s="163">
        <v>183</v>
      </c>
      <c r="I188" s="164" t="str">
        <f t="shared" si="13"/>
        <v/>
      </c>
      <c r="J188" s="163" t="e">
        <f t="shared" si="17"/>
        <v>#NUM!</v>
      </c>
      <c r="K188" s="163" t="e">
        <f t="shared" si="14"/>
        <v>#NUM!</v>
      </c>
      <c r="L188" s="163"/>
      <c r="M188" s="165">
        <f t="shared" si="15"/>
        <v>0</v>
      </c>
    </row>
    <row r="189" spans="1:13" x14ac:dyDescent="0.25">
      <c r="A189" s="180"/>
      <c r="G189" s="151"/>
      <c r="H189" s="166">
        <v>184</v>
      </c>
      <c r="I189" s="164" t="str">
        <f t="shared" si="13"/>
        <v/>
      </c>
      <c r="J189" s="163" t="e">
        <f t="shared" si="17"/>
        <v>#NUM!</v>
      </c>
      <c r="K189" s="163" t="e">
        <f t="shared" si="14"/>
        <v>#NUM!</v>
      </c>
      <c r="L189" s="163"/>
      <c r="M189" s="165">
        <f t="shared" si="15"/>
        <v>0</v>
      </c>
    </row>
    <row r="190" spans="1:13" x14ac:dyDescent="0.25">
      <c r="A190" s="180"/>
      <c r="G190" s="151"/>
      <c r="H190" s="163">
        <v>185</v>
      </c>
      <c r="I190" s="164" t="str">
        <f t="shared" si="13"/>
        <v/>
      </c>
      <c r="J190" s="163" t="e">
        <f t="shared" si="17"/>
        <v>#NUM!</v>
      </c>
      <c r="K190" s="163" t="e">
        <f t="shared" si="14"/>
        <v>#NUM!</v>
      </c>
      <c r="L190" s="163"/>
      <c r="M190" s="165">
        <f t="shared" si="15"/>
        <v>0</v>
      </c>
    </row>
    <row r="191" spans="1:13" x14ac:dyDescent="0.25">
      <c r="A191" s="180"/>
      <c r="G191" s="151"/>
      <c r="H191" s="166">
        <v>186</v>
      </c>
      <c r="I191" s="164" t="str">
        <f t="shared" si="13"/>
        <v/>
      </c>
      <c r="J191" s="163" t="e">
        <f t="shared" si="17"/>
        <v>#NUM!</v>
      </c>
      <c r="K191" s="163" t="e">
        <f t="shared" si="14"/>
        <v>#NUM!</v>
      </c>
      <c r="L191" s="163"/>
      <c r="M191" s="165">
        <f t="shared" si="15"/>
        <v>0</v>
      </c>
    </row>
    <row r="192" spans="1:13" x14ac:dyDescent="0.25">
      <c r="A192" s="180"/>
      <c r="G192" s="151"/>
      <c r="H192" s="163">
        <v>187</v>
      </c>
      <c r="I192" s="164" t="str">
        <f t="shared" si="13"/>
        <v/>
      </c>
      <c r="J192" s="163" t="e">
        <f t="shared" si="17"/>
        <v>#NUM!</v>
      </c>
      <c r="K192" s="163" t="e">
        <f t="shared" si="14"/>
        <v>#NUM!</v>
      </c>
      <c r="L192" s="163"/>
      <c r="M192" s="165">
        <f t="shared" si="15"/>
        <v>0</v>
      </c>
    </row>
    <row r="193" spans="1:13" x14ac:dyDescent="0.25">
      <c r="A193" s="180"/>
      <c r="G193" s="151"/>
      <c r="H193" s="166">
        <v>188</v>
      </c>
      <c r="I193" s="164" t="str">
        <f t="shared" si="13"/>
        <v/>
      </c>
      <c r="J193" s="163" t="e">
        <f t="shared" si="17"/>
        <v>#NUM!</v>
      </c>
      <c r="K193" s="163" t="e">
        <f t="shared" si="14"/>
        <v>#NUM!</v>
      </c>
      <c r="L193" s="163"/>
      <c r="M193" s="165">
        <f t="shared" si="15"/>
        <v>0</v>
      </c>
    </row>
    <row r="194" spans="1:13" x14ac:dyDescent="0.25">
      <c r="A194" s="180"/>
      <c r="G194" s="151"/>
      <c r="H194" s="163">
        <v>189</v>
      </c>
      <c r="I194" s="164" t="str">
        <f t="shared" si="13"/>
        <v/>
      </c>
      <c r="J194" s="163" t="e">
        <f t="shared" si="17"/>
        <v>#NUM!</v>
      </c>
      <c r="K194" s="163" t="e">
        <f t="shared" si="14"/>
        <v>#NUM!</v>
      </c>
      <c r="L194" s="163"/>
      <c r="M194" s="165">
        <f t="shared" si="15"/>
        <v>0</v>
      </c>
    </row>
    <row r="195" spans="1:13" x14ac:dyDescent="0.25">
      <c r="A195" s="180"/>
      <c r="G195" s="151"/>
      <c r="H195" s="166">
        <v>190</v>
      </c>
      <c r="I195" s="164" t="str">
        <f t="shared" si="13"/>
        <v/>
      </c>
      <c r="J195" s="163" t="e">
        <f t="shared" si="17"/>
        <v>#NUM!</v>
      </c>
      <c r="K195" s="163" t="e">
        <f t="shared" si="14"/>
        <v>#NUM!</v>
      </c>
      <c r="L195" s="163"/>
      <c r="M195" s="165">
        <f t="shared" si="15"/>
        <v>0</v>
      </c>
    </row>
    <row r="196" spans="1:13" x14ac:dyDescent="0.25">
      <c r="A196" s="180"/>
      <c r="G196" s="151"/>
      <c r="H196" s="163">
        <v>191</v>
      </c>
      <c r="I196" s="164" t="str">
        <f t="shared" si="13"/>
        <v/>
      </c>
      <c r="J196" s="163" t="e">
        <f t="shared" si="17"/>
        <v>#NUM!</v>
      </c>
      <c r="K196" s="163" t="e">
        <f t="shared" si="14"/>
        <v>#NUM!</v>
      </c>
      <c r="L196" s="163"/>
      <c r="M196" s="165">
        <f t="shared" si="15"/>
        <v>0</v>
      </c>
    </row>
    <row r="197" spans="1:13" x14ac:dyDescent="0.25">
      <c r="A197" s="180"/>
      <c r="G197" s="151"/>
      <c r="H197" s="166">
        <v>192</v>
      </c>
      <c r="I197" s="164" t="str">
        <f t="shared" si="13"/>
        <v/>
      </c>
      <c r="J197" s="163" t="e">
        <f t="shared" si="17"/>
        <v>#NUM!</v>
      </c>
      <c r="K197" s="163" t="e">
        <f t="shared" si="14"/>
        <v>#NUM!</v>
      </c>
      <c r="L197" s="163"/>
      <c r="M197" s="165">
        <f t="shared" si="15"/>
        <v>0</v>
      </c>
    </row>
    <row r="198" spans="1:13" x14ac:dyDescent="0.25">
      <c r="A198" s="180"/>
      <c r="G198" s="151"/>
      <c r="H198" s="163">
        <v>193</v>
      </c>
      <c r="I198" s="164" t="str">
        <f t="shared" ref="I198:I261" si="18">IF(H198&lt;$H$2+1,($I$2-($I$2-1)*(LOG(H198)/LOG($H$2))),"")</f>
        <v/>
      </c>
      <c r="J198" s="163" t="e">
        <f t="shared" si="17"/>
        <v>#NUM!</v>
      </c>
      <c r="K198" s="163" t="e">
        <f t="shared" ref="K198:K261" si="19">J198*$J$2</f>
        <v>#NUM!</v>
      </c>
      <c r="L198" s="163"/>
      <c r="M198" s="165">
        <f t="shared" ref="M198:M261" si="20">IF(I198&lt;&gt;"",K198+I198+L198,0)</f>
        <v>0</v>
      </c>
    </row>
    <row r="199" spans="1:13" x14ac:dyDescent="0.25">
      <c r="A199" s="180"/>
      <c r="G199" s="151"/>
      <c r="H199" s="166">
        <v>194</v>
      </c>
      <c r="I199" s="164" t="str">
        <f t="shared" si="18"/>
        <v/>
      </c>
      <c r="J199" s="163" t="e">
        <f t="shared" ref="J199:J262" si="21">INT(LOG($H$2,2))-ROUNDUP(LOG(H199,2),0)+IF(OR($H$2=1,$H$2=2,$H$2=4,$H$2=8,$H$2=16,$H$2=32,$H$2=64,$H$2=128,$H$2=256),0,1)</f>
        <v>#NUM!</v>
      </c>
      <c r="K199" s="163" t="e">
        <f t="shared" si="19"/>
        <v>#NUM!</v>
      </c>
      <c r="L199" s="163"/>
      <c r="M199" s="165">
        <f t="shared" si="20"/>
        <v>0</v>
      </c>
    </row>
    <row r="200" spans="1:13" x14ac:dyDescent="0.25">
      <c r="A200" s="180"/>
      <c r="G200" s="151"/>
      <c r="H200" s="163">
        <v>195</v>
      </c>
      <c r="I200" s="164" t="str">
        <f t="shared" si="18"/>
        <v/>
      </c>
      <c r="J200" s="163" t="e">
        <f t="shared" si="21"/>
        <v>#NUM!</v>
      </c>
      <c r="K200" s="163" t="e">
        <f t="shared" si="19"/>
        <v>#NUM!</v>
      </c>
      <c r="L200" s="163"/>
      <c r="M200" s="165">
        <f t="shared" si="20"/>
        <v>0</v>
      </c>
    </row>
    <row r="201" spans="1:13" x14ac:dyDescent="0.25">
      <c r="A201" s="180"/>
      <c r="G201" s="151"/>
      <c r="H201" s="166">
        <v>196</v>
      </c>
      <c r="I201" s="164" t="str">
        <f t="shared" si="18"/>
        <v/>
      </c>
      <c r="J201" s="163" t="e">
        <f t="shared" si="21"/>
        <v>#NUM!</v>
      </c>
      <c r="K201" s="163" t="e">
        <f t="shared" si="19"/>
        <v>#NUM!</v>
      </c>
      <c r="L201" s="163"/>
      <c r="M201" s="165">
        <f t="shared" si="20"/>
        <v>0</v>
      </c>
    </row>
    <row r="202" spans="1:13" x14ac:dyDescent="0.25">
      <c r="A202" s="180"/>
      <c r="G202" s="151"/>
      <c r="H202" s="163">
        <v>197</v>
      </c>
      <c r="I202" s="164" t="str">
        <f t="shared" si="18"/>
        <v/>
      </c>
      <c r="J202" s="163" t="e">
        <f t="shared" si="21"/>
        <v>#NUM!</v>
      </c>
      <c r="K202" s="163" t="e">
        <f t="shared" si="19"/>
        <v>#NUM!</v>
      </c>
      <c r="L202" s="163"/>
      <c r="M202" s="165">
        <f t="shared" si="20"/>
        <v>0</v>
      </c>
    </row>
    <row r="203" spans="1:13" x14ac:dyDescent="0.25">
      <c r="A203" s="180"/>
      <c r="G203" s="151"/>
      <c r="H203" s="166">
        <v>198</v>
      </c>
      <c r="I203" s="164" t="str">
        <f t="shared" si="18"/>
        <v/>
      </c>
      <c r="J203" s="163" t="e">
        <f t="shared" si="21"/>
        <v>#NUM!</v>
      </c>
      <c r="K203" s="163" t="e">
        <f t="shared" si="19"/>
        <v>#NUM!</v>
      </c>
      <c r="L203" s="163"/>
      <c r="M203" s="165">
        <f t="shared" si="20"/>
        <v>0</v>
      </c>
    </row>
    <row r="204" spans="1:13" x14ac:dyDescent="0.25">
      <c r="A204" s="180"/>
      <c r="G204" s="151"/>
      <c r="H204" s="163">
        <v>199</v>
      </c>
      <c r="I204" s="164" t="str">
        <f t="shared" si="18"/>
        <v/>
      </c>
      <c r="J204" s="163" t="e">
        <f t="shared" si="21"/>
        <v>#NUM!</v>
      </c>
      <c r="K204" s="163" t="e">
        <f t="shared" si="19"/>
        <v>#NUM!</v>
      </c>
      <c r="L204" s="163"/>
      <c r="M204" s="165">
        <f t="shared" si="20"/>
        <v>0</v>
      </c>
    </row>
    <row r="205" spans="1:13" x14ac:dyDescent="0.25">
      <c r="A205" s="180"/>
      <c r="G205" s="151"/>
      <c r="H205" s="166">
        <v>200</v>
      </c>
      <c r="I205" s="164" t="str">
        <f t="shared" si="18"/>
        <v/>
      </c>
      <c r="J205" s="163" t="e">
        <f t="shared" si="21"/>
        <v>#NUM!</v>
      </c>
      <c r="K205" s="163" t="e">
        <f t="shared" si="19"/>
        <v>#NUM!</v>
      </c>
      <c r="L205" s="163"/>
      <c r="M205" s="165">
        <f t="shared" si="20"/>
        <v>0</v>
      </c>
    </row>
    <row r="206" spans="1:13" x14ac:dyDescent="0.25">
      <c r="A206" s="180"/>
      <c r="G206" s="151"/>
      <c r="H206" s="163">
        <v>201</v>
      </c>
      <c r="I206" s="164" t="str">
        <f t="shared" si="18"/>
        <v/>
      </c>
      <c r="J206" s="163" t="e">
        <f t="shared" si="21"/>
        <v>#NUM!</v>
      </c>
      <c r="K206" s="163" t="e">
        <f t="shared" si="19"/>
        <v>#NUM!</v>
      </c>
      <c r="L206" s="163"/>
      <c r="M206" s="165">
        <f t="shared" si="20"/>
        <v>0</v>
      </c>
    </row>
    <row r="207" spans="1:13" x14ac:dyDescent="0.25">
      <c r="A207" s="180"/>
      <c r="G207" s="151"/>
      <c r="H207" s="166">
        <v>202</v>
      </c>
      <c r="I207" s="164" t="str">
        <f t="shared" si="18"/>
        <v/>
      </c>
      <c r="J207" s="163" t="e">
        <f t="shared" si="21"/>
        <v>#NUM!</v>
      </c>
      <c r="K207" s="163" t="e">
        <f t="shared" si="19"/>
        <v>#NUM!</v>
      </c>
      <c r="L207" s="163"/>
      <c r="M207" s="165">
        <f t="shared" si="20"/>
        <v>0</v>
      </c>
    </row>
    <row r="208" spans="1:13" x14ac:dyDescent="0.25">
      <c r="A208" s="180"/>
      <c r="G208" s="151"/>
      <c r="H208" s="163">
        <v>203</v>
      </c>
      <c r="I208" s="164" t="str">
        <f t="shared" si="18"/>
        <v/>
      </c>
      <c r="J208" s="163" t="e">
        <f t="shared" si="21"/>
        <v>#NUM!</v>
      </c>
      <c r="K208" s="163" t="e">
        <f t="shared" si="19"/>
        <v>#NUM!</v>
      </c>
      <c r="L208" s="163"/>
      <c r="M208" s="165">
        <f t="shared" si="20"/>
        <v>0</v>
      </c>
    </row>
    <row r="209" spans="1:13" x14ac:dyDescent="0.25">
      <c r="A209" s="180"/>
      <c r="G209" s="151"/>
      <c r="H209" s="166">
        <v>204</v>
      </c>
      <c r="I209" s="164" t="str">
        <f t="shared" si="18"/>
        <v/>
      </c>
      <c r="J209" s="163" t="e">
        <f t="shared" si="21"/>
        <v>#NUM!</v>
      </c>
      <c r="K209" s="163" t="e">
        <f t="shared" si="19"/>
        <v>#NUM!</v>
      </c>
      <c r="L209" s="163"/>
      <c r="M209" s="165">
        <f t="shared" si="20"/>
        <v>0</v>
      </c>
    </row>
    <row r="210" spans="1:13" x14ac:dyDescent="0.25">
      <c r="A210" s="180"/>
      <c r="G210" s="151"/>
      <c r="H210" s="163">
        <v>205</v>
      </c>
      <c r="I210" s="164" t="str">
        <f t="shared" si="18"/>
        <v/>
      </c>
      <c r="J210" s="163" t="e">
        <f t="shared" si="21"/>
        <v>#NUM!</v>
      </c>
      <c r="K210" s="163" t="e">
        <f t="shared" si="19"/>
        <v>#NUM!</v>
      </c>
      <c r="L210" s="163"/>
      <c r="M210" s="165">
        <f t="shared" si="20"/>
        <v>0</v>
      </c>
    </row>
    <row r="211" spans="1:13" x14ac:dyDescent="0.25">
      <c r="A211" s="180"/>
      <c r="G211" s="151"/>
      <c r="H211" s="166">
        <v>206</v>
      </c>
      <c r="I211" s="164" t="str">
        <f t="shared" si="18"/>
        <v/>
      </c>
      <c r="J211" s="163" t="e">
        <f t="shared" si="21"/>
        <v>#NUM!</v>
      </c>
      <c r="K211" s="163" t="e">
        <f t="shared" si="19"/>
        <v>#NUM!</v>
      </c>
      <c r="L211" s="163"/>
      <c r="M211" s="165">
        <f t="shared" si="20"/>
        <v>0</v>
      </c>
    </row>
    <row r="212" spans="1:13" x14ac:dyDescent="0.25">
      <c r="A212" s="180"/>
      <c r="G212" s="151"/>
      <c r="H212" s="163">
        <v>207</v>
      </c>
      <c r="I212" s="164" t="str">
        <f t="shared" si="18"/>
        <v/>
      </c>
      <c r="J212" s="163" t="e">
        <f t="shared" si="21"/>
        <v>#NUM!</v>
      </c>
      <c r="K212" s="163" t="e">
        <f t="shared" si="19"/>
        <v>#NUM!</v>
      </c>
      <c r="L212" s="163"/>
      <c r="M212" s="165">
        <f t="shared" si="20"/>
        <v>0</v>
      </c>
    </row>
    <row r="213" spans="1:13" x14ac:dyDescent="0.25">
      <c r="A213" s="180"/>
      <c r="G213" s="151"/>
      <c r="H213" s="166">
        <v>208</v>
      </c>
      <c r="I213" s="164" t="str">
        <f t="shared" si="18"/>
        <v/>
      </c>
      <c r="J213" s="163" t="e">
        <f t="shared" si="21"/>
        <v>#NUM!</v>
      </c>
      <c r="K213" s="163" t="e">
        <f t="shared" si="19"/>
        <v>#NUM!</v>
      </c>
      <c r="L213" s="163"/>
      <c r="M213" s="165">
        <f t="shared" si="20"/>
        <v>0</v>
      </c>
    </row>
    <row r="214" spans="1:13" x14ac:dyDescent="0.25">
      <c r="A214" s="180"/>
      <c r="G214" s="151"/>
      <c r="H214" s="163">
        <v>209</v>
      </c>
      <c r="I214" s="164" t="str">
        <f t="shared" si="18"/>
        <v/>
      </c>
      <c r="J214" s="163" t="e">
        <f t="shared" si="21"/>
        <v>#NUM!</v>
      </c>
      <c r="K214" s="163" t="e">
        <f t="shared" si="19"/>
        <v>#NUM!</v>
      </c>
      <c r="L214" s="163"/>
      <c r="M214" s="165">
        <f t="shared" si="20"/>
        <v>0</v>
      </c>
    </row>
    <row r="215" spans="1:13" x14ac:dyDescent="0.25">
      <c r="A215" s="180"/>
      <c r="G215" s="151"/>
      <c r="H215" s="166">
        <v>210</v>
      </c>
      <c r="I215" s="164" t="str">
        <f t="shared" si="18"/>
        <v/>
      </c>
      <c r="J215" s="163" t="e">
        <f t="shared" si="21"/>
        <v>#NUM!</v>
      </c>
      <c r="K215" s="163" t="e">
        <f t="shared" si="19"/>
        <v>#NUM!</v>
      </c>
      <c r="L215" s="163"/>
      <c r="M215" s="165">
        <f t="shared" si="20"/>
        <v>0</v>
      </c>
    </row>
    <row r="216" spans="1:13" x14ac:dyDescent="0.25">
      <c r="A216" s="180"/>
      <c r="G216" s="151"/>
      <c r="H216" s="163">
        <v>211</v>
      </c>
      <c r="I216" s="164" t="str">
        <f t="shared" si="18"/>
        <v/>
      </c>
      <c r="J216" s="163" t="e">
        <f t="shared" si="21"/>
        <v>#NUM!</v>
      </c>
      <c r="K216" s="163" t="e">
        <f t="shared" si="19"/>
        <v>#NUM!</v>
      </c>
      <c r="L216" s="163"/>
      <c r="M216" s="165">
        <f t="shared" si="20"/>
        <v>0</v>
      </c>
    </row>
    <row r="217" spans="1:13" x14ac:dyDescent="0.25">
      <c r="A217" s="180"/>
      <c r="G217" s="151"/>
      <c r="H217" s="166">
        <v>212</v>
      </c>
      <c r="I217" s="164" t="str">
        <f t="shared" si="18"/>
        <v/>
      </c>
      <c r="J217" s="163" t="e">
        <f t="shared" si="21"/>
        <v>#NUM!</v>
      </c>
      <c r="K217" s="163" t="e">
        <f t="shared" si="19"/>
        <v>#NUM!</v>
      </c>
      <c r="L217" s="163"/>
      <c r="M217" s="165">
        <f t="shared" si="20"/>
        <v>0</v>
      </c>
    </row>
    <row r="218" spans="1:13" x14ac:dyDescent="0.25">
      <c r="A218" s="180"/>
      <c r="G218" s="151"/>
      <c r="H218" s="163">
        <v>213</v>
      </c>
      <c r="I218" s="164" t="str">
        <f t="shared" si="18"/>
        <v/>
      </c>
      <c r="J218" s="163" t="e">
        <f t="shared" si="21"/>
        <v>#NUM!</v>
      </c>
      <c r="K218" s="163" t="e">
        <f t="shared" si="19"/>
        <v>#NUM!</v>
      </c>
      <c r="L218" s="163"/>
      <c r="M218" s="165">
        <f t="shared" si="20"/>
        <v>0</v>
      </c>
    </row>
    <row r="219" spans="1:13" x14ac:dyDescent="0.25">
      <c r="A219" s="180"/>
      <c r="G219" s="151"/>
      <c r="H219" s="166">
        <v>214</v>
      </c>
      <c r="I219" s="164" t="str">
        <f t="shared" si="18"/>
        <v/>
      </c>
      <c r="J219" s="163" t="e">
        <f t="shared" si="21"/>
        <v>#NUM!</v>
      </c>
      <c r="K219" s="163" t="e">
        <f t="shared" si="19"/>
        <v>#NUM!</v>
      </c>
      <c r="L219" s="163"/>
      <c r="M219" s="165">
        <f t="shared" si="20"/>
        <v>0</v>
      </c>
    </row>
    <row r="220" spans="1:13" x14ac:dyDescent="0.25">
      <c r="A220" s="180"/>
      <c r="G220" s="151"/>
      <c r="H220" s="163">
        <v>215</v>
      </c>
      <c r="I220" s="164" t="str">
        <f t="shared" si="18"/>
        <v/>
      </c>
      <c r="J220" s="163" t="e">
        <f t="shared" si="21"/>
        <v>#NUM!</v>
      </c>
      <c r="K220" s="163" t="e">
        <f t="shared" si="19"/>
        <v>#NUM!</v>
      </c>
      <c r="L220" s="163"/>
      <c r="M220" s="165">
        <f t="shared" si="20"/>
        <v>0</v>
      </c>
    </row>
    <row r="221" spans="1:13" x14ac:dyDescent="0.25">
      <c r="A221" s="180"/>
      <c r="G221" s="151"/>
      <c r="H221" s="166">
        <v>216</v>
      </c>
      <c r="I221" s="164" t="str">
        <f t="shared" si="18"/>
        <v/>
      </c>
      <c r="J221" s="163" t="e">
        <f t="shared" si="21"/>
        <v>#NUM!</v>
      </c>
      <c r="K221" s="163" t="e">
        <f t="shared" si="19"/>
        <v>#NUM!</v>
      </c>
      <c r="L221" s="163"/>
      <c r="M221" s="165">
        <f t="shared" si="20"/>
        <v>0</v>
      </c>
    </row>
    <row r="222" spans="1:13" x14ac:dyDescent="0.25">
      <c r="A222" s="180"/>
      <c r="G222" s="151"/>
      <c r="H222" s="163">
        <v>217</v>
      </c>
      <c r="I222" s="164" t="str">
        <f t="shared" si="18"/>
        <v/>
      </c>
      <c r="J222" s="163" t="e">
        <f t="shared" si="21"/>
        <v>#NUM!</v>
      </c>
      <c r="K222" s="163" t="e">
        <f t="shared" si="19"/>
        <v>#NUM!</v>
      </c>
      <c r="L222" s="163"/>
      <c r="M222" s="165">
        <f t="shared" si="20"/>
        <v>0</v>
      </c>
    </row>
    <row r="223" spans="1:13" x14ac:dyDescent="0.25">
      <c r="A223" s="180"/>
      <c r="G223" s="151"/>
      <c r="H223" s="166">
        <v>218</v>
      </c>
      <c r="I223" s="164" t="str">
        <f t="shared" si="18"/>
        <v/>
      </c>
      <c r="J223" s="163" t="e">
        <f t="shared" si="21"/>
        <v>#NUM!</v>
      </c>
      <c r="K223" s="163" t="e">
        <f t="shared" si="19"/>
        <v>#NUM!</v>
      </c>
      <c r="L223" s="163"/>
      <c r="M223" s="165">
        <f t="shared" si="20"/>
        <v>0</v>
      </c>
    </row>
    <row r="224" spans="1:13" x14ac:dyDescent="0.25">
      <c r="A224" s="180"/>
      <c r="G224" s="151"/>
      <c r="H224" s="163">
        <v>219</v>
      </c>
      <c r="I224" s="164" t="str">
        <f t="shared" si="18"/>
        <v/>
      </c>
      <c r="J224" s="163" t="e">
        <f t="shared" si="21"/>
        <v>#NUM!</v>
      </c>
      <c r="K224" s="163" t="e">
        <f t="shared" si="19"/>
        <v>#NUM!</v>
      </c>
      <c r="L224" s="163"/>
      <c r="M224" s="165">
        <f t="shared" si="20"/>
        <v>0</v>
      </c>
    </row>
    <row r="225" spans="1:13" x14ac:dyDescent="0.25">
      <c r="A225" s="180"/>
      <c r="G225" s="151"/>
      <c r="H225" s="166">
        <v>220</v>
      </c>
      <c r="I225" s="164" t="str">
        <f t="shared" si="18"/>
        <v/>
      </c>
      <c r="J225" s="163" t="e">
        <f t="shared" si="21"/>
        <v>#NUM!</v>
      </c>
      <c r="K225" s="163" t="e">
        <f t="shared" si="19"/>
        <v>#NUM!</v>
      </c>
      <c r="L225" s="163"/>
      <c r="M225" s="165">
        <f t="shared" si="20"/>
        <v>0</v>
      </c>
    </row>
    <row r="226" spans="1:13" x14ac:dyDescent="0.25">
      <c r="A226" s="180"/>
      <c r="G226" s="151"/>
      <c r="H226" s="163">
        <v>221</v>
      </c>
      <c r="I226" s="164" t="str">
        <f t="shared" si="18"/>
        <v/>
      </c>
      <c r="J226" s="163" t="e">
        <f t="shared" si="21"/>
        <v>#NUM!</v>
      </c>
      <c r="K226" s="163" t="e">
        <f t="shared" si="19"/>
        <v>#NUM!</v>
      </c>
      <c r="L226" s="163"/>
      <c r="M226" s="165">
        <f t="shared" si="20"/>
        <v>0</v>
      </c>
    </row>
    <row r="227" spans="1:13" x14ac:dyDescent="0.25">
      <c r="A227" s="180"/>
      <c r="G227" s="151"/>
      <c r="H227" s="166">
        <v>222</v>
      </c>
      <c r="I227" s="164" t="str">
        <f t="shared" si="18"/>
        <v/>
      </c>
      <c r="J227" s="163" t="e">
        <f t="shared" si="21"/>
        <v>#NUM!</v>
      </c>
      <c r="K227" s="163" t="e">
        <f t="shared" si="19"/>
        <v>#NUM!</v>
      </c>
      <c r="L227" s="163"/>
      <c r="M227" s="165">
        <f t="shared" si="20"/>
        <v>0</v>
      </c>
    </row>
    <row r="228" spans="1:13" x14ac:dyDescent="0.25">
      <c r="A228" s="180"/>
      <c r="G228" s="151"/>
      <c r="H228" s="163">
        <v>223</v>
      </c>
      <c r="I228" s="164" t="str">
        <f t="shared" si="18"/>
        <v/>
      </c>
      <c r="J228" s="163" t="e">
        <f t="shared" si="21"/>
        <v>#NUM!</v>
      </c>
      <c r="K228" s="163" t="e">
        <f t="shared" si="19"/>
        <v>#NUM!</v>
      </c>
      <c r="L228" s="163"/>
      <c r="M228" s="165">
        <f t="shared" si="20"/>
        <v>0</v>
      </c>
    </row>
    <row r="229" spans="1:13" x14ac:dyDescent="0.25">
      <c r="A229" s="180"/>
      <c r="G229" s="151"/>
      <c r="H229" s="166">
        <v>224</v>
      </c>
      <c r="I229" s="164" t="str">
        <f t="shared" si="18"/>
        <v/>
      </c>
      <c r="J229" s="163" t="e">
        <f t="shared" si="21"/>
        <v>#NUM!</v>
      </c>
      <c r="K229" s="163" t="e">
        <f t="shared" si="19"/>
        <v>#NUM!</v>
      </c>
      <c r="L229" s="163"/>
      <c r="M229" s="165">
        <f t="shared" si="20"/>
        <v>0</v>
      </c>
    </row>
    <row r="230" spans="1:13" x14ac:dyDescent="0.25">
      <c r="A230" s="180"/>
      <c r="G230" s="151"/>
      <c r="H230" s="163">
        <v>225</v>
      </c>
      <c r="I230" s="164" t="str">
        <f t="shared" si="18"/>
        <v/>
      </c>
      <c r="J230" s="163" t="e">
        <f t="shared" si="21"/>
        <v>#NUM!</v>
      </c>
      <c r="K230" s="163" t="e">
        <f t="shared" si="19"/>
        <v>#NUM!</v>
      </c>
      <c r="L230" s="163"/>
      <c r="M230" s="165">
        <f t="shared" si="20"/>
        <v>0</v>
      </c>
    </row>
    <row r="231" spans="1:13" x14ac:dyDescent="0.25">
      <c r="A231" s="180"/>
      <c r="G231" s="151"/>
      <c r="H231" s="166">
        <v>226</v>
      </c>
      <c r="I231" s="164" t="str">
        <f t="shared" si="18"/>
        <v/>
      </c>
      <c r="J231" s="163" t="e">
        <f t="shared" si="21"/>
        <v>#NUM!</v>
      </c>
      <c r="K231" s="163" t="e">
        <f t="shared" si="19"/>
        <v>#NUM!</v>
      </c>
      <c r="L231" s="163"/>
      <c r="M231" s="165">
        <f t="shared" si="20"/>
        <v>0</v>
      </c>
    </row>
    <row r="232" spans="1:13" x14ac:dyDescent="0.25">
      <c r="A232" s="180"/>
      <c r="G232" s="151"/>
      <c r="H232" s="163">
        <v>227</v>
      </c>
      <c r="I232" s="164" t="str">
        <f t="shared" si="18"/>
        <v/>
      </c>
      <c r="J232" s="163" t="e">
        <f t="shared" si="21"/>
        <v>#NUM!</v>
      </c>
      <c r="K232" s="163" t="e">
        <f t="shared" si="19"/>
        <v>#NUM!</v>
      </c>
      <c r="L232" s="163"/>
      <c r="M232" s="165">
        <f t="shared" si="20"/>
        <v>0</v>
      </c>
    </row>
    <row r="233" spans="1:13" x14ac:dyDescent="0.25">
      <c r="A233" s="180"/>
      <c r="G233" s="151"/>
      <c r="H233" s="166">
        <v>228</v>
      </c>
      <c r="I233" s="164" t="str">
        <f t="shared" si="18"/>
        <v/>
      </c>
      <c r="J233" s="163" t="e">
        <f t="shared" si="21"/>
        <v>#NUM!</v>
      </c>
      <c r="K233" s="163" t="e">
        <f t="shared" si="19"/>
        <v>#NUM!</v>
      </c>
      <c r="L233" s="163"/>
      <c r="M233" s="165">
        <f t="shared" si="20"/>
        <v>0</v>
      </c>
    </row>
    <row r="234" spans="1:13" x14ac:dyDescent="0.25">
      <c r="A234" s="180"/>
      <c r="G234" s="151"/>
      <c r="H234" s="163">
        <v>229</v>
      </c>
      <c r="I234" s="164" t="str">
        <f t="shared" si="18"/>
        <v/>
      </c>
      <c r="J234" s="163" t="e">
        <f t="shared" si="21"/>
        <v>#NUM!</v>
      </c>
      <c r="K234" s="163" t="e">
        <f t="shared" si="19"/>
        <v>#NUM!</v>
      </c>
      <c r="L234" s="163"/>
      <c r="M234" s="165">
        <f t="shared" si="20"/>
        <v>0</v>
      </c>
    </row>
    <row r="235" spans="1:13" x14ac:dyDescent="0.25">
      <c r="A235" s="180"/>
      <c r="G235" s="151"/>
      <c r="H235" s="166">
        <v>230</v>
      </c>
      <c r="I235" s="164" t="str">
        <f t="shared" si="18"/>
        <v/>
      </c>
      <c r="J235" s="163" t="e">
        <f t="shared" si="21"/>
        <v>#NUM!</v>
      </c>
      <c r="K235" s="163" t="e">
        <f t="shared" si="19"/>
        <v>#NUM!</v>
      </c>
      <c r="L235" s="163"/>
      <c r="M235" s="165">
        <f t="shared" si="20"/>
        <v>0</v>
      </c>
    </row>
    <row r="236" spans="1:13" x14ac:dyDescent="0.25">
      <c r="A236" s="180"/>
      <c r="G236" s="151"/>
      <c r="H236" s="163">
        <v>231</v>
      </c>
      <c r="I236" s="164" t="str">
        <f t="shared" si="18"/>
        <v/>
      </c>
      <c r="J236" s="163" t="e">
        <f t="shared" si="21"/>
        <v>#NUM!</v>
      </c>
      <c r="K236" s="163" t="e">
        <f t="shared" si="19"/>
        <v>#NUM!</v>
      </c>
      <c r="L236" s="163"/>
      <c r="M236" s="165">
        <f t="shared" si="20"/>
        <v>0</v>
      </c>
    </row>
    <row r="237" spans="1:13" x14ac:dyDescent="0.25">
      <c r="A237" s="180"/>
      <c r="G237" s="151"/>
      <c r="H237" s="166">
        <v>232</v>
      </c>
      <c r="I237" s="164" t="str">
        <f t="shared" si="18"/>
        <v/>
      </c>
      <c r="J237" s="163" t="e">
        <f t="shared" si="21"/>
        <v>#NUM!</v>
      </c>
      <c r="K237" s="163" t="e">
        <f t="shared" si="19"/>
        <v>#NUM!</v>
      </c>
      <c r="L237" s="163"/>
      <c r="M237" s="165">
        <f t="shared" si="20"/>
        <v>0</v>
      </c>
    </row>
    <row r="238" spans="1:13" x14ac:dyDescent="0.25">
      <c r="A238" s="180"/>
      <c r="G238" s="151"/>
      <c r="H238" s="163">
        <v>233</v>
      </c>
      <c r="I238" s="164" t="str">
        <f t="shared" si="18"/>
        <v/>
      </c>
      <c r="J238" s="163" t="e">
        <f t="shared" si="21"/>
        <v>#NUM!</v>
      </c>
      <c r="K238" s="163" t="e">
        <f t="shared" si="19"/>
        <v>#NUM!</v>
      </c>
      <c r="L238" s="163"/>
      <c r="M238" s="165">
        <f t="shared" si="20"/>
        <v>0</v>
      </c>
    </row>
    <row r="239" spans="1:13" x14ac:dyDescent="0.25">
      <c r="A239" s="180"/>
      <c r="G239" s="151"/>
      <c r="H239" s="166">
        <v>234</v>
      </c>
      <c r="I239" s="164" t="str">
        <f t="shared" si="18"/>
        <v/>
      </c>
      <c r="J239" s="163" t="e">
        <f t="shared" si="21"/>
        <v>#NUM!</v>
      </c>
      <c r="K239" s="163" t="e">
        <f t="shared" si="19"/>
        <v>#NUM!</v>
      </c>
      <c r="L239" s="163"/>
      <c r="M239" s="165">
        <f t="shared" si="20"/>
        <v>0</v>
      </c>
    </row>
    <row r="240" spans="1:13" x14ac:dyDescent="0.25">
      <c r="A240" s="180"/>
      <c r="G240" s="151"/>
      <c r="H240" s="163">
        <v>235</v>
      </c>
      <c r="I240" s="164" t="str">
        <f t="shared" si="18"/>
        <v/>
      </c>
      <c r="J240" s="163" t="e">
        <f t="shared" si="21"/>
        <v>#NUM!</v>
      </c>
      <c r="K240" s="163" t="e">
        <f t="shared" si="19"/>
        <v>#NUM!</v>
      </c>
      <c r="L240" s="163"/>
      <c r="M240" s="165">
        <f t="shared" si="20"/>
        <v>0</v>
      </c>
    </row>
    <row r="241" spans="1:13" x14ac:dyDescent="0.25">
      <c r="A241" s="180"/>
      <c r="G241" s="151"/>
      <c r="H241" s="166">
        <v>236</v>
      </c>
      <c r="I241" s="164" t="str">
        <f t="shared" si="18"/>
        <v/>
      </c>
      <c r="J241" s="163" t="e">
        <f t="shared" si="21"/>
        <v>#NUM!</v>
      </c>
      <c r="K241" s="163" t="e">
        <f t="shared" si="19"/>
        <v>#NUM!</v>
      </c>
      <c r="L241" s="163"/>
      <c r="M241" s="165">
        <f t="shared" si="20"/>
        <v>0</v>
      </c>
    </row>
    <row r="242" spans="1:13" x14ac:dyDescent="0.25">
      <c r="A242" s="180"/>
      <c r="G242" s="151"/>
      <c r="H242" s="163">
        <v>237</v>
      </c>
      <c r="I242" s="164" t="str">
        <f t="shared" si="18"/>
        <v/>
      </c>
      <c r="J242" s="163" t="e">
        <f t="shared" si="21"/>
        <v>#NUM!</v>
      </c>
      <c r="K242" s="163" t="e">
        <f t="shared" si="19"/>
        <v>#NUM!</v>
      </c>
      <c r="L242" s="163"/>
      <c r="M242" s="165">
        <f t="shared" si="20"/>
        <v>0</v>
      </c>
    </row>
    <row r="243" spans="1:13" x14ac:dyDescent="0.25">
      <c r="A243" s="180"/>
      <c r="G243" s="151"/>
      <c r="H243" s="166">
        <v>238</v>
      </c>
      <c r="I243" s="164" t="str">
        <f t="shared" si="18"/>
        <v/>
      </c>
      <c r="J243" s="163" t="e">
        <f t="shared" si="21"/>
        <v>#NUM!</v>
      </c>
      <c r="K243" s="163" t="e">
        <f t="shared" si="19"/>
        <v>#NUM!</v>
      </c>
      <c r="L243" s="163"/>
      <c r="M243" s="165">
        <f t="shared" si="20"/>
        <v>0</v>
      </c>
    </row>
    <row r="244" spans="1:13" x14ac:dyDescent="0.25">
      <c r="A244" s="180"/>
      <c r="G244" s="151"/>
      <c r="H244" s="163">
        <v>239</v>
      </c>
      <c r="I244" s="164" t="str">
        <f t="shared" si="18"/>
        <v/>
      </c>
      <c r="J244" s="163" t="e">
        <f t="shared" si="21"/>
        <v>#NUM!</v>
      </c>
      <c r="K244" s="163" t="e">
        <f t="shared" si="19"/>
        <v>#NUM!</v>
      </c>
      <c r="L244" s="163"/>
      <c r="M244" s="165">
        <f t="shared" si="20"/>
        <v>0</v>
      </c>
    </row>
    <row r="245" spans="1:13" x14ac:dyDescent="0.25">
      <c r="A245" s="180"/>
      <c r="G245" s="151"/>
      <c r="H245" s="166">
        <v>240</v>
      </c>
      <c r="I245" s="164" t="str">
        <f t="shared" si="18"/>
        <v/>
      </c>
      <c r="J245" s="163" t="e">
        <f t="shared" si="21"/>
        <v>#NUM!</v>
      </c>
      <c r="K245" s="163" t="e">
        <f t="shared" si="19"/>
        <v>#NUM!</v>
      </c>
      <c r="L245" s="163"/>
      <c r="M245" s="165">
        <f t="shared" si="20"/>
        <v>0</v>
      </c>
    </row>
    <row r="246" spans="1:13" x14ac:dyDescent="0.25">
      <c r="A246" s="180"/>
      <c r="G246" s="151"/>
      <c r="H246" s="163">
        <v>241</v>
      </c>
      <c r="I246" s="164" t="str">
        <f t="shared" si="18"/>
        <v/>
      </c>
      <c r="J246" s="163" t="e">
        <f t="shared" si="21"/>
        <v>#NUM!</v>
      </c>
      <c r="K246" s="163" t="e">
        <f t="shared" si="19"/>
        <v>#NUM!</v>
      </c>
      <c r="L246" s="163"/>
      <c r="M246" s="165">
        <f t="shared" si="20"/>
        <v>0</v>
      </c>
    </row>
    <row r="247" spans="1:13" x14ac:dyDescent="0.25">
      <c r="A247" s="180"/>
      <c r="G247" s="151"/>
      <c r="H247" s="166">
        <v>242</v>
      </c>
      <c r="I247" s="164" t="str">
        <f t="shared" si="18"/>
        <v/>
      </c>
      <c r="J247" s="163" t="e">
        <f t="shared" si="21"/>
        <v>#NUM!</v>
      </c>
      <c r="K247" s="163" t="e">
        <f t="shared" si="19"/>
        <v>#NUM!</v>
      </c>
      <c r="L247" s="163"/>
      <c r="M247" s="165">
        <f t="shared" si="20"/>
        <v>0</v>
      </c>
    </row>
    <row r="248" spans="1:13" x14ac:dyDescent="0.25">
      <c r="A248" s="180"/>
      <c r="G248" s="151"/>
      <c r="H248" s="163">
        <v>243</v>
      </c>
      <c r="I248" s="164" t="str">
        <f t="shared" si="18"/>
        <v/>
      </c>
      <c r="J248" s="163" t="e">
        <f t="shared" si="21"/>
        <v>#NUM!</v>
      </c>
      <c r="K248" s="163" t="e">
        <f t="shared" si="19"/>
        <v>#NUM!</v>
      </c>
      <c r="L248" s="163"/>
      <c r="M248" s="165">
        <f t="shared" si="20"/>
        <v>0</v>
      </c>
    </row>
    <row r="249" spans="1:13" x14ac:dyDescent="0.25">
      <c r="A249" s="180"/>
      <c r="G249" s="151"/>
      <c r="H249" s="166">
        <v>244</v>
      </c>
      <c r="I249" s="164" t="str">
        <f t="shared" si="18"/>
        <v/>
      </c>
      <c r="J249" s="163" t="e">
        <f t="shared" si="21"/>
        <v>#NUM!</v>
      </c>
      <c r="K249" s="163" t="e">
        <f t="shared" si="19"/>
        <v>#NUM!</v>
      </c>
      <c r="L249" s="163"/>
      <c r="M249" s="165">
        <f t="shared" si="20"/>
        <v>0</v>
      </c>
    </row>
    <row r="250" spans="1:13" x14ac:dyDescent="0.25">
      <c r="A250" s="180"/>
      <c r="G250" s="151"/>
      <c r="H250" s="163">
        <v>245</v>
      </c>
      <c r="I250" s="164" t="str">
        <f t="shared" si="18"/>
        <v/>
      </c>
      <c r="J250" s="163" t="e">
        <f t="shared" si="21"/>
        <v>#NUM!</v>
      </c>
      <c r="K250" s="163" t="e">
        <f t="shared" si="19"/>
        <v>#NUM!</v>
      </c>
      <c r="L250" s="163"/>
      <c r="M250" s="165">
        <f t="shared" si="20"/>
        <v>0</v>
      </c>
    </row>
    <row r="251" spans="1:13" x14ac:dyDescent="0.25">
      <c r="A251" s="180"/>
      <c r="G251" s="151"/>
      <c r="H251" s="166">
        <v>246</v>
      </c>
      <c r="I251" s="164" t="str">
        <f t="shared" si="18"/>
        <v/>
      </c>
      <c r="J251" s="163" t="e">
        <f t="shared" si="21"/>
        <v>#NUM!</v>
      </c>
      <c r="K251" s="163" t="e">
        <f t="shared" si="19"/>
        <v>#NUM!</v>
      </c>
      <c r="L251" s="163"/>
      <c r="M251" s="165">
        <f t="shared" si="20"/>
        <v>0</v>
      </c>
    </row>
    <row r="252" spans="1:13" x14ac:dyDescent="0.25">
      <c r="A252" s="180"/>
      <c r="G252" s="151"/>
      <c r="H252" s="163">
        <v>247</v>
      </c>
      <c r="I252" s="164" t="str">
        <f t="shared" si="18"/>
        <v/>
      </c>
      <c r="J252" s="163" t="e">
        <f t="shared" si="21"/>
        <v>#NUM!</v>
      </c>
      <c r="K252" s="163" t="e">
        <f t="shared" si="19"/>
        <v>#NUM!</v>
      </c>
      <c r="L252" s="163"/>
      <c r="M252" s="165">
        <f t="shared" si="20"/>
        <v>0</v>
      </c>
    </row>
    <row r="253" spans="1:13" x14ac:dyDescent="0.25">
      <c r="A253" s="180"/>
      <c r="G253" s="151"/>
      <c r="H253" s="166">
        <v>248</v>
      </c>
      <c r="I253" s="164" t="str">
        <f t="shared" si="18"/>
        <v/>
      </c>
      <c r="J253" s="163" t="e">
        <f t="shared" si="21"/>
        <v>#NUM!</v>
      </c>
      <c r="K253" s="163" t="e">
        <f t="shared" si="19"/>
        <v>#NUM!</v>
      </c>
      <c r="L253" s="163"/>
      <c r="M253" s="165">
        <f t="shared" si="20"/>
        <v>0</v>
      </c>
    </row>
    <row r="254" spans="1:13" x14ac:dyDescent="0.25">
      <c r="A254" s="180"/>
      <c r="G254" s="151"/>
      <c r="H254" s="163">
        <v>249</v>
      </c>
      <c r="I254" s="164" t="str">
        <f t="shared" si="18"/>
        <v/>
      </c>
      <c r="J254" s="163" t="e">
        <f t="shared" si="21"/>
        <v>#NUM!</v>
      </c>
      <c r="K254" s="163" t="e">
        <f t="shared" si="19"/>
        <v>#NUM!</v>
      </c>
      <c r="L254" s="163"/>
      <c r="M254" s="165">
        <f t="shared" si="20"/>
        <v>0</v>
      </c>
    </row>
    <row r="255" spans="1:13" x14ac:dyDescent="0.25">
      <c r="A255" s="180"/>
      <c r="G255" s="151"/>
      <c r="H255" s="166">
        <v>250</v>
      </c>
      <c r="I255" s="164" t="str">
        <f t="shared" si="18"/>
        <v/>
      </c>
      <c r="J255" s="163" t="e">
        <f t="shared" si="21"/>
        <v>#NUM!</v>
      </c>
      <c r="K255" s="163" t="e">
        <f t="shared" si="19"/>
        <v>#NUM!</v>
      </c>
      <c r="L255" s="163"/>
      <c r="M255" s="165">
        <f t="shared" si="20"/>
        <v>0</v>
      </c>
    </row>
    <row r="256" spans="1:13" x14ac:dyDescent="0.25">
      <c r="A256" s="180"/>
      <c r="G256" s="151"/>
      <c r="H256" s="163">
        <v>251</v>
      </c>
      <c r="I256" s="164" t="str">
        <f t="shared" si="18"/>
        <v/>
      </c>
      <c r="J256" s="163" t="e">
        <f t="shared" si="21"/>
        <v>#NUM!</v>
      </c>
      <c r="K256" s="163" t="e">
        <f t="shared" si="19"/>
        <v>#NUM!</v>
      </c>
      <c r="L256" s="163"/>
      <c r="M256" s="165">
        <f t="shared" si="20"/>
        <v>0</v>
      </c>
    </row>
    <row r="257" spans="1:13" x14ac:dyDescent="0.25">
      <c r="A257" s="180"/>
      <c r="G257" s="151"/>
      <c r="H257" s="166">
        <v>252</v>
      </c>
      <c r="I257" s="164" t="str">
        <f t="shared" si="18"/>
        <v/>
      </c>
      <c r="J257" s="163" t="e">
        <f t="shared" si="21"/>
        <v>#NUM!</v>
      </c>
      <c r="K257" s="163" t="e">
        <f t="shared" si="19"/>
        <v>#NUM!</v>
      </c>
      <c r="L257" s="163"/>
      <c r="M257" s="165">
        <f t="shared" si="20"/>
        <v>0</v>
      </c>
    </row>
    <row r="258" spans="1:13" x14ac:dyDescent="0.25">
      <c r="A258" s="180"/>
      <c r="G258" s="151"/>
      <c r="H258" s="163">
        <v>253</v>
      </c>
      <c r="I258" s="164" t="str">
        <f t="shared" si="18"/>
        <v/>
      </c>
      <c r="J258" s="163" t="e">
        <f t="shared" si="21"/>
        <v>#NUM!</v>
      </c>
      <c r="K258" s="163" t="e">
        <f t="shared" si="19"/>
        <v>#NUM!</v>
      </c>
      <c r="L258" s="163"/>
      <c r="M258" s="165">
        <f t="shared" si="20"/>
        <v>0</v>
      </c>
    </row>
    <row r="259" spans="1:13" x14ac:dyDescent="0.25">
      <c r="A259" s="180"/>
      <c r="G259" s="151"/>
      <c r="H259" s="166">
        <v>254</v>
      </c>
      <c r="I259" s="164" t="str">
        <f t="shared" si="18"/>
        <v/>
      </c>
      <c r="J259" s="163" t="e">
        <f t="shared" si="21"/>
        <v>#NUM!</v>
      </c>
      <c r="K259" s="163" t="e">
        <f t="shared" si="19"/>
        <v>#NUM!</v>
      </c>
      <c r="L259" s="163"/>
      <c r="M259" s="165">
        <f t="shared" si="20"/>
        <v>0</v>
      </c>
    </row>
    <row r="260" spans="1:13" x14ac:dyDescent="0.25">
      <c r="A260" s="180"/>
      <c r="G260" s="151"/>
      <c r="H260" s="163">
        <v>255</v>
      </c>
      <c r="I260" s="164" t="str">
        <f t="shared" si="18"/>
        <v/>
      </c>
      <c r="J260" s="163" t="e">
        <f t="shared" si="21"/>
        <v>#NUM!</v>
      </c>
      <c r="K260" s="163" t="e">
        <f t="shared" si="19"/>
        <v>#NUM!</v>
      </c>
      <c r="L260" s="163"/>
      <c r="M260" s="165">
        <f t="shared" si="20"/>
        <v>0</v>
      </c>
    </row>
    <row r="261" spans="1:13" x14ac:dyDescent="0.25">
      <c r="A261" s="180"/>
      <c r="G261" s="151"/>
      <c r="H261" s="166">
        <v>256</v>
      </c>
      <c r="I261" s="164" t="str">
        <f t="shared" si="18"/>
        <v/>
      </c>
      <c r="J261" s="163" t="e">
        <f t="shared" si="21"/>
        <v>#NUM!</v>
      </c>
      <c r="K261" s="163" t="e">
        <f t="shared" si="19"/>
        <v>#NUM!</v>
      </c>
      <c r="L261" s="163"/>
      <c r="M261" s="165">
        <f t="shared" si="20"/>
        <v>0</v>
      </c>
    </row>
    <row r="262" spans="1:13" x14ac:dyDescent="0.25">
      <c r="A262" s="180"/>
      <c r="G262" s="151"/>
      <c r="H262" s="163">
        <v>257</v>
      </c>
      <c r="I262" s="164" t="str">
        <f t="shared" ref="I262:I305" si="22">IF(H262&lt;$H$2+1,($I$2-($I$2-1)*(LOG(H262)/LOG($H$2))),"")</f>
        <v/>
      </c>
      <c r="J262" s="163" t="e">
        <f t="shared" si="21"/>
        <v>#NUM!</v>
      </c>
      <c r="K262" s="163" t="e">
        <f t="shared" ref="K262:K305" si="23">J262*$J$2</f>
        <v>#NUM!</v>
      </c>
      <c r="L262" s="163"/>
      <c r="M262" s="165">
        <f t="shared" ref="M262:M305" si="24">IF(I262&lt;&gt;"",K262+I262+L262,0)</f>
        <v>0</v>
      </c>
    </row>
    <row r="263" spans="1:13" x14ac:dyDescent="0.25">
      <c r="A263" s="180"/>
      <c r="G263" s="151"/>
      <c r="H263" s="166">
        <v>258</v>
      </c>
      <c r="I263" s="164" t="str">
        <f t="shared" si="22"/>
        <v/>
      </c>
      <c r="J263" s="163" t="e">
        <f t="shared" ref="J263:J305" si="25">INT(LOG($H$2,2))-ROUNDUP(LOG(H263,2),0)+IF(OR($H$2=1,$H$2=2,$H$2=4,$H$2=8,$H$2=16,$H$2=32,$H$2=64,$H$2=128,$H$2=256),0,1)</f>
        <v>#NUM!</v>
      </c>
      <c r="K263" s="163" t="e">
        <f t="shared" si="23"/>
        <v>#NUM!</v>
      </c>
      <c r="L263" s="163"/>
      <c r="M263" s="165">
        <f t="shared" si="24"/>
        <v>0</v>
      </c>
    </row>
    <row r="264" spans="1:13" x14ac:dyDescent="0.25">
      <c r="A264" s="180"/>
      <c r="G264" s="151"/>
      <c r="H264" s="163">
        <v>259</v>
      </c>
      <c r="I264" s="164" t="str">
        <f t="shared" si="22"/>
        <v/>
      </c>
      <c r="J264" s="163" t="e">
        <f t="shared" si="25"/>
        <v>#NUM!</v>
      </c>
      <c r="K264" s="163" t="e">
        <f t="shared" si="23"/>
        <v>#NUM!</v>
      </c>
      <c r="L264" s="163"/>
      <c r="M264" s="165">
        <f t="shared" si="24"/>
        <v>0</v>
      </c>
    </row>
    <row r="265" spans="1:13" x14ac:dyDescent="0.25">
      <c r="A265" s="180"/>
      <c r="G265" s="151"/>
      <c r="H265" s="166">
        <v>260</v>
      </c>
      <c r="I265" s="164" t="str">
        <f t="shared" si="22"/>
        <v/>
      </c>
      <c r="J265" s="163" t="e">
        <f t="shared" si="25"/>
        <v>#NUM!</v>
      </c>
      <c r="K265" s="163" t="e">
        <f t="shared" si="23"/>
        <v>#NUM!</v>
      </c>
      <c r="L265" s="163"/>
      <c r="M265" s="165">
        <f t="shared" si="24"/>
        <v>0</v>
      </c>
    </row>
    <row r="266" spans="1:13" x14ac:dyDescent="0.25">
      <c r="A266" s="180"/>
      <c r="G266" s="151"/>
      <c r="H266" s="163">
        <v>261</v>
      </c>
      <c r="I266" s="164" t="str">
        <f t="shared" si="22"/>
        <v/>
      </c>
      <c r="J266" s="163" t="e">
        <f t="shared" si="25"/>
        <v>#NUM!</v>
      </c>
      <c r="K266" s="163" t="e">
        <f t="shared" si="23"/>
        <v>#NUM!</v>
      </c>
      <c r="L266" s="163"/>
      <c r="M266" s="165">
        <f t="shared" si="24"/>
        <v>0</v>
      </c>
    </row>
    <row r="267" spans="1:13" x14ac:dyDescent="0.25">
      <c r="A267" s="180"/>
      <c r="G267" s="151"/>
      <c r="H267" s="166">
        <v>262</v>
      </c>
      <c r="I267" s="164" t="str">
        <f t="shared" si="22"/>
        <v/>
      </c>
      <c r="J267" s="163" t="e">
        <f t="shared" si="25"/>
        <v>#NUM!</v>
      </c>
      <c r="K267" s="163" t="e">
        <f t="shared" si="23"/>
        <v>#NUM!</v>
      </c>
      <c r="L267" s="163"/>
      <c r="M267" s="165">
        <f t="shared" si="24"/>
        <v>0</v>
      </c>
    </row>
    <row r="268" spans="1:13" x14ac:dyDescent="0.25">
      <c r="A268" s="180"/>
      <c r="G268" s="151"/>
      <c r="H268" s="163">
        <v>263</v>
      </c>
      <c r="I268" s="164" t="str">
        <f t="shared" si="22"/>
        <v/>
      </c>
      <c r="J268" s="163" t="e">
        <f t="shared" si="25"/>
        <v>#NUM!</v>
      </c>
      <c r="K268" s="163" t="e">
        <f t="shared" si="23"/>
        <v>#NUM!</v>
      </c>
      <c r="L268" s="163"/>
      <c r="M268" s="165">
        <f t="shared" si="24"/>
        <v>0</v>
      </c>
    </row>
    <row r="269" spans="1:13" x14ac:dyDescent="0.25">
      <c r="A269" s="180"/>
      <c r="G269" s="151"/>
      <c r="H269" s="166">
        <v>264</v>
      </c>
      <c r="I269" s="164" t="str">
        <f t="shared" si="22"/>
        <v/>
      </c>
      <c r="J269" s="163" t="e">
        <f t="shared" si="25"/>
        <v>#NUM!</v>
      </c>
      <c r="K269" s="163" t="e">
        <f t="shared" si="23"/>
        <v>#NUM!</v>
      </c>
      <c r="L269" s="163"/>
      <c r="M269" s="165">
        <f t="shared" si="24"/>
        <v>0</v>
      </c>
    </row>
    <row r="270" spans="1:13" x14ac:dyDescent="0.25">
      <c r="A270" s="180"/>
      <c r="G270" s="151"/>
      <c r="H270" s="163">
        <v>265</v>
      </c>
      <c r="I270" s="164" t="str">
        <f t="shared" si="22"/>
        <v/>
      </c>
      <c r="J270" s="163" t="e">
        <f t="shared" si="25"/>
        <v>#NUM!</v>
      </c>
      <c r="K270" s="163" t="e">
        <f t="shared" si="23"/>
        <v>#NUM!</v>
      </c>
      <c r="L270" s="163"/>
      <c r="M270" s="165">
        <f t="shared" si="24"/>
        <v>0</v>
      </c>
    </row>
    <row r="271" spans="1:13" x14ac:dyDescent="0.25">
      <c r="A271" s="180"/>
      <c r="G271" s="151"/>
      <c r="H271" s="166">
        <v>266</v>
      </c>
      <c r="I271" s="164" t="str">
        <f t="shared" si="22"/>
        <v/>
      </c>
      <c r="J271" s="163" t="e">
        <f t="shared" si="25"/>
        <v>#NUM!</v>
      </c>
      <c r="K271" s="163" t="e">
        <f t="shared" si="23"/>
        <v>#NUM!</v>
      </c>
      <c r="L271" s="163"/>
      <c r="M271" s="165">
        <f t="shared" si="24"/>
        <v>0</v>
      </c>
    </row>
    <row r="272" spans="1:13" x14ac:dyDescent="0.25">
      <c r="A272" s="180"/>
      <c r="G272" s="151"/>
      <c r="H272" s="163">
        <v>267</v>
      </c>
      <c r="I272" s="164" t="str">
        <f t="shared" si="22"/>
        <v/>
      </c>
      <c r="J272" s="163" t="e">
        <f t="shared" si="25"/>
        <v>#NUM!</v>
      </c>
      <c r="K272" s="163" t="e">
        <f t="shared" si="23"/>
        <v>#NUM!</v>
      </c>
      <c r="L272" s="163"/>
      <c r="M272" s="165">
        <f t="shared" si="24"/>
        <v>0</v>
      </c>
    </row>
    <row r="273" spans="1:13" x14ac:dyDescent="0.25">
      <c r="A273" s="180"/>
      <c r="G273" s="151"/>
      <c r="H273" s="166">
        <v>268</v>
      </c>
      <c r="I273" s="164" t="str">
        <f t="shared" si="22"/>
        <v/>
      </c>
      <c r="J273" s="163" t="e">
        <f t="shared" si="25"/>
        <v>#NUM!</v>
      </c>
      <c r="K273" s="163" t="e">
        <f t="shared" si="23"/>
        <v>#NUM!</v>
      </c>
      <c r="L273" s="163"/>
      <c r="M273" s="165">
        <f t="shared" si="24"/>
        <v>0</v>
      </c>
    </row>
    <row r="274" spans="1:13" x14ac:dyDescent="0.25">
      <c r="A274" s="180"/>
      <c r="G274" s="151"/>
      <c r="H274" s="163">
        <v>269</v>
      </c>
      <c r="I274" s="164" t="str">
        <f t="shared" si="22"/>
        <v/>
      </c>
      <c r="J274" s="163" t="e">
        <f t="shared" si="25"/>
        <v>#NUM!</v>
      </c>
      <c r="K274" s="163" t="e">
        <f t="shared" si="23"/>
        <v>#NUM!</v>
      </c>
      <c r="L274" s="163"/>
      <c r="M274" s="165">
        <f t="shared" si="24"/>
        <v>0</v>
      </c>
    </row>
    <row r="275" spans="1:13" x14ac:dyDescent="0.25">
      <c r="A275" s="180"/>
      <c r="G275" s="151"/>
      <c r="H275" s="166">
        <v>270</v>
      </c>
      <c r="I275" s="164" t="str">
        <f t="shared" si="22"/>
        <v/>
      </c>
      <c r="J275" s="163" t="e">
        <f t="shared" si="25"/>
        <v>#NUM!</v>
      </c>
      <c r="K275" s="163" t="e">
        <f t="shared" si="23"/>
        <v>#NUM!</v>
      </c>
      <c r="L275" s="163"/>
      <c r="M275" s="165">
        <f t="shared" si="24"/>
        <v>0</v>
      </c>
    </row>
    <row r="276" spans="1:13" x14ac:dyDescent="0.25">
      <c r="A276" s="180"/>
      <c r="G276" s="151"/>
      <c r="H276" s="163">
        <v>271</v>
      </c>
      <c r="I276" s="164" t="str">
        <f t="shared" si="22"/>
        <v/>
      </c>
      <c r="J276" s="163" t="e">
        <f t="shared" si="25"/>
        <v>#NUM!</v>
      </c>
      <c r="K276" s="163" t="e">
        <f t="shared" si="23"/>
        <v>#NUM!</v>
      </c>
      <c r="L276" s="163"/>
      <c r="M276" s="165">
        <f t="shared" si="24"/>
        <v>0</v>
      </c>
    </row>
    <row r="277" spans="1:13" x14ac:dyDescent="0.25">
      <c r="A277" s="180"/>
      <c r="G277" s="151"/>
      <c r="H277" s="166">
        <v>272</v>
      </c>
      <c r="I277" s="164" t="str">
        <f t="shared" si="22"/>
        <v/>
      </c>
      <c r="J277" s="163" t="e">
        <f t="shared" si="25"/>
        <v>#NUM!</v>
      </c>
      <c r="K277" s="163" t="e">
        <f t="shared" si="23"/>
        <v>#NUM!</v>
      </c>
      <c r="L277" s="163"/>
      <c r="M277" s="165">
        <f t="shared" si="24"/>
        <v>0</v>
      </c>
    </row>
    <row r="278" spans="1:13" x14ac:dyDescent="0.25">
      <c r="A278" s="180"/>
      <c r="G278" s="151"/>
      <c r="H278" s="163">
        <v>273</v>
      </c>
      <c r="I278" s="164" t="str">
        <f t="shared" si="22"/>
        <v/>
      </c>
      <c r="J278" s="163" t="e">
        <f t="shared" si="25"/>
        <v>#NUM!</v>
      </c>
      <c r="K278" s="163" t="e">
        <f t="shared" si="23"/>
        <v>#NUM!</v>
      </c>
      <c r="L278" s="163"/>
      <c r="M278" s="165">
        <f t="shared" si="24"/>
        <v>0</v>
      </c>
    </row>
    <row r="279" spans="1:13" x14ac:dyDescent="0.25">
      <c r="A279" s="180"/>
      <c r="G279" s="151"/>
      <c r="H279" s="166">
        <v>274</v>
      </c>
      <c r="I279" s="164" t="str">
        <f t="shared" si="22"/>
        <v/>
      </c>
      <c r="J279" s="163" t="e">
        <f t="shared" si="25"/>
        <v>#NUM!</v>
      </c>
      <c r="K279" s="163" t="e">
        <f t="shared" si="23"/>
        <v>#NUM!</v>
      </c>
      <c r="L279" s="163"/>
      <c r="M279" s="165">
        <f t="shared" si="24"/>
        <v>0</v>
      </c>
    </row>
    <row r="280" spans="1:13" x14ac:dyDescent="0.25">
      <c r="A280" s="180"/>
      <c r="G280" s="151"/>
      <c r="H280" s="163">
        <v>275</v>
      </c>
      <c r="I280" s="164" t="str">
        <f t="shared" si="22"/>
        <v/>
      </c>
      <c r="J280" s="163" t="e">
        <f t="shared" si="25"/>
        <v>#NUM!</v>
      </c>
      <c r="K280" s="163" t="e">
        <f t="shared" si="23"/>
        <v>#NUM!</v>
      </c>
      <c r="L280" s="163"/>
      <c r="M280" s="165">
        <f t="shared" si="24"/>
        <v>0</v>
      </c>
    </row>
    <row r="281" spans="1:13" x14ac:dyDescent="0.25">
      <c r="A281" s="180"/>
      <c r="G281" s="151"/>
      <c r="H281" s="166">
        <v>276</v>
      </c>
      <c r="I281" s="164" t="str">
        <f t="shared" si="22"/>
        <v/>
      </c>
      <c r="J281" s="163" t="e">
        <f t="shared" si="25"/>
        <v>#NUM!</v>
      </c>
      <c r="K281" s="163" t="e">
        <f t="shared" si="23"/>
        <v>#NUM!</v>
      </c>
      <c r="L281" s="163"/>
      <c r="M281" s="165">
        <f t="shared" si="24"/>
        <v>0</v>
      </c>
    </row>
    <row r="282" spans="1:13" x14ac:dyDescent="0.25">
      <c r="A282" s="180"/>
      <c r="G282" s="151"/>
      <c r="H282" s="163">
        <v>277</v>
      </c>
      <c r="I282" s="164" t="str">
        <f t="shared" si="22"/>
        <v/>
      </c>
      <c r="J282" s="163" t="e">
        <f t="shared" si="25"/>
        <v>#NUM!</v>
      </c>
      <c r="K282" s="163" t="e">
        <f t="shared" si="23"/>
        <v>#NUM!</v>
      </c>
      <c r="L282" s="163"/>
      <c r="M282" s="165">
        <f t="shared" si="24"/>
        <v>0</v>
      </c>
    </row>
    <row r="283" spans="1:13" x14ac:dyDescent="0.25">
      <c r="A283" s="180"/>
      <c r="G283" s="151"/>
      <c r="H283" s="166">
        <v>278</v>
      </c>
      <c r="I283" s="164" t="str">
        <f t="shared" si="22"/>
        <v/>
      </c>
      <c r="J283" s="163" t="e">
        <f t="shared" si="25"/>
        <v>#NUM!</v>
      </c>
      <c r="K283" s="163" t="e">
        <f t="shared" si="23"/>
        <v>#NUM!</v>
      </c>
      <c r="L283" s="163"/>
      <c r="M283" s="165">
        <f t="shared" si="24"/>
        <v>0</v>
      </c>
    </row>
    <row r="284" spans="1:13" x14ac:dyDescent="0.25">
      <c r="A284" s="180"/>
      <c r="G284" s="151"/>
      <c r="H284" s="163">
        <v>279</v>
      </c>
      <c r="I284" s="164" t="str">
        <f t="shared" si="22"/>
        <v/>
      </c>
      <c r="J284" s="163" t="e">
        <f t="shared" si="25"/>
        <v>#NUM!</v>
      </c>
      <c r="K284" s="163" t="e">
        <f t="shared" si="23"/>
        <v>#NUM!</v>
      </c>
      <c r="L284" s="163"/>
      <c r="M284" s="165">
        <f t="shared" si="24"/>
        <v>0</v>
      </c>
    </row>
    <row r="285" spans="1:13" x14ac:dyDescent="0.25">
      <c r="A285" s="180"/>
      <c r="G285" s="151"/>
      <c r="H285" s="166">
        <v>280</v>
      </c>
      <c r="I285" s="164" t="str">
        <f t="shared" si="22"/>
        <v/>
      </c>
      <c r="J285" s="163" t="e">
        <f t="shared" si="25"/>
        <v>#NUM!</v>
      </c>
      <c r="K285" s="163" t="e">
        <f t="shared" si="23"/>
        <v>#NUM!</v>
      </c>
      <c r="L285" s="163"/>
      <c r="M285" s="165">
        <f t="shared" si="24"/>
        <v>0</v>
      </c>
    </row>
    <row r="286" spans="1:13" x14ac:dyDescent="0.25">
      <c r="A286" s="180"/>
      <c r="G286" s="151"/>
      <c r="H286" s="163">
        <v>281</v>
      </c>
      <c r="I286" s="164" t="str">
        <f t="shared" si="22"/>
        <v/>
      </c>
      <c r="J286" s="163" t="e">
        <f t="shared" si="25"/>
        <v>#NUM!</v>
      </c>
      <c r="K286" s="163" t="e">
        <f t="shared" si="23"/>
        <v>#NUM!</v>
      </c>
      <c r="L286" s="163"/>
      <c r="M286" s="165">
        <f t="shared" si="24"/>
        <v>0</v>
      </c>
    </row>
    <row r="287" spans="1:13" x14ac:dyDescent="0.25">
      <c r="A287" s="180"/>
      <c r="G287" s="151"/>
      <c r="H287" s="166">
        <v>282</v>
      </c>
      <c r="I287" s="164" t="str">
        <f t="shared" si="22"/>
        <v/>
      </c>
      <c r="J287" s="163" t="e">
        <f t="shared" si="25"/>
        <v>#NUM!</v>
      </c>
      <c r="K287" s="163" t="e">
        <f t="shared" si="23"/>
        <v>#NUM!</v>
      </c>
      <c r="L287" s="163"/>
      <c r="M287" s="165">
        <f t="shared" si="24"/>
        <v>0</v>
      </c>
    </row>
    <row r="288" spans="1:13" x14ac:dyDescent="0.25">
      <c r="A288" s="180"/>
      <c r="G288" s="151"/>
      <c r="H288" s="163">
        <v>283</v>
      </c>
      <c r="I288" s="164" t="str">
        <f t="shared" si="22"/>
        <v/>
      </c>
      <c r="J288" s="163" t="e">
        <f t="shared" si="25"/>
        <v>#NUM!</v>
      </c>
      <c r="K288" s="163" t="e">
        <f t="shared" si="23"/>
        <v>#NUM!</v>
      </c>
      <c r="L288" s="163"/>
      <c r="M288" s="165">
        <f t="shared" si="24"/>
        <v>0</v>
      </c>
    </row>
    <row r="289" spans="1:13" x14ac:dyDescent="0.25">
      <c r="A289" s="180"/>
      <c r="G289" s="151"/>
      <c r="H289" s="166">
        <v>284</v>
      </c>
      <c r="I289" s="164" t="str">
        <f t="shared" si="22"/>
        <v/>
      </c>
      <c r="J289" s="163" t="e">
        <f t="shared" si="25"/>
        <v>#NUM!</v>
      </c>
      <c r="K289" s="163" t="e">
        <f t="shared" si="23"/>
        <v>#NUM!</v>
      </c>
      <c r="L289" s="163"/>
      <c r="M289" s="165">
        <f t="shared" si="24"/>
        <v>0</v>
      </c>
    </row>
    <row r="290" spans="1:13" x14ac:dyDescent="0.25">
      <c r="A290" s="180"/>
      <c r="G290" s="151"/>
      <c r="H290" s="163">
        <v>285</v>
      </c>
      <c r="I290" s="164" t="str">
        <f t="shared" si="22"/>
        <v/>
      </c>
      <c r="J290" s="163" t="e">
        <f t="shared" si="25"/>
        <v>#NUM!</v>
      </c>
      <c r="K290" s="163" t="e">
        <f t="shared" si="23"/>
        <v>#NUM!</v>
      </c>
      <c r="L290" s="163"/>
      <c r="M290" s="165">
        <f t="shared" si="24"/>
        <v>0</v>
      </c>
    </row>
    <row r="291" spans="1:13" x14ac:dyDescent="0.25">
      <c r="A291" s="180"/>
      <c r="G291" s="151"/>
      <c r="H291" s="166">
        <v>286</v>
      </c>
      <c r="I291" s="164" t="str">
        <f t="shared" si="22"/>
        <v/>
      </c>
      <c r="J291" s="163" t="e">
        <f t="shared" si="25"/>
        <v>#NUM!</v>
      </c>
      <c r="K291" s="163" t="e">
        <f t="shared" si="23"/>
        <v>#NUM!</v>
      </c>
      <c r="L291" s="163"/>
      <c r="M291" s="165">
        <f t="shared" si="24"/>
        <v>0</v>
      </c>
    </row>
    <row r="292" spans="1:13" x14ac:dyDescent="0.25">
      <c r="A292" s="180"/>
      <c r="G292" s="151"/>
      <c r="H292" s="163">
        <v>287</v>
      </c>
      <c r="I292" s="164" t="str">
        <f t="shared" si="22"/>
        <v/>
      </c>
      <c r="J292" s="163" t="e">
        <f t="shared" si="25"/>
        <v>#NUM!</v>
      </c>
      <c r="K292" s="163" t="e">
        <f t="shared" si="23"/>
        <v>#NUM!</v>
      </c>
      <c r="L292" s="163"/>
      <c r="M292" s="165">
        <f t="shared" si="24"/>
        <v>0</v>
      </c>
    </row>
    <row r="293" spans="1:13" x14ac:dyDescent="0.25">
      <c r="A293" s="180"/>
      <c r="G293" s="151"/>
      <c r="H293" s="163">
        <v>288</v>
      </c>
      <c r="I293" s="164" t="str">
        <f t="shared" si="22"/>
        <v/>
      </c>
      <c r="J293" s="163" t="e">
        <f t="shared" si="25"/>
        <v>#NUM!</v>
      </c>
      <c r="K293" s="163" t="e">
        <f t="shared" si="23"/>
        <v>#NUM!</v>
      </c>
      <c r="L293" s="163"/>
      <c r="M293" s="165">
        <f t="shared" si="24"/>
        <v>0</v>
      </c>
    </row>
    <row r="294" spans="1:13" x14ac:dyDescent="0.25">
      <c r="A294" s="180"/>
      <c r="G294" s="151"/>
      <c r="H294" s="163">
        <v>289</v>
      </c>
      <c r="I294" s="164" t="str">
        <f t="shared" si="22"/>
        <v/>
      </c>
      <c r="J294" s="163" t="e">
        <f t="shared" si="25"/>
        <v>#NUM!</v>
      </c>
      <c r="K294" s="163" t="e">
        <f t="shared" si="23"/>
        <v>#NUM!</v>
      </c>
      <c r="L294" s="163"/>
      <c r="M294" s="165">
        <f t="shared" si="24"/>
        <v>0</v>
      </c>
    </row>
    <row r="295" spans="1:13" x14ac:dyDescent="0.25">
      <c r="A295" s="180"/>
      <c r="G295" s="151"/>
      <c r="H295" s="163">
        <v>290</v>
      </c>
      <c r="I295" s="164" t="str">
        <f t="shared" si="22"/>
        <v/>
      </c>
      <c r="J295" s="163" t="e">
        <f t="shared" si="25"/>
        <v>#NUM!</v>
      </c>
      <c r="K295" s="163" t="e">
        <f t="shared" si="23"/>
        <v>#NUM!</v>
      </c>
      <c r="L295" s="163"/>
      <c r="M295" s="165">
        <f t="shared" si="24"/>
        <v>0</v>
      </c>
    </row>
    <row r="296" spans="1:13" x14ac:dyDescent="0.25">
      <c r="A296" s="180"/>
      <c r="G296" s="151"/>
      <c r="H296" s="163">
        <v>291</v>
      </c>
      <c r="I296" s="164" t="str">
        <f t="shared" si="22"/>
        <v/>
      </c>
      <c r="J296" s="163" t="e">
        <f t="shared" si="25"/>
        <v>#NUM!</v>
      </c>
      <c r="K296" s="163" t="e">
        <f t="shared" si="23"/>
        <v>#NUM!</v>
      </c>
      <c r="L296" s="163"/>
      <c r="M296" s="165">
        <f t="shared" si="24"/>
        <v>0</v>
      </c>
    </row>
    <row r="297" spans="1:13" x14ac:dyDescent="0.25">
      <c r="A297" s="180"/>
      <c r="G297" s="151"/>
      <c r="H297" s="163">
        <v>292</v>
      </c>
      <c r="I297" s="164" t="str">
        <f t="shared" si="22"/>
        <v/>
      </c>
      <c r="J297" s="163" t="e">
        <f t="shared" si="25"/>
        <v>#NUM!</v>
      </c>
      <c r="K297" s="163" t="e">
        <f t="shared" si="23"/>
        <v>#NUM!</v>
      </c>
      <c r="L297" s="163"/>
      <c r="M297" s="165">
        <f t="shared" si="24"/>
        <v>0</v>
      </c>
    </row>
    <row r="298" spans="1:13" x14ac:dyDescent="0.25">
      <c r="A298" s="180"/>
      <c r="G298" s="151"/>
      <c r="H298" s="163">
        <v>293</v>
      </c>
      <c r="I298" s="164" t="str">
        <f t="shared" si="22"/>
        <v/>
      </c>
      <c r="J298" s="163" t="e">
        <f t="shared" si="25"/>
        <v>#NUM!</v>
      </c>
      <c r="K298" s="163" t="e">
        <f t="shared" si="23"/>
        <v>#NUM!</v>
      </c>
      <c r="L298" s="163"/>
      <c r="M298" s="165">
        <f t="shared" si="24"/>
        <v>0</v>
      </c>
    </row>
    <row r="299" spans="1:13" x14ac:dyDescent="0.25">
      <c r="A299" s="180"/>
      <c r="G299" s="151"/>
      <c r="H299" s="163">
        <v>294</v>
      </c>
      <c r="I299" s="164" t="str">
        <f t="shared" si="22"/>
        <v/>
      </c>
      <c r="J299" s="163" t="e">
        <f t="shared" si="25"/>
        <v>#NUM!</v>
      </c>
      <c r="K299" s="163" t="e">
        <f t="shared" si="23"/>
        <v>#NUM!</v>
      </c>
      <c r="L299" s="163"/>
      <c r="M299" s="165">
        <f t="shared" si="24"/>
        <v>0</v>
      </c>
    </row>
    <row r="300" spans="1:13" x14ac:dyDescent="0.25">
      <c r="A300" s="180"/>
      <c r="G300" s="151"/>
      <c r="H300" s="163">
        <v>295</v>
      </c>
      <c r="I300" s="164" t="str">
        <f t="shared" si="22"/>
        <v/>
      </c>
      <c r="J300" s="163" t="e">
        <f t="shared" si="25"/>
        <v>#NUM!</v>
      </c>
      <c r="K300" s="163" t="e">
        <f t="shared" si="23"/>
        <v>#NUM!</v>
      </c>
      <c r="L300" s="163"/>
      <c r="M300" s="165">
        <f t="shared" si="24"/>
        <v>0</v>
      </c>
    </row>
    <row r="301" spans="1:13" x14ac:dyDescent="0.25">
      <c r="A301" s="180"/>
      <c r="G301" s="151"/>
      <c r="H301" s="163">
        <v>296</v>
      </c>
      <c r="I301" s="164" t="str">
        <f t="shared" si="22"/>
        <v/>
      </c>
      <c r="J301" s="163" t="e">
        <f t="shared" si="25"/>
        <v>#NUM!</v>
      </c>
      <c r="K301" s="163" t="e">
        <f t="shared" si="23"/>
        <v>#NUM!</v>
      </c>
      <c r="L301" s="163"/>
      <c r="M301" s="165">
        <f t="shared" si="24"/>
        <v>0</v>
      </c>
    </row>
    <row r="302" spans="1:13" x14ac:dyDescent="0.25">
      <c r="A302" s="180"/>
      <c r="G302" s="151"/>
      <c r="H302" s="163">
        <v>297</v>
      </c>
      <c r="I302" s="164" t="str">
        <f t="shared" si="22"/>
        <v/>
      </c>
      <c r="J302" s="163" t="e">
        <f t="shared" si="25"/>
        <v>#NUM!</v>
      </c>
      <c r="K302" s="163" t="e">
        <f t="shared" si="23"/>
        <v>#NUM!</v>
      </c>
      <c r="L302" s="163"/>
      <c r="M302" s="165">
        <f t="shared" si="24"/>
        <v>0</v>
      </c>
    </row>
    <row r="303" spans="1:13" x14ac:dyDescent="0.25">
      <c r="A303" s="180"/>
      <c r="G303" s="151"/>
      <c r="H303" s="163">
        <v>298</v>
      </c>
      <c r="I303" s="164" t="str">
        <f t="shared" si="22"/>
        <v/>
      </c>
      <c r="J303" s="163" t="e">
        <f t="shared" si="25"/>
        <v>#NUM!</v>
      </c>
      <c r="K303" s="163" t="e">
        <f t="shared" si="23"/>
        <v>#NUM!</v>
      </c>
      <c r="L303" s="163"/>
      <c r="M303" s="165">
        <f t="shared" si="24"/>
        <v>0</v>
      </c>
    </row>
    <row r="304" spans="1:13" x14ac:dyDescent="0.25">
      <c r="A304" s="180"/>
      <c r="G304" s="151"/>
      <c r="H304" s="163">
        <v>299</v>
      </c>
      <c r="I304" s="164" t="str">
        <f t="shared" si="22"/>
        <v/>
      </c>
      <c r="J304" s="163" t="e">
        <f t="shared" si="25"/>
        <v>#NUM!</v>
      </c>
      <c r="K304" s="163" t="e">
        <f t="shared" si="23"/>
        <v>#NUM!</v>
      </c>
      <c r="L304" s="163"/>
      <c r="M304" s="165">
        <f t="shared" si="24"/>
        <v>0</v>
      </c>
    </row>
    <row r="305" spans="1:16" x14ac:dyDescent="0.25">
      <c r="A305" s="180"/>
      <c r="G305" s="151"/>
      <c r="H305" s="163">
        <v>300</v>
      </c>
      <c r="I305" s="164" t="str">
        <f t="shared" si="22"/>
        <v/>
      </c>
      <c r="J305" s="163" t="e">
        <f t="shared" si="25"/>
        <v>#NUM!</v>
      </c>
      <c r="K305" s="163" t="e">
        <f t="shared" si="23"/>
        <v>#NUM!</v>
      </c>
      <c r="L305" s="163"/>
      <c r="M305" s="165">
        <f t="shared" si="24"/>
        <v>0</v>
      </c>
    </row>
    <row r="306" spans="1:16" x14ac:dyDescent="0.25">
      <c r="A306" s="181"/>
    </row>
    <row r="314" spans="1:16" x14ac:dyDescent="0.25">
      <c r="L314" s="184"/>
      <c r="P314" s="174"/>
    </row>
    <row r="315" spans="1:16" x14ac:dyDescent="0.25">
      <c r="L315" s="184"/>
      <c r="P315" s="174"/>
    </row>
    <row r="316" spans="1:16" x14ac:dyDescent="0.25">
      <c r="L316" s="184"/>
      <c r="P316" s="174"/>
    </row>
    <row r="317" spans="1:16" x14ac:dyDescent="0.25">
      <c r="L317" s="184"/>
      <c r="P317" s="174"/>
    </row>
  </sheetData>
  <conditionalFormatting sqref="J6:K305">
    <cfRule type="cellIs" dxfId="4" priority="1" operator="lessThanOrEqual">
      <formula>0</formula>
    </cfRule>
  </conditionalFormatting>
  <hyperlinks>
    <hyperlink ref="C2" r:id="rId1" xr:uid="{09BBCCF6-CAFA-4CA0-A7AD-A03530AA673B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F603-2F93-4864-87CB-827013F1C9D2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93" customWidth="1"/>
    <col min="2" max="2" width="8.25" style="293" customWidth="1"/>
    <col min="3" max="3" width="34.75" style="293" customWidth="1"/>
    <col min="4" max="4" width="11.25" style="293" customWidth="1"/>
    <col min="5" max="6" width="8.875" style="293"/>
    <col min="7" max="7" width="0.875" style="293" customWidth="1"/>
    <col min="8" max="8" width="8.875" style="296"/>
    <col min="9" max="9" width="11" style="296" customWidth="1"/>
    <col min="10" max="10" width="15.25" style="296" customWidth="1"/>
    <col min="11" max="11" width="8.75" style="296" customWidth="1"/>
    <col min="12" max="12" width="11" style="296" customWidth="1"/>
    <col min="13" max="13" width="12.25" style="297" customWidth="1"/>
    <col min="14" max="15" width="13.875" style="263" customWidth="1"/>
    <col min="16" max="18" width="8.875" style="263"/>
    <col min="19" max="20" width="8.875" style="268"/>
    <col min="21" max="21" width="12.125" style="268" customWidth="1"/>
    <col min="22" max="22" width="27.375" style="268" customWidth="1"/>
    <col min="23" max="38" width="8.875" style="268"/>
    <col min="39" max="16384" width="8.875" style="293"/>
  </cols>
  <sheetData>
    <row r="1" spans="1:36" x14ac:dyDescent="0.25">
      <c r="A1" s="263"/>
      <c r="B1" s="263"/>
      <c r="C1" s="263"/>
      <c r="D1" s="263"/>
      <c r="E1" s="263"/>
      <c r="F1" s="263"/>
      <c r="G1" s="263"/>
      <c r="H1" s="264" t="s">
        <v>25</v>
      </c>
      <c r="I1" s="265" t="s">
        <v>26</v>
      </c>
      <c r="J1" s="265" t="s">
        <v>27</v>
      </c>
      <c r="K1" s="266" t="s">
        <v>28</v>
      </c>
      <c r="L1" s="267"/>
      <c r="M1" s="267"/>
    </row>
    <row r="2" spans="1:36" x14ac:dyDescent="0.25">
      <c r="A2" s="263"/>
      <c r="B2" s="14" t="s">
        <v>29</v>
      </c>
      <c r="C2" s="195" t="s">
        <v>150</v>
      </c>
      <c r="D2" s="62"/>
      <c r="E2" s="15"/>
      <c r="F2" s="15"/>
      <c r="G2" s="15"/>
      <c r="H2" s="269">
        <v>0</v>
      </c>
      <c r="I2" s="270">
        <v>50</v>
      </c>
      <c r="J2" s="270">
        <v>10</v>
      </c>
      <c r="K2" s="271">
        <f>3*H2^(1/3)</f>
        <v>0</v>
      </c>
      <c r="L2" s="267"/>
      <c r="M2" s="267"/>
    </row>
    <row r="3" spans="1:36" x14ac:dyDescent="0.25">
      <c r="A3" s="263"/>
      <c r="B3" s="272" t="s">
        <v>31</v>
      </c>
      <c r="C3" s="63" t="s">
        <v>151</v>
      </c>
      <c r="D3" s="63"/>
      <c r="E3" s="20"/>
      <c r="F3" s="20"/>
      <c r="G3" s="20"/>
      <c r="H3" s="267"/>
      <c r="I3" s="267"/>
      <c r="J3" s="273"/>
      <c r="K3" s="267"/>
      <c r="L3" s="267"/>
      <c r="M3" s="267"/>
    </row>
    <row r="4" spans="1:36" ht="10.199999999999999" customHeight="1" x14ac:dyDescent="0.25">
      <c r="A4" s="22"/>
      <c r="B4" s="20"/>
      <c r="C4" s="22"/>
      <c r="D4" s="22"/>
      <c r="E4" s="22"/>
      <c r="F4" s="22"/>
      <c r="G4" s="22"/>
      <c r="H4" s="267"/>
      <c r="I4" s="267"/>
      <c r="J4" s="273"/>
      <c r="K4" s="267"/>
      <c r="L4" s="267"/>
      <c r="M4" s="267"/>
    </row>
    <row r="5" spans="1:36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274" t="s">
        <v>39</v>
      </c>
      <c r="I5" s="275" t="s">
        <v>40</v>
      </c>
      <c r="J5" s="276" t="s">
        <v>41</v>
      </c>
      <c r="K5" s="275" t="s">
        <v>42</v>
      </c>
      <c r="L5" s="275" t="s">
        <v>43</v>
      </c>
      <c r="M5" s="274" t="s">
        <v>44</v>
      </c>
    </row>
    <row r="6" spans="1:36" ht="14.45" customHeight="1" x14ac:dyDescent="0.25">
      <c r="A6" s="109">
        <f>M6</f>
        <v>0</v>
      </c>
      <c r="B6" s="28" t="str">
        <f t="shared" ref="B6:B69" si="0">IF(H6&gt;$H$2,"",(ROW()-5))</f>
        <v/>
      </c>
      <c r="C6" s="29"/>
      <c r="D6" s="29"/>
      <c r="E6" s="29"/>
      <c r="F6" s="29"/>
      <c r="G6" s="22"/>
      <c r="H6" s="277">
        <v>1</v>
      </c>
      <c r="I6" s="278" t="str">
        <f t="shared" ref="I6:I69" si="1">IF(H6&lt;$H$2+1,($I$2-($I$2-1)*(LOG(H6)/LOG($H$2))),"")</f>
        <v/>
      </c>
      <c r="J6" s="277" t="e">
        <f>INT(LOG($H$2,2))-ROUNDUP(LOG(H6,2),0)+IF(OR($H$2=1,$H$2=2,$H$2=4,$H$2=8,$H$2=16,$H$2=32,$H$2=64,$H$2=128,$H$2=256),0,1)</f>
        <v>#NUM!</v>
      </c>
      <c r="K6" s="277" t="e">
        <f t="shared" ref="K6:K69" si="2">J6*$J$2</f>
        <v>#NUM!</v>
      </c>
      <c r="L6" s="279">
        <f>3*K2</f>
        <v>0</v>
      </c>
      <c r="M6" s="279">
        <f t="shared" ref="M6:M69" si="3">IF(I6&lt;&gt;"",K6+I6+L6,0)</f>
        <v>0</v>
      </c>
    </row>
    <row r="7" spans="1:36" ht="14.45" customHeight="1" x14ac:dyDescent="0.25">
      <c r="A7" s="110">
        <f t="shared" ref="A7:A70" si="4">M7</f>
        <v>0</v>
      </c>
      <c r="B7" s="34" t="str">
        <f t="shared" si="0"/>
        <v/>
      </c>
      <c r="C7" s="35"/>
      <c r="D7" s="35"/>
      <c r="E7" s="35"/>
      <c r="F7" s="35"/>
      <c r="G7" s="22"/>
      <c r="H7" s="280">
        <v>2</v>
      </c>
      <c r="I7" s="281" t="str">
        <f t="shared" si="1"/>
        <v/>
      </c>
      <c r="J7" s="280" t="e">
        <f t="shared" ref="J7:J70" si="5">INT(LOG($H$2,2))-ROUNDUP(LOG(H7,2),0)+IF(OR($H$2=1,$H$2=2,$H$2=4,$H$2=8,$H$2=16,$H$2=32,$H$2=64,$H$2=128,$H$2=256),0,1)</f>
        <v>#NUM!</v>
      </c>
      <c r="K7" s="280" t="e">
        <f t="shared" si="2"/>
        <v>#NUM!</v>
      </c>
      <c r="L7" s="282">
        <f>2*K2</f>
        <v>0</v>
      </c>
      <c r="M7" s="282">
        <f t="shared" si="3"/>
        <v>0</v>
      </c>
    </row>
    <row r="8" spans="1:36" ht="14.45" customHeight="1" x14ac:dyDescent="0.25">
      <c r="A8" s="109">
        <f t="shared" si="4"/>
        <v>0</v>
      </c>
      <c r="B8" s="28" t="str">
        <f t="shared" si="0"/>
        <v/>
      </c>
      <c r="C8" s="29"/>
      <c r="D8" s="29"/>
      <c r="E8" s="29"/>
      <c r="F8" s="29"/>
      <c r="G8" s="22"/>
      <c r="H8" s="277">
        <v>3</v>
      </c>
      <c r="I8" s="278" t="str">
        <f t="shared" si="1"/>
        <v/>
      </c>
      <c r="J8" s="277" t="e">
        <f t="shared" si="5"/>
        <v>#NUM!</v>
      </c>
      <c r="K8" s="277" t="e">
        <f t="shared" si="2"/>
        <v>#NUM!</v>
      </c>
      <c r="L8" s="279">
        <f>K2</f>
        <v>0</v>
      </c>
      <c r="M8" s="279">
        <f t="shared" si="3"/>
        <v>0</v>
      </c>
    </row>
    <row r="9" spans="1:36" s="268" customFormat="1" ht="14.45" customHeight="1" x14ac:dyDescent="0.25">
      <c r="A9" s="110">
        <f t="shared" si="4"/>
        <v>0</v>
      </c>
      <c r="B9" s="34" t="str">
        <f t="shared" si="0"/>
        <v/>
      </c>
      <c r="C9" s="35"/>
      <c r="D9" s="35"/>
      <c r="E9" s="35"/>
      <c r="F9" s="35"/>
      <c r="G9" s="22"/>
      <c r="H9" s="280">
        <v>3</v>
      </c>
      <c r="I9" s="281" t="str">
        <f t="shared" si="1"/>
        <v/>
      </c>
      <c r="J9" s="280" t="e">
        <f t="shared" si="5"/>
        <v>#NUM!</v>
      </c>
      <c r="K9" s="280" t="e">
        <f t="shared" si="2"/>
        <v>#NUM!</v>
      </c>
      <c r="L9" s="282">
        <f>K2</f>
        <v>0</v>
      </c>
      <c r="M9" s="282">
        <f t="shared" si="3"/>
        <v>0</v>
      </c>
      <c r="N9" s="263"/>
      <c r="O9" s="263"/>
      <c r="P9" s="263"/>
      <c r="Q9" s="263"/>
      <c r="R9" s="263"/>
      <c r="V9" s="283"/>
      <c r="Z9" s="284"/>
      <c r="AA9" s="284"/>
      <c r="AG9" s="285"/>
      <c r="AH9" s="268" t="s">
        <v>50</v>
      </c>
      <c r="AI9" s="268">
        <v>23</v>
      </c>
    </row>
    <row r="10" spans="1:36" ht="14.45" customHeight="1" x14ac:dyDescent="0.25">
      <c r="A10" s="109">
        <f t="shared" si="4"/>
        <v>0</v>
      </c>
      <c r="B10" s="28" t="str">
        <f t="shared" si="0"/>
        <v/>
      </c>
      <c r="C10" s="29"/>
      <c r="D10" s="29"/>
      <c r="E10" s="29"/>
      <c r="F10" s="29"/>
      <c r="G10" s="22"/>
      <c r="H10" s="277">
        <v>5</v>
      </c>
      <c r="I10" s="278" t="str">
        <f t="shared" si="1"/>
        <v/>
      </c>
      <c r="J10" s="277" t="e">
        <f t="shared" si="5"/>
        <v>#NUM!</v>
      </c>
      <c r="K10" s="277" t="e">
        <f t="shared" si="2"/>
        <v>#NUM!</v>
      </c>
      <c r="L10" s="277"/>
      <c r="M10" s="279">
        <f t="shared" si="3"/>
        <v>0</v>
      </c>
      <c r="V10" s="283"/>
      <c r="Z10" s="284"/>
      <c r="AA10" s="284"/>
      <c r="AG10" s="285"/>
      <c r="AH10" s="268" t="s">
        <v>52</v>
      </c>
      <c r="AI10" s="268">
        <v>45</v>
      </c>
    </row>
    <row r="11" spans="1:36" ht="14.45" customHeight="1" x14ac:dyDescent="0.25">
      <c r="A11" s="110">
        <f t="shared" si="4"/>
        <v>0</v>
      </c>
      <c r="B11" s="34" t="str">
        <f t="shared" si="0"/>
        <v/>
      </c>
      <c r="C11" s="35"/>
      <c r="D11" s="35"/>
      <c r="E11" s="35"/>
      <c r="F11" s="35"/>
      <c r="G11" s="22"/>
      <c r="H11" s="280">
        <v>6</v>
      </c>
      <c r="I11" s="281" t="str">
        <f t="shared" si="1"/>
        <v/>
      </c>
      <c r="J11" s="280" t="e">
        <f t="shared" si="5"/>
        <v>#NUM!</v>
      </c>
      <c r="K11" s="280" t="e">
        <f t="shared" si="2"/>
        <v>#NUM!</v>
      </c>
      <c r="L11" s="280"/>
      <c r="M11" s="282">
        <f t="shared" si="3"/>
        <v>0</v>
      </c>
      <c r="V11" s="286"/>
      <c r="Z11" s="284"/>
      <c r="AA11" s="284"/>
      <c r="AG11" s="285"/>
      <c r="AH11" s="268" t="s">
        <v>53</v>
      </c>
      <c r="AI11" s="268">
        <v>50</v>
      </c>
    </row>
    <row r="12" spans="1:36" ht="14.45" customHeight="1" x14ac:dyDescent="0.25">
      <c r="A12" s="109">
        <f t="shared" si="4"/>
        <v>0</v>
      </c>
      <c r="B12" s="28" t="str">
        <f t="shared" si="0"/>
        <v/>
      </c>
      <c r="C12" s="29"/>
      <c r="D12" s="29"/>
      <c r="E12" s="29"/>
      <c r="F12" s="29"/>
      <c r="G12" s="22"/>
      <c r="H12" s="277">
        <v>7</v>
      </c>
      <c r="I12" s="278" t="str">
        <f t="shared" si="1"/>
        <v/>
      </c>
      <c r="J12" s="277" t="e">
        <f t="shared" si="5"/>
        <v>#NUM!</v>
      </c>
      <c r="K12" s="277" t="e">
        <f t="shared" si="2"/>
        <v>#NUM!</v>
      </c>
      <c r="L12" s="277"/>
      <c r="M12" s="279">
        <f t="shared" si="3"/>
        <v>0</v>
      </c>
      <c r="Z12" s="284"/>
      <c r="AA12" s="284"/>
      <c r="AG12" s="285"/>
      <c r="AH12" s="268" t="s">
        <v>54</v>
      </c>
      <c r="AI12" s="268">
        <f>AI11-1</f>
        <v>49</v>
      </c>
    </row>
    <row r="13" spans="1:36" ht="14.45" customHeight="1" x14ac:dyDescent="0.25">
      <c r="A13" s="110">
        <f t="shared" si="4"/>
        <v>0</v>
      </c>
      <c r="B13" s="34" t="str">
        <f t="shared" si="0"/>
        <v/>
      </c>
      <c r="C13" s="35"/>
      <c r="D13" s="35"/>
      <c r="E13" s="35"/>
      <c r="F13" s="35"/>
      <c r="G13" s="22"/>
      <c r="H13" s="280">
        <v>8</v>
      </c>
      <c r="I13" s="281" t="str">
        <f t="shared" si="1"/>
        <v/>
      </c>
      <c r="J13" s="280" t="e">
        <f t="shared" si="5"/>
        <v>#NUM!</v>
      </c>
      <c r="K13" s="280" t="e">
        <f t="shared" si="2"/>
        <v>#NUM!</v>
      </c>
      <c r="L13" s="280"/>
      <c r="M13" s="282">
        <f t="shared" si="3"/>
        <v>0</v>
      </c>
      <c r="X13" s="283"/>
      <c r="AG13" s="285"/>
      <c r="AH13" s="268" t="s">
        <v>55</v>
      </c>
      <c r="AI13" s="268">
        <f>LOG(AI9)</f>
        <v>1.3617278360175928</v>
      </c>
    </row>
    <row r="14" spans="1:36" x14ac:dyDescent="0.25">
      <c r="A14" s="109">
        <f t="shared" si="4"/>
        <v>0</v>
      </c>
      <c r="B14" s="28" t="str">
        <f t="shared" si="0"/>
        <v/>
      </c>
      <c r="C14" s="29"/>
      <c r="D14" s="29"/>
      <c r="E14" s="29"/>
      <c r="F14" s="29"/>
      <c r="G14" s="22"/>
      <c r="H14" s="277">
        <v>9</v>
      </c>
      <c r="I14" s="278" t="str">
        <f t="shared" si="1"/>
        <v/>
      </c>
      <c r="J14" s="277" t="e">
        <f t="shared" si="5"/>
        <v>#NUM!</v>
      </c>
      <c r="K14" s="277" t="e">
        <f t="shared" si="2"/>
        <v>#NUM!</v>
      </c>
      <c r="L14" s="277"/>
      <c r="M14" s="279">
        <f t="shared" si="3"/>
        <v>0</v>
      </c>
      <c r="X14" s="287"/>
      <c r="Z14" s="284"/>
      <c r="AA14" s="284"/>
      <c r="AG14" s="285"/>
      <c r="AH14" s="268" t="s">
        <v>56</v>
      </c>
      <c r="AI14" s="268">
        <f>LOG(AI10)</f>
        <v>1.6532125137753437</v>
      </c>
    </row>
    <row r="15" spans="1:36" x14ac:dyDescent="0.25">
      <c r="A15" s="110">
        <f t="shared" si="4"/>
        <v>0</v>
      </c>
      <c r="B15" s="34" t="str">
        <f t="shared" si="0"/>
        <v/>
      </c>
      <c r="C15" s="35"/>
      <c r="D15" s="35"/>
      <c r="E15" s="35"/>
      <c r="F15" s="35"/>
      <c r="G15" s="22"/>
      <c r="H15" s="280">
        <v>10</v>
      </c>
      <c r="I15" s="281" t="str">
        <f t="shared" si="1"/>
        <v/>
      </c>
      <c r="J15" s="280" t="e">
        <f t="shared" si="5"/>
        <v>#NUM!</v>
      </c>
      <c r="K15" s="280" t="e">
        <f t="shared" si="2"/>
        <v>#NUM!</v>
      </c>
      <c r="L15" s="280"/>
      <c r="M15" s="282">
        <f t="shared" si="3"/>
        <v>0</v>
      </c>
      <c r="X15" s="283"/>
      <c r="Z15" s="284"/>
      <c r="AA15" s="284"/>
    </row>
    <row r="16" spans="1:36" x14ac:dyDescent="0.25">
      <c r="A16" s="109">
        <f t="shared" si="4"/>
        <v>0</v>
      </c>
      <c r="B16" s="28" t="str">
        <f t="shared" si="0"/>
        <v/>
      </c>
      <c r="C16" s="29"/>
      <c r="D16" s="29"/>
      <c r="E16" s="29"/>
      <c r="F16" s="29"/>
      <c r="G16" s="22"/>
      <c r="H16" s="277">
        <v>11</v>
      </c>
      <c r="I16" s="278" t="str">
        <f t="shared" si="1"/>
        <v/>
      </c>
      <c r="J16" s="277" t="e">
        <f t="shared" si="5"/>
        <v>#NUM!</v>
      </c>
      <c r="K16" s="277" t="e">
        <f t="shared" si="2"/>
        <v>#NUM!</v>
      </c>
      <c r="L16" s="277"/>
      <c r="M16" s="279">
        <f t="shared" si="3"/>
        <v>0</v>
      </c>
      <c r="R16" s="288"/>
      <c r="Z16" s="284"/>
      <c r="AA16" s="284"/>
      <c r="AH16" s="289" t="s">
        <v>57</v>
      </c>
      <c r="AI16" s="268">
        <f>AI11-AI12*AI13/AI14</f>
        <v>9.6393909380186855</v>
      </c>
      <c r="AJ16" s="268" t="s">
        <v>58</v>
      </c>
    </row>
    <row r="17" spans="1:19" x14ac:dyDescent="0.25">
      <c r="A17" s="110">
        <f t="shared" si="4"/>
        <v>0</v>
      </c>
      <c r="B17" s="34" t="str">
        <f t="shared" si="0"/>
        <v/>
      </c>
      <c r="C17" s="35"/>
      <c r="D17" s="35"/>
      <c r="E17" s="35"/>
      <c r="F17" s="35"/>
      <c r="G17" s="22"/>
      <c r="H17" s="280">
        <v>12</v>
      </c>
      <c r="I17" s="281" t="str">
        <f t="shared" si="1"/>
        <v/>
      </c>
      <c r="J17" s="280" t="e">
        <f t="shared" si="5"/>
        <v>#NUM!</v>
      </c>
      <c r="K17" s="280" t="e">
        <f t="shared" si="2"/>
        <v>#NUM!</v>
      </c>
      <c r="L17" s="280"/>
      <c r="M17" s="282">
        <f t="shared" si="3"/>
        <v>0</v>
      </c>
    </row>
    <row r="18" spans="1:19" x14ac:dyDescent="0.25">
      <c r="A18" s="109">
        <f t="shared" si="4"/>
        <v>0</v>
      </c>
      <c r="B18" s="28" t="str">
        <f t="shared" si="0"/>
        <v/>
      </c>
      <c r="C18" s="29"/>
      <c r="D18" s="29"/>
      <c r="E18" s="29"/>
      <c r="F18" s="29"/>
      <c r="G18" s="22"/>
      <c r="H18" s="277">
        <v>13</v>
      </c>
      <c r="I18" s="278" t="str">
        <f t="shared" si="1"/>
        <v/>
      </c>
      <c r="J18" s="277" t="e">
        <f t="shared" si="5"/>
        <v>#NUM!</v>
      </c>
      <c r="K18" s="277" t="e">
        <f t="shared" si="2"/>
        <v>#NUM!</v>
      </c>
      <c r="L18" s="277"/>
      <c r="M18" s="279">
        <f t="shared" si="3"/>
        <v>0</v>
      </c>
    </row>
    <row r="19" spans="1:19" x14ac:dyDescent="0.25">
      <c r="A19" s="110">
        <f t="shared" si="4"/>
        <v>0</v>
      </c>
      <c r="B19" s="34" t="str">
        <f t="shared" si="0"/>
        <v/>
      </c>
      <c r="C19" s="35"/>
      <c r="D19" s="35"/>
      <c r="E19" s="35"/>
      <c r="F19" s="35"/>
      <c r="G19" s="22"/>
      <c r="H19" s="280">
        <v>14</v>
      </c>
      <c r="I19" s="281" t="str">
        <f t="shared" si="1"/>
        <v/>
      </c>
      <c r="J19" s="280" t="e">
        <f t="shared" si="5"/>
        <v>#NUM!</v>
      </c>
      <c r="K19" s="280" t="e">
        <f t="shared" si="2"/>
        <v>#NUM!</v>
      </c>
      <c r="L19" s="280"/>
      <c r="M19" s="282">
        <f t="shared" si="3"/>
        <v>0</v>
      </c>
    </row>
    <row r="20" spans="1:19" x14ac:dyDescent="0.25">
      <c r="A20" s="109">
        <f t="shared" si="4"/>
        <v>0</v>
      </c>
      <c r="B20" s="28" t="str">
        <f t="shared" si="0"/>
        <v/>
      </c>
      <c r="C20" s="29"/>
      <c r="D20" s="29"/>
      <c r="E20" s="29"/>
      <c r="F20" s="29"/>
      <c r="G20" s="22"/>
      <c r="H20" s="277">
        <v>15</v>
      </c>
      <c r="I20" s="278" t="str">
        <f t="shared" si="1"/>
        <v/>
      </c>
      <c r="J20" s="277" t="e">
        <f t="shared" si="5"/>
        <v>#NUM!</v>
      </c>
      <c r="K20" s="277" t="e">
        <f t="shared" si="2"/>
        <v>#NUM!</v>
      </c>
      <c r="L20" s="277"/>
      <c r="M20" s="279">
        <f t="shared" si="3"/>
        <v>0</v>
      </c>
      <c r="R20" s="290"/>
      <c r="S20" s="291"/>
    </row>
    <row r="21" spans="1:19" x14ac:dyDescent="0.25">
      <c r="A21" s="110">
        <f t="shared" si="4"/>
        <v>0</v>
      </c>
      <c r="B21" s="34" t="str">
        <f t="shared" si="0"/>
        <v/>
      </c>
      <c r="C21" s="35"/>
      <c r="D21" s="35"/>
      <c r="E21" s="35"/>
      <c r="F21" s="35"/>
      <c r="G21" s="22"/>
      <c r="H21" s="280">
        <v>16</v>
      </c>
      <c r="I21" s="281" t="str">
        <f t="shared" si="1"/>
        <v/>
      </c>
      <c r="J21" s="280" t="e">
        <f t="shared" si="5"/>
        <v>#NUM!</v>
      </c>
      <c r="K21" s="280" t="e">
        <f t="shared" si="2"/>
        <v>#NUM!</v>
      </c>
      <c r="L21" s="280"/>
      <c r="M21" s="282">
        <f t="shared" si="3"/>
        <v>0</v>
      </c>
    </row>
    <row r="22" spans="1:19" x14ac:dyDescent="0.25">
      <c r="A22" s="109">
        <f t="shared" si="4"/>
        <v>0</v>
      </c>
      <c r="B22" s="28" t="str">
        <f t="shared" si="0"/>
        <v/>
      </c>
      <c r="C22" s="29"/>
      <c r="D22" s="29"/>
      <c r="E22" s="29"/>
      <c r="F22" s="29"/>
      <c r="G22" s="22"/>
      <c r="H22" s="277">
        <v>17</v>
      </c>
      <c r="I22" s="278" t="str">
        <f t="shared" si="1"/>
        <v/>
      </c>
      <c r="J22" s="277" t="e">
        <f t="shared" si="5"/>
        <v>#NUM!</v>
      </c>
      <c r="K22" s="277" t="e">
        <f t="shared" si="2"/>
        <v>#NUM!</v>
      </c>
      <c r="L22" s="277"/>
      <c r="M22" s="279">
        <f t="shared" si="3"/>
        <v>0</v>
      </c>
    </row>
    <row r="23" spans="1:19" x14ac:dyDescent="0.25">
      <c r="A23" s="110">
        <f t="shared" si="4"/>
        <v>0</v>
      </c>
      <c r="B23" s="34" t="str">
        <f t="shared" si="0"/>
        <v/>
      </c>
      <c r="C23" s="35"/>
      <c r="D23" s="35"/>
      <c r="E23" s="35"/>
      <c r="F23" s="35"/>
      <c r="G23" s="22"/>
      <c r="H23" s="280">
        <v>18</v>
      </c>
      <c r="I23" s="281" t="str">
        <f t="shared" si="1"/>
        <v/>
      </c>
      <c r="J23" s="280" t="e">
        <f t="shared" si="5"/>
        <v>#NUM!</v>
      </c>
      <c r="K23" s="280" t="e">
        <f t="shared" si="2"/>
        <v>#NUM!</v>
      </c>
      <c r="L23" s="280"/>
      <c r="M23" s="282">
        <f t="shared" si="3"/>
        <v>0</v>
      </c>
    </row>
    <row r="24" spans="1:19" x14ac:dyDescent="0.25">
      <c r="A24" s="109">
        <f t="shared" si="4"/>
        <v>0</v>
      </c>
      <c r="B24" s="28" t="str">
        <f t="shared" si="0"/>
        <v/>
      </c>
      <c r="C24" s="29"/>
      <c r="D24" s="29"/>
      <c r="E24" s="29"/>
      <c r="F24" s="29"/>
      <c r="G24" s="22"/>
      <c r="H24" s="277">
        <v>19</v>
      </c>
      <c r="I24" s="278" t="str">
        <f t="shared" si="1"/>
        <v/>
      </c>
      <c r="J24" s="277" t="e">
        <f t="shared" si="5"/>
        <v>#NUM!</v>
      </c>
      <c r="K24" s="277" t="e">
        <f t="shared" si="2"/>
        <v>#NUM!</v>
      </c>
      <c r="L24" s="277"/>
      <c r="M24" s="279">
        <f t="shared" si="3"/>
        <v>0</v>
      </c>
      <c r="R24" s="290"/>
      <c r="S24" s="291"/>
    </row>
    <row r="25" spans="1:19" x14ac:dyDescent="0.25">
      <c r="A25" s="110">
        <f t="shared" si="4"/>
        <v>0</v>
      </c>
      <c r="B25" s="34" t="str">
        <f t="shared" si="0"/>
        <v/>
      </c>
      <c r="C25" s="35"/>
      <c r="D25" s="35"/>
      <c r="E25" s="35"/>
      <c r="F25" s="35"/>
      <c r="G25" s="22"/>
      <c r="H25" s="280">
        <v>20</v>
      </c>
      <c r="I25" s="281" t="str">
        <f t="shared" si="1"/>
        <v/>
      </c>
      <c r="J25" s="280" t="e">
        <f t="shared" si="5"/>
        <v>#NUM!</v>
      </c>
      <c r="K25" s="280" t="e">
        <f t="shared" si="2"/>
        <v>#NUM!</v>
      </c>
      <c r="L25" s="280"/>
      <c r="M25" s="282">
        <f t="shared" si="3"/>
        <v>0</v>
      </c>
    </row>
    <row r="26" spans="1:19" x14ac:dyDescent="0.25">
      <c r="A26" s="109">
        <f t="shared" si="4"/>
        <v>0</v>
      </c>
      <c r="B26" s="28" t="str">
        <f t="shared" si="0"/>
        <v/>
      </c>
      <c r="C26" s="29"/>
      <c r="D26" s="29"/>
      <c r="E26" s="29"/>
      <c r="F26" s="29"/>
      <c r="G26" s="22"/>
      <c r="H26" s="277">
        <v>21</v>
      </c>
      <c r="I26" s="278" t="str">
        <f t="shared" si="1"/>
        <v/>
      </c>
      <c r="J26" s="277" t="e">
        <f t="shared" si="5"/>
        <v>#NUM!</v>
      </c>
      <c r="K26" s="277" t="e">
        <f t="shared" si="2"/>
        <v>#NUM!</v>
      </c>
      <c r="L26" s="277"/>
      <c r="M26" s="279">
        <f t="shared" si="3"/>
        <v>0</v>
      </c>
    </row>
    <row r="27" spans="1:19" x14ac:dyDescent="0.25">
      <c r="A27" s="110">
        <f t="shared" si="4"/>
        <v>0</v>
      </c>
      <c r="B27" s="34" t="str">
        <f t="shared" si="0"/>
        <v/>
      </c>
      <c r="C27" s="35"/>
      <c r="D27" s="35"/>
      <c r="E27" s="35"/>
      <c r="F27" s="35"/>
      <c r="G27" s="22"/>
      <c r="H27" s="280">
        <v>22</v>
      </c>
      <c r="I27" s="281" t="str">
        <f t="shared" si="1"/>
        <v/>
      </c>
      <c r="J27" s="280" t="e">
        <f t="shared" si="5"/>
        <v>#NUM!</v>
      </c>
      <c r="K27" s="280" t="e">
        <f t="shared" si="2"/>
        <v>#NUM!</v>
      </c>
      <c r="L27" s="280"/>
      <c r="M27" s="282">
        <f t="shared" si="3"/>
        <v>0</v>
      </c>
    </row>
    <row r="28" spans="1:19" x14ac:dyDescent="0.25">
      <c r="A28" s="109">
        <f t="shared" si="4"/>
        <v>0</v>
      </c>
      <c r="B28" s="28" t="str">
        <f t="shared" si="0"/>
        <v/>
      </c>
      <c r="C28" s="29"/>
      <c r="D28" s="29"/>
      <c r="E28" s="29"/>
      <c r="F28" s="29"/>
      <c r="G28" s="22"/>
      <c r="H28" s="277">
        <v>23</v>
      </c>
      <c r="I28" s="278" t="str">
        <f t="shared" si="1"/>
        <v/>
      </c>
      <c r="J28" s="277" t="e">
        <f t="shared" si="5"/>
        <v>#NUM!</v>
      </c>
      <c r="K28" s="277" t="e">
        <f t="shared" si="2"/>
        <v>#NUM!</v>
      </c>
      <c r="L28" s="277"/>
      <c r="M28" s="279">
        <f t="shared" si="3"/>
        <v>0</v>
      </c>
      <c r="R28" s="290"/>
      <c r="S28" s="291"/>
    </row>
    <row r="29" spans="1:19" x14ac:dyDescent="0.25">
      <c r="A29" s="110">
        <f t="shared" si="4"/>
        <v>0</v>
      </c>
      <c r="B29" s="34" t="str">
        <f t="shared" si="0"/>
        <v/>
      </c>
      <c r="C29" s="35"/>
      <c r="D29" s="35"/>
      <c r="E29" s="35"/>
      <c r="F29" s="35"/>
      <c r="G29" s="263"/>
      <c r="H29" s="280">
        <v>24</v>
      </c>
      <c r="I29" s="281" t="str">
        <f t="shared" si="1"/>
        <v/>
      </c>
      <c r="J29" s="280" t="e">
        <f t="shared" si="5"/>
        <v>#NUM!</v>
      </c>
      <c r="K29" s="280" t="e">
        <f t="shared" si="2"/>
        <v>#NUM!</v>
      </c>
      <c r="L29" s="280"/>
      <c r="M29" s="282">
        <f t="shared" si="3"/>
        <v>0</v>
      </c>
    </row>
    <row r="30" spans="1:19" x14ac:dyDescent="0.25">
      <c r="A30" s="109">
        <f t="shared" si="4"/>
        <v>0</v>
      </c>
      <c r="B30" s="28" t="str">
        <f t="shared" si="0"/>
        <v/>
      </c>
      <c r="C30" s="29"/>
      <c r="D30" s="29"/>
      <c r="E30" s="29"/>
      <c r="F30" s="29"/>
      <c r="G30" s="263"/>
      <c r="H30" s="277">
        <v>25</v>
      </c>
      <c r="I30" s="278" t="str">
        <f t="shared" si="1"/>
        <v/>
      </c>
      <c r="J30" s="277" t="e">
        <f t="shared" si="5"/>
        <v>#NUM!</v>
      </c>
      <c r="K30" s="277" t="e">
        <f t="shared" si="2"/>
        <v>#NUM!</v>
      </c>
      <c r="L30" s="277"/>
      <c r="M30" s="279">
        <f t="shared" si="3"/>
        <v>0</v>
      </c>
    </row>
    <row r="31" spans="1:19" x14ac:dyDescent="0.25">
      <c r="A31" s="110">
        <f t="shared" si="4"/>
        <v>0</v>
      </c>
      <c r="B31" s="34" t="str">
        <f t="shared" si="0"/>
        <v/>
      </c>
      <c r="C31" s="35"/>
      <c r="D31" s="35"/>
      <c r="E31" s="35"/>
      <c r="F31" s="35"/>
      <c r="G31" s="263"/>
      <c r="H31" s="280">
        <v>26</v>
      </c>
      <c r="I31" s="281" t="str">
        <f t="shared" si="1"/>
        <v/>
      </c>
      <c r="J31" s="280" t="e">
        <f t="shared" si="5"/>
        <v>#NUM!</v>
      </c>
      <c r="K31" s="280" t="e">
        <f t="shared" si="2"/>
        <v>#NUM!</v>
      </c>
      <c r="L31" s="280"/>
      <c r="M31" s="282">
        <f t="shared" si="3"/>
        <v>0</v>
      </c>
    </row>
    <row r="32" spans="1:19" x14ac:dyDescent="0.25">
      <c r="A32" s="109">
        <f t="shared" si="4"/>
        <v>0</v>
      </c>
      <c r="B32" s="28" t="str">
        <f t="shared" si="0"/>
        <v/>
      </c>
      <c r="C32" s="29"/>
      <c r="D32" s="29"/>
      <c r="E32" s="29"/>
      <c r="F32" s="29"/>
      <c r="G32" s="263"/>
      <c r="H32" s="277">
        <v>27</v>
      </c>
      <c r="I32" s="278" t="str">
        <f t="shared" si="1"/>
        <v/>
      </c>
      <c r="J32" s="277" t="e">
        <f t="shared" si="5"/>
        <v>#NUM!</v>
      </c>
      <c r="K32" s="277" t="e">
        <f t="shared" si="2"/>
        <v>#NUM!</v>
      </c>
      <c r="L32" s="277"/>
      <c r="M32" s="279">
        <f t="shared" si="3"/>
        <v>0</v>
      </c>
      <c r="R32" s="290"/>
      <c r="S32" s="291"/>
    </row>
    <row r="33" spans="1:19" x14ac:dyDescent="0.25">
      <c r="A33" s="110">
        <f t="shared" si="4"/>
        <v>0</v>
      </c>
      <c r="B33" s="34" t="str">
        <f t="shared" si="0"/>
        <v/>
      </c>
      <c r="C33" s="35"/>
      <c r="D33" s="35"/>
      <c r="E33" s="35"/>
      <c r="F33" s="35"/>
      <c r="G33" s="263"/>
      <c r="H33" s="280">
        <v>28</v>
      </c>
      <c r="I33" s="281" t="str">
        <f t="shared" si="1"/>
        <v/>
      </c>
      <c r="J33" s="280" t="e">
        <f t="shared" si="5"/>
        <v>#NUM!</v>
      </c>
      <c r="K33" s="280" t="e">
        <f t="shared" si="2"/>
        <v>#NUM!</v>
      </c>
      <c r="L33" s="280"/>
      <c r="M33" s="282">
        <f t="shared" si="3"/>
        <v>0</v>
      </c>
    </row>
    <row r="34" spans="1:19" x14ac:dyDescent="0.25">
      <c r="A34" s="109">
        <f t="shared" si="4"/>
        <v>0</v>
      </c>
      <c r="B34" s="28" t="str">
        <f t="shared" si="0"/>
        <v/>
      </c>
      <c r="C34" s="29"/>
      <c r="D34" s="29"/>
      <c r="E34" s="29"/>
      <c r="F34" s="29"/>
      <c r="G34" s="263"/>
      <c r="H34" s="277">
        <v>29</v>
      </c>
      <c r="I34" s="278" t="str">
        <f t="shared" si="1"/>
        <v/>
      </c>
      <c r="J34" s="277" t="e">
        <f t="shared" si="5"/>
        <v>#NUM!</v>
      </c>
      <c r="K34" s="277" t="e">
        <f t="shared" si="2"/>
        <v>#NUM!</v>
      </c>
      <c r="L34" s="277"/>
      <c r="M34" s="279">
        <f t="shared" si="3"/>
        <v>0</v>
      </c>
    </row>
    <row r="35" spans="1:19" x14ac:dyDescent="0.25">
      <c r="A35" s="110">
        <f t="shared" si="4"/>
        <v>0</v>
      </c>
      <c r="B35" s="34" t="str">
        <f t="shared" si="0"/>
        <v/>
      </c>
      <c r="C35" s="35"/>
      <c r="D35" s="35"/>
      <c r="E35" s="35"/>
      <c r="F35" s="35"/>
      <c r="G35" s="263"/>
      <c r="H35" s="280">
        <v>30</v>
      </c>
      <c r="I35" s="281" t="str">
        <f t="shared" si="1"/>
        <v/>
      </c>
      <c r="J35" s="280" t="e">
        <f t="shared" si="5"/>
        <v>#NUM!</v>
      </c>
      <c r="K35" s="280" t="e">
        <f t="shared" si="2"/>
        <v>#NUM!</v>
      </c>
      <c r="L35" s="280"/>
      <c r="M35" s="282">
        <f t="shared" si="3"/>
        <v>0</v>
      </c>
    </row>
    <row r="36" spans="1:19" x14ac:dyDescent="0.25">
      <c r="A36" s="109">
        <f t="shared" si="4"/>
        <v>0</v>
      </c>
      <c r="B36" s="28" t="str">
        <f t="shared" si="0"/>
        <v/>
      </c>
      <c r="C36" s="29"/>
      <c r="D36" s="29"/>
      <c r="E36" s="29"/>
      <c r="F36" s="29"/>
      <c r="G36" s="263"/>
      <c r="H36" s="277">
        <v>31</v>
      </c>
      <c r="I36" s="278" t="str">
        <f t="shared" si="1"/>
        <v/>
      </c>
      <c r="J36" s="277" t="e">
        <f t="shared" si="5"/>
        <v>#NUM!</v>
      </c>
      <c r="K36" s="277" t="e">
        <f t="shared" si="2"/>
        <v>#NUM!</v>
      </c>
      <c r="L36" s="277"/>
      <c r="M36" s="279">
        <f t="shared" si="3"/>
        <v>0</v>
      </c>
      <c r="R36" s="290"/>
      <c r="S36" s="291"/>
    </row>
    <row r="37" spans="1:19" x14ac:dyDescent="0.25">
      <c r="A37" s="110">
        <f t="shared" si="4"/>
        <v>0</v>
      </c>
      <c r="B37" s="34" t="str">
        <f t="shared" si="0"/>
        <v/>
      </c>
      <c r="C37" s="35"/>
      <c r="D37" s="35"/>
      <c r="E37" s="35"/>
      <c r="F37" s="35"/>
      <c r="G37" s="263"/>
      <c r="H37" s="280">
        <v>32</v>
      </c>
      <c r="I37" s="281" t="str">
        <f t="shared" si="1"/>
        <v/>
      </c>
      <c r="J37" s="280" t="e">
        <f t="shared" si="5"/>
        <v>#NUM!</v>
      </c>
      <c r="K37" s="280" t="e">
        <f t="shared" si="2"/>
        <v>#NUM!</v>
      </c>
      <c r="L37" s="280"/>
      <c r="M37" s="282">
        <f t="shared" si="3"/>
        <v>0</v>
      </c>
    </row>
    <row r="38" spans="1:19" x14ac:dyDescent="0.25">
      <c r="A38" s="109">
        <f t="shared" si="4"/>
        <v>0</v>
      </c>
      <c r="B38" s="28" t="str">
        <f t="shared" si="0"/>
        <v/>
      </c>
      <c r="C38" s="29"/>
      <c r="D38" s="29"/>
      <c r="E38" s="29"/>
      <c r="F38" s="29"/>
      <c r="G38" s="263"/>
      <c r="H38" s="277">
        <v>33</v>
      </c>
      <c r="I38" s="278" t="str">
        <f t="shared" si="1"/>
        <v/>
      </c>
      <c r="J38" s="277" t="e">
        <f t="shared" si="5"/>
        <v>#NUM!</v>
      </c>
      <c r="K38" s="277" t="e">
        <f t="shared" si="2"/>
        <v>#NUM!</v>
      </c>
      <c r="L38" s="277"/>
      <c r="M38" s="279">
        <f t="shared" si="3"/>
        <v>0</v>
      </c>
    </row>
    <row r="39" spans="1:19" x14ac:dyDescent="0.25">
      <c r="A39" s="110">
        <f t="shared" si="4"/>
        <v>0</v>
      </c>
      <c r="B39" s="34" t="str">
        <f t="shared" si="0"/>
        <v/>
      </c>
      <c r="C39" s="35"/>
      <c r="D39" s="35"/>
      <c r="E39" s="35"/>
      <c r="F39" s="35"/>
      <c r="G39" s="263"/>
      <c r="H39" s="280">
        <v>34</v>
      </c>
      <c r="I39" s="281" t="str">
        <f t="shared" si="1"/>
        <v/>
      </c>
      <c r="J39" s="280" t="e">
        <f t="shared" si="5"/>
        <v>#NUM!</v>
      </c>
      <c r="K39" s="280" t="e">
        <f t="shared" si="2"/>
        <v>#NUM!</v>
      </c>
      <c r="L39" s="280"/>
      <c r="M39" s="282">
        <f t="shared" si="3"/>
        <v>0</v>
      </c>
    </row>
    <row r="40" spans="1:19" x14ac:dyDescent="0.25">
      <c r="A40" s="109">
        <f t="shared" si="4"/>
        <v>0</v>
      </c>
      <c r="B40" s="28" t="str">
        <f t="shared" si="0"/>
        <v/>
      </c>
      <c r="C40" s="29"/>
      <c r="D40" s="29"/>
      <c r="E40" s="29"/>
      <c r="F40" s="29"/>
      <c r="G40" s="263"/>
      <c r="H40" s="277">
        <v>35</v>
      </c>
      <c r="I40" s="278" t="str">
        <f t="shared" si="1"/>
        <v/>
      </c>
      <c r="J40" s="277" t="e">
        <f t="shared" si="5"/>
        <v>#NUM!</v>
      </c>
      <c r="K40" s="277" t="e">
        <f t="shared" si="2"/>
        <v>#NUM!</v>
      </c>
      <c r="L40" s="277"/>
      <c r="M40" s="279">
        <f t="shared" si="3"/>
        <v>0</v>
      </c>
    </row>
    <row r="41" spans="1:19" x14ac:dyDescent="0.25">
      <c r="A41" s="110">
        <f t="shared" si="4"/>
        <v>0</v>
      </c>
      <c r="B41" s="34" t="str">
        <f t="shared" si="0"/>
        <v/>
      </c>
      <c r="C41" s="35"/>
      <c r="D41" s="35"/>
      <c r="E41" s="35"/>
      <c r="F41" s="35"/>
      <c r="G41" s="263"/>
      <c r="H41" s="280">
        <v>36</v>
      </c>
      <c r="I41" s="281" t="str">
        <f t="shared" si="1"/>
        <v/>
      </c>
      <c r="J41" s="280" t="e">
        <f t="shared" si="5"/>
        <v>#NUM!</v>
      </c>
      <c r="K41" s="280" t="e">
        <f t="shared" si="2"/>
        <v>#NUM!</v>
      </c>
      <c r="L41" s="280"/>
      <c r="M41" s="282">
        <f t="shared" si="3"/>
        <v>0</v>
      </c>
      <c r="S41" s="292"/>
    </row>
    <row r="42" spans="1:19" x14ac:dyDescent="0.25">
      <c r="A42" s="109">
        <f t="shared" si="4"/>
        <v>0</v>
      </c>
      <c r="B42" s="28" t="str">
        <f t="shared" si="0"/>
        <v/>
      </c>
      <c r="C42" s="29"/>
      <c r="D42" s="29"/>
      <c r="E42" s="29"/>
      <c r="F42" s="29"/>
      <c r="G42" s="263"/>
      <c r="H42" s="277">
        <v>37</v>
      </c>
      <c r="I42" s="278" t="str">
        <f t="shared" si="1"/>
        <v/>
      </c>
      <c r="J42" s="277" t="e">
        <f t="shared" si="5"/>
        <v>#NUM!</v>
      </c>
      <c r="K42" s="277" t="e">
        <f t="shared" si="2"/>
        <v>#NUM!</v>
      </c>
      <c r="L42" s="277"/>
      <c r="M42" s="279">
        <f t="shared" si="3"/>
        <v>0</v>
      </c>
    </row>
    <row r="43" spans="1:19" x14ac:dyDescent="0.25">
      <c r="A43" s="110">
        <f t="shared" si="4"/>
        <v>0</v>
      </c>
      <c r="B43" s="34" t="str">
        <f t="shared" si="0"/>
        <v/>
      </c>
      <c r="C43" s="35"/>
      <c r="D43" s="35"/>
      <c r="E43" s="35"/>
      <c r="F43" s="35"/>
      <c r="G43" s="263"/>
      <c r="H43" s="280">
        <v>38</v>
      </c>
      <c r="I43" s="281" t="str">
        <f t="shared" si="1"/>
        <v/>
      </c>
      <c r="J43" s="280" t="e">
        <f t="shared" si="5"/>
        <v>#NUM!</v>
      </c>
      <c r="K43" s="280" t="e">
        <f t="shared" si="2"/>
        <v>#NUM!</v>
      </c>
      <c r="L43" s="280"/>
      <c r="M43" s="282">
        <f t="shared" si="3"/>
        <v>0</v>
      </c>
    </row>
    <row r="44" spans="1:19" x14ac:dyDescent="0.25">
      <c r="A44" s="109">
        <f t="shared" si="4"/>
        <v>0</v>
      </c>
      <c r="B44" s="28" t="str">
        <f t="shared" si="0"/>
        <v/>
      </c>
      <c r="C44" s="29"/>
      <c r="D44" s="29"/>
      <c r="E44" s="29"/>
      <c r="F44" s="29"/>
      <c r="G44" s="263"/>
      <c r="H44" s="277">
        <v>39</v>
      </c>
      <c r="I44" s="278" t="str">
        <f t="shared" si="1"/>
        <v/>
      </c>
      <c r="J44" s="277" t="e">
        <f t="shared" si="5"/>
        <v>#NUM!</v>
      </c>
      <c r="K44" s="277" t="e">
        <f t="shared" si="2"/>
        <v>#NUM!</v>
      </c>
      <c r="L44" s="277"/>
      <c r="M44" s="279">
        <f t="shared" si="3"/>
        <v>0</v>
      </c>
    </row>
    <row r="45" spans="1:19" x14ac:dyDescent="0.25">
      <c r="A45" s="110">
        <f t="shared" si="4"/>
        <v>0</v>
      </c>
      <c r="B45" s="34" t="str">
        <f t="shared" si="0"/>
        <v/>
      </c>
      <c r="C45" s="35"/>
      <c r="D45" s="35"/>
      <c r="E45" s="35"/>
      <c r="F45" s="35"/>
      <c r="G45" s="263"/>
      <c r="H45" s="280">
        <v>40</v>
      </c>
      <c r="I45" s="281" t="str">
        <f t="shared" si="1"/>
        <v/>
      </c>
      <c r="J45" s="280" t="e">
        <f t="shared" si="5"/>
        <v>#NUM!</v>
      </c>
      <c r="K45" s="280" t="e">
        <f t="shared" si="2"/>
        <v>#NUM!</v>
      </c>
      <c r="L45" s="280"/>
      <c r="M45" s="282">
        <f t="shared" si="3"/>
        <v>0</v>
      </c>
    </row>
    <row r="46" spans="1:19" x14ac:dyDescent="0.25">
      <c r="A46" s="109">
        <f t="shared" si="4"/>
        <v>0</v>
      </c>
      <c r="B46" s="28" t="str">
        <f t="shared" si="0"/>
        <v/>
      </c>
      <c r="C46" s="29"/>
      <c r="D46" s="29"/>
      <c r="E46" s="29"/>
      <c r="F46" s="29"/>
      <c r="G46" s="263"/>
      <c r="H46" s="277">
        <v>41</v>
      </c>
      <c r="I46" s="278" t="str">
        <f t="shared" si="1"/>
        <v/>
      </c>
      <c r="J46" s="277" t="e">
        <f t="shared" si="5"/>
        <v>#NUM!</v>
      </c>
      <c r="K46" s="277" t="e">
        <f t="shared" si="2"/>
        <v>#NUM!</v>
      </c>
      <c r="L46" s="277"/>
      <c r="M46" s="279">
        <f t="shared" si="3"/>
        <v>0</v>
      </c>
    </row>
    <row r="47" spans="1:19" x14ac:dyDescent="0.25">
      <c r="A47" s="110">
        <f t="shared" si="4"/>
        <v>0</v>
      </c>
      <c r="B47" s="34" t="str">
        <f t="shared" si="0"/>
        <v/>
      </c>
      <c r="C47" s="35"/>
      <c r="D47" s="35"/>
      <c r="E47" s="35"/>
      <c r="F47" s="35"/>
      <c r="G47" s="263"/>
      <c r="H47" s="280">
        <v>42</v>
      </c>
      <c r="I47" s="281" t="str">
        <f t="shared" si="1"/>
        <v/>
      </c>
      <c r="J47" s="280" t="e">
        <f t="shared" si="5"/>
        <v>#NUM!</v>
      </c>
      <c r="K47" s="280" t="e">
        <f t="shared" si="2"/>
        <v>#NUM!</v>
      </c>
      <c r="L47" s="280"/>
      <c r="M47" s="282">
        <f t="shared" si="3"/>
        <v>0</v>
      </c>
    </row>
    <row r="48" spans="1:19" x14ac:dyDescent="0.25">
      <c r="A48" s="109">
        <f t="shared" si="4"/>
        <v>0</v>
      </c>
      <c r="B48" s="28" t="str">
        <f t="shared" si="0"/>
        <v/>
      </c>
      <c r="C48" s="29"/>
      <c r="D48" s="29"/>
      <c r="E48" s="29"/>
      <c r="F48" s="29"/>
      <c r="G48" s="263"/>
      <c r="H48" s="277">
        <v>43</v>
      </c>
      <c r="I48" s="278" t="str">
        <f t="shared" si="1"/>
        <v/>
      </c>
      <c r="J48" s="277" t="e">
        <f t="shared" si="5"/>
        <v>#NUM!</v>
      </c>
      <c r="K48" s="277" t="e">
        <f t="shared" si="2"/>
        <v>#NUM!</v>
      </c>
      <c r="L48" s="277"/>
      <c r="M48" s="279">
        <f t="shared" si="3"/>
        <v>0</v>
      </c>
    </row>
    <row r="49" spans="1:38" x14ac:dyDescent="0.25">
      <c r="A49" s="110">
        <f t="shared" si="4"/>
        <v>0</v>
      </c>
      <c r="B49" s="34" t="str">
        <f t="shared" si="0"/>
        <v/>
      </c>
      <c r="C49" s="35"/>
      <c r="D49" s="35"/>
      <c r="E49" s="35"/>
      <c r="F49" s="35"/>
      <c r="G49" s="263"/>
      <c r="H49" s="280">
        <v>44</v>
      </c>
      <c r="I49" s="281" t="str">
        <f t="shared" si="1"/>
        <v/>
      </c>
      <c r="J49" s="280" t="e">
        <f t="shared" si="5"/>
        <v>#NUM!</v>
      </c>
      <c r="K49" s="280" t="e">
        <f t="shared" si="2"/>
        <v>#NUM!</v>
      </c>
      <c r="L49" s="280"/>
      <c r="M49" s="282">
        <f t="shared" si="3"/>
        <v>0</v>
      </c>
    </row>
    <row r="50" spans="1:38" x14ac:dyDescent="0.25">
      <c r="A50" s="109">
        <f t="shared" si="4"/>
        <v>0</v>
      </c>
      <c r="B50" s="28" t="str">
        <f t="shared" si="0"/>
        <v/>
      </c>
      <c r="C50" s="29"/>
      <c r="D50" s="29"/>
      <c r="E50" s="29"/>
      <c r="F50" s="29"/>
      <c r="G50" s="263"/>
      <c r="H50" s="277">
        <v>45</v>
      </c>
      <c r="I50" s="278" t="str">
        <f t="shared" si="1"/>
        <v/>
      </c>
      <c r="J50" s="277" t="e">
        <f t="shared" si="5"/>
        <v>#NUM!</v>
      </c>
      <c r="K50" s="277" t="e">
        <f t="shared" si="2"/>
        <v>#NUM!</v>
      </c>
      <c r="L50" s="277"/>
      <c r="M50" s="279">
        <f t="shared" si="3"/>
        <v>0</v>
      </c>
    </row>
    <row r="51" spans="1:38" x14ac:dyDescent="0.25">
      <c r="A51" s="110">
        <f t="shared" si="4"/>
        <v>0</v>
      </c>
      <c r="B51" s="34" t="str">
        <f t="shared" si="0"/>
        <v/>
      </c>
      <c r="C51" s="35"/>
      <c r="D51" s="35"/>
      <c r="E51" s="35"/>
      <c r="F51" s="35"/>
      <c r="G51" s="263"/>
      <c r="H51" s="280">
        <v>46</v>
      </c>
      <c r="I51" s="281" t="str">
        <f t="shared" si="1"/>
        <v/>
      </c>
      <c r="J51" s="280" t="e">
        <f t="shared" si="5"/>
        <v>#NUM!</v>
      </c>
      <c r="K51" s="280" t="e">
        <f t="shared" si="2"/>
        <v>#NUM!</v>
      </c>
      <c r="L51" s="280"/>
      <c r="M51" s="282">
        <f t="shared" si="3"/>
        <v>0</v>
      </c>
    </row>
    <row r="52" spans="1:38" x14ac:dyDescent="0.25">
      <c r="A52" s="109">
        <f t="shared" si="4"/>
        <v>0</v>
      </c>
      <c r="B52" s="28" t="str">
        <f t="shared" si="0"/>
        <v/>
      </c>
      <c r="C52" s="29"/>
      <c r="D52" s="29"/>
      <c r="E52" s="29"/>
      <c r="F52" s="29"/>
      <c r="G52" s="263"/>
      <c r="H52" s="277">
        <v>47</v>
      </c>
      <c r="I52" s="278" t="str">
        <f t="shared" si="1"/>
        <v/>
      </c>
      <c r="J52" s="277" t="e">
        <f t="shared" si="5"/>
        <v>#NUM!</v>
      </c>
      <c r="K52" s="277" t="e">
        <f t="shared" si="2"/>
        <v>#NUM!</v>
      </c>
      <c r="L52" s="277"/>
      <c r="M52" s="279">
        <f t="shared" si="3"/>
        <v>0</v>
      </c>
    </row>
    <row r="53" spans="1:38" x14ac:dyDescent="0.25">
      <c r="A53" s="110">
        <f t="shared" si="4"/>
        <v>0</v>
      </c>
      <c r="B53" s="34" t="str">
        <f t="shared" si="0"/>
        <v/>
      </c>
      <c r="C53" s="35"/>
      <c r="D53" s="35"/>
      <c r="E53" s="35"/>
      <c r="F53" s="35"/>
      <c r="G53" s="263"/>
      <c r="H53" s="280">
        <v>48</v>
      </c>
      <c r="I53" s="281" t="str">
        <f t="shared" si="1"/>
        <v/>
      </c>
      <c r="J53" s="280" t="e">
        <f t="shared" si="5"/>
        <v>#NUM!</v>
      </c>
      <c r="K53" s="280" t="e">
        <f t="shared" si="2"/>
        <v>#NUM!</v>
      </c>
      <c r="L53" s="280"/>
      <c r="M53" s="282">
        <f t="shared" si="3"/>
        <v>0</v>
      </c>
    </row>
    <row r="54" spans="1:38" x14ac:dyDescent="0.25">
      <c r="A54" s="109">
        <f t="shared" si="4"/>
        <v>0</v>
      </c>
      <c r="B54" s="28" t="str">
        <f t="shared" si="0"/>
        <v/>
      </c>
      <c r="C54" s="29"/>
      <c r="D54" s="29"/>
      <c r="E54" s="29"/>
      <c r="F54" s="29"/>
      <c r="G54" s="263"/>
      <c r="H54" s="277">
        <v>49</v>
      </c>
      <c r="I54" s="278" t="str">
        <f t="shared" si="1"/>
        <v/>
      </c>
      <c r="J54" s="277" t="e">
        <f t="shared" si="5"/>
        <v>#NUM!</v>
      </c>
      <c r="K54" s="277" t="e">
        <f t="shared" si="2"/>
        <v>#NUM!</v>
      </c>
      <c r="L54" s="277"/>
      <c r="M54" s="279">
        <f t="shared" si="3"/>
        <v>0</v>
      </c>
    </row>
    <row r="55" spans="1:38" x14ac:dyDescent="0.25">
      <c r="A55" s="110">
        <f t="shared" si="4"/>
        <v>0</v>
      </c>
      <c r="B55" s="34" t="str">
        <f t="shared" si="0"/>
        <v/>
      </c>
      <c r="C55" s="35"/>
      <c r="D55" s="35"/>
      <c r="E55" s="35"/>
      <c r="F55" s="35"/>
      <c r="G55" s="263"/>
      <c r="H55" s="280">
        <v>50</v>
      </c>
      <c r="I55" s="281" t="str">
        <f t="shared" si="1"/>
        <v/>
      </c>
      <c r="J55" s="280" t="e">
        <f t="shared" si="5"/>
        <v>#NUM!</v>
      </c>
      <c r="K55" s="280" t="e">
        <f t="shared" si="2"/>
        <v>#NUM!</v>
      </c>
      <c r="L55" s="280"/>
      <c r="M55" s="282">
        <f t="shared" si="3"/>
        <v>0</v>
      </c>
    </row>
    <row r="56" spans="1:38" x14ac:dyDescent="0.25">
      <c r="A56" s="109">
        <f t="shared" si="4"/>
        <v>0</v>
      </c>
      <c r="B56" s="28" t="str">
        <f t="shared" si="0"/>
        <v/>
      </c>
      <c r="C56" s="29"/>
      <c r="D56" s="29"/>
      <c r="E56" s="29"/>
      <c r="F56" s="29"/>
      <c r="G56" s="263"/>
      <c r="H56" s="277">
        <v>51</v>
      </c>
      <c r="I56" s="278" t="str">
        <f t="shared" si="1"/>
        <v/>
      </c>
      <c r="J56" s="277" t="e">
        <f t="shared" si="5"/>
        <v>#NUM!</v>
      </c>
      <c r="K56" s="277" t="e">
        <f t="shared" si="2"/>
        <v>#NUM!</v>
      </c>
      <c r="L56" s="277"/>
      <c r="M56" s="279">
        <f t="shared" si="3"/>
        <v>0</v>
      </c>
    </row>
    <row r="57" spans="1:38" s="263" customFormat="1" x14ac:dyDescent="0.25">
      <c r="A57" s="110">
        <f t="shared" si="4"/>
        <v>0</v>
      </c>
      <c r="B57" s="34" t="str">
        <f t="shared" si="0"/>
        <v/>
      </c>
      <c r="C57" s="35"/>
      <c r="D57" s="35"/>
      <c r="E57" s="35"/>
      <c r="F57" s="35"/>
      <c r="H57" s="280">
        <v>52</v>
      </c>
      <c r="I57" s="281" t="str">
        <f t="shared" si="1"/>
        <v/>
      </c>
      <c r="J57" s="280" t="e">
        <f t="shared" si="5"/>
        <v>#NUM!</v>
      </c>
      <c r="K57" s="280" t="e">
        <f t="shared" si="2"/>
        <v>#NUM!</v>
      </c>
      <c r="L57" s="280"/>
      <c r="M57" s="282">
        <f t="shared" si="3"/>
        <v>0</v>
      </c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268"/>
      <c r="AE57" s="268"/>
      <c r="AF57" s="268"/>
      <c r="AG57" s="268"/>
      <c r="AH57" s="268"/>
      <c r="AI57" s="268"/>
      <c r="AJ57" s="268"/>
      <c r="AK57" s="268"/>
      <c r="AL57" s="268"/>
    </row>
    <row r="58" spans="1:38" s="263" customFormat="1" x14ac:dyDescent="0.25">
      <c r="A58" s="109">
        <f t="shared" si="4"/>
        <v>0</v>
      </c>
      <c r="B58" s="28" t="str">
        <f t="shared" si="0"/>
        <v/>
      </c>
      <c r="C58" s="29"/>
      <c r="D58" s="29"/>
      <c r="E58" s="29"/>
      <c r="F58" s="29"/>
      <c r="H58" s="277">
        <v>53</v>
      </c>
      <c r="I58" s="278" t="str">
        <f t="shared" si="1"/>
        <v/>
      </c>
      <c r="J58" s="277" t="e">
        <f t="shared" si="5"/>
        <v>#NUM!</v>
      </c>
      <c r="K58" s="277" t="e">
        <f t="shared" si="2"/>
        <v>#NUM!</v>
      </c>
      <c r="L58" s="277"/>
      <c r="M58" s="279">
        <f t="shared" si="3"/>
        <v>0</v>
      </c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  <c r="AD58" s="268"/>
      <c r="AE58" s="268"/>
      <c r="AF58" s="268"/>
      <c r="AG58" s="268"/>
      <c r="AH58" s="268"/>
      <c r="AI58" s="268"/>
      <c r="AJ58" s="268"/>
      <c r="AK58" s="268"/>
      <c r="AL58" s="268"/>
    </row>
    <row r="59" spans="1:38" s="263" customFormat="1" x14ac:dyDescent="0.25">
      <c r="A59" s="110">
        <f t="shared" si="4"/>
        <v>0</v>
      </c>
      <c r="B59" s="34" t="str">
        <f t="shared" si="0"/>
        <v/>
      </c>
      <c r="C59" s="35"/>
      <c r="D59" s="35"/>
      <c r="E59" s="35"/>
      <c r="F59" s="35"/>
      <c r="H59" s="280">
        <v>54</v>
      </c>
      <c r="I59" s="281" t="str">
        <f t="shared" si="1"/>
        <v/>
      </c>
      <c r="J59" s="280" t="e">
        <f t="shared" si="5"/>
        <v>#NUM!</v>
      </c>
      <c r="K59" s="280" t="e">
        <f t="shared" si="2"/>
        <v>#NUM!</v>
      </c>
      <c r="L59" s="280"/>
      <c r="M59" s="282">
        <f t="shared" si="3"/>
        <v>0</v>
      </c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268"/>
      <c r="AE59" s="268"/>
      <c r="AF59" s="268"/>
      <c r="AG59" s="268"/>
      <c r="AH59" s="268"/>
      <c r="AI59" s="268"/>
      <c r="AJ59" s="268"/>
      <c r="AK59" s="268"/>
      <c r="AL59" s="268"/>
    </row>
    <row r="60" spans="1:38" s="263" customFormat="1" x14ac:dyDescent="0.25">
      <c r="A60" s="109">
        <f t="shared" si="4"/>
        <v>0</v>
      </c>
      <c r="B60" s="28" t="str">
        <f t="shared" si="0"/>
        <v/>
      </c>
      <c r="C60" s="29"/>
      <c r="D60" s="29"/>
      <c r="E60" s="29"/>
      <c r="F60" s="29"/>
      <c r="H60" s="277">
        <v>55</v>
      </c>
      <c r="I60" s="278" t="str">
        <f t="shared" si="1"/>
        <v/>
      </c>
      <c r="J60" s="277" t="e">
        <f t="shared" si="5"/>
        <v>#NUM!</v>
      </c>
      <c r="K60" s="277" t="e">
        <f t="shared" si="2"/>
        <v>#NUM!</v>
      </c>
      <c r="L60" s="277"/>
      <c r="M60" s="279">
        <f t="shared" si="3"/>
        <v>0</v>
      </c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  <c r="AD60" s="268"/>
      <c r="AE60" s="268"/>
      <c r="AF60" s="268"/>
      <c r="AG60" s="268"/>
      <c r="AH60" s="268"/>
      <c r="AI60" s="268"/>
      <c r="AJ60" s="268"/>
      <c r="AK60" s="268"/>
      <c r="AL60" s="268"/>
    </row>
    <row r="61" spans="1:38" s="263" customFormat="1" x14ac:dyDescent="0.25">
      <c r="A61" s="110">
        <f t="shared" si="4"/>
        <v>0</v>
      </c>
      <c r="B61" s="34" t="str">
        <f t="shared" si="0"/>
        <v/>
      </c>
      <c r="C61" s="35"/>
      <c r="D61" s="35"/>
      <c r="E61" s="35"/>
      <c r="F61" s="35"/>
      <c r="H61" s="280">
        <v>56</v>
      </c>
      <c r="I61" s="281" t="str">
        <f t="shared" si="1"/>
        <v/>
      </c>
      <c r="J61" s="280" t="e">
        <f t="shared" si="5"/>
        <v>#NUM!</v>
      </c>
      <c r="K61" s="280" t="e">
        <f t="shared" si="2"/>
        <v>#NUM!</v>
      </c>
      <c r="L61" s="280"/>
      <c r="M61" s="282">
        <f t="shared" si="3"/>
        <v>0</v>
      </c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  <c r="AD61" s="268"/>
      <c r="AE61" s="268"/>
      <c r="AF61" s="268"/>
      <c r="AG61" s="268"/>
      <c r="AH61" s="268"/>
      <c r="AI61" s="268"/>
      <c r="AJ61" s="268"/>
      <c r="AK61" s="268"/>
      <c r="AL61" s="268"/>
    </row>
    <row r="62" spans="1:38" s="263" customFormat="1" x14ac:dyDescent="0.25">
      <c r="A62" s="109">
        <f t="shared" si="4"/>
        <v>0</v>
      </c>
      <c r="B62" s="28" t="str">
        <f t="shared" si="0"/>
        <v/>
      </c>
      <c r="C62" s="29"/>
      <c r="D62" s="29"/>
      <c r="E62" s="29"/>
      <c r="F62" s="29"/>
      <c r="H62" s="277">
        <v>57</v>
      </c>
      <c r="I62" s="278" t="str">
        <f t="shared" si="1"/>
        <v/>
      </c>
      <c r="J62" s="277" t="e">
        <f t="shared" si="5"/>
        <v>#NUM!</v>
      </c>
      <c r="K62" s="277" t="e">
        <f t="shared" si="2"/>
        <v>#NUM!</v>
      </c>
      <c r="L62" s="277"/>
      <c r="M62" s="279">
        <f t="shared" si="3"/>
        <v>0</v>
      </c>
      <c r="S62" s="268"/>
      <c r="T62" s="268"/>
      <c r="U62" s="268"/>
      <c r="V62" s="268"/>
      <c r="W62" s="268"/>
      <c r="X62" s="268"/>
      <c r="Y62" s="268"/>
      <c r="Z62" s="268"/>
      <c r="AA62" s="268"/>
      <c r="AB62" s="268"/>
      <c r="AC62" s="268"/>
      <c r="AD62" s="268"/>
      <c r="AE62" s="268"/>
      <c r="AF62" s="268"/>
      <c r="AG62" s="268"/>
      <c r="AH62" s="268"/>
      <c r="AI62" s="268"/>
      <c r="AJ62" s="268"/>
      <c r="AK62" s="268"/>
      <c r="AL62" s="268"/>
    </row>
    <row r="63" spans="1:38" s="263" customFormat="1" x14ac:dyDescent="0.25">
      <c r="A63" s="110">
        <f t="shared" si="4"/>
        <v>0</v>
      </c>
      <c r="B63" s="34" t="str">
        <f t="shared" si="0"/>
        <v/>
      </c>
      <c r="C63" s="35"/>
      <c r="D63" s="35"/>
      <c r="E63" s="35"/>
      <c r="F63" s="35"/>
      <c r="H63" s="280">
        <v>58</v>
      </c>
      <c r="I63" s="281" t="str">
        <f t="shared" si="1"/>
        <v/>
      </c>
      <c r="J63" s="280" t="e">
        <f t="shared" si="5"/>
        <v>#NUM!</v>
      </c>
      <c r="K63" s="280" t="e">
        <f t="shared" si="2"/>
        <v>#NUM!</v>
      </c>
      <c r="L63" s="280"/>
      <c r="M63" s="282">
        <f t="shared" si="3"/>
        <v>0</v>
      </c>
      <c r="S63" s="268"/>
      <c r="T63" s="268"/>
      <c r="U63" s="268"/>
      <c r="V63" s="268"/>
      <c r="W63" s="268"/>
      <c r="X63" s="268"/>
      <c r="Y63" s="268"/>
      <c r="Z63" s="268"/>
      <c r="AA63" s="268"/>
      <c r="AB63" s="268"/>
      <c r="AC63" s="268"/>
      <c r="AD63" s="268"/>
      <c r="AE63" s="268"/>
      <c r="AF63" s="268"/>
      <c r="AG63" s="268"/>
      <c r="AH63" s="268"/>
      <c r="AI63" s="268"/>
      <c r="AJ63" s="268"/>
      <c r="AK63" s="268"/>
      <c r="AL63" s="268"/>
    </row>
    <row r="64" spans="1:38" s="263" customFormat="1" x14ac:dyDescent="0.25">
      <c r="A64" s="109">
        <f t="shared" si="4"/>
        <v>0</v>
      </c>
      <c r="B64" s="28" t="str">
        <f t="shared" si="0"/>
        <v/>
      </c>
      <c r="C64" s="29"/>
      <c r="D64" s="29"/>
      <c r="E64" s="29"/>
      <c r="F64" s="29"/>
      <c r="H64" s="277">
        <v>59</v>
      </c>
      <c r="I64" s="278" t="str">
        <f t="shared" si="1"/>
        <v/>
      </c>
      <c r="J64" s="277" t="e">
        <f t="shared" si="5"/>
        <v>#NUM!</v>
      </c>
      <c r="K64" s="277" t="e">
        <f t="shared" si="2"/>
        <v>#NUM!</v>
      </c>
      <c r="L64" s="277"/>
      <c r="M64" s="279">
        <f t="shared" si="3"/>
        <v>0</v>
      </c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  <c r="AD64" s="268"/>
      <c r="AE64" s="268"/>
      <c r="AF64" s="268"/>
      <c r="AG64" s="268"/>
      <c r="AH64" s="268"/>
      <c r="AI64" s="268"/>
      <c r="AJ64" s="268"/>
      <c r="AK64" s="268"/>
      <c r="AL64" s="268"/>
    </row>
    <row r="65" spans="1:38" s="263" customFormat="1" x14ac:dyDescent="0.25">
      <c r="A65" s="110">
        <f t="shared" si="4"/>
        <v>0</v>
      </c>
      <c r="B65" s="34" t="str">
        <f t="shared" si="0"/>
        <v/>
      </c>
      <c r="C65" s="35"/>
      <c r="D65" s="35"/>
      <c r="E65" s="35"/>
      <c r="F65" s="35"/>
      <c r="H65" s="280">
        <v>60</v>
      </c>
      <c r="I65" s="281" t="str">
        <f t="shared" si="1"/>
        <v/>
      </c>
      <c r="J65" s="280" t="e">
        <f t="shared" si="5"/>
        <v>#NUM!</v>
      </c>
      <c r="K65" s="280" t="e">
        <f t="shared" si="2"/>
        <v>#NUM!</v>
      </c>
      <c r="L65" s="280"/>
      <c r="M65" s="282">
        <f t="shared" si="3"/>
        <v>0</v>
      </c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8"/>
      <c r="AD65" s="268"/>
      <c r="AE65" s="268"/>
      <c r="AF65" s="268"/>
      <c r="AG65" s="268"/>
      <c r="AH65" s="268"/>
      <c r="AI65" s="268"/>
      <c r="AJ65" s="268"/>
      <c r="AK65" s="268"/>
      <c r="AL65" s="268"/>
    </row>
    <row r="66" spans="1:38" s="263" customFormat="1" x14ac:dyDescent="0.25">
      <c r="A66" s="109">
        <f t="shared" si="4"/>
        <v>0</v>
      </c>
      <c r="B66" s="28" t="str">
        <f t="shared" si="0"/>
        <v/>
      </c>
      <c r="C66" s="29"/>
      <c r="D66" s="29"/>
      <c r="E66" s="29"/>
      <c r="F66" s="29"/>
      <c r="H66" s="277">
        <v>61</v>
      </c>
      <c r="I66" s="278" t="str">
        <f t="shared" si="1"/>
        <v/>
      </c>
      <c r="J66" s="277" t="e">
        <f t="shared" si="5"/>
        <v>#NUM!</v>
      </c>
      <c r="K66" s="277" t="e">
        <f t="shared" si="2"/>
        <v>#NUM!</v>
      </c>
      <c r="L66" s="277"/>
      <c r="M66" s="279">
        <f t="shared" si="3"/>
        <v>0</v>
      </c>
      <c r="S66" s="268"/>
      <c r="T66" s="268"/>
      <c r="U66" s="268"/>
      <c r="V66" s="268"/>
      <c r="W66" s="268"/>
      <c r="X66" s="268"/>
      <c r="Y66" s="268"/>
      <c r="Z66" s="268"/>
      <c r="AA66" s="268"/>
      <c r="AB66" s="268"/>
      <c r="AC66" s="268"/>
      <c r="AD66" s="268"/>
      <c r="AE66" s="268"/>
      <c r="AF66" s="268"/>
      <c r="AG66" s="268"/>
      <c r="AH66" s="268"/>
      <c r="AI66" s="268"/>
      <c r="AJ66" s="268"/>
      <c r="AK66" s="268"/>
      <c r="AL66" s="268"/>
    </row>
    <row r="67" spans="1:38" s="263" customFormat="1" x14ac:dyDescent="0.25">
      <c r="A67" s="110">
        <f t="shared" si="4"/>
        <v>0</v>
      </c>
      <c r="B67" s="34" t="str">
        <f t="shared" si="0"/>
        <v/>
      </c>
      <c r="C67" s="35"/>
      <c r="D67" s="35"/>
      <c r="E67" s="35"/>
      <c r="F67" s="35"/>
      <c r="H67" s="280">
        <v>62</v>
      </c>
      <c r="I67" s="281" t="str">
        <f t="shared" si="1"/>
        <v/>
      </c>
      <c r="J67" s="280" t="e">
        <f t="shared" si="5"/>
        <v>#NUM!</v>
      </c>
      <c r="K67" s="280" t="e">
        <f t="shared" si="2"/>
        <v>#NUM!</v>
      </c>
      <c r="L67" s="280"/>
      <c r="M67" s="282">
        <f t="shared" si="3"/>
        <v>0</v>
      </c>
      <c r="S67" s="268"/>
      <c r="T67" s="268"/>
      <c r="U67" s="268"/>
      <c r="V67" s="268"/>
      <c r="W67" s="268"/>
      <c r="X67" s="268"/>
      <c r="Y67" s="268"/>
      <c r="Z67" s="268"/>
      <c r="AA67" s="268"/>
      <c r="AB67" s="268"/>
      <c r="AC67" s="268"/>
      <c r="AD67" s="268"/>
      <c r="AE67" s="268"/>
      <c r="AF67" s="268"/>
      <c r="AG67" s="268"/>
      <c r="AH67" s="268"/>
      <c r="AI67" s="268"/>
      <c r="AJ67" s="268"/>
      <c r="AK67" s="268"/>
      <c r="AL67" s="268"/>
    </row>
    <row r="68" spans="1:38" s="263" customFormat="1" x14ac:dyDescent="0.25">
      <c r="A68" s="109">
        <f t="shared" si="4"/>
        <v>0</v>
      </c>
      <c r="B68" s="28" t="str">
        <f t="shared" si="0"/>
        <v/>
      </c>
      <c r="C68" s="29"/>
      <c r="D68" s="29"/>
      <c r="E68" s="29"/>
      <c r="F68" s="29"/>
      <c r="H68" s="277">
        <v>63</v>
      </c>
      <c r="I68" s="278" t="str">
        <f t="shared" si="1"/>
        <v/>
      </c>
      <c r="J68" s="277" t="e">
        <f t="shared" si="5"/>
        <v>#NUM!</v>
      </c>
      <c r="K68" s="277" t="e">
        <f t="shared" si="2"/>
        <v>#NUM!</v>
      </c>
      <c r="L68" s="277"/>
      <c r="M68" s="279">
        <f t="shared" si="3"/>
        <v>0</v>
      </c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  <c r="AD68" s="268"/>
      <c r="AE68" s="268"/>
      <c r="AF68" s="268"/>
      <c r="AG68" s="268"/>
      <c r="AH68" s="268"/>
      <c r="AI68" s="268"/>
      <c r="AJ68" s="268"/>
      <c r="AK68" s="268"/>
      <c r="AL68" s="268"/>
    </row>
    <row r="69" spans="1:38" s="263" customFormat="1" x14ac:dyDescent="0.25">
      <c r="A69" s="110">
        <f t="shared" si="4"/>
        <v>0</v>
      </c>
      <c r="B69" s="34" t="str">
        <f t="shared" si="0"/>
        <v/>
      </c>
      <c r="C69" s="35"/>
      <c r="D69" s="35"/>
      <c r="E69" s="35"/>
      <c r="F69" s="35"/>
      <c r="H69" s="280">
        <v>64</v>
      </c>
      <c r="I69" s="281" t="str">
        <f t="shared" si="1"/>
        <v/>
      </c>
      <c r="J69" s="280" t="e">
        <f t="shared" si="5"/>
        <v>#NUM!</v>
      </c>
      <c r="K69" s="280" t="e">
        <f t="shared" si="2"/>
        <v>#NUM!</v>
      </c>
      <c r="L69" s="280"/>
      <c r="M69" s="282">
        <f t="shared" si="3"/>
        <v>0</v>
      </c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  <c r="AD69" s="268"/>
      <c r="AE69" s="268"/>
      <c r="AF69" s="268"/>
      <c r="AG69" s="268"/>
      <c r="AH69" s="268"/>
      <c r="AI69" s="268"/>
      <c r="AJ69" s="268"/>
      <c r="AK69" s="268"/>
      <c r="AL69" s="268"/>
    </row>
    <row r="70" spans="1:38" s="263" customFormat="1" x14ac:dyDescent="0.25">
      <c r="A70" s="109">
        <f t="shared" si="4"/>
        <v>0</v>
      </c>
      <c r="B70" s="28" t="str">
        <f t="shared" ref="B70:B133" si="6">IF(H70&gt;$H$2,"",(ROW()-5))</f>
        <v/>
      </c>
      <c r="C70" s="29"/>
      <c r="D70" s="29"/>
      <c r="E70" s="29"/>
      <c r="F70" s="29"/>
      <c r="H70" s="277">
        <v>65</v>
      </c>
      <c r="I70" s="278" t="str">
        <f t="shared" ref="I70:I133" si="7">IF(H70&lt;$H$2+1,($I$2-($I$2-1)*(LOG(H70)/LOG($H$2))),"")</f>
        <v/>
      </c>
      <c r="J70" s="277" t="e">
        <f t="shared" si="5"/>
        <v>#NUM!</v>
      </c>
      <c r="K70" s="277" t="e">
        <f t="shared" ref="K70:K133" si="8">J70*$J$2</f>
        <v>#NUM!</v>
      </c>
      <c r="L70" s="277"/>
      <c r="M70" s="279">
        <f t="shared" ref="M70:M133" si="9">IF(I70&lt;&gt;"",K70+I70+L70,0)</f>
        <v>0</v>
      </c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  <c r="AD70" s="268"/>
      <c r="AE70" s="268"/>
      <c r="AF70" s="268"/>
      <c r="AG70" s="268"/>
      <c r="AH70" s="268"/>
      <c r="AI70" s="268"/>
      <c r="AJ70" s="268"/>
      <c r="AK70" s="268"/>
      <c r="AL70" s="268"/>
    </row>
    <row r="71" spans="1:38" s="263" customFormat="1" x14ac:dyDescent="0.25">
      <c r="A71" s="110">
        <f t="shared" ref="A71:A134" si="10">M71</f>
        <v>0</v>
      </c>
      <c r="B71" s="34" t="str">
        <f t="shared" si="6"/>
        <v/>
      </c>
      <c r="C71" s="35"/>
      <c r="D71" s="35"/>
      <c r="E71" s="35"/>
      <c r="F71" s="35"/>
      <c r="H71" s="280">
        <v>66</v>
      </c>
      <c r="I71" s="281" t="str">
        <f t="shared" si="7"/>
        <v/>
      </c>
      <c r="J71" s="280" t="e">
        <f t="shared" ref="J71:J134" si="11">INT(LOG($H$2,2))-ROUNDUP(LOG(H71,2),0)+IF(OR($H$2=1,$H$2=2,$H$2=4,$H$2=8,$H$2=16,$H$2=32,$H$2=64,$H$2=128,$H$2=256),0,1)</f>
        <v>#NUM!</v>
      </c>
      <c r="K71" s="280" t="e">
        <f t="shared" si="8"/>
        <v>#NUM!</v>
      </c>
      <c r="L71" s="280"/>
      <c r="M71" s="282">
        <f t="shared" si="9"/>
        <v>0</v>
      </c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  <c r="AD71" s="268"/>
      <c r="AE71" s="268"/>
      <c r="AF71" s="268"/>
      <c r="AG71" s="268"/>
      <c r="AH71" s="268"/>
      <c r="AI71" s="268"/>
      <c r="AJ71" s="268"/>
      <c r="AK71" s="268"/>
      <c r="AL71" s="268"/>
    </row>
    <row r="72" spans="1:38" s="263" customFormat="1" x14ac:dyDescent="0.25">
      <c r="A72" s="109">
        <f t="shared" si="10"/>
        <v>0</v>
      </c>
      <c r="B72" s="28" t="str">
        <f t="shared" si="6"/>
        <v/>
      </c>
      <c r="C72" s="29"/>
      <c r="D72" s="29"/>
      <c r="E72" s="29"/>
      <c r="F72" s="29"/>
      <c r="H72" s="277">
        <v>67</v>
      </c>
      <c r="I72" s="278" t="str">
        <f t="shared" si="7"/>
        <v/>
      </c>
      <c r="J72" s="277" t="e">
        <f t="shared" si="11"/>
        <v>#NUM!</v>
      </c>
      <c r="K72" s="277" t="e">
        <f t="shared" si="8"/>
        <v>#NUM!</v>
      </c>
      <c r="L72" s="277"/>
      <c r="M72" s="279">
        <f t="shared" si="9"/>
        <v>0</v>
      </c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  <c r="AD72" s="268"/>
      <c r="AE72" s="268"/>
      <c r="AF72" s="268"/>
      <c r="AG72" s="268"/>
      <c r="AH72" s="268"/>
      <c r="AI72" s="268"/>
      <c r="AJ72" s="268"/>
      <c r="AK72" s="268"/>
      <c r="AL72" s="268"/>
    </row>
    <row r="73" spans="1:38" s="263" customFormat="1" x14ac:dyDescent="0.25">
      <c r="A73" s="110">
        <f t="shared" si="10"/>
        <v>0</v>
      </c>
      <c r="B73" s="34" t="str">
        <f t="shared" si="6"/>
        <v/>
      </c>
      <c r="C73" s="35"/>
      <c r="D73" s="35"/>
      <c r="E73" s="35"/>
      <c r="F73" s="35"/>
      <c r="H73" s="280">
        <v>68</v>
      </c>
      <c r="I73" s="281" t="str">
        <f t="shared" si="7"/>
        <v/>
      </c>
      <c r="J73" s="280" t="e">
        <f t="shared" si="11"/>
        <v>#NUM!</v>
      </c>
      <c r="K73" s="280" t="e">
        <f t="shared" si="8"/>
        <v>#NUM!</v>
      </c>
      <c r="L73" s="280"/>
      <c r="M73" s="282">
        <f t="shared" si="9"/>
        <v>0</v>
      </c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  <c r="AD73" s="268"/>
      <c r="AE73" s="268"/>
      <c r="AF73" s="268"/>
      <c r="AG73" s="268"/>
      <c r="AH73" s="268"/>
      <c r="AI73" s="268"/>
      <c r="AJ73" s="268"/>
      <c r="AK73" s="268"/>
      <c r="AL73" s="268"/>
    </row>
    <row r="74" spans="1:38" s="263" customFormat="1" x14ac:dyDescent="0.25">
      <c r="A74" s="109">
        <f t="shared" si="10"/>
        <v>0</v>
      </c>
      <c r="B74" s="28" t="str">
        <f t="shared" si="6"/>
        <v/>
      </c>
      <c r="C74" s="29"/>
      <c r="D74" s="29"/>
      <c r="E74" s="29"/>
      <c r="F74" s="29"/>
      <c r="H74" s="277">
        <v>69</v>
      </c>
      <c r="I74" s="278" t="str">
        <f t="shared" si="7"/>
        <v/>
      </c>
      <c r="J74" s="277" t="e">
        <f t="shared" si="11"/>
        <v>#NUM!</v>
      </c>
      <c r="K74" s="277" t="e">
        <f t="shared" si="8"/>
        <v>#NUM!</v>
      </c>
      <c r="L74" s="277"/>
      <c r="M74" s="279">
        <f t="shared" si="9"/>
        <v>0</v>
      </c>
      <c r="S74" s="268"/>
      <c r="T74" s="268"/>
      <c r="U74" s="268"/>
      <c r="V74" s="268"/>
      <c r="W74" s="268"/>
      <c r="X74" s="268"/>
      <c r="Y74" s="268"/>
      <c r="Z74" s="268"/>
      <c r="AA74" s="268"/>
      <c r="AB74" s="268"/>
      <c r="AC74" s="268"/>
      <c r="AD74" s="268"/>
      <c r="AE74" s="268"/>
      <c r="AF74" s="268"/>
      <c r="AG74" s="268"/>
      <c r="AH74" s="268"/>
      <c r="AI74" s="268"/>
      <c r="AJ74" s="268"/>
      <c r="AK74" s="268"/>
      <c r="AL74" s="268"/>
    </row>
    <row r="75" spans="1:38" s="263" customFormat="1" x14ac:dyDescent="0.25">
      <c r="A75" s="110">
        <f t="shared" si="10"/>
        <v>0</v>
      </c>
      <c r="B75" s="34" t="str">
        <f t="shared" si="6"/>
        <v/>
      </c>
      <c r="C75" s="35"/>
      <c r="D75" s="35"/>
      <c r="E75" s="35"/>
      <c r="F75" s="35"/>
      <c r="H75" s="280">
        <v>70</v>
      </c>
      <c r="I75" s="281" t="str">
        <f t="shared" si="7"/>
        <v/>
      </c>
      <c r="J75" s="280" t="e">
        <f t="shared" si="11"/>
        <v>#NUM!</v>
      </c>
      <c r="K75" s="280" t="e">
        <f t="shared" si="8"/>
        <v>#NUM!</v>
      </c>
      <c r="L75" s="280"/>
      <c r="M75" s="282">
        <f t="shared" si="9"/>
        <v>0</v>
      </c>
      <c r="S75" s="268"/>
      <c r="T75" s="268"/>
      <c r="U75" s="268"/>
      <c r="V75" s="268"/>
      <c r="W75" s="268"/>
      <c r="X75" s="268"/>
      <c r="Y75" s="268"/>
      <c r="Z75" s="268"/>
      <c r="AA75" s="268"/>
      <c r="AB75" s="268"/>
      <c r="AC75" s="268"/>
      <c r="AD75" s="268"/>
      <c r="AE75" s="268"/>
      <c r="AF75" s="268"/>
      <c r="AG75" s="268"/>
      <c r="AH75" s="268"/>
      <c r="AI75" s="268"/>
      <c r="AJ75" s="268"/>
      <c r="AK75" s="268"/>
      <c r="AL75" s="268"/>
    </row>
    <row r="76" spans="1:38" s="263" customFormat="1" x14ac:dyDescent="0.25">
      <c r="A76" s="109">
        <f t="shared" si="10"/>
        <v>0</v>
      </c>
      <c r="B76" s="28" t="str">
        <f t="shared" si="6"/>
        <v/>
      </c>
      <c r="C76" s="29"/>
      <c r="D76" s="29"/>
      <c r="E76" s="29"/>
      <c r="F76" s="29"/>
      <c r="H76" s="277">
        <v>71</v>
      </c>
      <c r="I76" s="278" t="str">
        <f t="shared" si="7"/>
        <v/>
      </c>
      <c r="J76" s="277" t="e">
        <f t="shared" si="11"/>
        <v>#NUM!</v>
      </c>
      <c r="K76" s="277" t="e">
        <f t="shared" si="8"/>
        <v>#NUM!</v>
      </c>
      <c r="L76" s="277"/>
      <c r="M76" s="279">
        <f t="shared" si="9"/>
        <v>0</v>
      </c>
      <c r="S76" s="268"/>
      <c r="T76" s="268"/>
      <c r="U76" s="268"/>
      <c r="V76" s="268"/>
      <c r="W76" s="268"/>
      <c r="X76" s="268"/>
      <c r="Y76" s="268"/>
      <c r="Z76" s="268"/>
      <c r="AA76" s="268"/>
      <c r="AB76" s="268"/>
      <c r="AC76" s="268"/>
      <c r="AD76" s="268"/>
      <c r="AE76" s="268"/>
      <c r="AF76" s="268"/>
      <c r="AG76" s="268"/>
      <c r="AH76" s="268"/>
      <c r="AI76" s="268"/>
      <c r="AJ76" s="268"/>
      <c r="AK76" s="268"/>
      <c r="AL76" s="268"/>
    </row>
    <row r="77" spans="1:38" s="263" customFormat="1" x14ac:dyDescent="0.25">
      <c r="A77" s="110">
        <f t="shared" si="10"/>
        <v>0</v>
      </c>
      <c r="B77" s="34" t="str">
        <f t="shared" si="6"/>
        <v/>
      </c>
      <c r="C77" s="35"/>
      <c r="D77" s="35"/>
      <c r="E77" s="35"/>
      <c r="F77" s="35"/>
      <c r="H77" s="280">
        <v>72</v>
      </c>
      <c r="I77" s="281" t="str">
        <f t="shared" si="7"/>
        <v/>
      </c>
      <c r="J77" s="280" t="e">
        <f t="shared" si="11"/>
        <v>#NUM!</v>
      </c>
      <c r="K77" s="280" t="e">
        <f t="shared" si="8"/>
        <v>#NUM!</v>
      </c>
      <c r="L77" s="280"/>
      <c r="M77" s="282">
        <f t="shared" si="9"/>
        <v>0</v>
      </c>
      <c r="S77" s="268"/>
      <c r="T77" s="268"/>
      <c r="U77" s="268"/>
      <c r="V77" s="268"/>
      <c r="W77" s="268"/>
      <c r="X77" s="268"/>
      <c r="Y77" s="268"/>
      <c r="Z77" s="268"/>
      <c r="AA77" s="268"/>
      <c r="AB77" s="268"/>
      <c r="AC77" s="268"/>
      <c r="AD77" s="268"/>
      <c r="AE77" s="268"/>
      <c r="AF77" s="268"/>
      <c r="AG77" s="268"/>
      <c r="AH77" s="268"/>
      <c r="AI77" s="268"/>
      <c r="AJ77" s="268"/>
      <c r="AK77" s="268"/>
      <c r="AL77" s="268"/>
    </row>
    <row r="78" spans="1:38" s="263" customFormat="1" x14ac:dyDescent="0.25">
      <c r="A78" s="109">
        <f t="shared" si="10"/>
        <v>0</v>
      </c>
      <c r="B78" s="28" t="str">
        <f t="shared" si="6"/>
        <v/>
      </c>
      <c r="C78" s="29"/>
      <c r="D78" s="29"/>
      <c r="E78" s="29"/>
      <c r="F78" s="29"/>
      <c r="H78" s="277">
        <v>73</v>
      </c>
      <c r="I78" s="278" t="str">
        <f t="shared" si="7"/>
        <v/>
      </c>
      <c r="J78" s="277" t="e">
        <f t="shared" si="11"/>
        <v>#NUM!</v>
      </c>
      <c r="K78" s="277" t="e">
        <f t="shared" si="8"/>
        <v>#NUM!</v>
      </c>
      <c r="L78" s="277"/>
      <c r="M78" s="279">
        <f t="shared" si="9"/>
        <v>0</v>
      </c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  <c r="AD78" s="268"/>
      <c r="AE78" s="268"/>
      <c r="AF78" s="268"/>
      <c r="AG78" s="268"/>
      <c r="AH78" s="268"/>
      <c r="AI78" s="268"/>
      <c r="AJ78" s="268"/>
      <c r="AK78" s="268"/>
      <c r="AL78" s="268"/>
    </row>
    <row r="79" spans="1:38" s="263" customFormat="1" x14ac:dyDescent="0.25">
      <c r="A79" s="110">
        <f t="shared" si="10"/>
        <v>0</v>
      </c>
      <c r="B79" s="34" t="str">
        <f t="shared" si="6"/>
        <v/>
      </c>
      <c r="C79" s="35"/>
      <c r="D79" s="35"/>
      <c r="E79" s="35"/>
      <c r="F79" s="35"/>
      <c r="H79" s="280">
        <v>74</v>
      </c>
      <c r="I79" s="281" t="str">
        <f t="shared" si="7"/>
        <v/>
      </c>
      <c r="J79" s="280" t="e">
        <f t="shared" si="11"/>
        <v>#NUM!</v>
      </c>
      <c r="K79" s="280" t="e">
        <f t="shared" si="8"/>
        <v>#NUM!</v>
      </c>
      <c r="L79" s="280"/>
      <c r="M79" s="282">
        <f t="shared" si="9"/>
        <v>0</v>
      </c>
      <c r="S79" s="268"/>
      <c r="T79" s="268"/>
      <c r="U79" s="268"/>
      <c r="V79" s="268"/>
      <c r="W79" s="268"/>
      <c r="X79" s="268"/>
      <c r="Y79" s="268"/>
      <c r="Z79" s="268"/>
      <c r="AA79" s="268"/>
      <c r="AB79" s="268"/>
      <c r="AC79" s="268"/>
      <c r="AD79" s="268"/>
      <c r="AE79" s="268"/>
      <c r="AF79" s="268"/>
      <c r="AG79" s="268"/>
      <c r="AH79" s="268"/>
      <c r="AI79" s="268"/>
      <c r="AJ79" s="268"/>
      <c r="AK79" s="268"/>
      <c r="AL79" s="268"/>
    </row>
    <row r="80" spans="1:38" s="263" customFormat="1" x14ac:dyDescent="0.25">
      <c r="A80" s="109">
        <f t="shared" si="10"/>
        <v>0</v>
      </c>
      <c r="B80" s="28" t="str">
        <f t="shared" si="6"/>
        <v/>
      </c>
      <c r="C80" s="29"/>
      <c r="D80" s="29"/>
      <c r="E80" s="29"/>
      <c r="F80" s="29"/>
      <c r="H80" s="277">
        <v>75</v>
      </c>
      <c r="I80" s="278" t="str">
        <f t="shared" si="7"/>
        <v/>
      </c>
      <c r="J80" s="277" t="e">
        <f t="shared" si="11"/>
        <v>#NUM!</v>
      </c>
      <c r="K80" s="277" t="e">
        <f t="shared" si="8"/>
        <v>#NUM!</v>
      </c>
      <c r="L80" s="277"/>
      <c r="M80" s="279">
        <f t="shared" si="9"/>
        <v>0</v>
      </c>
      <c r="S80" s="268"/>
      <c r="T80" s="268"/>
      <c r="U80" s="268"/>
      <c r="V80" s="268"/>
      <c r="W80" s="268"/>
      <c r="X80" s="268"/>
      <c r="Y80" s="268"/>
      <c r="Z80" s="268"/>
      <c r="AA80" s="268"/>
      <c r="AB80" s="268"/>
      <c r="AC80" s="268"/>
      <c r="AD80" s="268"/>
      <c r="AE80" s="268"/>
      <c r="AF80" s="268"/>
      <c r="AG80" s="268"/>
      <c r="AH80" s="268"/>
      <c r="AI80" s="268"/>
      <c r="AJ80" s="268"/>
      <c r="AK80" s="268"/>
      <c r="AL80" s="268"/>
    </row>
    <row r="81" spans="1:38" s="263" customFormat="1" x14ac:dyDescent="0.25">
      <c r="A81" s="110">
        <f t="shared" si="10"/>
        <v>0</v>
      </c>
      <c r="B81" s="34" t="str">
        <f t="shared" si="6"/>
        <v/>
      </c>
      <c r="C81" s="35"/>
      <c r="D81" s="35"/>
      <c r="E81" s="35"/>
      <c r="F81" s="35"/>
      <c r="H81" s="280">
        <v>76</v>
      </c>
      <c r="I81" s="281" t="str">
        <f t="shared" si="7"/>
        <v/>
      </c>
      <c r="J81" s="280" t="e">
        <f t="shared" si="11"/>
        <v>#NUM!</v>
      </c>
      <c r="K81" s="280" t="e">
        <f t="shared" si="8"/>
        <v>#NUM!</v>
      </c>
      <c r="L81" s="280"/>
      <c r="M81" s="282">
        <f t="shared" si="9"/>
        <v>0</v>
      </c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268"/>
      <c r="AE81" s="268"/>
      <c r="AF81" s="268"/>
      <c r="AG81" s="268"/>
      <c r="AH81" s="268"/>
      <c r="AI81" s="268"/>
      <c r="AJ81" s="268"/>
      <c r="AK81" s="268"/>
      <c r="AL81" s="268"/>
    </row>
    <row r="82" spans="1:38" s="263" customFormat="1" x14ac:dyDescent="0.25">
      <c r="A82" s="109">
        <f t="shared" si="10"/>
        <v>0</v>
      </c>
      <c r="B82" s="28" t="str">
        <f t="shared" si="6"/>
        <v/>
      </c>
      <c r="C82" s="29"/>
      <c r="D82" s="29"/>
      <c r="E82" s="29"/>
      <c r="F82" s="29"/>
      <c r="H82" s="277">
        <v>77</v>
      </c>
      <c r="I82" s="278" t="str">
        <f t="shared" si="7"/>
        <v/>
      </c>
      <c r="J82" s="277" t="e">
        <f t="shared" si="11"/>
        <v>#NUM!</v>
      </c>
      <c r="K82" s="277" t="e">
        <f t="shared" si="8"/>
        <v>#NUM!</v>
      </c>
      <c r="L82" s="277"/>
      <c r="M82" s="279">
        <f t="shared" si="9"/>
        <v>0</v>
      </c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  <c r="AD82" s="268"/>
      <c r="AE82" s="268"/>
      <c r="AF82" s="268"/>
      <c r="AG82" s="268"/>
      <c r="AH82" s="268"/>
      <c r="AI82" s="268"/>
      <c r="AJ82" s="268"/>
      <c r="AK82" s="268"/>
      <c r="AL82" s="268"/>
    </row>
    <row r="83" spans="1:38" s="263" customFormat="1" x14ac:dyDescent="0.25">
      <c r="A83" s="110">
        <f t="shared" si="10"/>
        <v>0</v>
      </c>
      <c r="B83" s="34" t="str">
        <f t="shared" si="6"/>
        <v/>
      </c>
      <c r="C83" s="35"/>
      <c r="D83" s="35"/>
      <c r="E83" s="35"/>
      <c r="F83" s="35"/>
      <c r="H83" s="280">
        <v>78</v>
      </c>
      <c r="I83" s="281" t="str">
        <f t="shared" si="7"/>
        <v/>
      </c>
      <c r="J83" s="280" t="e">
        <f t="shared" si="11"/>
        <v>#NUM!</v>
      </c>
      <c r="K83" s="280" t="e">
        <f t="shared" si="8"/>
        <v>#NUM!</v>
      </c>
      <c r="L83" s="280"/>
      <c r="M83" s="282">
        <f t="shared" si="9"/>
        <v>0</v>
      </c>
      <c r="S83" s="268"/>
      <c r="T83" s="268"/>
      <c r="U83" s="268"/>
      <c r="V83" s="268"/>
      <c r="W83" s="268"/>
      <c r="X83" s="268"/>
      <c r="Y83" s="268"/>
      <c r="Z83" s="268"/>
      <c r="AA83" s="268"/>
      <c r="AB83" s="268"/>
      <c r="AC83" s="268"/>
      <c r="AD83" s="268"/>
      <c r="AE83" s="268"/>
      <c r="AF83" s="268"/>
      <c r="AG83" s="268"/>
      <c r="AH83" s="268"/>
      <c r="AI83" s="268"/>
      <c r="AJ83" s="268"/>
      <c r="AK83" s="268"/>
      <c r="AL83" s="268"/>
    </row>
    <row r="84" spans="1:38" s="263" customFormat="1" x14ac:dyDescent="0.25">
      <c r="A84" s="109">
        <f t="shared" si="10"/>
        <v>0</v>
      </c>
      <c r="B84" s="28" t="str">
        <f t="shared" si="6"/>
        <v/>
      </c>
      <c r="C84" s="29"/>
      <c r="D84" s="29"/>
      <c r="E84" s="29"/>
      <c r="F84" s="29"/>
      <c r="H84" s="277">
        <v>79</v>
      </c>
      <c r="I84" s="278" t="str">
        <f t="shared" si="7"/>
        <v/>
      </c>
      <c r="J84" s="277" t="e">
        <f t="shared" si="11"/>
        <v>#NUM!</v>
      </c>
      <c r="K84" s="277" t="e">
        <f t="shared" si="8"/>
        <v>#NUM!</v>
      </c>
      <c r="L84" s="277"/>
      <c r="M84" s="279">
        <f t="shared" si="9"/>
        <v>0</v>
      </c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  <c r="AD84" s="268"/>
      <c r="AE84" s="268"/>
      <c r="AF84" s="268"/>
      <c r="AG84" s="268"/>
      <c r="AH84" s="268"/>
      <c r="AI84" s="268"/>
      <c r="AJ84" s="268"/>
      <c r="AK84" s="268"/>
      <c r="AL84" s="268"/>
    </row>
    <row r="85" spans="1:38" s="263" customFormat="1" x14ac:dyDescent="0.25">
      <c r="A85" s="110">
        <f t="shared" si="10"/>
        <v>0</v>
      </c>
      <c r="B85" s="34" t="str">
        <f t="shared" si="6"/>
        <v/>
      </c>
      <c r="C85" s="35"/>
      <c r="D85" s="35"/>
      <c r="E85" s="35"/>
      <c r="F85" s="35"/>
      <c r="H85" s="280">
        <v>80</v>
      </c>
      <c r="I85" s="281" t="str">
        <f t="shared" si="7"/>
        <v/>
      </c>
      <c r="J85" s="280" t="e">
        <f t="shared" si="11"/>
        <v>#NUM!</v>
      </c>
      <c r="K85" s="280" t="e">
        <f t="shared" si="8"/>
        <v>#NUM!</v>
      </c>
      <c r="L85" s="280"/>
      <c r="M85" s="282">
        <f t="shared" si="9"/>
        <v>0</v>
      </c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  <c r="AD85" s="268"/>
      <c r="AE85" s="268"/>
      <c r="AF85" s="268"/>
      <c r="AG85" s="268"/>
      <c r="AH85" s="268"/>
      <c r="AI85" s="268"/>
      <c r="AJ85" s="268"/>
      <c r="AK85" s="268"/>
      <c r="AL85" s="268"/>
    </row>
    <row r="86" spans="1:38" s="263" customFormat="1" x14ac:dyDescent="0.25">
      <c r="A86" s="109">
        <f t="shared" si="10"/>
        <v>0</v>
      </c>
      <c r="B86" s="28" t="str">
        <f t="shared" si="6"/>
        <v/>
      </c>
      <c r="C86" s="29"/>
      <c r="D86" s="29"/>
      <c r="E86" s="29"/>
      <c r="F86" s="29"/>
      <c r="H86" s="277">
        <v>81</v>
      </c>
      <c r="I86" s="278" t="str">
        <f t="shared" si="7"/>
        <v/>
      </c>
      <c r="J86" s="277" t="e">
        <f t="shared" si="11"/>
        <v>#NUM!</v>
      </c>
      <c r="K86" s="277" t="e">
        <f t="shared" si="8"/>
        <v>#NUM!</v>
      </c>
      <c r="L86" s="277"/>
      <c r="M86" s="279">
        <f t="shared" si="9"/>
        <v>0</v>
      </c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  <c r="AD86" s="268"/>
      <c r="AE86" s="268"/>
      <c r="AF86" s="268"/>
      <c r="AG86" s="268"/>
      <c r="AH86" s="268"/>
      <c r="AI86" s="268"/>
      <c r="AJ86" s="268"/>
      <c r="AK86" s="268"/>
      <c r="AL86" s="268"/>
    </row>
    <row r="87" spans="1:38" s="263" customFormat="1" x14ac:dyDescent="0.25">
      <c r="A87" s="110">
        <f t="shared" si="10"/>
        <v>0</v>
      </c>
      <c r="B87" s="34" t="str">
        <f t="shared" si="6"/>
        <v/>
      </c>
      <c r="C87" s="35"/>
      <c r="D87" s="35"/>
      <c r="E87" s="35"/>
      <c r="F87" s="35"/>
      <c r="H87" s="280">
        <v>82</v>
      </c>
      <c r="I87" s="281" t="str">
        <f t="shared" si="7"/>
        <v/>
      </c>
      <c r="J87" s="280" t="e">
        <f t="shared" si="11"/>
        <v>#NUM!</v>
      </c>
      <c r="K87" s="280" t="e">
        <f t="shared" si="8"/>
        <v>#NUM!</v>
      </c>
      <c r="L87" s="280"/>
      <c r="M87" s="282">
        <f t="shared" si="9"/>
        <v>0</v>
      </c>
      <c r="S87" s="268"/>
      <c r="T87" s="268"/>
      <c r="U87" s="268"/>
      <c r="V87" s="268"/>
      <c r="W87" s="268"/>
      <c r="X87" s="268"/>
      <c r="Y87" s="268"/>
      <c r="Z87" s="268"/>
      <c r="AA87" s="268"/>
      <c r="AB87" s="268"/>
      <c r="AC87" s="268"/>
      <c r="AD87" s="268"/>
      <c r="AE87" s="268"/>
      <c r="AF87" s="268"/>
      <c r="AG87" s="268"/>
      <c r="AH87" s="268"/>
      <c r="AI87" s="268"/>
      <c r="AJ87" s="268"/>
      <c r="AK87" s="268"/>
      <c r="AL87" s="268"/>
    </row>
    <row r="88" spans="1:38" s="263" customFormat="1" x14ac:dyDescent="0.25">
      <c r="A88" s="109">
        <f t="shared" si="10"/>
        <v>0</v>
      </c>
      <c r="B88" s="28" t="str">
        <f t="shared" si="6"/>
        <v/>
      </c>
      <c r="C88" s="29"/>
      <c r="D88" s="29"/>
      <c r="E88" s="29"/>
      <c r="F88" s="29"/>
      <c r="H88" s="277">
        <v>83</v>
      </c>
      <c r="I88" s="278" t="str">
        <f t="shared" si="7"/>
        <v/>
      </c>
      <c r="J88" s="277" t="e">
        <f t="shared" si="11"/>
        <v>#NUM!</v>
      </c>
      <c r="K88" s="277" t="e">
        <f t="shared" si="8"/>
        <v>#NUM!</v>
      </c>
      <c r="L88" s="277"/>
      <c r="M88" s="279">
        <f t="shared" si="9"/>
        <v>0</v>
      </c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  <c r="AD88" s="268"/>
      <c r="AE88" s="268"/>
      <c r="AF88" s="268"/>
      <c r="AG88" s="268"/>
      <c r="AH88" s="268"/>
      <c r="AI88" s="268"/>
      <c r="AJ88" s="268"/>
      <c r="AK88" s="268"/>
      <c r="AL88" s="268"/>
    </row>
    <row r="89" spans="1:38" s="263" customFormat="1" x14ac:dyDescent="0.25">
      <c r="A89" s="110">
        <f t="shared" si="10"/>
        <v>0</v>
      </c>
      <c r="B89" s="34" t="str">
        <f t="shared" si="6"/>
        <v/>
      </c>
      <c r="C89" s="35"/>
      <c r="D89" s="35"/>
      <c r="E89" s="35"/>
      <c r="F89" s="35"/>
      <c r="H89" s="280">
        <v>84</v>
      </c>
      <c r="I89" s="281" t="str">
        <f t="shared" si="7"/>
        <v/>
      </c>
      <c r="J89" s="280" t="e">
        <f t="shared" si="11"/>
        <v>#NUM!</v>
      </c>
      <c r="K89" s="280" t="e">
        <f t="shared" si="8"/>
        <v>#NUM!</v>
      </c>
      <c r="L89" s="280"/>
      <c r="M89" s="282">
        <f t="shared" si="9"/>
        <v>0</v>
      </c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  <c r="AD89" s="268"/>
      <c r="AE89" s="268"/>
      <c r="AF89" s="268"/>
      <c r="AG89" s="268"/>
      <c r="AH89" s="268"/>
      <c r="AI89" s="268"/>
      <c r="AJ89" s="268"/>
      <c r="AK89" s="268"/>
      <c r="AL89" s="268"/>
    </row>
    <row r="90" spans="1:38" s="263" customFormat="1" x14ac:dyDescent="0.25">
      <c r="A90" s="109">
        <f t="shared" si="10"/>
        <v>0</v>
      </c>
      <c r="B90" s="28" t="str">
        <f t="shared" si="6"/>
        <v/>
      </c>
      <c r="C90" s="29"/>
      <c r="D90" s="29"/>
      <c r="E90" s="29"/>
      <c r="F90" s="29"/>
      <c r="H90" s="277">
        <v>85</v>
      </c>
      <c r="I90" s="278" t="str">
        <f t="shared" si="7"/>
        <v/>
      </c>
      <c r="J90" s="277" t="e">
        <f t="shared" si="11"/>
        <v>#NUM!</v>
      </c>
      <c r="K90" s="277" t="e">
        <f t="shared" si="8"/>
        <v>#NUM!</v>
      </c>
      <c r="L90" s="277"/>
      <c r="M90" s="279">
        <f t="shared" si="9"/>
        <v>0</v>
      </c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  <c r="AD90" s="268"/>
      <c r="AE90" s="268"/>
      <c r="AF90" s="268"/>
      <c r="AG90" s="268"/>
      <c r="AH90" s="268"/>
      <c r="AI90" s="268"/>
      <c r="AJ90" s="268"/>
      <c r="AK90" s="268"/>
      <c r="AL90" s="268"/>
    </row>
    <row r="91" spans="1:38" s="263" customFormat="1" x14ac:dyDescent="0.25">
      <c r="A91" s="110">
        <f t="shared" si="10"/>
        <v>0</v>
      </c>
      <c r="B91" s="34" t="str">
        <f t="shared" si="6"/>
        <v/>
      </c>
      <c r="C91" s="35"/>
      <c r="D91" s="35"/>
      <c r="E91" s="35"/>
      <c r="F91" s="35"/>
      <c r="H91" s="280">
        <v>86</v>
      </c>
      <c r="I91" s="281" t="str">
        <f t="shared" si="7"/>
        <v/>
      </c>
      <c r="J91" s="280" t="e">
        <f t="shared" si="11"/>
        <v>#NUM!</v>
      </c>
      <c r="K91" s="280" t="e">
        <f t="shared" si="8"/>
        <v>#NUM!</v>
      </c>
      <c r="L91" s="280"/>
      <c r="M91" s="282">
        <f t="shared" si="9"/>
        <v>0</v>
      </c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  <c r="AD91" s="268"/>
      <c r="AE91" s="268"/>
      <c r="AF91" s="268"/>
      <c r="AG91" s="268"/>
      <c r="AH91" s="268"/>
      <c r="AI91" s="268"/>
      <c r="AJ91" s="268"/>
      <c r="AK91" s="268"/>
      <c r="AL91" s="268"/>
    </row>
    <row r="92" spans="1:38" s="263" customFormat="1" x14ac:dyDescent="0.25">
      <c r="A92" s="109">
        <f t="shared" si="10"/>
        <v>0</v>
      </c>
      <c r="B92" s="28" t="str">
        <f t="shared" si="6"/>
        <v/>
      </c>
      <c r="C92" s="29"/>
      <c r="D92" s="29"/>
      <c r="E92" s="29"/>
      <c r="F92" s="29"/>
      <c r="H92" s="277">
        <v>87</v>
      </c>
      <c r="I92" s="278" t="str">
        <f t="shared" si="7"/>
        <v/>
      </c>
      <c r="J92" s="277" t="e">
        <f t="shared" si="11"/>
        <v>#NUM!</v>
      </c>
      <c r="K92" s="277" t="e">
        <f t="shared" si="8"/>
        <v>#NUM!</v>
      </c>
      <c r="L92" s="277"/>
      <c r="M92" s="279">
        <f t="shared" si="9"/>
        <v>0</v>
      </c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  <c r="AD92" s="268"/>
      <c r="AE92" s="268"/>
      <c r="AF92" s="268"/>
      <c r="AG92" s="268"/>
      <c r="AH92" s="268"/>
      <c r="AI92" s="268"/>
      <c r="AJ92" s="268"/>
      <c r="AK92" s="268"/>
      <c r="AL92" s="268"/>
    </row>
    <row r="93" spans="1:38" s="263" customFormat="1" x14ac:dyDescent="0.25">
      <c r="A93" s="110">
        <f t="shared" si="10"/>
        <v>0</v>
      </c>
      <c r="B93" s="34" t="str">
        <f t="shared" si="6"/>
        <v/>
      </c>
      <c r="C93" s="35"/>
      <c r="D93" s="35"/>
      <c r="E93" s="35"/>
      <c r="F93" s="35"/>
      <c r="H93" s="280">
        <v>88</v>
      </c>
      <c r="I93" s="281" t="str">
        <f t="shared" si="7"/>
        <v/>
      </c>
      <c r="J93" s="280" t="e">
        <f t="shared" si="11"/>
        <v>#NUM!</v>
      </c>
      <c r="K93" s="280" t="e">
        <f t="shared" si="8"/>
        <v>#NUM!</v>
      </c>
      <c r="L93" s="280"/>
      <c r="M93" s="282">
        <f t="shared" si="9"/>
        <v>0</v>
      </c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  <c r="AD93" s="268"/>
      <c r="AE93" s="268"/>
      <c r="AF93" s="268"/>
      <c r="AG93" s="268"/>
      <c r="AH93" s="268"/>
      <c r="AI93" s="268"/>
      <c r="AJ93" s="268"/>
      <c r="AK93" s="268"/>
      <c r="AL93" s="268"/>
    </row>
    <row r="94" spans="1:38" s="263" customFormat="1" x14ac:dyDescent="0.25">
      <c r="A94" s="109">
        <f t="shared" si="10"/>
        <v>0</v>
      </c>
      <c r="B94" s="28" t="str">
        <f t="shared" si="6"/>
        <v/>
      </c>
      <c r="C94" s="29"/>
      <c r="D94" s="29"/>
      <c r="E94" s="29"/>
      <c r="F94" s="29"/>
      <c r="H94" s="277">
        <v>89</v>
      </c>
      <c r="I94" s="278" t="str">
        <f t="shared" si="7"/>
        <v/>
      </c>
      <c r="J94" s="277" t="e">
        <f t="shared" si="11"/>
        <v>#NUM!</v>
      </c>
      <c r="K94" s="277" t="e">
        <f t="shared" si="8"/>
        <v>#NUM!</v>
      </c>
      <c r="L94" s="277"/>
      <c r="M94" s="279">
        <f t="shared" si="9"/>
        <v>0</v>
      </c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  <c r="AD94" s="268"/>
      <c r="AE94" s="268"/>
      <c r="AF94" s="268"/>
      <c r="AG94" s="268"/>
      <c r="AH94" s="268"/>
      <c r="AI94" s="268"/>
      <c r="AJ94" s="268"/>
      <c r="AK94" s="268"/>
      <c r="AL94" s="268"/>
    </row>
    <row r="95" spans="1:38" s="263" customFormat="1" x14ac:dyDescent="0.25">
      <c r="A95" s="110">
        <f t="shared" si="10"/>
        <v>0</v>
      </c>
      <c r="B95" s="34" t="str">
        <f t="shared" si="6"/>
        <v/>
      </c>
      <c r="C95" s="35"/>
      <c r="D95" s="35"/>
      <c r="E95" s="35"/>
      <c r="F95" s="35"/>
      <c r="H95" s="280">
        <v>90</v>
      </c>
      <c r="I95" s="281" t="str">
        <f t="shared" si="7"/>
        <v/>
      </c>
      <c r="J95" s="280" t="e">
        <f t="shared" si="11"/>
        <v>#NUM!</v>
      </c>
      <c r="K95" s="280" t="e">
        <f t="shared" si="8"/>
        <v>#NUM!</v>
      </c>
      <c r="L95" s="280"/>
      <c r="M95" s="282">
        <f t="shared" si="9"/>
        <v>0</v>
      </c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  <c r="AD95" s="268"/>
      <c r="AE95" s="268"/>
      <c r="AF95" s="268"/>
      <c r="AG95" s="268"/>
      <c r="AH95" s="268"/>
      <c r="AI95" s="268"/>
      <c r="AJ95" s="268"/>
      <c r="AK95" s="268"/>
      <c r="AL95" s="268"/>
    </row>
    <row r="96" spans="1:38" s="263" customFormat="1" x14ac:dyDescent="0.25">
      <c r="A96" s="109">
        <f t="shared" si="10"/>
        <v>0</v>
      </c>
      <c r="B96" s="28" t="str">
        <f t="shared" si="6"/>
        <v/>
      </c>
      <c r="C96" s="29"/>
      <c r="D96" s="29"/>
      <c r="E96" s="29"/>
      <c r="F96" s="29"/>
      <c r="H96" s="277">
        <v>91</v>
      </c>
      <c r="I96" s="278" t="str">
        <f t="shared" si="7"/>
        <v/>
      </c>
      <c r="J96" s="277" t="e">
        <f t="shared" si="11"/>
        <v>#NUM!</v>
      </c>
      <c r="K96" s="277" t="e">
        <f t="shared" si="8"/>
        <v>#NUM!</v>
      </c>
      <c r="L96" s="277"/>
      <c r="M96" s="279">
        <f t="shared" si="9"/>
        <v>0</v>
      </c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  <c r="AD96" s="268"/>
      <c r="AE96" s="268"/>
      <c r="AF96" s="268"/>
      <c r="AG96" s="268"/>
      <c r="AH96" s="268"/>
      <c r="AI96" s="268"/>
      <c r="AJ96" s="268"/>
      <c r="AK96" s="268"/>
      <c r="AL96" s="268"/>
    </row>
    <row r="97" spans="1:38" s="263" customFormat="1" x14ac:dyDescent="0.25">
      <c r="A97" s="110">
        <f t="shared" si="10"/>
        <v>0</v>
      </c>
      <c r="B97" s="34" t="str">
        <f t="shared" si="6"/>
        <v/>
      </c>
      <c r="C97" s="35"/>
      <c r="D97" s="35"/>
      <c r="E97" s="35"/>
      <c r="F97" s="35"/>
      <c r="H97" s="280">
        <v>92</v>
      </c>
      <c r="I97" s="281" t="str">
        <f t="shared" si="7"/>
        <v/>
      </c>
      <c r="J97" s="280" t="e">
        <f t="shared" si="11"/>
        <v>#NUM!</v>
      </c>
      <c r="K97" s="280" t="e">
        <f t="shared" si="8"/>
        <v>#NUM!</v>
      </c>
      <c r="L97" s="280"/>
      <c r="M97" s="282">
        <f t="shared" si="9"/>
        <v>0</v>
      </c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  <c r="AD97" s="268"/>
      <c r="AE97" s="268"/>
      <c r="AF97" s="268"/>
      <c r="AG97" s="268"/>
      <c r="AH97" s="268"/>
      <c r="AI97" s="268"/>
      <c r="AJ97" s="268"/>
      <c r="AK97" s="268"/>
      <c r="AL97" s="268"/>
    </row>
    <row r="98" spans="1:38" s="263" customFormat="1" x14ac:dyDescent="0.25">
      <c r="A98" s="109">
        <f t="shared" si="10"/>
        <v>0</v>
      </c>
      <c r="B98" s="28" t="str">
        <f t="shared" si="6"/>
        <v/>
      </c>
      <c r="C98" s="29"/>
      <c r="D98" s="29"/>
      <c r="E98" s="29"/>
      <c r="F98" s="29"/>
      <c r="H98" s="277">
        <v>93</v>
      </c>
      <c r="I98" s="278" t="str">
        <f t="shared" si="7"/>
        <v/>
      </c>
      <c r="J98" s="277" t="e">
        <f t="shared" si="11"/>
        <v>#NUM!</v>
      </c>
      <c r="K98" s="277" t="e">
        <f t="shared" si="8"/>
        <v>#NUM!</v>
      </c>
      <c r="L98" s="277"/>
      <c r="M98" s="279">
        <f t="shared" si="9"/>
        <v>0</v>
      </c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  <c r="AD98" s="268"/>
      <c r="AE98" s="268"/>
      <c r="AF98" s="268"/>
      <c r="AG98" s="268"/>
      <c r="AH98" s="268"/>
      <c r="AI98" s="268"/>
      <c r="AJ98" s="268"/>
      <c r="AK98" s="268"/>
      <c r="AL98" s="268"/>
    </row>
    <row r="99" spans="1:38" s="263" customFormat="1" x14ac:dyDescent="0.25">
      <c r="A99" s="110">
        <f t="shared" si="10"/>
        <v>0</v>
      </c>
      <c r="B99" s="34" t="str">
        <f t="shared" si="6"/>
        <v/>
      </c>
      <c r="C99" s="35"/>
      <c r="D99" s="35"/>
      <c r="E99" s="35"/>
      <c r="F99" s="35"/>
      <c r="H99" s="280">
        <v>94</v>
      </c>
      <c r="I99" s="281" t="str">
        <f t="shared" si="7"/>
        <v/>
      </c>
      <c r="J99" s="280" t="e">
        <f t="shared" si="11"/>
        <v>#NUM!</v>
      </c>
      <c r="K99" s="280" t="e">
        <f t="shared" si="8"/>
        <v>#NUM!</v>
      </c>
      <c r="L99" s="280"/>
      <c r="M99" s="282">
        <f t="shared" si="9"/>
        <v>0</v>
      </c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  <c r="AD99" s="268"/>
      <c r="AE99" s="268"/>
      <c r="AF99" s="268"/>
      <c r="AG99" s="268"/>
      <c r="AH99" s="268"/>
      <c r="AI99" s="268"/>
      <c r="AJ99" s="268"/>
      <c r="AK99" s="268"/>
      <c r="AL99" s="268"/>
    </row>
    <row r="100" spans="1:38" s="263" customFormat="1" x14ac:dyDescent="0.25">
      <c r="A100" s="109">
        <f t="shared" si="10"/>
        <v>0</v>
      </c>
      <c r="B100" s="28" t="str">
        <f t="shared" si="6"/>
        <v/>
      </c>
      <c r="C100" s="29"/>
      <c r="D100" s="29"/>
      <c r="E100" s="29"/>
      <c r="F100" s="29"/>
      <c r="H100" s="277">
        <v>95</v>
      </c>
      <c r="I100" s="278" t="str">
        <f t="shared" si="7"/>
        <v/>
      </c>
      <c r="J100" s="277" t="e">
        <f t="shared" si="11"/>
        <v>#NUM!</v>
      </c>
      <c r="K100" s="277" t="e">
        <f t="shared" si="8"/>
        <v>#NUM!</v>
      </c>
      <c r="L100" s="277"/>
      <c r="M100" s="279">
        <f t="shared" si="9"/>
        <v>0</v>
      </c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  <c r="AD100" s="268"/>
      <c r="AE100" s="268"/>
      <c r="AF100" s="268"/>
      <c r="AG100" s="268"/>
      <c r="AH100" s="268"/>
      <c r="AI100" s="268"/>
      <c r="AJ100" s="268"/>
      <c r="AK100" s="268"/>
      <c r="AL100" s="268"/>
    </row>
    <row r="101" spans="1:38" s="263" customFormat="1" x14ac:dyDescent="0.25">
      <c r="A101" s="110">
        <f t="shared" si="10"/>
        <v>0</v>
      </c>
      <c r="B101" s="34" t="str">
        <f t="shared" si="6"/>
        <v/>
      </c>
      <c r="C101" s="35"/>
      <c r="D101" s="35"/>
      <c r="E101" s="35"/>
      <c r="F101" s="35"/>
      <c r="H101" s="280">
        <v>96</v>
      </c>
      <c r="I101" s="281" t="str">
        <f t="shared" si="7"/>
        <v/>
      </c>
      <c r="J101" s="280" t="e">
        <f t="shared" si="11"/>
        <v>#NUM!</v>
      </c>
      <c r="K101" s="280" t="e">
        <f t="shared" si="8"/>
        <v>#NUM!</v>
      </c>
      <c r="L101" s="280"/>
      <c r="M101" s="282">
        <f t="shared" si="9"/>
        <v>0</v>
      </c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  <c r="AD101" s="268"/>
      <c r="AE101" s="268"/>
      <c r="AF101" s="268"/>
      <c r="AG101" s="268"/>
      <c r="AH101" s="268"/>
      <c r="AI101" s="268"/>
      <c r="AJ101" s="268"/>
      <c r="AK101" s="268"/>
      <c r="AL101" s="268"/>
    </row>
    <row r="102" spans="1:38" s="263" customFormat="1" x14ac:dyDescent="0.25">
      <c r="A102" s="109">
        <f t="shared" si="10"/>
        <v>0</v>
      </c>
      <c r="B102" s="28" t="str">
        <f t="shared" si="6"/>
        <v/>
      </c>
      <c r="C102" s="29"/>
      <c r="D102" s="29"/>
      <c r="E102" s="29"/>
      <c r="F102" s="29"/>
      <c r="H102" s="277">
        <v>97</v>
      </c>
      <c r="I102" s="278" t="str">
        <f t="shared" si="7"/>
        <v/>
      </c>
      <c r="J102" s="277" t="e">
        <f t="shared" si="11"/>
        <v>#NUM!</v>
      </c>
      <c r="K102" s="277" t="e">
        <f t="shared" si="8"/>
        <v>#NUM!</v>
      </c>
      <c r="L102" s="277"/>
      <c r="M102" s="279">
        <f t="shared" si="9"/>
        <v>0</v>
      </c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  <c r="AD102" s="268"/>
      <c r="AE102" s="268"/>
      <c r="AF102" s="268"/>
      <c r="AG102" s="268"/>
      <c r="AH102" s="268"/>
      <c r="AI102" s="268"/>
      <c r="AJ102" s="268"/>
      <c r="AK102" s="268"/>
      <c r="AL102" s="268"/>
    </row>
    <row r="103" spans="1:38" s="263" customFormat="1" x14ac:dyDescent="0.25">
      <c r="A103" s="110">
        <f t="shared" si="10"/>
        <v>0</v>
      </c>
      <c r="B103" s="34" t="str">
        <f t="shared" si="6"/>
        <v/>
      </c>
      <c r="C103" s="35"/>
      <c r="D103" s="35"/>
      <c r="E103" s="35"/>
      <c r="F103" s="35"/>
      <c r="H103" s="280">
        <v>98</v>
      </c>
      <c r="I103" s="281" t="str">
        <f t="shared" si="7"/>
        <v/>
      </c>
      <c r="J103" s="280" t="e">
        <f t="shared" si="11"/>
        <v>#NUM!</v>
      </c>
      <c r="K103" s="280" t="e">
        <f t="shared" si="8"/>
        <v>#NUM!</v>
      </c>
      <c r="L103" s="280"/>
      <c r="M103" s="282">
        <f t="shared" si="9"/>
        <v>0</v>
      </c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  <c r="AD103" s="268"/>
      <c r="AE103" s="268"/>
      <c r="AF103" s="268"/>
      <c r="AG103" s="268"/>
      <c r="AH103" s="268"/>
      <c r="AI103" s="268"/>
      <c r="AJ103" s="268"/>
      <c r="AK103" s="268"/>
      <c r="AL103" s="268"/>
    </row>
    <row r="104" spans="1:38" s="263" customFormat="1" x14ac:dyDescent="0.25">
      <c r="A104" s="109">
        <f t="shared" si="10"/>
        <v>0</v>
      </c>
      <c r="B104" s="28" t="str">
        <f t="shared" si="6"/>
        <v/>
      </c>
      <c r="C104" s="29"/>
      <c r="D104" s="29"/>
      <c r="E104" s="29"/>
      <c r="F104" s="29"/>
      <c r="H104" s="277">
        <v>99</v>
      </c>
      <c r="I104" s="278" t="str">
        <f t="shared" si="7"/>
        <v/>
      </c>
      <c r="J104" s="277" t="e">
        <f t="shared" si="11"/>
        <v>#NUM!</v>
      </c>
      <c r="K104" s="277" t="e">
        <f t="shared" si="8"/>
        <v>#NUM!</v>
      </c>
      <c r="L104" s="277"/>
      <c r="M104" s="279">
        <f t="shared" si="9"/>
        <v>0</v>
      </c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  <c r="AD104" s="268"/>
      <c r="AE104" s="268"/>
      <c r="AF104" s="268"/>
      <c r="AG104" s="268"/>
      <c r="AH104" s="268"/>
      <c r="AI104" s="268"/>
      <c r="AJ104" s="268"/>
      <c r="AK104" s="268"/>
      <c r="AL104" s="268"/>
    </row>
    <row r="105" spans="1:38" s="263" customFormat="1" x14ac:dyDescent="0.25">
      <c r="A105" s="110">
        <f t="shared" si="10"/>
        <v>0</v>
      </c>
      <c r="B105" s="34" t="str">
        <f t="shared" si="6"/>
        <v/>
      </c>
      <c r="C105" s="35"/>
      <c r="D105" s="35"/>
      <c r="E105" s="35"/>
      <c r="F105" s="35"/>
      <c r="H105" s="280">
        <v>100</v>
      </c>
      <c r="I105" s="281" t="str">
        <f t="shared" si="7"/>
        <v/>
      </c>
      <c r="J105" s="280" t="e">
        <f t="shared" si="11"/>
        <v>#NUM!</v>
      </c>
      <c r="K105" s="280" t="e">
        <f t="shared" si="8"/>
        <v>#NUM!</v>
      </c>
      <c r="L105" s="280"/>
      <c r="M105" s="282">
        <f t="shared" si="9"/>
        <v>0</v>
      </c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  <c r="AD105" s="268"/>
      <c r="AE105" s="268"/>
      <c r="AF105" s="268"/>
      <c r="AG105" s="268"/>
      <c r="AH105" s="268"/>
      <c r="AI105" s="268"/>
      <c r="AJ105" s="268"/>
      <c r="AK105" s="268"/>
      <c r="AL105" s="268"/>
    </row>
    <row r="106" spans="1:38" s="263" customFormat="1" x14ac:dyDescent="0.25">
      <c r="A106" s="109">
        <f t="shared" si="10"/>
        <v>0</v>
      </c>
      <c r="B106" s="28" t="str">
        <f t="shared" si="6"/>
        <v/>
      </c>
      <c r="C106" s="29"/>
      <c r="D106" s="29"/>
      <c r="E106" s="29"/>
      <c r="F106" s="29"/>
      <c r="H106" s="277">
        <v>101</v>
      </c>
      <c r="I106" s="278" t="str">
        <f t="shared" si="7"/>
        <v/>
      </c>
      <c r="J106" s="277" t="e">
        <f t="shared" si="11"/>
        <v>#NUM!</v>
      </c>
      <c r="K106" s="277" t="e">
        <f t="shared" si="8"/>
        <v>#NUM!</v>
      </c>
      <c r="L106" s="277"/>
      <c r="M106" s="279">
        <f t="shared" si="9"/>
        <v>0</v>
      </c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  <c r="AD106" s="268"/>
      <c r="AE106" s="268"/>
      <c r="AF106" s="268"/>
      <c r="AG106" s="268"/>
      <c r="AH106" s="268"/>
      <c r="AI106" s="268"/>
      <c r="AJ106" s="268"/>
      <c r="AK106" s="268"/>
      <c r="AL106" s="268"/>
    </row>
    <row r="107" spans="1:38" s="263" customFormat="1" x14ac:dyDescent="0.25">
      <c r="A107" s="110">
        <f t="shared" si="10"/>
        <v>0</v>
      </c>
      <c r="B107" s="34" t="str">
        <f t="shared" si="6"/>
        <v/>
      </c>
      <c r="C107" s="35"/>
      <c r="D107" s="35"/>
      <c r="E107" s="35"/>
      <c r="F107" s="35"/>
      <c r="H107" s="280">
        <v>102</v>
      </c>
      <c r="I107" s="281" t="str">
        <f t="shared" si="7"/>
        <v/>
      </c>
      <c r="J107" s="280" t="e">
        <f t="shared" si="11"/>
        <v>#NUM!</v>
      </c>
      <c r="K107" s="280" t="e">
        <f t="shared" si="8"/>
        <v>#NUM!</v>
      </c>
      <c r="L107" s="280"/>
      <c r="M107" s="282">
        <f t="shared" si="9"/>
        <v>0</v>
      </c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  <c r="AD107" s="268"/>
      <c r="AE107" s="268"/>
      <c r="AF107" s="268"/>
      <c r="AG107" s="268"/>
      <c r="AH107" s="268"/>
      <c r="AI107" s="268"/>
      <c r="AJ107" s="268"/>
      <c r="AK107" s="268"/>
      <c r="AL107" s="268"/>
    </row>
    <row r="108" spans="1:38" s="263" customFormat="1" x14ac:dyDescent="0.25">
      <c r="A108" s="109">
        <f t="shared" si="10"/>
        <v>0</v>
      </c>
      <c r="B108" s="28" t="str">
        <f t="shared" si="6"/>
        <v/>
      </c>
      <c r="C108" s="29"/>
      <c r="D108" s="29"/>
      <c r="E108" s="29"/>
      <c r="F108" s="29"/>
      <c r="H108" s="277">
        <v>103</v>
      </c>
      <c r="I108" s="278" t="str">
        <f t="shared" si="7"/>
        <v/>
      </c>
      <c r="J108" s="277" t="e">
        <f t="shared" si="11"/>
        <v>#NUM!</v>
      </c>
      <c r="K108" s="277" t="e">
        <f t="shared" si="8"/>
        <v>#NUM!</v>
      </c>
      <c r="L108" s="277"/>
      <c r="M108" s="279">
        <f t="shared" si="9"/>
        <v>0</v>
      </c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  <c r="AD108" s="268"/>
      <c r="AE108" s="268"/>
      <c r="AF108" s="268"/>
      <c r="AG108" s="268"/>
      <c r="AH108" s="268"/>
      <c r="AI108" s="268"/>
      <c r="AJ108" s="268"/>
      <c r="AK108" s="268"/>
      <c r="AL108" s="268"/>
    </row>
    <row r="109" spans="1:38" s="263" customFormat="1" x14ac:dyDescent="0.25">
      <c r="A109" s="110">
        <f t="shared" si="10"/>
        <v>0</v>
      </c>
      <c r="B109" s="34" t="str">
        <f t="shared" si="6"/>
        <v/>
      </c>
      <c r="C109" s="35"/>
      <c r="D109" s="35"/>
      <c r="E109" s="35"/>
      <c r="F109" s="35"/>
      <c r="H109" s="280">
        <v>104</v>
      </c>
      <c r="I109" s="281" t="str">
        <f t="shared" si="7"/>
        <v/>
      </c>
      <c r="J109" s="280" t="e">
        <f t="shared" si="11"/>
        <v>#NUM!</v>
      </c>
      <c r="K109" s="280" t="e">
        <f t="shared" si="8"/>
        <v>#NUM!</v>
      </c>
      <c r="L109" s="280"/>
      <c r="M109" s="282">
        <f t="shared" si="9"/>
        <v>0</v>
      </c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  <c r="AD109" s="268"/>
      <c r="AE109" s="268"/>
      <c r="AF109" s="268"/>
      <c r="AG109" s="268"/>
      <c r="AH109" s="268"/>
      <c r="AI109" s="268"/>
      <c r="AJ109" s="268"/>
      <c r="AK109" s="268"/>
      <c r="AL109" s="268"/>
    </row>
    <row r="110" spans="1:38" s="263" customFormat="1" x14ac:dyDescent="0.25">
      <c r="A110" s="109">
        <f t="shared" si="10"/>
        <v>0</v>
      </c>
      <c r="B110" s="28" t="str">
        <f t="shared" si="6"/>
        <v/>
      </c>
      <c r="C110" s="29"/>
      <c r="D110" s="29"/>
      <c r="E110" s="29"/>
      <c r="F110" s="29"/>
      <c r="H110" s="277">
        <v>105</v>
      </c>
      <c r="I110" s="278" t="str">
        <f t="shared" si="7"/>
        <v/>
      </c>
      <c r="J110" s="277" t="e">
        <f t="shared" si="11"/>
        <v>#NUM!</v>
      </c>
      <c r="K110" s="277" t="e">
        <f t="shared" si="8"/>
        <v>#NUM!</v>
      </c>
      <c r="L110" s="277"/>
      <c r="M110" s="279">
        <f t="shared" si="9"/>
        <v>0</v>
      </c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  <c r="AD110" s="268"/>
      <c r="AE110" s="268"/>
      <c r="AF110" s="268"/>
      <c r="AG110" s="268"/>
      <c r="AH110" s="268"/>
      <c r="AI110" s="268"/>
      <c r="AJ110" s="268"/>
      <c r="AK110" s="268"/>
      <c r="AL110" s="268"/>
    </row>
    <row r="111" spans="1:38" s="263" customFormat="1" x14ac:dyDescent="0.25">
      <c r="A111" s="110">
        <f t="shared" si="10"/>
        <v>0</v>
      </c>
      <c r="B111" s="34" t="str">
        <f t="shared" si="6"/>
        <v/>
      </c>
      <c r="C111" s="35"/>
      <c r="D111" s="35"/>
      <c r="E111" s="35"/>
      <c r="F111" s="35"/>
      <c r="H111" s="280">
        <v>106</v>
      </c>
      <c r="I111" s="281" t="str">
        <f t="shared" si="7"/>
        <v/>
      </c>
      <c r="J111" s="280" t="e">
        <f t="shared" si="11"/>
        <v>#NUM!</v>
      </c>
      <c r="K111" s="280" t="e">
        <f t="shared" si="8"/>
        <v>#NUM!</v>
      </c>
      <c r="L111" s="280"/>
      <c r="M111" s="282">
        <f t="shared" si="9"/>
        <v>0</v>
      </c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  <c r="AD111" s="268"/>
      <c r="AE111" s="268"/>
      <c r="AF111" s="268"/>
      <c r="AG111" s="268"/>
      <c r="AH111" s="268"/>
      <c r="AI111" s="268"/>
      <c r="AJ111" s="268"/>
      <c r="AK111" s="268"/>
      <c r="AL111" s="268"/>
    </row>
    <row r="112" spans="1:38" s="263" customFormat="1" x14ac:dyDescent="0.25">
      <c r="A112" s="109">
        <f t="shared" si="10"/>
        <v>0</v>
      </c>
      <c r="B112" s="28" t="str">
        <f t="shared" si="6"/>
        <v/>
      </c>
      <c r="C112" s="29"/>
      <c r="D112" s="29"/>
      <c r="E112" s="29"/>
      <c r="F112" s="29"/>
      <c r="H112" s="277">
        <v>107</v>
      </c>
      <c r="I112" s="278" t="str">
        <f t="shared" si="7"/>
        <v/>
      </c>
      <c r="J112" s="277" t="e">
        <f t="shared" si="11"/>
        <v>#NUM!</v>
      </c>
      <c r="K112" s="277" t="e">
        <f t="shared" si="8"/>
        <v>#NUM!</v>
      </c>
      <c r="L112" s="277"/>
      <c r="M112" s="279">
        <f t="shared" si="9"/>
        <v>0</v>
      </c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  <c r="AD112" s="268"/>
      <c r="AE112" s="268"/>
      <c r="AF112" s="268"/>
      <c r="AG112" s="268"/>
      <c r="AH112" s="268"/>
      <c r="AI112" s="268"/>
      <c r="AJ112" s="268"/>
      <c r="AK112" s="268"/>
      <c r="AL112" s="268"/>
    </row>
    <row r="113" spans="1:38" s="263" customFormat="1" x14ac:dyDescent="0.25">
      <c r="A113" s="110">
        <f t="shared" si="10"/>
        <v>0</v>
      </c>
      <c r="B113" s="34" t="str">
        <f t="shared" si="6"/>
        <v/>
      </c>
      <c r="C113" s="35"/>
      <c r="D113" s="35"/>
      <c r="E113" s="35"/>
      <c r="F113" s="35"/>
      <c r="H113" s="280">
        <v>108</v>
      </c>
      <c r="I113" s="281" t="str">
        <f t="shared" si="7"/>
        <v/>
      </c>
      <c r="J113" s="280" t="e">
        <f t="shared" si="11"/>
        <v>#NUM!</v>
      </c>
      <c r="K113" s="280" t="e">
        <f t="shared" si="8"/>
        <v>#NUM!</v>
      </c>
      <c r="L113" s="280"/>
      <c r="M113" s="282">
        <f t="shared" si="9"/>
        <v>0</v>
      </c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  <c r="AD113" s="268"/>
      <c r="AE113" s="268"/>
      <c r="AF113" s="268"/>
      <c r="AG113" s="268"/>
      <c r="AH113" s="268"/>
      <c r="AI113" s="268"/>
      <c r="AJ113" s="268"/>
      <c r="AK113" s="268"/>
      <c r="AL113" s="268"/>
    </row>
    <row r="114" spans="1:38" s="263" customFormat="1" x14ac:dyDescent="0.25">
      <c r="A114" s="109">
        <f t="shared" si="10"/>
        <v>0</v>
      </c>
      <c r="B114" s="28" t="str">
        <f t="shared" si="6"/>
        <v/>
      </c>
      <c r="C114" s="29"/>
      <c r="D114" s="29"/>
      <c r="E114" s="29"/>
      <c r="F114" s="29"/>
      <c r="H114" s="277">
        <v>109</v>
      </c>
      <c r="I114" s="278" t="str">
        <f t="shared" si="7"/>
        <v/>
      </c>
      <c r="J114" s="277" t="e">
        <f t="shared" si="11"/>
        <v>#NUM!</v>
      </c>
      <c r="K114" s="277" t="e">
        <f t="shared" si="8"/>
        <v>#NUM!</v>
      </c>
      <c r="L114" s="277"/>
      <c r="M114" s="279">
        <f t="shared" si="9"/>
        <v>0</v>
      </c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  <c r="AD114" s="268"/>
      <c r="AE114" s="268"/>
      <c r="AF114" s="268"/>
      <c r="AG114" s="268"/>
      <c r="AH114" s="268"/>
      <c r="AI114" s="268"/>
      <c r="AJ114" s="268"/>
      <c r="AK114" s="268"/>
      <c r="AL114" s="268"/>
    </row>
    <row r="115" spans="1:38" s="263" customFormat="1" x14ac:dyDescent="0.25">
      <c r="A115" s="110">
        <f t="shared" si="10"/>
        <v>0</v>
      </c>
      <c r="B115" s="34" t="str">
        <f t="shared" si="6"/>
        <v/>
      </c>
      <c r="C115" s="35"/>
      <c r="D115" s="35"/>
      <c r="E115" s="35"/>
      <c r="F115" s="35"/>
      <c r="H115" s="280">
        <v>110</v>
      </c>
      <c r="I115" s="281" t="str">
        <f t="shared" si="7"/>
        <v/>
      </c>
      <c r="J115" s="280" t="e">
        <f t="shared" si="11"/>
        <v>#NUM!</v>
      </c>
      <c r="K115" s="280" t="e">
        <f t="shared" si="8"/>
        <v>#NUM!</v>
      </c>
      <c r="L115" s="280"/>
      <c r="M115" s="282">
        <f t="shared" si="9"/>
        <v>0</v>
      </c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  <c r="AD115" s="268"/>
      <c r="AE115" s="268"/>
      <c r="AF115" s="268"/>
      <c r="AG115" s="268"/>
      <c r="AH115" s="268"/>
      <c r="AI115" s="268"/>
      <c r="AJ115" s="268"/>
      <c r="AK115" s="268"/>
      <c r="AL115" s="268"/>
    </row>
    <row r="116" spans="1:38" s="263" customFormat="1" x14ac:dyDescent="0.25">
      <c r="A116" s="109">
        <f t="shared" si="10"/>
        <v>0</v>
      </c>
      <c r="B116" s="28" t="str">
        <f t="shared" si="6"/>
        <v/>
      </c>
      <c r="C116" s="29"/>
      <c r="D116" s="29"/>
      <c r="E116" s="29"/>
      <c r="F116" s="29"/>
      <c r="H116" s="277">
        <v>111</v>
      </c>
      <c r="I116" s="278" t="str">
        <f t="shared" si="7"/>
        <v/>
      </c>
      <c r="J116" s="277" t="e">
        <f t="shared" si="11"/>
        <v>#NUM!</v>
      </c>
      <c r="K116" s="277" t="e">
        <f t="shared" si="8"/>
        <v>#NUM!</v>
      </c>
      <c r="L116" s="277"/>
      <c r="M116" s="279">
        <f t="shared" si="9"/>
        <v>0</v>
      </c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  <c r="AD116" s="268"/>
      <c r="AE116" s="268"/>
      <c r="AF116" s="268"/>
      <c r="AG116" s="268"/>
      <c r="AH116" s="268"/>
      <c r="AI116" s="268"/>
      <c r="AJ116" s="268"/>
      <c r="AK116" s="268"/>
      <c r="AL116" s="268"/>
    </row>
    <row r="117" spans="1:38" s="263" customFormat="1" x14ac:dyDescent="0.25">
      <c r="A117" s="110">
        <f t="shared" si="10"/>
        <v>0</v>
      </c>
      <c r="B117" s="34" t="str">
        <f t="shared" si="6"/>
        <v/>
      </c>
      <c r="C117" s="35"/>
      <c r="D117" s="35"/>
      <c r="E117" s="35"/>
      <c r="F117" s="35"/>
      <c r="H117" s="280">
        <v>112</v>
      </c>
      <c r="I117" s="281" t="str">
        <f t="shared" si="7"/>
        <v/>
      </c>
      <c r="J117" s="280" t="e">
        <f t="shared" si="11"/>
        <v>#NUM!</v>
      </c>
      <c r="K117" s="280" t="e">
        <f t="shared" si="8"/>
        <v>#NUM!</v>
      </c>
      <c r="L117" s="280"/>
      <c r="M117" s="282">
        <f t="shared" si="9"/>
        <v>0</v>
      </c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  <c r="AD117" s="268"/>
      <c r="AE117" s="268"/>
      <c r="AF117" s="268"/>
      <c r="AG117" s="268"/>
      <c r="AH117" s="268"/>
      <c r="AI117" s="268"/>
      <c r="AJ117" s="268"/>
      <c r="AK117" s="268"/>
      <c r="AL117" s="268"/>
    </row>
    <row r="118" spans="1:38" s="263" customFormat="1" x14ac:dyDescent="0.25">
      <c r="A118" s="109">
        <f t="shared" si="10"/>
        <v>0</v>
      </c>
      <c r="B118" s="28" t="str">
        <f t="shared" si="6"/>
        <v/>
      </c>
      <c r="C118" s="29"/>
      <c r="D118" s="29"/>
      <c r="E118" s="29"/>
      <c r="F118" s="29"/>
      <c r="H118" s="277">
        <v>113</v>
      </c>
      <c r="I118" s="278" t="str">
        <f t="shared" si="7"/>
        <v/>
      </c>
      <c r="J118" s="277" t="e">
        <f t="shared" si="11"/>
        <v>#NUM!</v>
      </c>
      <c r="K118" s="277" t="e">
        <f t="shared" si="8"/>
        <v>#NUM!</v>
      </c>
      <c r="L118" s="277"/>
      <c r="M118" s="279">
        <f t="shared" si="9"/>
        <v>0</v>
      </c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  <c r="AD118" s="268"/>
      <c r="AE118" s="268"/>
      <c r="AF118" s="268"/>
      <c r="AG118" s="268"/>
      <c r="AH118" s="268"/>
      <c r="AI118" s="268"/>
      <c r="AJ118" s="268"/>
      <c r="AK118" s="268"/>
      <c r="AL118" s="268"/>
    </row>
    <row r="119" spans="1:38" s="263" customFormat="1" x14ac:dyDescent="0.25">
      <c r="A119" s="110">
        <f t="shared" si="10"/>
        <v>0</v>
      </c>
      <c r="B119" s="34" t="str">
        <f t="shared" si="6"/>
        <v/>
      </c>
      <c r="C119" s="35"/>
      <c r="D119" s="35"/>
      <c r="E119" s="35"/>
      <c r="F119" s="35"/>
      <c r="H119" s="280">
        <v>114</v>
      </c>
      <c r="I119" s="281" t="str">
        <f t="shared" si="7"/>
        <v/>
      </c>
      <c r="J119" s="280" t="e">
        <f t="shared" si="11"/>
        <v>#NUM!</v>
      </c>
      <c r="K119" s="280" t="e">
        <f t="shared" si="8"/>
        <v>#NUM!</v>
      </c>
      <c r="L119" s="280"/>
      <c r="M119" s="282">
        <f t="shared" si="9"/>
        <v>0</v>
      </c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  <c r="AD119" s="268"/>
      <c r="AE119" s="268"/>
      <c r="AF119" s="268"/>
      <c r="AG119" s="268"/>
      <c r="AH119" s="268"/>
      <c r="AI119" s="268"/>
      <c r="AJ119" s="268"/>
      <c r="AK119" s="268"/>
      <c r="AL119" s="268"/>
    </row>
    <row r="120" spans="1:38" s="263" customFormat="1" x14ac:dyDescent="0.25">
      <c r="A120" s="109">
        <f t="shared" si="10"/>
        <v>0</v>
      </c>
      <c r="B120" s="28" t="str">
        <f t="shared" si="6"/>
        <v/>
      </c>
      <c r="C120" s="29"/>
      <c r="D120" s="29"/>
      <c r="E120" s="29"/>
      <c r="F120" s="29"/>
      <c r="H120" s="277">
        <v>115</v>
      </c>
      <c r="I120" s="278" t="str">
        <f t="shared" si="7"/>
        <v/>
      </c>
      <c r="J120" s="277" t="e">
        <f t="shared" si="11"/>
        <v>#NUM!</v>
      </c>
      <c r="K120" s="277" t="e">
        <f t="shared" si="8"/>
        <v>#NUM!</v>
      </c>
      <c r="L120" s="277"/>
      <c r="M120" s="279">
        <f t="shared" si="9"/>
        <v>0</v>
      </c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  <c r="AD120" s="268"/>
      <c r="AE120" s="268"/>
      <c r="AF120" s="268"/>
      <c r="AG120" s="268"/>
      <c r="AH120" s="268"/>
      <c r="AI120" s="268"/>
      <c r="AJ120" s="268"/>
      <c r="AK120" s="268"/>
      <c r="AL120" s="268"/>
    </row>
    <row r="121" spans="1:38" s="263" customFormat="1" x14ac:dyDescent="0.25">
      <c r="A121" s="110">
        <f t="shared" si="10"/>
        <v>0</v>
      </c>
      <c r="B121" s="34" t="str">
        <f t="shared" si="6"/>
        <v/>
      </c>
      <c r="C121" s="35"/>
      <c r="D121" s="35"/>
      <c r="E121" s="35"/>
      <c r="F121" s="35"/>
      <c r="H121" s="280">
        <v>116</v>
      </c>
      <c r="I121" s="281" t="str">
        <f t="shared" si="7"/>
        <v/>
      </c>
      <c r="J121" s="280" t="e">
        <f t="shared" si="11"/>
        <v>#NUM!</v>
      </c>
      <c r="K121" s="280" t="e">
        <f t="shared" si="8"/>
        <v>#NUM!</v>
      </c>
      <c r="L121" s="280"/>
      <c r="M121" s="282">
        <f t="shared" si="9"/>
        <v>0</v>
      </c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  <c r="AD121" s="268"/>
      <c r="AE121" s="268"/>
      <c r="AF121" s="268"/>
      <c r="AG121" s="268"/>
      <c r="AH121" s="268"/>
      <c r="AI121" s="268"/>
      <c r="AJ121" s="268"/>
      <c r="AK121" s="268"/>
      <c r="AL121" s="268"/>
    </row>
    <row r="122" spans="1:38" s="263" customFormat="1" x14ac:dyDescent="0.25">
      <c r="A122" s="109">
        <f t="shared" si="10"/>
        <v>0</v>
      </c>
      <c r="B122" s="28" t="str">
        <f t="shared" si="6"/>
        <v/>
      </c>
      <c r="C122" s="29"/>
      <c r="D122" s="29"/>
      <c r="E122" s="29"/>
      <c r="F122" s="29"/>
      <c r="H122" s="277">
        <v>117</v>
      </c>
      <c r="I122" s="278" t="str">
        <f t="shared" si="7"/>
        <v/>
      </c>
      <c r="J122" s="277" t="e">
        <f t="shared" si="11"/>
        <v>#NUM!</v>
      </c>
      <c r="K122" s="277" t="e">
        <f t="shared" si="8"/>
        <v>#NUM!</v>
      </c>
      <c r="L122" s="277"/>
      <c r="M122" s="279">
        <f t="shared" si="9"/>
        <v>0</v>
      </c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  <c r="AD122" s="268"/>
      <c r="AE122" s="268"/>
      <c r="AF122" s="268"/>
      <c r="AG122" s="268"/>
      <c r="AH122" s="268"/>
      <c r="AI122" s="268"/>
      <c r="AJ122" s="268"/>
      <c r="AK122" s="268"/>
      <c r="AL122" s="268"/>
    </row>
    <row r="123" spans="1:38" s="263" customFormat="1" x14ac:dyDescent="0.25">
      <c r="A123" s="110">
        <f t="shared" si="10"/>
        <v>0</v>
      </c>
      <c r="B123" s="34" t="str">
        <f t="shared" si="6"/>
        <v/>
      </c>
      <c r="C123" s="35"/>
      <c r="D123" s="35"/>
      <c r="E123" s="35"/>
      <c r="F123" s="35"/>
      <c r="H123" s="280">
        <v>118</v>
      </c>
      <c r="I123" s="281" t="str">
        <f t="shared" si="7"/>
        <v/>
      </c>
      <c r="J123" s="280" t="e">
        <f t="shared" si="11"/>
        <v>#NUM!</v>
      </c>
      <c r="K123" s="280" t="e">
        <f t="shared" si="8"/>
        <v>#NUM!</v>
      </c>
      <c r="L123" s="280"/>
      <c r="M123" s="282">
        <f t="shared" si="9"/>
        <v>0</v>
      </c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  <c r="AD123" s="268"/>
      <c r="AE123" s="268"/>
      <c r="AF123" s="268"/>
      <c r="AG123" s="268"/>
      <c r="AH123" s="268"/>
      <c r="AI123" s="268"/>
      <c r="AJ123" s="268"/>
      <c r="AK123" s="268"/>
      <c r="AL123" s="268"/>
    </row>
    <row r="124" spans="1:38" s="263" customFormat="1" x14ac:dyDescent="0.25">
      <c r="A124" s="109">
        <f t="shared" si="10"/>
        <v>0</v>
      </c>
      <c r="B124" s="28" t="str">
        <f t="shared" si="6"/>
        <v/>
      </c>
      <c r="C124" s="29"/>
      <c r="D124" s="29"/>
      <c r="E124" s="29"/>
      <c r="F124" s="29"/>
      <c r="H124" s="277">
        <v>119</v>
      </c>
      <c r="I124" s="278" t="str">
        <f t="shared" si="7"/>
        <v/>
      </c>
      <c r="J124" s="277" t="e">
        <f t="shared" si="11"/>
        <v>#NUM!</v>
      </c>
      <c r="K124" s="277" t="e">
        <f t="shared" si="8"/>
        <v>#NUM!</v>
      </c>
      <c r="L124" s="277"/>
      <c r="M124" s="279">
        <f t="shared" si="9"/>
        <v>0</v>
      </c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  <c r="AD124" s="268"/>
      <c r="AE124" s="268"/>
      <c r="AF124" s="268"/>
      <c r="AG124" s="268"/>
      <c r="AH124" s="268"/>
      <c r="AI124" s="268"/>
      <c r="AJ124" s="268"/>
      <c r="AK124" s="268"/>
      <c r="AL124" s="268"/>
    </row>
    <row r="125" spans="1:38" s="263" customFormat="1" x14ac:dyDescent="0.25">
      <c r="A125" s="110">
        <f t="shared" si="10"/>
        <v>0</v>
      </c>
      <c r="B125" s="34" t="str">
        <f t="shared" si="6"/>
        <v/>
      </c>
      <c r="C125" s="35"/>
      <c r="D125" s="35"/>
      <c r="E125" s="35"/>
      <c r="F125" s="35"/>
      <c r="H125" s="280">
        <v>120</v>
      </c>
      <c r="I125" s="281" t="str">
        <f t="shared" si="7"/>
        <v/>
      </c>
      <c r="J125" s="280" t="e">
        <f t="shared" si="11"/>
        <v>#NUM!</v>
      </c>
      <c r="K125" s="280" t="e">
        <f t="shared" si="8"/>
        <v>#NUM!</v>
      </c>
      <c r="L125" s="280"/>
      <c r="M125" s="282">
        <f t="shared" si="9"/>
        <v>0</v>
      </c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  <c r="AD125" s="268"/>
      <c r="AE125" s="268"/>
      <c r="AF125" s="268"/>
      <c r="AG125" s="268"/>
      <c r="AH125" s="268"/>
      <c r="AI125" s="268"/>
      <c r="AJ125" s="268"/>
      <c r="AK125" s="268"/>
      <c r="AL125" s="268"/>
    </row>
    <row r="126" spans="1:38" s="263" customFormat="1" x14ac:dyDescent="0.25">
      <c r="A126" s="109">
        <f t="shared" si="10"/>
        <v>0</v>
      </c>
      <c r="B126" s="28" t="str">
        <f t="shared" si="6"/>
        <v/>
      </c>
      <c r="C126" s="29"/>
      <c r="D126" s="29"/>
      <c r="E126" s="29"/>
      <c r="F126" s="29"/>
      <c r="H126" s="277">
        <v>121</v>
      </c>
      <c r="I126" s="278" t="str">
        <f t="shared" si="7"/>
        <v/>
      </c>
      <c r="J126" s="277" t="e">
        <f t="shared" si="11"/>
        <v>#NUM!</v>
      </c>
      <c r="K126" s="277" t="e">
        <f t="shared" si="8"/>
        <v>#NUM!</v>
      </c>
      <c r="L126" s="277"/>
      <c r="M126" s="279">
        <f t="shared" si="9"/>
        <v>0</v>
      </c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  <c r="AD126" s="268"/>
      <c r="AE126" s="268"/>
      <c r="AF126" s="268"/>
      <c r="AG126" s="268"/>
      <c r="AH126" s="268"/>
      <c r="AI126" s="268"/>
      <c r="AJ126" s="268"/>
      <c r="AK126" s="268"/>
      <c r="AL126" s="268"/>
    </row>
    <row r="127" spans="1:38" s="263" customFormat="1" x14ac:dyDescent="0.25">
      <c r="A127" s="110">
        <f t="shared" si="10"/>
        <v>0</v>
      </c>
      <c r="B127" s="34" t="str">
        <f t="shared" si="6"/>
        <v/>
      </c>
      <c r="C127" s="35"/>
      <c r="D127" s="35"/>
      <c r="E127" s="35"/>
      <c r="F127" s="35"/>
      <c r="H127" s="280">
        <v>122</v>
      </c>
      <c r="I127" s="281" t="str">
        <f t="shared" si="7"/>
        <v/>
      </c>
      <c r="J127" s="280" t="e">
        <f t="shared" si="11"/>
        <v>#NUM!</v>
      </c>
      <c r="K127" s="280" t="e">
        <f t="shared" si="8"/>
        <v>#NUM!</v>
      </c>
      <c r="L127" s="280"/>
      <c r="M127" s="282">
        <f t="shared" si="9"/>
        <v>0</v>
      </c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  <c r="AD127" s="268"/>
      <c r="AE127" s="268"/>
      <c r="AF127" s="268"/>
      <c r="AG127" s="268"/>
      <c r="AH127" s="268"/>
      <c r="AI127" s="268"/>
      <c r="AJ127" s="268"/>
      <c r="AK127" s="268"/>
      <c r="AL127" s="268"/>
    </row>
    <row r="128" spans="1:38" s="263" customFormat="1" x14ac:dyDescent="0.25">
      <c r="A128" s="109">
        <f t="shared" si="10"/>
        <v>0</v>
      </c>
      <c r="B128" s="28" t="str">
        <f t="shared" si="6"/>
        <v/>
      </c>
      <c r="C128" s="29"/>
      <c r="D128" s="29"/>
      <c r="E128" s="29"/>
      <c r="F128" s="29"/>
      <c r="H128" s="277">
        <v>123</v>
      </c>
      <c r="I128" s="278" t="str">
        <f t="shared" si="7"/>
        <v/>
      </c>
      <c r="J128" s="277" t="e">
        <f t="shared" si="11"/>
        <v>#NUM!</v>
      </c>
      <c r="K128" s="277" t="e">
        <f t="shared" si="8"/>
        <v>#NUM!</v>
      </c>
      <c r="L128" s="277"/>
      <c r="M128" s="279">
        <f t="shared" si="9"/>
        <v>0</v>
      </c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  <c r="AD128" s="268"/>
      <c r="AE128" s="268"/>
      <c r="AF128" s="268"/>
      <c r="AG128" s="268"/>
      <c r="AH128" s="268"/>
      <c r="AI128" s="268"/>
      <c r="AJ128" s="268"/>
      <c r="AK128" s="268"/>
      <c r="AL128" s="268"/>
    </row>
    <row r="129" spans="1:38" s="263" customFormat="1" x14ac:dyDescent="0.25">
      <c r="A129" s="110">
        <f t="shared" si="10"/>
        <v>0</v>
      </c>
      <c r="B129" s="34" t="str">
        <f t="shared" si="6"/>
        <v/>
      </c>
      <c r="C129" s="35"/>
      <c r="D129" s="35"/>
      <c r="E129" s="35"/>
      <c r="F129" s="35"/>
      <c r="H129" s="280">
        <v>124</v>
      </c>
      <c r="I129" s="281" t="str">
        <f t="shared" si="7"/>
        <v/>
      </c>
      <c r="J129" s="280" t="e">
        <f t="shared" si="11"/>
        <v>#NUM!</v>
      </c>
      <c r="K129" s="280" t="e">
        <f t="shared" si="8"/>
        <v>#NUM!</v>
      </c>
      <c r="L129" s="280"/>
      <c r="M129" s="282">
        <f t="shared" si="9"/>
        <v>0</v>
      </c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  <c r="AD129" s="268"/>
      <c r="AE129" s="268"/>
      <c r="AF129" s="268"/>
      <c r="AG129" s="268"/>
      <c r="AH129" s="268"/>
      <c r="AI129" s="268"/>
      <c r="AJ129" s="268"/>
      <c r="AK129" s="268"/>
      <c r="AL129" s="268"/>
    </row>
    <row r="130" spans="1:38" s="263" customFormat="1" x14ac:dyDescent="0.25">
      <c r="A130" s="109">
        <f t="shared" si="10"/>
        <v>0</v>
      </c>
      <c r="B130" s="28" t="str">
        <f t="shared" si="6"/>
        <v/>
      </c>
      <c r="C130" s="29"/>
      <c r="D130" s="29"/>
      <c r="E130" s="29"/>
      <c r="F130" s="29"/>
      <c r="H130" s="277">
        <v>125</v>
      </c>
      <c r="I130" s="278" t="str">
        <f t="shared" si="7"/>
        <v/>
      </c>
      <c r="J130" s="277" t="e">
        <f t="shared" si="11"/>
        <v>#NUM!</v>
      </c>
      <c r="K130" s="277" t="e">
        <f t="shared" si="8"/>
        <v>#NUM!</v>
      </c>
      <c r="L130" s="277"/>
      <c r="M130" s="279">
        <f t="shared" si="9"/>
        <v>0</v>
      </c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  <c r="AD130" s="268"/>
      <c r="AE130" s="268"/>
      <c r="AF130" s="268"/>
      <c r="AG130" s="268"/>
      <c r="AH130" s="268"/>
      <c r="AI130" s="268"/>
      <c r="AJ130" s="268"/>
      <c r="AK130" s="268"/>
      <c r="AL130" s="268"/>
    </row>
    <row r="131" spans="1:38" s="263" customFormat="1" x14ac:dyDescent="0.25">
      <c r="A131" s="110">
        <f t="shared" si="10"/>
        <v>0</v>
      </c>
      <c r="B131" s="34" t="str">
        <f t="shared" si="6"/>
        <v/>
      </c>
      <c r="C131" s="35"/>
      <c r="D131" s="35"/>
      <c r="E131" s="35"/>
      <c r="F131" s="35"/>
      <c r="H131" s="280">
        <v>126</v>
      </c>
      <c r="I131" s="281" t="str">
        <f t="shared" si="7"/>
        <v/>
      </c>
      <c r="J131" s="280" t="e">
        <f t="shared" si="11"/>
        <v>#NUM!</v>
      </c>
      <c r="K131" s="280" t="e">
        <f t="shared" si="8"/>
        <v>#NUM!</v>
      </c>
      <c r="L131" s="280"/>
      <c r="M131" s="282">
        <f t="shared" si="9"/>
        <v>0</v>
      </c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  <c r="AD131" s="268"/>
      <c r="AE131" s="268"/>
      <c r="AF131" s="268"/>
      <c r="AG131" s="268"/>
      <c r="AH131" s="268"/>
      <c r="AI131" s="268"/>
      <c r="AJ131" s="268"/>
      <c r="AK131" s="268"/>
      <c r="AL131" s="268"/>
    </row>
    <row r="132" spans="1:38" s="263" customFormat="1" x14ac:dyDescent="0.25">
      <c r="A132" s="109">
        <f t="shared" si="10"/>
        <v>0</v>
      </c>
      <c r="B132" s="28" t="str">
        <f t="shared" si="6"/>
        <v/>
      </c>
      <c r="C132" s="29"/>
      <c r="D132" s="29"/>
      <c r="E132" s="29"/>
      <c r="F132" s="29"/>
      <c r="H132" s="277">
        <v>127</v>
      </c>
      <c r="I132" s="278" t="str">
        <f t="shared" si="7"/>
        <v/>
      </c>
      <c r="J132" s="277" t="e">
        <f t="shared" si="11"/>
        <v>#NUM!</v>
      </c>
      <c r="K132" s="277" t="e">
        <f t="shared" si="8"/>
        <v>#NUM!</v>
      </c>
      <c r="L132" s="277"/>
      <c r="M132" s="279">
        <f t="shared" si="9"/>
        <v>0</v>
      </c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  <c r="AD132" s="268"/>
      <c r="AE132" s="268"/>
      <c r="AF132" s="268"/>
      <c r="AG132" s="268"/>
      <c r="AH132" s="268"/>
      <c r="AI132" s="268"/>
      <c r="AJ132" s="268"/>
      <c r="AK132" s="268"/>
      <c r="AL132" s="268"/>
    </row>
    <row r="133" spans="1:38" s="263" customFormat="1" x14ac:dyDescent="0.25">
      <c r="A133" s="110">
        <f t="shared" si="10"/>
        <v>0</v>
      </c>
      <c r="B133" s="34" t="str">
        <f t="shared" si="6"/>
        <v/>
      </c>
      <c r="C133" s="35"/>
      <c r="D133" s="35"/>
      <c r="E133" s="35"/>
      <c r="F133" s="35"/>
      <c r="H133" s="280">
        <v>128</v>
      </c>
      <c r="I133" s="281" t="str">
        <f t="shared" si="7"/>
        <v/>
      </c>
      <c r="J133" s="280" t="e">
        <f t="shared" si="11"/>
        <v>#NUM!</v>
      </c>
      <c r="K133" s="280" t="e">
        <f t="shared" si="8"/>
        <v>#NUM!</v>
      </c>
      <c r="L133" s="280"/>
      <c r="M133" s="282">
        <f t="shared" si="9"/>
        <v>0</v>
      </c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  <c r="AD133" s="268"/>
      <c r="AE133" s="268"/>
      <c r="AF133" s="268"/>
      <c r="AG133" s="268"/>
      <c r="AH133" s="268"/>
      <c r="AI133" s="268"/>
      <c r="AJ133" s="268"/>
      <c r="AK133" s="268"/>
      <c r="AL133" s="268"/>
    </row>
    <row r="134" spans="1:38" s="263" customFormat="1" x14ac:dyDescent="0.25">
      <c r="A134" s="109">
        <f t="shared" si="10"/>
        <v>0</v>
      </c>
      <c r="B134" s="28" t="str">
        <f t="shared" ref="B134:B140" si="12">IF(H134&gt;$H$2,"",(ROW()-5))</f>
        <v/>
      </c>
      <c r="C134" s="29"/>
      <c r="D134" s="29"/>
      <c r="E134" s="29"/>
      <c r="F134" s="29"/>
      <c r="H134" s="277">
        <v>129</v>
      </c>
      <c r="I134" s="278" t="str">
        <f t="shared" ref="I134:I197" si="13">IF(H134&lt;$H$2+1,($I$2-($I$2-1)*(LOG(H134)/LOG($H$2))),"")</f>
        <v/>
      </c>
      <c r="J134" s="277" t="e">
        <f t="shared" si="11"/>
        <v>#NUM!</v>
      </c>
      <c r="K134" s="277" t="e">
        <f t="shared" ref="K134:K197" si="14">J134*$J$2</f>
        <v>#NUM!</v>
      </c>
      <c r="L134" s="277"/>
      <c r="M134" s="279">
        <f t="shared" ref="M134:M197" si="15">IF(I134&lt;&gt;"",K134+I134+L134,0)</f>
        <v>0</v>
      </c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  <c r="AD134" s="268"/>
      <c r="AE134" s="268"/>
      <c r="AF134" s="268"/>
      <c r="AG134" s="268"/>
      <c r="AH134" s="268"/>
      <c r="AI134" s="268"/>
      <c r="AJ134" s="268"/>
      <c r="AK134" s="268"/>
      <c r="AL134" s="268"/>
    </row>
    <row r="135" spans="1:38" s="263" customFormat="1" x14ac:dyDescent="0.25">
      <c r="A135" s="110">
        <f t="shared" ref="A135:A140" si="16">M135</f>
        <v>0</v>
      </c>
      <c r="B135" s="34" t="str">
        <f t="shared" si="12"/>
        <v/>
      </c>
      <c r="C135" s="35"/>
      <c r="D135" s="35"/>
      <c r="E135" s="35"/>
      <c r="F135" s="35"/>
      <c r="H135" s="280">
        <v>130</v>
      </c>
      <c r="I135" s="281" t="str">
        <f t="shared" si="13"/>
        <v/>
      </c>
      <c r="J135" s="280" t="e">
        <f t="shared" ref="J135:J198" si="17">INT(LOG($H$2,2))-ROUNDUP(LOG(H135,2),0)+IF(OR($H$2=1,$H$2=2,$H$2=4,$H$2=8,$H$2=16,$H$2=32,$H$2=64,$H$2=128,$H$2=256),0,1)</f>
        <v>#NUM!</v>
      </c>
      <c r="K135" s="280" t="e">
        <f t="shared" si="14"/>
        <v>#NUM!</v>
      </c>
      <c r="L135" s="280"/>
      <c r="M135" s="282">
        <f t="shared" si="15"/>
        <v>0</v>
      </c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  <c r="AD135" s="268"/>
      <c r="AE135" s="268"/>
      <c r="AF135" s="268"/>
      <c r="AG135" s="268"/>
      <c r="AH135" s="268"/>
      <c r="AI135" s="268"/>
      <c r="AJ135" s="268"/>
      <c r="AK135" s="268"/>
      <c r="AL135" s="268"/>
    </row>
    <row r="136" spans="1:38" s="263" customFormat="1" x14ac:dyDescent="0.25">
      <c r="A136" s="109">
        <f t="shared" si="16"/>
        <v>0</v>
      </c>
      <c r="B136" s="28" t="str">
        <f t="shared" si="12"/>
        <v/>
      </c>
      <c r="C136" s="29"/>
      <c r="D136" s="29"/>
      <c r="E136" s="29"/>
      <c r="F136" s="29"/>
      <c r="H136" s="277">
        <v>131</v>
      </c>
      <c r="I136" s="278" t="str">
        <f t="shared" si="13"/>
        <v/>
      </c>
      <c r="J136" s="277" t="e">
        <f t="shared" si="17"/>
        <v>#NUM!</v>
      </c>
      <c r="K136" s="277" t="e">
        <f t="shared" si="14"/>
        <v>#NUM!</v>
      </c>
      <c r="L136" s="277"/>
      <c r="M136" s="279">
        <f t="shared" si="15"/>
        <v>0</v>
      </c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  <c r="AD136" s="268"/>
      <c r="AE136" s="268"/>
      <c r="AF136" s="268"/>
      <c r="AG136" s="268"/>
      <c r="AH136" s="268"/>
      <c r="AI136" s="268"/>
      <c r="AJ136" s="268"/>
      <c r="AK136" s="268"/>
      <c r="AL136" s="268"/>
    </row>
    <row r="137" spans="1:38" s="263" customFormat="1" x14ac:dyDescent="0.25">
      <c r="A137" s="110">
        <f t="shared" si="16"/>
        <v>0</v>
      </c>
      <c r="B137" s="34" t="str">
        <f t="shared" si="12"/>
        <v/>
      </c>
      <c r="C137" s="35"/>
      <c r="D137" s="35"/>
      <c r="E137" s="35"/>
      <c r="F137" s="35"/>
      <c r="H137" s="280">
        <v>132</v>
      </c>
      <c r="I137" s="281" t="str">
        <f t="shared" si="13"/>
        <v/>
      </c>
      <c r="J137" s="280" t="e">
        <f t="shared" si="17"/>
        <v>#NUM!</v>
      </c>
      <c r="K137" s="280" t="e">
        <f t="shared" si="14"/>
        <v>#NUM!</v>
      </c>
      <c r="L137" s="280"/>
      <c r="M137" s="282">
        <f t="shared" si="15"/>
        <v>0</v>
      </c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  <c r="AD137" s="268"/>
      <c r="AE137" s="268"/>
      <c r="AF137" s="268"/>
      <c r="AG137" s="268"/>
      <c r="AH137" s="268"/>
      <c r="AI137" s="268"/>
      <c r="AJ137" s="268"/>
      <c r="AK137" s="268"/>
      <c r="AL137" s="268"/>
    </row>
    <row r="138" spans="1:38" s="263" customFormat="1" x14ac:dyDescent="0.25">
      <c r="A138" s="109">
        <f t="shared" si="16"/>
        <v>0</v>
      </c>
      <c r="B138" s="28" t="str">
        <f t="shared" si="12"/>
        <v/>
      </c>
      <c r="C138" s="29"/>
      <c r="D138" s="29"/>
      <c r="E138" s="29"/>
      <c r="F138" s="29"/>
      <c r="H138" s="277">
        <v>133</v>
      </c>
      <c r="I138" s="278" t="str">
        <f t="shared" si="13"/>
        <v/>
      </c>
      <c r="J138" s="277" t="e">
        <f t="shared" si="17"/>
        <v>#NUM!</v>
      </c>
      <c r="K138" s="277" t="e">
        <f t="shared" si="14"/>
        <v>#NUM!</v>
      </c>
      <c r="L138" s="277"/>
      <c r="M138" s="279">
        <f t="shared" si="15"/>
        <v>0</v>
      </c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  <c r="AF138" s="268"/>
      <c r="AG138" s="268"/>
      <c r="AH138" s="268"/>
      <c r="AI138" s="268"/>
      <c r="AJ138" s="268"/>
      <c r="AK138" s="268"/>
      <c r="AL138" s="268"/>
    </row>
    <row r="139" spans="1:38" s="263" customFormat="1" x14ac:dyDescent="0.25">
      <c r="A139" s="110">
        <f t="shared" si="16"/>
        <v>0</v>
      </c>
      <c r="B139" s="34" t="str">
        <f t="shared" si="12"/>
        <v/>
      </c>
      <c r="C139" s="35"/>
      <c r="D139" s="35"/>
      <c r="E139" s="35"/>
      <c r="F139" s="35"/>
      <c r="H139" s="280">
        <v>134</v>
      </c>
      <c r="I139" s="281" t="str">
        <f t="shared" si="13"/>
        <v/>
      </c>
      <c r="J139" s="280" t="e">
        <f t="shared" si="17"/>
        <v>#NUM!</v>
      </c>
      <c r="K139" s="280" t="e">
        <f t="shared" si="14"/>
        <v>#NUM!</v>
      </c>
      <c r="L139" s="280"/>
      <c r="M139" s="282">
        <f t="shared" si="15"/>
        <v>0</v>
      </c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  <c r="AD139" s="268"/>
      <c r="AE139" s="268"/>
      <c r="AF139" s="268"/>
      <c r="AG139" s="268"/>
      <c r="AH139" s="268"/>
      <c r="AI139" s="268"/>
      <c r="AJ139" s="268"/>
      <c r="AK139" s="268"/>
      <c r="AL139" s="268"/>
    </row>
    <row r="140" spans="1:38" s="263" customFormat="1" x14ac:dyDescent="0.25">
      <c r="A140" s="109">
        <f t="shared" si="16"/>
        <v>0</v>
      </c>
      <c r="B140" s="28" t="str">
        <f t="shared" si="12"/>
        <v/>
      </c>
      <c r="C140" s="29"/>
      <c r="D140" s="29"/>
      <c r="E140" s="29"/>
      <c r="F140" s="29"/>
      <c r="H140" s="277">
        <v>135</v>
      </c>
      <c r="I140" s="278" t="str">
        <f t="shared" si="13"/>
        <v/>
      </c>
      <c r="J140" s="277" t="e">
        <f t="shared" si="17"/>
        <v>#NUM!</v>
      </c>
      <c r="K140" s="277" t="e">
        <f t="shared" si="14"/>
        <v>#NUM!</v>
      </c>
      <c r="L140" s="277"/>
      <c r="M140" s="279">
        <f t="shared" si="15"/>
        <v>0</v>
      </c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  <c r="AD140" s="268"/>
      <c r="AE140" s="268"/>
      <c r="AF140" s="268"/>
      <c r="AG140" s="268"/>
      <c r="AH140" s="268"/>
      <c r="AI140" s="268"/>
      <c r="AJ140" s="268"/>
      <c r="AK140" s="268"/>
      <c r="AL140" s="268"/>
    </row>
    <row r="141" spans="1:38" x14ac:dyDescent="0.25">
      <c r="A141" s="294"/>
      <c r="G141" s="263"/>
      <c r="H141" s="280">
        <v>136</v>
      </c>
      <c r="I141" s="278" t="str">
        <f t="shared" si="13"/>
        <v/>
      </c>
      <c r="J141" s="277" t="e">
        <f t="shared" si="17"/>
        <v>#NUM!</v>
      </c>
      <c r="K141" s="277" t="e">
        <f t="shared" si="14"/>
        <v>#NUM!</v>
      </c>
      <c r="L141" s="277"/>
      <c r="M141" s="279">
        <f t="shared" si="15"/>
        <v>0</v>
      </c>
    </row>
    <row r="142" spans="1:38" x14ac:dyDescent="0.25">
      <c r="A142" s="294"/>
      <c r="G142" s="263"/>
      <c r="H142" s="277">
        <v>137</v>
      </c>
      <c r="I142" s="278" t="str">
        <f t="shared" si="13"/>
        <v/>
      </c>
      <c r="J142" s="277" t="e">
        <f t="shared" si="17"/>
        <v>#NUM!</v>
      </c>
      <c r="K142" s="277" t="e">
        <f t="shared" si="14"/>
        <v>#NUM!</v>
      </c>
      <c r="L142" s="277"/>
      <c r="M142" s="279">
        <f t="shared" si="15"/>
        <v>0</v>
      </c>
    </row>
    <row r="143" spans="1:38" x14ac:dyDescent="0.25">
      <c r="A143" s="294"/>
      <c r="G143" s="263"/>
      <c r="H143" s="280">
        <v>138</v>
      </c>
      <c r="I143" s="278" t="str">
        <f t="shared" si="13"/>
        <v/>
      </c>
      <c r="J143" s="277" t="e">
        <f t="shared" si="17"/>
        <v>#NUM!</v>
      </c>
      <c r="K143" s="277" t="e">
        <f t="shared" si="14"/>
        <v>#NUM!</v>
      </c>
      <c r="L143" s="277"/>
      <c r="M143" s="279">
        <f t="shared" si="15"/>
        <v>0</v>
      </c>
    </row>
    <row r="144" spans="1:38" x14ac:dyDescent="0.25">
      <c r="A144" s="294"/>
      <c r="G144" s="263"/>
      <c r="H144" s="277">
        <v>139</v>
      </c>
      <c r="I144" s="278" t="str">
        <f t="shared" si="13"/>
        <v/>
      </c>
      <c r="J144" s="277" t="e">
        <f t="shared" si="17"/>
        <v>#NUM!</v>
      </c>
      <c r="K144" s="277" t="e">
        <f t="shared" si="14"/>
        <v>#NUM!</v>
      </c>
      <c r="L144" s="277"/>
      <c r="M144" s="279">
        <f t="shared" si="15"/>
        <v>0</v>
      </c>
    </row>
    <row r="145" spans="1:13" x14ac:dyDescent="0.25">
      <c r="A145" s="294"/>
      <c r="G145" s="263"/>
      <c r="H145" s="280">
        <v>140</v>
      </c>
      <c r="I145" s="278" t="str">
        <f t="shared" si="13"/>
        <v/>
      </c>
      <c r="J145" s="277" t="e">
        <f t="shared" si="17"/>
        <v>#NUM!</v>
      </c>
      <c r="K145" s="277" t="e">
        <f t="shared" si="14"/>
        <v>#NUM!</v>
      </c>
      <c r="L145" s="277"/>
      <c r="M145" s="279">
        <f t="shared" si="15"/>
        <v>0</v>
      </c>
    </row>
    <row r="146" spans="1:13" x14ac:dyDescent="0.25">
      <c r="A146" s="294"/>
      <c r="G146" s="263"/>
      <c r="H146" s="277">
        <v>141</v>
      </c>
      <c r="I146" s="278" t="str">
        <f t="shared" si="13"/>
        <v/>
      </c>
      <c r="J146" s="277" t="e">
        <f t="shared" si="17"/>
        <v>#NUM!</v>
      </c>
      <c r="K146" s="277" t="e">
        <f t="shared" si="14"/>
        <v>#NUM!</v>
      </c>
      <c r="L146" s="277"/>
      <c r="M146" s="279">
        <f t="shared" si="15"/>
        <v>0</v>
      </c>
    </row>
    <row r="147" spans="1:13" x14ac:dyDescent="0.25">
      <c r="A147" s="294"/>
      <c r="G147" s="263"/>
      <c r="H147" s="280">
        <v>142</v>
      </c>
      <c r="I147" s="278" t="str">
        <f t="shared" si="13"/>
        <v/>
      </c>
      <c r="J147" s="277" t="e">
        <f t="shared" si="17"/>
        <v>#NUM!</v>
      </c>
      <c r="K147" s="277" t="e">
        <f t="shared" si="14"/>
        <v>#NUM!</v>
      </c>
      <c r="L147" s="277"/>
      <c r="M147" s="279">
        <f t="shared" si="15"/>
        <v>0</v>
      </c>
    </row>
    <row r="148" spans="1:13" x14ac:dyDescent="0.25">
      <c r="A148" s="294"/>
      <c r="G148" s="263"/>
      <c r="H148" s="277">
        <v>143</v>
      </c>
      <c r="I148" s="278" t="str">
        <f t="shared" si="13"/>
        <v/>
      </c>
      <c r="J148" s="277" t="e">
        <f t="shared" si="17"/>
        <v>#NUM!</v>
      </c>
      <c r="K148" s="277" t="e">
        <f t="shared" si="14"/>
        <v>#NUM!</v>
      </c>
      <c r="L148" s="277"/>
      <c r="M148" s="279">
        <f t="shared" si="15"/>
        <v>0</v>
      </c>
    </row>
    <row r="149" spans="1:13" x14ac:dyDescent="0.25">
      <c r="A149" s="294"/>
      <c r="G149" s="263"/>
      <c r="H149" s="280">
        <v>144</v>
      </c>
      <c r="I149" s="278" t="str">
        <f t="shared" si="13"/>
        <v/>
      </c>
      <c r="J149" s="277" t="e">
        <f t="shared" si="17"/>
        <v>#NUM!</v>
      </c>
      <c r="K149" s="277" t="e">
        <f t="shared" si="14"/>
        <v>#NUM!</v>
      </c>
      <c r="L149" s="277"/>
      <c r="M149" s="279">
        <f t="shared" si="15"/>
        <v>0</v>
      </c>
    </row>
    <row r="150" spans="1:13" x14ac:dyDescent="0.25">
      <c r="A150" s="294"/>
      <c r="G150" s="263"/>
      <c r="H150" s="277">
        <v>145</v>
      </c>
      <c r="I150" s="278" t="str">
        <f t="shared" si="13"/>
        <v/>
      </c>
      <c r="J150" s="277" t="e">
        <f t="shared" si="17"/>
        <v>#NUM!</v>
      </c>
      <c r="K150" s="277" t="e">
        <f t="shared" si="14"/>
        <v>#NUM!</v>
      </c>
      <c r="L150" s="277"/>
      <c r="M150" s="279">
        <f t="shared" si="15"/>
        <v>0</v>
      </c>
    </row>
    <row r="151" spans="1:13" x14ac:dyDescent="0.25">
      <c r="A151" s="294"/>
      <c r="G151" s="263"/>
      <c r="H151" s="280">
        <v>146</v>
      </c>
      <c r="I151" s="278" t="str">
        <f t="shared" si="13"/>
        <v/>
      </c>
      <c r="J151" s="277" t="e">
        <f t="shared" si="17"/>
        <v>#NUM!</v>
      </c>
      <c r="K151" s="277" t="e">
        <f t="shared" si="14"/>
        <v>#NUM!</v>
      </c>
      <c r="L151" s="277"/>
      <c r="M151" s="279">
        <f t="shared" si="15"/>
        <v>0</v>
      </c>
    </row>
    <row r="152" spans="1:13" x14ac:dyDescent="0.25">
      <c r="A152" s="294"/>
      <c r="G152" s="263"/>
      <c r="H152" s="277">
        <v>147</v>
      </c>
      <c r="I152" s="278" t="str">
        <f t="shared" si="13"/>
        <v/>
      </c>
      <c r="J152" s="277" t="e">
        <f t="shared" si="17"/>
        <v>#NUM!</v>
      </c>
      <c r="K152" s="277" t="e">
        <f t="shared" si="14"/>
        <v>#NUM!</v>
      </c>
      <c r="L152" s="277"/>
      <c r="M152" s="279">
        <f t="shared" si="15"/>
        <v>0</v>
      </c>
    </row>
    <row r="153" spans="1:13" x14ac:dyDescent="0.25">
      <c r="A153" s="294"/>
      <c r="G153" s="263"/>
      <c r="H153" s="280">
        <v>148</v>
      </c>
      <c r="I153" s="278" t="str">
        <f t="shared" si="13"/>
        <v/>
      </c>
      <c r="J153" s="277" t="e">
        <f t="shared" si="17"/>
        <v>#NUM!</v>
      </c>
      <c r="K153" s="277" t="e">
        <f t="shared" si="14"/>
        <v>#NUM!</v>
      </c>
      <c r="L153" s="277"/>
      <c r="M153" s="279">
        <f t="shared" si="15"/>
        <v>0</v>
      </c>
    </row>
    <row r="154" spans="1:13" x14ac:dyDescent="0.25">
      <c r="A154" s="294"/>
      <c r="G154" s="263"/>
      <c r="H154" s="277">
        <v>149</v>
      </c>
      <c r="I154" s="278" t="str">
        <f t="shared" si="13"/>
        <v/>
      </c>
      <c r="J154" s="277" t="e">
        <f t="shared" si="17"/>
        <v>#NUM!</v>
      </c>
      <c r="K154" s="277" t="e">
        <f t="shared" si="14"/>
        <v>#NUM!</v>
      </c>
      <c r="L154" s="277"/>
      <c r="M154" s="279">
        <f t="shared" si="15"/>
        <v>0</v>
      </c>
    </row>
    <row r="155" spans="1:13" x14ac:dyDescent="0.25">
      <c r="A155" s="294"/>
      <c r="G155" s="263"/>
      <c r="H155" s="280">
        <v>150</v>
      </c>
      <c r="I155" s="278" t="str">
        <f t="shared" si="13"/>
        <v/>
      </c>
      <c r="J155" s="277" t="e">
        <f t="shared" si="17"/>
        <v>#NUM!</v>
      </c>
      <c r="K155" s="277" t="e">
        <f t="shared" si="14"/>
        <v>#NUM!</v>
      </c>
      <c r="L155" s="277"/>
      <c r="M155" s="279">
        <f t="shared" si="15"/>
        <v>0</v>
      </c>
    </row>
    <row r="156" spans="1:13" x14ac:dyDescent="0.25">
      <c r="A156" s="294"/>
      <c r="G156" s="263"/>
      <c r="H156" s="277">
        <v>151</v>
      </c>
      <c r="I156" s="278" t="str">
        <f t="shared" si="13"/>
        <v/>
      </c>
      <c r="J156" s="277" t="e">
        <f t="shared" si="17"/>
        <v>#NUM!</v>
      </c>
      <c r="K156" s="277" t="e">
        <f t="shared" si="14"/>
        <v>#NUM!</v>
      </c>
      <c r="L156" s="277"/>
      <c r="M156" s="279">
        <f t="shared" si="15"/>
        <v>0</v>
      </c>
    </row>
    <row r="157" spans="1:13" x14ac:dyDescent="0.25">
      <c r="A157" s="294"/>
      <c r="G157" s="263"/>
      <c r="H157" s="280">
        <v>152</v>
      </c>
      <c r="I157" s="278" t="str">
        <f t="shared" si="13"/>
        <v/>
      </c>
      <c r="J157" s="277" t="e">
        <f t="shared" si="17"/>
        <v>#NUM!</v>
      </c>
      <c r="K157" s="277" t="e">
        <f t="shared" si="14"/>
        <v>#NUM!</v>
      </c>
      <c r="L157" s="277"/>
      <c r="M157" s="279">
        <f t="shared" si="15"/>
        <v>0</v>
      </c>
    </row>
    <row r="158" spans="1:13" x14ac:dyDescent="0.25">
      <c r="A158" s="294"/>
      <c r="G158" s="263"/>
      <c r="H158" s="277">
        <v>153</v>
      </c>
      <c r="I158" s="278" t="str">
        <f t="shared" si="13"/>
        <v/>
      </c>
      <c r="J158" s="277" t="e">
        <f t="shared" si="17"/>
        <v>#NUM!</v>
      </c>
      <c r="K158" s="277" t="e">
        <f t="shared" si="14"/>
        <v>#NUM!</v>
      </c>
      <c r="L158" s="277"/>
      <c r="M158" s="279">
        <f t="shared" si="15"/>
        <v>0</v>
      </c>
    </row>
    <row r="159" spans="1:13" x14ac:dyDescent="0.25">
      <c r="A159" s="294"/>
      <c r="G159" s="263"/>
      <c r="H159" s="280">
        <v>154</v>
      </c>
      <c r="I159" s="278" t="str">
        <f t="shared" si="13"/>
        <v/>
      </c>
      <c r="J159" s="277" t="e">
        <f t="shared" si="17"/>
        <v>#NUM!</v>
      </c>
      <c r="K159" s="277" t="e">
        <f t="shared" si="14"/>
        <v>#NUM!</v>
      </c>
      <c r="L159" s="277"/>
      <c r="M159" s="279">
        <f t="shared" si="15"/>
        <v>0</v>
      </c>
    </row>
    <row r="160" spans="1:13" x14ac:dyDescent="0.25">
      <c r="A160" s="294"/>
      <c r="G160" s="263"/>
      <c r="H160" s="277">
        <v>155</v>
      </c>
      <c r="I160" s="278" t="str">
        <f t="shared" si="13"/>
        <v/>
      </c>
      <c r="J160" s="277" t="e">
        <f t="shared" si="17"/>
        <v>#NUM!</v>
      </c>
      <c r="K160" s="277" t="e">
        <f t="shared" si="14"/>
        <v>#NUM!</v>
      </c>
      <c r="L160" s="277"/>
      <c r="M160" s="279">
        <f t="shared" si="15"/>
        <v>0</v>
      </c>
    </row>
    <row r="161" spans="1:13" x14ac:dyDescent="0.25">
      <c r="A161" s="294"/>
      <c r="G161" s="263"/>
      <c r="H161" s="280">
        <v>156</v>
      </c>
      <c r="I161" s="278" t="str">
        <f t="shared" si="13"/>
        <v/>
      </c>
      <c r="J161" s="277" t="e">
        <f t="shared" si="17"/>
        <v>#NUM!</v>
      </c>
      <c r="K161" s="277" t="e">
        <f t="shared" si="14"/>
        <v>#NUM!</v>
      </c>
      <c r="L161" s="277"/>
      <c r="M161" s="279">
        <f t="shared" si="15"/>
        <v>0</v>
      </c>
    </row>
    <row r="162" spans="1:13" x14ac:dyDescent="0.25">
      <c r="A162" s="294"/>
      <c r="G162" s="263"/>
      <c r="H162" s="277">
        <v>157</v>
      </c>
      <c r="I162" s="278" t="str">
        <f t="shared" si="13"/>
        <v/>
      </c>
      <c r="J162" s="277" t="e">
        <f t="shared" si="17"/>
        <v>#NUM!</v>
      </c>
      <c r="K162" s="277" t="e">
        <f t="shared" si="14"/>
        <v>#NUM!</v>
      </c>
      <c r="L162" s="277"/>
      <c r="M162" s="279">
        <f t="shared" si="15"/>
        <v>0</v>
      </c>
    </row>
    <row r="163" spans="1:13" x14ac:dyDescent="0.25">
      <c r="A163" s="294"/>
      <c r="G163" s="263"/>
      <c r="H163" s="280">
        <v>158</v>
      </c>
      <c r="I163" s="278" t="str">
        <f t="shared" si="13"/>
        <v/>
      </c>
      <c r="J163" s="277" t="e">
        <f t="shared" si="17"/>
        <v>#NUM!</v>
      </c>
      <c r="K163" s="277" t="e">
        <f t="shared" si="14"/>
        <v>#NUM!</v>
      </c>
      <c r="L163" s="277"/>
      <c r="M163" s="279">
        <f t="shared" si="15"/>
        <v>0</v>
      </c>
    </row>
    <row r="164" spans="1:13" x14ac:dyDescent="0.25">
      <c r="A164" s="294"/>
      <c r="G164" s="263"/>
      <c r="H164" s="277">
        <v>159</v>
      </c>
      <c r="I164" s="278" t="str">
        <f t="shared" si="13"/>
        <v/>
      </c>
      <c r="J164" s="277" t="e">
        <f t="shared" si="17"/>
        <v>#NUM!</v>
      </c>
      <c r="K164" s="277" t="e">
        <f t="shared" si="14"/>
        <v>#NUM!</v>
      </c>
      <c r="L164" s="277"/>
      <c r="M164" s="279">
        <f t="shared" si="15"/>
        <v>0</v>
      </c>
    </row>
    <row r="165" spans="1:13" x14ac:dyDescent="0.25">
      <c r="A165" s="294"/>
      <c r="G165" s="263"/>
      <c r="H165" s="280">
        <v>160</v>
      </c>
      <c r="I165" s="278" t="str">
        <f t="shared" si="13"/>
        <v/>
      </c>
      <c r="J165" s="277" t="e">
        <f t="shared" si="17"/>
        <v>#NUM!</v>
      </c>
      <c r="K165" s="277" t="e">
        <f t="shared" si="14"/>
        <v>#NUM!</v>
      </c>
      <c r="L165" s="277"/>
      <c r="M165" s="279">
        <f t="shared" si="15"/>
        <v>0</v>
      </c>
    </row>
    <row r="166" spans="1:13" x14ac:dyDescent="0.25">
      <c r="A166" s="294"/>
      <c r="G166" s="263"/>
      <c r="H166" s="277">
        <v>161</v>
      </c>
      <c r="I166" s="278" t="str">
        <f t="shared" si="13"/>
        <v/>
      </c>
      <c r="J166" s="277" t="e">
        <f t="shared" si="17"/>
        <v>#NUM!</v>
      </c>
      <c r="K166" s="277" t="e">
        <f t="shared" si="14"/>
        <v>#NUM!</v>
      </c>
      <c r="L166" s="277"/>
      <c r="M166" s="279">
        <f t="shared" si="15"/>
        <v>0</v>
      </c>
    </row>
    <row r="167" spans="1:13" x14ac:dyDescent="0.25">
      <c r="A167" s="294"/>
      <c r="G167" s="263"/>
      <c r="H167" s="280">
        <v>162</v>
      </c>
      <c r="I167" s="278" t="str">
        <f t="shared" si="13"/>
        <v/>
      </c>
      <c r="J167" s="277" t="e">
        <f t="shared" si="17"/>
        <v>#NUM!</v>
      </c>
      <c r="K167" s="277" t="e">
        <f t="shared" si="14"/>
        <v>#NUM!</v>
      </c>
      <c r="L167" s="277"/>
      <c r="M167" s="279">
        <f t="shared" si="15"/>
        <v>0</v>
      </c>
    </row>
    <row r="168" spans="1:13" x14ac:dyDescent="0.25">
      <c r="A168" s="294"/>
      <c r="G168" s="263"/>
      <c r="H168" s="277">
        <v>163</v>
      </c>
      <c r="I168" s="278" t="str">
        <f t="shared" si="13"/>
        <v/>
      </c>
      <c r="J168" s="277" t="e">
        <f t="shared" si="17"/>
        <v>#NUM!</v>
      </c>
      <c r="K168" s="277" t="e">
        <f t="shared" si="14"/>
        <v>#NUM!</v>
      </c>
      <c r="L168" s="277"/>
      <c r="M168" s="279">
        <f t="shared" si="15"/>
        <v>0</v>
      </c>
    </row>
    <row r="169" spans="1:13" x14ac:dyDescent="0.25">
      <c r="A169" s="294"/>
      <c r="C169" s="293" t="s">
        <v>50</v>
      </c>
      <c r="G169" s="263"/>
      <c r="H169" s="280">
        <v>164</v>
      </c>
      <c r="I169" s="278" t="str">
        <f t="shared" si="13"/>
        <v/>
      </c>
      <c r="J169" s="277" t="e">
        <f t="shared" si="17"/>
        <v>#NUM!</v>
      </c>
      <c r="K169" s="277" t="e">
        <f t="shared" si="14"/>
        <v>#NUM!</v>
      </c>
      <c r="L169" s="277"/>
      <c r="M169" s="279">
        <f t="shared" si="15"/>
        <v>0</v>
      </c>
    </row>
    <row r="170" spans="1:13" x14ac:dyDescent="0.25">
      <c r="A170" s="294"/>
      <c r="G170" s="263"/>
      <c r="H170" s="277">
        <v>165</v>
      </c>
      <c r="I170" s="278" t="str">
        <f t="shared" si="13"/>
        <v/>
      </c>
      <c r="J170" s="277" t="e">
        <f t="shared" si="17"/>
        <v>#NUM!</v>
      </c>
      <c r="K170" s="277" t="e">
        <f t="shared" si="14"/>
        <v>#NUM!</v>
      </c>
      <c r="L170" s="277"/>
      <c r="M170" s="279">
        <f t="shared" si="15"/>
        <v>0</v>
      </c>
    </row>
    <row r="171" spans="1:13" x14ac:dyDescent="0.25">
      <c r="A171" s="294"/>
      <c r="G171" s="263"/>
      <c r="H171" s="280">
        <v>166</v>
      </c>
      <c r="I171" s="278" t="str">
        <f t="shared" si="13"/>
        <v/>
      </c>
      <c r="J171" s="277" t="e">
        <f t="shared" si="17"/>
        <v>#NUM!</v>
      </c>
      <c r="K171" s="277" t="e">
        <f t="shared" si="14"/>
        <v>#NUM!</v>
      </c>
      <c r="L171" s="277"/>
      <c r="M171" s="279">
        <f t="shared" si="15"/>
        <v>0</v>
      </c>
    </row>
    <row r="172" spans="1:13" x14ac:dyDescent="0.25">
      <c r="A172" s="294"/>
      <c r="G172" s="263"/>
      <c r="H172" s="277">
        <v>167</v>
      </c>
      <c r="I172" s="278" t="str">
        <f t="shared" si="13"/>
        <v/>
      </c>
      <c r="J172" s="277" t="e">
        <f t="shared" si="17"/>
        <v>#NUM!</v>
      </c>
      <c r="K172" s="277" t="e">
        <f t="shared" si="14"/>
        <v>#NUM!</v>
      </c>
      <c r="L172" s="277"/>
      <c r="M172" s="279">
        <f t="shared" si="15"/>
        <v>0</v>
      </c>
    </row>
    <row r="173" spans="1:13" x14ac:dyDescent="0.25">
      <c r="A173" s="294"/>
      <c r="G173" s="263"/>
      <c r="H173" s="280">
        <v>168</v>
      </c>
      <c r="I173" s="278" t="str">
        <f t="shared" si="13"/>
        <v/>
      </c>
      <c r="J173" s="277" t="e">
        <f t="shared" si="17"/>
        <v>#NUM!</v>
      </c>
      <c r="K173" s="277" t="e">
        <f t="shared" si="14"/>
        <v>#NUM!</v>
      </c>
      <c r="L173" s="277"/>
      <c r="M173" s="279">
        <f t="shared" si="15"/>
        <v>0</v>
      </c>
    </row>
    <row r="174" spans="1:13" x14ac:dyDescent="0.25">
      <c r="A174" s="294"/>
      <c r="G174" s="263"/>
      <c r="H174" s="277">
        <v>169</v>
      </c>
      <c r="I174" s="278" t="str">
        <f t="shared" si="13"/>
        <v/>
      </c>
      <c r="J174" s="277" t="e">
        <f t="shared" si="17"/>
        <v>#NUM!</v>
      </c>
      <c r="K174" s="277" t="e">
        <f t="shared" si="14"/>
        <v>#NUM!</v>
      </c>
      <c r="L174" s="277"/>
      <c r="M174" s="279">
        <f t="shared" si="15"/>
        <v>0</v>
      </c>
    </row>
    <row r="175" spans="1:13" x14ac:dyDescent="0.25">
      <c r="A175" s="294"/>
      <c r="G175" s="263"/>
      <c r="H175" s="280">
        <v>170</v>
      </c>
      <c r="I175" s="278" t="str">
        <f t="shared" si="13"/>
        <v/>
      </c>
      <c r="J175" s="277" t="e">
        <f t="shared" si="17"/>
        <v>#NUM!</v>
      </c>
      <c r="K175" s="277" t="e">
        <f t="shared" si="14"/>
        <v>#NUM!</v>
      </c>
      <c r="L175" s="277"/>
      <c r="M175" s="279">
        <f t="shared" si="15"/>
        <v>0</v>
      </c>
    </row>
    <row r="176" spans="1:13" x14ac:dyDescent="0.25">
      <c r="A176" s="294"/>
      <c r="G176" s="263"/>
      <c r="H176" s="277">
        <v>171</v>
      </c>
      <c r="I176" s="278" t="str">
        <f t="shared" si="13"/>
        <v/>
      </c>
      <c r="J176" s="277" t="e">
        <f t="shared" si="17"/>
        <v>#NUM!</v>
      </c>
      <c r="K176" s="277" t="e">
        <f t="shared" si="14"/>
        <v>#NUM!</v>
      </c>
      <c r="L176" s="277"/>
      <c r="M176" s="279">
        <f t="shared" si="15"/>
        <v>0</v>
      </c>
    </row>
    <row r="177" spans="1:13" x14ac:dyDescent="0.25">
      <c r="A177" s="294"/>
      <c r="G177" s="263"/>
      <c r="H177" s="280">
        <v>172</v>
      </c>
      <c r="I177" s="278" t="str">
        <f t="shared" si="13"/>
        <v/>
      </c>
      <c r="J177" s="277" t="e">
        <f t="shared" si="17"/>
        <v>#NUM!</v>
      </c>
      <c r="K177" s="277" t="e">
        <f t="shared" si="14"/>
        <v>#NUM!</v>
      </c>
      <c r="L177" s="277"/>
      <c r="M177" s="279">
        <f t="shared" si="15"/>
        <v>0</v>
      </c>
    </row>
    <row r="178" spans="1:13" x14ac:dyDescent="0.25">
      <c r="A178" s="294"/>
      <c r="G178" s="263"/>
      <c r="H178" s="277">
        <v>173</v>
      </c>
      <c r="I178" s="278" t="str">
        <f t="shared" si="13"/>
        <v/>
      </c>
      <c r="J178" s="277" t="e">
        <f t="shared" si="17"/>
        <v>#NUM!</v>
      </c>
      <c r="K178" s="277" t="e">
        <f t="shared" si="14"/>
        <v>#NUM!</v>
      </c>
      <c r="L178" s="277"/>
      <c r="M178" s="279">
        <f t="shared" si="15"/>
        <v>0</v>
      </c>
    </row>
    <row r="179" spans="1:13" x14ac:dyDescent="0.25">
      <c r="A179" s="294"/>
      <c r="G179" s="263"/>
      <c r="H179" s="280">
        <v>174</v>
      </c>
      <c r="I179" s="278" t="str">
        <f t="shared" si="13"/>
        <v/>
      </c>
      <c r="J179" s="277" t="e">
        <f t="shared" si="17"/>
        <v>#NUM!</v>
      </c>
      <c r="K179" s="277" t="e">
        <f t="shared" si="14"/>
        <v>#NUM!</v>
      </c>
      <c r="L179" s="277"/>
      <c r="M179" s="279">
        <f t="shared" si="15"/>
        <v>0</v>
      </c>
    </row>
    <row r="180" spans="1:13" x14ac:dyDescent="0.25">
      <c r="A180" s="294"/>
      <c r="G180" s="263"/>
      <c r="H180" s="277">
        <v>175</v>
      </c>
      <c r="I180" s="278" t="str">
        <f t="shared" si="13"/>
        <v/>
      </c>
      <c r="J180" s="277" t="e">
        <f t="shared" si="17"/>
        <v>#NUM!</v>
      </c>
      <c r="K180" s="277" t="e">
        <f t="shared" si="14"/>
        <v>#NUM!</v>
      </c>
      <c r="L180" s="277"/>
      <c r="M180" s="279">
        <f t="shared" si="15"/>
        <v>0</v>
      </c>
    </row>
    <row r="181" spans="1:13" x14ac:dyDescent="0.25">
      <c r="A181" s="294"/>
      <c r="G181" s="263"/>
      <c r="H181" s="280">
        <v>176</v>
      </c>
      <c r="I181" s="278" t="str">
        <f t="shared" si="13"/>
        <v/>
      </c>
      <c r="J181" s="277" t="e">
        <f t="shared" si="17"/>
        <v>#NUM!</v>
      </c>
      <c r="K181" s="277" t="e">
        <f t="shared" si="14"/>
        <v>#NUM!</v>
      </c>
      <c r="L181" s="277"/>
      <c r="M181" s="279">
        <f t="shared" si="15"/>
        <v>0</v>
      </c>
    </row>
    <row r="182" spans="1:13" x14ac:dyDescent="0.25">
      <c r="A182" s="294"/>
      <c r="G182" s="263"/>
      <c r="H182" s="277">
        <v>177</v>
      </c>
      <c r="I182" s="278" t="str">
        <f t="shared" si="13"/>
        <v/>
      </c>
      <c r="J182" s="277" t="e">
        <f t="shared" si="17"/>
        <v>#NUM!</v>
      </c>
      <c r="K182" s="277" t="e">
        <f t="shared" si="14"/>
        <v>#NUM!</v>
      </c>
      <c r="L182" s="277"/>
      <c r="M182" s="279">
        <f t="shared" si="15"/>
        <v>0</v>
      </c>
    </row>
    <row r="183" spans="1:13" x14ac:dyDescent="0.25">
      <c r="A183" s="294"/>
      <c r="G183" s="263"/>
      <c r="H183" s="280">
        <v>178</v>
      </c>
      <c r="I183" s="278" t="str">
        <f t="shared" si="13"/>
        <v/>
      </c>
      <c r="J183" s="277" t="e">
        <f t="shared" si="17"/>
        <v>#NUM!</v>
      </c>
      <c r="K183" s="277" t="e">
        <f t="shared" si="14"/>
        <v>#NUM!</v>
      </c>
      <c r="L183" s="277"/>
      <c r="M183" s="279">
        <f t="shared" si="15"/>
        <v>0</v>
      </c>
    </row>
    <row r="184" spans="1:13" x14ac:dyDescent="0.25">
      <c r="A184" s="294"/>
      <c r="G184" s="263"/>
      <c r="H184" s="277">
        <v>179</v>
      </c>
      <c r="I184" s="278" t="str">
        <f t="shared" si="13"/>
        <v/>
      </c>
      <c r="J184" s="277" t="e">
        <f t="shared" si="17"/>
        <v>#NUM!</v>
      </c>
      <c r="K184" s="277" t="e">
        <f t="shared" si="14"/>
        <v>#NUM!</v>
      </c>
      <c r="L184" s="277"/>
      <c r="M184" s="279">
        <f t="shared" si="15"/>
        <v>0</v>
      </c>
    </row>
    <row r="185" spans="1:13" x14ac:dyDescent="0.25">
      <c r="A185" s="294"/>
      <c r="G185" s="263"/>
      <c r="H185" s="280">
        <v>180</v>
      </c>
      <c r="I185" s="278" t="str">
        <f t="shared" si="13"/>
        <v/>
      </c>
      <c r="J185" s="277" t="e">
        <f t="shared" si="17"/>
        <v>#NUM!</v>
      </c>
      <c r="K185" s="277" t="e">
        <f t="shared" si="14"/>
        <v>#NUM!</v>
      </c>
      <c r="L185" s="277"/>
      <c r="M185" s="279">
        <f t="shared" si="15"/>
        <v>0</v>
      </c>
    </row>
    <row r="186" spans="1:13" x14ac:dyDescent="0.25">
      <c r="A186" s="294"/>
      <c r="G186" s="263"/>
      <c r="H186" s="277">
        <v>181</v>
      </c>
      <c r="I186" s="278" t="str">
        <f t="shared" si="13"/>
        <v/>
      </c>
      <c r="J186" s="277" t="e">
        <f t="shared" si="17"/>
        <v>#NUM!</v>
      </c>
      <c r="K186" s="277" t="e">
        <f t="shared" si="14"/>
        <v>#NUM!</v>
      </c>
      <c r="L186" s="277"/>
      <c r="M186" s="279">
        <f t="shared" si="15"/>
        <v>0</v>
      </c>
    </row>
    <row r="187" spans="1:13" x14ac:dyDescent="0.25">
      <c r="A187" s="294"/>
      <c r="G187" s="263"/>
      <c r="H187" s="280">
        <v>182</v>
      </c>
      <c r="I187" s="278" t="str">
        <f t="shared" si="13"/>
        <v/>
      </c>
      <c r="J187" s="277" t="e">
        <f t="shared" si="17"/>
        <v>#NUM!</v>
      </c>
      <c r="K187" s="277" t="e">
        <f t="shared" si="14"/>
        <v>#NUM!</v>
      </c>
      <c r="L187" s="277"/>
      <c r="M187" s="279">
        <f t="shared" si="15"/>
        <v>0</v>
      </c>
    </row>
    <row r="188" spans="1:13" x14ac:dyDescent="0.25">
      <c r="A188" s="294"/>
      <c r="G188" s="263"/>
      <c r="H188" s="277">
        <v>183</v>
      </c>
      <c r="I188" s="278" t="str">
        <f t="shared" si="13"/>
        <v/>
      </c>
      <c r="J188" s="277" t="e">
        <f t="shared" si="17"/>
        <v>#NUM!</v>
      </c>
      <c r="K188" s="277" t="e">
        <f t="shared" si="14"/>
        <v>#NUM!</v>
      </c>
      <c r="L188" s="277"/>
      <c r="M188" s="279">
        <f t="shared" si="15"/>
        <v>0</v>
      </c>
    </row>
    <row r="189" spans="1:13" x14ac:dyDescent="0.25">
      <c r="A189" s="294"/>
      <c r="G189" s="263"/>
      <c r="H189" s="280">
        <v>184</v>
      </c>
      <c r="I189" s="278" t="str">
        <f t="shared" si="13"/>
        <v/>
      </c>
      <c r="J189" s="277" t="e">
        <f t="shared" si="17"/>
        <v>#NUM!</v>
      </c>
      <c r="K189" s="277" t="e">
        <f t="shared" si="14"/>
        <v>#NUM!</v>
      </c>
      <c r="L189" s="277"/>
      <c r="M189" s="279">
        <f t="shared" si="15"/>
        <v>0</v>
      </c>
    </row>
    <row r="190" spans="1:13" x14ac:dyDescent="0.25">
      <c r="A190" s="294"/>
      <c r="G190" s="263"/>
      <c r="H190" s="277">
        <v>185</v>
      </c>
      <c r="I190" s="278" t="str">
        <f t="shared" si="13"/>
        <v/>
      </c>
      <c r="J190" s="277" t="e">
        <f t="shared" si="17"/>
        <v>#NUM!</v>
      </c>
      <c r="K190" s="277" t="e">
        <f t="shared" si="14"/>
        <v>#NUM!</v>
      </c>
      <c r="L190" s="277"/>
      <c r="M190" s="279">
        <f t="shared" si="15"/>
        <v>0</v>
      </c>
    </row>
    <row r="191" spans="1:13" x14ac:dyDescent="0.25">
      <c r="A191" s="294"/>
      <c r="G191" s="263"/>
      <c r="H191" s="280">
        <v>186</v>
      </c>
      <c r="I191" s="278" t="str">
        <f t="shared" si="13"/>
        <v/>
      </c>
      <c r="J191" s="277" t="e">
        <f t="shared" si="17"/>
        <v>#NUM!</v>
      </c>
      <c r="K191" s="277" t="e">
        <f t="shared" si="14"/>
        <v>#NUM!</v>
      </c>
      <c r="L191" s="277"/>
      <c r="M191" s="279">
        <f t="shared" si="15"/>
        <v>0</v>
      </c>
    </row>
    <row r="192" spans="1:13" x14ac:dyDescent="0.25">
      <c r="A192" s="294"/>
      <c r="G192" s="263"/>
      <c r="H192" s="277">
        <v>187</v>
      </c>
      <c r="I192" s="278" t="str">
        <f t="shared" si="13"/>
        <v/>
      </c>
      <c r="J192" s="277" t="e">
        <f t="shared" si="17"/>
        <v>#NUM!</v>
      </c>
      <c r="K192" s="277" t="e">
        <f t="shared" si="14"/>
        <v>#NUM!</v>
      </c>
      <c r="L192" s="277"/>
      <c r="M192" s="279">
        <f t="shared" si="15"/>
        <v>0</v>
      </c>
    </row>
    <row r="193" spans="1:13" x14ac:dyDescent="0.25">
      <c r="A193" s="294"/>
      <c r="G193" s="263"/>
      <c r="H193" s="280">
        <v>188</v>
      </c>
      <c r="I193" s="278" t="str">
        <f t="shared" si="13"/>
        <v/>
      </c>
      <c r="J193" s="277" t="e">
        <f t="shared" si="17"/>
        <v>#NUM!</v>
      </c>
      <c r="K193" s="277" t="e">
        <f t="shared" si="14"/>
        <v>#NUM!</v>
      </c>
      <c r="L193" s="277"/>
      <c r="M193" s="279">
        <f t="shared" si="15"/>
        <v>0</v>
      </c>
    </row>
    <row r="194" spans="1:13" x14ac:dyDescent="0.25">
      <c r="A194" s="294"/>
      <c r="G194" s="263"/>
      <c r="H194" s="277">
        <v>189</v>
      </c>
      <c r="I194" s="278" t="str">
        <f t="shared" si="13"/>
        <v/>
      </c>
      <c r="J194" s="277" t="e">
        <f t="shared" si="17"/>
        <v>#NUM!</v>
      </c>
      <c r="K194" s="277" t="e">
        <f t="shared" si="14"/>
        <v>#NUM!</v>
      </c>
      <c r="L194" s="277"/>
      <c r="M194" s="279">
        <f t="shared" si="15"/>
        <v>0</v>
      </c>
    </row>
    <row r="195" spans="1:13" x14ac:dyDescent="0.25">
      <c r="A195" s="294"/>
      <c r="G195" s="263"/>
      <c r="H195" s="280">
        <v>190</v>
      </c>
      <c r="I195" s="278" t="str">
        <f t="shared" si="13"/>
        <v/>
      </c>
      <c r="J195" s="277" t="e">
        <f t="shared" si="17"/>
        <v>#NUM!</v>
      </c>
      <c r="K195" s="277" t="e">
        <f t="shared" si="14"/>
        <v>#NUM!</v>
      </c>
      <c r="L195" s="277"/>
      <c r="M195" s="279">
        <f t="shared" si="15"/>
        <v>0</v>
      </c>
    </row>
    <row r="196" spans="1:13" x14ac:dyDescent="0.25">
      <c r="A196" s="294"/>
      <c r="G196" s="263"/>
      <c r="H196" s="277">
        <v>191</v>
      </c>
      <c r="I196" s="278" t="str">
        <f t="shared" si="13"/>
        <v/>
      </c>
      <c r="J196" s="277" t="e">
        <f t="shared" si="17"/>
        <v>#NUM!</v>
      </c>
      <c r="K196" s="277" t="e">
        <f t="shared" si="14"/>
        <v>#NUM!</v>
      </c>
      <c r="L196" s="277"/>
      <c r="M196" s="279">
        <f t="shared" si="15"/>
        <v>0</v>
      </c>
    </row>
    <row r="197" spans="1:13" x14ac:dyDescent="0.25">
      <c r="A197" s="294"/>
      <c r="G197" s="263"/>
      <c r="H197" s="280">
        <v>192</v>
      </c>
      <c r="I197" s="278" t="str">
        <f t="shared" si="13"/>
        <v/>
      </c>
      <c r="J197" s="277" t="e">
        <f t="shared" si="17"/>
        <v>#NUM!</v>
      </c>
      <c r="K197" s="277" t="e">
        <f t="shared" si="14"/>
        <v>#NUM!</v>
      </c>
      <c r="L197" s="277"/>
      <c r="M197" s="279">
        <f t="shared" si="15"/>
        <v>0</v>
      </c>
    </row>
    <row r="198" spans="1:13" x14ac:dyDescent="0.25">
      <c r="A198" s="294"/>
      <c r="G198" s="263"/>
      <c r="H198" s="277">
        <v>193</v>
      </c>
      <c r="I198" s="278" t="str">
        <f t="shared" ref="I198:I261" si="18">IF(H198&lt;$H$2+1,($I$2-($I$2-1)*(LOG(H198)/LOG($H$2))),"")</f>
        <v/>
      </c>
      <c r="J198" s="277" t="e">
        <f t="shared" si="17"/>
        <v>#NUM!</v>
      </c>
      <c r="K198" s="277" t="e">
        <f t="shared" ref="K198:K261" si="19">J198*$J$2</f>
        <v>#NUM!</v>
      </c>
      <c r="L198" s="277"/>
      <c r="M198" s="279">
        <f t="shared" ref="M198:M261" si="20">IF(I198&lt;&gt;"",K198+I198+L198,0)</f>
        <v>0</v>
      </c>
    </row>
    <row r="199" spans="1:13" x14ac:dyDescent="0.25">
      <c r="A199" s="294"/>
      <c r="G199" s="263"/>
      <c r="H199" s="280">
        <v>194</v>
      </c>
      <c r="I199" s="278" t="str">
        <f t="shared" si="18"/>
        <v/>
      </c>
      <c r="J199" s="277" t="e">
        <f t="shared" ref="J199:J262" si="21">INT(LOG($H$2,2))-ROUNDUP(LOG(H199,2),0)+IF(OR($H$2=1,$H$2=2,$H$2=4,$H$2=8,$H$2=16,$H$2=32,$H$2=64,$H$2=128,$H$2=256),0,1)</f>
        <v>#NUM!</v>
      </c>
      <c r="K199" s="277" t="e">
        <f t="shared" si="19"/>
        <v>#NUM!</v>
      </c>
      <c r="L199" s="277"/>
      <c r="M199" s="279">
        <f t="shared" si="20"/>
        <v>0</v>
      </c>
    </row>
    <row r="200" spans="1:13" x14ac:dyDescent="0.25">
      <c r="A200" s="294"/>
      <c r="G200" s="263"/>
      <c r="H200" s="277">
        <v>195</v>
      </c>
      <c r="I200" s="278" t="str">
        <f t="shared" si="18"/>
        <v/>
      </c>
      <c r="J200" s="277" t="e">
        <f t="shared" si="21"/>
        <v>#NUM!</v>
      </c>
      <c r="K200" s="277" t="e">
        <f t="shared" si="19"/>
        <v>#NUM!</v>
      </c>
      <c r="L200" s="277"/>
      <c r="M200" s="279">
        <f t="shared" si="20"/>
        <v>0</v>
      </c>
    </row>
    <row r="201" spans="1:13" x14ac:dyDescent="0.25">
      <c r="A201" s="294"/>
      <c r="G201" s="263"/>
      <c r="H201" s="280">
        <v>196</v>
      </c>
      <c r="I201" s="278" t="str">
        <f t="shared" si="18"/>
        <v/>
      </c>
      <c r="J201" s="277" t="e">
        <f t="shared" si="21"/>
        <v>#NUM!</v>
      </c>
      <c r="K201" s="277" t="e">
        <f t="shared" si="19"/>
        <v>#NUM!</v>
      </c>
      <c r="L201" s="277"/>
      <c r="M201" s="279">
        <f t="shared" si="20"/>
        <v>0</v>
      </c>
    </row>
    <row r="202" spans="1:13" x14ac:dyDescent="0.25">
      <c r="A202" s="294"/>
      <c r="G202" s="263"/>
      <c r="H202" s="277">
        <v>197</v>
      </c>
      <c r="I202" s="278" t="str">
        <f t="shared" si="18"/>
        <v/>
      </c>
      <c r="J202" s="277" t="e">
        <f t="shared" si="21"/>
        <v>#NUM!</v>
      </c>
      <c r="K202" s="277" t="e">
        <f t="shared" si="19"/>
        <v>#NUM!</v>
      </c>
      <c r="L202" s="277"/>
      <c r="M202" s="279">
        <f t="shared" si="20"/>
        <v>0</v>
      </c>
    </row>
    <row r="203" spans="1:13" x14ac:dyDescent="0.25">
      <c r="A203" s="294"/>
      <c r="G203" s="263"/>
      <c r="H203" s="280">
        <v>198</v>
      </c>
      <c r="I203" s="278" t="str">
        <f t="shared" si="18"/>
        <v/>
      </c>
      <c r="J203" s="277" t="e">
        <f t="shared" si="21"/>
        <v>#NUM!</v>
      </c>
      <c r="K203" s="277" t="e">
        <f t="shared" si="19"/>
        <v>#NUM!</v>
      </c>
      <c r="L203" s="277"/>
      <c r="M203" s="279">
        <f t="shared" si="20"/>
        <v>0</v>
      </c>
    </row>
    <row r="204" spans="1:13" x14ac:dyDescent="0.25">
      <c r="A204" s="294"/>
      <c r="G204" s="263"/>
      <c r="H204" s="277">
        <v>199</v>
      </c>
      <c r="I204" s="278" t="str">
        <f t="shared" si="18"/>
        <v/>
      </c>
      <c r="J204" s="277" t="e">
        <f t="shared" si="21"/>
        <v>#NUM!</v>
      </c>
      <c r="K204" s="277" t="e">
        <f t="shared" si="19"/>
        <v>#NUM!</v>
      </c>
      <c r="L204" s="277"/>
      <c r="M204" s="279">
        <f t="shared" si="20"/>
        <v>0</v>
      </c>
    </row>
    <row r="205" spans="1:13" x14ac:dyDescent="0.25">
      <c r="A205" s="294"/>
      <c r="G205" s="263"/>
      <c r="H205" s="280">
        <v>200</v>
      </c>
      <c r="I205" s="278" t="str">
        <f t="shared" si="18"/>
        <v/>
      </c>
      <c r="J205" s="277" t="e">
        <f t="shared" si="21"/>
        <v>#NUM!</v>
      </c>
      <c r="K205" s="277" t="e">
        <f t="shared" si="19"/>
        <v>#NUM!</v>
      </c>
      <c r="L205" s="277"/>
      <c r="M205" s="279">
        <f t="shared" si="20"/>
        <v>0</v>
      </c>
    </row>
    <row r="206" spans="1:13" x14ac:dyDescent="0.25">
      <c r="A206" s="294"/>
      <c r="G206" s="263"/>
      <c r="H206" s="277">
        <v>201</v>
      </c>
      <c r="I206" s="278" t="str">
        <f t="shared" si="18"/>
        <v/>
      </c>
      <c r="J206" s="277" t="e">
        <f t="shared" si="21"/>
        <v>#NUM!</v>
      </c>
      <c r="K206" s="277" t="e">
        <f t="shared" si="19"/>
        <v>#NUM!</v>
      </c>
      <c r="L206" s="277"/>
      <c r="M206" s="279">
        <f t="shared" si="20"/>
        <v>0</v>
      </c>
    </row>
    <row r="207" spans="1:13" x14ac:dyDescent="0.25">
      <c r="A207" s="294"/>
      <c r="G207" s="263"/>
      <c r="H207" s="280">
        <v>202</v>
      </c>
      <c r="I207" s="278" t="str">
        <f t="shared" si="18"/>
        <v/>
      </c>
      <c r="J207" s="277" t="e">
        <f t="shared" si="21"/>
        <v>#NUM!</v>
      </c>
      <c r="K207" s="277" t="e">
        <f t="shared" si="19"/>
        <v>#NUM!</v>
      </c>
      <c r="L207" s="277"/>
      <c r="M207" s="279">
        <f t="shared" si="20"/>
        <v>0</v>
      </c>
    </row>
    <row r="208" spans="1:13" x14ac:dyDescent="0.25">
      <c r="A208" s="294"/>
      <c r="G208" s="263"/>
      <c r="H208" s="277">
        <v>203</v>
      </c>
      <c r="I208" s="278" t="str">
        <f t="shared" si="18"/>
        <v/>
      </c>
      <c r="J208" s="277" t="e">
        <f t="shared" si="21"/>
        <v>#NUM!</v>
      </c>
      <c r="K208" s="277" t="e">
        <f t="shared" si="19"/>
        <v>#NUM!</v>
      </c>
      <c r="L208" s="277"/>
      <c r="M208" s="279">
        <f t="shared" si="20"/>
        <v>0</v>
      </c>
    </row>
    <row r="209" spans="1:13" x14ac:dyDescent="0.25">
      <c r="A209" s="294"/>
      <c r="G209" s="263"/>
      <c r="H209" s="280">
        <v>204</v>
      </c>
      <c r="I209" s="278" t="str">
        <f t="shared" si="18"/>
        <v/>
      </c>
      <c r="J209" s="277" t="e">
        <f t="shared" si="21"/>
        <v>#NUM!</v>
      </c>
      <c r="K209" s="277" t="e">
        <f t="shared" si="19"/>
        <v>#NUM!</v>
      </c>
      <c r="L209" s="277"/>
      <c r="M209" s="279">
        <f t="shared" si="20"/>
        <v>0</v>
      </c>
    </row>
    <row r="210" spans="1:13" x14ac:dyDescent="0.25">
      <c r="A210" s="294"/>
      <c r="G210" s="263"/>
      <c r="H210" s="277">
        <v>205</v>
      </c>
      <c r="I210" s="278" t="str">
        <f t="shared" si="18"/>
        <v/>
      </c>
      <c r="J210" s="277" t="e">
        <f t="shared" si="21"/>
        <v>#NUM!</v>
      </c>
      <c r="K210" s="277" t="e">
        <f t="shared" si="19"/>
        <v>#NUM!</v>
      </c>
      <c r="L210" s="277"/>
      <c r="M210" s="279">
        <f t="shared" si="20"/>
        <v>0</v>
      </c>
    </row>
    <row r="211" spans="1:13" x14ac:dyDescent="0.25">
      <c r="A211" s="294"/>
      <c r="G211" s="263"/>
      <c r="H211" s="280">
        <v>206</v>
      </c>
      <c r="I211" s="278" t="str">
        <f t="shared" si="18"/>
        <v/>
      </c>
      <c r="J211" s="277" t="e">
        <f t="shared" si="21"/>
        <v>#NUM!</v>
      </c>
      <c r="K211" s="277" t="e">
        <f t="shared" si="19"/>
        <v>#NUM!</v>
      </c>
      <c r="L211" s="277"/>
      <c r="M211" s="279">
        <f t="shared" si="20"/>
        <v>0</v>
      </c>
    </row>
    <row r="212" spans="1:13" x14ac:dyDescent="0.25">
      <c r="A212" s="294"/>
      <c r="G212" s="263"/>
      <c r="H212" s="277">
        <v>207</v>
      </c>
      <c r="I212" s="278" t="str">
        <f t="shared" si="18"/>
        <v/>
      </c>
      <c r="J212" s="277" t="e">
        <f t="shared" si="21"/>
        <v>#NUM!</v>
      </c>
      <c r="K212" s="277" t="e">
        <f t="shared" si="19"/>
        <v>#NUM!</v>
      </c>
      <c r="L212" s="277"/>
      <c r="M212" s="279">
        <f t="shared" si="20"/>
        <v>0</v>
      </c>
    </row>
    <row r="213" spans="1:13" x14ac:dyDescent="0.25">
      <c r="A213" s="294"/>
      <c r="G213" s="263"/>
      <c r="H213" s="280">
        <v>208</v>
      </c>
      <c r="I213" s="278" t="str">
        <f t="shared" si="18"/>
        <v/>
      </c>
      <c r="J213" s="277" t="e">
        <f t="shared" si="21"/>
        <v>#NUM!</v>
      </c>
      <c r="K213" s="277" t="e">
        <f t="shared" si="19"/>
        <v>#NUM!</v>
      </c>
      <c r="L213" s="277"/>
      <c r="M213" s="279">
        <f t="shared" si="20"/>
        <v>0</v>
      </c>
    </row>
    <row r="214" spans="1:13" x14ac:dyDescent="0.25">
      <c r="A214" s="294"/>
      <c r="G214" s="263"/>
      <c r="H214" s="277">
        <v>209</v>
      </c>
      <c r="I214" s="278" t="str">
        <f t="shared" si="18"/>
        <v/>
      </c>
      <c r="J214" s="277" t="e">
        <f t="shared" si="21"/>
        <v>#NUM!</v>
      </c>
      <c r="K214" s="277" t="e">
        <f t="shared" si="19"/>
        <v>#NUM!</v>
      </c>
      <c r="L214" s="277"/>
      <c r="M214" s="279">
        <f t="shared" si="20"/>
        <v>0</v>
      </c>
    </row>
    <row r="215" spans="1:13" x14ac:dyDescent="0.25">
      <c r="A215" s="294"/>
      <c r="G215" s="263"/>
      <c r="H215" s="280">
        <v>210</v>
      </c>
      <c r="I215" s="278" t="str">
        <f t="shared" si="18"/>
        <v/>
      </c>
      <c r="J215" s="277" t="e">
        <f t="shared" si="21"/>
        <v>#NUM!</v>
      </c>
      <c r="K215" s="277" t="e">
        <f t="shared" si="19"/>
        <v>#NUM!</v>
      </c>
      <c r="L215" s="277"/>
      <c r="M215" s="279">
        <f t="shared" si="20"/>
        <v>0</v>
      </c>
    </row>
    <row r="216" spans="1:13" x14ac:dyDescent="0.25">
      <c r="A216" s="294"/>
      <c r="G216" s="263"/>
      <c r="H216" s="277">
        <v>211</v>
      </c>
      <c r="I216" s="278" t="str">
        <f t="shared" si="18"/>
        <v/>
      </c>
      <c r="J216" s="277" t="e">
        <f t="shared" si="21"/>
        <v>#NUM!</v>
      </c>
      <c r="K216" s="277" t="e">
        <f t="shared" si="19"/>
        <v>#NUM!</v>
      </c>
      <c r="L216" s="277"/>
      <c r="M216" s="279">
        <f t="shared" si="20"/>
        <v>0</v>
      </c>
    </row>
    <row r="217" spans="1:13" x14ac:dyDescent="0.25">
      <c r="A217" s="294"/>
      <c r="G217" s="263"/>
      <c r="H217" s="280">
        <v>212</v>
      </c>
      <c r="I217" s="278" t="str">
        <f t="shared" si="18"/>
        <v/>
      </c>
      <c r="J217" s="277" t="e">
        <f t="shared" si="21"/>
        <v>#NUM!</v>
      </c>
      <c r="K217" s="277" t="e">
        <f t="shared" si="19"/>
        <v>#NUM!</v>
      </c>
      <c r="L217" s="277"/>
      <c r="M217" s="279">
        <f t="shared" si="20"/>
        <v>0</v>
      </c>
    </row>
    <row r="218" spans="1:13" x14ac:dyDescent="0.25">
      <c r="A218" s="294"/>
      <c r="G218" s="263"/>
      <c r="H218" s="277">
        <v>213</v>
      </c>
      <c r="I218" s="278" t="str">
        <f t="shared" si="18"/>
        <v/>
      </c>
      <c r="J218" s="277" t="e">
        <f t="shared" si="21"/>
        <v>#NUM!</v>
      </c>
      <c r="K218" s="277" t="e">
        <f t="shared" si="19"/>
        <v>#NUM!</v>
      </c>
      <c r="L218" s="277"/>
      <c r="M218" s="279">
        <f t="shared" si="20"/>
        <v>0</v>
      </c>
    </row>
    <row r="219" spans="1:13" x14ac:dyDescent="0.25">
      <c r="A219" s="294"/>
      <c r="G219" s="263"/>
      <c r="H219" s="280">
        <v>214</v>
      </c>
      <c r="I219" s="278" t="str">
        <f t="shared" si="18"/>
        <v/>
      </c>
      <c r="J219" s="277" t="e">
        <f t="shared" si="21"/>
        <v>#NUM!</v>
      </c>
      <c r="K219" s="277" t="e">
        <f t="shared" si="19"/>
        <v>#NUM!</v>
      </c>
      <c r="L219" s="277"/>
      <c r="M219" s="279">
        <f t="shared" si="20"/>
        <v>0</v>
      </c>
    </row>
    <row r="220" spans="1:13" x14ac:dyDescent="0.25">
      <c r="A220" s="294"/>
      <c r="G220" s="263"/>
      <c r="H220" s="277">
        <v>215</v>
      </c>
      <c r="I220" s="278" t="str">
        <f t="shared" si="18"/>
        <v/>
      </c>
      <c r="J220" s="277" t="e">
        <f t="shared" si="21"/>
        <v>#NUM!</v>
      </c>
      <c r="K220" s="277" t="e">
        <f t="shared" si="19"/>
        <v>#NUM!</v>
      </c>
      <c r="L220" s="277"/>
      <c r="M220" s="279">
        <f t="shared" si="20"/>
        <v>0</v>
      </c>
    </row>
    <row r="221" spans="1:13" x14ac:dyDescent="0.25">
      <c r="A221" s="294"/>
      <c r="G221" s="263"/>
      <c r="H221" s="280">
        <v>216</v>
      </c>
      <c r="I221" s="278" t="str">
        <f t="shared" si="18"/>
        <v/>
      </c>
      <c r="J221" s="277" t="e">
        <f t="shared" si="21"/>
        <v>#NUM!</v>
      </c>
      <c r="K221" s="277" t="e">
        <f t="shared" si="19"/>
        <v>#NUM!</v>
      </c>
      <c r="L221" s="277"/>
      <c r="M221" s="279">
        <f t="shared" si="20"/>
        <v>0</v>
      </c>
    </row>
    <row r="222" spans="1:13" x14ac:dyDescent="0.25">
      <c r="A222" s="294"/>
      <c r="G222" s="263"/>
      <c r="H222" s="277">
        <v>217</v>
      </c>
      <c r="I222" s="278" t="str">
        <f t="shared" si="18"/>
        <v/>
      </c>
      <c r="J222" s="277" t="e">
        <f t="shared" si="21"/>
        <v>#NUM!</v>
      </c>
      <c r="K222" s="277" t="e">
        <f t="shared" si="19"/>
        <v>#NUM!</v>
      </c>
      <c r="L222" s="277"/>
      <c r="M222" s="279">
        <f t="shared" si="20"/>
        <v>0</v>
      </c>
    </row>
    <row r="223" spans="1:13" x14ac:dyDescent="0.25">
      <c r="A223" s="294"/>
      <c r="G223" s="263"/>
      <c r="H223" s="280">
        <v>218</v>
      </c>
      <c r="I223" s="278" t="str">
        <f t="shared" si="18"/>
        <v/>
      </c>
      <c r="J223" s="277" t="e">
        <f t="shared" si="21"/>
        <v>#NUM!</v>
      </c>
      <c r="K223" s="277" t="e">
        <f t="shared" si="19"/>
        <v>#NUM!</v>
      </c>
      <c r="L223" s="277"/>
      <c r="M223" s="279">
        <f t="shared" si="20"/>
        <v>0</v>
      </c>
    </row>
    <row r="224" spans="1:13" x14ac:dyDescent="0.25">
      <c r="A224" s="294"/>
      <c r="G224" s="263"/>
      <c r="H224" s="277">
        <v>219</v>
      </c>
      <c r="I224" s="278" t="str">
        <f t="shared" si="18"/>
        <v/>
      </c>
      <c r="J224" s="277" t="e">
        <f t="shared" si="21"/>
        <v>#NUM!</v>
      </c>
      <c r="K224" s="277" t="e">
        <f t="shared" si="19"/>
        <v>#NUM!</v>
      </c>
      <c r="L224" s="277"/>
      <c r="M224" s="279">
        <f t="shared" si="20"/>
        <v>0</v>
      </c>
    </row>
    <row r="225" spans="1:13" x14ac:dyDescent="0.25">
      <c r="A225" s="294"/>
      <c r="G225" s="263"/>
      <c r="H225" s="280">
        <v>220</v>
      </c>
      <c r="I225" s="278" t="str">
        <f t="shared" si="18"/>
        <v/>
      </c>
      <c r="J225" s="277" t="e">
        <f t="shared" si="21"/>
        <v>#NUM!</v>
      </c>
      <c r="K225" s="277" t="e">
        <f t="shared" si="19"/>
        <v>#NUM!</v>
      </c>
      <c r="L225" s="277"/>
      <c r="M225" s="279">
        <f t="shared" si="20"/>
        <v>0</v>
      </c>
    </row>
    <row r="226" spans="1:13" x14ac:dyDescent="0.25">
      <c r="A226" s="294"/>
      <c r="G226" s="263"/>
      <c r="H226" s="277">
        <v>221</v>
      </c>
      <c r="I226" s="278" t="str">
        <f t="shared" si="18"/>
        <v/>
      </c>
      <c r="J226" s="277" t="e">
        <f t="shared" si="21"/>
        <v>#NUM!</v>
      </c>
      <c r="K226" s="277" t="e">
        <f t="shared" si="19"/>
        <v>#NUM!</v>
      </c>
      <c r="L226" s="277"/>
      <c r="M226" s="279">
        <f t="shared" si="20"/>
        <v>0</v>
      </c>
    </row>
    <row r="227" spans="1:13" x14ac:dyDescent="0.25">
      <c r="A227" s="294"/>
      <c r="G227" s="263"/>
      <c r="H227" s="280">
        <v>222</v>
      </c>
      <c r="I227" s="278" t="str">
        <f t="shared" si="18"/>
        <v/>
      </c>
      <c r="J227" s="277" t="e">
        <f t="shared" si="21"/>
        <v>#NUM!</v>
      </c>
      <c r="K227" s="277" t="e">
        <f t="shared" si="19"/>
        <v>#NUM!</v>
      </c>
      <c r="L227" s="277"/>
      <c r="M227" s="279">
        <f t="shared" si="20"/>
        <v>0</v>
      </c>
    </row>
    <row r="228" spans="1:13" x14ac:dyDescent="0.25">
      <c r="A228" s="294"/>
      <c r="G228" s="263"/>
      <c r="H228" s="277">
        <v>223</v>
      </c>
      <c r="I228" s="278" t="str">
        <f t="shared" si="18"/>
        <v/>
      </c>
      <c r="J228" s="277" t="e">
        <f t="shared" si="21"/>
        <v>#NUM!</v>
      </c>
      <c r="K228" s="277" t="e">
        <f t="shared" si="19"/>
        <v>#NUM!</v>
      </c>
      <c r="L228" s="277"/>
      <c r="M228" s="279">
        <f t="shared" si="20"/>
        <v>0</v>
      </c>
    </row>
    <row r="229" spans="1:13" x14ac:dyDescent="0.25">
      <c r="A229" s="294"/>
      <c r="G229" s="263"/>
      <c r="H229" s="280">
        <v>224</v>
      </c>
      <c r="I229" s="278" t="str">
        <f t="shared" si="18"/>
        <v/>
      </c>
      <c r="J229" s="277" t="e">
        <f t="shared" si="21"/>
        <v>#NUM!</v>
      </c>
      <c r="K229" s="277" t="e">
        <f t="shared" si="19"/>
        <v>#NUM!</v>
      </c>
      <c r="L229" s="277"/>
      <c r="M229" s="279">
        <f t="shared" si="20"/>
        <v>0</v>
      </c>
    </row>
    <row r="230" spans="1:13" x14ac:dyDescent="0.25">
      <c r="A230" s="294"/>
      <c r="G230" s="263"/>
      <c r="H230" s="277">
        <v>225</v>
      </c>
      <c r="I230" s="278" t="str">
        <f t="shared" si="18"/>
        <v/>
      </c>
      <c r="J230" s="277" t="e">
        <f t="shared" si="21"/>
        <v>#NUM!</v>
      </c>
      <c r="K230" s="277" t="e">
        <f t="shared" si="19"/>
        <v>#NUM!</v>
      </c>
      <c r="L230" s="277"/>
      <c r="M230" s="279">
        <f t="shared" si="20"/>
        <v>0</v>
      </c>
    </row>
    <row r="231" spans="1:13" x14ac:dyDescent="0.25">
      <c r="A231" s="294"/>
      <c r="G231" s="263"/>
      <c r="H231" s="280">
        <v>226</v>
      </c>
      <c r="I231" s="278" t="str">
        <f t="shared" si="18"/>
        <v/>
      </c>
      <c r="J231" s="277" t="e">
        <f t="shared" si="21"/>
        <v>#NUM!</v>
      </c>
      <c r="K231" s="277" t="e">
        <f t="shared" si="19"/>
        <v>#NUM!</v>
      </c>
      <c r="L231" s="277"/>
      <c r="M231" s="279">
        <f t="shared" si="20"/>
        <v>0</v>
      </c>
    </row>
    <row r="232" spans="1:13" x14ac:dyDescent="0.25">
      <c r="A232" s="294"/>
      <c r="G232" s="263"/>
      <c r="H232" s="277">
        <v>227</v>
      </c>
      <c r="I232" s="278" t="str">
        <f t="shared" si="18"/>
        <v/>
      </c>
      <c r="J232" s="277" t="e">
        <f t="shared" si="21"/>
        <v>#NUM!</v>
      </c>
      <c r="K232" s="277" t="e">
        <f t="shared" si="19"/>
        <v>#NUM!</v>
      </c>
      <c r="L232" s="277"/>
      <c r="M232" s="279">
        <f t="shared" si="20"/>
        <v>0</v>
      </c>
    </row>
    <row r="233" spans="1:13" x14ac:dyDescent="0.25">
      <c r="A233" s="294"/>
      <c r="G233" s="263"/>
      <c r="H233" s="280">
        <v>228</v>
      </c>
      <c r="I233" s="278" t="str">
        <f t="shared" si="18"/>
        <v/>
      </c>
      <c r="J233" s="277" t="e">
        <f t="shared" si="21"/>
        <v>#NUM!</v>
      </c>
      <c r="K233" s="277" t="e">
        <f t="shared" si="19"/>
        <v>#NUM!</v>
      </c>
      <c r="L233" s="277"/>
      <c r="M233" s="279">
        <f t="shared" si="20"/>
        <v>0</v>
      </c>
    </row>
    <row r="234" spans="1:13" x14ac:dyDescent="0.25">
      <c r="A234" s="294"/>
      <c r="G234" s="263"/>
      <c r="H234" s="277">
        <v>229</v>
      </c>
      <c r="I234" s="278" t="str">
        <f t="shared" si="18"/>
        <v/>
      </c>
      <c r="J234" s="277" t="e">
        <f t="shared" si="21"/>
        <v>#NUM!</v>
      </c>
      <c r="K234" s="277" t="e">
        <f t="shared" si="19"/>
        <v>#NUM!</v>
      </c>
      <c r="L234" s="277"/>
      <c r="M234" s="279">
        <f t="shared" si="20"/>
        <v>0</v>
      </c>
    </row>
    <row r="235" spans="1:13" x14ac:dyDescent="0.25">
      <c r="A235" s="294"/>
      <c r="G235" s="263"/>
      <c r="H235" s="280">
        <v>230</v>
      </c>
      <c r="I235" s="278" t="str">
        <f t="shared" si="18"/>
        <v/>
      </c>
      <c r="J235" s="277" t="e">
        <f t="shared" si="21"/>
        <v>#NUM!</v>
      </c>
      <c r="K235" s="277" t="e">
        <f t="shared" si="19"/>
        <v>#NUM!</v>
      </c>
      <c r="L235" s="277"/>
      <c r="M235" s="279">
        <f t="shared" si="20"/>
        <v>0</v>
      </c>
    </row>
    <row r="236" spans="1:13" x14ac:dyDescent="0.25">
      <c r="A236" s="294"/>
      <c r="G236" s="263"/>
      <c r="H236" s="277">
        <v>231</v>
      </c>
      <c r="I236" s="278" t="str">
        <f t="shared" si="18"/>
        <v/>
      </c>
      <c r="J236" s="277" t="e">
        <f t="shared" si="21"/>
        <v>#NUM!</v>
      </c>
      <c r="K236" s="277" t="e">
        <f t="shared" si="19"/>
        <v>#NUM!</v>
      </c>
      <c r="L236" s="277"/>
      <c r="M236" s="279">
        <f t="shared" si="20"/>
        <v>0</v>
      </c>
    </row>
    <row r="237" spans="1:13" x14ac:dyDescent="0.25">
      <c r="A237" s="294"/>
      <c r="G237" s="263"/>
      <c r="H237" s="280">
        <v>232</v>
      </c>
      <c r="I237" s="278" t="str">
        <f t="shared" si="18"/>
        <v/>
      </c>
      <c r="J237" s="277" t="e">
        <f t="shared" si="21"/>
        <v>#NUM!</v>
      </c>
      <c r="K237" s="277" t="e">
        <f t="shared" si="19"/>
        <v>#NUM!</v>
      </c>
      <c r="L237" s="277"/>
      <c r="M237" s="279">
        <f t="shared" si="20"/>
        <v>0</v>
      </c>
    </row>
    <row r="238" spans="1:13" x14ac:dyDescent="0.25">
      <c r="A238" s="294"/>
      <c r="G238" s="263"/>
      <c r="H238" s="277">
        <v>233</v>
      </c>
      <c r="I238" s="278" t="str">
        <f t="shared" si="18"/>
        <v/>
      </c>
      <c r="J238" s="277" t="e">
        <f t="shared" si="21"/>
        <v>#NUM!</v>
      </c>
      <c r="K238" s="277" t="e">
        <f t="shared" si="19"/>
        <v>#NUM!</v>
      </c>
      <c r="L238" s="277"/>
      <c r="M238" s="279">
        <f t="shared" si="20"/>
        <v>0</v>
      </c>
    </row>
    <row r="239" spans="1:13" x14ac:dyDescent="0.25">
      <c r="A239" s="294"/>
      <c r="G239" s="263"/>
      <c r="H239" s="280">
        <v>234</v>
      </c>
      <c r="I239" s="278" t="str">
        <f t="shared" si="18"/>
        <v/>
      </c>
      <c r="J239" s="277" t="e">
        <f t="shared" si="21"/>
        <v>#NUM!</v>
      </c>
      <c r="K239" s="277" t="e">
        <f t="shared" si="19"/>
        <v>#NUM!</v>
      </c>
      <c r="L239" s="277"/>
      <c r="M239" s="279">
        <f t="shared" si="20"/>
        <v>0</v>
      </c>
    </row>
    <row r="240" spans="1:13" x14ac:dyDescent="0.25">
      <c r="A240" s="294"/>
      <c r="G240" s="263"/>
      <c r="H240" s="277">
        <v>235</v>
      </c>
      <c r="I240" s="278" t="str">
        <f t="shared" si="18"/>
        <v/>
      </c>
      <c r="J240" s="277" t="e">
        <f t="shared" si="21"/>
        <v>#NUM!</v>
      </c>
      <c r="K240" s="277" t="e">
        <f t="shared" si="19"/>
        <v>#NUM!</v>
      </c>
      <c r="L240" s="277"/>
      <c r="M240" s="279">
        <f t="shared" si="20"/>
        <v>0</v>
      </c>
    </row>
    <row r="241" spans="1:13" x14ac:dyDescent="0.25">
      <c r="A241" s="294"/>
      <c r="G241" s="263"/>
      <c r="H241" s="280">
        <v>236</v>
      </c>
      <c r="I241" s="278" t="str">
        <f t="shared" si="18"/>
        <v/>
      </c>
      <c r="J241" s="277" t="e">
        <f t="shared" si="21"/>
        <v>#NUM!</v>
      </c>
      <c r="K241" s="277" t="e">
        <f t="shared" si="19"/>
        <v>#NUM!</v>
      </c>
      <c r="L241" s="277"/>
      <c r="M241" s="279">
        <f t="shared" si="20"/>
        <v>0</v>
      </c>
    </row>
    <row r="242" spans="1:13" x14ac:dyDescent="0.25">
      <c r="A242" s="294"/>
      <c r="G242" s="263"/>
      <c r="H242" s="277">
        <v>237</v>
      </c>
      <c r="I242" s="278" t="str">
        <f t="shared" si="18"/>
        <v/>
      </c>
      <c r="J242" s="277" t="e">
        <f t="shared" si="21"/>
        <v>#NUM!</v>
      </c>
      <c r="K242" s="277" t="e">
        <f t="shared" si="19"/>
        <v>#NUM!</v>
      </c>
      <c r="L242" s="277"/>
      <c r="M242" s="279">
        <f t="shared" si="20"/>
        <v>0</v>
      </c>
    </row>
    <row r="243" spans="1:13" x14ac:dyDescent="0.25">
      <c r="A243" s="294"/>
      <c r="G243" s="263"/>
      <c r="H243" s="280">
        <v>238</v>
      </c>
      <c r="I243" s="278" t="str">
        <f t="shared" si="18"/>
        <v/>
      </c>
      <c r="J243" s="277" t="e">
        <f t="shared" si="21"/>
        <v>#NUM!</v>
      </c>
      <c r="K243" s="277" t="e">
        <f t="shared" si="19"/>
        <v>#NUM!</v>
      </c>
      <c r="L243" s="277"/>
      <c r="M243" s="279">
        <f t="shared" si="20"/>
        <v>0</v>
      </c>
    </row>
    <row r="244" spans="1:13" x14ac:dyDescent="0.25">
      <c r="A244" s="294"/>
      <c r="G244" s="263"/>
      <c r="H244" s="277">
        <v>239</v>
      </c>
      <c r="I244" s="278" t="str">
        <f t="shared" si="18"/>
        <v/>
      </c>
      <c r="J244" s="277" t="e">
        <f t="shared" si="21"/>
        <v>#NUM!</v>
      </c>
      <c r="K244" s="277" t="e">
        <f t="shared" si="19"/>
        <v>#NUM!</v>
      </c>
      <c r="L244" s="277"/>
      <c r="M244" s="279">
        <f t="shared" si="20"/>
        <v>0</v>
      </c>
    </row>
    <row r="245" spans="1:13" x14ac:dyDescent="0.25">
      <c r="A245" s="294"/>
      <c r="G245" s="263"/>
      <c r="H245" s="280">
        <v>240</v>
      </c>
      <c r="I245" s="278" t="str">
        <f t="shared" si="18"/>
        <v/>
      </c>
      <c r="J245" s="277" t="e">
        <f t="shared" si="21"/>
        <v>#NUM!</v>
      </c>
      <c r="K245" s="277" t="e">
        <f t="shared" si="19"/>
        <v>#NUM!</v>
      </c>
      <c r="L245" s="277"/>
      <c r="M245" s="279">
        <f t="shared" si="20"/>
        <v>0</v>
      </c>
    </row>
    <row r="246" spans="1:13" x14ac:dyDescent="0.25">
      <c r="A246" s="294"/>
      <c r="G246" s="263"/>
      <c r="H246" s="277">
        <v>241</v>
      </c>
      <c r="I246" s="278" t="str">
        <f t="shared" si="18"/>
        <v/>
      </c>
      <c r="J246" s="277" t="e">
        <f t="shared" si="21"/>
        <v>#NUM!</v>
      </c>
      <c r="K246" s="277" t="e">
        <f t="shared" si="19"/>
        <v>#NUM!</v>
      </c>
      <c r="L246" s="277"/>
      <c r="M246" s="279">
        <f t="shared" si="20"/>
        <v>0</v>
      </c>
    </row>
    <row r="247" spans="1:13" x14ac:dyDescent="0.25">
      <c r="A247" s="294"/>
      <c r="G247" s="263"/>
      <c r="H247" s="280">
        <v>242</v>
      </c>
      <c r="I247" s="278" t="str">
        <f t="shared" si="18"/>
        <v/>
      </c>
      <c r="J247" s="277" t="e">
        <f t="shared" si="21"/>
        <v>#NUM!</v>
      </c>
      <c r="K247" s="277" t="e">
        <f t="shared" si="19"/>
        <v>#NUM!</v>
      </c>
      <c r="L247" s="277"/>
      <c r="M247" s="279">
        <f t="shared" si="20"/>
        <v>0</v>
      </c>
    </row>
    <row r="248" spans="1:13" x14ac:dyDescent="0.25">
      <c r="A248" s="294"/>
      <c r="G248" s="263"/>
      <c r="H248" s="277">
        <v>243</v>
      </c>
      <c r="I248" s="278" t="str">
        <f t="shared" si="18"/>
        <v/>
      </c>
      <c r="J248" s="277" t="e">
        <f t="shared" si="21"/>
        <v>#NUM!</v>
      </c>
      <c r="K248" s="277" t="e">
        <f t="shared" si="19"/>
        <v>#NUM!</v>
      </c>
      <c r="L248" s="277"/>
      <c r="M248" s="279">
        <f t="shared" si="20"/>
        <v>0</v>
      </c>
    </row>
    <row r="249" spans="1:13" x14ac:dyDescent="0.25">
      <c r="A249" s="294"/>
      <c r="G249" s="263"/>
      <c r="H249" s="280">
        <v>244</v>
      </c>
      <c r="I249" s="278" t="str">
        <f t="shared" si="18"/>
        <v/>
      </c>
      <c r="J249" s="277" t="e">
        <f t="shared" si="21"/>
        <v>#NUM!</v>
      </c>
      <c r="K249" s="277" t="e">
        <f t="shared" si="19"/>
        <v>#NUM!</v>
      </c>
      <c r="L249" s="277"/>
      <c r="M249" s="279">
        <f t="shared" si="20"/>
        <v>0</v>
      </c>
    </row>
    <row r="250" spans="1:13" x14ac:dyDescent="0.25">
      <c r="A250" s="294"/>
      <c r="G250" s="263"/>
      <c r="H250" s="277">
        <v>245</v>
      </c>
      <c r="I250" s="278" t="str">
        <f t="shared" si="18"/>
        <v/>
      </c>
      <c r="J250" s="277" t="e">
        <f t="shared" si="21"/>
        <v>#NUM!</v>
      </c>
      <c r="K250" s="277" t="e">
        <f t="shared" si="19"/>
        <v>#NUM!</v>
      </c>
      <c r="L250" s="277"/>
      <c r="M250" s="279">
        <f t="shared" si="20"/>
        <v>0</v>
      </c>
    </row>
    <row r="251" spans="1:13" x14ac:dyDescent="0.25">
      <c r="A251" s="294"/>
      <c r="G251" s="263"/>
      <c r="H251" s="280">
        <v>246</v>
      </c>
      <c r="I251" s="278" t="str">
        <f t="shared" si="18"/>
        <v/>
      </c>
      <c r="J251" s="277" t="e">
        <f t="shared" si="21"/>
        <v>#NUM!</v>
      </c>
      <c r="K251" s="277" t="e">
        <f t="shared" si="19"/>
        <v>#NUM!</v>
      </c>
      <c r="L251" s="277"/>
      <c r="M251" s="279">
        <f t="shared" si="20"/>
        <v>0</v>
      </c>
    </row>
    <row r="252" spans="1:13" x14ac:dyDescent="0.25">
      <c r="A252" s="294"/>
      <c r="G252" s="263"/>
      <c r="H252" s="277">
        <v>247</v>
      </c>
      <c r="I252" s="278" t="str">
        <f t="shared" si="18"/>
        <v/>
      </c>
      <c r="J252" s="277" t="e">
        <f t="shared" si="21"/>
        <v>#NUM!</v>
      </c>
      <c r="K252" s="277" t="e">
        <f t="shared" si="19"/>
        <v>#NUM!</v>
      </c>
      <c r="L252" s="277"/>
      <c r="M252" s="279">
        <f t="shared" si="20"/>
        <v>0</v>
      </c>
    </row>
    <row r="253" spans="1:13" x14ac:dyDescent="0.25">
      <c r="A253" s="294"/>
      <c r="G253" s="263"/>
      <c r="H253" s="280">
        <v>248</v>
      </c>
      <c r="I253" s="278" t="str">
        <f t="shared" si="18"/>
        <v/>
      </c>
      <c r="J253" s="277" t="e">
        <f t="shared" si="21"/>
        <v>#NUM!</v>
      </c>
      <c r="K253" s="277" t="e">
        <f t="shared" si="19"/>
        <v>#NUM!</v>
      </c>
      <c r="L253" s="277"/>
      <c r="M253" s="279">
        <f t="shared" si="20"/>
        <v>0</v>
      </c>
    </row>
    <row r="254" spans="1:13" x14ac:dyDescent="0.25">
      <c r="A254" s="294"/>
      <c r="G254" s="263"/>
      <c r="H254" s="277">
        <v>249</v>
      </c>
      <c r="I254" s="278" t="str">
        <f t="shared" si="18"/>
        <v/>
      </c>
      <c r="J254" s="277" t="e">
        <f t="shared" si="21"/>
        <v>#NUM!</v>
      </c>
      <c r="K254" s="277" t="e">
        <f t="shared" si="19"/>
        <v>#NUM!</v>
      </c>
      <c r="L254" s="277"/>
      <c r="M254" s="279">
        <f t="shared" si="20"/>
        <v>0</v>
      </c>
    </row>
    <row r="255" spans="1:13" x14ac:dyDescent="0.25">
      <c r="A255" s="294"/>
      <c r="G255" s="263"/>
      <c r="H255" s="280">
        <v>250</v>
      </c>
      <c r="I255" s="278" t="str">
        <f t="shared" si="18"/>
        <v/>
      </c>
      <c r="J255" s="277" t="e">
        <f t="shared" si="21"/>
        <v>#NUM!</v>
      </c>
      <c r="K255" s="277" t="e">
        <f t="shared" si="19"/>
        <v>#NUM!</v>
      </c>
      <c r="L255" s="277"/>
      <c r="M255" s="279">
        <f t="shared" si="20"/>
        <v>0</v>
      </c>
    </row>
    <row r="256" spans="1:13" x14ac:dyDescent="0.25">
      <c r="A256" s="294"/>
      <c r="G256" s="263"/>
      <c r="H256" s="277">
        <v>251</v>
      </c>
      <c r="I256" s="278" t="str">
        <f t="shared" si="18"/>
        <v/>
      </c>
      <c r="J256" s="277" t="e">
        <f t="shared" si="21"/>
        <v>#NUM!</v>
      </c>
      <c r="K256" s="277" t="e">
        <f t="shared" si="19"/>
        <v>#NUM!</v>
      </c>
      <c r="L256" s="277"/>
      <c r="M256" s="279">
        <f t="shared" si="20"/>
        <v>0</v>
      </c>
    </row>
    <row r="257" spans="1:13" x14ac:dyDescent="0.25">
      <c r="A257" s="294"/>
      <c r="G257" s="263"/>
      <c r="H257" s="280">
        <v>252</v>
      </c>
      <c r="I257" s="278" t="str">
        <f t="shared" si="18"/>
        <v/>
      </c>
      <c r="J257" s="277" t="e">
        <f t="shared" si="21"/>
        <v>#NUM!</v>
      </c>
      <c r="K257" s="277" t="e">
        <f t="shared" si="19"/>
        <v>#NUM!</v>
      </c>
      <c r="L257" s="277"/>
      <c r="M257" s="279">
        <f t="shared" si="20"/>
        <v>0</v>
      </c>
    </row>
    <row r="258" spans="1:13" x14ac:dyDescent="0.25">
      <c r="A258" s="294"/>
      <c r="G258" s="263"/>
      <c r="H258" s="277">
        <v>253</v>
      </c>
      <c r="I258" s="278" t="str">
        <f t="shared" si="18"/>
        <v/>
      </c>
      <c r="J258" s="277" t="e">
        <f t="shared" si="21"/>
        <v>#NUM!</v>
      </c>
      <c r="K258" s="277" t="e">
        <f t="shared" si="19"/>
        <v>#NUM!</v>
      </c>
      <c r="L258" s="277"/>
      <c r="M258" s="279">
        <f t="shared" si="20"/>
        <v>0</v>
      </c>
    </row>
    <row r="259" spans="1:13" x14ac:dyDescent="0.25">
      <c r="A259" s="294"/>
      <c r="G259" s="263"/>
      <c r="H259" s="280">
        <v>254</v>
      </c>
      <c r="I259" s="278" t="str">
        <f t="shared" si="18"/>
        <v/>
      </c>
      <c r="J259" s="277" t="e">
        <f t="shared" si="21"/>
        <v>#NUM!</v>
      </c>
      <c r="K259" s="277" t="e">
        <f t="shared" si="19"/>
        <v>#NUM!</v>
      </c>
      <c r="L259" s="277"/>
      <c r="M259" s="279">
        <f t="shared" si="20"/>
        <v>0</v>
      </c>
    </row>
    <row r="260" spans="1:13" x14ac:dyDescent="0.25">
      <c r="A260" s="294"/>
      <c r="G260" s="263"/>
      <c r="H260" s="277">
        <v>255</v>
      </c>
      <c r="I260" s="278" t="str">
        <f t="shared" si="18"/>
        <v/>
      </c>
      <c r="J260" s="277" t="e">
        <f t="shared" si="21"/>
        <v>#NUM!</v>
      </c>
      <c r="K260" s="277" t="e">
        <f t="shared" si="19"/>
        <v>#NUM!</v>
      </c>
      <c r="L260" s="277"/>
      <c r="M260" s="279">
        <f t="shared" si="20"/>
        <v>0</v>
      </c>
    </row>
    <row r="261" spans="1:13" x14ac:dyDescent="0.25">
      <c r="A261" s="294"/>
      <c r="G261" s="263"/>
      <c r="H261" s="280">
        <v>256</v>
      </c>
      <c r="I261" s="278" t="str">
        <f t="shared" si="18"/>
        <v/>
      </c>
      <c r="J261" s="277" t="e">
        <f t="shared" si="21"/>
        <v>#NUM!</v>
      </c>
      <c r="K261" s="277" t="e">
        <f t="shared" si="19"/>
        <v>#NUM!</v>
      </c>
      <c r="L261" s="277"/>
      <c r="M261" s="279">
        <f t="shared" si="20"/>
        <v>0</v>
      </c>
    </row>
    <row r="262" spans="1:13" x14ac:dyDescent="0.25">
      <c r="A262" s="294"/>
      <c r="G262" s="263"/>
      <c r="H262" s="277">
        <v>257</v>
      </c>
      <c r="I262" s="278" t="str">
        <f t="shared" ref="I262:I305" si="22">IF(H262&lt;$H$2+1,($I$2-($I$2-1)*(LOG(H262)/LOG($H$2))),"")</f>
        <v/>
      </c>
      <c r="J262" s="277" t="e">
        <f t="shared" si="21"/>
        <v>#NUM!</v>
      </c>
      <c r="K262" s="277" t="e">
        <f t="shared" ref="K262:K305" si="23">J262*$J$2</f>
        <v>#NUM!</v>
      </c>
      <c r="L262" s="277"/>
      <c r="M262" s="279">
        <f t="shared" ref="M262:M305" si="24">IF(I262&lt;&gt;"",K262+I262+L262,0)</f>
        <v>0</v>
      </c>
    </row>
    <row r="263" spans="1:13" x14ac:dyDescent="0.25">
      <c r="A263" s="294"/>
      <c r="G263" s="263"/>
      <c r="H263" s="280">
        <v>258</v>
      </c>
      <c r="I263" s="278" t="str">
        <f t="shared" si="22"/>
        <v/>
      </c>
      <c r="J263" s="277" t="e">
        <f t="shared" ref="J263:J305" si="25">INT(LOG($H$2,2))-ROUNDUP(LOG(H263,2),0)+IF(OR($H$2=1,$H$2=2,$H$2=4,$H$2=8,$H$2=16,$H$2=32,$H$2=64,$H$2=128,$H$2=256),0,1)</f>
        <v>#NUM!</v>
      </c>
      <c r="K263" s="277" t="e">
        <f t="shared" si="23"/>
        <v>#NUM!</v>
      </c>
      <c r="L263" s="277"/>
      <c r="M263" s="279">
        <f t="shared" si="24"/>
        <v>0</v>
      </c>
    </row>
    <row r="264" spans="1:13" x14ac:dyDescent="0.25">
      <c r="A264" s="294"/>
      <c r="G264" s="263"/>
      <c r="H264" s="277">
        <v>259</v>
      </c>
      <c r="I264" s="278" t="str">
        <f t="shared" si="22"/>
        <v/>
      </c>
      <c r="J264" s="277" t="e">
        <f t="shared" si="25"/>
        <v>#NUM!</v>
      </c>
      <c r="K264" s="277" t="e">
        <f t="shared" si="23"/>
        <v>#NUM!</v>
      </c>
      <c r="L264" s="277"/>
      <c r="M264" s="279">
        <f t="shared" si="24"/>
        <v>0</v>
      </c>
    </row>
    <row r="265" spans="1:13" x14ac:dyDescent="0.25">
      <c r="A265" s="294"/>
      <c r="G265" s="263"/>
      <c r="H265" s="280">
        <v>260</v>
      </c>
      <c r="I265" s="278" t="str">
        <f t="shared" si="22"/>
        <v/>
      </c>
      <c r="J265" s="277" t="e">
        <f t="shared" si="25"/>
        <v>#NUM!</v>
      </c>
      <c r="K265" s="277" t="e">
        <f t="shared" si="23"/>
        <v>#NUM!</v>
      </c>
      <c r="L265" s="277"/>
      <c r="M265" s="279">
        <f t="shared" si="24"/>
        <v>0</v>
      </c>
    </row>
    <row r="266" spans="1:13" x14ac:dyDescent="0.25">
      <c r="A266" s="294"/>
      <c r="G266" s="263"/>
      <c r="H266" s="277">
        <v>261</v>
      </c>
      <c r="I266" s="278" t="str">
        <f t="shared" si="22"/>
        <v/>
      </c>
      <c r="J266" s="277" t="e">
        <f t="shared" si="25"/>
        <v>#NUM!</v>
      </c>
      <c r="K266" s="277" t="e">
        <f t="shared" si="23"/>
        <v>#NUM!</v>
      </c>
      <c r="L266" s="277"/>
      <c r="M266" s="279">
        <f t="shared" si="24"/>
        <v>0</v>
      </c>
    </row>
    <row r="267" spans="1:13" x14ac:dyDescent="0.25">
      <c r="A267" s="294"/>
      <c r="G267" s="263"/>
      <c r="H267" s="280">
        <v>262</v>
      </c>
      <c r="I267" s="278" t="str">
        <f t="shared" si="22"/>
        <v/>
      </c>
      <c r="J267" s="277" t="e">
        <f t="shared" si="25"/>
        <v>#NUM!</v>
      </c>
      <c r="K267" s="277" t="e">
        <f t="shared" si="23"/>
        <v>#NUM!</v>
      </c>
      <c r="L267" s="277"/>
      <c r="M267" s="279">
        <f t="shared" si="24"/>
        <v>0</v>
      </c>
    </row>
    <row r="268" spans="1:13" x14ac:dyDescent="0.25">
      <c r="A268" s="294"/>
      <c r="G268" s="263"/>
      <c r="H268" s="277">
        <v>263</v>
      </c>
      <c r="I268" s="278" t="str">
        <f t="shared" si="22"/>
        <v/>
      </c>
      <c r="J268" s="277" t="e">
        <f t="shared" si="25"/>
        <v>#NUM!</v>
      </c>
      <c r="K268" s="277" t="e">
        <f t="shared" si="23"/>
        <v>#NUM!</v>
      </c>
      <c r="L268" s="277"/>
      <c r="M268" s="279">
        <f t="shared" si="24"/>
        <v>0</v>
      </c>
    </row>
    <row r="269" spans="1:13" x14ac:dyDescent="0.25">
      <c r="A269" s="294"/>
      <c r="G269" s="263"/>
      <c r="H269" s="280">
        <v>264</v>
      </c>
      <c r="I269" s="278" t="str">
        <f t="shared" si="22"/>
        <v/>
      </c>
      <c r="J269" s="277" t="e">
        <f t="shared" si="25"/>
        <v>#NUM!</v>
      </c>
      <c r="K269" s="277" t="e">
        <f t="shared" si="23"/>
        <v>#NUM!</v>
      </c>
      <c r="L269" s="277"/>
      <c r="M269" s="279">
        <f t="shared" si="24"/>
        <v>0</v>
      </c>
    </row>
    <row r="270" spans="1:13" x14ac:dyDescent="0.25">
      <c r="A270" s="294"/>
      <c r="G270" s="263"/>
      <c r="H270" s="277">
        <v>265</v>
      </c>
      <c r="I270" s="278" t="str">
        <f t="shared" si="22"/>
        <v/>
      </c>
      <c r="J270" s="277" t="e">
        <f t="shared" si="25"/>
        <v>#NUM!</v>
      </c>
      <c r="K270" s="277" t="e">
        <f t="shared" si="23"/>
        <v>#NUM!</v>
      </c>
      <c r="L270" s="277"/>
      <c r="M270" s="279">
        <f t="shared" si="24"/>
        <v>0</v>
      </c>
    </row>
    <row r="271" spans="1:13" x14ac:dyDescent="0.25">
      <c r="A271" s="294"/>
      <c r="G271" s="263"/>
      <c r="H271" s="280">
        <v>266</v>
      </c>
      <c r="I271" s="278" t="str">
        <f t="shared" si="22"/>
        <v/>
      </c>
      <c r="J271" s="277" t="e">
        <f t="shared" si="25"/>
        <v>#NUM!</v>
      </c>
      <c r="K271" s="277" t="e">
        <f t="shared" si="23"/>
        <v>#NUM!</v>
      </c>
      <c r="L271" s="277"/>
      <c r="M271" s="279">
        <f t="shared" si="24"/>
        <v>0</v>
      </c>
    </row>
    <row r="272" spans="1:13" x14ac:dyDescent="0.25">
      <c r="A272" s="294"/>
      <c r="G272" s="263"/>
      <c r="H272" s="277">
        <v>267</v>
      </c>
      <c r="I272" s="278" t="str">
        <f t="shared" si="22"/>
        <v/>
      </c>
      <c r="J272" s="277" t="e">
        <f t="shared" si="25"/>
        <v>#NUM!</v>
      </c>
      <c r="K272" s="277" t="e">
        <f t="shared" si="23"/>
        <v>#NUM!</v>
      </c>
      <c r="L272" s="277"/>
      <c r="M272" s="279">
        <f t="shared" si="24"/>
        <v>0</v>
      </c>
    </row>
    <row r="273" spans="1:13" x14ac:dyDescent="0.25">
      <c r="A273" s="294"/>
      <c r="G273" s="263"/>
      <c r="H273" s="280">
        <v>268</v>
      </c>
      <c r="I273" s="278" t="str">
        <f t="shared" si="22"/>
        <v/>
      </c>
      <c r="J273" s="277" t="e">
        <f t="shared" si="25"/>
        <v>#NUM!</v>
      </c>
      <c r="K273" s="277" t="e">
        <f t="shared" si="23"/>
        <v>#NUM!</v>
      </c>
      <c r="L273" s="277"/>
      <c r="M273" s="279">
        <f t="shared" si="24"/>
        <v>0</v>
      </c>
    </row>
    <row r="274" spans="1:13" x14ac:dyDescent="0.25">
      <c r="A274" s="294"/>
      <c r="G274" s="263"/>
      <c r="H274" s="277">
        <v>269</v>
      </c>
      <c r="I274" s="278" t="str">
        <f t="shared" si="22"/>
        <v/>
      </c>
      <c r="J274" s="277" t="e">
        <f t="shared" si="25"/>
        <v>#NUM!</v>
      </c>
      <c r="K274" s="277" t="e">
        <f t="shared" si="23"/>
        <v>#NUM!</v>
      </c>
      <c r="L274" s="277"/>
      <c r="M274" s="279">
        <f t="shared" si="24"/>
        <v>0</v>
      </c>
    </row>
    <row r="275" spans="1:13" x14ac:dyDescent="0.25">
      <c r="A275" s="294"/>
      <c r="G275" s="263"/>
      <c r="H275" s="280">
        <v>270</v>
      </c>
      <c r="I275" s="278" t="str">
        <f t="shared" si="22"/>
        <v/>
      </c>
      <c r="J275" s="277" t="e">
        <f t="shared" si="25"/>
        <v>#NUM!</v>
      </c>
      <c r="K275" s="277" t="e">
        <f t="shared" si="23"/>
        <v>#NUM!</v>
      </c>
      <c r="L275" s="277"/>
      <c r="M275" s="279">
        <f t="shared" si="24"/>
        <v>0</v>
      </c>
    </row>
    <row r="276" spans="1:13" x14ac:dyDescent="0.25">
      <c r="A276" s="294"/>
      <c r="G276" s="263"/>
      <c r="H276" s="277">
        <v>271</v>
      </c>
      <c r="I276" s="278" t="str">
        <f t="shared" si="22"/>
        <v/>
      </c>
      <c r="J276" s="277" t="e">
        <f t="shared" si="25"/>
        <v>#NUM!</v>
      </c>
      <c r="K276" s="277" t="e">
        <f t="shared" si="23"/>
        <v>#NUM!</v>
      </c>
      <c r="L276" s="277"/>
      <c r="M276" s="279">
        <f t="shared" si="24"/>
        <v>0</v>
      </c>
    </row>
    <row r="277" spans="1:13" x14ac:dyDescent="0.25">
      <c r="A277" s="294"/>
      <c r="G277" s="263"/>
      <c r="H277" s="280">
        <v>272</v>
      </c>
      <c r="I277" s="278" t="str">
        <f t="shared" si="22"/>
        <v/>
      </c>
      <c r="J277" s="277" t="e">
        <f t="shared" si="25"/>
        <v>#NUM!</v>
      </c>
      <c r="K277" s="277" t="e">
        <f t="shared" si="23"/>
        <v>#NUM!</v>
      </c>
      <c r="L277" s="277"/>
      <c r="M277" s="279">
        <f t="shared" si="24"/>
        <v>0</v>
      </c>
    </row>
    <row r="278" spans="1:13" x14ac:dyDescent="0.25">
      <c r="A278" s="294"/>
      <c r="G278" s="263"/>
      <c r="H278" s="277">
        <v>273</v>
      </c>
      <c r="I278" s="278" t="str">
        <f t="shared" si="22"/>
        <v/>
      </c>
      <c r="J278" s="277" t="e">
        <f t="shared" si="25"/>
        <v>#NUM!</v>
      </c>
      <c r="K278" s="277" t="e">
        <f t="shared" si="23"/>
        <v>#NUM!</v>
      </c>
      <c r="L278" s="277"/>
      <c r="M278" s="279">
        <f t="shared" si="24"/>
        <v>0</v>
      </c>
    </row>
    <row r="279" spans="1:13" x14ac:dyDescent="0.25">
      <c r="A279" s="294"/>
      <c r="G279" s="263"/>
      <c r="H279" s="280">
        <v>274</v>
      </c>
      <c r="I279" s="278" t="str">
        <f t="shared" si="22"/>
        <v/>
      </c>
      <c r="J279" s="277" t="e">
        <f t="shared" si="25"/>
        <v>#NUM!</v>
      </c>
      <c r="K279" s="277" t="e">
        <f t="shared" si="23"/>
        <v>#NUM!</v>
      </c>
      <c r="L279" s="277"/>
      <c r="M279" s="279">
        <f t="shared" si="24"/>
        <v>0</v>
      </c>
    </row>
    <row r="280" spans="1:13" x14ac:dyDescent="0.25">
      <c r="A280" s="294"/>
      <c r="G280" s="263"/>
      <c r="H280" s="277">
        <v>275</v>
      </c>
      <c r="I280" s="278" t="str">
        <f t="shared" si="22"/>
        <v/>
      </c>
      <c r="J280" s="277" t="e">
        <f t="shared" si="25"/>
        <v>#NUM!</v>
      </c>
      <c r="K280" s="277" t="e">
        <f t="shared" si="23"/>
        <v>#NUM!</v>
      </c>
      <c r="L280" s="277"/>
      <c r="M280" s="279">
        <f t="shared" si="24"/>
        <v>0</v>
      </c>
    </row>
    <row r="281" spans="1:13" x14ac:dyDescent="0.25">
      <c r="A281" s="294"/>
      <c r="G281" s="263"/>
      <c r="H281" s="280">
        <v>276</v>
      </c>
      <c r="I281" s="278" t="str">
        <f t="shared" si="22"/>
        <v/>
      </c>
      <c r="J281" s="277" t="e">
        <f t="shared" si="25"/>
        <v>#NUM!</v>
      </c>
      <c r="K281" s="277" t="e">
        <f t="shared" si="23"/>
        <v>#NUM!</v>
      </c>
      <c r="L281" s="277"/>
      <c r="M281" s="279">
        <f t="shared" si="24"/>
        <v>0</v>
      </c>
    </row>
    <row r="282" spans="1:13" x14ac:dyDescent="0.25">
      <c r="A282" s="294"/>
      <c r="G282" s="263"/>
      <c r="H282" s="277">
        <v>277</v>
      </c>
      <c r="I282" s="278" t="str">
        <f t="shared" si="22"/>
        <v/>
      </c>
      <c r="J282" s="277" t="e">
        <f t="shared" si="25"/>
        <v>#NUM!</v>
      </c>
      <c r="K282" s="277" t="e">
        <f t="shared" si="23"/>
        <v>#NUM!</v>
      </c>
      <c r="L282" s="277"/>
      <c r="M282" s="279">
        <f t="shared" si="24"/>
        <v>0</v>
      </c>
    </row>
    <row r="283" spans="1:13" x14ac:dyDescent="0.25">
      <c r="A283" s="294"/>
      <c r="G283" s="263"/>
      <c r="H283" s="280">
        <v>278</v>
      </c>
      <c r="I283" s="278" t="str">
        <f t="shared" si="22"/>
        <v/>
      </c>
      <c r="J283" s="277" t="e">
        <f t="shared" si="25"/>
        <v>#NUM!</v>
      </c>
      <c r="K283" s="277" t="e">
        <f t="shared" si="23"/>
        <v>#NUM!</v>
      </c>
      <c r="L283" s="277"/>
      <c r="M283" s="279">
        <f t="shared" si="24"/>
        <v>0</v>
      </c>
    </row>
    <row r="284" spans="1:13" x14ac:dyDescent="0.25">
      <c r="A284" s="294"/>
      <c r="G284" s="263"/>
      <c r="H284" s="277">
        <v>279</v>
      </c>
      <c r="I284" s="278" t="str">
        <f t="shared" si="22"/>
        <v/>
      </c>
      <c r="J284" s="277" t="e">
        <f t="shared" si="25"/>
        <v>#NUM!</v>
      </c>
      <c r="K284" s="277" t="e">
        <f t="shared" si="23"/>
        <v>#NUM!</v>
      </c>
      <c r="L284" s="277"/>
      <c r="M284" s="279">
        <f t="shared" si="24"/>
        <v>0</v>
      </c>
    </row>
    <row r="285" spans="1:13" x14ac:dyDescent="0.25">
      <c r="A285" s="294"/>
      <c r="G285" s="263"/>
      <c r="H285" s="280">
        <v>280</v>
      </c>
      <c r="I285" s="278" t="str">
        <f t="shared" si="22"/>
        <v/>
      </c>
      <c r="J285" s="277" t="e">
        <f t="shared" si="25"/>
        <v>#NUM!</v>
      </c>
      <c r="K285" s="277" t="e">
        <f t="shared" si="23"/>
        <v>#NUM!</v>
      </c>
      <c r="L285" s="277"/>
      <c r="M285" s="279">
        <f t="shared" si="24"/>
        <v>0</v>
      </c>
    </row>
    <row r="286" spans="1:13" x14ac:dyDescent="0.25">
      <c r="A286" s="294"/>
      <c r="G286" s="263"/>
      <c r="H286" s="277">
        <v>281</v>
      </c>
      <c r="I286" s="278" t="str">
        <f t="shared" si="22"/>
        <v/>
      </c>
      <c r="J286" s="277" t="e">
        <f t="shared" si="25"/>
        <v>#NUM!</v>
      </c>
      <c r="K286" s="277" t="e">
        <f t="shared" si="23"/>
        <v>#NUM!</v>
      </c>
      <c r="L286" s="277"/>
      <c r="M286" s="279">
        <f t="shared" si="24"/>
        <v>0</v>
      </c>
    </row>
    <row r="287" spans="1:13" x14ac:dyDescent="0.25">
      <c r="A287" s="294"/>
      <c r="G287" s="263"/>
      <c r="H287" s="280">
        <v>282</v>
      </c>
      <c r="I287" s="278" t="str">
        <f t="shared" si="22"/>
        <v/>
      </c>
      <c r="J287" s="277" t="e">
        <f t="shared" si="25"/>
        <v>#NUM!</v>
      </c>
      <c r="K287" s="277" t="e">
        <f t="shared" si="23"/>
        <v>#NUM!</v>
      </c>
      <c r="L287" s="277"/>
      <c r="M287" s="279">
        <f t="shared" si="24"/>
        <v>0</v>
      </c>
    </row>
    <row r="288" spans="1:13" x14ac:dyDescent="0.25">
      <c r="A288" s="294"/>
      <c r="G288" s="263"/>
      <c r="H288" s="277">
        <v>283</v>
      </c>
      <c r="I288" s="278" t="str">
        <f t="shared" si="22"/>
        <v/>
      </c>
      <c r="J288" s="277" t="e">
        <f t="shared" si="25"/>
        <v>#NUM!</v>
      </c>
      <c r="K288" s="277" t="e">
        <f t="shared" si="23"/>
        <v>#NUM!</v>
      </c>
      <c r="L288" s="277"/>
      <c r="M288" s="279">
        <f t="shared" si="24"/>
        <v>0</v>
      </c>
    </row>
    <row r="289" spans="1:13" x14ac:dyDescent="0.25">
      <c r="A289" s="294"/>
      <c r="G289" s="263"/>
      <c r="H289" s="280">
        <v>284</v>
      </c>
      <c r="I289" s="278" t="str">
        <f t="shared" si="22"/>
        <v/>
      </c>
      <c r="J289" s="277" t="e">
        <f t="shared" si="25"/>
        <v>#NUM!</v>
      </c>
      <c r="K289" s="277" t="e">
        <f t="shared" si="23"/>
        <v>#NUM!</v>
      </c>
      <c r="L289" s="277"/>
      <c r="M289" s="279">
        <f t="shared" si="24"/>
        <v>0</v>
      </c>
    </row>
    <row r="290" spans="1:13" x14ac:dyDescent="0.25">
      <c r="A290" s="294"/>
      <c r="G290" s="263"/>
      <c r="H290" s="277">
        <v>285</v>
      </c>
      <c r="I290" s="278" t="str">
        <f t="shared" si="22"/>
        <v/>
      </c>
      <c r="J290" s="277" t="e">
        <f t="shared" si="25"/>
        <v>#NUM!</v>
      </c>
      <c r="K290" s="277" t="e">
        <f t="shared" si="23"/>
        <v>#NUM!</v>
      </c>
      <c r="L290" s="277"/>
      <c r="M290" s="279">
        <f t="shared" si="24"/>
        <v>0</v>
      </c>
    </row>
    <row r="291" spans="1:13" x14ac:dyDescent="0.25">
      <c r="A291" s="294"/>
      <c r="G291" s="263"/>
      <c r="H291" s="280">
        <v>286</v>
      </c>
      <c r="I291" s="278" t="str">
        <f t="shared" si="22"/>
        <v/>
      </c>
      <c r="J291" s="277" t="e">
        <f t="shared" si="25"/>
        <v>#NUM!</v>
      </c>
      <c r="K291" s="277" t="e">
        <f t="shared" si="23"/>
        <v>#NUM!</v>
      </c>
      <c r="L291" s="277"/>
      <c r="M291" s="279">
        <f t="shared" si="24"/>
        <v>0</v>
      </c>
    </row>
    <row r="292" spans="1:13" x14ac:dyDescent="0.25">
      <c r="A292" s="294"/>
      <c r="G292" s="263"/>
      <c r="H292" s="277">
        <v>287</v>
      </c>
      <c r="I292" s="278" t="str">
        <f t="shared" si="22"/>
        <v/>
      </c>
      <c r="J292" s="277" t="e">
        <f t="shared" si="25"/>
        <v>#NUM!</v>
      </c>
      <c r="K292" s="277" t="e">
        <f t="shared" si="23"/>
        <v>#NUM!</v>
      </c>
      <c r="L292" s="277"/>
      <c r="M292" s="279">
        <f t="shared" si="24"/>
        <v>0</v>
      </c>
    </row>
    <row r="293" spans="1:13" x14ac:dyDescent="0.25">
      <c r="A293" s="294"/>
      <c r="G293" s="263"/>
      <c r="H293" s="277">
        <v>288</v>
      </c>
      <c r="I293" s="278" t="str">
        <f t="shared" si="22"/>
        <v/>
      </c>
      <c r="J293" s="277" t="e">
        <f t="shared" si="25"/>
        <v>#NUM!</v>
      </c>
      <c r="K293" s="277" t="e">
        <f t="shared" si="23"/>
        <v>#NUM!</v>
      </c>
      <c r="L293" s="277"/>
      <c r="M293" s="279">
        <f t="shared" si="24"/>
        <v>0</v>
      </c>
    </row>
    <row r="294" spans="1:13" x14ac:dyDescent="0.25">
      <c r="A294" s="294"/>
      <c r="G294" s="263"/>
      <c r="H294" s="277">
        <v>289</v>
      </c>
      <c r="I294" s="278" t="str">
        <f t="shared" si="22"/>
        <v/>
      </c>
      <c r="J294" s="277" t="e">
        <f t="shared" si="25"/>
        <v>#NUM!</v>
      </c>
      <c r="K294" s="277" t="e">
        <f t="shared" si="23"/>
        <v>#NUM!</v>
      </c>
      <c r="L294" s="277"/>
      <c r="M294" s="279">
        <f t="shared" si="24"/>
        <v>0</v>
      </c>
    </row>
    <row r="295" spans="1:13" x14ac:dyDescent="0.25">
      <c r="A295" s="294"/>
      <c r="G295" s="263"/>
      <c r="H295" s="277">
        <v>290</v>
      </c>
      <c r="I295" s="278" t="str">
        <f t="shared" si="22"/>
        <v/>
      </c>
      <c r="J295" s="277" t="e">
        <f t="shared" si="25"/>
        <v>#NUM!</v>
      </c>
      <c r="K295" s="277" t="e">
        <f t="shared" si="23"/>
        <v>#NUM!</v>
      </c>
      <c r="L295" s="277"/>
      <c r="M295" s="279">
        <f t="shared" si="24"/>
        <v>0</v>
      </c>
    </row>
    <row r="296" spans="1:13" x14ac:dyDescent="0.25">
      <c r="A296" s="294"/>
      <c r="G296" s="263"/>
      <c r="H296" s="277">
        <v>291</v>
      </c>
      <c r="I296" s="278" t="str">
        <f t="shared" si="22"/>
        <v/>
      </c>
      <c r="J296" s="277" t="e">
        <f t="shared" si="25"/>
        <v>#NUM!</v>
      </c>
      <c r="K296" s="277" t="e">
        <f t="shared" si="23"/>
        <v>#NUM!</v>
      </c>
      <c r="L296" s="277"/>
      <c r="M296" s="279">
        <f t="shared" si="24"/>
        <v>0</v>
      </c>
    </row>
    <row r="297" spans="1:13" x14ac:dyDescent="0.25">
      <c r="A297" s="294"/>
      <c r="G297" s="263"/>
      <c r="H297" s="277">
        <v>292</v>
      </c>
      <c r="I297" s="278" t="str">
        <f t="shared" si="22"/>
        <v/>
      </c>
      <c r="J297" s="277" t="e">
        <f t="shared" si="25"/>
        <v>#NUM!</v>
      </c>
      <c r="K297" s="277" t="e">
        <f t="shared" si="23"/>
        <v>#NUM!</v>
      </c>
      <c r="L297" s="277"/>
      <c r="M297" s="279">
        <f t="shared" si="24"/>
        <v>0</v>
      </c>
    </row>
    <row r="298" spans="1:13" x14ac:dyDescent="0.25">
      <c r="A298" s="294"/>
      <c r="G298" s="263"/>
      <c r="H298" s="277">
        <v>293</v>
      </c>
      <c r="I298" s="278" t="str">
        <f t="shared" si="22"/>
        <v/>
      </c>
      <c r="J298" s="277" t="e">
        <f t="shared" si="25"/>
        <v>#NUM!</v>
      </c>
      <c r="K298" s="277" t="e">
        <f t="shared" si="23"/>
        <v>#NUM!</v>
      </c>
      <c r="L298" s="277"/>
      <c r="M298" s="279">
        <f t="shared" si="24"/>
        <v>0</v>
      </c>
    </row>
    <row r="299" spans="1:13" x14ac:dyDescent="0.25">
      <c r="A299" s="294"/>
      <c r="G299" s="263"/>
      <c r="H299" s="277">
        <v>294</v>
      </c>
      <c r="I299" s="278" t="str">
        <f t="shared" si="22"/>
        <v/>
      </c>
      <c r="J299" s="277" t="e">
        <f t="shared" si="25"/>
        <v>#NUM!</v>
      </c>
      <c r="K299" s="277" t="e">
        <f t="shared" si="23"/>
        <v>#NUM!</v>
      </c>
      <c r="L299" s="277"/>
      <c r="M299" s="279">
        <f t="shared" si="24"/>
        <v>0</v>
      </c>
    </row>
    <row r="300" spans="1:13" x14ac:dyDescent="0.25">
      <c r="A300" s="294"/>
      <c r="G300" s="263"/>
      <c r="H300" s="277">
        <v>295</v>
      </c>
      <c r="I300" s="278" t="str">
        <f t="shared" si="22"/>
        <v/>
      </c>
      <c r="J300" s="277" t="e">
        <f t="shared" si="25"/>
        <v>#NUM!</v>
      </c>
      <c r="K300" s="277" t="e">
        <f t="shared" si="23"/>
        <v>#NUM!</v>
      </c>
      <c r="L300" s="277"/>
      <c r="M300" s="279">
        <f t="shared" si="24"/>
        <v>0</v>
      </c>
    </row>
    <row r="301" spans="1:13" x14ac:dyDescent="0.25">
      <c r="A301" s="294"/>
      <c r="G301" s="263"/>
      <c r="H301" s="277">
        <v>296</v>
      </c>
      <c r="I301" s="278" t="str">
        <f t="shared" si="22"/>
        <v/>
      </c>
      <c r="J301" s="277" t="e">
        <f t="shared" si="25"/>
        <v>#NUM!</v>
      </c>
      <c r="K301" s="277" t="e">
        <f t="shared" si="23"/>
        <v>#NUM!</v>
      </c>
      <c r="L301" s="277"/>
      <c r="M301" s="279">
        <f t="shared" si="24"/>
        <v>0</v>
      </c>
    </row>
    <row r="302" spans="1:13" x14ac:dyDescent="0.25">
      <c r="A302" s="294"/>
      <c r="G302" s="263"/>
      <c r="H302" s="277">
        <v>297</v>
      </c>
      <c r="I302" s="278" t="str">
        <f t="shared" si="22"/>
        <v/>
      </c>
      <c r="J302" s="277" t="e">
        <f t="shared" si="25"/>
        <v>#NUM!</v>
      </c>
      <c r="K302" s="277" t="e">
        <f t="shared" si="23"/>
        <v>#NUM!</v>
      </c>
      <c r="L302" s="277"/>
      <c r="M302" s="279">
        <f t="shared" si="24"/>
        <v>0</v>
      </c>
    </row>
    <row r="303" spans="1:13" x14ac:dyDescent="0.25">
      <c r="A303" s="294"/>
      <c r="G303" s="263"/>
      <c r="H303" s="277">
        <v>298</v>
      </c>
      <c r="I303" s="278" t="str">
        <f t="shared" si="22"/>
        <v/>
      </c>
      <c r="J303" s="277" t="e">
        <f t="shared" si="25"/>
        <v>#NUM!</v>
      </c>
      <c r="K303" s="277" t="e">
        <f t="shared" si="23"/>
        <v>#NUM!</v>
      </c>
      <c r="L303" s="277"/>
      <c r="M303" s="279">
        <f t="shared" si="24"/>
        <v>0</v>
      </c>
    </row>
    <row r="304" spans="1:13" x14ac:dyDescent="0.25">
      <c r="A304" s="294"/>
      <c r="G304" s="263"/>
      <c r="H304" s="277">
        <v>299</v>
      </c>
      <c r="I304" s="278" t="str">
        <f t="shared" si="22"/>
        <v/>
      </c>
      <c r="J304" s="277" t="e">
        <f t="shared" si="25"/>
        <v>#NUM!</v>
      </c>
      <c r="K304" s="277" t="e">
        <f t="shared" si="23"/>
        <v>#NUM!</v>
      </c>
      <c r="L304" s="277"/>
      <c r="M304" s="279">
        <f t="shared" si="24"/>
        <v>0</v>
      </c>
    </row>
    <row r="305" spans="1:16" x14ac:dyDescent="0.25">
      <c r="A305" s="294"/>
      <c r="G305" s="263"/>
      <c r="H305" s="277">
        <v>300</v>
      </c>
      <c r="I305" s="278" t="str">
        <f t="shared" si="22"/>
        <v/>
      </c>
      <c r="J305" s="277" t="e">
        <f t="shared" si="25"/>
        <v>#NUM!</v>
      </c>
      <c r="K305" s="277" t="e">
        <f t="shared" si="23"/>
        <v>#NUM!</v>
      </c>
      <c r="L305" s="277"/>
      <c r="M305" s="279">
        <f t="shared" si="24"/>
        <v>0</v>
      </c>
    </row>
    <row r="306" spans="1:16" x14ac:dyDescent="0.25">
      <c r="A306" s="295"/>
    </row>
    <row r="314" spans="1:16" x14ac:dyDescent="0.25">
      <c r="L314" s="298"/>
      <c r="P314" s="288"/>
    </row>
    <row r="315" spans="1:16" x14ac:dyDescent="0.25">
      <c r="L315" s="298"/>
      <c r="P315" s="288"/>
    </row>
    <row r="316" spans="1:16" x14ac:dyDescent="0.25">
      <c r="L316" s="298"/>
      <c r="P316" s="288"/>
    </row>
    <row r="317" spans="1:16" x14ac:dyDescent="0.25">
      <c r="L317" s="298"/>
      <c r="P317" s="288"/>
    </row>
  </sheetData>
  <conditionalFormatting sqref="J6:K305">
    <cfRule type="cellIs" dxfId="3" priority="1" operator="lessThanOrEqual">
      <formula>0</formula>
    </cfRule>
  </conditionalFormatting>
  <hyperlinks>
    <hyperlink ref="C2" r:id="rId1" xr:uid="{893E9514-65CB-4324-BB2B-28ECE1B4C99E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FAF9-A870-49B3-815A-C8CCF782D9FB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98" customWidth="1"/>
    <col min="2" max="2" width="8.25" style="98" customWidth="1"/>
    <col min="3" max="3" width="34.75" style="98" customWidth="1"/>
    <col min="4" max="4" width="11.25" style="98" customWidth="1"/>
    <col min="5" max="6" width="8.875" style="98"/>
    <col min="7" max="7" width="0.875" style="98" customWidth="1"/>
    <col min="8" max="8" width="8.875" style="100"/>
    <col min="9" max="9" width="11" style="100" customWidth="1"/>
    <col min="10" max="10" width="15.25" style="100" customWidth="1"/>
    <col min="11" max="11" width="8.75" style="100" customWidth="1"/>
    <col min="12" max="12" width="11" style="100" customWidth="1"/>
    <col min="13" max="13" width="11.75" style="100" customWidth="1"/>
    <col min="14" max="14" width="11.75" style="101" customWidth="1"/>
    <col min="15" max="16" width="13.875" style="64" customWidth="1"/>
    <col min="17" max="19" width="8.875" style="64"/>
    <col min="20" max="21" width="8.875" style="71"/>
    <col min="22" max="22" width="12.125" style="71" customWidth="1"/>
    <col min="23" max="23" width="27.375" style="71" customWidth="1"/>
    <col min="24" max="39" width="8.875" style="71"/>
    <col min="40" max="16384" width="8.875" style="98"/>
  </cols>
  <sheetData>
    <row r="1" spans="1:37" x14ac:dyDescent="0.25">
      <c r="A1" s="64"/>
      <c r="B1" s="64"/>
      <c r="C1" s="64"/>
      <c r="D1" s="64"/>
      <c r="E1" s="64"/>
      <c r="F1" s="64"/>
      <c r="G1" s="64"/>
      <c r="H1" s="65" t="s">
        <v>25</v>
      </c>
      <c r="I1" s="66" t="s">
        <v>26</v>
      </c>
      <c r="J1" s="66" t="s">
        <v>27</v>
      </c>
      <c r="K1" s="67" t="s">
        <v>91</v>
      </c>
      <c r="L1" s="68" t="s">
        <v>92</v>
      </c>
      <c r="M1" s="69"/>
      <c r="N1" s="70"/>
    </row>
    <row r="2" spans="1:37" ht="14.3" customHeight="1" x14ac:dyDescent="0.25">
      <c r="A2" s="64"/>
      <c r="B2" s="14" t="s">
        <v>29</v>
      </c>
      <c r="C2" s="241" t="s">
        <v>144</v>
      </c>
      <c r="D2" s="241"/>
      <c r="E2" s="15"/>
      <c r="F2" s="15"/>
      <c r="G2" s="15"/>
      <c r="H2" s="72">
        <v>83</v>
      </c>
      <c r="I2" s="73">
        <v>50</v>
      </c>
      <c r="J2" s="73">
        <v>10</v>
      </c>
      <c r="K2" s="74">
        <f>3*H2^(1/3)</f>
        <v>13.086212014364513</v>
      </c>
      <c r="L2" s="75">
        <v>1.2</v>
      </c>
      <c r="M2" s="70"/>
      <c r="N2" s="70"/>
    </row>
    <row r="3" spans="1:37" ht="14.3" customHeight="1" x14ac:dyDescent="0.25">
      <c r="A3" s="64"/>
      <c r="B3" s="76" t="s">
        <v>31</v>
      </c>
      <c r="C3" s="242" t="s">
        <v>145</v>
      </c>
      <c r="D3" s="242"/>
      <c r="E3" s="20"/>
      <c r="F3" s="20"/>
      <c r="G3" s="20"/>
      <c r="H3" s="70"/>
      <c r="I3" s="70"/>
      <c r="J3" s="77"/>
      <c r="K3" s="70"/>
      <c r="L3" s="70"/>
      <c r="M3" s="70"/>
      <c r="N3" s="70"/>
    </row>
    <row r="4" spans="1:37" ht="10.199999999999999" customHeight="1" x14ac:dyDescent="0.25">
      <c r="A4" s="22"/>
      <c r="B4" s="20"/>
      <c r="C4" s="22"/>
      <c r="D4" s="22"/>
      <c r="E4" s="22"/>
      <c r="F4" s="22"/>
      <c r="G4" s="22"/>
      <c r="H4" s="70"/>
      <c r="I4" s="70"/>
      <c r="J4" s="77"/>
      <c r="K4" s="70"/>
      <c r="L4" s="70"/>
      <c r="M4" s="70"/>
      <c r="N4" s="70"/>
    </row>
    <row r="5" spans="1:37" ht="34.65" x14ac:dyDescent="0.25">
      <c r="A5" s="1" t="s">
        <v>33</v>
      </c>
      <c r="B5" s="2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2"/>
      <c r="H5" s="78" t="s">
        <v>39</v>
      </c>
      <c r="I5" s="79" t="s">
        <v>40</v>
      </c>
      <c r="J5" s="80" t="s">
        <v>41</v>
      </c>
      <c r="K5" s="79" t="s">
        <v>42</v>
      </c>
      <c r="L5" s="79" t="s">
        <v>43</v>
      </c>
      <c r="M5" s="78" t="s">
        <v>44</v>
      </c>
      <c r="N5" s="78" t="s">
        <v>93</v>
      </c>
    </row>
    <row r="6" spans="1:37" ht="14.45" customHeight="1" x14ac:dyDescent="0.25">
      <c r="A6" s="109">
        <f>N6</f>
        <v>191.11036325171224</v>
      </c>
      <c r="B6" s="28">
        <f t="shared" ref="B6:B69" si="0">IF(H6&gt;$H$2,"",(ROW()-5))</f>
        <v>1</v>
      </c>
      <c r="C6" s="29" t="s">
        <v>50</v>
      </c>
      <c r="D6" s="29"/>
      <c r="E6" s="29"/>
      <c r="F6" s="29"/>
      <c r="G6" s="22"/>
      <c r="H6" s="81">
        <v>1</v>
      </c>
      <c r="I6" s="82">
        <f t="shared" ref="I6:I36" si="1">IF(H6&lt;$H$2+1,($I$2-($I$2-1)*(LOG(H6)/LOG($H$2))),"")</f>
        <v>50</v>
      </c>
      <c r="J6" s="81">
        <f>INT(LOG($H$2,2))-ROUNDUP(LOG(H6,2),0)+IF(OR($H$2=1,$H$2=2,$H$2=4,$H$2=8,$H$2=16,$H$2=32,$H$2=64,$H$2=128,$H$2=256),0,1)</f>
        <v>7</v>
      </c>
      <c r="K6" s="81">
        <f t="shared" ref="K6:K36" si="2">J6*$J$2</f>
        <v>70</v>
      </c>
      <c r="L6" s="83">
        <f>3*K2</f>
        <v>39.258636043093539</v>
      </c>
      <c r="M6" s="83">
        <f t="shared" ref="M6:M36" si="3">IF(I6&lt;&gt;"",K6+I6+L6,0)</f>
        <v>159.25863604309353</v>
      </c>
      <c r="N6" s="83">
        <f t="shared" ref="N6:N36" si="4">IF(I6&lt;&gt;"",M6*L$2,0)</f>
        <v>191.11036325171224</v>
      </c>
    </row>
    <row r="7" spans="1:37" ht="14.45" customHeight="1" x14ac:dyDescent="0.25">
      <c r="A7" s="110">
        <f t="shared" ref="A7:A36" si="5">N7</f>
        <v>154.18343647273969</v>
      </c>
      <c r="B7" s="34">
        <f t="shared" si="0"/>
        <v>2</v>
      </c>
      <c r="C7" s="35" t="s">
        <v>50</v>
      </c>
      <c r="D7" s="35"/>
      <c r="E7" s="35"/>
      <c r="F7" s="35"/>
      <c r="G7" s="22"/>
      <c r="H7" s="84">
        <v>2</v>
      </c>
      <c r="I7" s="85">
        <f t="shared" si="1"/>
        <v>42.313773031887393</v>
      </c>
      <c r="J7" s="84">
        <f t="shared" ref="J7:J36" si="6">INT(LOG($H$2,2))-ROUNDUP(LOG(H7,2),0)+IF(OR($H$2=1,$H$2=2,$H$2=4,$H$2=8,$H$2=16,$H$2=32,$H$2=64,$H$2=128,$H$2=256),0,1)</f>
        <v>6</v>
      </c>
      <c r="K7" s="84">
        <f t="shared" si="2"/>
        <v>60</v>
      </c>
      <c r="L7" s="86">
        <f>2*K2</f>
        <v>26.172424028729026</v>
      </c>
      <c r="M7" s="86">
        <f t="shared" si="3"/>
        <v>128.4861970606164</v>
      </c>
      <c r="N7" s="86">
        <f t="shared" si="4"/>
        <v>154.18343647273969</v>
      </c>
    </row>
    <row r="8" spans="1:37" ht="14.45" customHeight="1" x14ac:dyDescent="0.25">
      <c r="A8" s="109">
        <f t="shared" si="5"/>
        <v>121.08459659744923</v>
      </c>
      <c r="B8" s="28">
        <f t="shared" si="0"/>
        <v>3</v>
      </c>
      <c r="C8" s="29" t="s">
        <v>50</v>
      </c>
      <c r="D8" s="29"/>
      <c r="E8" s="29"/>
      <c r="F8" s="29"/>
      <c r="G8" s="22"/>
      <c r="H8" s="81">
        <v>3</v>
      </c>
      <c r="I8" s="82">
        <f t="shared" si="1"/>
        <v>37.817618483509847</v>
      </c>
      <c r="J8" s="81">
        <f t="shared" si="6"/>
        <v>5</v>
      </c>
      <c r="K8" s="81">
        <f t="shared" si="2"/>
        <v>50</v>
      </c>
      <c r="L8" s="83">
        <f>K2</f>
        <v>13.086212014364513</v>
      </c>
      <c r="M8" s="83">
        <f t="shared" si="3"/>
        <v>100.90383049787437</v>
      </c>
      <c r="N8" s="83">
        <f t="shared" si="4"/>
        <v>121.08459659744923</v>
      </c>
    </row>
    <row r="9" spans="1:37" s="71" customFormat="1" ht="14.45" customHeight="1" x14ac:dyDescent="0.25">
      <c r="A9" s="110">
        <f>N9</f>
        <v>121.08459659744923</v>
      </c>
      <c r="B9" s="34">
        <f t="shared" si="0"/>
        <v>4</v>
      </c>
      <c r="C9" s="35" t="s">
        <v>50</v>
      </c>
      <c r="D9" s="35"/>
      <c r="E9" s="35"/>
      <c r="F9" s="35"/>
      <c r="G9" s="22"/>
      <c r="H9" s="84">
        <v>3</v>
      </c>
      <c r="I9" s="85">
        <f t="shared" si="1"/>
        <v>37.817618483509847</v>
      </c>
      <c r="J9" s="84">
        <f t="shared" si="6"/>
        <v>5</v>
      </c>
      <c r="K9" s="84">
        <f t="shared" si="2"/>
        <v>50</v>
      </c>
      <c r="L9" s="86">
        <f>K2</f>
        <v>13.086212014364513</v>
      </c>
      <c r="M9" s="86">
        <f t="shared" si="3"/>
        <v>100.90383049787437</v>
      </c>
      <c r="N9" s="86">
        <f t="shared" ref="N9" si="7">IF(I9&lt;&gt;"",M9*L$2,0)</f>
        <v>121.08459659744923</v>
      </c>
      <c r="O9" s="64"/>
      <c r="P9" s="64"/>
      <c r="Q9" s="64"/>
      <c r="R9" s="64"/>
      <c r="S9" s="64"/>
      <c r="V9" s="87"/>
      <c r="Z9" s="88"/>
      <c r="AA9" s="88"/>
      <c r="AG9" s="89"/>
      <c r="AH9" s="71" t="s">
        <v>50</v>
      </c>
      <c r="AI9" s="71">
        <v>23</v>
      </c>
    </row>
    <row r="10" spans="1:37" ht="14.45" customHeight="1" x14ac:dyDescent="0.25">
      <c r="A10" s="109">
        <f t="shared" si="5"/>
        <v>86.583760390870111</v>
      </c>
      <c r="B10" s="28">
        <f t="shared" si="0"/>
        <v>5</v>
      </c>
      <c r="C10" s="29" t="s">
        <v>50</v>
      </c>
      <c r="D10" s="29"/>
      <c r="E10" s="29"/>
      <c r="F10" s="29"/>
      <c r="G10" s="22"/>
      <c r="H10" s="81">
        <v>5</v>
      </c>
      <c r="I10" s="82">
        <f t="shared" si="1"/>
        <v>32.153133659058426</v>
      </c>
      <c r="J10" s="81">
        <f t="shared" si="6"/>
        <v>4</v>
      </c>
      <c r="K10" s="81">
        <f t="shared" si="2"/>
        <v>40</v>
      </c>
      <c r="L10" s="81"/>
      <c r="M10" s="83">
        <f t="shared" si="3"/>
        <v>72.153133659058426</v>
      </c>
      <c r="N10" s="83">
        <f t="shared" si="4"/>
        <v>86.583760390870111</v>
      </c>
      <c r="W10" s="87"/>
      <c r="AA10" s="88"/>
      <c r="AB10" s="88"/>
      <c r="AH10" s="89"/>
      <c r="AI10" s="71" t="s">
        <v>52</v>
      </c>
      <c r="AJ10" s="71">
        <v>45</v>
      </c>
    </row>
    <row r="11" spans="1:37" ht="14.45" customHeight="1" x14ac:dyDescent="0.25">
      <c r="A11" s="110">
        <f t="shared" si="5"/>
        <v>84.157669818476691</v>
      </c>
      <c r="B11" s="34">
        <f t="shared" si="0"/>
        <v>6</v>
      </c>
      <c r="C11" s="35" t="s">
        <v>50</v>
      </c>
      <c r="D11" s="35"/>
      <c r="E11" s="35"/>
      <c r="F11" s="35"/>
      <c r="G11" s="22"/>
      <c r="H11" s="84">
        <v>6</v>
      </c>
      <c r="I11" s="85">
        <f t="shared" si="1"/>
        <v>30.131391515397244</v>
      </c>
      <c r="J11" s="84">
        <f t="shared" si="6"/>
        <v>4</v>
      </c>
      <c r="K11" s="84">
        <f t="shared" si="2"/>
        <v>40</v>
      </c>
      <c r="L11" s="84"/>
      <c r="M11" s="86">
        <f t="shared" si="3"/>
        <v>70.13139151539724</v>
      </c>
      <c r="N11" s="86">
        <f t="shared" si="4"/>
        <v>84.157669818476691</v>
      </c>
      <c r="W11" s="90"/>
      <c r="AA11" s="88"/>
      <c r="AB11" s="88"/>
      <c r="AH11" s="89"/>
      <c r="AI11" s="71" t="s">
        <v>53</v>
      </c>
      <c r="AJ11" s="71">
        <v>50</v>
      </c>
    </row>
    <row r="12" spans="1:37" ht="14.45" customHeight="1" x14ac:dyDescent="0.25">
      <c r="A12" s="109">
        <f t="shared" si="5"/>
        <v>82.106439466820603</v>
      </c>
      <c r="B12" s="28">
        <f t="shared" si="0"/>
        <v>7</v>
      </c>
      <c r="C12" s="29" t="s">
        <v>50</v>
      </c>
      <c r="D12" s="29"/>
      <c r="E12" s="29"/>
      <c r="F12" s="29"/>
      <c r="G12" s="22"/>
      <c r="H12" s="81">
        <v>7</v>
      </c>
      <c r="I12" s="82">
        <f t="shared" si="1"/>
        <v>28.422032889017174</v>
      </c>
      <c r="J12" s="81">
        <f t="shared" si="6"/>
        <v>4</v>
      </c>
      <c r="K12" s="81">
        <f t="shared" si="2"/>
        <v>40</v>
      </c>
      <c r="L12" s="81"/>
      <c r="M12" s="83">
        <f t="shared" si="3"/>
        <v>68.422032889017174</v>
      </c>
      <c r="N12" s="83">
        <f t="shared" si="4"/>
        <v>82.106439466820603</v>
      </c>
      <c r="AA12" s="88"/>
      <c r="AB12" s="88"/>
      <c r="AH12" s="89"/>
      <c r="AI12" s="71" t="s">
        <v>54</v>
      </c>
      <c r="AJ12" s="71">
        <f>AJ11-1</f>
        <v>49</v>
      </c>
    </row>
    <row r="13" spans="1:37" ht="14.45" customHeight="1" x14ac:dyDescent="0.25">
      <c r="A13" s="110">
        <f t="shared" si="5"/>
        <v>80.329582914794614</v>
      </c>
      <c r="B13" s="34">
        <f t="shared" si="0"/>
        <v>8</v>
      </c>
      <c r="C13" s="35" t="s">
        <v>50</v>
      </c>
      <c r="D13" s="35"/>
      <c r="E13" s="35"/>
      <c r="F13" s="35"/>
      <c r="G13" s="22"/>
      <c r="H13" s="84">
        <v>8</v>
      </c>
      <c r="I13" s="85">
        <f t="shared" si="1"/>
        <v>26.941319095662177</v>
      </c>
      <c r="J13" s="84">
        <f t="shared" si="6"/>
        <v>4</v>
      </c>
      <c r="K13" s="84">
        <f t="shared" si="2"/>
        <v>40</v>
      </c>
      <c r="L13" s="84"/>
      <c r="M13" s="86">
        <f t="shared" si="3"/>
        <v>66.94131909566218</v>
      </c>
      <c r="N13" s="86">
        <f t="shared" si="4"/>
        <v>80.329582914794614</v>
      </c>
      <c r="Y13" s="87"/>
      <c r="AH13" s="89"/>
      <c r="AI13" s="71" t="s">
        <v>55</v>
      </c>
      <c r="AJ13" s="71" t="e">
        <f>LOG(AJ9)</f>
        <v>#NUM!</v>
      </c>
    </row>
    <row r="14" spans="1:37" x14ac:dyDescent="0.25">
      <c r="A14" s="109">
        <f t="shared" si="5"/>
        <v>66.762284360423635</v>
      </c>
      <c r="B14" s="28">
        <f t="shared" si="0"/>
        <v>9</v>
      </c>
      <c r="C14" s="29" t="s">
        <v>50</v>
      </c>
      <c r="D14" s="29"/>
      <c r="E14" s="29"/>
      <c r="F14" s="29"/>
      <c r="G14" s="22"/>
      <c r="H14" s="81">
        <v>9</v>
      </c>
      <c r="I14" s="82">
        <f t="shared" si="1"/>
        <v>25.635236967019701</v>
      </c>
      <c r="J14" s="81">
        <f t="shared" si="6"/>
        <v>3</v>
      </c>
      <c r="K14" s="81">
        <f t="shared" si="2"/>
        <v>30</v>
      </c>
      <c r="L14" s="81"/>
      <c r="M14" s="83">
        <f t="shared" si="3"/>
        <v>55.635236967019701</v>
      </c>
      <c r="N14" s="83">
        <f t="shared" si="4"/>
        <v>66.762284360423635</v>
      </c>
      <c r="Y14" s="91"/>
      <c r="AA14" s="88"/>
      <c r="AB14" s="88"/>
      <c r="AH14" s="89"/>
      <c r="AI14" s="71" t="s">
        <v>56</v>
      </c>
      <c r="AJ14" s="71">
        <f>LOG(AJ10)</f>
        <v>1.6532125137753437</v>
      </c>
    </row>
    <row r="15" spans="1:37" x14ac:dyDescent="0.25">
      <c r="A15" s="110">
        <f t="shared" si="5"/>
        <v>65.360288029134978</v>
      </c>
      <c r="B15" s="34">
        <f t="shared" si="0"/>
        <v>10</v>
      </c>
      <c r="C15" s="35" t="s">
        <v>50</v>
      </c>
      <c r="D15" s="35"/>
      <c r="E15" s="35"/>
      <c r="F15" s="35"/>
      <c r="G15" s="22"/>
      <c r="H15" s="84">
        <v>10</v>
      </c>
      <c r="I15" s="85">
        <f t="shared" si="1"/>
        <v>24.466906690945816</v>
      </c>
      <c r="J15" s="84">
        <f t="shared" si="6"/>
        <v>3</v>
      </c>
      <c r="K15" s="84">
        <f t="shared" si="2"/>
        <v>30</v>
      </c>
      <c r="L15" s="84"/>
      <c r="M15" s="86">
        <f t="shared" si="3"/>
        <v>54.466906690945819</v>
      </c>
      <c r="N15" s="86">
        <f t="shared" si="4"/>
        <v>65.360288029134978</v>
      </c>
      <c r="Y15" s="87"/>
      <c r="AA15" s="88"/>
      <c r="AB15" s="88"/>
    </row>
    <row r="16" spans="1:37" x14ac:dyDescent="0.25">
      <c r="A16" s="109">
        <f t="shared" si="5"/>
        <v>64.09202807818626</v>
      </c>
      <c r="B16" s="28">
        <f t="shared" si="0"/>
        <v>11</v>
      </c>
      <c r="C16" s="29" t="s">
        <v>50</v>
      </c>
      <c r="D16" s="29"/>
      <c r="E16" s="29"/>
      <c r="F16" s="29"/>
      <c r="G16" s="22"/>
      <c r="H16" s="81">
        <v>11</v>
      </c>
      <c r="I16" s="82">
        <f t="shared" si="1"/>
        <v>23.410023398488555</v>
      </c>
      <c r="J16" s="81">
        <f t="shared" si="6"/>
        <v>3</v>
      </c>
      <c r="K16" s="81">
        <f t="shared" si="2"/>
        <v>30</v>
      </c>
      <c r="L16" s="81"/>
      <c r="M16" s="83">
        <f t="shared" si="3"/>
        <v>53.410023398488555</v>
      </c>
      <c r="N16" s="83">
        <f t="shared" si="4"/>
        <v>64.09202807818626</v>
      </c>
      <c r="S16" s="92"/>
      <c r="AA16" s="88"/>
      <c r="AB16" s="88"/>
      <c r="AI16" s="93" t="s">
        <v>57</v>
      </c>
      <c r="AJ16" s="71" t="e">
        <f>AJ11-AJ12*AJ13/AJ14</f>
        <v>#NUM!</v>
      </c>
      <c r="AK16" s="71" t="s">
        <v>58</v>
      </c>
    </row>
    <row r="17" spans="1:20" x14ac:dyDescent="0.25">
      <c r="A17" s="110">
        <f t="shared" si="5"/>
        <v>62.934197456741558</v>
      </c>
      <c r="B17" s="34">
        <f t="shared" si="0"/>
        <v>12</v>
      </c>
      <c r="C17" s="35" t="s">
        <v>50</v>
      </c>
      <c r="D17" s="35"/>
      <c r="E17" s="35"/>
      <c r="F17" s="35"/>
      <c r="G17" s="22"/>
      <c r="H17" s="84">
        <v>12</v>
      </c>
      <c r="I17" s="85">
        <f t="shared" si="1"/>
        <v>22.445164547284634</v>
      </c>
      <c r="J17" s="84">
        <f t="shared" si="6"/>
        <v>3</v>
      </c>
      <c r="K17" s="84">
        <f t="shared" si="2"/>
        <v>30</v>
      </c>
      <c r="L17" s="84"/>
      <c r="M17" s="86">
        <f t="shared" si="3"/>
        <v>52.445164547284634</v>
      </c>
      <c r="N17" s="86">
        <f t="shared" si="4"/>
        <v>62.934197456741558</v>
      </c>
    </row>
    <row r="18" spans="1:20" x14ac:dyDescent="0.25">
      <c r="A18" s="109">
        <f t="shared" si="5"/>
        <v>61.869096533458702</v>
      </c>
      <c r="B18" s="28">
        <f t="shared" si="0"/>
        <v>13</v>
      </c>
      <c r="C18" s="29" t="s">
        <v>50</v>
      </c>
      <c r="D18" s="29"/>
      <c r="E18" s="29"/>
      <c r="F18" s="29"/>
      <c r="G18" s="22"/>
      <c r="H18" s="81">
        <v>13</v>
      </c>
      <c r="I18" s="82">
        <f t="shared" si="1"/>
        <v>21.557580444548922</v>
      </c>
      <c r="J18" s="81">
        <f t="shared" si="6"/>
        <v>3</v>
      </c>
      <c r="K18" s="81">
        <f t="shared" si="2"/>
        <v>30</v>
      </c>
      <c r="L18" s="81"/>
      <c r="M18" s="83">
        <f t="shared" si="3"/>
        <v>51.557580444548918</v>
      </c>
      <c r="N18" s="83">
        <f t="shared" si="4"/>
        <v>61.869096533458702</v>
      </c>
    </row>
    <row r="19" spans="1:20" x14ac:dyDescent="0.25">
      <c r="A19" s="110">
        <f t="shared" si="5"/>
        <v>60.882967105085477</v>
      </c>
      <c r="B19" s="34">
        <f t="shared" si="0"/>
        <v>14</v>
      </c>
      <c r="C19" s="35" t="s">
        <v>50</v>
      </c>
      <c r="D19" s="35"/>
      <c r="E19" s="35"/>
      <c r="F19" s="35"/>
      <c r="G19" s="22"/>
      <c r="H19" s="84">
        <v>14</v>
      </c>
      <c r="I19" s="85">
        <f t="shared" si="1"/>
        <v>20.735805920904564</v>
      </c>
      <c r="J19" s="84">
        <f t="shared" si="6"/>
        <v>3</v>
      </c>
      <c r="K19" s="84">
        <f t="shared" si="2"/>
        <v>30</v>
      </c>
      <c r="L19" s="84"/>
      <c r="M19" s="86">
        <f t="shared" si="3"/>
        <v>50.735805920904568</v>
      </c>
      <c r="N19" s="86">
        <f t="shared" si="4"/>
        <v>60.882967105085477</v>
      </c>
    </row>
    <row r="20" spans="1:20" x14ac:dyDescent="0.25">
      <c r="A20" s="109">
        <f t="shared" si="5"/>
        <v>59.964902571081922</v>
      </c>
      <c r="B20" s="28">
        <f t="shared" si="0"/>
        <v>15</v>
      </c>
      <c r="C20" s="29" t="s">
        <v>50</v>
      </c>
      <c r="D20" s="29"/>
      <c r="E20" s="29"/>
      <c r="F20" s="29"/>
      <c r="G20" s="22"/>
      <c r="H20" s="81">
        <v>15</v>
      </c>
      <c r="I20" s="82">
        <f t="shared" si="1"/>
        <v>19.970752142568269</v>
      </c>
      <c r="J20" s="81">
        <f t="shared" si="6"/>
        <v>3</v>
      </c>
      <c r="K20" s="81">
        <f t="shared" si="2"/>
        <v>30</v>
      </c>
      <c r="L20" s="81"/>
      <c r="M20" s="83">
        <f t="shared" si="3"/>
        <v>49.970752142568273</v>
      </c>
      <c r="N20" s="83">
        <f t="shared" si="4"/>
        <v>59.964902571081922</v>
      </c>
      <c r="S20" s="94"/>
      <c r="T20" s="95"/>
    </row>
    <row r="21" spans="1:20" x14ac:dyDescent="0.25">
      <c r="A21" s="110">
        <f t="shared" si="5"/>
        <v>59.106110553059487</v>
      </c>
      <c r="B21" s="34">
        <f t="shared" si="0"/>
        <v>16</v>
      </c>
      <c r="C21" s="35" t="s">
        <v>50</v>
      </c>
      <c r="D21" s="35"/>
      <c r="E21" s="35"/>
      <c r="F21" s="35"/>
      <c r="G21" s="22"/>
      <c r="H21" s="84">
        <v>16</v>
      </c>
      <c r="I21" s="85">
        <f t="shared" si="1"/>
        <v>19.25509212754957</v>
      </c>
      <c r="J21" s="84">
        <f t="shared" si="6"/>
        <v>3</v>
      </c>
      <c r="K21" s="84">
        <f t="shared" si="2"/>
        <v>30</v>
      </c>
      <c r="L21" s="84"/>
      <c r="M21" s="86">
        <f t="shared" si="3"/>
        <v>49.255092127549574</v>
      </c>
      <c r="N21" s="86">
        <f t="shared" si="4"/>
        <v>59.106110553059487</v>
      </c>
    </row>
    <row r="22" spans="1:20" x14ac:dyDescent="0.25">
      <c r="A22" s="109">
        <f t="shared" si="5"/>
        <v>46.299399454108148</v>
      </c>
      <c r="B22" s="28">
        <f t="shared" si="0"/>
        <v>17</v>
      </c>
      <c r="C22" s="29" t="s">
        <v>50</v>
      </c>
      <c r="D22" s="29"/>
      <c r="E22" s="29"/>
      <c r="F22" s="29"/>
      <c r="G22" s="22"/>
      <c r="H22" s="81">
        <v>17</v>
      </c>
      <c r="I22" s="82">
        <f t="shared" si="1"/>
        <v>18.58283287842346</v>
      </c>
      <c r="J22" s="81">
        <f t="shared" si="6"/>
        <v>2</v>
      </c>
      <c r="K22" s="81">
        <f t="shared" si="2"/>
        <v>20</v>
      </c>
      <c r="L22" s="81"/>
      <c r="M22" s="83">
        <f t="shared" si="3"/>
        <v>38.58283287842346</v>
      </c>
      <c r="N22" s="83">
        <f t="shared" si="4"/>
        <v>46.299399454108148</v>
      </c>
    </row>
    <row r="23" spans="1:20" x14ac:dyDescent="0.25">
      <c r="A23" s="110">
        <f t="shared" si="5"/>
        <v>45.538811998688509</v>
      </c>
      <c r="B23" s="34">
        <f t="shared" si="0"/>
        <v>18</v>
      </c>
      <c r="C23" s="35" t="s">
        <v>50</v>
      </c>
      <c r="D23" s="35"/>
      <c r="E23" s="35"/>
      <c r="F23" s="35"/>
      <c r="G23" s="22"/>
      <c r="H23" s="84">
        <v>18</v>
      </c>
      <c r="I23" s="85">
        <f t="shared" si="1"/>
        <v>17.949009998907094</v>
      </c>
      <c r="J23" s="84">
        <f t="shared" si="6"/>
        <v>2</v>
      </c>
      <c r="K23" s="84">
        <f t="shared" si="2"/>
        <v>20</v>
      </c>
      <c r="L23" s="84"/>
      <c r="M23" s="86">
        <f t="shared" si="3"/>
        <v>37.949009998907094</v>
      </c>
      <c r="N23" s="86">
        <f t="shared" si="4"/>
        <v>45.538811998688509</v>
      </c>
    </row>
    <row r="24" spans="1:20" x14ac:dyDescent="0.25">
      <c r="A24" s="109">
        <f t="shared" si="5"/>
        <v>44.819357985098854</v>
      </c>
      <c r="B24" s="28">
        <f t="shared" si="0"/>
        <v>19</v>
      </c>
      <c r="C24" s="29" t="s">
        <v>50</v>
      </c>
      <c r="D24" s="29"/>
      <c r="E24" s="29"/>
      <c r="F24" s="29"/>
      <c r="G24" s="22"/>
      <c r="H24" s="81">
        <v>19</v>
      </c>
      <c r="I24" s="82">
        <f t="shared" si="1"/>
        <v>17.34946498758238</v>
      </c>
      <c r="J24" s="81">
        <f t="shared" si="6"/>
        <v>2</v>
      </c>
      <c r="K24" s="81">
        <f t="shared" si="2"/>
        <v>20</v>
      </c>
      <c r="L24" s="81"/>
      <c r="M24" s="83">
        <f t="shared" si="3"/>
        <v>37.34946498758238</v>
      </c>
      <c r="N24" s="83">
        <f t="shared" si="4"/>
        <v>44.819357985098854</v>
      </c>
      <c r="S24" s="94"/>
      <c r="T24" s="95"/>
    </row>
    <row r="25" spans="1:20" x14ac:dyDescent="0.25">
      <c r="A25" s="110">
        <f t="shared" si="5"/>
        <v>44.136815667399844</v>
      </c>
      <c r="B25" s="34">
        <f t="shared" si="0"/>
        <v>20</v>
      </c>
      <c r="C25" s="35" t="s">
        <v>50</v>
      </c>
      <c r="D25" s="35"/>
      <c r="E25" s="35"/>
      <c r="F25" s="35"/>
      <c r="G25" s="22"/>
      <c r="H25" s="84">
        <v>20</v>
      </c>
      <c r="I25" s="85">
        <f t="shared" si="1"/>
        <v>16.780679722833206</v>
      </c>
      <c r="J25" s="84">
        <f t="shared" si="6"/>
        <v>2</v>
      </c>
      <c r="K25" s="84">
        <f t="shared" si="2"/>
        <v>20</v>
      </c>
      <c r="L25" s="84"/>
      <c r="M25" s="86">
        <f t="shared" si="3"/>
        <v>36.780679722833206</v>
      </c>
      <c r="N25" s="86">
        <f t="shared" si="4"/>
        <v>44.136815667399844</v>
      </c>
    </row>
    <row r="26" spans="1:20" x14ac:dyDescent="0.25">
      <c r="A26" s="109">
        <f t="shared" si="5"/>
        <v>43.487581647032421</v>
      </c>
      <c r="B26" s="28">
        <f t="shared" si="0"/>
        <v>21</v>
      </c>
      <c r="C26" s="29" t="s">
        <v>50</v>
      </c>
      <c r="D26" s="29"/>
      <c r="E26" s="29"/>
      <c r="F26" s="29"/>
      <c r="G26" s="22"/>
      <c r="H26" s="81">
        <v>21</v>
      </c>
      <c r="I26" s="82">
        <f t="shared" si="1"/>
        <v>16.239651372527021</v>
      </c>
      <c r="J26" s="81">
        <f t="shared" si="6"/>
        <v>2</v>
      </c>
      <c r="K26" s="81">
        <f t="shared" si="2"/>
        <v>20</v>
      </c>
      <c r="L26" s="81"/>
      <c r="M26" s="83">
        <f t="shared" si="3"/>
        <v>36.239651372527021</v>
      </c>
      <c r="N26" s="83">
        <f t="shared" si="4"/>
        <v>43.487581647032421</v>
      </c>
    </row>
    <row r="27" spans="1:20" x14ac:dyDescent="0.25">
      <c r="A27" s="110">
        <f t="shared" si="5"/>
        <v>42.868555716451134</v>
      </c>
      <c r="B27" s="34">
        <f t="shared" si="0"/>
        <v>22</v>
      </c>
      <c r="C27" s="35" t="s">
        <v>50</v>
      </c>
      <c r="D27" s="35"/>
      <c r="E27" s="35"/>
      <c r="F27" s="35"/>
      <c r="G27" s="22"/>
      <c r="H27" s="84">
        <v>22</v>
      </c>
      <c r="I27" s="85">
        <f t="shared" si="1"/>
        <v>15.723796430375948</v>
      </c>
      <c r="J27" s="84">
        <f t="shared" si="6"/>
        <v>2</v>
      </c>
      <c r="K27" s="84">
        <f t="shared" si="2"/>
        <v>20</v>
      </c>
      <c r="L27" s="84"/>
      <c r="M27" s="86">
        <f t="shared" si="3"/>
        <v>35.723796430375948</v>
      </c>
      <c r="N27" s="86">
        <f t="shared" si="4"/>
        <v>42.868555716451134</v>
      </c>
    </row>
    <row r="28" spans="1:20" x14ac:dyDescent="0.25">
      <c r="A28" s="109">
        <f t="shared" si="5"/>
        <v>42.277051321711639</v>
      </c>
      <c r="B28" s="28">
        <f t="shared" si="0"/>
        <v>23</v>
      </c>
      <c r="C28" s="29" t="s">
        <v>50</v>
      </c>
      <c r="D28" s="29"/>
      <c r="E28" s="29"/>
      <c r="F28" s="29"/>
      <c r="G28" s="22"/>
      <c r="H28" s="81">
        <v>23</v>
      </c>
      <c r="I28" s="82">
        <f t="shared" si="1"/>
        <v>15.230876101426368</v>
      </c>
      <c r="J28" s="81">
        <f t="shared" si="6"/>
        <v>2</v>
      </c>
      <c r="K28" s="81">
        <f t="shared" si="2"/>
        <v>20</v>
      </c>
      <c r="L28" s="81"/>
      <c r="M28" s="83">
        <f t="shared" si="3"/>
        <v>35.230876101426368</v>
      </c>
      <c r="N28" s="83">
        <f t="shared" si="4"/>
        <v>42.277051321711639</v>
      </c>
      <c r="S28" s="94"/>
      <c r="T28" s="95"/>
    </row>
    <row r="29" spans="1:20" x14ac:dyDescent="0.25">
      <c r="A29" s="110">
        <f t="shared" si="5"/>
        <v>41.710725095006438</v>
      </c>
      <c r="B29" s="34">
        <f t="shared" si="0"/>
        <v>24</v>
      </c>
      <c r="C29" s="35" t="s">
        <v>50</v>
      </c>
      <c r="D29" s="35"/>
      <c r="E29" s="35"/>
      <c r="F29" s="35"/>
      <c r="G29" s="64"/>
      <c r="H29" s="84">
        <v>24</v>
      </c>
      <c r="I29" s="85">
        <f t="shared" si="1"/>
        <v>14.758937579172034</v>
      </c>
      <c r="J29" s="84">
        <f t="shared" si="6"/>
        <v>2</v>
      </c>
      <c r="K29" s="84">
        <f t="shared" si="2"/>
        <v>20</v>
      </c>
      <c r="L29" s="84"/>
      <c r="M29" s="86">
        <f t="shared" si="3"/>
        <v>34.758937579172034</v>
      </c>
      <c r="N29" s="86">
        <f t="shared" si="4"/>
        <v>41.710725095006438</v>
      </c>
    </row>
    <row r="30" spans="1:20" x14ac:dyDescent="0.25">
      <c r="A30" s="109">
        <f t="shared" si="5"/>
        <v>41.167520781740222</v>
      </c>
      <c r="B30" s="28">
        <f t="shared" si="0"/>
        <v>25</v>
      </c>
      <c r="C30" s="29" t="s">
        <v>50</v>
      </c>
      <c r="D30" s="29"/>
      <c r="E30" s="29"/>
      <c r="F30" s="29"/>
      <c r="G30" s="64"/>
      <c r="H30" s="81">
        <v>25</v>
      </c>
      <c r="I30" s="82">
        <f t="shared" si="1"/>
        <v>14.306267318116852</v>
      </c>
      <c r="J30" s="81">
        <f t="shared" si="6"/>
        <v>2</v>
      </c>
      <c r="K30" s="81">
        <f t="shared" si="2"/>
        <v>20</v>
      </c>
      <c r="L30" s="81"/>
      <c r="M30" s="83">
        <f t="shared" si="3"/>
        <v>34.306267318116852</v>
      </c>
      <c r="N30" s="83">
        <f t="shared" si="4"/>
        <v>41.167520781740222</v>
      </c>
    </row>
    <row r="31" spans="1:20" x14ac:dyDescent="0.25">
      <c r="A31" s="110">
        <f t="shared" si="5"/>
        <v>40.645624171723576</v>
      </c>
      <c r="B31" s="34">
        <f t="shared" si="0"/>
        <v>26</v>
      </c>
      <c r="C31" s="35" t="s">
        <v>50</v>
      </c>
      <c r="D31" s="35"/>
      <c r="E31" s="35"/>
      <c r="F31" s="35"/>
      <c r="G31" s="64"/>
      <c r="H31" s="84">
        <v>26</v>
      </c>
      <c r="I31" s="85">
        <f t="shared" si="1"/>
        <v>13.871353476436312</v>
      </c>
      <c r="J31" s="84">
        <f t="shared" si="6"/>
        <v>2</v>
      </c>
      <c r="K31" s="84">
        <f t="shared" si="2"/>
        <v>20</v>
      </c>
      <c r="L31" s="84"/>
      <c r="M31" s="86">
        <f t="shared" si="3"/>
        <v>33.871353476436312</v>
      </c>
      <c r="N31" s="86">
        <f t="shared" si="4"/>
        <v>40.645624171723576</v>
      </c>
    </row>
    <row r="32" spans="1:20" x14ac:dyDescent="0.25">
      <c r="A32" s="109">
        <f t="shared" si="5"/>
        <v>40.143426540635453</v>
      </c>
      <c r="B32" s="28">
        <f t="shared" si="0"/>
        <v>27</v>
      </c>
      <c r="C32" s="29" t="s">
        <v>50</v>
      </c>
      <c r="D32" s="29"/>
      <c r="E32" s="29"/>
      <c r="F32" s="29"/>
      <c r="G32" s="64"/>
      <c r="H32" s="81">
        <v>27</v>
      </c>
      <c r="I32" s="82">
        <f t="shared" si="1"/>
        <v>13.452855450529547</v>
      </c>
      <c r="J32" s="81">
        <f t="shared" si="6"/>
        <v>2</v>
      </c>
      <c r="K32" s="81">
        <f t="shared" si="2"/>
        <v>20</v>
      </c>
      <c r="L32" s="81"/>
      <c r="M32" s="83">
        <f t="shared" si="3"/>
        <v>33.452855450529547</v>
      </c>
      <c r="N32" s="83">
        <f t="shared" si="4"/>
        <v>40.143426540635453</v>
      </c>
      <c r="S32" s="94"/>
      <c r="T32" s="95"/>
    </row>
    <row r="33" spans="1:20" x14ac:dyDescent="0.25">
      <c r="A33" s="110">
        <f t="shared" si="5"/>
        <v>39.659494743350351</v>
      </c>
      <c r="B33" s="34">
        <f t="shared" si="0"/>
        <v>28</v>
      </c>
      <c r="C33" s="35" t="s">
        <v>50</v>
      </c>
      <c r="D33" s="35"/>
      <c r="E33" s="35"/>
      <c r="F33" s="35"/>
      <c r="G33" s="64"/>
      <c r="H33" s="84">
        <v>28</v>
      </c>
      <c r="I33" s="85">
        <f t="shared" si="1"/>
        <v>13.049578952791961</v>
      </c>
      <c r="J33" s="84">
        <f t="shared" si="6"/>
        <v>2</v>
      </c>
      <c r="K33" s="84">
        <f t="shared" si="2"/>
        <v>20</v>
      </c>
      <c r="L33" s="84"/>
      <c r="M33" s="86">
        <f t="shared" si="3"/>
        <v>33.049578952791961</v>
      </c>
      <c r="N33" s="86">
        <f t="shared" si="4"/>
        <v>39.659494743350351</v>
      </c>
    </row>
    <row r="34" spans="1:20" x14ac:dyDescent="0.25">
      <c r="A34" s="109">
        <f t="shared" si="5"/>
        <v>39.192546557606313</v>
      </c>
      <c r="B34" s="28">
        <f t="shared" si="0"/>
        <v>29</v>
      </c>
      <c r="C34" s="29" t="s">
        <v>50</v>
      </c>
      <c r="D34" s="29"/>
      <c r="E34" s="29"/>
      <c r="F34" s="29"/>
      <c r="G34" s="64"/>
      <c r="H34" s="81">
        <v>29</v>
      </c>
      <c r="I34" s="82">
        <f t="shared" si="1"/>
        <v>12.660455464671927</v>
      </c>
      <c r="J34" s="81">
        <f t="shared" si="6"/>
        <v>2</v>
      </c>
      <c r="K34" s="81">
        <f t="shared" si="2"/>
        <v>20</v>
      </c>
      <c r="L34" s="81"/>
      <c r="M34" s="83">
        <f t="shared" si="3"/>
        <v>32.660455464671927</v>
      </c>
      <c r="N34" s="83">
        <f t="shared" si="4"/>
        <v>39.192546557606313</v>
      </c>
    </row>
    <row r="35" spans="1:20" s="71" customFormat="1" x14ac:dyDescent="0.25">
      <c r="A35" s="110">
        <f t="shared" si="5"/>
        <v>38.741430209346795</v>
      </c>
      <c r="B35" s="34">
        <f t="shared" si="0"/>
        <v>30</v>
      </c>
      <c r="C35" s="35" t="s">
        <v>50</v>
      </c>
      <c r="D35" s="35"/>
      <c r="E35" s="35"/>
      <c r="F35" s="35"/>
      <c r="G35" s="64"/>
      <c r="H35" s="84">
        <v>30</v>
      </c>
      <c r="I35" s="85">
        <f t="shared" si="1"/>
        <v>12.284525174455666</v>
      </c>
      <c r="J35" s="84">
        <f t="shared" si="6"/>
        <v>2</v>
      </c>
      <c r="K35" s="84">
        <f t="shared" si="2"/>
        <v>20</v>
      </c>
      <c r="L35" s="84"/>
      <c r="M35" s="86">
        <f t="shared" si="3"/>
        <v>32.284525174455666</v>
      </c>
      <c r="N35" s="86">
        <f t="shared" si="4"/>
        <v>38.741430209346795</v>
      </c>
      <c r="O35" s="64"/>
      <c r="P35" s="64"/>
      <c r="Q35" s="64"/>
      <c r="R35" s="64"/>
      <c r="S35" s="64"/>
    </row>
    <row r="36" spans="1:20" s="71" customFormat="1" x14ac:dyDescent="0.25">
      <c r="A36" s="109">
        <f t="shared" si="5"/>
        <v>38.305107256536502</v>
      </c>
      <c r="B36" s="28">
        <f t="shared" si="0"/>
        <v>31</v>
      </c>
      <c r="C36" s="29" t="s">
        <v>50</v>
      </c>
      <c r="D36" s="29"/>
      <c r="E36" s="29"/>
      <c r="F36" s="29"/>
      <c r="G36" s="64"/>
      <c r="H36" s="81">
        <v>31</v>
      </c>
      <c r="I36" s="82">
        <f t="shared" si="1"/>
        <v>11.920922713780421</v>
      </c>
      <c r="J36" s="81">
        <f t="shared" si="6"/>
        <v>2</v>
      </c>
      <c r="K36" s="81">
        <f t="shared" si="2"/>
        <v>20</v>
      </c>
      <c r="L36" s="81"/>
      <c r="M36" s="83">
        <f t="shared" si="3"/>
        <v>31.920922713780421</v>
      </c>
      <c r="N36" s="83">
        <f t="shared" si="4"/>
        <v>38.305107256536502</v>
      </c>
      <c r="O36" s="64"/>
      <c r="P36" s="64"/>
      <c r="Q36" s="64"/>
      <c r="R36" s="64"/>
      <c r="S36" s="94"/>
      <c r="T36" s="95"/>
    </row>
    <row r="37" spans="1:20" s="71" customFormat="1" x14ac:dyDescent="0.25">
      <c r="A37" s="110">
        <f t="shared" ref="A37:A100" si="8">N37</f>
        <v>37.88263819132434</v>
      </c>
      <c r="B37" s="34">
        <f t="shared" si="0"/>
        <v>32</v>
      </c>
      <c r="C37" s="35" t="s">
        <v>50</v>
      </c>
      <c r="D37" s="35"/>
      <c r="E37" s="35"/>
      <c r="F37" s="35"/>
      <c r="G37" s="64"/>
      <c r="H37" s="84">
        <v>32</v>
      </c>
      <c r="I37" s="85">
        <f t="shared" ref="I37:I100" si="9">IF(H37&lt;$H$2+1,($I$2-($I$2-1)*(LOG(H37)/LOG($H$2))),"")</f>
        <v>11.568865159436953</v>
      </c>
      <c r="J37" s="84">
        <f t="shared" ref="J37:J100" si="10">INT(LOG($H$2,2))-ROUNDUP(LOG(H37,2),0)+IF(OR($H$2=1,$H$2=2,$H$2=4,$H$2=8,$H$2=16,$H$2=32,$H$2=64,$H$2=128,$H$2=256),0,1)</f>
        <v>2</v>
      </c>
      <c r="K37" s="84">
        <f t="shared" ref="K37:K100" si="11">J37*$J$2</f>
        <v>20</v>
      </c>
      <c r="L37" s="84"/>
      <c r="M37" s="86">
        <f t="shared" ref="M37:M100" si="12">IF(I37&lt;&gt;"",K37+I37+L37,0)</f>
        <v>31.568865159436953</v>
      </c>
      <c r="N37" s="86">
        <f t="shared" ref="N37:N100" si="13">IF(I37&lt;&gt;"",M37*L$2,0)</f>
        <v>37.88263819132434</v>
      </c>
      <c r="O37" s="64"/>
      <c r="P37" s="64"/>
      <c r="Q37" s="64"/>
      <c r="R37" s="64"/>
      <c r="S37" s="64"/>
    </row>
    <row r="38" spans="1:20" s="71" customFormat="1" x14ac:dyDescent="0.25">
      <c r="A38" s="109">
        <f t="shared" si="8"/>
        <v>25.473170258398081</v>
      </c>
      <c r="B38" s="28">
        <f t="shared" si="0"/>
        <v>33</v>
      </c>
      <c r="C38" s="29" t="s">
        <v>50</v>
      </c>
      <c r="D38" s="29"/>
      <c r="E38" s="29"/>
      <c r="F38" s="29"/>
      <c r="G38" s="64"/>
      <c r="H38" s="81">
        <v>33</v>
      </c>
      <c r="I38" s="82">
        <f t="shared" si="9"/>
        <v>11.227641881998402</v>
      </c>
      <c r="J38" s="81">
        <f t="shared" si="10"/>
        <v>1</v>
      </c>
      <c r="K38" s="81">
        <f t="shared" si="11"/>
        <v>10</v>
      </c>
      <c r="L38" s="81"/>
      <c r="M38" s="83">
        <f t="shared" si="12"/>
        <v>21.227641881998402</v>
      </c>
      <c r="N38" s="83">
        <f t="shared" si="13"/>
        <v>25.473170258398081</v>
      </c>
      <c r="O38" s="64"/>
      <c r="P38" s="64"/>
      <c r="Q38" s="64"/>
      <c r="R38" s="64"/>
      <c r="S38" s="94"/>
      <c r="T38" s="95"/>
    </row>
    <row r="39" spans="1:20" s="71" customFormat="1" x14ac:dyDescent="0.25">
      <c r="A39" s="110">
        <f t="shared" si="8"/>
        <v>25.075927092373025</v>
      </c>
      <c r="B39" s="34">
        <f t="shared" si="0"/>
        <v>34</v>
      </c>
      <c r="C39" s="35" t="s">
        <v>50</v>
      </c>
      <c r="D39" s="35"/>
      <c r="E39" s="35"/>
      <c r="F39" s="35"/>
      <c r="G39" s="64"/>
      <c r="H39" s="84">
        <v>34</v>
      </c>
      <c r="I39" s="85">
        <f t="shared" si="9"/>
        <v>10.896605910310853</v>
      </c>
      <c r="J39" s="84">
        <f t="shared" si="10"/>
        <v>1</v>
      </c>
      <c r="K39" s="84">
        <f t="shared" si="11"/>
        <v>10</v>
      </c>
      <c r="L39" s="84"/>
      <c r="M39" s="86">
        <f t="shared" si="12"/>
        <v>20.896605910310853</v>
      </c>
      <c r="N39" s="86">
        <f t="shared" si="13"/>
        <v>25.075927092373025</v>
      </c>
      <c r="O39" s="64"/>
      <c r="P39" s="64"/>
      <c r="Q39" s="64"/>
      <c r="R39" s="64"/>
      <c r="S39" s="64"/>
    </row>
    <row r="40" spans="1:20" s="71" customFormat="1" x14ac:dyDescent="0.25">
      <c r="A40" s="109">
        <f t="shared" si="8"/>
        <v>24.690199857690718</v>
      </c>
      <c r="B40" s="28">
        <f t="shared" si="0"/>
        <v>35</v>
      </c>
      <c r="C40" s="29" t="s">
        <v>50</v>
      </c>
      <c r="D40" s="29"/>
      <c r="E40" s="29"/>
      <c r="F40" s="29"/>
      <c r="G40" s="64"/>
      <c r="H40" s="81">
        <v>35</v>
      </c>
      <c r="I40" s="82">
        <f t="shared" si="9"/>
        <v>10.5751665480756</v>
      </c>
      <c r="J40" s="81">
        <f t="shared" si="10"/>
        <v>1</v>
      </c>
      <c r="K40" s="81">
        <f t="shared" si="11"/>
        <v>10</v>
      </c>
      <c r="L40" s="81"/>
      <c r="M40" s="83">
        <f t="shared" si="12"/>
        <v>20.5751665480756</v>
      </c>
      <c r="N40" s="83">
        <f t="shared" si="13"/>
        <v>24.690199857690718</v>
      </c>
      <c r="O40" s="64"/>
      <c r="P40" s="64"/>
      <c r="Q40" s="64"/>
      <c r="R40" s="64"/>
      <c r="S40" s="94"/>
      <c r="T40" s="95"/>
    </row>
    <row r="41" spans="1:20" s="71" customFormat="1" x14ac:dyDescent="0.25">
      <c r="A41" s="110">
        <f t="shared" si="8"/>
        <v>24.315339636953386</v>
      </c>
      <c r="B41" s="34">
        <f t="shared" si="0"/>
        <v>36</v>
      </c>
      <c r="C41" s="35" t="s">
        <v>50</v>
      </c>
      <c r="D41" s="35"/>
      <c r="E41" s="35"/>
      <c r="F41" s="35"/>
      <c r="G41" s="64"/>
      <c r="H41" s="84">
        <v>36</v>
      </c>
      <c r="I41" s="85">
        <f t="shared" si="9"/>
        <v>10.262783030794488</v>
      </c>
      <c r="J41" s="84">
        <f t="shared" si="10"/>
        <v>1</v>
      </c>
      <c r="K41" s="84">
        <f t="shared" si="11"/>
        <v>10</v>
      </c>
      <c r="L41" s="84"/>
      <c r="M41" s="86">
        <f t="shared" si="12"/>
        <v>20.262783030794488</v>
      </c>
      <c r="N41" s="86">
        <f t="shared" si="13"/>
        <v>24.315339636953386</v>
      </c>
      <c r="O41" s="64"/>
      <c r="P41" s="64"/>
      <c r="Q41" s="64"/>
      <c r="R41" s="64"/>
      <c r="S41" s="64"/>
    </row>
    <row r="42" spans="1:20" s="71" customFormat="1" x14ac:dyDescent="0.25">
      <c r="A42" s="109">
        <f t="shared" si="8"/>
        <v>23.950750862373326</v>
      </c>
      <c r="B42" s="28">
        <f t="shared" si="0"/>
        <v>37</v>
      </c>
      <c r="C42" s="29" t="s">
        <v>50</v>
      </c>
      <c r="D42" s="29"/>
      <c r="E42" s="29"/>
      <c r="F42" s="29"/>
      <c r="G42" s="64"/>
      <c r="H42" s="81">
        <v>37</v>
      </c>
      <c r="I42" s="82">
        <f t="shared" si="9"/>
        <v>9.9589590519777715</v>
      </c>
      <c r="J42" s="81">
        <f t="shared" si="10"/>
        <v>1</v>
      </c>
      <c r="K42" s="81">
        <f t="shared" si="11"/>
        <v>10</v>
      </c>
      <c r="L42" s="81"/>
      <c r="M42" s="83">
        <f t="shared" si="12"/>
        <v>19.958959051977772</v>
      </c>
      <c r="N42" s="83">
        <f t="shared" si="13"/>
        <v>23.950750862373326</v>
      </c>
      <c r="O42" s="64"/>
      <c r="P42" s="64"/>
      <c r="Q42" s="64"/>
      <c r="R42" s="64"/>
      <c r="S42" s="94"/>
      <c r="T42" s="95"/>
    </row>
    <row r="43" spans="1:20" s="71" customFormat="1" x14ac:dyDescent="0.25">
      <c r="A43" s="110">
        <f t="shared" si="8"/>
        <v>23.595885623363728</v>
      </c>
      <c r="B43" s="34">
        <f t="shared" si="0"/>
        <v>38</v>
      </c>
      <c r="C43" s="35" t="s">
        <v>50</v>
      </c>
      <c r="D43" s="35"/>
      <c r="E43" s="35"/>
      <c r="F43" s="35"/>
      <c r="G43" s="64"/>
      <c r="H43" s="84">
        <v>38</v>
      </c>
      <c r="I43" s="85">
        <f t="shared" si="9"/>
        <v>9.6632380194697731</v>
      </c>
      <c r="J43" s="84">
        <f t="shared" si="10"/>
        <v>1</v>
      </c>
      <c r="K43" s="84">
        <f t="shared" si="11"/>
        <v>10</v>
      </c>
      <c r="L43" s="84"/>
      <c r="M43" s="86">
        <f t="shared" si="12"/>
        <v>19.663238019469773</v>
      </c>
      <c r="N43" s="86">
        <f t="shared" si="13"/>
        <v>23.595885623363728</v>
      </c>
      <c r="O43" s="64"/>
      <c r="P43" s="64"/>
      <c r="Q43" s="64"/>
      <c r="R43" s="64"/>
      <c r="S43" s="64"/>
    </row>
    <row r="44" spans="1:20" s="71" customFormat="1" x14ac:dyDescent="0.25">
      <c r="A44" s="109">
        <f t="shared" si="8"/>
        <v>23.250238713670527</v>
      </c>
      <c r="B44" s="28">
        <f t="shared" si="0"/>
        <v>39</v>
      </c>
      <c r="C44" s="29" t="s">
        <v>50</v>
      </c>
      <c r="D44" s="29"/>
      <c r="E44" s="29"/>
      <c r="F44" s="29"/>
      <c r="G44" s="64"/>
      <c r="H44" s="81">
        <v>39</v>
      </c>
      <c r="I44" s="82">
        <f t="shared" si="9"/>
        <v>9.3751989280587722</v>
      </c>
      <c r="J44" s="81">
        <f t="shared" si="10"/>
        <v>1</v>
      </c>
      <c r="K44" s="81">
        <f t="shared" si="11"/>
        <v>10</v>
      </c>
      <c r="L44" s="81"/>
      <c r="M44" s="83">
        <f t="shared" si="12"/>
        <v>19.375198928058772</v>
      </c>
      <c r="N44" s="83">
        <f t="shared" si="13"/>
        <v>23.250238713670527</v>
      </c>
      <c r="O44" s="64"/>
      <c r="P44" s="64"/>
      <c r="Q44" s="64"/>
      <c r="R44" s="64"/>
      <c r="S44" s="94"/>
      <c r="T44" s="95"/>
    </row>
    <row r="45" spans="1:20" s="71" customFormat="1" x14ac:dyDescent="0.25">
      <c r="A45" s="110">
        <f t="shared" si="8"/>
        <v>22.913343305664728</v>
      </c>
      <c r="B45" s="34">
        <f t="shared" si="0"/>
        <v>40</v>
      </c>
      <c r="C45" s="35" t="s">
        <v>50</v>
      </c>
      <c r="D45" s="35"/>
      <c r="E45" s="35"/>
      <c r="F45" s="35"/>
      <c r="G45" s="64"/>
      <c r="H45" s="84">
        <v>40</v>
      </c>
      <c r="I45" s="85">
        <f t="shared" si="9"/>
        <v>9.0944527547206064</v>
      </c>
      <c r="J45" s="84">
        <f t="shared" si="10"/>
        <v>1</v>
      </c>
      <c r="K45" s="84">
        <f t="shared" si="11"/>
        <v>10</v>
      </c>
      <c r="L45" s="84"/>
      <c r="M45" s="86">
        <f t="shared" si="12"/>
        <v>19.094452754720606</v>
      </c>
      <c r="N45" s="86">
        <f t="shared" si="13"/>
        <v>22.913343305664728</v>
      </c>
      <c r="O45" s="64"/>
      <c r="P45" s="64"/>
      <c r="Q45" s="64"/>
      <c r="R45" s="64"/>
      <c r="S45" s="64"/>
    </row>
    <row r="46" spans="1:20" s="71" customFormat="1" x14ac:dyDescent="0.25">
      <c r="A46" s="109">
        <f t="shared" si="8"/>
        <v>22.584767158846468</v>
      </c>
      <c r="B46" s="28">
        <f t="shared" si="0"/>
        <v>41</v>
      </c>
      <c r="C46" s="29" t="s">
        <v>50</v>
      </c>
      <c r="D46" s="29"/>
      <c r="E46" s="29"/>
      <c r="F46" s="29"/>
      <c r="G46" s="64"/>
      <c r="H46" s="81">
        <v>41</v>
      </c>
      <c r="I46" s="82">
        <f t="shared" si="9"/>
        <v>8.8206392990387243</v>
      </c>
      <c r="J46" s="81">
        <f t="shared" si="10"/>
        <v>1</v>
      </c>
      <c r="K46" s="81">
        <f t="shared" si="11"/>
        <v>10</v>
      </c>
      <c r="L46" s="81"/>
      <c r="M46" s="83">
        <f t="shared" si="12"/>
        <v>18.820639299038724</v>
      </c>
      <c r="N46" s="83">
        <f t="shared" si="13"/>
        <v>22.584767158846468</v>
      </c>
      <c r="O46" s="64"/>
      <c r="P46" s="64"/>
      <c r="Q46" s="64"/>
      <c r="R46" s="64"/>
      <c r="S46" s="94"/>
      <c r="T46" s="95"/>
    </row>
    <row r="47" spans="1:20" s="71" customFormat="1" x14ac:dyDescent="0.25">
      <c r="A47" s="110">
        <f t="shared" si="8"/>
        <v>22.264109285297298</v>
      </c>
      <c r="B47" s="34">
        <f t="shared" si="0"/>
        <v>42</v>
      </c>
      <c r="C47" s="35" t="s">
        <v>50</v>
      </c>
      <c r="D47" s="35"/>
      <c r="E47" s="35"/>
      <c r="F47" s="35"/>
      <c r="G47" s="64"/>
      <c r="H47" s="84">
        <v>42</v>
      </c>
      <c r="I47" s="85">
        <f t="shared" si="9"/>
        <v>8.5534244044144145</v>
      </c>
      <c r="J47" s="84">
        <f t="shared" si="10"/>
        <v>1</v>
      </c>
      <c r="K47" s="84">
        <f t="shared" si="11"/>
        <v>10</v>
      </c>
      <c r="L47" s="84"/>
      <c r="M47" s="86">
        <f t="shared" si="12"/>
        <v>18.553424404414415</v>
      </c>
      <c r="N47" s="86">
        <f t="shared" si="13"/>
        <v>22.264109285297298</v>
      </c>
      <c r="O47" s="64"/>
      <c r="P47" s="64"/>
      <c r="Q47" s="64"/>
      <c r="R47" s="64"/>
      <c r="S47" s="64"/>
    </row>
    <row r="48" spans="1:20" s="71" customFormat="1" x14ac:dyDescent="0.25">
      <c r="A48" s="109">
        <f t="shared" si="8"/>
        <v>21.950997007547748</v>
      </c>
      <c r="B48" s="28">
        <f t="shared" si="0"/>
        <v>43</v>
      </c>
      <c r="C48" s="29" t="s">
        <v>50</v>
      </c>
      <c r="D48" s="29"/>
      <c r="E48" s="29"/>
      <c r="F48" s="29"/>
      <c r="G48" s="64"/>
      <c r="H48" s="81">
        <v>43</v>
      </c>
      <c r="I48" s="82">
        <f t="shared" si="9"/>
        <v>8.2924975062897914</v>
      </c>
      <c r="J48" s="81">
        <f t="shared" si="10"/>
        <v>1</v>
      </c>
      <c r="K48" s="81">
        <f t="shared" si="11"/>
        <v>10</v>
      </c>
      <c r="L48" s="81"/>
      <c r="M48" s="83">
        <f t="shared" si="12"/>
        <v>18.292497506289791</v>
      </c>
      <c r="N48" s="83">
        <f t="shared" si="13"/>
        <v>21.950997007547748</v>
      </c>
      <c r="O48" s="64"/>
      <c r="P48" s="64"/>
      <c r="Q48" s="64"/>
      <c r="R48" s="64"/>
      <c r="S48" s="94"/>
      <c r="T48" s="95"/>
    </row>
    <row r="49" spans="1:20" s="71" customFormat="1" x14ac:dyDescent="0.25">
      <c r="A49" s="110">
        <f t="shared" si="8"/>
        <v>21.645083354716</v>
      </c>
      <c r="B49" s="34">
        <f t="shared" si="0"/>
        <v>44</v>
      </c>
      <c r="C49" s="35" t="s">
        <v>50</v>
      </c>
      <c r="D49" s="35"/>
      <c r="E49" s="35"/>
      <c r="F49" s="35"/>
      <c r="G49" s="64"/>
      <c r="H49" s="84">
        <v>44</v>
      </c>
      <c r="I49" s="85">
        <f t="shared" si="9"/>
        <v>8.0375694622633347</v>
      </c>
      <c r="J49" s="84">
        <f t="shared" si="10"/>
        <v>1</v>
      </c>
      <c r="K49" s="84">
        <f t="shared" si="11"/>
        <v>10</v>
      </c>
      <c r="L49" s="84"/>
      <c r="M49" s="86">
        <f t="shared" si="12"/>
        <v>18.037569462263335</v>
      </c>
      <c r="N49" s="86">
        <f t="shared" si="13"/>
        <v>21.645083354716</v>
      </c>
      <c r="O49" s="64"/>
      <c r="P49" s="64"/>
      <c r="Q49" s="64"/>
      <c r="R49" s="64"/>
      <c r="S49" s="64"/>
    </row>
    <row r="50" spans="1:20" s="71" customFormat="1" x14ac:dyDescent="0.25">
      <c r="A50" s="109">
        <f t="shared" si="8"/>
        <v>21.34604475129375</v>
      </c>
      <c r="B50" s="28">
        <f t="shared" si="0"/>
        <v>45</v>
      </c>
      <c r="C50" s="29" t="s">
        <v>50</v>
      </c>
      <c r="D50" s="29"/>
      <c r="E50" s="29"/>
      <c r="F50" s="29"/>
      <c r="G50" s="64"/>
      <c r="H50" s="81">
        <v>45</v>
      </c>
      <c r="I50" s="82">
        <f t="shared" si="9"/>
        <v>7.7883706260781267</v>
      </c>
      <c r="J50" s="81">
        <f t="shared" si="10"/>
        <v>1</v>
      </c>
      <c r="K50" s="81">
        <f t="shared" si="11"/>
        <v>10</v>
      </c>
      <c r="L50" s="81"/>
      <c r="M50" s="83">
        <f t="shared" si="12"/>
        <v>17.788370626078127</v>
      </c>
      <c r="N50" s="83">
        <f t="shared" si="13"/>
        <v>21.34604475129375</v>
      </c>
      <c r="O50" s="64"/>
      <c r="P50" s="64"/>
      <c r="Q50" s="64"/>
      <c r="R50" s="64"/>
      <c r="S50" s="94"/>
      <c r="T50" s="95"/>
    </row>
    <row r="51" spans="1:20" s="71" customFormat="1" x14ac:dyDescent="0.25">
      <c r="A51" s="110">
        <f t="shared" si="8"/>
        <v>21.053578959976512</v>
      </c>
      <c r="B51" s="34">
        <f t="shared" si="0"/>
        <v>46</v>
      </c>
      <c r="C51" s="35" t="s">
        <v>50</v>
      </c>
      <c r="D51" s="35"/>
      <c r="E51" s="35"/>
      <c r="F51" s="35"/>
      <c r="G51" s="64"/>
      <c r="H51" s="84">
        <v>46</v>
      </c>
      <c r="I51" s="85">
        <f t="shared" si="9"/>
        <v>7.5446491333137615</v>
      </c>
      <c r="J51" s="84">
        <f t="shared" si="10"/>
        <v>1</v>
      </c>
      <c r="K51" s="84">
        <f t="shared" si="11"/>
        <v>10</v>
      </c>
      <c r="L51" s="84"/>
      <c r="M51" s="86">
        <f t="shared" si="12"/>
        <v>17.544649133313762</v>
      </c>
      <c r="N51" s="86">
        <f t="shared" si="13"/>
        <v>21.053578959976512</v>
      </c>
      <c r="O51" s="64"/>
      <c r="P51" s="64"/>
      <c r="Q51" s="64"/>
      <c r="R51" s="64"/>
      <c r="S51" s="64"/>
    </row>
    <row r="52" spans="1:20" s="71" customFormat="1" x14ac:dyDescent="0.25">
      <c r="A52" s="109">
        <f t="shared" si="8"/>
        <v>20.767403245749239</v>
      </c>
      <c r="B52" s="28">
        <f t="shared" si="0"/>
        <v>47</v>
      </c>
      <c r="C52" s="29" t="s">
        <v>50</v>
      </c>
      <c r="D52" s="29"/>
      <c r="E52" s="29"/>
      <c r="F52" s="29"/>
      <c r="G52" s="64"/>
      <c r="H52" s="81">
        <v>47</v>
      </c>
      <c r="I52" s="82">
        <f t="shared" si="9"/>
        <v>7.306169371457699</v>
      </c>
      <c r="J52" s="81">
        <f t="shared" si="10"/>
        <v>1</v>
      </c>
      <c r="K52" s="81">
        <f t="shared" si="11"/>
        <v>10</v>
      </c>
      <c r="L52" s="81"/>
      <c r="M52" s="83">
        <f t="shared" si="12"/>
        <v>17.306169371457699</v>
      </c>
      <c r="N52" s="83">
        <f t="shared" si="13"/>
        <v>20.767403245749239</v>
      </c>
      <c r="O52" s="64"/>
      <c r="P52" s="64"/>
      <c r="Q52" s="64"/>
      <c r="R52" s="64"/>
      <c r="S52" s="94"/>
      <c r="T52" s="95"/>
    </row>
    <row r="53" spans="1:20" s="71" customFormat="1" x14ac:dyDescent="0.25">
      <c r="A53" s="110">
        <f t="shared" si="8"/>
        <v>20.487252733271305</v>
      </c>
      <c r="B53" s="34">
        <f t="shared" si="0"/>
        <v>48</v>
      </c>
      <c r="C53" s="35" t="s">
        <v>50</v>
      </c>
      <c r="D53" s="35"/>
      <c r="E53" s="35"/>
      <c r="F53" s="35"/>
      <c r="G53" s="64"/>
      <c r="H53" s="84">
        <v>48</v>
      </c>
      <c r="I53" s="85">
        <f t="shared" si="9"/>
        <v>7.0727106110594207</v>
      </c>
      <c r="J53" s="84">
        <f t="shared" si="10"/>
        <v>1</v>
      </c>
      <c r="K53" s="84">
        <f t="shared" si="11"/>
        <v>10</v>
      </c>
      <c r="L53" s="84"/>
      <c r="M53" s="86">
        <f t="shared" si="12"/>
        <v>17.072710611059421</v>
      </c>
      <c r="N53" s="86">
        <f t="shared" si="13"/>
        <v>20.487252733271305</v>
      </c>
      <c r="O53" s="64"/>
      <c r="P53" s="64"/>
      <c r="Q53" s="64"/>
      <c r="R53" s="64"/>
      <c r="S53" s="64"/>
    </row>
    <row r="54" spans="1:20" s="71" customFormat="1" x14ac:dyDescent="0.25">
      <c r="A54" s="109">
        <f t="shared" si="8"/>
        <v>20.212878933641218</v>
      </c>
      <c r="B54" s="28">
        <f t="shared" si="0"/>
        <v>49</v>
      </c>
      <c r="C54" s="29" t="s">
        <v>17</v>
      </c>
      <c r="D54" s="29"/>
      <c r="E54" s="29"/>
      <c r="F54" s="29"/>
      <c r="G54" s="64"/>
      <c r="H54" s="81">
        <v>49</v>
      </c>
      <c r="I54" s="82">
        <f t="shared" si="9"/>
        <v>6.8440657780343486</v>
      </c>
      <c r="J54" s="81">
        <f t="shared" si="10"/>
        <v>1</v>
      </c>
      <c r="K54" s="81">
        <f t="shared" si="11"/>
        <v>10</v>
      </c>
      <c r="L54" s="81"/>
      <c r="M54" s="83">
        <f t="shared" si="12"/>
        <v>16.844065778034349</v>
      </c>
      <c r="N54" s="83">
        <f t="shared" si="13"/>
        <v>20.212878933641218</v>
      </c>
      <c r="O54" s="64"/>
      <c r="P54" s="64"/>
      <c r="Q54" s="64"/>
      <c r="R54" s="64"/>
      <c r="S54" s="94"/>
      <c r="T54" s="95"/>
    </row>
    <row r="55" spans="1:20" s="71" customFormat="1" x14ac:dyDescent="0.25">
      <c r="A55" s="110">
        <f t="shared" si="8"/>
        <v>19.944048420005085</v>
      </c>
      <c r="B55" s="34">
        <f t="shared" si="0"/>
        <v>50</v>
      </c>
      <c r="C55" s="35" t="s">
        <v>50</v>
      </c>
      <c r="D55" s="35"/>
      <c r="E55" s="35"/>
      <c r="F55" s="35"/>
      <c r="G55" s="64"/>
      <c r="H55" s="84">
        <v>50</v>
      </c>
      <c r="I55" s="85">
        <f t="shared" si="9"/>
        <v>6.6200403500042384</v>
      </c>
      <c r="J55" s="84">
        <f t="shared" si="10"/>
        <v>1</v>
      </c>
      <c r="K55" s="84">
        <f t="shared" si="11"/>
        <v>10</v>
      </c>
      <c r="L55" s="84"/>
      <c r="M55" s="86">
        <f t="shared" si="12"/>
        <v>16.620040350004238</v>
      </c>
      <c r="N55" s="86">
        <f t="shared" si="13"/>
        <v>19.944048420005085</v>
      </c>
      <c r="O55" s="64"/>
      <c r="P55" s="64"/>
      <c r="Q55" s="64"/>
      <c r="R55" s="64"/>
      <c r="S55" s="64"/>
    </row>
    <row r="56" spans="1:20" s="71" customFormat="1" x14ac:dyDescent="0.25">
      <c r="A56" s="109">
        <f t="shared" si="8"/>
        <v>19.680541634319976</v>
      </c>
      <c r="B56" s="28">
        <f t="shared" si="0"/>
        <v>51</v>
      </c>
      <c r="C56" s="29" t="s">
        <v>50</v>
      </c>
      <c r="D56" s="29"/>
      <c r="E56" s="29"/>
      <c r="F56" s="29"/>
      <c r="G56" s="64"/>
      <c r="H56" s="81">
        <v>51</v>
      </c>
      <c r="I56" s="82">
        <f t="shared" si="9"/>
        <v>6.4004513619333139</v>
      </c>
      <c r="J56" s="81">
        <f t="shared" si="10"/>
        <v>1</v>
      </c>
      <c r="K56" s="81">
        <f t="shared" si="11"/>
        <v>10</v>
      </c>
      <c r="L56" s="81"/>
      <c r="M56" s="83">
        <f t="shared" si="12"/>
        <v>16.400451361933314</v>
      </c>
      <c r="N56" s="83">
        <f t="shared" si="13"/>
        <v>19.680541634319976</v>
      </c>
      <c r="O56" s="64"/>
      <c r="P56" s="64"/>
      <c r="Q56" s="64"/>
      <c r="R56" s="64"/>
      <c r="S56" s="94"/>
      <c r="T56" s="95"/>
    </row>
    <row r="57" spans="1:20" s="71" customFormat="1" x14ac:dyDescent="0.25">
      <c r="A57" s="110">
        <f t="shared" si="8"/>
        <v>19.422151809988446</v>
      </c>
      <c r="B57" s="34">
        <f t="shared" si="0"/>
        <v>52</v>
      </c>
      <c r="C57" s="35" t="s">
        <v>50</v>
      </c>
      <c r="D57" s="35"/>
      <c r="E57" s="35"/>
      <c r="F57" s="35"/>
      <c r="G57" s="64"/>
      <c r="H57" s="84">
        <v>52</v>
      </c>
      <c r="I57" s="85">
        <f t="shared" si="9"/>
        <v>6.1851265083237053</v>
      </c>
      <c r="J57" s="84">
        <f t="shared" si="10"/>
        <v>1</v>
      </c>
      <c r="K57" s="84">
        <f t="shared" si="11"/>
        <v>10</v>
      </c>
      <c r="L57" s="84"/>
      <c r="M57" s="86">
        <f t="shared" si="12"/>
        <v>16.185126508323705</v>
      </c>
      <c r="N57" s="86">
        <f t="shared" si="13"/>
        <v>19.422151809988446</v>
      </c>
      <c r="O57" s="64"/>
      <c r="P57" s="64"/>
      <c r="Q57" s="64"/>
      <c r="R57" s="64"/>
      <c r="S57" s="64"/>
    </row>
    <row r="58" spans="1:20" s="71" customFormat="1" x14ac:dyDescent="0.25">
      <c r="A58" s="109">
        <f t="shared" si="8"/>
        <v>19.168683997119018</v>
      </c>
      <c r="B58" s="28">
        <f t="shared" si="0"/>
        <v>53</v>
      </c>
      <c r="C58" s="29" t="s">
        <v>50</v>
      </c>
      <c r="D58" s="29"/>
      <c r="E58" s="29"/>
      <c r="F58" s="29"/>
      <c r="G58" s="64"/>
      <c r="H58" s="81">
        <v>53</v>
      </c>
      <c r="I58" s="82">
        <f t="shared" si="9"/>
        <v>5.9739033309325151</v>
      </c>
      <c r="J58" s="81">
        <f t="shared" si="10"/>
        <v>1</v>
      </c>
      <c r="K58" s="81">
        <f t="shared" si="11"/>
        <v>10</v>
      </c>
      <c r="L58" s="81"/>
      <c r="M58" s="83">
        <f t="shared" si="12"/>
        <v>15.973903330932515</v>
      </c>
      <c r="N58" s="83">
        <f t="shared" si="13"/>
        <v>19.168683997119018</v>
      </c>
      <c r="O58" s="64"/>
      <c r="P58" s="64"/>
      <c r="Q58" s="64"/>
      <c r="R58" s="64"/>
      <c r="S58" s="94"/>
      <c r="T58" s="95"/>
    </row>
    <row r="59" spans="1:20" s="71" customFormat="1" x14ac:dyDescent="0.25">
      <c r="A59" s="110">
        <f t="shared" si="8"/>
        <v>18.91995417890033</v>
      </c>
      <c r="B59" s="34">
        <f t="shared" si="0"/>
        <v>54</v>
      </c>
      <c r="C59" s="35" t="s">
        <v>50</v>
      </c>
      <c r="D59" s="35"/>
      <c r="E59" s="35"/>
      <c r="F59" s="35"/>
      <c r="G59" s="64"/>
      <c r="H59" s="84">
        <v>54</v>
      </c>
      <c r="I59" s="85">
        <f t="shared" si="9"/>
        <v>5.7666284824169409</v>
      </c>
      <c r="J59" s="84">
        <f t="shared" si="10"/>
        <v>1</v>
      </c>
      <c r="K59" s="84">
        <f t="shared" si="11"/>
        <v>10</v>
      </c>
      <c r="L59" s="84"/>
      <c r="M59" s="86">
        <f t="shared" si="12"/>
        <v>15.766628482416941</v>
      </c>
      <c r="N59" s="86">
        <f t="shared" si="13"/>
        <v>18.91995417890033</v>
      </c>
      <c r="O59" s="64"/>
      <c r="P59" s="64"/>
      <c r="Q59" s="64"/>
      <c r="R59" s="64"/>
      <c r="S59" s="64"/>
    </row>
    <row r="60" spans="1:20" s="71" customFormat="1" x14ac:dyDescent="0.25">
      <c r="A60" s="109">
        <f t="shared" si="8"/>
        <v>18.675788469056375</v>
      </c>
      <c r="B60" s="28">
        <f t="shared" si="0"/>
        <v>55</v>
      </c>
      <c r="C60" s="29" t="s">
        <v>50</v>
      </c>
      <c r="D60" s="29"/>
      <c r="E60" s="29"/>
      <c r="F60" s="29"/>
      <c r="G60" s="64"/>
      <c r="H60" s="81">
        <v>55</v>
      </c>
      <c r="I60" s="82">
        <f t="shared" si="9"/>
        <v>5.5631570575469809</v>
      </c>
      <c r="J60" s="81">
        <f t="shared" si="10"/>
        <v>1</v>
      </c>
      <c r="K60" s="81">
        <f t="shared" si="11"/>
        <v>10</v>
      </c>
      <c r="L60" s="81"/>
      <c r="M60" s="83">
        <f t="shared" si="12"/>
        <v>15.563157057546981</v>
      </c>
      <c r="N60" s="83">
        <f t="shared" si="13"/>
        <v>18.675788469056375</v>
      </c>
      <c r="O60" s="64"/>
      <c r="P60" s="64"/>
      <c r="Q60" s="64"/>
      <c r="R60" s="64"/>
      <c r="S60" s="94"/>
      <c r="T60" s="95"/>
    </row>
    <row r="61" spans="1:20" s="71" customFormat="1" x14ac:dyDescent="0.25">
      <c r="A61" s="110">
        <f t="shared" si="8"/>
        <v>18.436022381615217</v>
      </c>
      <c r="B61" s="34">
        <f t="shared" si="0"/>
        <v>56</v>
      </c>
      <c r="C61" s="35" t="s">
        <v>50</v>
      </c>
      <c r="D61" s="35"/>
      <c r="E61" s="35"/>
      <c r="F61" s="35"/>
      <c r="G61" s="64"/>
      <c r="H61" s="84">
        <v>56</v>
      </c>
      <c r="I61" s="85">
        <f t="shared" si="9"/>
        <v>5.3633519846793476</v>
      </c>
      <c r="J61" s="84">
        <f t="shared" si="10"/>
        <v>1</v>
      </c>
      <c r="K61" s="84">
        <f t="shared" si="11"/>
        <v>10</v>
      </c>
      <c r="L61" s="84"/>
      <c r="M61" s="86">
        <f t="shared" si="12"/>
        <v>15.363351984679348</v>
      </c>
      <c r="N61" s="86">
        <f t="shared" si="13"/>
        <v>18.436022381615217</v>
      </c>
      <c r="O61" s="64"/>
      <c r="P61" s="64"/>
      <c r="Q61" s="64"/>
      <c r="R61" s="64"/>
      <c r="S61" s="64"/>
    </row>
    <row r="62" spans="1:20" s="71" customFormat="1" x14ac:dyDescent="0.25">
      <c r="A62" s="109">
        <f t="shared" si="8"/>
        <v>18.200500165310672</v>
      </c>
      <c r="B62" s="28">
        <f t="shared" si="0"/>
        <v>57</v>
      </c>
      <c r="C62" s="29" t="s">
        <v>50</v>
      </c>
      <c r="D62" s="29"/>
      <c r="E62" s="29"/>
      <c r="F62" s="29"/>
      <c r="G62" s="64"/>
      <c r="H62" s="81">
        <v>57</v>
      </c>
      <c r="I62" s="82">
        <f t="shared" si="9"/>
        <v>5.1670834710922264</v>
      </c>
      <c r="J62" s="81">
        <f t="shared" si="10"/>
        <v>1</v>
      </c>
      <c r="K62" s="81">
        <f t="shared" si="11"/>
        <v>10</v>
      </c>
      <c r="L62" s="81"/>
      <c r="M62" s="83">
        <f t="shared" si="12"/>
        <v>15.167083471092226</v>
      </c>
      <c r="N62" s="83">
        <f t="shared" si="13"/>
        <v>18.200500165310672</v>
      </c>
      <c r="O62" s="64"/>
      <c r="P62" s="64"/>
      <c r="Q62" s="64"/>
      <c r="R62" s="64"/>
      <c r="S62" s="94"/>
      <c r="T62" s="95"/>
    </row>
    <row r="63" spans="1:20" s="71" customFormat="1" x14ac:dyDescent="0.25">
      <c r="A63" s="110">
        <f t="shared" si="8"/>
        <v>17.969074195871183</v>
      </c>
      <c r="B63" s="34">
        <f t="shared" si="0"/>
        <v>58</v>
      </c>
      <c r="C63" s="35" t="s">
        <v>50</v>
      </c>
      <c r="D63" s="35"/>
      <c r="E63" s="35"/>
      <c r="F63" s="35"/>
      <c r="G63" s="64"/>
      <c r="H63" s="84">
        <v>58</v>
      </c>
      <c r="I63" s="85">
        <f t="shared" si="9"/>
        <v>4.97422849655932</v>
      </c>
      <c r="J63" s="84">
        <f t="shared" si="10"/>
        <v>1</v>
      </c>
      <c r="K63" s="84">
        <f t="shared" si="11"/>
        <v>10</v>
      </c>
      <c r="L63" s="84"/>
      <c r="M63" s="86">
        <f t="shared" si="12"/>
        <v>14.97422849655932</v>
      </c>
      <c r="N63" s="86">
        <f t="shared" si="13"/>
        <v>17.969074195871183</v>
      </c>
      <c r="O63" s="64"/>
      <c r="P63" s="64"/>
      <c r="Q63" s="64"/>
      <c r="R63" s="64"/>
      <c r="S63" s="64"/>
    </row>
    <row r="64" spans="1:20" s="71" customFormat="1" x14ac:dyDescent="0.25">
      <c r="A64" s="109">
        <f t="shared" si="8"/>
        <v>17.74160442025779</v>
      </c>
      <c r="B64" s="28">
        <f t="shared" si="0"/>
        <v>59</v>
      </c>
      <c r="C64" s="29" t="s">
        <v>50</v>
      </c>
      <c r="D64" s="29"/>
      <c r="E64" s="29"/>
      <c r="F64" s="29"/>
      <c r="G64" s="64"/>
      <c r="H64" s="81">
        <v>59</v>
      </c>
      <c r="I64" s="82">
        <f t="shared" si="9"/>
        <v>4.7846703502148245</v>
      </c>
      <c r="J64" s="81">
        <f t="shared" si="10"/>
        <v>1</v>
      </c>
      <c r="K64" s="81">
        <f t="shared" si="11"/>
        <v>10</v>
      </c>
      <c r="L64" s="81"/>
      <c r="M64" s="83">
        <f t="shared" si="12"/>
        <v>14.784670350214824</v>
      </c>
      <c r="N64" s="83">
        <f t="shared" si="13"/>
        <v>17.74160442025779</v>
      </c>
      <c r="O64" s="64"/>
      <c r="P64" s="64"/>
      <c r="Q64" s="64"/>
      <c r="R64" s="64"/>
      <c r="S64" s="94"/>
      <c r="T64" s="95"/>
    </row>
    <row r="65" spans="1:20" s="71" customFormat="1" x14ac:dyDescent="0.25">
      <c r="A65" s="110">
        <f t="shared" si="8"/>
        <v>17.517957847611672</v>
      </c>
      <c r="B65" s="34">
        <f t="shared" si="0"/>
        <v>60</v>
      </c>
      <c r="C65" s="35" t="s">
        <v>50</v>
      </c>
      <c r="D65" s="35"/>
      <c r="E65" s="35"/>
      <c r="F65" s="35"/>
      <c r="G65" s="64"/>
      <c r="H65" s="84">
        <v>60</v>
      </c>
      <c r="I65" s="85">
        <f t="shared" si="9"/>
        <v>4.5982982063430597</v>
      </c>
      <c r="J65" s="84">
        <f t="shared" si="10"/>
        <v>1</v>
      </c>
      <c r="K65" s="84">
        <f t="shared" si="11"/>
        <v>10</v>
      </c>
      <c r="L65" s="84"/>
      <c r="M65" s="86">
        <f t="shared" si="12"/>
        <v>14.59829820634306</v>
      </c>
      <c r="N65" s="86">
        <f t="shared" si="13"/>
        <v>17.517957847611672</v>
      </c>
      <c r="O65" s="64"/>
      <c r="P65" s="64"/>
      <c r="Q65" s="64"/>
      <c r="R65" s="64"/>
      <c r="S65" s="64"/>
    </row>
    <row r="66" spans="1:20" s="71" customFormat="1" x14ac:dyDescent="0.25">
      <c r="A66" s="109">
        <f t="shared" si="8"/>
        <v>17.298008082278123</v>
      </c>
      <c r="B66" s="28">
        <f t="shared" si="0"/>
        <v>61</v>
      </c>
      <c r="C66" s="29" t="s">
        <v>50</v>
      </c>
      <c r="D66" s="29"/>
      <c r="E66" s="29"/>
      <c r="F66" s="29"/>
      <c r="G66" s="64"/>
      <c r="H66" s="81">
        <v>61</v>
      </c>
      <c r="I66" s="82">
        <f t="shared" si="9"/>
        <v>4.4150067352317706</v>
      </c>
      <c r="J66" s="81">
        <f t="shared" si="10"/>
        <v>1</v>
      </c>
      <c r="K66" s="81">
        <f t="shared" si="11"/>
        <v>10</v>
      </c>
      <c r="L66" s="81"/>
      <c r="M66" s="83">
        <f t="shared" si="12"/>
        <v>14.415006735231771</v>
      </c>
      <c r="N66" s="83">
        <f t="shared" si="13"/>
        <v>17.298008082278123</v>
      </c>
      <c r="O66" s="64"/>
      <c r="P66" s="64"/>
      <c r="Q66" s="64"/>
      <c r="R66" s="64"/>
      <c r="S66" s="94"/>
      <c r="T66" s="95"/>
    </row>
    <row r="67" spans="1:20" s="71" customFormat="1" x14ac:dyDescent="0.25">
      <c r="A67" s="110">
        <f t="shared" si="8"/>
        <v>17.081634894801368</v>
      </c>
      <c r="B67" s="34">
        <f t="shared" si="0"/>
        <v>62</v>
      </c>
      <c r="C67" s="35" t="s">
        <v>50</v>
      </c>
      <c r="D67" s="35"/>
      <c r="E67" s="35"/>
      <c r="F67" s="35"/>
      <c r="G67" s="64"/>
      <c r="H67" s="84">
        <v>62</v>
      </c>
      <c r="I67" s="85">
        <f t="shared" si="9"/>
        <v>4.2346957456678069</v>
      </c>
      <c r="J67" s="84">
        <f t="shared" si="10"/>
        <v>1</v>
      </c>
      <c r="K67" s="84">
        <f t="shared" si="11"/>
        <v>10</v>
      </c>
      <c r="L67" s="84"/>
      <c r="M67" s="86">
        <f t="shared" si="12"/>
        <v>14.234695745667807</v>
      </c>
      <c r="N67" s="86">
        <f t="shared" si="13"/>
        <v>17.081634894801368</v>
      </c>
      <c r="O67" s="64"/>
      <c r="P67" s="64"/>
      <c r="Q67" s="64"/>
      <c r="R67" s="64"/>
      <c r="S67" s="64"/>
    </row>
    <row r="68" spans="1:20" s="71" customFormat="1" x14ac:dyDescent="0.25">
      <c r="A68" s="109">
        <f t="shared" si="8"/>
        <v>16.868723827244249</v>
      </c>
      <c r="B68" s="28">
        <f t="shared" si="0"/>
        <v>63</v>
      </c>
      <c r="C68" s="29" t="s">
        <v>50</v>
      </c>
      <c r="D68" s="29"/>
      <c r="E68" s="29"/>
      <c r="F68" s="29"/>
      <c r="G68" s="64"/>
      <c r="H68" s="81">
        <v>63</v>
      </c>
      <c r="I68" s="82">
        <f t="shared" si="9"/>
        <v>4.057269856036875</v>
      </c>
      <c r="J68" s="81">
        <f t="shared" si="10"/>
        <v>1</v>
      </c>
      <c r="K68" s="81">
        <f t="shared" si="11"/>
        <v>10</v>
      </c>
      <c r="L68" s="81"/>
      <c r="M68" s="83">
        <f t="shared" si="12"/>
        <v>14.057269856036875</v>
      </c>
      <c r="N68" s="83">
        <f t="shared" si="13"/>
        <v>16.868723827244249</v>
      </c>
      <c r="O68" s="64"/>
      <c r="P68" s="64"/>
      <c r="Q68" s="64"/>
      <c r="R68" s="64"/>
      <c r="S68" s="94"/>
      <c r="T68" s="95"/>
    </row>
    <row r="69" spans="1:20" s="71" customFormat="1" x14ac:dyDescent="0.25">
      <c r="A69" s="110">
        <f t="shared" si="8"/>
        <v>16.659165829589224</v>
      </c>
      <c r="B69" s="34">
        <f t="shared" si="0"/>
        <v>64</v>
      </c>
      <c r="C69" s="35" t="s">
        <v>50</v>
      </c>
      <c r="D69" s="35"/>
      <c r="E69" s="35"/>
      <c r="F69" s="35"/>
      <c r="G69" s="64"/>
      <c r="H69" s="84">
        <v>64</v>
      </c>
      <c r="I69" s="85">
        <f t="shared" si="9"/>
        <v>3.8826381913243537</v>
      </c>
      <c r="J69" s="84">
        <f t="shared" si="10"/>
        <v>1</v>
      </c>
      <c r="K69" s="84">
        <f t="shared" si="11"/>
        <v>10</v>
      </c>
      <c r="L69" s="84"/>
      <c r="M69" s="86">
        <f t="shared" si="12"/>
        <v>13.882638191324354</v>
      </c>
      <c r="N69" s="86">
        <f t="shared" si="13"/>
        <v>16.659165829589224</v>
      </c>
      <c r="O69" s="64"/>
      <c r="P69" s="64"/>
      <c r="Q69" s="64"/>
      <c r="R69" s="64"/>
      <c r="S69" s="64"/>
    </row>
    <row r="70" spans="1:20" s="71" customFormat="1" x14ac:dyDescent="0.25">
      <c r="A70" s="109">
        <f t="shared" si="8"/>
        <v>4.4528569243288132</v>
      </c>
      <c r="B70" s="28">
        <f t="shared" ref="B70:B110" si="14">IF(H70&gt;$H$2,"",(ROW()-5))</f>
        <v>65</v>
      </c>
      <c r="C70" s="29" t="s">
        <v>50</v>
      </c>
      <c r="D70" s="29"/>
      <c r="E70" s="29"/>
      <c r="F70" s="29"/>
      <c r="G70" s="64"/>
      <c r="H70" s="81">
        <v>65</v>
      </c>
      <c r="I70" s="82">
        <f t="shared" si="9"/>
        <v>3.7107141036073443</v>
      </c>
      <c r="J70" s="81">
        <f t="shared" si="10"/>
        <v>0</v>
      </c>
      <c r="K70" s="81">
        <f t="shared" si="11"/>
        <v>0</v>
      </c>
      <c r="L70" s="81"/>
      <c r="M70" s="83">
        <f t="shared" si="12"/>
        <v>3.7107141036073443</v>
      </c>
      <c r="N70" s="83">
        <f t="shared" si="13"/>
        <v>4.4528569243288132</v>
      </c>
      <c r="O70" s="64"/>
      <c r="P70" s="64"/>
      <c r="Q70" s="64"/>
      <c r="R70" s="64"/>
      <c r="S70" s="94"/>
      <c r="T70" s="95"/>
    </row>
    <row r="71" spans="1:20" s="71" customFormat="1" x14ac:dyDescent="0.25">
      <c r="A71" s="110">
        <f t="shared" si="8"/>
        <v>4.2496978966629539</v>
      </c>
      <c r="B71" s="34">
        <f t="shared" si="14"/>
        <v>66</v>
      </c>
      <c r="C71" s="35" t="s">
        <v>50</v>
      </c>
      <c r="D71" s="35"/>
      <c r="E71" s="35"/>
      <c r="F71" s="35"/>
      <c r="G71" s="64"/>
      <c r="H71" s="84">
        <v>66</v>
      </c>
      <c r="I71" s="85">
        <f t="shared" si="9"/>
        <v>3.5414149138857951</v>
      </c>
      <c r="J71" s="84">
        <f t="shared" si="10"/>
        <v>0</v>
      </c>
      <c r="K71" s="84">
        <f t="shared" si="11"/>
        <v>0</v>
      </c>
      <c r="L71" s="84"/>
      <c r="M71" s="86">
        <f t="shared" si="12"/>
        <v>3.5414149138857951</v>
      </c>
      <c r="N71" s="86">
        <f t="shared" si="13"/>
        <v>4.2496978966629539</v>
      </c>
      <c r="O71" s="64"/>
      <c r="P71" s="64"/>
      <c r="Q71" s="64"/>
      <c r="R71" s="64"/>
      <c r="S71" s="64"/>
    </row>
    <row r="72" spans="1:20" s="71" customFormat="1" x14ac:dyDescent="0.25">
      <c r="A72" s="109">
        <f t="shared" si="8"/>
        <v>4.0495940079925079</v>
      </c>
      <c r="B72" s="28">
        <f t="shared" si="14"/>
        <v>67</v>
      </c>
      <c r="C72" s="29" t="s">
        <v>50</v>
      </c>
      <c r="D72" s="29"/>
      <c r="E72" s="29"/>
      <c r="F72" s="29"/>
      <c r="G72" s="64"/>
      <c r="H72" s="81">
        <v>67</v>
      </c>
      <c r="I72" s="82">
        <f t="shared" si="9"/>
        <v>3.3746616733270898</v>
      </c>
      <c r="J72" s="81">
        <f t="shared" si="10"/>
        <v>0</v>
      </c>
      <c r="K72" s="81">
        <f t="shared" si="11"/>
        <v>0</v>
      </c>
      <c r="L72" s="81"/>
      <c r="M72" s="83">
        <f t="shared" si="12"/>
        <v>3.3746616733270898</v>
      </c>
      <c r="N72" s="83">
        <f t="shared" si="13"/>
        <v>4.0495940079925079</v>
      </c>
      <c r="O72" s="64"/>
      <c r="P72" s="64"/>
      <c r="Q72" s="64"/>
      <c r="R72" s="64"/>
      <c r="S72" s="94"/>
      <c r="T72" s="95"/>
    </row>
    <row r="73" spans="1:20" s="71" customFormat="1" x14ac:dyDescent="0.25">
      <c r="A73" s="110">
        <f t="shared" si="8"/>
        <v>3.8524547306378878</v>
      </c>
      <c r="B73" s="34">
        <f t="shared" si="14"/>
        <v>68</v>
      </c>
      <c r="C73" s="35" t="s">
        <v>50</v>
      </c>
      <c r="D73" s="35"/>
      <c r="E73" s="35"/>
      <c r="F73" s="35"/>
      <c r="G73" s="64"/>
      <c r="H73" s="84">
        <v>68</v>
      </c>
      <c r="I73" s="85">
        <f t="shared" si="9"/>
        <v>3.2103789421982398</v>
      </c>
      <c r="J73" s="84">
        <f t="shared" si="10"/>
        <v>0</v>
      </c>
      <c r="K73" s="84">
        <f t="shared" si="11"/>
        <v>0</v>
      </c>
      <c r="L73" s="84"/>
      <c r="M73" s="86">
        <f t="shared" si="12"/>
        <v>3.2103789421982398</v>
      </c>
      <c r="N73" s="86">
        <f t="shared" si="13"/>
        <v>3.8524547306378878</v>
      </c>
      <c r="O73" s="64"/>
      <c r="P73" s="64"/>
      <c r="Q73" s="64"/>
      <c r="R73" s="64"/>
      <c r="S73" s="64"/>
    </row>
    <row r="74" spans="1:20" s="71" customFormat="1" x14ac:dyDescent="0.25">
      <c r="A74" s="109">
        <f t="shared" si="8"/>
        <v>3.6581935019234662</v>
      </c>
      <c r="B74" s="28">
        <f t="shared" si="14"/>
        <v>69</v>
      </c>
      <c r="C74" s="29" t="s">
        <v>50</v>
      </c>
      <c r="D74" s="29"/>
      <c r="E74" s="29"/>
      <c r="F74" s="29"/>
      <c r="G74" s="64"/>
      <c r="H74" s="81">
        <v>69</v>
      </c>
      <c r="I74" s="82">
        <f t="shared" si="9"/>
        <v>3.0484945849362219</v>
      </c>
      <c r="J74" s="81">
        <f t="shared" si="10"/>
        <v>0</v>
      </c>
      <c r="K74" s="81">
        <f t="shared" si="11"/>
        <v>0</v>
      </c>
      <c r="L74" s="81"/>
      <c r="M74" s="83">
        <f t="shared" si="12"/>
        <v>3.0484945849362219</v>
      </c>
      <c r="N74" s="83">
        <f t="shared" si="13"/>
        <v>3.6581935019234662</v>
      </c>
      <c r="O74" s="64"/>
      <c r="P74" s="64"/>
      <c r="Q74" s="64"/>
      <c r="R74" s="64"/>
      <c r="S74" s="94"/>
      <c r="T74" s="95"/>
    </row>
    <row r="75" spans="1:20" s="71" customFormat="1" x14ac:dyDescent="0.25">
      <c r="A75" s="110">
        <f t="shared" si="8"/>
        <v>3.4667274959555838</v>
      </c>
      <c r="B75" s="34">
        <f t="shared" si="14"/>
        <v>70</v>
      </c>
      <c r="C75" s="35" t="s">
        <v>50</v>
      </c>
      <c r="D75" s="35"/>
      <c r="E75" s="35"/>
      <c r="F75" s="35"/>
      <c r="G75" s="64"/>
      <c r="H75" s="84">
        <v>70</v>
      </c>
      <c r="I75" s="85">
        <f t="shared" si="9"/>
        <v>2.8889395799629867</v>
      </c>
      <c r="J75" s="84">
        <f t="shared" si="10"/>
        <v>0</v>
      </c>
      <c r="K75" s="84">
        <f t="shared" si="11"/>
        <v>0</v>
      </c>
      <c r="L75" s="84"/>
      <c r="M75" s="86">
        <f t="shared" si="12"/>
        <v>2.8889395799629867</v>
      </c>
      <c r="N75" s="86">
        <f t="shared" si="13"/>
        <v>3.4667274959555838</v>
      </c>
      <c r="O75" s="64"/>
      <c r="P75" s="64"/>
      <c r="Q75" s="64"/>
      <c r="R75" s="64"/>
      <c r="S75" s="64"/>
    </row>
    <row r="76" spans="1:20" s="71" customFormat="1" x14ac:dyDescent="0.25">
      <c r="A76" s="109">
        <f t="shared" si="8"/>
        <v>3.2779774115883411</v>
      </c>
      <c r="B76" s="28">
        <f t="shared" si="14"/>
        <v>71</v>
      </c>
      <c r="C76" s="29" t="s">
        <v>50</v>
      </c>
      <c r="D76" s="29"/>
      <c r="E76" s="29"/>
      <c r="F76" s="29"/>
      <c r="G76" s="64"/>
      <c r="H76" s="81">
        <v>71</v>
      </c>
      <c r="I76" s="82">
        <f t="shared" si="9"/>
        <v>2.7316478429902844</v>
      </c>
      <c r="J76" s="81">
        <f t="shared" si="10"/>
        <v>0</v>
      </c>
      <c r="K76" s="81">
        <f t="shared" si="11"/>
        <v>0</v>
      </c>
      <c r="L76" s="81"/>
      <c r="M76" s="83">
        <f t="shared" si="12"/>
        <v>2.7316478429902844</v>
      </c>
      <c r="N76" s="83">
        <f t="shared" si="13"/>
        <v>3.2779774115883411</v>
      </c>
      <c r="O76" s="64"/>
      <c r="P76" s="64"/>
      <c r="Q76" s="64"/>
      <c r="R76" s="64"/>
      <c r="S76" s="94"/>
      <c r="T76" s="95"/>
    </row>
    <row r="77" spans="1:20" s="71" customFormat="1" x14ac:dyDescent="0.25">
      <c r="A77" s="110">
        <f t="shared" si="8"/>
        <v>3.0918672752182488</v>
      </c>
      <c r="B77" s="34">
        <f t="shared" si="14"/>
        <v>72</v>
      </c>
      <c r="C77" s="35" t="s">
        <v>50</v>
      </c>
      <c r="D77" s="35"/>
      <c r="E77" s="35"/>
      <c r="F77" s="35"/>
      <c r="G77" s="64"/>
      <c r="H77" s="84">
        <v>72</v>
      </c>
      <c r="I77" s="85">
        <f t="shared" si="9"/>
        <v>2.576556062681874</v>
      </c>
      <c r="J77" s="84">
        <f t="shared" si="10"/>
        <v>0</v>
      </c>
      <c r="K77" s="84">
        <f t="shared" si="11"/>
        <v>0</v>
      </c>
      <c r="L77" s="84"/>
      <c r="M77" s="86">
        <f t="shared" si="12"/>
        <v>2.576556062681874</v>
      </c>
      <c r="N77" s="86">
        <f t="shared" si="13"/>
        <v>3.0918672752182488</v>
      </c>
      <c r="O77" s="64"/>
      <c r="P77" s="64"/>
      <c r="Q77" s="64"/>
      <c r="R77" s="64"/>
      <c r="S77" s="64"/>
    </row>
    <row r="78" spans="1:20" s="71" customFormat="1" x14ac:dyDescent="0.25">
      <c r="A78" s="109">
        <f t="shared" si="8"/>
        <v>2.9083242571808228</v>
      </c>
      <c r="B78" s="28">
        <f t="shared" si="14"/>
        <v>73</v>
      </c>
      <c r="C78" s="29" t="s">
        <v>50</v>
      </c>
      <c r="D78" s="29"/>
      <c r="E78" s="29"/>
      <c r="F78" s="29"/>
      <c r="G78" s="64"/>
      <c r="H78" s="81">
        <v>73</v>
      </c>
      <c r="I78" s="82">
        <f t="shared" si="9"/>
        <v>2.4236035476506856</v>
      </c>
      <c r="J78" s="81">
        <f t="shared" si="10"/>
        <v>0</v>
      </c>
      <c r="K78" s="81">
        <f t="shared" si="11"/>
        <v>0</v>
      </c>
      <c r="L78" s="81"/>
      <c r="M78" s="83">
        <f t="shared" si="12"/>
        <v>2.4236035476506856</v>
      </c>
      <c r="N78" s="83">
        <f t="shared" si="13"/>
        <v>2.9083242571808228</v>
      </c>
      <c r="O78" s="64"/>
      <c r="P78" s="64"/>
      <c r="Q78" s="64"/>
      <c r="R78" s="64"/>
      <c r="S78" s="94"/>
      <c r="T78" s="95"/>
    </row>
    <row r="79" spans="1:20" s="71" customFormat="1" x14ac:dyDescent="0.25">
      <c r="A79" s="110">
        <f t="shared" si="8"/>
        <v>2.7272785006381981</v>
      </c>
      <c r="B79" s="34">
        <f t="shared" si="14"/>
        <v>74</v>
      </c>
      <c r="C79" s="35" t="s">
        <v>50</v>
      </c>
      <c r="D79" s="35"/>
      <c r="E79" s="35"/>
      <c r="F79" s="35"/>
      <c r="G79" s="64"/>
      <c r="H79" s="84">
        <v>74</v>
      </c>
      <c r="I79" s="85">
        <f t="shared" si="9"/>
        <v>2.272732083865165</v>
      </c>
      <c r="J79" s="84">
        <f t="shared" si="10"/>
        <v>0</v>
      </c>
      <c r="K79" s="84">
        <f t="shared" si="11"/>
        <v>0</v>
      </c>
      <c r="L79" s="84"/>
      <c r="M79" s="86">
        <f t="shared" si="12"/>
        <v>2.272732083865165</v>
      </c>
      <c r="N79" s="86">
        <f t="shared" si="13"/>
        <v>2.7272785006381981</v>
      </c>
      <c r="O79" s="64"/>
      <c r="P79" s="64"/>
      <c r="Q79" s="64"/>
      <c r="R79" s="64"/>
      <c r="S79" s="64"/>
    </row>
    <row r="80" spans="1:20" s="71" customFormat="1" x14ac:dyDescent="0.25">
      <c r="A80" s="109">
        <f t="shared" si="8"/>
        <v>2.5486629619520387</v>
      </c>
      <c r="B80" s="28">
        <f t="shared" si="14"/>
        <v>75</v>
      </c>
      <c r="C80" s="29" t="s">
        <v>50</v>
      </c>
      <c r="D80" s="29"/>
      <c r="E80" s="29"/>
      <c r="F80" s="29"/>
      <c r="G80" s="64"/>
      <c r="H80" s="81">
        <v>75</v>
      </c>
      <c r="I80" s="82">
        <f t="shared" si="9"/>
        <v>2.1238858016266988</v>
      </c>
      <c r="J80" s="81">
        <f t="shared" si="10"/>
        <v>0</v>
      </c>
      <c r="K80" s="81">
        <f t="shared" si="11"/>
        <v>0</v>
      </c>
      <c r="L80" s="81"/>
      <c r="M80" s="83">
        <f t="shared" si="12"/>
        <v>2.1238858016266988</v>
      </c>
      <c r="N80" s="83">
        <f t="shared" si="13"/>
        <v>2.5486629619520387</v>
      </c>
      <c r="O80" s="64"/>
      <c r="P80" s="64"/>
      <c r="Q80" s="64"/>
      <c r="R80" s="64"/>
      <c r="S80" s="94"/>
      <c r="T80" s="95"/>
    </row>
    <row r="81" spans="1:20" s="71" customFormat="1" x14ac:dyDescent="0.25">
      <c r="A81" s="110">
        <f t="shared" si="8"/>
        <v>2.3724132616286</v>
      </c>
      <c r="B81" s="34">
        <f t="shared" si="14"/>
        <v>76</v>
      </c>
      <c r="C81" s="35" t="s">
        <v>50</v>
      </c>
      <c r="D81" s="35"/>
      <c r="E81" s="35"/>
      <c r="F81" s="35"/>
      <c r="G81" s="64"/>
      <c r="H81" s="84">
        <v>76</v>
      </c>
      <c r="I81" s="85">
        <f t="shared" si="9"/>
        <v>1.9770110513571666</v>
      </c>
      <c r="J81" s="84">
        <f t="shared" si="10"/>
        <v>0</v>
      </c>
      <c r="K81" s="84">
        <f t="shared" si="11"/>
        <v>0</v>
      </c>
      <c r="L81" s="84"/>
      <c r="M81" s="86">
        <f t="shared" si="12"/>
        <v>1.9770110513571666</v>
      </c>
      <c r="N81" s="86">
        <f t="shared" si="13"/>
        <v>2.3724132616286</v>
      </c>
      <c r="O81" s="64"/>
      <c r="P81" s="64"/>
      <c r="Q81" s="64"/>
      <c r="R81" s="64"/>
      <c r="S81" s="64"/>
    </row>
    <row r="82" spans="1:20" s="71" customFormat="1" x14ac:dyDescent="0.25">
      <c r="A82" s="109">
        <f t="shared" si="8"/>
        <v>2.1984675450068747</v>
      </c>
      <c r="B82" s="28">
        <f t="shared" si="14"/>
        <v>77</v>
      </c>
      <c r="C82" s="29" t="s">
        <v>50</v>
      </c>
      <c r="D82" s="29"/>
      <c r="E82" s="29"/>
      <c r="F82" s="29"/>
      <c r="G82" s="64"/>
      <c r="H82" s="81">
        <v>77</v>
      </c>
      <c r="I82" s="82">
        <f t="shared" si="9"/>
        <v>1.8320562875057291</v>
      </c>
      <c r="J82" s="81">
        <f t="shared" si="10"/>
        <v>0</v>
      </c>
      <c r="K82" s="81">
        <f t="shared" si="11"/>
        <v>0</v>
      </c>
      <c r="L82" s="81"/>
      <c r="M82" s="83">
        <f t="shared" si="12"/>
        <v>1.8320562875057291</v>
      </c>
      <c r="N82" s="83">
        <f t="shared" si="13"/>
        <v>2.1984675450068747</v>
      </c>
      <c r="O82" s="64"/>
      <c r="P82" s="64"/>
      <c r="Q82" s="64"/>
      <c r="R82" s="64"/>
      <c r="S82" s="94"/>
      <c r="T82" s="95"/>
    </row>
    <row r="83" spans="1:20" s="71" customFormat="1" x14ac:dyDescent="0.25">
      <c r="A83" s="110">
        <f t="shared" si="8"/>
        <v>2.0267663519353989</v>
      </c>
      <c r="B83" s="34">
        <f t="shared" si="14"/>
        <v>78</v>
      </c>
      <c r="C83" s="35" t="s">
        <v>50</v>
      </c>
      <c r="D83" s="35"/>
      <c r="E83" s="35"/>
      <c r="F83" s="35"/>
      <c r="G83" s="64"/>
      <c r="H83" s="84">
        <v>78</v>
      </c>
      <c r="I83" s="85">
        <f t="shared" si="9"/>
        <v>1.6889719599461657</v>
      </c>
      <c r="J83" s="84">
        <f t="shared" si="10"/>
        <v>0</v>
      </c>
      <c r="K83" s="84">
        <f t="shared" si="11"/>
        <v>0</v>
      </c>
      <c r="L83" s="84"/>
      <c r="M83" s="86">
        <f t="shared" si="12"/>
        <v>1.6889719599461657</v>
      </c>
      <c r="N83" s="86">
        <f t="shared" si="13"/>
        <v>2.0267663519353989</v>
      </c>
      <c r="O83" s="64"/>
      <c r="P83" s="64"/>
      <c r="Q83" s="64"/>
      <c r="R83" s="64"/>
      <c r="S83" s="64"/>
    </row>
    <row r="84" spans="1:20" s="71" customFormat="1" x14ac:dyDescent="0.25">
      <c r="A84" s="109">
        <f t="shared" si="8"/>
        <v>1.8572524947504916</v>
      </c>
      <c r="B84" s="28">
        <f t="shared" si="14"/>
        <v>79</v>
      </c>
      <c r="C84" s="29" t="s">
        <v>50</v>
      </c>
      <c r="D84" s="29"/>
      <c r="E84" s="29"/>
      <c r="F84" s="29"/>
      <c r="G84" s="64"/>
      <c r="H84" s="81">
        <v>79</v>
      </c>
      <c r="I84" s="82">
        <f t="shared" si="9"/>
        <v>1.5477104122920764</v>
      </c>
      <c r="J84" s="81">
        <f t="shared" si="10"/>
        <v>0</v>
      </c>
      <c r="K84" s="81">
        <f t="shared" si="11"/>
        <v>0</v>
      </c>
      <c r="L84" s="81"/>
      <c r="M84" s="83">
        <f t="shared" si="12"/>
        <v>1.5477104122920764</v>
      </c>
      <c r="N84" s="83">
        <f t="shared" si="13"/>
        <v>1.8572524947504916</v>
      </c>
      <c r="O84" s="64"/>
      <c r="P84" s="64"/>
      <c r="Q84" s="64"/>
      <c r="R84" s="64"/>
      <c r="S84" s="94"/>
      <c r="T84" s="95"/>
    </row>
    <row r="85" spans="1:20" s="71" customFormat="1" x14ac:dyDescent="0.25">
      <c r="A85" s="110">
        <f t="shared" si="8"/>
        <v>1.6898709439295914</v>
      </c>
      <c r="B85" s="34">
        <f t="shared" si="14"/>
        <v>80</v>
      </c>
      <c r="C85" s="35" t="s">
        <v>50</v>
      </c>
      <c r="D85" s="35"/>
      <c r="E85" s="35"/>
      <c r="F85" s="35"/>
      <c r="G85" s="64"/>
      <c r="H85" s="84">
        <v>80</v>
      </c>
      <c r="I85" s="85">
        <f t="shared" si="9"/>
        <v>1.4082257866079928</v>
      </c>
      <c r="J85" s="84">
        <f t="shared" si="10"/>
        <v>0</v>
      </c>
      <c r="K85" s="84">
        <f t="shared" si="11"/>
        <v>0</v>
      </c>
      <c r="L85" s="84"/>
      <c r="M85" s="86">
        <f t="shared" si="12"/>
        <v>1.4082257866079928</v>
      </c>
      <c r="N85" s="86">
        <f t="shared" si="13"/>
        <v>1.6898709439295914</v>
      </c>
      <c r="O85" s="64"/>
      <c r="P85" s="64"/>
      <c r="Q85" s="64"/>
      <c r="R85" s="64"/>
      <c r="S85" s="64"/>
    </row>
    <row r="86" spans="1:20" s="71" customFormat="1" x14ac:dyDescent="0.25">
      <c r="A86" s="109">
        <f t="shared" si="8"/>
        <v>1.5245687208472816</v>
      </c>
      <c r="B86" s="28">
        <f t="shared" si="14"/>
        <v>81</v>
      </c>
      <c r="C86" s="29" t="s">
        <v>50</v>
      </c>
      <c r="D86" s="29"/>
      <c r="E86" s="29"/>
      <c r="F86" s="29"/>
      <c r="G86" s="64"/>
      <c r="H86" s="81">
        <v>81</v>
      </c>
      <c r="I86" s="82">
        <f t="shared" si="9"/>
        <v>1.2704739340394013</v>
      </c>
      <c r="J86" s="81">
        <f t="shared" si="10"/>
        <v>0</v>
      </c>
      <c r="K86" s="81">
        <f t="shared" si="11"/>
        <v>0</v>
      </c>
      <c r="L86" s="81"/>
      <c r="M86" s="83">
        <f t="shared" si="12"/>
        <v>1.2704739340394013</v>
      </c>
      <c r="N86" s="83">
        <f t="shared" si="13"/>
        <v>1.5245687208472816</v>
      </c>
      <c r="O86" s="64"/>
      <c r="P86" s="64"/>
      <c r="Q86" s="64"/>
      <c r="R86" s="64"/>
      <c r="S86" s="94"/>
      <c r="T86" s="95"/>
    </row>
    <row r="87" spans="1:20" s="71" customFormat="1" x14ac:dyDescent="0.25">
      <c r="A87" s="110">
        <f t="shared" si="8"/>
        <v>1.3612947971113327</v>
      </c>
      <c r="B87" s="34">
        <f t="shared" si="14"/>
        <v>82</v>
      </c>
      <c r="C87" s="35" t="s">
        <v>50</v>
      </c>
      <c r="D87" s="35"/>
      <c r="E87" s="35"/>
      <c r="F87" s="35"/>
      <c r="G87" s="64"/>
      <c r="H87" s="84">
        <v>82</v>
      </c>
      <c r="I87" s="85">
        <f t="shared" si="9"/>
        <v>1.1344123309261107</v>
      </c>
      <c r="J87" s="84">
        <f t="shared" si="10"/>
        <v>0</v>
      </c>
      <c r="K87" s="84">
        <f t="shared" si="11"/>
        <v>0</v>
      </c>
      <c r="L87" s="84"/>
      <c r="M87" s="86">
        <f t="shared" si="12"/>
        <v>1.1344123309261107</v>
      </c>
      <c r="N87" s="86">
        <f t="shared" si="13"/>
        <v>1.3612947971113327</v>
      </c>
      <c r="O87" s="64"/>
      <c r="P87" s="64"/>
      <c r="Q87" s="64"/>
      <c r="R87" s="64"/>
      <c r="S87" s="64"/>
    </row>
    <row r="88" spans="1:20" s="71" customFormat="1" x14ac:dyDescent="0.25">
      <c r="A88" s="109">
        <f t="shared" si="8"/>
        <v>1.2</v>
      </c>
      <c r="B88" s="28">
        <f t="shared" si="14"/>
        <v>83</v>
      </c>
      <c r="C88" s="29" t="s">
        <v>50</v>
      </c>
      <c r="D88" s="29"/>
      <c r="E88" s="29"/>
      <c r="F88" s="29"/>
      <c r="G88" s="64"/>
      <c r="H88" s="81">
        <v>83</v>
      </c>
      <c r="I88" s="82">
        <f t="shared" si="9"/>
        <v>1</v>
      </c>
      <c r="J88" s="81">
        <f t="shared" si="10"/>
        <v>0</v>
      </c>
      <c r="K88" s="81">
        <f t="shared" si="11"/>
        <v>0</v>
      </c>
      <c r="L88" s="81"/>
      <c r="M88" s="83">
        <f t="shared" si="12"/>
        <v>1</v>
      </c>
      <c r="N88" s="83">
        <f t="shared" si="13"/>
        <v>1.2</v>
      </c>
      <c r="O88" s="64"/>
      <c r="P88" s="64"/>
      <c r="Q88" s="64"/>
      <c r="R88" s="64"/>
      <c r="S88" s="94"/>
      <c r="T88" s="95"/>
    </row>
    <row r="89" spans="1:20" s="71" customFormat="1" x14ac:dyDescent="0.25">
      <c r="A89" s="110">
        <f t="shared" si="8"/>
        <v>0</v>
      </c>
      <c r="B89" s="34" t="str">
        <f t="shared" si="14"/>
        <v/>
      </c>
      <c r="C89" s="35"/>
      <c r="D89" s="35"/>
      <c r="E89" s="35"/>
      <c r="F89" s="35"/>
      <c r="G89" s="64"/>
      <c r="H89" s="84">
        <v>84</v>
      </c>
      <c r="I89" s="85" t="str">
        <f t="shared" si="9"/>
        <v/>
      </c>
      <c r="J89" s="84">
        <f t="shared" si="10"/>
        <v>0</v>
      </c>
      <c r="K89" s="84">
        <f t="shared" si="11"/>
        <v>0</v>
      </c>
      <c r="L89" s="84"/>
      <c r="M89" s="86">
        <f t="shared" si="12"/>
        <v>0</v>
      </c>
      <c r="N89" s="86">
        <f t="shared" si="13"/>
        <v>0</v>
      </c>
      <c r="O89" s="64"/>
      <c r="P89" s="64"/>
      <c r="Q89" s="64"/>
      <c r="R89" s="64"/>
      <c r="S89" s="64"/>
    </row>
    <row r="90" spans="1:20" s="71" customFormat="1" x14ac:dyDescent="0.25">
      <c r="A90" s="109">
        <f t="shared" si="8"/>
        <v>0</v>
      </c>
      <c r="B90" s="28" t="str">
        <f t="shared" si="14"/>
        <v/>
      </c>
      <c r="C90" s="29"/>
      <c r="D90" s="29"/>
      <c r="E90" s="29"/>
      <c r="F90" s="29"/>
      <c r="G90" s="64"/>
      <c r="H90" s="81">
        <v>85</v>
      </c>
      <c r="I90" s="82" t="str">
        <f t="shared" si="9"/>
        <v/>
      </c>
      <c r="J90" s="81">
        <f t="shared" si="10"/>
        <v>0</v>
      </c>
      <c r="K90" s="81">
        <f t="shared" si="11"/>
        <v>0</v>
      </c>
      <c r="L90" s="81"/>
      <c r="M90" s="83">
        <f t="shared" si="12"/>
        <v>0</v>
      </c>
      <c r="N90" s="83">
        <f t="shared" si="13"/>
        <v>0</v>
      </c>
      <c r="O90" s="64"/>
      <c r="P90" s="64"/>
      <c r="Q90" s="64"/>
      <c r="R90" s="64"/>
      <c r="S90" s="94"/>
      <c r="T90" s="95"/>
    </row>
    <row r="91" spans="1:20" s="71" customFormat="1" x14ac:dyDescent="0.25">
      <c r="A91" s="110">
        <f t="shared" si="8"/>
        <v>0</v>
      </c>
      <c r="B91" s="34" t="str">
        <f t="shared" si="14"/>
        <v/>
      </c>
      <c r="C91" s="35"/>
      <c r="D91" s="35"/>
      <c r="E91" s="35"/>
      <c r="F91" s="35"/>
      <c r="G91" s="64"/>
      <c r="H91" s="84">
        <v>86</v>
      </c>
      <c r="I91" s="85" t="str">
        <f t="shared" si="9"/>
        <v/>
      </c>
      <c r="J91" s="84">
        <f t="shared" si="10"/>
        <v>0</v>
      </c>
      <c r="K91" s="84">
        <f t="shared" si="11"/>
        <v>0</v>
      </c>
      <c r="L91" s="84"/>
      <c r="M91" s="86">
        <f t="shared" si="12"/>
        <v>0</v>
      </c>
      <c r="N91" s="86">
        <f t="shared" si="13"/>
        <v>0</v>
      </c>
      <c r="O91" s="64"/>
      <c r="P91" s="64"/>
      <c r="Q91" s="64"/>
      <c r="R91" s="64"/>
      <c r="S91" s="64"/>
    </row>
    <row r="92" spans="1:20" s="71" customFormat="1" x14ac:dyDescent="0.25">
      <c r="A92" s="109">
        <f t="shared" si="8"/>
        <v>0</v>
      </c>
      <c r="B92" s="28" t="str">
        <f t="shared" si="14"/>
        <v/>
      </c>
      <c r="C92" s="29"/>
      <c r="D92" s="29"/>
      <c r="E92" s="29"/>
      <c r="F92" s="29"/>
      <c r="G92" s="64"/>
      <c r="H92" s="81">
        <v>87</v>
      </c>
      <c r="I92" s="82" t="str">
        <f t="shared" si="9"/>
        <v/>
      </c>
      <c r="J92" s="81">
        <f t="shared" si="10"/>
        <v>0</v>
      </c>
      <c r="K92" s="81">
        <f t="shared" si="11"/>
        <v>0</v>
      </c>
      <c r="L92" s="81"/>
      <c r="M92" s="83">
        <f t="shared" si="12"/>
        <v>0</v>
      </c>
      <c r="N92" s="83">
        <f t="shared" si="13"/>
        <v>0</v>
      </c>
      <c r="O92" s="64"/>
      <c r="P92" s="64"/>
      <c r="Q92" s="64"/>
      <c r="R92" s="64"/>
      <c r="S92" s="94"/>
      <c r="T92" s="95"/>
    </row>
    <row r="93" spans="1:20" s="71" customFormat="1" x14ac:dyDescent="0.25">
      <c r="A93" s="110">
        <f t="shared" si="8"/>
        <v>0</v>
      </c>
      <c r="B93" s="34" t="str">
        <f t="shared" si="14"/>
        <v/>
      </c>
      <c r="C93" s="35"/>
      <c r="D93" s="35"/>
      <c r="E93" s="35"/>
      <c r="F93" s="35"/>
      <c r="G93" s="64"/>
      <c r="H93" s="84">
        <v>88</v>
      </c>
      <c r="I93" s="85" t="str">
        <f t="shared" si="9"/>
        <v/>
      </c>
      <c r="J93" s="84">
        <f t="shared" si="10"/>
        <v>0</v>
      </c>
      <c r="K93" s="84">
        <f t="shared" si="11"/>
        <v>0</v>
      </c>
      <c r="L93" s="84"/>
      <c r="M93" s="86">
        <f t="shared" si="12"/>
        <v>0</v>
      </c>
      <c r="N93" s="86">
        <f t="shared" si="13"/>
        <v>0</v>
      </c>
      <c r="O93" s="64"/>
      <c r="P93" s="64"/>
      <c r="Q93" s="64"/>
      <c r="R93" s="64"/>
      <c r="S93" s="64"/>
    </row>
    <row r="94" spans="1:20" s="71" customFormat="1" x14ac:dyDescent="0.25">
      <c r="A94" s="109">
        <f t="shared" si="8"/>
        <v>0</v>
      </c>
      <c r="B94" s="28" t="str">
        <f t="shared" si="14"/>
        <v/>
      </c>
      <c r="C94" s="29"/>
      <c r="D94" s="29"/>
      <c r="E94" s="29"/>
      <c r="F94" s="29"/>
      <c r="G94" s="64"/>
      <c r="H94" s="81">
        <v>89</v>
      </c>
      <c r="I94" s="82" t="str">
        <f t="shared" si="9"/>
        <v/>
      </c>
      <c r="J94" s="81">
        <f t="shared" si="10"/>
        <v>0</v>
      </c>
      <c r="K94" s="81">
        <f t="shared" si="11"/>
        <v>0</v>
      </c>
      <c r="L94" s="81"/>
      <c r="M94" s="83">
        <f t="shared" si="12"/>
        <v>0</v>
      </c>
      <c r="N94" s="83">
        <f t="shared" si="13"/>
        <v>0</v>
      </c>
      <c r="O94" s="64"/>
      <c r="P94" s="64"/>
      <c r="Q94" s="64"/>
      <c r="R94" s="64"/>
      <c r="S94" s="94"/>
      <c r="T94" s="95"/>
    </row>
    <row r="95" spans="1:20" s="71" customFormat="1" x14ac:dyDescent="0.25">
      <c r="A95" s="110">
        <f t="shared" si="8"/>
        <v>0</v>
      </c>
      <c r="B95" s="34" t="str">
        <f t="shared" si="14"/>
        <v/>
      </c>
      <c r="C95" s="35"/>
      <c r="D95" s="35"/>
      <c r="E95" s="35"/>
      <c r="F95" s="35"/>
      <c r="G95" s="64"/>
      <c r="H95" s="84">
        <v>90</v>
      </c>
      <c r="I95" s="85" t="str">
        <f t="shared" si="9"/>
        <v/>
      </c>
      <c r="J95" s="84">
        <f t="shared" si="10"/>
        <v>0</v>
      </c>
      <c r="K95" s="84">
        <f t="shared" si="11"/>
        <v>0</v>
      </c>
      <c r="L95" s="84"/>
      <c r="M95" s="86">
        <f t="shared" si="12"/>
        <v>0</v>
      </c>
      <c r="N95" s="86">
        <f t="shared" si="13"/>
        <v>0</v>
      </c>
      <c r="O95" s="64"/>
      <c r="P95" s="64"/>
      <c r="Q95" s="64"/>
      <c r="R95" s="64"/>
      <c r="S95" s="64"/>
    </row>
    <row r="96" spans="1:20" s="71" customFormat="1" x14ac:dyDescent="0.25">
      <c r="A96" s="109">
        <f t="shared" si="8"/>
        <v>0</v>
      </c>
      <c r="B96" s="28" t="str">
        <f t="shared" si="14"/>
        <v/>
      </c>
      <c r="C96" s="29"/>
      <c r="D96" s="29"/>
      <c r="E96" s="29"/>
      <c r="F96" s="29"/>
      <c r="G96" s="64"/>
      <c r="H96" s="81">
        <v>91</v>
      </c>
      <c r="I96" s="82" t="str">
        <f t="shared" si="9"/>
        <v/>
      </c>
      <c r="J96" s="81">
        <f t="shared" si="10"/>
        <v>0</v>
      </c>
      <c r="K96" s="81">
        <f t="shared" si="11"/>
        <v>0</v>
      </c>
      <c r="L96" s="81"/>
      <c r="M96" s="83">
        <f t="shared" si="12"/>
        <v>0</v>
      </c>
      <c r="N96" s="83">
        <f t="shared" si="13"/>
        <v>0</v>
      </c>
      <c r="O96" s="64"/>
      <c r="P96" s="64"/>
      <c r="Q96" s="64"/>
      <c r="R96" s="64"/>
      <c r="S96" s="94"/>
      <c r="T96" s="95"/>
    </row>
    <row r="97" spans="1:20" s="71" customFormat="1" x14ac:dyDescent="0.25">
      <c r="A97" s="110">
        <f t="shared" si="8"/>
        <v>0</v>
      </c>
      <c r="B97" s="34" t="str">
        <f t="shared" si="14"/>
        <v/>
      </c>
      <c r="C97" s="35"/>
      <c r="D97" s="35"/>
      <c r="E97" s="35"/>
      <c r="F97" s="35"/>
      <c r="G97" s="64"/>
      <c r="H97" s="84">
        <v>92</v>
      </c>
      <c r="I97" s="85" t="str">
        <f t="shared" si="9"/>
        <v/>
      </c>
      <c r="J97" s="84">
        <f t="shared" si="10"/>
        <v>0</v>
      </c>
      <c r="K97" s="84">
        <f t="shared" si="11"/>
        <v>0</v>
      </c>
      <c r="L97" s="84"/>
      <c r="M97" s="86">
        <f t="shared" si="12"/>
        <v>0</v>
      </c>
      <c r="N97" s="86">
        <f t="shared" si="13"/>
        <v>0</v>
      </c>
      <c r="O97" s="64"/>
      <c r="P97" s="64"/>
      <c r="Q97" s="64"/>
      <c r="R97" s="64"/>
      <c r="S97" s="64"/>
    </row>
    <row r="98" spans="1:20" s="71" customFormat="1" x14ac:dyDescent="0.25">
      <c r="A98" s="109">
        <f t="shared" si="8"/>
        <v>0</v>
      </c>
      <c r="B98" s="28" t="str">
        <f t="shared" si="14"/>
        <v/>
      </c>
      <c r="C98" s="29"/>
      <c r="D98" s="29"/>
      <c r="E98" s="29"/>
      <c r="F98" s="29"/>
      <c r="G98" s="64"/>
      <c r="H98" s="81">
        <v>93</v>
      </c>
      <c r="I98" s="82" t="str">
        <f t="shared" si="9"/>
        <v/>
      </c>
      <c r="J98" s="81">
        <f t="shared" si="10"/>
        <v>0</v>
      </c>
      <c r="K98" s="81">
        <f t="shared" si="11"/>
        <v>0</v>
      </c>
      <c r="L98" s="81"/>
      <c r="M98" s="83">
        <f t="shared" si="12"/>
        <v>0</v>
      </c>
      <c r="N98" s="83">
        <f t="shared" si="13"/>
        <v>0</v>
      </c>
      <c r="O98" s="64"/>
      <c r="P98" s="64"/>
      <c r="Q98" s="64"/>
      <c r="R98" s="64"/>
      <c r="S98" s="94"/>
      <c r="T98" s="95"/>
    </row>
    <row r="99" spans="1:20" s="71" customFormat="1" x14ac:dyDescent="0.25">
      <c r="A99" s="110">
        <f t="shared" si="8"/>
        <v>0</v>
      </c>
      <c r="B99" s="34" t="str">
        <f t="shared" si="14"/>
        <v/>
      </c>
      <c r="C99" s="35"/>
      <c r="D99" s="35"/>
      <c r="E99" s="35"/>
      <c r="F99" s="35"/>
      <c r="G99" s="64"/>
      <c r="H99" s="84">
        <v>94</v>
      </c>
      <c r="I99" s="85" t="str">
        <f t="shared" si="9"/>
        <v/>
      </c>
      <c r="J99" s="84">
        <f t="shared" si="10"/>
        <v>0</v>
      </c>
      <c r="K99" s="84">
        <f t="shared" si="11"/>
        <v>0</v>
      </c>
      <c r="L99" s="84"/>
      <c r="M99" s="86">
        <f t="shared" si="12"/>
        <v>0</v>
      </c>
      <c r="N99" s="86">
        <f t="shared" si="13"/>
        <v>0</v>
      </c>
      <c r="O99" s="64"/>
      <c r="P99" s="64"/>
      <c r="Q99" s="64"/>
      <c r="R99" s="64"/>
      <c r="S99" s="64"/>
    </row>
    <row r="100" spans="1:20" s="71" customFormat="1" x14ac:dyDescent="0.25">
      <c r="A100" s="109">
        <f t="shared" si="8"/>
        <v>0</v>
      </c>
      <c r="B100" s="28" t="str">
        <f t="shared" si="14"/>
        <v/>
      </c>
      <c r="C100" s="29"/>
      <c r="D100" s="29"/>
      <c r="E100" s="29"/>
      <c r="F100" s="29"/>
      <c r="G100" s="64"/>
      <c r="H100" s="81">
        <v>95</v>
      </c>
      <c r="I100" s="82" t="str">
        <f t="shared" si="9"/>
        <v/>
      </c>
      <c r="J100" s="81">
        <f t="shared" si="10"/>
        <v>0</v>
      </c>
      <c r="K100" s="81">
        <f t="shared" si="11"/>
        <v>0</v>
      </c>
      <c r="L100" s="81"/>
      <c r="M100" s="83">
        <f t="shared" si="12"/>
        <v>0</v>
      </c>
      <c r="N100" s="83">
        <f t="shared" si="13"/>
        <v>0</v>
      </c>
      <c r="O100" s="64"/>
      <c r="P100" s="64"/>
      <c r="Q100" s="64"/>
      <c r="R100" s="64"/>
      <c r="S100" s="94"/>
      <c r="T100" s="95"/>
    </row>
    <row r="101" spans="1:20" s="71" customFormat="1" x14ac:dyDescent="0.25">
      <c r="A101" s="110">
        <f t="shared" ref="A101:A164" si="15">N101</f>
        <v>0</v>
      </c>
      <c r="B101" s="34" t="str">
        <f t="shared" si="14"/>
        <v/>
      </c>
      <c r="C101" s="35"/>
      <c r="D101" s="35"/>
      <c r="E101" s="35"/>
      <c r="F101" s="35"/>
      <c r="G101" s="64"/>
      <c r="H101" s="84">
        <v>96</v>
      </c>
      <c r="I101" s="85" t="str">
        <f t="shared" ref="I101:I164" si="16">IF(H101&lt;$H$2+1,($I$2-($I$2-1)*(LOG(H101)/LOG($H$2))),"")</f>
        <v/>
      </c>
      <c r="J101" s="84">
        <f t="shared" ref="J101:J164" si="17">INT(LOG($H$2,2))-ROUNDUP(LOG(H101,2),0)+IF(OR($H$2=1,$H$2=2,$H$2=4,$H$2=8,$H$2=16,$H$2=32,$H$2=64,$H$2=128,$H$2=256),0,1)</f>
        <v>0</v>
      </c>
      <c r="K101" s="84">
        <f t="shared" ref="K101:K164" si="18">J101*$J$2</f>
        <v>0</v>
      </c>
      <c r="L101" s="84"/>
      <c r="M101" s="86">
        <f t="shared" ref="M101:M164" si="19">IF(I101&lt;&gt;"",K101+I101+L101,0)</f>
        <v>0</v>
      </c>
      <c r="N101" s="86">
        <f t="shared" ref="N101:N164" si="20">IF(I101&lt;&gt;"",M101*L$2,0)</f>
        <v>0</v>
      </c>
      <c r="O101" s="64"/>
      <c r="P101" s="64"/>
      <c r="Q101" s="64"/>
      <c r="R101" s="64"/>
      <c r="S101" s="64"/>
    </row>
    <row r="102" spans="1:20" s="71" customFormat="1" x14ac:dyDescent="0.25">
      <c r="A102" s="109">
        <f t="shared" si="15"/>
        <v>0</v>
      </c>
      <c r="B102" s="28" t="str">
        <f t="shared" si="14"/>
        <v/>
      </c>
      <c r="C102" s="29"/>
      <c r="D102" s="29"/>
      <c r="E102" s="29"/>
      <c r="F102" s="29"/>
      <c r="G102" s="64"/>
      <c r="H102" s="81">
        <v>97</v>
      </c>
      <c r="I102" s="82" t="str">
        <f t="shared" si="16"/>
        <v/>
      </c>
      <c r="J102" s="81">
        <f t="shared" si="17"/>
        <v>0</v>
      </c>
      <c r="K102" s="81">
        <f t="shared" si="18"/>
        <v>0</v>
      </c>
      <c r="L102" s="81"/>
      <c r="M102" s="83">
        <f t="shared" si="19"/>
        <v>0</v>
      </c>
      <c r="N102" s="83">
        <f t="shared" si="20"/>
        <v>0</v>
      </c>
      <c r="O102" s="64"/>
      <c r="P102" s="64"/>
      <c r="Q102" s="64"/>
      <c r="R102" s="64"/>
      <c r="S102" s="94"/>
      <c r="T102" s="95"/>
    </row>
    <row r="103" spans="1:20" s="71" customFormat="1" x14ac:dyDescent="0.25">
      <c r="A103" s="110">
        <f t="shared" si="15"/>
        <v>0</v>
      </c>
      <c r="B103" s="34" t="str">
        <f t="shared" si="14"/>
        <v/>
      </c>
      <c r="C103" s="35"/>
      <c r="D103" s="35"/>
      <c r="E103" s="35"/>
      <c r="F103" s="35"/>
      <c r="G103" s="64"/>
      <c r="H103" s="84">
        <v>98</v>
      </c>
      <c r="I103" s="85" t="str">
        <f t="shared" si="16"/>
        <v/>
      </c>
      <c r="J103" s="84">
        <f t="shared" si="17"/>
        <v>0</v>
      </c>
      <c r="K103" s="84">
        <f t="shared" si="18"/>
        <v>0</v>
      </c>
      <c r="L103" s="84"/>
      <c r="M103" s="86">
        <f t="shared" si="19"/>
        <v>0</v>
      </c>
      <c r="N103" s="86">
        <f t="shared" si="20"/>
        <v>0</v>
      </c>
      <c r="O103" s="64"/>
      <c r="P103" s="64"/>
      <c r="Q103" s="64"/>
      <c r="R103" s="64"/>
      <c r="S103" s="64"/>
    </row>
    <row r="104" spans="1:20" s="71" customFormat="1" x14ac:dyDescent="0.25">
      <c r="A104" s="109">
        <f t="shared" si="15"/>
        <v>0</v>
      </c>
      <c r="B104" s="28" t="str">
        <f t="shared" si="14"/>
        <v/>
      </c>
      <c r="C104" s="29"/>
      <c r="D104" s="29"/>
      <c r="E104" s="29"/>
      <c r="F104" s="29"/>
      <c r="G104" s="64"/>
      <c r="H104" s="81">
        <v>99</v>
      </c>
      <c r="I104" s="82" t="str">
        <f t="shared" si="16"/>
        <v/>
      </c>
      <c r="J104" s="81">
        <f t="shared" si="17"/>
        <v>0</v>
      </c>
      <c r="K104" s="81">
        <f t="shared" si="18"/>
        <v>0</v>
      </c>
      <c r="L104" s="81"/>
      <c r="M104" s="83">
        <f t="shared" si="19"/>
        <v>0</v>
      </c>
      <c r="N104" s="83">
        <f t="shared" si="20"/>
        <v>0</v>
      </c>
      <c r="O104" s="64"/>
      <c r="P104" s="64"/>
      <c r="Q104" s="64"/>
      <c r="R104" s="64"/>
      <c r="S104" s="94"/>
      <c r="T104" s="95"/>
    </row>
    <row r="105" spans="1:20" s="71" customFormat="1" x14ac:dyDescent="0.25">
      <c r="A105" s="110">
        <f t="shared" si="15"/>
        <v>0</v>
      </c>
      <c r="B105" s="34" t="str">
        <f t="shared" si="14"/>
        <v/>
      </c>
      <c r="C105" s="35"/>
      <c r="D105" s="35"/>
      <c r="E105" s="35"/>
      <c r="F105" s="35"/>
      <c r="G105" s="64"/>
      <c r="H105" s="84">
        <v>100</v>
      </c>
      <c r="I105" s="85" t="str">
        <f t="shared" si="16"/>
        <v/>
      </c>
      <c r="J105" s="84">
        <f t="shared" si="17"/>
        <v>0</v>
      </c>
      <c r="K105" s="84">
        <f t="shared" si="18"/>
        <v>0</v>
      </c>
      <c r="L105" s="84"/>
      <c r="M105" s="86">
        <f t="shared" si="19"/>
        <v>0</v>
      </c>
      <c r="N105" s="86">
        <f t="shared" si="20"/>
        <v>0</v>
      </c>
      <c r="O105" s="64"/>
      <c r="P105" s="64"/>
      <c r="Q105" s="64"/>
      <c r="R105" s="64"/>
      <c r="S105" s="64"/>
    </row>
    <row r="106" spans="1:20" s="71" customFormat="1" x14ac:dyDescent="0.25">
      <c r="A106" s="109">
        <f t="shared" si="15"/>
        <v>0</v>
      </c>
      <c r="B106" s="28" t="str">
        <f t="shared" si="14"/>
        <v/>
      </c>
      <c r="C106" s="29"/>
      <c r="D106" s="29"/>
      <c r="E106" s="29"/>
      <c r="F106" s="29"/>
      <c r="G106" s="64"/>
      <c r="H106" s="81">
        <v>101</v>
      </c>
      <c r="I106" s="82" t="str">
        <f t="shared" si="16"/>
        <v/>
      </c>
      <c r="J106" s="81">
        <f t="shared" si="17"/>
        <v>0</v>
      </c>
      <c r="K106" s="81">
        <f t="shared" si="18"/>
        <v>0</v>
      </c>
      <c r="L106" s="81"/>
      <c r="M106" s="83">
        <f t="shared" si="19"/>
        <v>0</v>
      </c>
      <c r="N106" s="83">
        <f t="shared" si="20"/>
        <v>0</v>
      </c>
      <c r="O106" s="64"/>
      <c r="P106" s="64"/>
      <c r="Q106" s="64"/>
      <c r="R106" s="64"/>
      <c r="S106" s="94"/>
      <c r="T106" s="95"/>
    </row>
    <row r="107" spans="1:20" s="71" customFormat="1" x14ac:dyDescent="0.25">
      <c r="A107" s="110">
        <f t="shared" si="15"/>
        <v>0</v>
      </c>
      <c r="B107" s="34" t="str">
        <f t="shared" si="14"/>
        <v/>
      </c>
      <c r="C107" s="35"/>
      <c r="D107" s="35"/>
      <c r="E107" s="35"/>
      <c r="F107" s="35"/>
      <c r="G107" s="64"/>
      <c r="H107" s="84">
        <v>102</v>
      </c>
      <c r="I107" s="85" t="str">
        <f t="shared" si="16"/>
        <v/>
      </c>
      <c r="J107" s="84">
        <f t="shared" si="17"/>
        <v>0</v>
      </c>
      <c r="K107" s="84">
        <f t="shared" si="18"/>
        <v>0</v>
      </c>
      <c r="L107" s="84"/>
      <c r="M107" s="86">
        <f t="shared" si="19"/>
        <v>0</v>
      </c>
      <c r="N107" s="86">
        <f t="shared" si="20"/>
        <v>0</v>
      </c>
      <c r="O107" s="64"/>
      <c r="P107" s="64"/>
      <c r="Q107" s="64"/>
      <c r="R107" s="64"/>
      <c r="S107" s="64"/>
    </row>
    <row r="108" spans="1:20" s="71" customFormat="1" x14ac:dyDescent="0.25">
      <c r="A108" s="109">
        <f t="shared" si="15"/>
        <v>0</v>
      </c>
      <c r="B108" s="28" t="str">
        <f t="shared" si="14"/>
        <v/>
      </c>
      <c r="C108" s="29"/>
      <c r="D108" s="29"/>
      <c r="E108" s="29"/>
      <c r="F108" s="29"/>
      <c r="G108" s="64"/>
      <c r="H108" s="81">
        <v>103</v>
      </c>
      <c r="I108" s="82" t="str">
        <f t="shared" si="16"/>
        <v/>
      </c>
      <c r="J108" s="81">
        <f t="shared" si="17"/>
        <v>0</v>
      </c>
      <c r="K108" s="81">
        <f t="shared" si="18"/>
        <v>0</v>
      </c>
      <c r="L108" s="81"/>
      <c r="M108" s="83">
        <f t="shared" si="19"/>
        <v>0</v>
      </c>
      <c r="N108" s="83">
        <f t="shared" si="20"/>
        <v>0</v>
      </c>
      <c r="O108" s="64"/>
      <c r="P108" s="64"/>
      <c r="Q108" s="64"/>
      <c r="R108" s="64"/>
      <c r="S108" s="94"/>
      <c r="T108" s="95"/>
    </row>
    <row r="109" spans="1:20" s="71" customFormat="1" x14ac:dyDescent="0.25">
      <c r="A109" s="110">
        <f t="shared" si="15"/>
        <v>0</v>
      </c>
      <c r="B109" s="34" t="str">
        <f t="shared" si="14"/>
        <v/>
      </c>
      <c r="C109" s="35"/>
      <c r="D109" s="35"/>
      <c r="E109" s="35"/>
      <c r="F109" s="35"/>
      <c r="G109" s="64"/>
      <c r="H109" s="84">
        <v>104</v>
      </c>
      <c r="I109" s="85" t="str">
        <f t="shared" si="16"/>
        <v/>
      </c>
      <c r="J109" s="84">
        <f t="shared" si="17"/>
        <v>0</v>
      </c>
      <c r="K109" s="84">
        <f t="shared" si="18"/>
        <v>0</v>
      </c>
      <c r="L109" s="84"/>
      <c r="M109" s="86">
        <f t="shared" si="19"/>
        <v>0</v>
      </c>
      <c r="N109" s="86">
        <f t="shared" si="20"/>
        <v>0</v>
      </c>
      <c r="O109" s="64"/>
      <c r="P109" s="64"/>
      <c r="Q109" s="64"/>
      <c r="R109" s="64"/>
      <c r="S109" s="64"/>
    </row>
    <row r="110" spans="1:20" s="71" customFormat="1" x14ac:dyDescent="0.25">
      <c r="A110" s="109">
        <f t="shared" si="15"/>
        <v>0</v>
      </c>
      <c r="B110" s="28" t="str">
        <f t="shared" si="14"/>
        <v/>
      </c>
      <c r="C110" s="29"/>
      <c r="D110" s="29"/>
      <c r="E110" s="29"/>
      <c r="F110" s="29"/>
      <c r="G110" s="64"/>
      <c r="H110" s="81">
        <v>105</v>
      </c>
      <c r="I110" s="82" t="str">
        <f t="shared" si="16"/>
        <v/>
      </c>
      <c r="J110" s="81">
        <f t="shared" si="17"/>
        <v>0</v>
      </c>
      <c r="K110" s="81">
        <f t="shared" si="18"/>
        <v>0</v>
      </c>
      <c r="L110" s="81"/>
      <c r="M110" s="83">
        <f t="shared" si="19"/>
        <v>0</v>
      </c>
      <c r="N110" s="83">
        <f t="shared" si="20"/>
        <v>0</v>
      </c>
      <c r="O110" s="64"/>
      <c r="P110" s="64"/>
      <c r="Q110" s="64"/>
      <c r="R110" s="64"/>
      <c r="S110" s="94"/>
      <c r="T110" s="95"/>
    </row>
    <row r="111" spans="1:20" s="71" customFormat="1" x14ac:dyDescent="0.25">
      <c r="A111" s="110">
        <f t="shared" si="15"/>
        <v>0</v>
      </c>
      <c r="B111" s="34" t="str">
        <f t="shared" ref="B111:B164" si="21">IF(H111&gt;$H$2,"",(ROW()-5))</f>
        <v/>
      </c>
      <c r="C111" s="35"/>
      <c r="D111" s="35"/>
      <c r="E111" s="35"/>
      <c r="F111" s="35"/>
      <c r="G111" s="64"/>
      <c r="H111" s="84">
        <v>106</v>
      </c>
      <c r="I111" s="85" t="str">
        <f t="shared" si="16"/>
        <v/>
      </c>
      <c r="J111" s="84">
        <f t="shared" si="17"/>
        <v>0</v>
      </c>
      <c r="K111" s="84">
        <f t="shared" si="18"/>
        <v>0</v>
      </c>
      <c r="L111" s="84"/>
      <c r="M111" s="86">
        <f t="shared" si="19"/>
        <v>0</v>
      </c>
      <c r="N111" s="86">
        <f t="shared" si="20"/>
        <v>0</v>
      </c>
      <c r="O111" s="64"/>
      <c r="P111" s="64"/>
      <c r="Q111" s="64"/>
      <c r="R111" s="64"/>
      <c r="S111" s="64"/>
    </row>
    <row r="112" spans="1:20" s="71" customFormat="1" x14ac:dyDescent="0.25">
      <c r="A112" s="109">
        <v>17.820453806229885</v>
      </c>
      <c r="B112" s="28" t="s">
        <v>141</v>
      </c>
      <c r="C112" s="201"/>
      <c r="D112" s="29"/>
      <c r="E112" s="29"/>
      <c r="F112" s="29"/>
      <c r="G112" s="64"/>
      <c r="H112" s="81">
        <v>107</v>
      </c>
      <c r="I112" s="82" t="str">
        <f t="shared" si="16"/>
        <v/>
      </c>
      <c r="J112" s="81">
        <f t="shared" si="17"/>
        <v>0</v>
      </c>
      <c r="K112" s="81">
        <f t="shared" si="18"/>
        <v>0</v>
      </c>
      <c r="L112" s="81"/>
      <c r="M112" s="83">
        <f t="shared" si="19"/>
        <v>0</v>
      </c>
      <c r="N112" s="83">
        <f t="shared" si="20"/>
        <v>0</v>
      </c>
      <c r="O112" s="64"/>
      <c r="P112" s="64"/>
      <c r="Q112" s="64"/>
      <c r="R112" s="64"/>
      <c r="S112" s="94"/>
      <c r="T112" s="95"/>
    </row>
    <row r="113" spans="1:20" s="71" customFormat="1" x14ac:dyDescent="0.25">
      <c r="A113" s="110">
        <f t="shared" si="15"/>
        <v>0</v>
      </c>
      <c r="B113" s="34" t="str">
        <f t="shared" si="21"/>
        <v/>
      </c>
      <c r="C113" s="35"/>
      <c r="D113" s="35"/>
      <c r="E113" s="35"/>
      <c r="F113" s="35"/>
      <c r="G113" s="64"/>
      <c r="H113" s="84">
        <v>108</v>
      </c>
      <c r="I113" s="85" t="str">
        <f t="shared" si="16"/>
        <v/>
      </c>
      <c r="J113" s="84">
        <f t="shared" si="17"/>
        <v>0</v>
      </c>
      <c r="K113" s="84">
        <f t="shared" si="18"/>
        <v>0</v>
      </c>
      <c r="L113" s="84"/>
      <c r="M113" s="86">
        <f t="shared" si="19"/>
        <v>0</v>
      </c>
      <c r="N113" s="86">
        <f t="shared" si="20"/>
        <v>0</v>
      </c>
      <c r="O113" s="64"/>
      <c r="P113" s="64"/>
      <c r="Q113" s="64"/>
      <c r="R113" s="64"/>
      <c r="S113" s="64"/>
    </row>
    <row r="114" spans="1:20" s="71" customFormat="1" x14ac:dyDescent="0.25">
      <c r="A114" s="109">
        <f t="shared" si="15"/>
        <v>0</v>
      </c>
      <c r="B114" s="28" t="str">
        <f t="shared" si="21"/>
        <v/>
      </c>
      <c r="C114" s="29"/>
      <c r="D114" s="29"/>
      <c r="E114" s="29"/>
      <c r="F114" s="29"/>
      <c r="G114" s="64"/>
      <c r="H114" s="81">
        <v>109</v>
      </c>
      <c r="I114" s="82" t="str">
        <f t="shared" si="16"/>
        <v/>
      </c>
      <c r="J114" s="81">
        <f t="shared" si="17"/>
        <v>0</v>
      </c>
      <c r="K114" s="81">
        <f t="shared" si="18"/>
        <v>0</v>
      </c>
      <c r="L114" s="81"/>
      <c r="M114" s="83">
        <f t="shared" si="19"/>
        <v>0</v>
      </c>
      <c r="N114" s="83">
        <f t="shared" si="20"/>
        <v>0</v>
      </c>
      <c r="O114" s="64"/>
      <c r="P114" s="64"/>
      <c r="Q114" s="64"/>
      <c r="R114" s="64"/>
      <c r="S114" s="94"/>
      <c r="T114" s="95"/>
    </row>
    <row r="115" spans="1:20" s="71" customFormat="1" x14ac:dyDescent="0.25">
      <c r="A115" s="110">
        <f t="shared" si="15"/>
        <v>0</v>
      </c>
      <c r="B115" s="34" t="str">
        <f t="shared" si="21"/>
        <v/>
      </c>
      <c r="C115" s="35"/>
      <c r="D115" s="35"/>
      <c r="E115" s="35"/>
      <c r="F115" s="35"/>
      <c r="G115" s="64"/>
      <c r="H115" s="84">
        <v>110</v>
      </c>
      <c r="I115" s="85" t="str">
        <f t="shared" si="16"/>
        <v/>
      </c>
      <c r="J115" s="84">
        <f t="shared" si="17"/>
        <v>0</v>
      </c>
      <c r="K115" s="84">
        <f t="shared" si="18"/>
        <v>0</v>
      </c>
      <c r="L115" s="84"/>
      <c r="M115" s="86">
        <f t="shared" si="19"/>
        <v>0</v>
      </c>
      <c r="N115" s="86">
        <f t="shared" si="20"/>
        <v>0</v>
      </c>
      <c r="O115" s="64"/>
      <c r="P115" s="64"/>
      <c r="Q115" s="64"/>
      <c r="R115" s="64"/>
      <c r="S115" s="64"/>
    </row>
    <row r="116" spans="1:20" s="71" customFormat="1" x14ac:dyDescent="0.25">
      <c r="A116" s="109">
        <f t="shared" si="15"/>
        <v>0</v>
      </c>
      <c r="B116" s="28" t="str">
        <f t="shared" si="21"/>
        <v/>
      </c>
      <c r="C116" s="29"/>
      <c r="D116" s="29"/>
      <c r="E116" s="29"/>
      <c r="F116" s="29"/>
      <c r="G116" s="64"/>
      <c r="H116" s="81">
        <v>111</v>
      </c>
      <c r="I116" s="82" t="str">
        <f t="shared" si="16"/>
        <v/>
      </c>
      <c r="J116" s="81">
        <f t="shared" si="17"/>
        <v>0</v>
      </c>
      <c r="K116" s="81">
        <f t="shared" si="18"/>
        <v>0</v>
      </c>
      <c r="L116" s="81"/>
      <c r="M116" s="83">
        <f t="shared" si="19"/>
        <v>0</v>
      </c>
      <c r="N116" s="83">
        <f t="shared" si="20"/>
        <v>0</v>
      </c>
      <c r="O116" s="64"/>
      <c r="P116" s="64"/>
      <c r="Q116" s="64"/>
      <c r="R116" s="64"/>
      <c r="S116" s="94"/>
      <c r="T116" s="95"/>
    </row>
    <row r="117" spans="1:20" s="71" customFormat="1" x14ac:dyDescent="0.25">
      <c r="A117" s="110">
        <f t="shared" si="15"/>
        <v>0</v>
      </c>
      <c r="B117" s="34" t="str">
        <f t="shared" si="21"/>
        <v/>
      </c>
      <c r="C117" s="35"/>
      <c r="D117" s="35"/>
      <c r="E117" s="35"/>
      <c r="F117" s="35"/>
      <c r="G117" s="64"/>
      <c r="H117" s="84">
        <v>112</v>
      </c>
      <c r="I117" s="85" t="str">
        <f t="shared" si="16"/>
        <v/>
      </c>
      <c r="J117" s="84">
        <f t="shared" si="17"/>
        <v>0</v>
      </c>
      <c r="K117" s="84">
        <f t="shared" si="18"/>
        <v>0</v>
      </c>
      <c r="L117" s="84"/>
      <c r="M117" s="86">
        <f t="shared" si="19"/>
        <v>0</v>
      </c>
      <c r="N117" s="86">
        <f t="shared" si="20"/>
        <v>0</v>
      </c>
      <c r="O117" s="64"/>
      <c r="P117" s="64"/>
      <c r="Q117" s="64"/>
      <c r="R117" s="64"/>
      <c r="S117" s="64"/>
    </row>
    <row r="118" spans="1:20" s="71" customFormat="1" x14ac:dyDescent="0.25">
      <c r="A118" s="109">
        <f t="shared" si="15"/>
        <v>0</v>
      </c>
      <c r="B118" s="28" t="str">
        <f t="shared" si="21"/>
        <v/>
      </c>
      <c r="C118" s="29"/>
      <c r="D118" s="29"/>
      <c r="E118" s="29"/>
      <c r="F118" s="29"/>
      <c r="G118" s="64"/>
      <c r="H118" s="81">
        <v>113</v>
      </c>
      <c r="I118" s="82" t="str">
        <f t="shared" si="16"/>
        <v/>
      </c>
      <c r="J118" s="81">
        <f t="shared" si="17"/>
        <v>0</v>
      </c>
      <c r="K118" s="81">
        <f t="shared" si="18"/>
        <v>0</v>
      </c>
      <c r="L118" s="81"/>
      <c r="M118" s="83">
        <f t="shared" si="19"/>
        <v>0</v>
      </c>
      <c r="N118" s="83">
        <f t="shared" si="20"/>
        <v>0</v>
      </c>
      <c r="O118" s="64"/>
      <c r="P118" s="64"/>
      <c r="Q118" s="64"/>
      <c r="R118" s="64"/>
      <c r="S118" s="94"/>
      <c r="T118" s="95"/>
    </row>
    <row r="119" spans="1:20" s="71" customFormat="1" x14ac:dyDescent="0.25">
      <c r="A119" s="110">
        <f t="shared" si="15"/>
        <v>0</v>
      </c>
      <c r="B119" s="34" t="str">
        <f t="shared" si="21"/>
        <v/>
      </c>
      <c r="C119" s="35"/>
      <c r="D119" s="35"/>
      <c r="E119" s="35"/>
      <c r="F119" s="35"/>
      <c r="G119" s="64"/>
      <c r="H119" s="84">
        <v>114</v>
      </c>
      <c r="I119" s="85" t="str">
        <f t="shared" si="16"/>
        <v/>
      </c>
      <c r="J119" s="84">
        <f t="shared" si="17"/>
        <v>0</v>
      </c>
      <c r="K119" s="84">
        <f t="shared" si="18"/>
        <v>0</v>
      </c>
      <c r="L119" s="84"/>
      <c r="M119" s="86">
        <f t="shared" si="19"/>
        <v>0</v>
      </c>
      <c r="N119" s="86">
        <f t="shared" si="20"/>
        <v>0</v>
      </c>
      <c r="O119" s="64"/>
      <c r="P119" s="64"/>
      <c r="Q119" s="64"/>
      <c r="R119" s="64"/>
      <c r="S119" s="64"/>
    </row>
    <row r="120" spans="1:20" s="71" customFormat="1" x14ac:dyDescent="0.25">
      <c r="A120" s="109">
        <f t="shared" si="15"/>
        <v>0</v>
      </c>
      <c r="B120" s="28" t="str">
        <f t="shared" si="21"/>
        <v/>
      </c>
      <c r="C120" s="29"/>
      <c r="D120" s="29"/>
      <c r="E120" s="29"/>
      <c r="F120" s="29"/>
      <c r="G120" s="64"/>
      <c r="H120" s="81">
        <v>115</v>
      </c>
      <c r="I120" s="82" t="str">
        <f t="shared" si="16"/>
        <v/>
      </c>
      <c r="J120" s="81">
        <f t="shared" si="17"/>
        <v>0</v>
      </c>
      <c r="K120" s="81">
        <f t="shared" si="18"/>
        <v>0</v>
      </c>
      <c r="L120" s="81"/>
      <c r="M120" s="83">
        <f t="shared" si="19"/>
        <v>0</v>
      </c>
      <c r="N120" s="83">
        <f t="shared" si="20"/>
        <v>0</v>
      </c>
      <c r="O120" s="64"/>
      <c r="P120" s="64"/>
      <c r="Q120" s="64"/>
      <c r="R120" s="64"/>
      <c r="S120" s="94"/>
      <c r="T120" s="95"/>
    </row>
    <row r="121" spans="1:20" s="71" customFormat="1" x14ac:dyDescent="0.25">
      <c r="A121" s="110">
        <f t="shared" si="15"/>
        <v>0</v>
      </c>
      <c r="B121" s="34" t="str">
        <f t="shared" si="21"/>
        <v/>
      </c>
      <c r="C121" s="35"/>
      <c r="D121" s="35"/>
      <c r="E121" s="35"/>
      <c r="F121" s="35"/>
      <c r="G121" s="64"/>
      <c r="H121" s="84">
        <v>116</v>
      </c>
      <c r="I121" s="85" t="str">
        <f t="shared" si="16"/>
        <v/>
      </c>
      <c r="J121" s="84">
        <f t="shared" si="17"/>
        <v>0</v>
      </c>
      <c r="K121" s="84">
        <f t="shared" si="18"/>
        <v>0</v>
      </c>
      <c r="L121" s="84"/>
      <c r="M121" s="86">
        <f t="shared" si="19"/>
        <v>0</v>
      </c>
      <c r="N121" s="86">
        <f t="shared" si="20"/>
        <v>0</v>
      </c>
      <c r="O121" s="64"/>
      <c r="P121" s="64"/>
      <c r="Q121" s="64"/>
      <c r="R121" s="64"/>
      <c r="S121" s="64"/>
    </row>
    <row r="122" spans="1:20" s="71" customFormat="1" x14ac:dyDescent="0.25">
      <c r="A122" s="109">
        <f t="shared" si="15"/>
        <v>0</v>
      </c>
      <c r="B122" s="28" t="str">
        <f t="shared" si="21"/>
        <v/>
      </c>
      <c r="C122" s="29"/>
      <c r="D122" s="29"/>
      <c r="E122" s="29"/>
      <c r="F122" s="29"/>
      <c r="G122" s="64"/>
      <c r="H122" s="81">
        <v>117</v>
      </c>
      <c r="I122" s="82" t="str">
        <f t="shared" si="16"/>
        <v/>
      </c>
      <c r="J122" s="81">
        <f t="shared" si="17"/>
        <v>0</v>
      </c>
      <c r="K122" s="81">
        <f t="shared" si="18"/>
        <v>0</v>
      </c>
      <c r="L122" s="81"/>
      <c r="M122" s="83">
        <f t="shared" si="19"/>
        <v>0</v>
      </c>
      <c r="N122" s="83">
        <f t="shared" si="20"/>
        <v>0</v>
      </c>
      <c r="O122" s="64"/>
      <c r="P122" s="64"/>
      <c r="Q122" s="64"/>
      <c r="R122" s="64"/>
      <c r="S122" s="94"/>
      <c r="T122" s="95"/>
    </row>
    <row r="123" spans="1:20" s="71" customFormat="1" x14ac:dyDescent="0.25">
      <c r="A123" s="110">
        <f t="shared" si="15"/>
        <v>0</v>
      </c>
      <c r="B123" s="34" t="str">
        <f t="shared" si="21"/>
        <v/>
      </c>
      <c r="C123" s="35"/>
      <c r="D123" s="35"/>
      <c r="E123" s="35"/>
      <c r="F123" s="35"/>
      <c r="G123" s="64"/>
      <c r="H123" s="84">
        <v>118</v>
      </c>
      <c r="I123" s="85" t="str">
        <f t="shared" si="16"/>
        <v/>
      </c>
      <c r="J123" s="84">
        <f t="shared" si="17"/>
        <v>0</v>
      </c>
      <c r="K123" s="84">
        <f t="shared" si="18"/>
        <v>0</v>
      </c>
      <c r="L123" s="84"/>
      <c r="M123" s="86">
        <f t="shared" si="19"/>
        <v>0</v>
      </c>
      <c r="N123" s="86">
        <f t="shared" si="20"/>
        <v>0</v>
      </c>
      <c r="O123" s="64"/>
      <c r="P123" s="64"/>
      <c r="Q123" s="64"/>
      <c r="R123" s="64"/>
      <c r="S123" s="64"/>
    </row>
    <row r="124" spans="1:20" s="71" customFormat="1" x14ac:dyDescent="0.25">
      <c r="A124" s="109">
        <f t="shared" si="15"/>
        <v>0</v>
      </c>
      <c r="B124" s="28" t="str">
        <f t="shared" si="21"/>
        <v/>
      </c>
      <c r="C124" s="29"/>
      <c r="D124" s="29"/>
      <c r="E124" s="29"/>
      <c r="F124" s="29"/>
      <c r="G124" s="64"/>
      <c r="H124" s="81">
        <v>119</v>
      </c>
      <c r="I124" s="82" t="str">
        <f t="shared" si="16"/>
        <v/>
      </c>
      <c r="J124" s="81">
        <f t="shared" si="17"/>
        <v>0</v>
      </c>
      <c r="K124" s="81">
        <f t="shared" si="18"/>
        <v>0</v>
      </c>
      <c r="L124" s="81"/>
      <c r="M124" s="83">
        <f t="shared" si="19"/>
        <v>0</v>
      </c>
      <c r="N124" s="83">
        <f t="shared" si="20"/>
        <v>0</v>
      </c>
      <c r="O124" s="64"/>
      <c r="P124" s="64"/>
      <c r="Q124" s="64"/>
      <c r="R124" s="64"/>
      <c r="S124" s="94"/>
      <c r="T124" s="95"/>
    </row>
    <row r="125" spans="1:20" s="71" customFormat="1" x14ac:dyDescent="0.25">
      <c r="A125" s="110">
        <f t="shared" si="15"/>
        <v>0</v>
      </c>
      <c r="B125" s="34" t="str">
        <f t="shared" si="21"/>
        <v/>
      </c>
      <c r="C125" s="35"/>
      <c r="D125" s="35"/>
      <c r="E125" s="35"/>
      <c r="F125" s="35"/>
      <c r="G125" s="64"/>
      <c r="H125" s="84">
        <v>120</v>
      </c>
      <c r="I125" s="85" t="str">
        <f t="shared" si="16"/>
        <v/>
      </c>
      <c r="J125" s="84">
        <f t="shared" si="17"/>
        <v>0</v>
      </c>
      <c r="K125" s="84">
        <f t="shared" si="18"/>
        <v>0</v>
      </c>
      <c r="L125" s="84"/>
      <c r="M125" s="86">
        <f t="shared" si="19"/>
        <v>0</v>
      </c>
      <c r="N125" s="86">
        <f t="shared" si="20"/>
        <v>0</v>
      </c>
      <c r="O125" s="64"/>
      <c r="P125" s="64"/>
      <c r="Q125" s="64"/>
      <c r="R125" s="64"/>
      <c r="S125" s="64"/>
    </row>
    <row r="126" spans="1:20" s="71" customFormat="1" x14ac:dyDescent="0.25">
      <c r="A126" s="109">
        <f t="shared" si="15"/>
        <v>0</v>
      </c>
      <c r="B126" s="28" t="str">
        <f t="shared" si="21"/>
        <v/>
      </c>
      <c r="C126" s="29"/>
      <c r="D126" s="29"/>
      <c r="E126" s="29"/>
      <c r="F126" s="29"/>
      <c r="G126" s="64"/>
      <c r="H126" s="81">
        <v>121</v>
      </c>
      <c r="I126" s="82" t="str">
        <f t="shared" si="16"/>
        <v/>
      </c>
      <c r="J126" s="81">
        <f t="shared" si="17"/>
        <v>0</v>
      </c>
      <c r="K126" s="81">
        <f t="shared" si="18"/>
        <v>0</v>
      </c>
      <c r="L126" s="81"/>
      <c r="M126" s="83">
        <f t="shared" si="19"/>
        <v>0</v>
      </c>
      <c r="N126" s="83">
        <f t="shared" si="20"/>
        <v>0</v>
      </c>
      <c r="O126" s="64"/>
      <c r="P126" s="64"/>
      <c r="Q126" s="64"/>
      <c r="R126" s="64"/>
      <c r="S126" s="94"/>
      <c r="T126" s="95"/>
    </row>
    <row r="127" spans="1:20" s="71" customFormat="1" x14ac:dyDescent="0.25">
      <c r="A127" s="110">
        <f t="shared" si="15"/>
        <v>0</v>
      </c>
      <c r="B127" s="34" t="str">
        <f t="shared" si="21"/>
        <v/>
      </c>
      <c r="C127" s="35"/>
      <c r="D127" s="35"/>
      <c r="E127" s="35"/>
      <c r="F127" s="35"/>
      <c r="G127" s="64"/>
      <c r="H127" s="84">
        <v>122</v>
      </c>
      <c r="I127" s="85" t="str">
        <f t="shared" si="16"/>
        <v/>
      </c>
      <c r="J127" s="84">
        <f t="shared" si="17"/>
        <v>0</v>
      </c>
      <c r="K127" s="84">
        <f t="shared" si="18"/>
        <v>0</v>
      </c>
      <c r="L127" s="84"/>
      <c r="M127" s="86">
        <f t="shared" si="19"/>
        <v>0</v>
      </c>
      <c r="N127" s="86">
        <f t="shared" si="20"/>
        <v>0</v>
      </c>
      <c r="O127" s="64"/>
      <c r="P127" s="64"/>
      <c r="Q127" s="64"/>
      <c r="R127" s="64"/>
      <c r="S127" s="64"/>
    </row>
    <row r="128" spans="1:20" s="71" customFormat="1" x14ac:dyDescent="0.25">
      <c r="A128" s="109">
        <f t="shared" si="15"/>
        <v>0</v>
      </c>
      <c r="B128" s="28" t="str">
        <f t="shared" si="21"/>
        <v/>
      </c>
      <c r="C128" s="29"/>
      <c r="D128" s="29"/>
      <c r="E128" s="29"/>
      <c r="F128" s="29"/>
      <c r="G128" s="64"/>
      <c r="H128" s="81">
        <v>123</v>
      </c>
      <c r="I128" s="82" t="str">
        <f t="shared" si="16"/>
        <v/>
      </c>
      <c r="J128" s="81">
        <f t="shared" si="17"/>
        <v>0</v>
      </c>
      <c r="K128" s="81">
        <f t="shared" si="18"/>
        <v>0</v>
      </c>
      <c r="L128" s="81"/>
      <c r="M128" s="83">
        <f t="shared" si="19"/>
        <v>0</v>
      </c>
      <c r="N128" s="83">
        <f t="shared" si="20"/>
        <v>0</v>
      </c>
      <c r="O128" s="64"/>
      <c r="P128" s="64"/>
      <c r="Q128" s="64"/>
      <c r="R128" s="64"/>
      <c r="S128" s="94"/>
      <c r="T128" s="95"/>
    </row>
    <row r="129" spans="1:20" s="71" customFormat="1" x14ac:dyDescent="0.25">
      <c r="A129" s="110">
        <f t="shared" si="15"/>
        <v>0</v>
      </c>
      <c r="B129" s="34" t="str">
        <f t="shared" si="21"/>
        <v/>
      </c>
      <c r="C129" s="35"/>
      <c r="D129" s="35"/>
      <c r="E129" s="35"/>
      <c r="F129" s="35"/>
      <c r="G129" s="64"/>
      <c r="H129" s="84">
        <v>124</v>
      </c>
      <c r="I129" s="85" t="str">
        <f t="shared" si="16"/>
        <v/>
      </c>
      <c r="J129" s="84">
        <f t="shared" si="17"/>
        <v>0</v>
      </c>
      <c r="K129" s="84">
        <f t="shared" si="18"/>
        <v>0</v>
      </c>
      <c r="L129" s="84"/>
      <c r="M129" s="86">
        <f t="shared" si="19"/>
        <v>0</v>
      </c>
      <c r="N129" s="86">
        <f t="shared" si="20"/>
        <v>0</v>
      </c>
      <c r="O129" s="64"/>
      <c r="P129" s="64"/>
      <c r="Q129" s="64"/>
      <c r="R129" s="64"/>
      <c r="S129" s="64"/>
    </row>
    <row r="130" spans="1:20" s="71" customFormat="1" x14ac:dyDescent="0.25">
      <c r="A130" s="109">
        <f t="shared" si="15"/>
        <v>0</v>
      </c>
      <c r="B130" s="28" t="str">
        <f t="shared" si="21"/>
        <v/>
      </c>
      <c r="C130" s="29"/>
      <c r="D130" s="29"/>
      <c r="E130" s="29"/>
      <c r="F130" s="29"/>
      <c r="G130" s="64"/>
      <c r="H130" s="81">
        <v>125</v>
      </c>
      <c r="I130" s="82" t="str">
        <f t="shared" si="16"/>
        <v/>
      </c>
      <c r="J130" s="81">
        <f t="shared" si="17"/>
        <v>0</v>
      </c>
      <c r="K130" s="81">
        <f t="shared" si="18"/>
        <v>0</v>
      </c>
      <c r="L130" s="81"/>
      <c r="M130" s="83">
        <f t="shared" si="19"/>
        <v>0</v>
      </c>
      <c r="N130" s="83">
        <f t="shared" si="20"/>
        <v>0</v>
      </c>
      <c r="O130" s="64"/>
      <c r="P130" s="64"/>
      <c r="Q130" s="64"/>
      <c r="R130" s="64"/>
      <c r="S130" s="94"/>
      <c r="T130" s="95"/>
    </row>
    <row r="131" spans="1:20" s="71" customFormat="1" x14ac:dyDescent="0.25">
      <c r="A131" s="110">
        <f t="shared" si="15"/>
        <v>0</v>
      </c>
      <c r="B131" s="34" t="str">
        <f t="shared" si="21"/>
        <v/>
      </c>
      <c r="C131" s="35"/>
      <c r="D131" s="35"/>
      <c r="E131" s="35"/>
      <c r="F131" s="35"/>
      <c r="G131" s="64"/>
      <c r="H131" s="84">
        <v>126</v>
      </c>
      <c r="I131" s="85" t="str">
        <f t="shared" si="16"/>
        <v/>
      </c>
      <c r="J131" s="84">
        <f t="shared" si="17"/>
        <v>0</v>
      </c>
      <c r="K131" s="84">
        <f t="shared" si="18"/>
        <v>0</v>
      </c>
      <c r="L131" s="84"/>
      <c r="M131" s="86">
        <f t="shared" si="19"/>
        <v>0</v>
      </c>
      <c r="N131" s="86">
        <f t="shared" si="20"/>
        <v>0</v>
      </c>
      <c r="O131" s="64"/>
      <c r="P131" s="64"/>
      <c r="Q131" s="64"/>
      <c r="R131" s="64"/>
      <c r="S131" s="64"/>
    </row>
    <row r="132" spans="1:20" s="71" customFormat="1" x14ac:dyDescent="0.25">
      <c r="A132" s="109">
        <f t="shared" si="15"/>
        <v>0</v>
      </c>
      <c r="B132" s="28" t="str">
        <f t="shared" si="21"/>
        <v/>
      </c>
      <c r="C132" s="29"/>
      <c r="D132" s="29"/>
      <c r="E132" s="29"/>
      <c r="F132" s="29"/>
      <c r="G132" s="64"/>
      <c r="H132" s="81">
        <v>127</v>
      </c>
      <c r="I132" s="82" t="str">
        <f t="shared" si="16"/>
        <v/>
      </c>
      <c r="J132" s="81">
        <f t="shared" si="17"/>
        <v>0</v>
      </c>
      <c r="K132" s="81">
        <f t="shared" si="18"/>
        <v>0</v>
      </c>
      <c r="L132" s="81"/>
      <c r="M132" s="83">
        <f t="shared" si="19"/>
        <v>0</v>
      </c>
      <c r="N132" s="83">
        <f t="shared" si="20"/>
        <v>0</v>
      </c>
      <c r="O132" s="64"/>
      <c r="P132" s="64"/>
      <c r="Q132" s="64"/>
      <c r="R132" s="64"/>
      <c r="S132" s="94"/>
      <c r="T132" s="95"/>
    </row>
    <row r="133" spans="1:20" s="71" customFormat="1" x14ac:dyDescent="0.25">
      <c r="A133" s="110">
        <f t="shared" si="15"/>
        <v>0</v>
      </c>
      <c r="B133" s="34" t="str">
        <f t="shared" si="21"/>
        <v/>
      </c>
      <c r="C133" s="35"/>
      <c r="D133" s="35"/>
      <c r="E133" s="35"/>
      <c r="F133" s="35"/>
      <c r="G133" s="64"/>
      <c r="H133" s="84">
        <v>128</v>
      </c>
      <c r="I133" s="85" t="str">
        <f t="shared" si="16"/>
        <v/>
      </c>
      <c r="J133" s="84">
        <f t="shared" si="17"/>
        <v>0</v>
      </c>
      <c r="K133" s="84">
        <f t="shared" si="18"/>
        <v>0</v>
      </c>
      <c r="L133" s="84"/>
      <c r="M133" s="86">
        <f t="shared" si="19"/>
        <v>0</v>
      </c>
      <c r="N133" s="86">
        <f t="shared" si="20"/>
        <v>0</v>
      </c>
      <c r="O133" s="64"/>
      <c r="P133" s="64"/>
      <c r="Q133" s="64"/>
      <c r="R133" s="64"/>
      <c r="S133" s="64"/>
    </row>
    <row r="134" spans="1:20" s="71" customFormat="1" x14ac:dyDescent="0.25">
      <c r="A134" s="109">
        <f t="shared" si="15"/>
        <v>0</v>
      </c>
      <c r="B134" s="28" t="str">
        <f t="shared" si="21"/>
        <v/>
      </c>
      <c r="C134" s="29"/>
      <c r="D134" s="29"/>
      <c r="E134" s="29"/>
      <c r="F134" s="29"/>
      <c r="G134" s="64"/>
      <c r="H134" s="81">
        <v>129</v>
      </c>
      <c r="I134" s="82" t="str">
        <f t="shared" si="16"/>
        <v/>
      </c>
      <c r="J134" s="81">
        <f t="shared" si="17"/>
        <v>-1</v>
      </c>
      <c r="K134" s="81">
        <f t="shared" si="18"/>
        <v>-10</v>
      </c>
      <c r="L134" s="81"/>
      <c r="M134" s="83">
        <f t="shared" si="19"/>
        <v>0</v>
      </c>
      <c r="N134" s="83">
        <f t="shared" si="20"/>
        <v>0</v>
      </c>
      <c r="O134" s="64"/>
      <c r="P134" s="64"/>
      <c r="Q134" s="64"/>
      <c r="R134" s="64"/>
      <c r="S134" s="94"/>
      <c r="T134" s="95"/>
    </row>
    <row r="135" spans="1:20" s="71" customFormat="1" x14ac:dyDescent="0.25">
      <c r="A135" s="110">
        <f t="shared" si="15"/>
        <v>0</v>
      </c>
      <c r="B135" s="34" t="str">
        <f t="shared" si="21"/>
        <v/>
      </c>
      <c r="C135" s="35"/>
      <c r="D135" s="35"/>
      <c r="E135" s="35"/>
      <c r="F135" s="35"/>
      <c r="G135" s="64"/>
      <c r="H135" s="84">
        <v>130</v>
      </c>
      <c r="I135" s="85" t="str">
        <f t="shared" si="16"/>
        <v/>
      </c>
      <c r="J135" s="84">
        <f t="shared" si="17"/>
        <v>-1</v>
      </c>
      <c r="K135" s="84">
        <f t="shared" si="18"/>
        <v>-10</v>
      </c>
      <c r="L135" s="84"/>
      <c r="M135" s="86">
        <f t="shared" si="19"/>
        <v>0</v>
      </c>
      <c r="N135" s="86">
        <f t="shared" si="20"/>
        <v>0</v>
      </c>
      <c r="O135" s="64"/>
      <c r="P135" s="64"/>
      <c r="Q135" s="64"/>
      <c r="R135" s="64"/>
      <c r="S135" s="64"/>
    </row>
    <row r="136" spans="1:20" s="71" customFormat="1" x14ac:dyDescent="0.25">
      <c r="A136" s="109">
        <f t="shared" si="15"/>
        <v>0</v>
      </c>
      <c r="B136" s="28" t="str">
        <f t="shared" si="21"/>
        <v/>
      </c>
      <c r="C136" s="29"/>
      <c r="D136" s="29"/>
      <c r="E136" s="29"/>
      <c r="F136" s="29"/>
      <c r="G136" s="64"/>
      <c r="H136" s="81">
        <v>131</v>
      </c>
      <c r="I136" s="82" t="str">
        <f t="shared" si="16"/>
        <v/>
      </c>
      <c r="J136" s="81">
        <f t="shared" si="17"/>
        <v>-1</v>
      </c>
      <c r="K136" s="81">
        <f t="shared" si="18"/>
        <v>-10</v>
      </c>
      <c r="L136" s="81"/>
      <c r="M136" s="83">
        <f t="shared" si="19"/>
        <v>0</v>
      </c>
      <c r="N136" s="83">
        <f t="shared" si="20"/>
        <v>0</v>
      </c>
      <c r="O136" s="64"/>
      <c r="P136" s="64"/>
      <c r="Q136" s="64"/>
      <c r="R136" s="64"/>
      <c r="S136" s="94"/>
      <c r="T136" s="95"/>
    </row>
    <row r="137" spans="1:20" s="71" customFormat="1" x14ac:dyDescent="0.25">
      <c r="A137" s="110">
        <f t="shared" si="15"/>
        <v>0</v>
      </c>
      <c r="B137" s="34" t="str">
        <f t="shared" si="21"/>
        <v/>
      </c>
      <c r="C137" s="35"/>
      <c r="D137" s="35"/>
      <c r="E137" s="35"/>
      <c r="F137" s="35"/>
      <c r="G137" s="64"/>
      <c r="H137" s="84">
        <v>132</v>
      </c>
      <c r="I137" s="85" t="str">
        <f t="shared" si="16"/>
        <v/>
      </c>
      <c r="J137" s="84">
        <f t="shared" si="17"/>
        <v>-1</v>
      </c>
      <c r="K137" s="84">
        <f t="shared" si="18"/>
        <v>-10</v>
      </c>
      <c r="L137" s="84"/>
      <c r="M137" s="86">
        <f t="shared" si="19"/>
        <v>0</v>
      </c>
      <c r="N137" s="86">
        <f t="shared" si="20"/>
        <v>0</v>
      </c>
      <c r="O137" s="64"/>
      <c r="P137" s="64"/>
      <c r="Q137" s="64"/>
      <c r="R137" s="64"/>
      <c r="S137" s="64"/>
    </row>
    <row r="138" spans="1:20" s="71" customFormat="1" x14ac:dyDescent="0.25">
      <c r="A138" s="109">
        <f t="shared" si="15"/>
        <v>0</v>
      </c>
      <c r="B138" s="28" t="str">
        <f t="shared" si="21"/>
        <v/>
      </c>
      <c r="C138" s="29"/>
      <c r="D138" s="29"/>
      <c r="E138" s="29"/>
      <c r="F138" s="29"/>
      <c r="G138" s="64"/>
      <c r="H138" s="81">
        <v>133</v>
      </c>
      <c r="I138" s="82" t="str">
        <f t="shared" si="16"/>
        <v/>
      </c>
      <c r="J138" s="81">
        <f t="shared" si="17"/>
        <v>-1</v>
      </c>
      <c r="K138" s="81">
        <f t="shared" si="18"/>
        <v>-10</v>
      </c>
      <c r="L138" s="81"/>
      <c r="M138" s="83">
        <f t="shared" si="19"/>
        <v>0</v>
      </c>
      <c r="N138" s="83">
        <f t="shared" si="20"/>
        <v>0</v>
      </c>
      <c r="O138" s="64"/>
      <c r="P138" s="64"/>
      <c r="Q138" s="64"/>
      <c r="R138" s="64"/>
      <c r="S138" s="94"/>
      <c r="T138" s="95"/>
    </row>
    <row r="139" spans="1:20" s="71" customFormat="1" x14ac:dyDescent="0.25">
      <c r="A139" s="110">
        <f t="shared" si="15"/>
        <v>0</v>
      </c>
      <c r="B139" s="34" t="str">
        <f t="shared" si="21"/>
        <v/>
      </c>
      <c r="C139" s="35"/>
      <c r="D139" s="35"/>
      <c r="E139" s="35"/>
      <c r="F139" s="35"/>
      <c r="G139" s="64"/>
      <c r="H139" s="84">
        <v>134</v>
      </c>
      <c r="I139" s="85" t="str">
        <f t="shared" si="16"/>
        <v/>
      </c>
      <c r="J139" s="84">
        <f t="shared" si="17"/>
        <v>-1</v>
      </c>
      <c r="K139" s="84">
        <f t="shared" si="18"/>
        <v>-10</v>
      </c>
      <c r="L139" s="84"/>
      <c r="M139" s="86">
        <f t="shared" si="19"/>
        <v>0</v>
      </c>
      <c r="N139" s="86">
        <f t="shared" si="20"/>
        <v>0</v>
      </c>
      <c r="O139" s="64"/>
      <c r="P139" s="64"/>
      <c r="Q139" s="64"/>
      <c r="R139" s="64"/>
      <c r="S139" s="64"/>
    </row>
    <row r="140" spans="1:20" s="71" customFormat="1" x14ac:dyDescent="0.25">
      <c r="A140" s="109">
        <f t="shared" si="15"/>
        <v>0</v>
      </c>
      <c r="B140" s="28" t="str">
        <f t="shared" si="21"/>
        <v/>
      </c>
      <c r="C140" s="29"/>
      <c r="D140" s="29"/>
      <c r="E140" s="29"/>
      <c r="F140" s="29"/>
      <c r="G140" s="64"/>
      <c r="H140" s="81">
        <v>135</v>
      </c>
      <c r="I140" s="82" t="str">
        <f t="shared" si="16"/>
        <v/>
      </c>
      <c r="J140" s="81">
        <f t="shared" si="17"/>
        <v>-1</v>
      </c>
      <c r="K140" s="81">
        <f t="shared" si="18"/>
        <v>-10</v>
      </c>
      <c r="L140" s="81"/>
      <c r="M140" s="83">
        <f t="shared" si="19"/>
        <v>0</v>
      </c>
      <c r="N140" s="83">
        <f t="shared" si="20"/>
        <v>0</v>
      </c>
      <c r="O140" s="64"/>
      <c r="P140" s="64"/>
      <c r="Q140" s="64"/>
      <c r="R140" s="64"/>
      <c r="S140" s="94"/>
      <c r="T140" s="95"/>
    </row>
    <row r="141" spans="1:20" s="71" customFormat="1" x14ac:dyDescent="0.25">
      <c r="A141" s="110">
        <f t="shared" si="15"/>
        <v>0</v>
      </c>
      <c r="B141" s="34" t="str">
        <f t="shared" si="21"/>
        <v/>
      </c>
      <c r="C141" s="35"/>
      <c r="D141" s="35"/>
      <c r="E141" s="35"/>
      <c r="F141" s="35"/>
      <c r="G141" s="64"/>
      <c r="H141" s="84">
        <v>136</v>
      </c>
      <c r="I141" s="85" t="str">
        <f t="shared" si="16"/>
        <v/>
      </c>
      <c r="J141" s="84">
        <f t="shared" si="17"/>
        <v>-1</v>
      </c>
      <c r="K141" s="84">
        <f t="shared" si="18"/>
        <v>-10</v>
      </c>
      <c r="L141" s="84"/>
      <c r="M141" s="86">
        <f t="shared" si="19"/>
        <v>0</v>
      </c>
      <c r="N141" s="86">
        <f t="shared" si="20"/>
        <v>0</v>
      </c>
      <c r="O141" s="64"/>
      <c r="P141" s="64"/>
      <c r="Q141" s="64"/>
      <c r="R141" s="64"/>
      <c r="S141" s="64"/>
    </row>
    <row r="142" spans="1:20" s="71" customFormat="1" x14ac:dyDescent="0.25">
      <c r="A142" s="109">
        <f t="shared" si="15"/>
        <v>0</v>
      </c>
      <c r="B142" s="28" t="str">
        <f t="shared" si="21"/>
        <v/>
      </c>
      <c r="C142" s="29"/>
      <c r="D142" s="29"/>
      <c r="E142" s="29"/>
      <c r="F142" s="29"/>
      <c r="G142" s="64"/>
      <c r="H142" s="81">
        <v>137</v>
      </c>
      <c r="I142" s="82" t="str">
        <f t="shared" si="16"/>
        <v/>
      </c>
      <c r="J142" s="81">
        <f t="shared" si="17"/>
        <v>-1</v>
      </c>
      <c r="K142" s="81">
        <f t="shared" si="18"/>
        <v>-10</v>
      </c>
      <c r="L142" s="81"/>
      <c r="M142" s="83">
        <f t="shared" si="19"/>
        <v>0</v>
      </c>
      <c r="N142" s="83">
        <f t="shared" si="20"/>
        <v>0</v>
      </c>
      <c r="O142" s="64"/>
      <c r="P142" s="64"/>
      <c r="Q142" s="64"/>
      <c r="R142" s="64"/>
      <c r="S142" s="94"/>
      <c r="T142" s="95"/>
    </row>
    <row r="143" spans="1:20" s="71" customFormat="1" x14ac:dyDescent="0.25">
      <c r="A143" s="110">
        <f t="shared" si="15"/>
        <v>0</v>
      </c>
      <c r="B143" s="34" t="str">
        <f t="shared" si="21"/>
        <v/>
      </c>
      <c r="C143" s="35"/>
      <c r="D143" s="35"/>
      <c r="E143" s="35"/>
      <c r="F143" s="35"/>
      <c r="G143" s="64"/>
      <c r="H143" s="84">
        <v>138</v>
      </c>
      <c r="I143" s="85" t="str">
        <f t="shared" si="16"/>
        <v/>
      </c>
      <c r="J143" s="84">
        <f t="shared" si="17"/>
        <v>-1</v>
      </c>
      <c r="K143" s="84">
        <f t="shared" si="18"/>
        <v>-10</v>
      </c>
      <c r="L143" s="84"/>
      <c r="M143" s="86">
        <f t="shared" si="19"/>
        <v>0</v>
      </c>
      <c r="N143" s="86">
        <f t="shared" si="20"/>
        <v>0</v>
      </c>
      <c r="O143" s="64"/>
      <c r="P143" s="64"/>
      <c r="Q143" s="64"/>
      <c r="R143" s="64"/>
      <c r="S143" s="64"/>
    </row>
    <row r="144" spans="1:20" s="71" customFormat="1" x14ac:dyDescent="0.25">
      <c r="A144" s="109">
        <f t="shared" si="15"/>
        <v>0</v>
      </c>
      <c r="B144" s="28" t="str">
        <f t="shared" si="21"/>
        <v/>
      </c>
      <c r="C144" s="29"/>
      <c r="D144" s="29"/>
      <c r="E144" s="29"/>
      <c r="F144" s="29"/>
      <c r="G144" s="64"/>
      <c r="H144" s="81">
        <v>139</v>
      </c>
      <c r="I144" s="82" t="str">
        <f t="shared" si="16"/>
        <v/>
      </c>
      <c r="J144" s="81">
        <f t="shared" si="17"/>
        <v>-1</v>
      </c>
      <c r="K144" s="81">
        <f t="shared" si="18"/>
        <v>-10</v>
      </c>
      <c r="L144" s="81"/>
      <c r="M144" s="83">
        <f t="shared" si="19"/>
        <v>0</v>
      </c>
      <c r="N144" s="83">
        <f t="shared" si="20"/>
        <v>0</v>
      </c>
      <c r="O144" s="64"/>
      <c r="P144" s="64"/>
      <c r="Q144" s="64"/>
      <c r="R144" s="64"/>
      <c r="S144" s="94"/>
      <c r="T144" s="95"/>
    </row>
    <row r="145" spans="1:20" s="71" customFormat="1" x14ac:dyDescent="0.25">
      <c r="A145" s="110">
        <f t="shared" si="15"/>
        <v>0</v>
      </c>
      <c r="B145" s="34" t="str">
        <f t="shared" si="21"/>
        <v/>
      </c>
      <c r="C145" s="35"/>
      <c r="D145" s="35"/>
      <c r="E145" s="35"/>
      <c r="F145" s="35"/>
      <c r="G145" s="64"/>
      <c r="H145" s="84">
        <v>140</v>
      </c>
      <c r="I145" s="85" t="str">
        <f t="shared" si="16"/>
        <v/>
      </c>
      <c r="J145" s="84">
        <f t="shared" si="17"/>
        <v>-1</v>
      </c>
      <c r="K145" s="84">
        <f t="shared" si="18"/>
        <v>-10</v>
      </c>
      <c r="L145" s="84"/>
      <c r="M145" s="86">
        <f t="shared" si="19"/>
        <v>0</v>
      </c>
      <c r="N145" s="86">
        <f t="shared" si="20"/>
        <v>0</v>
      </c>
      <c r="O145" s="64"/>
      <c r="P145" s="64"/>
      <c r="Q145" s="64"/>
      <c r="R145" s="64"/>
      <c r="S145" s="64"/>
    </row>
    <row r="146" spans="1:20" s="71" customFormat="1" x14ac:dyDescent="0.25">
      <c r="A146" s="109">
        <f t="shared" si="15"/>
        <v>0</v>
      </c>
      <c r="B146" s="28" t="str">
        <f t="shared" si="21"/>
        <v/>
      </c>
      <c r="C146" s="29"/>
      <c r="D146" s="29"/>
      <c r="E146" s="29"/>
      <c r="F146" s="29"/>
      <c r="G146" s="64"/>
      <c r="H146" s="81">
        <v>141</v>
      </c>
      <c r="I146" s="82" t="str">
        <f t="shared" si="16"/>
        <v/>
      </c>
      <c r="J146" s="81">
        <f t="shared" si="17"/>
        <v>-1</v>
      </c>
      <c r="K146" s="81">
        <f t="shared" si="18"/>
        <v>-10</v>
      </c>
      <c r="L146" s="81"/>
      <c r="M146" s="83">
        <f t="shared" si="19"/>
        <v>0</v>
      </c>
      <c r="N146" s="83">
        <f t="shared" si="20"/>
        <v>0</v>
      </c>
      <c r="O146" s="64"/>
      <c r="P146" s="64"/>
      <c r="Q146" s="64"/>
      <c r="R146" s="64"/>
      <c r="S146" s="94"/>
      <c r="T146" s="95"/>
    </row>
    <row r="147" spans="1:20" s="71" customFormat="1" x14ac:dyDescent="0.25">
      <c r="A147" s="110">
        <f t="shared" si="15"/>
        <v>0</v>
      </c>
      <c r="B147" s="34" t="str">
        <f t="shared" si="21"/>
        <v/>
      </c>
      <c r="C147" s="35"/>
      <c r="D147" s="35"/>
      <c r="E147" s="35"/>
      <c r="F147" s="35"/>
      <c r="G147" s="64"/>
      <c r="H147" s="84">
        <v>142</v>
      </c>
      <c r="I147" s="85" t="str">
        <f t="shared" si="16"/>
        <v/>
      </c>
      <c r="J147" s="84">
        <f t="shared" si="17"/>
        <v>-1</v>
      </c>
      <c r="K147" s="84">
        <f t="shared" si="18"/>
        <v>-10</v>
      </c>
      <c r="L147" s="84"/>
      <c r="M147" s="86">
        <f t="shared" si="19"/>
        <v>0</v>
      </c>
      <c r="N147" s="86">
        <f t="shared" si="20"/>
        <v>0</v>
      </c>
      <c r="O147" s="64"/>
      <c r="P147" s="64"/>
      <c r="Q147" s="64"/>
      <c r="R147" s="64"/>
      <c r="S147" s="64"/>
    </row>
    <row r="148" spans="1:20" s="71" customFormat="1" x14ac:dyDescent="0.25">
      <c r="A148" s="109">
        <f t="shared" si="15"/>
        <v>0</v>
      </c>
      <c r="B148" s="28" t="str">
        <f t="shared" si="21"/>
        <v/>
      </c>
      <c r="C148" s="29"/>
      <c r="D148" s="29"/>
      <c r="E148" s="29"/>
      <c r="F148" s="29"/>
      <c r="G148" s="64"/>
      <c r="H148" s="81">
        <v>143</v>
      </c>
      <c r="I148" s="82" t="str">
        <f t="shared" si="16"/>
        <v/>
      </c>
      <c r="J148" s="81">
        <f t="shared" si="17"/>
        <v>-1</v>
      </c>
      <c r="K148" s="81">
        <f t="shared" si="18"/>
        <v>-10</v>
      </c>
      <c r="L148" s="81"/>
      <c r="M148" s="83">
        <f t="shared" si="19"/>
        <v>0</v>
      </c>
      <c r="N148" s="83">
        <f t="shared" si="20"/>
        <v>0</v>
      </c>
      <c r="O148" s="64"/>
      <c r="P148" s="64"/>
      <c r="Q148" s="64"/>
      <c r="R148" s="64"/>
      <c r="S148" s="94"/>
      <c r="T148" s="95"/>
    </row>
    <row r="149" spans="1:20" s="71" customFormat="1" x14ac:dyDescent="0.25">
      <c r="A149" s="110">
        <f t="shared" si="15"/>
        <v>0</v>
      </c>
      <c r="B149" s="34" t="str">
        <f t="shared" si="21"/>
        <v/>
      </c>
      <c r="C149" s="35"/>
      <c r="D149" s="35"/>
      <c r="E149" s="35"/>
      <c r="F149" s="35"/>
      <c r="G149" s="64"/>
      <c r="H149" s="84">
        <v>144</v>
      </c>
      <c r="I149" s="85" t="str">
        <f t="shared" si="16"/>
        <v/>
      </c>
      <c r="J149" s="84">
        <f t="shared" si="17"/>
        <v>-1</v>
      </c>
      <c r="K149" s="84">
        <f t="shared" si="18"/>
        <v>-10</v>
      </c>
      <c r="L149" s="84"/>
      <c r="M149" s="86">
        <f t="shared" si="19"/>
        <v>0</v>
      </c>
      <c r="N149" s="86">
        <f t="shared" si="20"/>
        <v>0</v>
      </c>
      <c r="O149" s="64"/>
      <c r="P149" s="64"/>
      <c r="Q149" s="64"/>
      <c r="R149" s="64"/>
      <c r="S149" s="64"/>
    </row>
    <row r="150" spans="1:20" s="71" customFormat="1" x14ac:dyDescent="0.25">
      <c r="A150" s="109">
        <f t="shared" si="15"/>
        <v>0</v>
      </c>
      <c r="B150" s="28" t="str">
        <f t="shared" si="21"/>
        <v/>
      </c>
      <c r="C150" s="29"/>
      <c r="D150" s="29"/>
      <c r="E150" s="29"/>
      <c r="F150" s="29"/>
      <c r="G150" s="64"/>
      <c r="H150" s="81">
        <v>145</v>
      </c>
      <c r="I150" s="82" t="str">
        <f t="shared" si="16"/>
        <v/>
      </c>
      <c r="J150" s="81">
        <f t="shared" si="17"/>
        <v>-1</v>
      </c>
      <c r="K150" s="81">
        <f t="shared" si="18"/>
        <v>-10</v>
      </c>
      <c r="L150" s="81"/>
      <c r="M150" s="83">
        <f t="shared" si="19"/>
        <v>0</v>
      </c>
      <c r="N150" s="83">
        <f t="shared" si="20"/>
        <v>0</v>
      </c>
      <c r="O150" s="64"/>
      <c r="P150" s="64"/>
      <c r="Q150" s="64"/>
      <c r="R150" s="64"/>
      <c r="S150" s="94"/>
      <c r="T150" s="95"/>
    </row>
    <row r="151" spans="1:20" s="71" customFormat="1" x14ac:dyDescent="0.25">
      <c r="A151" s="110">
        <f t="shared" si="15"/>
        <v>0</v>
      </c>
      <c r="B151" s="34" t="str">
        <f t="shared" si="21"/>
        <v/>
      </c>
      <c r="C151" s="35"/>
      <c r="D151" s="35"/>
      <c r="E151" s="35"/>
      <c r="F151" s="35"/>
      <c r="G151" s="64"/>
      <c r="H151" s="84">
        <v>146</v>
      </c>
      <c r="I151" s="85" t="str">
        <f t="shared" si="16"/>
        <v/>
      </c>
      <c r="J151" s="84">
        <f t="shared" si="17"/>
        <v>-1</v>
      </c>
      <c r="K151" s="84">
        <f t="shared" si="18"/>
        <v>-10</v>
      </c>
      <c r="L151" s="84"/>
      <c r="M151" s="86">
        <f t="shared" si="19"/>
        <v>0</v>
      </c>
      <c r="N151" s="86">
        <f t="shared" si="20"/>
        <v>0</v>
      </c>
      <c r="O151" s="64"/>
      <c r="P151" s="64"/>
      <c r="Q151" s="64"/>
      <c r="R151" s="64"/>
      <c r="S151" s="64"/>
    </row>
    <row r="152" spans="1:20" s="71" customFormat="1" x14ac:dyDescent="0.25">
      <c r="A152" s="109">
        <f t="shared" si="15"/>
        <v>0</v>
      </c>
      <c r="B152" s="28" t="str">
        <f t="shared" si="21"/>
        <v/>
      </c>
      <c r="C152" s="29"/>
      <c r="D152" s="29"/>
      <c r="E152" s="29"/>
      <c r="F152" s="29"/>
      <c r="G152" s="64"/>
      <c r="H152" s="81">
        <v>147</v>
      </c>
      <c r="I152" s="82" t="str">
        <f t="shared" si="16"/>
        <v/>
      </c>
      <c r="J152" s="81">
        <f t="shared" si="17"/>
        <v>-1</v>
      </c>
      <c r="K152" s="81">
        <f t="shared" si="18"/>
        <v>-10</v>
      </c>
      <c r="L152" s="81"/>
      <c r="M152" s="83">
        <f t="shared" si="19"/>
        <v>0</v>
      </c>
      <c r="N152" s="83">
        <f t="shared" si="20"/>
        <v>0</v>
      </c>
      <c r="O152" s="64"/>
      <c r="P152" s="64"/>
      <c r="Q152" s="64"/>
      <c r="R152" s="64"/>
      <c r="S152" s="94"/>
      <c r="T152" s="95"/>
    </row>
    <row r="153" spans="1:20" s="71" customFormat="1" x14ac:dyDescent="0.25">
      <c r="A153" s="110">
        <f t="shared" si="15"/>
        <v>0</v>
      </c>
      <c r="B153" s="34" t="str">
        <f t="shared" si="21"/>
        <v/>
      </c>
      <c r="C153" s="35"/>
      <c r="D153" s="35"/>
      <c r="E153" s="35"/>
      <c r="F153" s="35"/>
      <c r="G153" s="64"/>
      <c r="H153" s="84">
        <v>148</v>
      </c>
      <c r="I153" s="85" t="str">
        <f t="shared" si="16"/>
        <v/>
      </c>
      <c r="J153" s="84">
        <f t="shared" si="17"/>
        <v>-1</v>
      </c>
      <c r="K153" s="84">
        <f t="shared" si="18"/>
        <v>-10</v>
      </c>
      <c r="L153" s="84"/>
      <c r="M153" s="86">
        <f t="shared" si="19"/>
        <v>0</v>
      </c>
      <c r="N153" s="86">
        <f t="shared" si="20"/>
        <v>0</v>
      </c>
      <c r="O153" s="64"/>
      <c r="P153" s="64"/>
      <c r="Q153" s="64"/>
      <c r="R153" s="64"/>
      <c r="S153" s="64"/>
    </row>
    <row r="154" spans="1:20" s="71" customFormat="1" x14ac:dyDescent="0.25">
      <c r="A154" s="109">
        <f t="shared" si="15"/>
        <v>0</v>
      </c>
      <c r="B154" s="28" t="str">
        <f t="shared" si="21"/>
        <v/>
      </c>
      <c r="C154" s="29"/>
      <c r="D154" s="29"/>
      <c r="E154" s="29"/>
      <c r="F154" s="29"/>
      <c r="G154" s="64"/>
      <c r="H154" s="81">
        <v>149</v>
      </c>
      <c r="I154" s="82" t="str">
        <f t="shared" si="16"/>
        <v/>
      </c>
      <c r="J154" s="81">
        <f t="shared" si="17"/>
        <v>-1</v>
      </c>
      <c r="K154" s="81">
        <f t="shared" si="18"/>
        <v>-10</v>
      </c>
      <c r="L154" s="81"/>
      <c r="M154" s="83">
        <f t="shared" si="19"/>
        <v>0</v>
      </c>
      <c r="N154" s="83">
        <f t="shared" si="20"/>
        <v>0</v>
      </c>
      <c r="O154" s="64"/>
      <c r="P154" s="64"/>
      <c r="Q154" s="64"/>
      <c r="R154" s="64"/>
      <c r="S154" s="94"/>
      <c r="T154" s="95"/>
    </row>
    <row r="155" spans="1:20" s="71" customFormat="1" x14ac:dyDescent="0.25">
      <c r="A155" s="110">
        <f t="shared" si="15"/>
        <v>0</v>
      </c>
      <c r="B155" s="34" t="str">
        <f t="shared" si="21"/>
        <v/>
      </c>
      <c r="C155" s="35"/>
      <c r="D155" s="35"/>
      <c r="E155" s="35"/>
      <c r="F155" s="35"/>
      <c r="G155" s="64"/>
      <c r="H155" s="84">
        <v>150</v>
      </c>
      <c r="I155" s="85" t="str">
        <f t="shared" si="16"/>
        <v/>
      </c>
      <c r="J155" s="84">
        <f t="shared" si="17"/>
        <v>-1</v>
      </c>
      <c r="K155" s="84">
        <f t="shared" si="18"/>
        <v>-10</v>
      </c>
      <c r="L155" s="84"/>
      <c r="M155" s="86">
        <f t="shared" si="19"/>
        <v>0</v>
      </c>
      <c r="N155" s="86">
        <f t="shared" si="20"/>
        <v>0</v>
      </c>
      <c r="O155" s="64"/>
      <c r="P155" s="64"/>
      <c r="Q155" s="64"/>
      <c r="R155" s="64"/>
      <c r="S155" s="64"/>
    </row>
    <row r="156" spans="1:20" s="71" customFormat="1" x14ac:dyDescent="0.25">
      <c r="A156" s="109">
        <f t="shared" si="15"/>
        <v>0</v>
      </c>
      <c r="B156" s="28" t="str">
        <f t="shared" si="21"/>
        <v/>
      </c>
      <c r="C156" s="29"/>
      <c r="D156" s="29"/>
      <c r="E156" s="29"/>
      <c r="F156" s="29"/>
      <c r="G156" s="64"/>
      <c r="H156" s="81">
        <v>151</v>
      </c>
      <c r="I156" s="82" t="str">
        <f t="shared" si="16"/>
        <v/>
      </c>
      <c r="J156" s="81">
        <f t="shared" si="17"/>
        <v>-1</v>
      </c>
      <c r="K156" s="81">
        <f t="shared" si="18"/>
        <v>-10</v>
      </c>
      <c r="L156" s="81"/>
      <c r="M156" s="83">
        <f t="shared" si="19"/>
        <v>0</v>
      </c>
      <c r="N156" s="83">
        <f t="shared" si="20"/>
        <v>0</v>
      </c>
      <c r="O156" s="64"/>
      <c r="P156" s="64"/>
      <c r="Q156" s="64"/>
      <c r="R156" s="64"/>
      <c r="S156" s="94"/>
      <c r="T156" s="95"/>
    </row>
    <row r="157" spans="1:20" s="71" customFormat="1" x14ac:dyDescent="0.25">
      <c r="A157" s="110">
        <f t="shared" si="15"/>
        <v>0</v>
      </c>
      <c r="B157" s="34" t="str">
        <f t="shared" si="21"/>
        <v/>
      </c>
      <c r="C157" s="35"/>
      <c r="D157" s="35"/>
      <c r="E157" s="35"/>
      <c r="F157" s="35"/>
      <c r="G157" s="64"/>
      <c r="H157" s="84">
        <v>152</v>
      </c>
      <c r="I157" s="85" t="str">
        <f t="shared" si="16"/>
        <v/>
      </c>
      <c r="J157" s="84">
        <f t="shared" si="17"/>
        <v>-1</v>
      </c>
      <c r="K157" s="84">
        <f t="shared" si="18"/>
        <v>-10</v>
      </c>
      <c r="L157" s="84"/>
      <c r="M157" s="86">
        <f t="shared" si="19"/>
        <v>0</v>
      </c>
      <c r="N157" s="86">
        <f t="shared" si="20"/>
        <v>0</v>
      </c>
      <c r="O157" s="64"/>
      <c r="P157" s="64"/>
      <c r="Q157" s="64"/>
      <c r="R157" s="64"/>
      <c r="S157" s="64"/>
    </row>
    <row r="158" spans="1:20" s="71" customFormat="1" x14ac:dyDescent="0.25">
      <c r="A158" s="109">
        <f t="shared" si="15"/>
        <v>0</v>
      </c>
      <c r="B158" s="28" t="str">
        <f t="shared" si="21"/>
        <v/>
      </c>
      <c r="C158" s="29"/>
      <c r="D158" s="29"/>
      <c r="E158" s="29"/>
      <c r="F158" s="29"/>
      <c r="G158" s="64"/>
      <c r="H158" s="81">
        <v>153</v>
      </c>
      <c r="I158" s="82" t="str">
        <f t="shared" si="16"/>
        <v/>
      </c>
      <c r="J158" s="81">
        <f t="shared" si="17"/>
        <v>-1</v>
      </c>
      <c r="K158" s="81">
        <f t="shared" si="18"/>
        <v>-10</v>
      </c>
      <c r="L158" s="81"/>
      <c r="M158" s="83">
        <f t="shared" si="19"/>
        <v>0</v>
      </c>
      <c r="N158" s="83">
        <f t="shared" si="20"/>
        <v>0</v>
      </c>
      <c r="O158" s="64"/>
      <c r="P158" s="64"/>
      <c r="Q158" s="64"/>
      <c r="R158" s="64"/>
      <c r="S158" s="94"/>
      <c r="T158" s="95"/>
    </row>
    <row r="159" spans="1:20" s="71" customFormat="1" x14ac:dyDescent="0.25">
      <c r="A159" s="110">
        <f t="shared" si="15"/>
        <v>0</v>
      </c>
      <c r="B159" s="34" t="str">
        <f t="shared" si="21"/>
        <v/>
      </c>
      <c r="C159" s="35"/>
      <c r="D159" s="35"/>
      <c r="E159" s="35"/>
      <c r="F159" s="35"/>
      <c r="G159" s="64"/>
      <c r="H159" s="84">
        <v>154</v>
      </c>
      <c r="I159" s="85" t="str">
        <f t="shared" si="16"/>
        <v/>
      </c>
      <c r="J159" s="84">
        <f t="shared" si="17"/>
        <v>-1</v>
      </c>
      <c r="K159" s="84">
        <f t="shared" si="18"/>
        <v>-10</v>
      </c>
      <c r="L159" s="84"/>
      <c r="M159" s="86">
        <f t="shared" si="19"/>
        <v>0</v>
      </c>
      <c r="N159" s="86">
        <f t="shared" si="20"/>
        <v>0</v>
      </c>
      <c r="O159" s="64"/>
      <c r="P159" s="64"/>
      <c r="Q159" s="64"/>
      <c r="R159" s="64"/>
      <c r="S159" s="64"/>
    </row>
    <row r="160" spans="1:20" s="71" customFormat="1" x14ac:dyDescent="0.25">
      <c r="A160" s="109">
        <f t="shared" si="15"/>
        <v>0</v>
      </c>
      <c r="B160" s="28" t="str">
        <f t="shared" si="21"/>
        <v/>
      </c>
      <c r="C160" s="29"/>
      <c r="D160" s="29"/>
      <c r="E160" s="29"/>
      <c r="F160" s="29"/>
      <c r="G160" s="64"/>
      <c r="H160" s="81">
        <v>155</v>
      </c>
      <c r="I160" s="82" t="str">
        <f t="shared" si="16"/>
        <v/>
      </c>
      <c r="J160" s="81">
        <f t="shared" si="17"/>
        <v>-1</v>
      </c>
      <c r="K160" s="81">
        <f t="shared" si="18"/>
        <v>-10</v>
      </c>
      <c r="L160" s="81"/>
      <c r="M160" s="83">
        <f t="shared" si="19"/>
        <v>0</v>
      </c>
      <c r="N160" s="83">
        <f t="shared" si="20"/>
        <v>0</v>
      </c>
      <c r="O160" s="64"/>
      <c r="P160" s="64"/>
      <c r="Q160" s="64"/>
      <c r="R160" s="64"/>
      <c r="S160" s="94"/>
      <c r="T160" s="95"/>
    </row>
    <row r="161" spans="1:20" s="71" customFormat="1" x14ac:dyDescent="0.25">
      <c r="A161" s="110">
        <f t="shared" si="15"/>
        <v>0</v>
      </c>
      <c r="B161" s="34" t="str">
        <f t="shared" si="21"/>
        <v/>
      </c>
      <c r="C161" s="35"/>
      <c r="D161" s="35"/>
      <c r="E161" s="35"/>
      <c r="F161" s="35"/>
      <c r="G161" s="64"/>
      <c r="H161" s="84">
        <v>156</v>
      </c>
      <c r="I161" s="85" t="str">
        <f t="shared" si="16"/>
        <v/>
      </c>
      <c r="J161" s="84">
        <f t="shared" si="17"/>
        <v>-1</v>
      </c>
      <c r="K161" s="84">
        <f t="shared" si="18"/>
        <v>-10</v>
      </c>
      <c r="L161" s="84"/>
      <c r="M161" s="86">
        <f t="shared" si="19"/>
        <v>0</v>
      </c>
      <c r="N161" s="86">
        <f t="shared" si="20"/>
        <v>0</v>
      </c>
      <c r="O161" s="64"/>
      <c r="P161" s="64"/>
      <c r="Q161" s="64"/>
      <c r="R161" s="64"/>
      <c r="S161" s="64"/>
    </row>
    <row r="162" spans="1:20" s="71" customFormat="1" x14ac:dyDescent="0.25">
      <c r="A162" s="109">
        <f t="shared" si="15"/>
        <v>0</v>
      </c>
      <c r="B162" s="28" t="str">
        <f t="shared" si="21"/>
        <v/>
      </c>
      <c r="C162" s="29"/>
      <c r="D162" s="29"/>
      <c r="E162" s="29"/>
      <c r="F162" s="29"/>
      <c r="G162" s="64"/>
      <c r="H162" s="81">
        <v>157</v>
      </c>
      <c r="I162" s="82" t="str">
        <f t="shared" si="16"/>
        <v/>
      </c>
      <c r="J162" s="81">
        <f t="shared" si="17"/>
        <v>-1</v>
      </c>
      <c r="K162" s="81">
        <f t="shared" si="18"/>
        <v>-10</v>
      </c>
      <c r="L162" s="81"/>
      <c r="M162" s="83">
        <f t="shared" si="19"/>
        <v>0</v>
      </c>
      <c r="N162" s="83">
        <f t="shared" si="20"/>
        <v>0</v>
      </c>
      <c r="O162" s="64"/>
      <c r="P162" s="64"/>
      <c r="Q162" s="64"/>
      <c r="R162" s="64"/>
      <c r="S162" s="94"/>
      <c r="T162" s="95"/>
    </row>
    <row r="163" spans="1:20" s="71" customFormat="1" x14ac:dyDescent="0.25">
      <c r="A163" s="110">
        <f t="shared" si="15"/>
        <v>0</v>
      </c>
      <c r="B163" s="34" t="str">
        <f t="shared" si="21"/>
        <v/>
      </c>
      <c r="C163" s="35"/>
      <c r="D163" s="35"/>
      <c r="E163" s="35"/>
      <c r="F163" s="35"/>
      <c r="G163" s="64"/>
      <c r="H163" s="84">
        <v>158</v>
      </c>
      <c r="I163" s="85" t="str">
        <f t="shared" si="16"/>
        <v/>
      </c>
      <c r="J163" s="84">
        <f t="shared" si="17"/>
        <v>-1</v>
      </c>
      <c r="K163" s="84">
        <f t="shared" si="18"/>
        <v>-10</v>
      </c>
      <c r="L163" s="84"/>
      <c r="M163" s="86">
        <f t="shared" si="19"/>
        <v>0</v>
      </c>
      <c r="N163" s="86">
        <f t="shared" si="20"/>
        <v>0</v>
      </c>
      <c r="O163" s="64"/>
      <c r="P163" s="64"/>
      <c r="Q163" s="64"/>
      <c r="R163" s="64"/>
      <c r="S163" s="64"/>
    </row>
    <row r="164" spans="1:20" s="71" customFormat="1" x14ac:dyDescent="0.25">
      <c r="A164" s="109">
        <f t="shared" si="15"/>
        <v>0</v>
      </c>
      <c r="B164" s="28" t="str">
        <f t="shared" si="21"/>
        <v/>
      </c>
      <c r="C164" s="29"/>
      <c r="D164" s="29"/>
      <c r="E164" s="29"/>
      <c r="F164" s="29"/>
      <c r="G164" s="64"/>
      <c r="H164" s="81">
        <v>159</v>
      </c>
      <c r="I164" s="82" t="str">
        <f t="shared" si="16"/>
        <v/>
      </c>
      <c r="J164" s="81">
        <f t="shared" si="17"/>
        <v>-1</v>
      </c>
      <c r="K164" s="81">
        <f t="shared" si="18"/>
        <v>-10</v>
      </c>
      <c r="L164" s="81"/>
      <c r="M164" s="83">
        <f t="shared" si="19"/>
        <v>0</v>
      </c>
      <c r="N164" s="83">
        <f t="shared" si="20"/>
        <v>0</v>
      </c>
      <c r="O164" s="64"/>
      <c r="P164" s="64"/>
      <c r="Q164" s="64"/>
      <c r="R164" s="64"/>
      <c r="S164" s="94"/>
      <c r="T164" s="95"/>
    </row>
    <row r="165" spans="1:20" s="71" customFormat="1" x14ac:dyDescent="0.25">
      <c r="A165" s="110">
        <f t="shared" ref="A165:A228" si="22">N165</f>
        <v>0</v>
      </c>
      <c r="B165" s="34" t="str">
        <f t="shared" ref="B165:B228" si="23">IF(H165&gt;$H$2,"",(ROW()-5))</f>
        <v/>
      </c>
      <c r="C165" s="35"/>
      <c r="D165" s="35"/>
      <c r="E165" s="35"/>
      <c r="F165" s="35"/>
      <c r="G165" s="64"/>
      <c r="H165" s="84">
        <v>160</v>
      </c>
      <c r="I165" s="85" t="str">
        <f t="shared" ref="I165:I228" si="24">IF(H165&lt;$H$2+1,($I$2-($I$2-1)*(LOG(H165)/LOG($H$2))),"")</f>
        <v/>
      </c>
      <c r="J165" s="84">
        <f t="shared" ref="J165:J228" si="25">INT(LOG($H$2,2))-ROUNDUP(LOG(H165,2),0)+IF(OR($H$2=1,$H$2=2,$H$2=4,$H$2=8,$H$2=16,$H$2=32,$H$2=64,$H$2=128,$H$2=256),0,1)</f>
        <v>-1</v>
      </c>
      <c r="K165" s="84">
        <f t="shared" ref="K165:K228" si="26">J165*$J$2</f>
        <v>-10</v>
      </c>
      <c r="L165" s="84"/>
      <c r="M165" s="86">
        <f t="shared" ref="M165:M228" si="27">IF(I165&lt;&gt;"",K165+I165+L165,0)</f>
        <v>0</v>
      </c>
      <c r="N165" s="86">
        <f t="shared" ref="N165:N228" si="28">IF(I165&lt;&gt;"",M165*L$2,0)</f>
        <v>0</v>
      </c>
      <c r="O165" s="64"/>
      <c r="P165" s="64"/>
      <c r="Q165" s="64"/>
      <c r="R165" s="64"/>
      <c r="S165" s="64"/>
    </row>
    <row r="166" spans="1:20" s="71" customFormat="1" x14ac:dyDescent="0.25">
      <c r="A166" s="109">
        <f t="shared" si="22"/>
        <v>0</v>
      </c>
      <c r="B166" s="28" t="str">
        <f t="shared" si="23"/>
        <v/>
      </c>
      <c r="C166" s="29"/>
      <c r="D166" s="29"/>
      <c r="E166" s="29"/>
      <c r="F166" s="29"/>
      <c r="G166" s="64"/>
      <c r="H166" s="81">
        <v>161</v>
      </c>
      <c r="I166" s="82" t="str">
        <f t="shared" si="24"/>
        <v/>
      </c>
      <c r="J166" s="81">
        <f t="shared" si="25"/>
        <v>-1</v>
      </c>
      <c r="K166" s="81">
        <f t="shared" si="26"/>
        <v>-10</v>
      </c>
      <c r="L166" s="81"/>
      <c r="M166" s="83">
        <f t="shared" si="27"/>
        <v>0</v>
      </c>
      <c r="N166" s="83">
        <f t="shared" si="28"/>
        <v>0</v>
      </c>
      <c r="O166" s="64"/>
      <c r="P166" s="64"/>
      <c r="Q166" s="64"/>
      <c r="R166" s="64"/>
      <c r="S166" s="94"/>
      <c r="T166" s="95"/>
    </row>
    <row r="167" spans="1:20" s="71" customFormat="1" x14ac:dyDescent="0.25">
      <c r="A167" s="110">
        <f t="shared" si="22"/>
        <v>0</v>
      </c>
      <c r="B167" s="34" t="str">
        <f t="shared" si="23"/>
        <v/>
      </c>
      <c r="C167" s="35"/>
      <c r="D167" s="35"/>
      <c r="E167" s="35"/>
      <c r="F167" s="35"/>
      <c r="G167" s="64"/>
      <c r="H167" s="84">
        <v>162</v>
      </c>
      <c r="I167" s="85" t="str">
        <f t="shared" si="24"/>
        <v/>
      </c>
      <c r="J167" s="84">
        <f t="shared" si="25"/>
        <v>-1</v>
      </c>
      <c r="K167" s="84">
        <f t="shared" si="26"/>
        <v>-10</v>
      </c>
      <c r="L167" s="84"/>
      <c r="M167" s="86">
        <f t="shared" si="27"/>
        <v>0</v>
      </c>
      <c r="N167" s="86">
        <f t="shared" si="28"/>
        <v>0</v>
      </c>
      <c r="O167" s="64"/>
      <c r="P167" s="64"/>
      <c r="Q167" s="64"/>
      <c r="R167" s="64"/>
      <c r="S167" s="64"/>
    </row>
    <row r="168" spans="1:20" s="71" customFormat="1" x14ac:dyDescent="0.25">
      <c r="A168" s="109">
        <f t="shared" si="22"/>
        <v>0</v>
      </c>
      <c r="B168" s="28" t="str">
        <f t="shared" si="23"/>
        <v/>
      </c>
      <c r="C168" s="29"/>
      <c r="D168" s="29"/>
      <c r="E168" s="29"/>
      <c r="F168" s="29"/>
      <c r="G168" s="64"/>
      <c r="H168" s="81">
        <v>163</v>
      </c>
      <c r="I168" s="82" t="str">
        <f t="shared" si="24"/>
        <v/>
      </c>
      <c r="J168" s="81">
        <f t="shared" si="25"/>
        <v>-1</v>
      </c>
      <c r="K168" s="81">
        <f t="shared" si="26"/>
        <v>-10</v>
      </c>
      <c r="L168" s="81"/>
      <c r="M168" s="83">
        <f t="shared" si="27"/>
        <v>0</v>
      </c>
      <c r="N168" s="83">
        <f t="shared" si="28"/>
        <v>0</v>
      </c>
      <c r="O168" s="64"/>
      <c r="P168" s="64"/>
      <c r="Q168" s="64"/>
      <c r="R168" s="64"/>
      <c r="S168" s="94"/>
      <c r="T168" s="95"/>
    </row>
    <row r="169" spans="1:20" s="71" customFormat="1" x14ac:dyDescent="0.25">
      <c r="A169" s="110">
        <f t="shared" si="22"/>
        <v>0</v>
      </c>
      <c r="B169" s="34" t="str">
        <f t="shared" si="23"/>
        <v/>
      </c>
      <c r="C169" s="35"/>
      <c r="D169" s="35"/>
      <c r="E169" s="35"/>
      <c r="F169" s="35"/>
      <c r="G169" s="64"/>
      <c r="H169" s="84">
        <v>164</v>
      </c>
      <c r="I169" s="85" t="str">
        <f t="shared" si="24"/>
        <v/>
      </c>
      <c r="J169" s="84">
        <f t="shared" si="25"/>
        <v>-1</v>
      </c>
      <c r="K169" s="84">
        <f t="shared" si="26"/>
        <v>-10</v>
      </c>
      <c r="L169" s="84"/>
      <c r="M169" s="86">
        <f t="shared" si="27"/>
        <v>0</v>
      </c>
      <c r="N169" s="86">
        <f t="shared" si="28"/>
        <v>0</v>
      </c>
      <c r="O169" s="64"/>
      <c r="P169" s="64"/>
      <c r="Q169" s="64"/>
      <c r="R169" s="64"/>
      <c r="S169" s="64"/>
    </row>
    <row r="170" spans="1:20" s="71" customFormat="1" x14ac:dyDescent="0.25">
      <c r="A170" s="109">
        <f t="shared" si="22"/>
        <v>0</v>
      </c>
      <c r="B170" s="28" t="str">
        <f t="shared" si="23"/>
        <v/>
      </c>
      <c r="C170" s="29"/>
      <c r="D170" s="29"/>
      <c r="E170" s="29"/>
      <c r="F170" s="29"/>
      <c r="G170" s="64"/>
      <c r="H170" s="81">
        <v>165</v>
      </c>
      <c r="I170" s="82" t="str">
        <f t="shared" si="24"/>
        <v/>
      </c>
      <c r="J170" s="81">
        <f t="shared" si="25"/>
        <v>-1</v>
      </c>
      <c r="K170" s="81">
        <f t="shared" si="26"/>
        <v>-10</v>
      </c>
      <c r="L170" s="81"/>
      <c r="M170" s="83">
        <f t="shared" si="27"/>
        <v>0</v>
      </c>
      <c r="N170" s="83">
        <f t="shared" si="28"/>
        <v>0</v>
      </c>
      <c r="O170" s="64"/>
      <c r="P170" s="64"/>
      <c r="Q170" s="64"/>
      <c r="R170" s="64"/>
      <c r="S170" s="94"/>
      <c r="T170" s="95"/>
    </row>
    <row r="171" spans="1:20" s="71" customFormat="1" x14ac:dyDescent="0.25">
      <c r="A171" s="110">
        <f t="shared" si="22"/>
        <v>0</v>
      </c>
      <c r="B171" s="34" t="str">
        <f t="shared" si="23"/>
        <v/>
      </c>
      <c r="C171" s="35"/>
      <c r="D171" s="35"/>
      <c r="E171" s="35"/>
      <c r="F171" s="35"/>
      <c r="G171" s="64"/>
      <c r="H171" s="84">
        <v>166</v>
      </c>
      <c r="I171" s="85" t="str">
        <f t="shared" si="24"/>
        <v/>
      </c>
      <c r="J171" s="84">
        <f t="shared" si="25"/>
        <v>-1</v>
      </c>
      <c r="K171" s="84">
        <f t="shared" si="26"/>
        <v>-10</v>
      </c>
      <c r="L171" s="84"/>
      <c r="M171" s="86">
        <f t="shared" si="27"/>
        <v>0</v>
      </c>
      <c r="N171" s="86">
        <f t="shared" si="28"/>
        <v>0</v>
      </c>
      <c r="O171" s="64"/>
      <c r="P171" s="64"/>
      <c r="Q171" s="64"/>
      <c r="R171" s="64"/>
      <c r="S171" s="64"/>
    </row>
    <row r="172" spans="1:20" s="71" customFormat="1" x14ac:dyDescent="0.25">
      <c r="A172" s="109">
        <f t="shared" si="22"/>
        <v>0</v>
      </c>
      <c r="B172" s="28" t="str">
        <f t="shared" si="23"/>
        <v/>
      </c>
      <c r="C172" s="29"/>
      <c r="D172" s="29"/>
      <c r="E172" s="29"/>
      <c r="F172" s="29"/>
      <c r="G172" s="64"/>
      <c r="H172" s="81">
        <v>167</v>
      </c>
      <c r="I172" s="82" t="str">
        <f t="shared" si="24"/>
        <v/>
      </c>
      <c r="J172" s="81">
        <f t="shared" si="25"/>
        <v>-1</v>
      </c>
      <c r="K172" s="81">
        <f t="shared" si="26"/>
        <v>-10</v>
      </c>
      <c r="L172" s="81"/>
      <c r="M172" s="83">
        <f t="shared" si="27"/>
        <v>0</v>
      </c>
      <c r="N172" s="83">
        <f t="shared" si="28"/>
        <v>0</v>
      </c>
      <c r="O172" s="64"/>
      <c r="P172" s="64"/>
      <c r="Q172" s="64"/>
      <c r="R172" s="64"/>
      <c r="S172" s="94"/>
      <c r="T172" s="95"/>
    </row>
    <row r="173" spans="1:20" s="71" customFormat="1" x14ac:dyDescent="0.25">
      <c r="A173" s="110">
        <f t="shared" si="22"/>
        <v>0</v>
      </c>
      <c r="B173" s="34" t="str">
        <f t="shared" si="23"/>
        <v/>
      </c>
      <c r="C173" s="35"/>
      <c r="D173" s="35"/>
      <c r="E173" s="35"/>
      <c r="F173" s="35"/>
      <c r="G173" s="64"/>
      <c r="H173" s="84">
        <v>168</v>
      </c>
      <c r="I173" s="85" t="str">
        <f t="shared" si="24"/>
        <v/>
      </c>
      <c r="J173" s="84">
        <f t="shared" si="25"/>
        <v>-1</v>
      </c>
      <c r="K173" s="84">
        <f t="shared" si="26"/>
        <v>-10</v>
      </c>
      <c r="L173" s="84"/>
      <c r="M173" s="86">
        <f t="shared" si="27"/>
        <v>0</v>
      </c>
      <c r="N173" s="86">
        <f t="shared" si="28"/>
        <v>0</v>
      </c>
      <c r="O173" s="64"/>
      <c r="P173" s="64"/>
      <c r="Q173" s="64"/>
      <c r="R173" s="64"/>
      <c r="S173" s="64"/>
    </row>
    <row r="174" spans="1:20" s="71" customFormat="1" x14ac:dyDescent="0.25">
      <c r="A174" s="109">
        <f t="shared" si="22"/>
        <v>0</v>
      </c>
      <c r="B174" s="28" t="str">
        <f t="shared" si="23"/>
        <v/>
      </c>
      <c r="C174" s="29"/>
      <c r="D174" s="29"/>
      <c r="E174" s="29"/>
      <c r="F174" s="29"/>
      <c r="G174" s="64"/>
      <c r="H174" s="81">
        <v>169</v>
      </c>
      <c r="I174" s="82" t="str">
        <f t="shared" si="24"/>
        <v/>
      </c>
      <c r="J174" s="81">
        <f t="shared" si="25"/>
        <v>-1</v>
      </c>
      <c r="K174" s="81">
        <f t="shared" si="26"/>
        <v>-10</v>
      </c>
      <c r="L174" s="81"/>
      <c r="M174" s="83">
        <f t="shared" si="27"/>
        <v>0</v>
      </c>
      <c r="N174" s="83">
        <f t="shared" si="28"/>
        <v>0</v>
      </c>
      <c r="O174" s="64"/>
      <c r="P174" s="64"/>
      <c r="Q174" s="64"/>
      <c r="R174" s="64"/>
      <c r="S174" s="94"/>
      <c r="T174" s="95"/>
    </row>
    <row r="175" spans="1:20" s="71" customFormat="1" x14ac:dyDescent="0.25">
      <c r="A175" s="110">
        <f t="shared" si="22"/>
        <v>0</v>
      </c>
      <c r="B175" s="34" t="str">
        <f t="shared" si="23"/>
        <v/>
      </c>
      <c r="C175" s="35"/>
      <c r="D175" s="35"/>
      <c r="E175" s="35"/>
      <c r="F175" s="35"/>
      <c r="G175" s="64"/>
      <c r="H175" s="84">
        <v>170</v>
      </c>
      <c r="I175" s="85" t="str">
        <f t="shared" si="24"/>
        <v/>
      </c>
      <c r="J175" s="84">
        <f t="shared" si="25"/>
        <v>-1</v>
      </c>
      <c r="K175" s="84">
        <f t="shared" si="26"/>
        <v>-10</v>
      </c>
      <c r="L175" s="84"/>
      <c r="M175" s="86">
        <f t="shared" si="27"/>
        <v>0</v>
      </c>
      <c r="N175" s="86">
        <f t="shared" si="28"/>
        <v>0</v>
      </c>
      <c r="O175" s="64"/>
      <c r="P175" s="64"/>
      <c r="Q175" s="64"/>
      <c r="R175" s="64"/>
      <c r="S175" s="64"/>
    </row>
    <row r="176" spans="1:20" s="71" customFormat="1" x14ac:dyDescent="0.25">
      <c r="A176" s="109">
        <f t="shared" si="22"/>
        <v>0</v>
      </c>
      <c r="B176" s="28" t="str">
        <f t="shared" si="23"/>
        <v/>
      </c>
      <c r="C176" s="29"/>
      <c r="D176" s="29"/>
      <c r="E176" s="29"/>
      <c r="F176" s="29"/>
      <c r="G176" s="64"/>
      <c r="H176" s="81">
        <v>171</v>
      </c>
      <c r="I176" s="82" t="str">
        <f t="shared" si="24"/>
        <v/>
      </c>
      <c r="J176" s="81">
        <f t="shared" si="25"/>
        <v>-1</v>
      </c>
      <c r="K176" s="81">
        <f t="shared" si="26"/>
        <v>-10</v>
      </c>
      <c r="L176" s="81"/>
      <c r="M176" s="83">
        <f t="shared" si="27"/>
        <v>0</v>
      </c>
      <c r="N176" s="83">
        <f t="shared" si="28"/>
        <v>0</v>
      </c>
      <c r="O176" s="64"/>
      <c r="P176" s="64"/>
      <c r="Q176" s="64"/>
      <c r="R176" s="64"/>
      <c r="S176" s="94"/>
      <c r="T176" s="95"/>
    </row>
    <row r="177" spans="1:20" s="71" customFormat="1" x14ac:dyDescent="0.25">
      <c r="A177" s="110">
        <f t="shared" si="22"/>
        <v>0</v>
      </c>
      <c r="B177" s="34" t="str">
        <f t="shared" si="23"/>
        <v/>
      </c>
      <c r="C177" s="35"/>
      <c r="D177" s="35"/>
      <c r="E177" s="35"/>
      <c r="F177" s="35"/>
      <c r="G177" s="64"/>
      <c r="H177" s="84">
        <v>172</v>
      </c>
      <c r="I177" s="85" t="str">
        <f t="shared" si="24"/>
        <v/>
      </c>
      <c r="J177" s="84">
        <f t="shared" si="25"/>
        <v>-1</v>
      </c>
      <c r="K177" s="84">
        <f t="shared" si="26"/>
        <v>-10</v>
      </c>
      <c r="L177" s="84"/>
      <c r="M177" s="86">
        <f t="shared" si="27"/>
        <v>0</v>
      </c>
      <c r="N177" s="86">
        <f t="shared" si="28"/>
        <v>0</v>
      </c>
      <c r="O177" s="64"/>
      <c r="P177" s="64"/>
      <c r="Q177" s="64"/>
      <c r="R177" s="64"/>
      <c r="S177" s="64"/>
    </row>
    <row r="178" spans="1:20" s="71" customFormat="1" x14ac:dyDescent="0.25">
      <c r="A178" s="109">
        <f t="shared" si="22"/>
        <v>0</v>
      </c>
      <c r="B178" s="28" t="str">
        <f t="shared" si="23"/>
        <v/>
      </c>
      <c r="C178" s="29"/>
      <c r="D178" s="29"/>
      <c r="E178" s="29"/>
      <c r="F178" s="29"/>
      <c r="G178" s="64"/>
      <c r="H178" s="81">
        <v>173</v>
      </c>
      <c r="I178" s="82" t="str">
        <f t="shared" si="24"/>
        <v/>
      </c>
      <c r="J178" s="81">
        <f t="shared" si="25"/>
        <v>-1</v>
      </c>
      <c r="K178" s="81">
        <f t="shared" si="26"/>
        <v>-10</v>
      </c>
      <c r="L178" s="81"/>
      <c r="M178" s="83">
        <f t="shared" si="27"/>
        <v>0</v>
      </c>
      <c r="N178" s="83">
        <f t="shared" si="28"/>
        <v>0</v>
      </c>
      <c r="O178" s="64"/>
      <c r="P178" s="64"/>
      <c r="Q178" s="64"/>
      <c r="R178" s="64"/>
      <c r="S178" s="94"/>
      <c r="T178" s="95"/>
    </row>
    <row r="179" spans="1:20" s="71" customFormat="1" x14ac:dyDescent="0.25">
      <c r="A179" s="110">
        <f t="shared" si="22"/>
        <v>0</v>
      </c>
      <c r="B179" s="34" t="str">
        <f t="shared" si="23"/>
        <v/>
      </c>
      <c r="C179" s="35"/>
      <c r="D179" s="35"/>
      <c r="E179" s="35"/>
      <c r="F179" s="35"/>
      <c r="G179" s="64"/>
      <c r="H179" s="84">
        <v>174</v>
      </c>
      <c r="I179" s="85" t="str">
        <f t="shared" si="24"/>
        <v/>
      </c>
      <c r="J179" s="84">
        <f t="shared" si="25"/>
        <v>-1</v>
      </c>
      <c r="K179" s="84">
        <f t="shared" si="26"/>
        <v>-10</v>
      </c>
      <c r="L179" s="84"/>
      <c r="M179" s="86">
        <f t="shared" si="27"/>
        <v>0</v>
      </c>
      <c r="N179" s="86">
        <f t="shared" si="28"/>
        <v>0</v>
      </c>
      <c r="O179" s="64"/>
      <c r="P179" s="64"/>
      <c r="Q179" s="64"/>
      <c r="R179" s="64"/>
      <c r="S179" s="64"/>
    </row>
    <row r="180" spans="1:20" s="71" customFormat="1" x14ac:dyDescent="0.25">
      <c r="A180" s="109">
        <f t="shared" si="22"/>
        <v>0</v>
      </c>
      <c r="B180" s="28" t="str">
        <f t="shared" si="23"/>
        <v/>
      </c>
      <c r="C180" s="29"/>
      <c r="D180" s="29"/>
      <c r="E180" s="29"/>
      <c r="F180" s="29"/>
      <c r="G180" s="64"/>
      <c r="H180" s="81">
        <v>175</v>
      </c>
      <c r="I180" s="82" t="str">
        <f t="shared" si="24"/>
        <v/>
      </c>
      <c r="J180" s="81">
        <f t="shared" si="25"/>
        <v>-1</v>
      </c>
      <c r="K180" s="81">
        <f t="shared" si="26"/>
        <v>-10</v>
      </c>
      <c r="L180" s="81"/>
      <c r="M180" s="83">
        <f t="shared" si="27"/>
        <v>0</v>
      </c>
      <c r="N180" s="83">
        <f t="shared" si="28"/>
        <v>0</v>
      </c>
      <c r="O180" s="64"/>
      <c r="P180" s="64"/>
      <c r="Q180" s="64"/>
      <c r="R180" s="64"/>
      <c r="S180" s="94"/>
      <c r="T180" s="95"/>
    </row>
    <row r="181" spans="1:20" s="71" customFormat="1" x14ac:dyDescent="0.25">
      <c r="A181" s="110">
        <f t="shared" si="22"/>
        <v>0</v>
      </c>
      <c r="B181" s="34" t="str">
        <f t="shared" si="23"/>
        <v/>
      </c>
      <c r="C181" s="35"/>
      <c r="D181" s="35"/>
      <c r="E181" s="35"/>
      <c r="F181" s="35"/>
      <c r="G181" s="64"/>
      <c r="H181" s="84">
        <v>176</v>
      </c>
      <c r="I181" s="85" t="str">
        <f t="shared" si="24"/>
        <v/>
      </c>
      <c r="J181" s="84">
        <f t="shared" si="25"/>
        <v>-1</v>
      </c>
      <c r="K181" s="84">
        <f t="shared" si="26"/>
        <v>-10</v>
      </c>
      <c r="L181" s="84"/>
      <c r="M181" s="86">
        <f t="shared" si="27"/>
        <v>0</v>
      </c>
      <c r="N181" s="86">
        <f t="shared" si="28"/>
        <v>0</v>
      </c>
      <c r="O181" s="64"/>
      <c r="P181" s="64"/>
      <c r="Q181" s="64"/>
      <c r="R181" s="64"/>
      <c r="S181" s="64"/>
    </row>
    <row r="182" spans="1:20" s="71" customFormat="1" x14ac:dyDescent="0.25">
      <c r="A182" s="109">
        <f t="shared" si="22"/>
        <v>0</v>
      </c>
      <c r="B182" s="28" t="str">
        <f t="shared" si="23"/>
        <v/>
      </c>
      <c r="C182" s="29"/>
      <c r="D182" s="29"/>
      <c r="E182" s="29"/>
      <c r="F182" s="29"/>
      <c r="G182" s="64"/>
      <c r="H182" s="81">
        <v>177</v>
      </c>
      <c r="I182" s="82" t="str">
        <f t="shared" si="24"/>
        <v/>
      </c>
      <c r="J182" s="81">
        <f t="shared" si="25"/>
        <v>-1</v>
      </c>
      <c r="K182" s="81">
        <f t="shared" si="26"/>
        <v>-10</v>
      </c>
      <c r="L182" s="81"/>
      <c r="M182" s="83">
        <f t="shared" si="27"/>
        <v>0</v>
      </c>
      <c r="N182" s="83">
        <f t="shared" si="28"/>
        <v>0</v>
      </c>
      <c r="O182" s="64"/>
      <c r="P182" s="64"/>
      <c r="Q182" s="64"/>
      <c r="R182" s="64"/>
      <c r="S182" s="94"/>
      <c r="T182" s="95"/>
    </row>
    <row r="183" spans="1:20" s="71" customFormat="1" x14ac:dyDescent="0.25">
      <c r="A183" s="110">
        <f t="shared" si="22"/>
        <v>0</v>
      </c>
      <c r="B183" s="34" t="str">
        <f t="shared" si="23"/>
        <v/>
      </c>
      <c r="C183" s="35"/>
      <c r="D183" s="35"/>
      <c r="E183" s="35"/>
      <c r="F183" s="35"/>
      <c r="G183" s="64"/>
      <c r="H183" s="84">
        <v>178</v>
      </c>
      <c r="I183" s="85" t="str">
        <f t="shared" si="24"/>
        <v/>
      </c>
      <c r="J183" s="84">
        <f t="shared" si="25"/>
        <v>-1</v>
      </c>
      <c r="K183" s="84">
        <f t="shared" si="26"/>
        <v>-10</v>
      </c>
      <c r="L183" s="84"/>
      <c r="M183" s="86">
        <f t="shared" si="27"/>
        <v>0</v>
      </c>
      <c r="N183" s="86">
        <f t="shared" si="28"/>
        <v>0</v>
      </c>
      <c r="O183" s="64"/>
      <c r="P183" s="64"/>
      <c r="Q183" s="64"/>
      <c r="R183" s="64"/>
      <c r="S183" s="64"/>
    </row>
    <row r="184" spans="1:20" s="71" customFormat="1" x14ac:dyDescent="0.25">
      <c r="A184" s="109">
        <f t="shared" si="22"/>
        <v>0</v>
      </c>
      <c r="B184" s="28" t="str">
        <f t="shared" si="23"/>
        <v/>
      </c>
      <c r="C184" s="29"/>
      <c r="D184" s="29"/>
      <c r="E184" s="29"/>
      <c r="F184" s="29"/>
      <c r="G184" s="64"/>
      <c r="H184" s="81">
        <v>179</v>
      </c>
      <c r="I184" s="82" t="str">
        <f t="shared" si="24"/>
        <v/>
      </c>
      <c r="J184" s="81">
        <f t="shared" si="25"/>
        <v>-1</v>
      </c>
      <c r="K184" s="81">
        <f t="shared" si="26"/>
        <v>-10</v>
      </c>
      <c r="L184" s="81"/>
      <c r="M184" s="83">
        <f t="shared" si="27"/>
        <v>0</v>
      </c>
      <c r="N184" s="83">
        <f t="shared" si="28"/>
        <v>0</v>
      </c>
      <c r="O184" s="64"/>
      <c r="P184" s="64"/>
      <c r="Q184" s="64"/>
      <c r="R184" s="64"/>
      <c r="S184" s="94"/>
      <c r="T184" s="95"/>
    </row>
    <row r="185" spans="1:20" s="71" customFormat="1" x14ac:dyDescent="0.25">
      <c r="A185" s="110">
        <f t="shared" si="22"/>
        <v>0</v>
      </c>
      <c r="B185" s="34" t="str">
        <f t="shared" si="23"/>
        <v/>
      </c>
      <c r="C185" s="35"/>
      <c r="D185" s="35"/>
      <c r="E185" s="35"/>
      <c r="F185" s="35"/>
      <c r="G185" s="64"/>
      <c r="H185" s="84">
        <v>180</v>
      </c>
      <c r="I185" s="85" t="str">
        <f t="shared" si="24"/>
        <v/>
      </c>
      <c r="J185" s="84">
        <f t="shared" si="25"/>
        <v>-1</v>
      </c>
      <c r="K185" s="84">
        <f t="shared" si="26"/>
        <v>-10</v>
      </c>
      <c r="L185" s="84"/>
      <c r="M185" s="86">
        <f t="shared" si="27"/>
        <v>0</v>
      </c>
      <c r="N185" s="86">
        <f t="shared" si="28"/>
        <v>0</v>
      </c>
      <c r="O185" s="64"/>
      <c r="P185" s="64"/>
      <c r="Q185" s="64"/>
      <c r="R185" s="64"/>
      <c r="S185" s="64"/>
    </row>
    <row r="186" spans="1:20" s="71" customFormat="1" x14ac:dyDescent="0.25">
      <c r="A186" s="109">
        <f t="shared" si="22"/>
        <v>0</v>
      </c>
      <c r="B186" s="28" t="str">
        <f t="shared" si="23"/>
        <v/>
      </c>
      <c r="C186" s="29"/>
      <c r="D186" s="29"/>
      <c r="E186" s="29"/>
      <c r="F186" s="29"/>
      <c r="G186" s="64"/>
      <c r="H186" s="81">
        <v>181</v>
      </c>
      <c r="I186" s="82" t="str">
        <f t="shared" si="24"/>
        <v/>
      </c>
      <c r="J186" s="81">
        <f t="shared" si="25"/>
        <v>-1</v>
      </c>
      <c r="K186" s="81">
        <f t="shared" si="26"/>
        <v>-10</v>
      </c>
      <c r="L186" s="81"/>
      <c r="M186" s="83">
        <f t="shared" si="27"/>
        <v>0</v>
      </c>
      <c r="N186" s="83">
        <f t="shared" si="28"/>
        <v>0</v>
      </c>
      <c r="O186" s="64"/>
      <c r="P186" s="64"/>
      <c r="Q186" s="64"/>
      <c r="R186" s="64"/>
      <c r="S186" s="94"/>
      <c r="T186" s="95"/>
    </row>
    <row r="187" spans="1:20" s="71" customFormat="1" x14ac:dyDescent="0.25">
      <c r="A187" s="110">
        <f t="shared" si="22"/>
        <v>0</v>
      </c>
      <c r="B187" s="34" t="str">
        <f t="shared" si="23"/>
        <v/>
      </c>
      <c r="C187" s="35"/>
      <c r="D187" s="35"/>
      <c r="E187" s="35"/>
      <c r="F187" s="35"/>
      <c r="G187" s="64"/>
      <c r="H187" s="84">
        <v>182</v>
      </c>
      <c r="I187" s="85" t="str">
        <f t="shared" si="24"/>
        <v/>
      </c>
      <c r="J187" s="84">
        <f t="shared" si="25"/>
        <v>-1</v>
      </c>
      <c r="K187" s="84">
        <f t="shared" si="26"/>
        <v>-10</v>
      </c>
      <c r="L187" s="84"/>
      <c r="M187" s="86">
        <f t="shared" si="27"/>
        <v>0</v>
      </c>
      <c r="N187" s="86">
        <f t="shared" si="28"/>
        <v>0</v>
      </c>
      <c r="O187" s="64"/>
      <c r="P187" s="64"/>
      <c r="Q187" s="64"/>
      <c r="R187" s="64"/>
      <c r="S187" s="64"/>
    </row>
    <row r="188" spans="1:20" s="71" customFormat="1" x14ac:dyDescent="0.25">
      <c r="A188" s="109">
        <f t="shared" si="22"/>
        <v>0</v>
      </c>
      <c r="B188" s="28" t="str">
        <f t="shared" si="23"/>
        <v/>
      </c>
      <c r="C188" s="29"/>
      <c r="D188" s="29"/>
      <c r="E188" s="29"/>
      <c r="F188" s="29"/>
      <c r="G188" s="64"/>
      <c r="H188" s="81">
        <v>183</v>
      </c>
      <c r="I188" s="82" t="str">
        <f t="shared" si="24"/>
        <v/>
      </c>
      <c r="J188" s="81">
        <f t="shared" si="25"/>
        <v>-1</v>
      </c>
      <c r="K188" s="81">
        <f t="shared" si="26"/>
        <v>-10</v>
      </c>
      <c r="L188" s="81"/>
      <c r="M188" s="83">
        <f t="shared" si="27"/>
        <v>0</v>
      </c>
      <c r="N188" s="83">
        <f t="shared" si="28"/>
        <v>0</v>
      </c>
      <c r="O188" s="64"/>
      <c r="P188" s="64"/>
      <c r="Q188" s="64"/>
      <c r="R188" s="64"/>
      <c r="S188" s="94"/>
      <c r="T188" s="95"/>
    </row>
    <row r="189" spans="1:20" s="71" customFormat="1" x14ac:dyDescent="0.25">
      <c r="A189" s="110">
        <f t="shared" si="22"/>
        <v>0</v>
      </c>
      <c r="B189" s="34" t="str">
        <f t="shared" si="23"/>
        <v/>
      </c>
      <c r="C189" s="35"/>
      <c r="D189" s="35"/>
      <c r="E189" s="35"/>
      <c r="F189" s="35"/>
      <c r="G189" s="64"/>
      <c r="H189" s="84">
        <v>184</v>
      </c>
      <c r="I189" s="85" t="str">
        <f t="shared" si="24"/>
        <v/>
      </c>
      <c r="J189" s="84">
        <f t="shared" si="25"/>
        <v>-1</v>
      </c>
      <c r="K189" s="84">
        <f t="shared" si="26"/>
        <v>-10</v>
      </c>
      <c r="L189" s="84"/>
      <c r="M189" s="86">
        <f t="shared" si="27"/>
        <v>0</v>
      </c>
      <c r="N189" s="86">
        <f t="shared" si="28"/>
        <v>0</v>
      </c>
      <c r="O189" s="64"/>
      <c r="P189" s="64"/>
      <c r="Q189" s="64"/>
      <c r="R189" s="64"/>
      <c r="S189" s="64"/>
    </row>
    <row r="190" spans="1:20" s="71" customFormat="1" x14ac:dyDescent="0.25">
      <c r="A190" s="109">
        <f t="shared" si="22"/>
        <v>0</v>
      </c>
      <c r="B190" s="28" t="str">
        <f t="shared" si="23"/>
        <v/>
      </c>
      <c r="C190" s="29"/>
      <c r="D190" s="29"/>
      <c r="E190" s="29"/>
      <c r="F190" s="29"/>
      <c r="G190" s="64"/>
      <c r="H190" s="81">
        <v>185</v>
      </c>
      <c r="I190" s="82" t="str">
        <f t="shared" si="24"/>
        <v/>
      </c>
      <c r="J190" s="81">
        <f t="shared" si="25"/>
        <v>-1</v>
      </c>
      <c r="K190" s="81">
        <f t="shared" si="26"/>
        <v>-10</v>
      </c>
      <c r="L190" s="81"/>
      <c r="M190" s="83">
        <f t="shared" si="27"/>
        <v>0</v>
      </c>
      <c r="N190" s="83">
        <f t="shared" si="28"/>
        <v>0</v>
      </c>
      <c r="O190" s="64"/>
      <c r="P190" s="64"/>
      <c r="Q190" s="64"/>
      <c r="R190" s="64"/>
      <c r="S190" s="94"/>
      <c r="T190" s="95"/>
    </row>
    <row r="191" spans="1:20" s="71" customFormat="1" x14ac:dyDescent="0.25">
      <c r="A191" s="110">
        <f t="shared" si="22"/>
        <v>0</v>
      </c>
      <c r="B191" s="34" t="str">
        <f t="shared" si="23"/>
        <v/>
      </c>
      <c r="C191" s="35"/>
      <c r="D191" s="35"/>
      <c r="E191" s="35"/>
      <c r="F191" s="35"/>
      <c r="G191" s="64"/>
      <c r="H191" s="84">
        <v>186</v>
      </c>
      <c r="I191" s="85" t="str">
        <f t="shared" si="24"/>
        <v/>
      </c>
      <c r="J191" s="84">
        <f t="shared" si="25"/>
        <v>-1</v>
      </c>
      <c r="K191" s="84">
        <f t="shared" si="26"/>
        <v>-10</v>
      </c>
      <c r="L191" s="84"/>
      <c r="M191" s="86">
        <f t="shared" si="27"/>
        <v>0</v>
      </c>
      <c r="N191" s="86">
        <f t="shared" si="28"/>
        <v>0</v>
      </c>
      <c r="O191" s="64"/>
      <c r="P191" s="64"/>
      <c r="Q191" s="64"/>
      <c r="R191" s="64"/>
      <c r="S191" s="64"/>
    </row>
    <row r="192" spans="1:20" s="71" customFormat="1" x14ac:dyDescent="0.25">
      <c r="A192" s="109">
        <f t="shared" si="22"/>
        <v>0</v>
      </c>
      <c r="B192" s="28" t="str">
        <f t="shared" si="23"/>
        <v/>
      </c>
      <c r="C192" s="29"/>
      <c r="D192" s="29"/>
      <c r="E192" s="29"/>
      <c r="F192" s="29"/>
      <c r="G192" s="64"/>
      <c r="H192" s="81">
        <v>187</v>
      </c>
      <c r="I192" s="82" t="str">
        <f t="shared" si="24"/>
        <v/>
      </c>
      <c r="J192" s="81">
        <f t="shared" si="25"/>
        <v>-1</v>
      </c>
      <c r="K192" s="81">
        <f t="shared" si="26"/>
        <v>-10</v>
      </c>
      <c r="L192" s="81"/>
      <c r="M192" s="83">
        <f t="shared" si="27"/>
        <v>0</v>
      </c>
      <c r="N192" s="83">
        <f t="shared" si="28"/>
        <v>0</v>
      </c>
      <c r="O192" s="64"/>
      <c r="P192" s="64"/>
      <c r="Q192" s="64"/>
      <c r="R192" s="64"/>
      <c r="S192" s="94"/>
      <c r="T192" s="95"/>
    </row>
    <row r="193" spans="1:20" s="71" customFormat="1" x14ac:dyDescent="0.25">
      <c r="A193" s="110">
        <f t="shared" si="22"/>
        <v>0</v>
      </c>
      <c r="B193" s="34" t="str">
        <f t="shared" si="23"/>
        <v/>
      </c>
      <c r="C193" s="35"/>
      <c r="D193" s="35"/>
      <c r="E193" s="35"/>
      <c r="F193" s="35"/>
      <c r="G193" s="64"/>
      <c r="H193" s="84">
        <v>188</v>
      </c>
      <c r="I193" s="85" t="str">
        <f t="shared" si="24"/>
        <v/>
      </c>
      <c r="J193" s="84">
        <f t="shared" si="25"/>
        <v>-1</v>
      </c>
      <c r="K193" s="84">
        <f t="shared" si="26"/>
        <v>-10</v>
      </c>
      <c r="L193" s="84"/>
      <c r="M193" s="86">
        <f t="shared" si="27"/>
        <v>0</v>
      </c>
      <c r="N193" s="86">
        <f t="shared" si="28"/>
        <v>0</v>
      </c>
      <c r="O193" s="64"/>
      <c r="P193" s="64"/>
      <c r="Q193" s="64"/>
      <c r="R193" s="64"/>
      <c r="S193" s="64"/>
    </row>
    <row r="194" spans="1:20" s="71" customFormat="1" x14ac:dyDescent="0.25">
      <c r="A194" s="109">
        <f t="shared" si="22"/>
        <v>0</v>
      </c>
      <c r="B194" s="28" t="str">
        <f t="shared" si="23"/>
        <v/>
      </c>
      <c r="C194" s="29"/>
      <c r="D194" s="29"/>
      <c r="E194" s="29"/>
      <c r="F194" s="29"/>
      <c r="G194" s="64"/>
      <c r="H194" s="81">
        <v>189</v>
      </c>
      <c r="I194" s="82" t="str">
        <f t="shared" si="24"/>
        <v/>
      </c>
      <c r="J194" s="81">
        <f t="shared" si="25"/>
        <v>-1</v>
      </c>
      <c r="K194" s="81">
        <f t="shared" si="26"/>
        <v>-10</v>
      </c>
      <c r="L194" s="81"/>
      <c r="M194" s="83">
        <f t="shared" si="27"/>
        <v>0</v>
      </c>
      <c r="N194" s="83">
        <f t="shared" si="28"/>
        <v>0</v>
      </c>
      <c r="O194" s="64"/>
      <c r="P194" s="64"/>
      <c r="Q194" s="64"/>
      <c r="R194" s="64"/>
      <c r="S194" s="94"/>
      <c r="T194" s="95"/>
    </row>
    <row r="195" spans="1:20" s="71" customFormat="1" x14ac:dyDescent="0.25">
      <c r="A195" s="110">
        <f t="shared" si="22"/>
        <v>0</v>
      </c>
      <c r="B195" s="34" t="str">
        <f t="shared" si="23"/>
        <v/>
      </c>
      <c r="C195" s="35"/>
      <c r="D195" s="35"/>
      <c r="E195" s="35"/>
      <c r="F195" s="35"/>
      <c r="G195" s="64"/>
      <c r="H195" s="84">
        <v>190</v>
      </c>
      <c r="I195" s="85" t="str">
        <f t="shared" si="24"/>
        <v/>
      </c>
      <c r="J195" s="84">
        <f t="shared" si="25"/>
        <v>-1</v>
      </c>
      <c r="K195" s="84">
        <f t="shared" si="26"/>
        <v>-10</v>
      </c>
      <c r="L195" s="84"/>
      <c r="M195" s="86">
        <f t="shared" si="27"/>
        <v>0</v>
      </c>
      <c r="N195" s="86">
        <f t="shared" si="28"/>
        <v>0</v>
      </c>
      <c r="O195" s="64"/>
      <c r="P195" s="64"/>
      <c r="Q195" s="64"/>
      <c r="R195" s="64"/>
      <c r="S195" s="64"/>
    </row>
    <row r="196" spans="1:20" s="71" customFormat="1" x14ac:dyDescent="0.25">
      <c r="A196" s="109">
        <f t="shared" si="22"/>
        <v>0</v>
      </c>
      <c r="B196" s="28" t="str">
        <f t="shared" si="23"/>
        <v/>
      </c>
      <c r="C196" s="29"/>
      <c r="D196" s="29"/>
      <c r="E196" s="29"/>
      <c r="F196" s="29"/>
      <c r="G196" s="64"/>
      <c r="H196" s="81">
        <v>191</v>
      </c>
      <c r="I196" s="82" t="str">
        <f t="shared" si="24"/>
        <v/>
      </c>
      <c r="J196" s="81">
        <f t="shared" si="25"/>
        <v>-1</v>
      </c>
      <c r="K196" s="81">
        <f t="shared" si="26"/>
        <v>-10</v>
      </c>
      <c r="L196" s="81"/>
      <c r="M196" s="83">
        <f t="shared" si="27"/>
        <v>0</v>
      </c>
      <c r="N196" s="83">
        <f t="shared" si="28"/>
        <v>0</v>
      </c>
      <c r="O196" s="64"/>
      <c r="P196" s="64"/>
      <c r="Q196" s="64"/>
      <c r="R196" s="64"/>
      <c r="S196" s="94"/>
      <c r="T196" s="95"/>
    </row>
    <row r="197" spans="1:20" s="71" customFormat="1" x14ac:dyDescent="0.25">
      <c r="A197" s="110">
        <f t="shared" si="22"/>
        <v>0</v>
      </c>
      <c r="B197" s="34" t="str">
        <f t="shared" si="23"/>
        <v/>
      </c>
      <c r="C197" s="35"/>
      <c r="D197" s="35"/>
      <c r="E197" s="35"/>
      <c r="F197" s="35"/>
      <c r="G197" s="64"/>
      <c r="H197" s="84">
        <v>192</v>
      </c>
      <c r="I197" s="85" t="str">
        <f t="shared" si="24"/>
        <v/>
      </c>
      <c r="J197" s="84">
        <f t="shared" si="25"/>
        <v>-1</v>
      </c>
      <c r="K197" s="84">
        <f t="shared" si="26"/>
        <v>-10</v>
      </c>
      <c r="L197" s="84"/>
      <c r="M197" s="86">
        <f t="shared" si="27"/>
        <v>0</v>
      </c>
      <c r="N197" s="86">
        <f t="shared" si="28"/>
        <v>0</v>
      </c>
      <c r="O197" s="64"/>
      <c r="P197" s="64"/>
      <c r="Q197" s="64"/>
      <c r="R197" s="64"/>
      <c r="S197" s="64"/>
    </row>
    <row r="198" spans="1:20" s="71" customFormat="1" x14ac:dyDescent="0.25">
      <c r="A198" s="109">
        <f t="shared" si="22"/>
        <v>0</v>
      </c>
      <c r="B198" s="28" t="str">
        <f t="shared" si="23"/>
        <v/>
      </c>
      <c r="C198" s="29"/>
      <c r="D198" s="29"/>
      <c r="E198" s="29"/>
      <c r="F198" s="29"/>
      <c r="G198" s="64"/>
      <c r="H198" s="81">
        <v>193</v>
      </c>
      <c r="I198" s="82" t="str">
        <f t="shared" si="24"/>
        <v/>
      </c>
      <c r="J198" s="81">
        <f t="shared" si="25"/>
        <v>-1</v>
      </c>
      <c r="K198" s="81">
        <f t="shared" si="26"/>
        <v>-10</v>
      </c>
      <c r="L198" s="81"/>
      <c r="M198" s="83">
        <f t="shared" si="27"/>
        <v>0</v>
      </c>
      <c r="N198" s="83">
        <f t="shared" si="28"/>
        <v>0</v>
      </c>
      <c r="O198" s="64"/>
      <c r="P198" s="64"/>
      <c r="Q198" s="64"/>
      <c r="R198" s="64"/>
      <c r="S198" s="94"/>
      <c r="T198" s="95"/>
    </row>
    <row r="199" spans="1:20" s="71" customFormat="1" x14ac:dyDescent="0.25">
      <c r="A199" s="110">
        <f t="shared" si="22"/>
        <v>0</v>
      </c>
      <c r="B199" s="34" t="str">
        <f t="shared" si="23"/>
        <v/>
      </c>
      <c r="C199" s="35"/>
      <c r="D199" s="35"/>
      <c r="E199" s="35"/>
      <c r="F199" s="35"/>
      <c r="G199" s="64"/>
      <c r="H199" s="84">
        <v>194</v>
      </c>
      <c r="I199" s="85" t="str">
        <f t="shared" si="24"/>
        <v/>
      </c>
      <c r="J199" s="84">
        <f t="shared" si="25"/>
        <v>-1</v>
      </c>
      <c r="K199" s="84">
        <f t="shared" si="26"/>
        <v>-10</v>
      </c>
      <c r="L199" s="84"/>
      <c r="M199" s="86">
        <f t="shared" si="27"/>
        <v>0</v>
      </c>
      <c r="N199" s="86">
        <f t="shared" si="28"/>
        <v>0</v>
      </c>
      <c r="O199" s="64"/>
      <c r="P199" s="64"/>
      <c r="Q199" s="64"/>
      <c r="R199" s="64"/>
      <c r="S199" s="64"/>
    </row>
    <row r="200" spans="1:20" s="71" customFormat="1" x14ac:dyDescent="0.25">
      <c r="A200" s="109">
        <f t="shared" si="22"/>
        <v>0</v>
      </c>
      <c r="B200" s="28" t="str">
        <f t="shared" si="23"/>
        <v/>
      </c>
      <c r="C200" s="29"/>
      <c r="D200" s="29"/>
      <c r="E200" s="29"/>
      <c r="F200" s="29"/>
      <c r="G200" s="64"/>
      <c r="H200" s="81">
        <v>195</v>
      </c>
      <c r="I200" s="82" t="str">
        <f t="shared" si="24"/>
        <v/>
      </c>
      <c r="J200" s="81">
        <f t="shared" si="25"/>
        <v>-1</v>
      </c>
      <c r="K200" s="81">
        <f t="shared" si="26"/>
        <v>-10</v>
      </c>
      <c r="L200" s="81"/>
      <c r="M200" s="83">
        <f t="shared" si="27"/>
        <v>0</v>
      </c>
      <c r="N200" s="83">
        <f t="shared" si="28"/>
        <v>0</v>
      </c>
      <c r="O200" s="64"/>
      <c r="P200" s="64"/>
      <c r="Q200" s="64"/>
      <c r="R200" s="64"/>
      <c r="S200" s="94"/>
      <c r="T200" s="95"/>
    </row>
    <row r="201" spans="1:20" s="71" customFormat="1" x14ac:dyDescent="0.25">
      <c r="A201" s="110">
        <f t="shared" si="22"/>
        <v>0</v>
      </c>
      <c r="B201" s="34" t="str">
        <f t="shared" si="23"/>
        <v/>
      </c>
      <c r="C201" s="35"/>
      <c r="D201" s="35"/>
      <c r="E201" s="35"/>
      <c r="F201" s="35"/>
      <c r="G201" s="64"/>
      <c r="H201" s="84">
        <v>196</v>
      </c>
      <c r="I201" s="85" t="str">
        <f t="shared" si="24"/>
        <v/>
      </c>
      <c r="J201" s="84">
        <f t="shared" si="25"/>
        <v>-1</v>
      </c>
      <c r="K201" s="84">
        <f t="shared" si="26"/>
        <v>-10</v>
      </c>
      <c r="L201" s="84"/>
      <c r="M201" s="86">
        <f t="shared" si="27"/>
        <v>0</v>
      </c>
      <c r="N201" s="86">
        <f t="shared" si="28"/>
        <v>0</v>
      </c>
      <c r="O201" s="64"/>
      <c r="P201" s="64"/>
      <c r="Q201" s="64"/>
      <c r="R201" s="64"/>
      <c r="S201" s="64"/>
    </row>
    <row r="202" spans="1:20" s="71" customFormat="1" x14ac:dyDescent="0.25">
      <c r="A202" s="109">
        <f t="shared" si="22"/>
        <v>0</v>
      </c>
      <c r="B202" s="28" t="str">
        <f t="shared" si="23"/>
        <v/>
      </c>
      <c r="C202" s="29"/>
      <c r="D202" s="29"/>
      <c r="E202" s="29"/>
      <c r="F202" s="29"/>
      <c r="G202" s="64"/>
      <c r="H202" s="81">
        <v>197</v>
      </c>
      <c r="I202" s="82" t="str">
        <f t="shared" si="24"/>
        <v/>
      </c>
      <c r="J202" s="81">
        <f t="shared" si="25"/>
        <v>-1</v>
      </c>
      <c r="K202" s="81">
        <f t="shared" si="26"/>
        <v>-10</v>
      </c>
      <c r="L202" s="81"/>
      <c r="M202" s="83">
        <f t="shared" si="27"/>
        <v>0</v>
      </c>
      <c r="N202" s="83">
        <f t="shared" si="28"/>
        <v>0</v>
      </c>
      <c r="O202" s="64"/>
      <c r="P202" s="64"/>
      <c r="Q202" s="64"/>
      <c r="R202" s="64"/>
      <c r="S202" s="94"/>
      <c r="T202" s="95"/>
    </row>
    <row r="203" spans="1:20" s="71" customFormat="1" x14ac:dyDescent="0.25">
      <c r="A203" s="110">
        <f t="shared" si="22"/>
        <v>0</v>
      </c>
      <c r="B203" s="34" t="str">
        <f t="shared" si="23"/>
        <v/>
      </c>
      <c r="C203" s="35"/>
      <c r="D203" s="35"/>
      <c r="E203" s="35"/>
      <c r="F203" s="35"/>
      <c r="G203" s="64"/>
      <c r="H203" s="84">
        <v>198</v>
      </c>
      <c r="I203" s="85" t="str">
        <f t="shared" si="24"/>
        <v/>
      </c>
      <c r="J203" s="84">
        <f t="shared" si="25"/>
        <v>-1</v>
      </c>
      <c r="K203" s="84">
        <f t="shared" si="26"/>
        <v>-10</v>
      </c>
      <c r="L203" s="84"/>
      <c r="M203" s="86">
        <f t="shared" si="27"/>
        <v>0</v>
      </c>
      <c r="N203" s="86">
        <f t="shared" si="28"/>
        <v>0</v>
      </c>
      <c r="O203" s="64"/>
      <c r="P203" s="64"/>
      <c r="Q203" s="64"/>
      <c r="R203" s="64"/>
      <c r="S203" s="64"/>
    </row>
    <row r="204" spans="1:20" s="71" customFormat="1" x14ac:dyDescent="0.25">
      <c r="A204" s="109">
        <f t="shared" si="22"/>
        <v>0</v>
      </c>
      <c r="B204" s="28" t="str">
        <f t="shared" si="23"/>
        <v/>
      </c>
      <c r="C204" s="29"/>
      <c r="D204" s="29"/>
      <c r="E204" s="29"/>
      <c r="F204" s="29"/>
      <c r="G204" s="64"/>
      <c r="H204" s="81">
        <v>199</v>
      </c>
      <c r="I204" s="82" t="str">
        <f t="shared" si="24"/>
        <v/>
      </c>
      <c r="J204" s="81">
        <f t="shared" si="25"/>
        <v>-1</v>
      </c>
      <c r="K204" s="81">
        <f t="shared" si="26"/>
        <v>-10</v>
      </c>
      <c r="L204" s="81"/>
      <c r="M204" s="83">
        <f t="shared" si="27"/>
        <v>0</v>
      </c>
      <c r="N204" s="83">
        <f t="shared" si="28"/>
        <v>0</v>
      </c>
      <c r="O204" s="64"/>
      <c r="P204" s="64"/>
      <c r="Q204" s="64"/>
      <c r="R204" s="64"/>
      <c r="S204" s="94"/>
      <c r="T204" s="95"/>
    </row>
    <row r="205" spans="1:20" s="71" customFormat="1" x14ac:dyDescent="0.25">
      <c r="A205" s="110">
        <f t="shared" si="22"/>
        <v>0</v>
      </c>
      <c r="B205" s="34" t="str">
        <f t="shared" si="23"/>
        <v/>
      </c>
      <c r="C205" s="35"/>
      <c r="D205" s="35"/>
      <c r="E205" s="35"/>
      <c r="F205" s="35"/>
      <c r="G205" s="64"/>
      <c r="H205" s="84">
        <v>200</v>
      </c>
      <c r="I205" s="85" t="str">
        <f t="shared" si="24"/>
        <v/>
      </c>
      <c r="J205" s="84">
        <f t="shared" si="25"/>
        <v>-1</v>
      </c>
      <c r="K205" s="84">
        <f t="shared" si="26"/>
        <v>-10</v>
      </c>
      <c r="L205" s="84"/>
      <c r="M205" s="86">
        <f t="shared" si="27"/>
        <v>0</v>
      </c>
      <c r="N205" s="86">
        <f t="shared" si="28"/>
        <v>0</v>
      </c>
      <c r="O205" s="64"/>
      <c r="P205" s="64"/>
      <c r="Q205" s="64"/>
      <c r="R205" s="64"/>
      <c r="S205" s="64"/>
    </row>
    <row r="206" spans="1:20" s="71" customFormat="1" x14ac:dyDescent="0.25">
      <c r="A206" s="109">
        <f t="shared" si="22"/>
        <v>0</v>
      </c>
      <c r="B206" s="28" t="str">
        <f t="shared" si="23"/>
        <v/>
      </c>
      <c r="C206" s="29"/>
      <c r="D206" s="29"/>
      <c r="E206" s="29"/>
      <c r="F206" s="29"/>
      <c r="G206" s="64"/>
      <c r="H206" s="81">
        <v>201</v>
      </c>
      <c r="I206" s="82" t="str">
        <f t="shared" si="24"/>
        <v/>
      </c>
      <c r="J206" s="81">
        <f t="shared" si="25"/>
        <v>-1</v>
      </c>
      <c r="K206" s="81">
        <f t="shared" si="26"/>
        <v>-10</v>
      </c>
      <c r="L206" s="81"/>
      <c r="M206" s="83">
        <f t="shared" si="27"/>
        <v>0</v>
      </c>
      <c r="N206" s="83">
        <f t="shared" si="28"/>
        <v>0</v>
      </c>
      <c r="O206" s="64"/>
      <c r="P206" s="64"/>
      <c r="Q206" s="64"/>
      <c r="R206" s="64"/>
      <c r="S206" s="94"/>
      <c r="T206" s="95"/>
    </row>
    <row r="207" spans="1:20" s="71" customFormat="1" x14ac:dyDescent="0.25">
      <c r="A207" s="110">
        <f t="shared" si="22"/>
        <v>0</v>
      </c>
      <c r="B207" s="34" t="str">
        <f t="shared" si="23"/>
        <v/>
      </c>
      <c r="C207" s="35"/>
      <c r="D207" s="35"/>
      <c r="E207" s="35"/>
      <c r="F207" s="35"/>
      <c r="G207" s="64"/>
      <c r="H207" s="84">
        <v>202</v>
      </c>
      <c r="I207" s="85" t="str">
        <f t="shared" si="24"/>
        <v/>
      </c>
      <c r="J207" s="84">
        <f t="shared" si="25"/>
        <v>-1</v>
      </c>
      <c r="K207" s="84">
        <f t="shared" si="26"/>
        <v>-10</v>
      </c>
      <c r="L207" s="84"/>
      <c r="M207" s="86">
        <f t="shared" si="27"/>
        <v>0</v>
      </c>
      <c r="N207" s="86">
        <f t="shared" si="28"/>
        <v>0</v>
      </c>
      <c r="O207" s="64"/>
      <c r="P207" s="64"/>
      <c r="Q207" s="64"/>
      <c r="R207" s="64"/>
      <c r="S207" s="64"/>
    </row>
    <row r="208" spans="1:20" s="71" customFormat="1" x14ac:dyDescent="0.25">
      <c r="A208" s="109">
        <f t="shared" si="22"/>
        <v>0</v>
      </c>
      <c r="B208" s="28" t="str">
        <f t="shared" si="23"/>
        <v/>
      </c>
      <c r="C208" s="29"/>
      <c r="D208" s="29"/>
      <c r="E208" s="29"/>
      <c r="F208" s="29"/>
      <c r="G208" s="64"/>
      <c r="H208" s="81">
        <v>203</v>
      </c>
      <c r="I208" s="82" t="str">
        <f t="shared" si="24"/>
        <v/>
      </c>
      <c r="J208" s="81">
        <f t="shared" si="25"/>
        <v>-1</v>
      </c>
      <c r="K208" s="81">
        <f t="shared" si="26"/>
        <v>-10</v>
      </c>
      <c r="L208" s="81"/>
      <c r="M208" s="83">
        <f t="shared" si="27"/>
        <v>0</v>
      </c>
      <c r="N208" s="83">
        <f t="shared" si="28"/>
        <v>0</v>
      </c>
      <c r="O208" s="64"/>
      <c r="P208" s="64"/>
      <c r="Q208" s="64"/>
      <c r="R208" s="64"/>
      <c r="S208" s="94"/>
      <c r="T208" s="95"/>
    </row>
    <row r="209" spans="1:20" s="71" customFormat="1" x14ac:dyDescent="0.25">
      <c r="A209" s="110">
        <f t="shared" si="22"/>
        <v>0</v>
      </c>
      <c r="B209" s="34" t="str">
        <f t="shared" si="23"/>
        <v/>
      </c>
      <c r="C209" s="35"/>
      <c r="D209" s="35"/>
      <c r="E209" s="35"/>
      <c r="F209" s="35"/>
      <c r="G209" s="64"/>
      <c r="H209" s="84">
        <v>204</v>
      </c>
      <c r="I209" s="85" t="str">
        <f t="shared" si="24"/>
        <v/>
      </c>
      <c r="J209" s="84">
        <f t="shared" si="25"/>
        <v>-1</v>
      </c>
      <c r="K209" s="84">
        <f t="shared" si="26"/>
        <v>-10</v>
      </c>
      <c r="L209" s="84"/>
      <c r="M209" s="86">
        <f t="shared" si="27"/>
        <v>0</v>
      </c>
      <c r="N209" s="86">
        <f t="shared" si="28"/>
        <v>0</v>
      </c>
      <c r="O209" s="64"/>
      <c r="P209" s="64"/>
      <c r="Q209" s="64"/>
      <c r="R209" s="64"/>
      <c r="S209" s="64"/>
    </row>
    <row r="210" spans="1:20" s="71" customFormat="1" x14ac:dyDescent="0.25">
      <c r="A210" s="109">
        <f t="shared" si="22"/>
        <v>0</v>
      </c>
      <c r="B210" s="28" t="str">
        <f t="shared" si="23"/>
        <v/>
      </c>
      <c r="C210" s="29"/>
      <c r="D210" s="29"/>
      <c r="E210" s="29"/>
      <c r="F210" s="29"/>
      <c r="G210" s="64"/>
      <c r="H210" s="81">
        <v>205</v>
      </c>
      <c r="I210" s="82" t="str">
        <f t="shared" si="24"/>
        <v/>
      </c>
      <c r="J210" s="81">
        <f t="shared" si="25"/>
        <v>-1</v>
      </c>
      <c r="K210" s="81">
        <f t="shared" si="26"/>
        <v>-10</v>
      </c>
      <c r="L210" s="81"/>
      <c r="M210" s="83">
        <f t="shared" si="27"/>
        <v>0</v>
      </c>
      <c r="N210" s="83">
        <f t="shared" si="28"/>
        <v>0</v>
      </c>
      <c r="O210" s="64"/>
      <c r="P210" s="64"/>
      <c r="Q210" s="64"/>
      <c r="R210" s="64"/>
      <c r="S210" s="94"/>
      <c r="T210" s="95"/>
    </row>
    <row r="211" spans="1:20" s="71" customFormat="1" x14ac:dyDescent="0.25">
      <c r="A211" s="110">
        <f t="shared" si="22"/>
        <v>0</v>
      </c>
      <c r="B211" s="34" t="str">
        <f t="shared" si="23"/>
        <v/>
      </c>
      <c r="C211" s="35"/>
      <c r="D211" s="35"/>
      <c r="E211" s="35"/>
      <c r="F211" s="35"/>
      <c r="G211" s="64"/>
      <c r="H211" s="84">
        <v>206</v>
      </c>
      <c r="I211" s="85" t="str">
        <f t="shared" si="24"/>
        <v/>
      </c>
      <c r="J211" s="84">
        <f t="shared" si="25"/>
        <v>-1</v>
      </c>
      <c r="K211" s="84">
        <f t="shared" si="26"/>
        <v>-10</v>
      </c>
      <c r="L211" s="84"/>
      <c r="M211" s="86">
        <f t="shared" si="27"/>
        <v>0</v>
      </c>
      <c r="N211" s="86">
        <f t="shared" si="28"/>
        <v>0</v>
      </c>
      <c r="O211" s="64"/>
      <c r="P211" s="64"/>
      <c r="Q211" s="64"/>
      <c r="R211" s="64"/>
      <c r="S211" s="64"/>
    </row>
    <row r="212" spans="1:20" s="71" customFormat="1" x14ac:dyDescent="0.25">
      <c r="A212" s="109">
        <f t="shared" si="22"/>
        <v>0</v>
      </c>
      <c r="B212" s="28" t="str">
        <f t="shared" si="23"/>
        <v/>
      </c>
      <c r="C212" s="29"/>
      <c r="D212" s="29"/>
      <c r="E212" s="29"/>
      <c r="F212" s="29"/>
      <c r="G212" s="64"/>
      <c r="H212" s="81">
        <v>207</v>
      </c>
      <c r="I212" s="82" t="str">
        <f t="shared" si="24"/>
        <v/>
      </c>
      <c r="J212" s="81">
        <f t="shared" si="25"/>
        <v>-1</v>
      </c>
      <c r="K212" s="81">
        <f t="shared" si="26"/>
        <v>-10</v>
      </c>
      <c r="L212" s="81"/>
      <c r="M212" s="83">
        <f t="shared" si="27"/>
        <v>0</v>
      </c>
      <c r="N212" s="83">
        <f t="shared" si="28"/>
        <v>0</v>
      </c>
      <c r="O212" s="64"/>
      <c r="P212" s="64"/>
      <c r="Q212" s="64"/>
      <c r="R212" s="64"/>
      <c r="S212" s="94"/>
      <c r="T212" s="95"/>
    </row>
    <row r="213" spans="1:20" s="71" customFormat="1" x14ac:dyDescent="0.25">
      <c r="A213" s="110">
        <f t="shared" si="22"/>
        <v>0</v>
      </c>
      <c r="B213" s="34" t="str">
        <f t="shared" si="23"/>
        <v/>
      </c>
      <c r="C213" s="35"/>
      <c r="D213" s="35"/>
      <c r="E213" s="35"/>
      <c r="F213" s="35"/>
      <c r="G213" s="64"/>
      <c r="H213" s="84">
        <v>208</v>
      </c>
      <c r="I213" s="85" t="str">
        <f t="shared" si="24"/>
        <v/>
      </c>
      <c r="J213" s="84">
        <f t="shared" si="25"/>
        <v>-1</v>
      </c>
      <c r="K213" s="84">
        <f t="shared" si="26"/>
        <v>-10</v>
      </c>
      <c r="L213" s="84"/>
      <c r="M213" s="86">
        <f t="shared" si="27"/>
        <v>0</v>
      </c>
      <c r="N213" s="86">
        <f t="shared" si="28"/>
        <v>0</v>
      </c>
      <c r="O213" s="64"/>
      <c r="P213" s="64"/>
      <c r="Q213" s="64"/>
      <c r="R213" s="64"/>
      <c r="S213" s="64"/>
    </row>
    <row r="214" spans="1:20" s="71" customFormat="1" x14ac:dyDescent="0.25">
      <c r="A214" s="109">
        <f t="shared" si="22"/>
        <v>0</v>
      </c>
      <c r="B214" s="28" t="str">
        <f t="shared" si="23"/>
        <v/>
      </c>
      <c r="C214" s="29"/>
      <c r="D214" s="29"/>
      <c r="E214" s="29"/>
      <c r="F214" s="29"/>
      <c r="G214" s="64"/>
      <c r="H214" s="81">
        <v>209</v>
      </c>
      <c r="I214" s="82" t="str">
        <f t="shared" si="24"/>
        <v/>
      </c>
      <c r="J214" s="81">
        <f t="shared" si="25"/>
        <v>-1</v>
      </c>
      <c r="K214" s="81">
        <f t="shared" si="26"/>
        <v>-10</v>
      </c>
      <c r="L214" s="81"/>
      <c r="M214" s="83">
        <f t="shared" si="27"/>
        <v>0</v>
      </c>
      <c r="N214" s="83">
        <f t="shared" si="28"/>
        <v>0</v>
      </c>
      <c r="O214" s="64"/>
      <c r="P214" s="64"/>
      <c r="Q214" s="64"/>
      <c r="R214" s="64"/>
      <c r="S214" s="94"/>
      <c r="T214" s="95"/>
    </row>
    <row r="215" spans="1:20" s="71" customFormat="1" x14ac:dyDescent="0.25">
      <c r="A215" s="110">
        <f t="shared" si="22"/>
        <v>0</v>
      </c>
      <c r="B215" s="34" t="str">
        <f t="shared" si="23"/>
        <v/>
      </c>
      <c r="C215" s="35"/>
      <c r="D215" s="35"/>
      <c r="E215" s="35"/>
      <c r="F215" s="35"/>
      <c r="G215" s="64"/>
      <c r="H215" s="84">
        <v>210</v>
      </c>
      <c r="I215" s="85" t="str">
        <f t="shared" si="24"/>
        <v/>
      </c>
      <c r="J215" s="84">
        <f t="shared" si="25"/>
        <v>-1</v>
      </c>
      <c r="K215" s="84">
        <f t="shared" si="26"/>
        <v>-10</v>
      </c>
      <c r="L215" s="84"/>
      <c r="M215" s="86">
        <f t="shared" si="27"/>
        <v>0</v>
      </c>
      <c r="N215" s="86">
        <f t="shared" si="28"/>
        <v>0</v>
      </c>
      <c r="O215" s="64"/>
      <c r="P215" s="64"/>
      <c r="Q215" s="64"/>
      <c r="R215" s="64"/>
      <c r="S215" s="64"/>
    </row>
    <row r="216" spans="1:20" s="71" customFormat="1" x14ac:dyDescent="0.25">
      <c r="A216" s="109">
        <f t="shared" si="22"/>
        <v>0</v>
      </c>
      <c r="B216" s="28" t="str">
        <f t="shared" si="23"/>
        <v/>
      </c>
      <c r="C216" s="29"/>
      <c r="D216" s="29"/>
      <c r="E216" s="29"/>
      <c r="F216" s="29"/>
      <c r="G216" s="64"/>
      <c r="H216" s="81">
        <v>211</v>
      </c>
      <c r="I216" s="82" t="str">
        <f t="shared" si="24"/>
        <v/>
      </c>
      <c r="J216" s="81">
        <f t="shared" si="25"/>
        <v>-1</v>
      </c>
      <c r="K216" s="81">
        <f t="shared" si="26"/>
        <v>-10</v>
      </c>
      <c r="L216" s="81"/>
      <c r="M216" s="83">
        <f t="shared" si="27"/>
        <v>0</v>
      </c>
      <c r="N216" s="83">
        <f t="shared" si="28"/>
        <v>0</v>
      </c>
      <c r="O216" s="64"/>
      <c r="P216" s="64"/>
      <c r="Q216" s="64"/>
      <c r="R216" s="64"/>
      <c r="S216" s="94"/>
      <c r="T216" s="95"/>
    </row>
    <row r="217" spans="1:20" s="71" customFormat="1" x14ac:dyDescent="0.25">
      <c r="A217" s="110">
        <f t="shared" si="22"/>
        <v>0</v>
      </c>
      <c r="B217" s="34" t="str">
        <f t="shared" si="23"/>
        <v/>
      </c>
      <c r="C217" s="35"/>
      <c r="D217" s="35"/>
      <c r="E217" s="35"/>
      <c r="F217" s="35"/>
      <c r="G217" s="64"/>
      <c r="H217" s="84">
        <v>212</v>
      </c>
      <c r="I217" s="85" t="str">
        <f t="shared" si="24"/>
        <v/>
      </c>
      <c r="J217" s="84">
        <f t="shared" si="25"/>
        <v>-1</v>
      </c>
      <c r="K217" s="84">
        <f t="shared" si="26"/>
        <v>-10</v>
      </c>
      <c r="L217" s="84"/>
      <c r="M217" s="86">
        <f t="shared" si="27"/>
        <v>0</v>
      </c>
      <c r="N217" s="86">
        <f t="shared" si="28"/>
        <v>0</v>
      </c>
      <c r="O217" s="64"/>
      <c r="P217" s="64"/>
      <c r="Q217" s="64"/>
      <c r="R217" s="64"/>
      <c r="S217" s="64"/>
    </row>
    <row r="218" spans="1:20" s="71" customFormat="1" x14ac:dyDescent="0.25">
      <c r="A218" s="109">
        <f t="shared" si="22"/>
        <v>0</v>
      </c>
      <c r="B218" s="28" t="str">
        <f t="shared" si="23"/>
        <v/>
      </c>
      <c r="C218" s="29"/>
      <c r="D218" s="29"/>
      <c r="E218" s="29"/>
      <c r="F218" s="29"/>
      <c r="G218" s="64"/>
      <c r="H218" s="81">
        <v>213</v>
      </c>
      <c r="I218" s="82" t="str">
        <f t="shared" si="24"/>
        <v/>
      </c>
      <c r="J218" s="81">
        <f t="shared" si="25"/>
        <v>-1</v>
      </c>
      <c r="K218" s="81">
        <f t="shared" si="26"/>
        <v>-10</v>
      </c>
      <c r="L218" s="81"/>
      <c r="M218" s="83">
        <f t="shared" si="27"/>
        <v>0</v>
      </c>
      <c r="N218" s="83">
        <f t="shared" si="28"/>
        <v>0</v>
      </c>
      <c r="O218" s="64"/>
      <c r="P218" s="64"/>
      <c r="Q218" s="64"/>
      <c r="R218" s="64"/>
      <c r="S218" s="94"/>
      <c r="T218" s="95"/>
    </row>
    <row r="219" spans="1:20" s="71" customFormat="1" x14ac:dyDescent="0.25">
      <c r="A219" s="110">
        <f t="shared" si="22"/>
        <v>0</v>
      </c>
      <c r="B219" s="34" t="str">
        <f t="shared" si="23"/>
        <v/>
      </c>
      <c r="C219" s="35"/>
      <c r="D219" s="35"/>
      <c r="E219" s="35"/>
      <c r="F219" s="35"/>
      <c r="G219" s="64"/>
      <c r="H219" s="84">
        <v>214</v>
      </c>
      <c r="I219" s="85" t="str">
        <f t="shared" si="24"/>
        <v/>
      </c>
      <c r="J219" s="84">
        <f t="shared" si="25"/>
        <v>-1</v>
      </c>
      <c r="K219" s="84">
        <f t="shared" si="26"/>
        <v>-10</v>
      </c>
      <c r="L219" s="84"/>
      <c r="M219" s="86">
        <f t="shared" si="27"/>
        <v>0</v>
      </c>
      <c r="N219" s="86">
        <f t="shared" si="28"/>
        <v>0</v>
      </c>
      <c r="O219" s="64"/>
      <c r="P219" s="64"/>
      <c r="Q219" s="64"/>
      <c r="R219" s="64"/>
      <c r="S219" s="64"/>
    </row>
    <row r="220" spans="1:20" s="71" customFormat="1" x14ac:dyDescent="0.25">
      <c r="A220" s="109">
        <f t="shared" si="22"/>
        <v>0</v>
      </c>
      <c r="B220" s="28" t="str">
        <f t="shared" si="23"/>
        <v/>
      </c>
      <c r="C220" s="29"/>
      <c r="D220" s="29"/>
      <c r="E220" s="29"/>
      <c r="F220" s="29"/>
      <c r="G220" s="64"/>
      <c r="H220" s="81">
        <v>215</v>
      </c>
      <c r="I220" s="82" t="str">
        <f t="shared" si="24"/>
        <v/>
      </c>
      <c r="J220" s="81">
        <f t="shared" si="25"/>
        <v>-1</v>
      </c>
      <c r="K220" s="81">
        <f t="shared" si="26"/>
        <v>-10</v>
      </c>
      <c r="L220" s="81"/>
      <c r="M220" s="83">
        <f t="shared" si="27"/>
        <v>0</v>
      </c>
      <c r="N220" s="83">
        <f t="shared" si="28"/>
        <v>0</v>
      </c>
      <c r="O220" s="64"/>
      <c r="P220" s="64"/>
      <c r="Q220" s="64"/>
      <c r="R220" s="64"/>
      <c r="S220" s="94"/>
      <c r="T220" s="95"/>
    </row>
    <row r="221" spans="1:20" s="71" customFormat="1" x14ac:dyDescent="0.25">
      <c r="A221" s="110">
        <f t="shared" si="22"/>
        <v>0</v>
      </c>
      <c r="B221" s="34" t="str">
        <f t="shared" si="23"/>
        <v/>
      </c>
      <c r="C221" s="35"/>
      <c r="D221" s="35"/>
      <c r="E221" s="35"/>
      <c r="F221" s="35"/>
      <c r="G221" s="64"/>
      <c r="H221" s="84">
        <v>216</v>
      </c>
      <c r="I221" s="85" t="str">
        <f t="shared" si="24"/>
        <v/>
      </c>
      <c r="J221" s="84">
        <f t="shared" si="25"/>
        <v>-1</v>
      </c>
      <c r="K221" s="84">
        <f t="shared" si="26"/>
        <v>-10</v>
      </c>
      <c r="L221" s="84"/>
      <c r="M221" s="86">
        <f t="shared" si="27"/>
        <v>0</v>
      </c>
      <c r="N221" s="86">
        <f t="shared" si="28"/>
        <v>0</v>
      </c>
      <c r="O221" s="64"/>
      <c r="P221" s="64"/>
      <c r="Q221" s="64"/>
      <c r="R221" s="64"/>
      <c r="S221" s="64"/>
    </row>
    <row r="222" spans="1:20" s="71" customFormat="1" x14ac:dyDescent="0.25">
      <c r="A222" s="109">
        <f t="shared" si="22"/>
        <v>0</v>
      </c>
      <c r="B222" s="28" t="str">
        <f t="shared" si="23"/>
        <v/>
      </c>
      <c r="C222" s="29"/>
      <c r="D222" s="29"/>
      <c r="E222" s="29"/>
      <c r="F222" s="29"/>
      <c r="G222" s="64"/>
      <c r="H222" s="81">
        <v>217</v>
      </c>
      <c r="I222" s="82" t="str">
        <f t="shared" si="24"/>
        <v/>
      </c>
      <c r="J222" s="81">
        <f t="shared" si="25"/>
        <v>-1</v>
      </c>
      <c r="K222" s="81">
        <f t="shared" si="26"/>
        <v>-10</v>
      </c>
      <c r="L222" s="81"/>
      <c r="M222" s="83">
        <f t="shared" si="27"/>
        <v>0</v>
      </c>
      <c r="N222" s="83">
        <f t="shared" si="28"/>
        <v>0</v>
      </c>
      <c r="O222" s="64"/>
      <c r="P222" s="64"/>
      <c r="Q222" s="64"/>
      <c r="R222" s="64"/>
      <c r="S222" s="94"/>
      <c r="T222" s="95"/>
    </row>
    <row r="223" spans="1:20" s="71" customFormat="1" x14ac:dyDescent="0.25">
      <c r="A223" s="110">
        <f t="shared" si="22"/>
        <v>0</v>
      </c>
      <c r="B223" s="34" t="str">
        <f t="shared" si="23"/>
        <v/>
      </c>
      <c r="C223" s="35"/>
      <c r="D223" s="35"/>
      <c r="E223" s="35"/>
      <c r="F223" s="35"/>
      <c r="G223" s="64"/>
      <c r="H223" s="84">
        <v>218</v>
      </c>
      <c r="I223" s="85" t="str">
        <f t="shared" si="24"/>
        <v/>
      </c>
      <c r="J223" s="84">
        <f t="shared" si="25"/>
        <v>-1</v>
      </c>
      <c r="K223" s="84">
        <f t="shared" si="26"/>
        <v>-10</v>
      </c>
      <c r="L223" s="84"/>
      <c r="M223" s="86">
        <f t="shared" si="27"/>
        <v>0</v>
      </c>
      <c r="N223" s="86">
        <f t="shared" si="28"/>
        <v>0</v>
      </c>
      <c r="O223" s="64"/>
      <c r="P223" s="64"/>
      <c r="Q223" s="64"/>
      <c r="R223" s="64"/>
      <c r="S223" s="64"/>
    </row>
    <row r="224" spans="1:20" s="71" customFormat="1" x14ac:dyDescent="0.25">
      <c r="A224" s="109">
        <f t="shared" si="22"/>
        <v>0</v>
      </c>
      <c r="B224" s="28" t="str">
        <f t="shared" si="23"/>
        <v/>
      </c>
      <c r="C224" s="29"/>
      <c r="D224" s="29"/>
      <c r="E224" s="29"/>
      <c r="F224" s="29"/>
      <c r="G224" s="64"/>
      <c r="H224" s="81">
        <v>219</v>
      </c>
      <c r="I224" s="82" t="str">
        <f t="shared" si="24"/>
        <v/>
      </c>
      <c r="J224" s="81">
        <f t="shared" si="25"/>
        <v>-1</v>
      </c>
      <c r="K224" s="81">
        <f t="shared" si="26"/>
        <v>-10</v>
      </c>
      <c r="L224" s="81"/>
      <c r="M224" s="83">
        <f t="shared" si="27"/>
        <v>0</v>
      </c>
      <c r="N224" s="83">
        <f t="shared" si="28"/>
        <v>0</v>
      </c>
      <c r="O224" s="64"/>
      <c r="P224" s="64"/>
      <c r="Q224" s="64"/>
      <c r="R224" s="64"/>
      <c r="S224" s="94"/>
      <c r="T224" s="95"/>
    </row>
    <row r="225" spans="1:20" s="71" customFormat="1" x14ac:dyDescent="0.25">
      <c r="A225" s="110">
        <f t="shared" si="22"/>
        <v>0</v>
      </c>
      <c r="B225" s="34" t="str">
        <f t="shared" si="23"/>
        <v/>
      </c>
      <c r="C225" s="35"/>
      <c r="D225" s="35"/>
      <c r="E225" s="35"/>
      <c r="F225" s="35"/>
      <c r="G225" s="64"/>
      <c r="H225" s="84">
        <v>220</v>
      </c>
      <c r="I225" s="85" t="str">
        <f t="shared" si="24"/>
        <v/>
      </c>
      <c r="J225" s="84">
        <f t="shared" si="25"/>
        <v>-1</v>
      </c>
      <c r="K225" s="84">
        <f t="shared" si="26"/>
        <v>-10</v>
      </c>
      <c r="L225" s="84"/>
      <c r="M225" s="86">
        <f t="shared" si="27"/>
        <v>0</v>
      </c>
      <c r="N225" s="86">
        <f t="shared" si="28"/>
        <v>0</v>
      </c>
      <c r="O225" s="64"/>
      <c r="P225" s="64"/>
      <c r="Q225" s="64"/>
      <c r="R225" s="64"/>
      <c r="S225" s="64"/>
    </row>
    <row r="226" spans="1:20" s="71" customFormat="1" x14ac:dyDescent="0.25">
      <c r="A226" s="109">
        <f t="shared" si="22"/>
        <v>0</v>
      </c>
      <c r="B226" s="28" t="str">
        <f t="shared" si="23"/>
        <v/>
      </c>
      <c r="C226" s="29"/>
      <c r="D226" s="29"/>
      <c r="E226" s="29"/>
      <c r="F226" s="29"/>
      <c r="G226" s="64"/>
      <c r="H226" s="81">
        <v>221</v>
      </c>
      <c r="I226" s="82" t="str">
        <f t="shared" si="24"/>
        <v/>
      </c>
      <c r="J226" s="81">
        <f t="shared" si="25"/>
        <v>-1</v>
      </c>
      <c r="K226" s="81">
        <f t="shared" si="26"/>
        <v>-10</v>
      </c>
      <c r="L226" s="81"/>
      <c r="M226" s="83">
        <f t="shared" si="27"/>
        <v>0</v>
      </c>
      <c r="N226" s="83">
        <f t="shared" si="28"/>
        <v>0</v>
      </c>
      <c r="O226" s="64"/>
      <c r="P226" s="64"/>
      <c r="Q226" s="64"/>
      <c r="R226" s="64"/>
      <c r="S226" s="94"/>
      <c r="T226" s="95"/>
    </row>
    <row r="227" spans="1:20" s="71" customFormat="1" x14ac:dyDescent="0.25">
      <c r="A227" s="110">
        <f t="shared" si="22"/>
        <v>0</v>
      </c>
      <c r="B227" s="34" t="str">
        <f t="shared" si="23"/>
        <v/>
      </c>
      <c r="C227" s="35"/>
      <c r="D227" s="35"/>
      <c r="E227" s="35"/>
      <c r="F227" s="35"/>
      <c r="G227" s="64"/>
      <c r="H227" s="84">
        <v>222</v>
      </c>
      <c r="I227" s="85" t="str">
        <f t="shared" si="24"/>
        <v/>
      </c>
      <c r="J227" s="84">
        <f t="shared" si="25"/>
        <v>-1</v>
      </c>
      <c r="K227" s="84">
        <f t="shared" si="26"/>
        <v>-10</v>
      </c>
      <c r="L227" s="84"/>
      <c r="M227" s="86">
        <f t="shared" si="27"/>
        <v>0</v>
      </c>
      <c r="N227" s="86">
        <f t="shared" si="28"/>
        <v>0</v>
      </c>
      <c r="O227" s="64"/>
      <c r="P227" s="64"/>
      <c r="Q227" s="64"/>
      <c r="R227" s="64"/>
      <c r="S227" s="64"/>
    </row>
    <row r="228" spans="1:20" s="71" customFormat="1" x14ac:dyDescent="0.25">
      <c r="A228" s="109">
        <f t="shared" si="22"/>
        <v>0</v>
      </c>
      <c r="B228" s="28" t="str">
        <f t="shared" si="23"/>
        <v/>
      </c>
      <c r="C228" s="29"/>
      <c r="D228" s="29"/>
      <c r="E228" s="29"/>
      <c r="F228" s="29"/>
      <c r="G228" s="64"/>
      <c r="H228" s="81">
        <v>223</v>
      </c>
      <c r="I228" s="82" t="str">
        <f t="shared" si="24"/>
        <v/>
      </c>
      <c r="J228" s="81">
        <f t="shared" si="25"/>
        <v>-1</v>
      </c>
      <c r="K228" s="81">
        <f t="shared" si="26"/>
        <v>-10</v>
      </c>
      <c r="L228" s="81"/>
      <c r="M228" s="83">
        <f t="shared" si="27"/>
        <v>0</v>
      </c>
      <c r="N228" s="83">
        <f t="shared" si="28"/>
        <v>0</v>
      </c>
      <c r="O228" s="64"/>
      <c r="P228" s="64"/>
      <c r="Q228" s="64"/>
      <c r="R228" s="64"/>
      <c r="S228" s="94"/>
      <c r="T228" s="95"/>
    </row>
    <row r="229" spans="1:20" s="71" customFormat="1" x14ac:dyDescent="0.25">
      <c r="A229" s="110">
        <f t="shared" ref="A229:A250" si="29">N229</f>
        <v>0</v>
      </c>
      <c r="B229" s="34" t="str">
        <f t="shared" ref="B229:B250" si="30">IF(H229&gt;$H$2,"",(ROW()-5))</f>
        <v/>
      </c>
      <c r="C229" s="35"/>
      <c r="D229" s="35"/>
      <c r="E229" s="35"/>
      <c r="F229" s="35"/>
      <c r="G229" s="64"/>
      <c r="H229" s="84">
        <v>224</v>
      </c>
      <c r="I229" s="85" t="str">
        <f t="shared" ref="I229:I250" si="31">IF(H229&lt;$H$2+1,($I$2-($I$2-1)*(LOG(H229)/LOG($H$2))),"")</f>
        <v/>
      </c>
      <c r="J229" s="84">
        <f t="shared" ref="J229:J250" si="32">INT(LOG($H$2,2))-ROUNDUP(LOG(H229,2),0)+IF(OR($H$2=1,$H$2=2,$H$2=4,$H$2=8,$H$2=16,$H$2=32,$H$2=64,$H$2=128,$H$2=256),0,1)</f>
        <v>-1</v>
      </c>
      <c r="K229" s="84">
        <f t="shared" ref="K229:K250" si="33">J229*$J$2</f>
        <v>-10</v>
      </c>
      <c r="L229" s="84"/>
      <c r="M229" s="86">
        <f t="shared" ref="M229:M250" si="34">IF(I229&lt;&gt;"",K229+I229+L229,0)</f>
        <v>0</v>
      </c>
      <c r="N229" s="86">
        <f t="shared" ref="N229:N250" si="35">IF(I229&lt;&gt;"",M229*L$2,0)</f>
        <v>0</v>
      </c>
      <c r="O229" s="64"/>
      <c r="P229" s="64"/>
      <c r="Q229" s="64"/>
      <c r="R229" s="64"/>
      <c r="S229" s="64"/>
    </row>
    <row r="230" spans="1:20" s="71" customFormat="1" x14ac:dyDescent="0.25">
      <c r="A230" s="109">
        <f t="shared" si="29"/>
        <v>0</v>
      </c>
      <c r="B230" s="28" t="str">
        <f t="shared" si="30"/>
        <v/>
      </c>
      <c r="C230" s="29"/>
      <c r="D230" s="29"/>
      <c r="E230" s="29"/>
      <c r="F230" s="29"/>
      <c r="G230" s="64"/>
      <c r="H230" s="81">
        <v>225</v>
      </c>
      <c r="I230" s="82" t="str">
        <f t="shared" si="31"/>
        <v/>
      </c>
      <c r="J230" s="81">
        <f t="shared" si="32"/>
        <v>-1</v>
      </c>
      <c r="K230" s="81">
        <f t="shared" si="33"/>
        <v>-10</v>
      </c>
      <c r="L230" s="81"/>
      <c r="M230" s="83">
        <f t="shared" si="34"/>
        <v>0</v>
      </c>
      <c r="N230" s="83">
        <f t="shared" si="35"/>
        <v>0</v>
      </c>
      <c r="O230" s="64"/>
      <c r="P230" s="64"/>
      <c r="Q230" s="64"/>
      <c r="R230" s="64"/>
      <c r="S230" s="94"/>
      <c r="T230" s="95"/>
    </row>
    <row r="231" spans="1:20" s="71" customFormat="1" x14ac:dyDescent="0.25">
      <c r="A231" s="110">
        <f t="shared" si="29"/>
        <v>0</v>
      </c>
      <c r="B231" s="34" t="str">
        <f t="shared" si="30"/>
        <v/>
      </c>
      <c r="C231" s="35"/>
      <c r="D231" s="35"/>
      <c r="E231" s="35"/>
      <c r="F231" s="35"/>
      <c r="G231" s="64"/>
      <c r="H231" s="84">
        <v>226</v>
      </c>
      <c r="I231" s="85" t="str">
        <f t="shared" si="31"/>
        <v/>
      </c>
      <c r="J231" s="84">
        <f t="shared" si="32"/>
        <v>-1</v>
      </c>
      <c r="K231" s="84">
        <f t="shared" si="33"/>
        <v>-10</v>
      </c>
      <c r="L231" s="84"/>
      <c r="M231" s="86">
        <f t="shared" si="34"/>
        <v>0</v>
      </c>
      <c r="N231" s="86">
        <f t="shared" si="35"/>
        <v>0</v>
      </c>
      <c r="O231" s="64"/>
      <c r="P231" s="64"/>
      <c r="Q231" s="64"/>
      <c r="R231" s="64"/>
      <c r="S231" s="64"/>
    </row>
    <row r="232" spans="1:20" s="71" customFormat="1" x14ac:dyDescent="0.25">
      <c r="A232" s="109">
        <f t="shared" si="29"/>
        <v>0</v>
      </c>
      <c r="B232" s="28" t="str">
        <f t="shared" si="30"/>
        <v/>
      </c>
      <c r="C232" s="29"/>
      <c r="D232" s="29"/>
      <c r="E232" s="29"/>
      <c r="F232" s="29"/>
      <c r="G232" s="64"/>
      <c r="H232" s="81">
        <v>227</v>
      </c>
      <c r="I232" s="82" t="str">
        <f t="shared" si="31"/>
        <v/>
      </c>
      <c r="J232" s="81">
        <f t="shared" si="32"/>
        <v>-1</v>
      </c>
      <c r="K232" s="81">
        <f t="shared" si="33"/>
        <v>-10</v>
      </c>
      <c r="L232" s="81"/>
      <c r="M232" s="83">
        <f t="shared" si="34"/>
        <v>0</v>
      </c>
      <c r="N232" s="83">
        <f t="shared" si="35"/>
        <v>0</v>
      </c>
      <c r="O232" s="64"/>
      <c r="P232" s="64"/>
      <c r="Q232" s="64"/>
      <c r="R232" s="64"/>
      <c r="S232" s="94"/>
      <c r="T232" s="95"/>
    </row>
    <row r="233" spans="1:20" s="71" customFormat="1" x14ac:dyDescent="0.25">
      <c r="A233" s="110">
        <f t="shared" si="29"/>
        <v>0</v>
      </c>
      <c r="B233" s="34" t="str">
        <f t="shared" si="30"/>
        <v/>
      </c>
      <c r="C233" s="35"/>
      <c r="D233" s="35"/>
      <c r="E233" s="35"/>
      <c r="F233" s="35"/>
      <c r="G233" s="64"/>
      <c r="H233" s="84">
        <v>228</v>
      </c>
      <c r="I233" s="85" t="str">
        <f t="shared" si="31"/>
        <v/>
      </c>
      <c r="J233" s="84">
        <f t="shared" si="32"/>
        <v>-1</v>
      </c>
      <c r="K233" s="84">
        <f t="shared" si="33"/>
        <v>-10</v>
      </c>
      <c r="L233" s="84"/>
      <c r="M233" s="86">
        <f t="shared" si="34"/>
        <v>0</v>
      </c>
      <c r="N233" s="86">
        <f t="shared" si="35"/>
        <v>0</v>
      </c>
      <c r="O233" s="64"/>
      <c r="P233" s="64"/>
      <c r="Q233" s="64"/>
      <c r="R233" s="64"/>
      <c r="S233" s="64"/>
    </row>
    <row r="234" spans="1:20" s="71" customFormat="1" x14ac:dyDescent="0.25">
      <c r="A234" s="109">
        <f t="shared" si="29"/>
        <v>0</v>
      </c>
      <c r="B234" s="28" t="str">
        <f t="shared" si="30"/>
        <v/>
      </c>
      <c r="C234" s="29"/>
      <c r="D234" s="29"/>
      <c r="E234" s="29"/>
      <c r="F234" s="29"/>
      <c r="G234" s="64"/>
      <c r="H234" s="81">
        <v>229</v>
      </c>
      <c r="I234" s="82" t="str">
        <f t="shared" si="31"/>
        <v/>
      </c>
      <c r="J234" s="81">
        <f t="shared" si="32"/>
        <v>-1</v>
      </c>
      <c r="K234" s="81">
        <f t="shared" si="33"/>
        <v>-10</v>
      </c>
      <c r="L234" s="81"/>
      <c r="M234" s="83">
        <f t="shared" si="34"/>
        <v>0</v>
      </c>
      <c r="N234" s="83">
        <f t="shared" si="35"/>
        <v>0</v>
      </c>
      <c r="O234" s="64"/>
      <c r="P234" s="64"/>
      <c r="Q234" s="64"/>
      <c r="R234" s="64"/>
      <c r="S234" s="94"/>
      <c r="T234" s="95"/>
    </row>
    <row r="235" spans="1:20" s="71" customFormat="1" x14ac:dyDescent="0.25">
      <c r="A235" s="110">
        <f t="shared" si="29"/>
        <v>0</v>
      </c>
      <c r="B235" s="34" t="str">
        <f t="shared" si="30"/>
        <v/>
      </c>
      <c r="C235" s="35"/>
      <c r="D235" s="35"/>
      <c r="E235" s="35"/>
      <c r="F235" s="35"/>
      <c r="G235" s="64"/>
      <c r="H235" s="84">
        <v>230</v>
      </c>
      <c r="I235" s="85" t="str">
        <f t="shared" si="31"/>
        <v/>
      </c>
      <c r="J235" s="84">
        <f t="shared" si="32"/>
        <v>-1</v>
      </c>
      <c r="K235" s="84">
        <f t="shared" si="33"/>
        <v>-10</v>
      </c>
      <c r="L235" s="84"/>
      <c r="M235" s="86">
        <f t="shared" si="34"/>
        <v>0</v>
      </c>
      <c r="N235" s="86">
        <f t="shared" si="35"/>
        <v>0</v>
      </c>
      <c r="O235" s="64"/>
      <c r="P235" s="64"/>
      <c r="Q235" s="64"/>
      <c r="R235" s="64"/>
      <c r="S235" s="64"/>
    </row>
    <row r="236" spans="1:20" s="71" customFormat="1" x14ac:dyDescent="0.25">
      <c r="A236" s="109">
        <f t="shared" si="29"/>
        <v>0</v>
      </c>
      <c r="B236" s="28" t="str">
        <f t="shared" si="30"/>
        <v/>
      </c>
      <c r="C236" s="29"/>
      <c r="D236" s="29"/>
      <c r="E236" s="29"/>
      <c r="F236" s="29"/>
      <c r="G236" s="64"/>
      <c r="H236" s="81">
        <v>231</v>
      </c>
      <c r="I236" s="82" t="str">
        <f t="shared" si="31"/>
        <v/>
      </c>
      <c r="J236" s="81">
        <f t="shared" si="32"/>
        <v>-1</v>
      </c>
      <c r="K236" s="81">
        <f t="shared" si="33"/>
        <v>-10</v>
      </c>
      <c r="L236" s="81"/>
      <c r="M236" s="83">
        <f t="shared" si="34"/>
        <v>0</v>
      </c>
      <c r="N236" s="83">
        <f t="shared" si="35"/>
        <v>0</v>
      </c>
      <c r="O236" s="64"/>
      <c r="P236" s="64"/>
      <c r="Q236" s="64"/>
      <c r="R236" s="64"/>
      <c r="S236" s="94"/>
      <c r="T236" s="95"/>
    </row>
    <row r="237" spans="1:20" s="71" customFormat="1" x14ac:dyDescent="0.25">
      <c r="A237" s="110">
        <f t="shared" si="29"/>
        <v>0</v>
      </c>
      <c r="B237" s="34" t="str">
        <f t="shared" si="30"/>
        <v/>
      </c>
      <c r="C237" s="35"/>
      <c r="D237" s="35"/>
      <c r="E237" s="35"/>
      <c r="F237" s="35"/>
      <c r="G237" s="64"/>
      <c r="H237" s="84">
        <v>232</v>
      </c>
      <c r="I237" s="85" t="str">
        <f t="shared" si="31"/>
        <v/>
      </c>
      <c r="J237" s="84">
        <f t="shared" si="32"/>
        <v>-1</v>
      </c>
      <c r="K237" s="84">
        <f t="shared" si="33"/>
        <v>-10</v>
      </c>
      <c r="L237" s="84"/>
      <c r="M237" s="86">
        <f t="shared" si="34"/>
        <v>0</v>
      </c>
      <c r="N237" s="86">
        <f t="shared" si="35"/>
        <v>0</v>
      </c>
      <c r="O237" s="64"/>
      <c r="P237" s="64"/>
      <c r="Q237" s="64"/>
      <c r="R237" s="64"/>
      <c r="S237" s="64"/>
    </row>
    <row r="238" spans="1:20" s="71" customFormat="1" x14ac:dyDescent="0.25">
      <c r="A238" s="109">
        <f t="shared" si="29"/>
        <v>0</v>
      </c>
      <c r="B238" s="28" t="str">
        <f t="shared" si="30"/>
        <v/>
      </c>
      <c r="C238" s="29"/>
      <c r="D238" s="29"/>
      <c r="E238" s="29"/>
      <c r="F238" s="29"/>
      <c r="G238" s="64"/>
      <c r="H238" s="81">
        <v>233</v>
      </c>
      <c r="I238" s="82" t="str">
        <f t="shared" si="31"/>
        <v/>
      </c>
      <c r="J238" s="81">
        <f t="shared" si="32"/>
        <v>-1</v>
      </c>
      <c r="K238" s="81">
        <f t="shared" si="33"/>
        <v>-10</v>
      </c>
      <c r="L238" s="81"/>
      <c r="M238" s="83">
        <f t="shared" si="34"/>
        <v>0</v>
      </c>
      <c r="N238" s="83">
        <f t="shared" si="35"/>
        <v>0</v>
      </c>
      <c r="O238" s="64"/>
      <c r="P238" s="64"/>
      <c r="Q238" s="64"/>
      <c r="R238" s="64"/>
      <c r="S238" s="94"/>
      <c r="T238" s="95"/>
    </row>
    <row r="239" spans="1:20" s="71" customFormat="1" x14ac:dyDescent="0.25">
      <c r="A239" s="110">
        <f t="shared" si="29"/>
        <v>0</v>
      </c>
      <c r="B239" s="34" t="str">
        <f t="shared" si="30"/>
        <v/>
      </c>
      <c r="C239" s="35"/>
      <c r="D239" s="35"/>
      <c r="E239" s="35"/>
      <c r="F239" s="35"/>
      <c r="G239" s="64"/>
      <c r="H239" s="84">
        <v>234</v>
      </c>
      <c r="I239" s="85" t="str">
        <f t="shared" si="31"/>
        <v/>
      </c>
      <c r="J239" s="84">
        <f t="shared" si="32"/>
        <v>-1</v>
      </c>
      <c r="K239" s="84">
        <f t="shared" si="33"/>
        <v>-10</v>
      </c>
      <c r="L239" s="84"/>
      <c r="M239" s="86">
        <f t="shared" si="34"/>
        <v>0</v>
      </c>
      <c r="N239" s="86">
        <f t="shared" si="35"/>
        <v>0</v>
      </c>
      <c r="O239" s="64"/>
      <c r="P239" s="64"/>
      <c r="Q239" s="64"/>
      <c r="R239" s="64"/>
      <c r="S239" s="64"/>
    </row>
    <row r="240" spans="1:20" s="71" customFormat="1" x14ac:dyDescent="0.25">
      <c r="A240" s="109">
        <f t="shared" si="29"/>
        <v>0</v>
      </c>
      <c r="B240" s="28" t="str">
        <f t="shared" si="30"/>
        <v/>
      </c>
      <c r="C240" s="29"/>
      <c r="D240" s="29"/>
      <c r="E240" s="29"/>
      <c r="F240" s="29"/>
      <c r="G240" s="64"/>
      <c r="H240" s="81">
        <v>235</v>
      </c>
      <c r="I240" s="82" t="str">
        <f t="shared" si="31"/>
        <v/>
      </c>
      <c r="J240" s="81">
        <f t="shared" si="32"/>
        <v>-1</v>
      </c>
      <c r="K240" s="81">
        <f t="shared" si="33"/>
        <v>-10</v>
      </c>
      <c r="L240" s="81"/>
      <c r="M240" s="83">
        <f t="shared" si="34"/>
        <v>0</v>
      </c>
      <c r="N240" s="83">
        <f t="shared" si="35"/>
        <v>0</v>
      </c>
      <c r="O240" s="64"/>
      <c r="P240" s="64"/>
      <c r="Q240" s="64"/>
      <c r="R240" s="64"/>
      <c r="S240" s="94"/>
      <c r="T240" s="95"/>
    </row>
    <row r="241" spans="1:20" s="71" customFormat="1" x14ac:dyDescent="0.25">
      <c r="A241" s="110">
        <f t="shared" si="29"/>
        <v>0</v>
      </c>
      <c r="B241" s="34" t="str">
        <f t="shared" si="30"/>
        <v/>
      </c>
      <c r="C241" s="35"/>
      <c r="D241" s="35"/>
      <c r="E241" s="35"/>
      <c r="F241" s="35"/>
      <c r="G241" s="64"/>
      <c r="H241" s="84">
        <v>236</v>
      </c>
      <c r="I241" s="85" t="str">
        <f t="shared" si="31"/>
        <v/>
      </c>
      <c r="J241" s="84">
        <f t="shared" si="32"/>
        <v>-1</v>
      </c>
      <c r="K241" s="84">
        <f t="shared" si="33"/>
        <v>-10</v>
      </c>
      <c r="L241" s="84"/>
      <c r="M241" s="86">
        <f t="shared" si="34"/>
        <v>0</v>
      </c>
      <c r="N241" s="86">
        <f t="shared" si="35"/>
        <v>0</v>
      </c>
      <c r="O241" s="64"/>
      <c r="P241" s="64"/>
      <c r="Q241" s="64"/>
      <c r="R241" s="64"/>
      <c r="S241" s="64"/>
    </row>
    <row r="242" spans="1:20" s="71" customFormat="1" x14ac:dyDescent="0.25">
      <c r="A242" s="109">
        <f t="shared" si="29"/>
        <v>0</v>
      </c>
      <c r="B242" s="28" t="str">
        <f t="shared" si="30"/>
        <v/>
      </c>
      <c r="C242" s="29"/>
      <c r="D242" s="29"/>
      <c r="E242" s="29"/>
      <c r="F242" s="29"/>
      <c r="G242" s="64"/>
      <c r="H242" s="81">
        <v>237</v>
      </c>
      <c r="I242" s="82" t="str">
        <f t="shared" si="31"/>
        <v/>
      </c>
      <c r="J242" s="81">
        <f t="shared" si="32"/>
        <v>-1</v>
      </c>
      <c r="K242" s="81">
        <f t="shared" si="33"/>
        <v>-10</v>
      </c>
      <c r="L242" s="81"/>
      <c r="M242" s="83">
        <f t="shared" si="34"/>
        <v>0</v>
      </c>
      <c r="N242" s="83">
        <f t="shared" si="35"/>
        <v>0</v>
      </c>
      <c r="O242" s="64"/>
      <c r="P242" s="64"/>
      <c r="Q242" s="64"/>
      <c r="R242" s="64"/>
      <c r="S242" s="94"/>
      <c r="T242" s="95"/>
    </row>
    <row r="243" spans="1:20" s="71" customFormat="1" x14ac:dyDescent="0.25">
      <c r="A243" s="110">
        <f t="shared" si="29"/>
        <v>0</v>
      </c>
      <c r="B243" s="34" t="str">
        <f t="shared" si="30"/>
        <v/>
      </c>
      <c r="C243" s="35"/>
      <c r="D243" s="35"/>
      <c r="E243" s="35"/>
      <c r="F243" s="35"/>
      <c r="G243" s="64"/>
      <c r="H243" s="84">
        <v>238</v>
      </c>
      <c r="I243" s="85" t="str">
        <f t="shared" si="31"/>
        <v/>
      </c>
      <c r="J243" s="84">
        <f t="shared" si="32"/>
        <v>-1</v>
      </c>
      <c r="K243" s="84">
        <f t="shared" si="33"/>
        <v>-10</v>
      </c>
      <c r="L243" s="84"/>
      <c r="M243" s="86">
        <f t="shared" si="34"/>
        <v>0</v>
      </c>
      <c r="N243" s="86">
        <f t="shared" si="35"/>
        <v>0</v>
      </c>
      <c r="O243" s="64"/>
      <c r="P243" s="64"/>
      <c r="Q243" s="64"/>
      <c r="R243" s="64"/>
      <c r="S243" s="64"/>
    </row>
    <row r="244" spans="1:20" s="71" customFormat="1" x14ac:dyDescent="0.25">
      <c r="A244" s="109">
        <f t="shared" si="29"/>
        <v>0</v>
      </c>
      <c r="B244" s="28" t="str">
        <f t="shared" si="30"/>
        <v/>
      </c>
      <c r="C244" s="29"/>
      <c r="D244" s="29"/>
      <c r="E244" s="29"/>
      <c r="F244" s="29"/>
      <c r="G244" s="64"/>
      <c r="H244" s="81">
        <v>239</v>
      </c>
      <c r="I244" s="82" t="str">
        <f t="shared" si="31"/>
        <v/>
      </c>
      <c r="J244" s="81">
        <f t="shared" si="32"/>
        <v>-1</v>
      </c>
      <c r="K244" s="81">
        <f t="shared" si="33"/>
        <v>-10</v>
      </c>
      <c r="L244" s="81"/>
      <c r="M244" s="83">
        <f t="shared" si="34"/>
        <v>0</v>
      </c>
      <c r="N244" s="83">
        <f t="shared" si="35"/>
        <v>0</v>
      </c>
      <c r="O244" s="64"/>
      <c r="P244" s="64"/>
      <c r="Q244" s="64"/>
      <c r="R244" s="64"/>
      <c r="S244" s="94"/>
      <c r="T244" s="95"/>
    </row>
    <row r="245" spans="1:20" s="71" customFormat="1" x14ac:dyDescent="0.25">
      <c r="A245" s="110">
        <f t="shared" si="29"/>
        <v>0</v>
      </c>
      <c r="B245" s="34" t="str">
        <f t="shared" si="30"/>
        <v/>
      </c>
      <c r="C245" s="35"/>
      <c r="D245" s="35"/>
      <c r="E245" s="35"/>
      <c r="F245" s="35"/>
      <c r="G245" s="64"/>
      <c r="H245" s="84">
        <v>240</v>
      </c>
      <c r="I245" s="85" t="str">
        <f t="shared" si="31"/>
        <v/>
      </c>
      <c r="J245" s="84">
        <f t="shared" si="32"/>
        <v>-1</v>
      </c>
      <c r="K245" s="84">
        <f t="shared" si="33"/>
        <v>-10</v>
      </c>
      <c r="L245" s="84"/>
      <c r="M245" s="86">
        <f t="shared" si="34"/>
        <v>0</v>
      </c>
      <c r="N245" s="86">
        <f t="shared" si="35"/>
        <v>0</v>
      </c>
      <c r="O245" s="64"/>
      <c r="P245" s="64"/>
      <c r="Q245" s="64"/>
      <c r="R245" s="64"/>
      <c r="S245" s="64"/>
    </row>
    <row r="246" spans="1:20" s="71" customFormat="1" x14ac:dyDescent="0.25">
      <c r="A246" s="109">
        <f t="shared" si="29"/>
        <v>0</v>
      </c>
      <c r="B246" s="28" t="str">
        <f t="shared" si="30"/>
        <v/>
      </c>
      <c r="C246" s="29"/>
      <c r="D246" s="29"/>
      <c r="E246" s="29"/>
      <c r="F246" s="29"/>
      <c r="G246" s="64"/>
      <c r="H246" s="81">
        <v>241</v>
      </c>
      <c r="I246" s="82" t="str">
        <f t="shared" si="31"/>
        <v/>
      </c>
      <c r="J246" s="81">
        <f t="shared" si="32"/>
        <v>-1</v>
      </c>
      <c r="K246" s="81">
        <f t="shared" si="33"/>
        <v>-10</v>
      </c>
      <c r="L246" s="81"/>
      <c r="M246" s="83">
        <f t="shared" si="34"/>
        <v>0</v>
      </c>
      <c r="N246" s="83">
        <f t="shared" si="35"/>
        <v>0</v>
      </c>
      <c r="O246" s="64"/>
      <c r="P246" s="64"/>
      <c r="Q246" s="64"/>
      <c r="R246" s="64"/>
      <c r="S246" s="94"/>
      <c r="T246" s="95"/>
    </row>
    <row r="247" spans="1:20" s="71" customFormat="1" x14ac:dyDescent="0.25">
      <c r="A247" s="110">
        <f t="shared" si="29"/>
        <v>0</v>
      </c>
      <c r="B247" s="34" t="str">
        <f t="shared" si="30"/>
        <v/>
      </c>
      <c r="C247" s="35"/>
      <c r="D247" s="35"/>
      <c r="E247" s="35"/>
      <c r="F247" s="35"/>
      <c r="G247" s="64"/>
      <c r="H247" s="84">
        <v>242</v>
      </c>
      <c r="I247" s="85" t="str">
        <f t="shared" si="31"/>
        <v/>
      </c>
      <c r="J247" s="84">
        <f t="shared" si="32"/>
        <v>-1</v>
      </c>
      <c r="K247" s="84">
        <f t="shared" si="33"/>
        <v>-10</v>
      </c>
      <c r="L247" s="84"/>
      <c r="M247" s="86">
        <f t="shared" si="34"/>
        <v>0</v>
      </c>
      <c r="N247" s="86">
        <f t="shared" si="35"/>
        <v>0</v>
      </c>
      <c r="O247" s="64"/>
      <c r="P247" s="64"/>
      <c r="Q247" s="64"/>
      <c r="R247" s="64"/>
      <c r="S247" s="64"/>
    </row>
    <row r="248" spans="1:20" s="71" customFormat="1" x14ac:dyDescent="0.25">
      <c r="A248" s="109">
        <f t="shared" si="29"/>
        <v>0</v>
      </c>
      <c r="B248" s="28" t="str">
        <f t="shared" si="30"/>
        <v/>
      </c>
      <c r="C248" s="29"/>
      <c r="D248" s="29"/>
      <c r="E248" s="29"/>
      <c r="F248" s="29"/>
      <c r="G248" s="64"/>
      <c r="H248" s="81">
        <v>243</v>
      </c>
      <c r="I248" s="82" t="str">
        <f t="shared" si="31"/>
        <v/>
      </c>
      <c r="J248" s="81">
        <f t="shared" si="32"/>
        <v>-1</v>
      </c>
      <c r="K248" s="81">
        <f t="shared" si="33"/>
        <v>-10</v>
      </c>
      <c r="L248" s="81"/>
      <c r="M248" s="83">
        <f t="shared" si="34"/>
        <v>0</v>
      </c>
      <c r="N248" s="83">
        <f t="shared" si="35"/>
        <v>0</v>
      </c>
      <c r="O248" s="64"/>
      <c r="P248" s="64"/>
      <c r="Q248" s="64"/>
      <c r="R248" s="64"/>
      <c r="S248" s="94"/>
      <c r="T248" s="95"/>
    </row>
    <row r="249" spans="1:20" s="71" customFormat="1" x14ac:dyDescent="0.25">
      <c r="A249" s="110">
        <f t="shared" si="29"/>
        <v>0</v>
      </c>
      <c r="B249" s="34" t="str">
        <f t="shared" si="30"/>
        <v/>
      </c>
      <c r="C249" s="35"/>
      <c r="D249" s="35"/>
      <c r="E249" s="35"/>
      <c r="F249" s="35"/>
      <c r="G249" s="64"/>
      <c r="H249" s="84">
        <v>244</v>
      </c>
      <c r="I249" s="85" t="str">
        <f t="shared" si="31"/>
        <v/>
      </c>
      <c r="J249" s="84">
        <f t="shared" si="32"/>
        <v>-1</v>
      </c>
      <c r="K249" s="84">
        <f t="shared" si="33"/>
        <v>-10</v>
      </c>
      <c r="L249" s="84"/>
      <c r="M249" s="86">
        <f t="shared" si="34"/>
        <v>0</v>
      </c>
      <c r="N249" s="86">
        <f t="shared" si="35"/>
        <v>0</v>
      </c>
      <c r="O249" s="64"/>
      <c r="P249" s="64"/>
      <c r="Q249" s="64"/>
      <c r="R249" s="64"/>
      <c r="S249" s="64"/>
    </row>
    <row r="250" spans="1:20" s="71" customFormat="1" x14ac:dyDescent="0.25">
      <c r="A250" s="109">
        <f t="shared" si="29"/>
        <v>0</v>
      </c>
      <c r="B250" s="28" t="str">
        <f t="shared" si="30"/>
        <v/>
      </c>
      <c r="C250" s="29"/>
      <c r="D250" s="29"/>
      <c r="E250" s="29"/>
      <c r="F250" s="29"/>
      <c r="G250" s="64"/>
      <c r="H250" s="81">
        <v>245</v>
      </c>
      <c r="I250" s="82" t="str">
        <f t="shared" si="31"/>
        <v/>
      </c>
      <c r="J250" s="81">
        <f t="shared" si="32"/>
        <v>-1</v>
      </c>
      <c r="K250" s="81">
        <f t="shared" si="33"/>
        <v>-10</v>
      </c>
      <c r="L250" s="81"/>
      <c r="M250" s="83">
        <f t="shared" si="34"/>
        <v>0</v>
      </c>
      <c r="N250" s="83">
        <f t="shared" si="35"/>
        <v>0</v>
      </c>
      <c r="O250" s="64"/>
      <c r="P250" s="64"/>
      <c r="Q250" s="64"/>
      <c r="R250" s="64"/>
      <c r="S250" s="94"/>
      <c r="T250" s="95"/>
    </row>
    <row r="251" spans="1:20" x14ac:dyDescent="0.25">
      <c r="A251" s="110">
        <f t="shared" ref="A251:A262" si="36">N251</f>
        <v>0</v>
      </c>
      <c r="G251" s="64"/>
      <c r="H251" s="81">
        <v>246</v>
      </c>
      <c r="I251" s="82" t="str">
        <f t="shared" ref="I251:I261" si="37">IF(H251&lt;$H$2+1,($I$2-($I$2-1)*(LOG(H251)/LOG($H$2))),"")</f>
        <v/>
      </c>
      <c r="J251" s="81">
        <f t="shared" ref="J251:J262" si="38">INT(LOG($H$2,2))-ROUNDUP(LOG(H251,2),0)+IF(OR($H$2=1,$H$2=2,$H$2=4,$H$2=8,$H$2=16,$H$2=32,$H$2=64,$H$2=128,$H$2=256),0,1)</f>
        <v>-1</v>
      </c>
      <c r="K251" s="81">
        <f t="shared" ref="K251:K261" si="39">J251*$J$2</f>
        <v>-10</v>
      </c>
      <c r="L251" s="81"/>
      <c r="M251" s="83">
        <f t="shared" ref="M251:M261" si="40">IF(I251&lt;&gt;"",K251+I251+L251,0)</f>
        <v>0</v>
      </c>
      <c r="N251" s="83">
        <f t="shared" ref="N251:N261" si="41">IF(I251&lt;&gt;"",M251*L$2,0)</f>
        <v>0</v>
      </c>
    </row>
    <row r="252" spans="1:20" x14ac:dyDescent="0.25">
      <c r="A252" s="109">
        <f t="shared" si="36"/>
        <v>0</v>
      </c>
      <c r="G252" s="64"/>
      <c r="H252" s="81">
        <v>247</v>
      </c>
      <c r="I252" s="82" t="str">
        <f t="shared" si="37"/>
        <v/>
      </c>
      <c r="J252" s="81">
        <f t="shared" si="38"/>
        <v>-1</v>
      </c>
      <c r="K252" s="81">
        <f t="shared" si="39"/>
        <v>-10</v>
      </c>
      <c r="L252" s="81"/>
      <c r="M252" s="83">
        <f t="shared" si="40"/>
        <v>0</v>
      </c>
      <c r="N252" s="83">
        <f t="shared" si="41"/>
        <v>0</v>
      </c>
    </row>
    <row r="253" spans="1:20" x14ac:dyDescent="0.25">
      <c r="A253" s="110">
        <f t="shared" si="36"/>
        <v>0</v>
      </c>
      <c r="G253" s="64"/>
      <c r="H253" s="81">
        <v>248</v>
      </c>
      <c r="I253" s="82" t="str">
        <f t="shared" si="37"/>
        <v/>
      </c>
      <c r="J253" s="81">
        <f t="shared" si="38"/>
        <v>-1</v>
      </c>
      <c r="K253" s="81">
        <f t="shared" si="39"/>
        <v>-10</v>
      </c>
      <c r="L253" s="81"/>
      <c r="M253" s="83">
        <f t="shared" si="40"/>
        <v>0</v>
      </c>
      <c r="N253" s="83">
        <f t="shared" si="41"/>
        <v>0</v>
      </c>
    </row>
    <row r="254" spans="1:20" x14ac:dyDescent="0.25">
      <c r="A254" s="109">
        <f t="shared" si="36"/>
        <v>0</v>
      </c>
      <c r="G254" s="64"/>
      <c r="H254" s="81">
        <v>249</v>
      </c>
      <c r="I254" s="82" t="str">
        <f t="shared" si="37"/>
        <v/>
      </c>
      <c r="J254" s="81">
        <f t="shared" si="38"/>
        <v>-1</v>
      </c>
      <c r="K254" s="81">
        <f t="shared" si="39"/>
        <v>-10</v>
      </c>
      <c r="L254" s="81"/>
      <c r="M254" s="83">
        <f t="shared" si="40"/>
        <v>0</v>
      </c>
      <c r="N254" s="83">
        <f t="shared" si="41"/>
        <v>0</v>
      </c>
    </row>
    <row r="255" spans="1:20" x14ac:dyDescent="0.25">
      <c r="A255" s="110">
        <f t="shared" si="36"/>
        <v>0</v>
      </c>
      <c r="G255" s="64"/>
      <c r="H255" s="81">
        <v>250</v>
      </c>
      <c r="I255" s="82" t="str">
        <f t="shared" si="37"/>
        <v/>
      </c>
      <c r="J255" s="81">
        <f t="shared" si="38"/>
        <v>-1</v>
      </c>
      <c r="K255" s="81">
        <f t="shared" si="39"/>
        <v>-10</v>
      </c>
      <c r="L255" s="81"/>
      <c r="M255" s="83">
        <f t="shared" si="40"/>
        <v>0</v>
      </c>
      <c r="N255" s="83">
        <f t="shared" si="41"/>
        <v>0</v>
      </c>
    </row>
    <row r="256" spans="1:20" x14ac:dyDescent="0.25">
      <c r="A256" s="109">
        <f t="shared" si="36"/>
        <v>0</v>
      </c>
      <c r="G256" s="64"/>
      <c r="H256" s="81">
        <v>251</v>
      </c>
      <c r="I256" s="82" t="str">
        <f t="shared" si="37"/>
        <v/>
      </c>
      <c r="J256" s="81">
        <f t="shared" si="38"/>
        <v>-1</v>
      </c>
      <c r="K256" s="81">
        <f t="shared" si="39"/>
        <v>-10</v>
      </c>
      <c r="L256" s="81"/>
      <c r="M256" s="83">
        <f t="shared" si="40"/>
        <v>0</v>
      </c>
      <c r="N256" s="83">
        <f t="shared" si="41"/>
        <v>0</v>
      </c>
    </row>
    <row r="257" spans="1:14" x14ac:dyDescent="0.25">
      <c r="A257" s="110">
        <f t="shared" si="36"/>
        <v>0</v>
      </c>
      <c r="G257" s="64"/>
      <c r="H257" s="81">
        <v>252</v>
      </c>
      <c r="I257" s="82" t="str">
        <f t="shared" si="37"/>
        <v/>
      </c>
      <c r="J257" s="81">
        <f t="shared" si="38"/>
        <v>-1</v>
      </c>
      <c r="K257" s="81">
        <f t="shared" si="39"/>
        <v>-10</v>
      </c>
      <c r="L257" s="81"/>
      <c r="M257" s="83">
        <f t="shared" si="40"/>
        <v>0</v>
      </c>
      <c r="N257" s="83">
        <f t="shared" si="41"/>
        <v>0</v>
      </c>
    </row>
    <row r="258" spans="1:14" x14ac:dyDescent="0.25">
      <c r="A258" s="109">
        <f t="shared" si="36"/>
        <v>0</v>
      </c>
      <c r="G258" s="64"/>
      <c r="H258" s="81">
        <v>253</v>
      </c>
      <c r="I258" s="82" t="str">
        <f t="shared" si="37"/>
        <v/>
      </c>
      <c r="J258" s="81">
        <f t="shared" si="38"/>
        <v>-1</v>
      </c>
      <c r="K258" s="81">
        <f t="shared" si="39"/>
        <v>-10</v>
      </c>
      <c r="L258" s="81"/>
      <c r="M258" s="83">
        <f t="shared" si="40"/>
        <v>0</v>
      </c>
      <c r="N258" s="83">
        <f t="shared" si="41"/>
        <v>0</v>
      </c>
    </row>
    <row r="259" spans="1:14" x14ac:dyDescent="0.25">
      <c r="A259" s="110">
        <f t="shared" si="36"/>
        <v>0</v>
      </c>
      <c r="G259" s="64"/>
      <c r="H259" s="81">
        <v>254</v>
      </c>
      <c r="I259" s="82" t="str">
        <f t="shared" si="37"/>
        <v/>
      </c>
      <c r="J259" s="81">
        <f t="shared" si="38"/>
        <v>-1</v>
      </c>
      <c r="K259" s="81">
        <f t="shared" si="39"/>
        <v>-10</v>
      </c>
      <c r="L259" s="81"/>
      <c r="M259" s="83">
        <f t="shared" si="40"/>
        <v>0</v>
      </c>
      <c r="N259" s="83">
        <f t="shared" si="41"/>
        <v>0</v>
      </c>
    </row>
    <row r="260" spans="1:14" x14ac:dyDescent="0.25">
      <c r="A260" s="109">
        <f t="shared" si="36"/>
        <v>0</v>
      </c>
      <c r="G260" s="64"/>
      <c r="H260" s="81">
        <v>255</v>
      </c>
      <c r="I260" s="82" t="str">
        <f t="shared" si="37"/>
        <v/>
      </c>
      <c r="J260" s="81">
        <f t="shared" si="38"/>
        <v>-1</v>
      </c>
      <c r="K260" s="81">
        <f t="shared" si="39"/>
        <v>-10</v>
      </c>
      <c r="L260" s="81"/>
      <c r="M260" s="83">
        <f t="shared" si="40"/>
        <v>0</v>
      </c>
      <c r="N260" s="83">
        <f t="shared" si="41"/>
        <v>0</v>
      </c>
    </row>
    <row r="261" spans="1:14" x14ac:dyDescent="0.25">
      <c r="A261" s="110">
        <f t="shared" si="36"/>
        <v>0</v>
      </c>
      <c r="G261" s="64"/>
      <c r="H261" s="81">
        <v>256</v>
      </c>
      <c r="I261" s="82" t="str">
        <f t="shared" si="37"/>
        <v/>
      </c>
      <c r="J261" s="81">
        <f t="shared" si="38"/>
        <v>-1</v>
      </c>
      <c r="K261" s="81">
        <f t="shared" si="39"/>
        <v>-10</v>
      </c>
      <c r="L261" s="81"/>
      <c r="M261" s="83">
        <f t="shared" si="40"/>
        <v>0</v>
      </c>
      <c r="N261" s="83">
        <f t="shared" si="41"/>
        <v>0</v>
      </c>
    </row>
    <row r="262" spans="1:14" x14ac:dyDescent="0.25">
      <c r="A262" s="109">
        <f t="shared" si="36"/>
        <v>0</v>
      </c>
      <c r="G262" s="64"/>
      <c r="H262" s="81">
        <v>257</v>
      </c>
      <c r="I262" s="82" t="str">
        <f t="shared" ref="I262:I305" si="42">IF(H262&lt;$H$2+1,($I$2-($I$2-1)*(LOG(H262)/LOG($H$2))),"")</f>
        <v/>
      </c>
      <c r="J262" s="81">
        <f t="shared" si="38"/>
        <v>-2</v>
      </c>
      <c r="K262" s="81">
        <f t="shared" ref="K262:K305" si="43">J262*$J$2</f>
        <v>-20</v>
      </c>
      <c r="L262" s="81"/>
      <c r="M262" s="83">
        <f t="shared" ref="M262:M305" si="44">IF(I262&lt;&gt;"",K262+I262+L262,0)</f>
        <v>0</v>
      </c>
      <c r="N262" s="83">
        <f t="shared" ref="N262:N305" si="45">IF(I262&lt;&gt;"",M262*L$2,0)</f>
        <v>0</v>
      </c>
    </row>
    <row r="263" spans="1:14" x14ac:dyDescent="0.25">
      <c r="A263" s="110">
        <f t="shared" ref="A263:A305" si="46">N263</f>
        <v>0</v>
      </c>
      <c r="G263" s="64"/>
      <c r="H263" s="81">
        <v>258</v>
      </c>
      <c r="I263" s="82" t="str">
        <f t="shared" si="42"/>
        <v/>
      </c>
      <c r="J263" s="81">
        <f t="shared" ref="J263:J305" si="47">INT(LOG($H$2,2))-ROUNDUP(LOG(H263,2),0)+IF(OR($H$2=1,$H$2=2,$H$2=4,$H$2=8,$H$2=16,$H$2=32,$H$2=64,$H$2=128,$H$2=256),0,1)</f>
        <v>-2</v>
      </c>
      <c r="K263" s="81">
        <f t="shared" si="43"/>
        <v>-20</v>
      </c>
      <c r="L263" s="81"/>
      <c r="M263" s="83">
        <f t="shared" si="44"/>
        <v>0</v>
      </c>
      <c r="N263" s="83">
        <f t="shared" si="45"/>
        <v>0</v>
      </c>
    </row>
    <row r="264" spans="1:14" x14ac:dyDescent="0.25">
      <c r="A264" s="109">
        <f t="shared" si="46"/>
        <v>0</v>
      </c>
      <c r="G264" s="64"/>
      <c r="H264" s="81">
        <v>259</v>
      </c>
      <c r="I264" s="82" t="str">
        <f t="shared" si="42"/>
        <v/>
      </c>
      <c r="J264" s="81">
        <f t="shared" si="47"/>
        <v>-2</v>
      </c>
      <c r="K264" s="81">
        <f t="shared" si="43"/>
        <v>-20</v>
      </c>
      <c r="L264" s="81"/>
      <c r="M264" s="83">
        <f t="shared" si="44"/>
        <v>0</v>
      </c>
      <c r="N264" s="83">
        <f t="shared" si="45"/>
        <v>0</v>
      </c>
    </row>
    <row r="265" spans="1:14" x14ac:dyDescent="0.25">
      <c r="A265" s="110">
        <f t="shared" si="46"/>
        <v>0</v>
      </c>
      <c r="G265" s="64"/>
      <c r="H265" s="81">
        <v>260</v>
      </c>
      <c r="I265" s="82" t="str">
        <f t="shared" si="42"/>
        <v/>
      </c>
      <c r="J265" s="81">
        <f t="shared" si="47"/>
        <v>-2</v>
      </c>
      <c r="K265" s="81">
        <f t="shared" si="43"/>
        <v>-20</v>
      </c>
      <c r="L265" s="81"/>
      <c r="M265" s="83">
        <f t="shared" si="44"/>
        <v>0</v>
      </c>
      <c r="N265" s="83">
        <f t="shared" si="45"/>
        <v>0</v>
      </c>
    </row>
    <row r="266" spans="1:14" x14ac:dyDescent="0.25">
      <c r="A266" s="109">
        <f t="shared" si="46"/>
        <v>0</v>
      </c>
      <c r="G266" s="64"/>
      <c r="H266" s="81">
        <v>261</v>
      </c>
      <c r="I266" s="82" t="str">
        <f t="shared" si="42"/>
        <v/>
      </c>
      <c r="J266" s="81">
        <f t="shared" si="47"/>
        <v>-2</v>
      </c>
      <c r="K266" s="81">
        <f t="shared" si="43"/>
        <v>-20</v>
      </c>
      <c r="L266" s="81"/>
      <c r="M266" s="83">
        <f t="shared" si="44"/>
        <v>0</v>
      </c>
      <c r="N266" s="83">
        <f t="shared" si="45"/>
        <v>0</v>
      </c>
    </row>
    <row r="267" spans="1:14" x14ac:dyDescent="0.25">
      <c r="A267" s="110">
        <f t="shared" si="46"/>
        <v>0</v>
      </c>
      <c r="G267" s="64"/>
      <c r="H267" s="81">
        <v>262</v>
      </c>
      <c r="I267" s="82" t="str">
        <f t="shared" si="42"/>
        <v/>
      </c>
      <c r="J267" s="81">
        <f t="shared" si="47"/>
        <v>-2</v>
      </c>
      <c r="K267" s="81">
        <f t="shared" si="43"/>
        <v>-20</v>
      </c>
      <c r="L267" s="81"/>
      <c r="M267" s="83">
        <f t="shared" si="44"/>
        <v>0</v>
      </c>
      <c r="N267" s="83">
        <f t="shared" si="45"/>
        <v>0</v>
      </c>
    </row>
    <row r="268" spans="1:14" x14ac:dyDescent="0.25">
      <c r="A268" s="109">
        <f t="shared" si="46"/>
        <v>0</v>
      </c>
      <c r="G268" s="64"/>
      <c r="H268" s="81">
        <v>263</v>
      </c>
      <c r="I268" s="82" t="str">
        <f t="shared" si="42"/>
        <v/>
      </c>
      <c r="J268" s="81">
        <f t="shared" si="47"/>
        <v>-2</v>
      </c>
      <c r="K268" s="81">
        <f t="shared" si="43"/>
        <v>-20</v>
      </c>
      <c r="L268" s="81"/>
      <c r="M268" s="83">
        <f t="shared" si="44"/>
        <v>0</v>
      </c>
      <c r="N268" s="83">
        <f t="shared" si="45"/>
        <v>0</v>
      </c>
    </row>
    <row r="269" spans="1:14" x14ac:dyDescent="0.25">
      <c r="A269" s="110">
        <f t="shared" si="46"/>
        <v>0</v>
      </c>
      <c r="G269" s="64"/>
      <c r="H269" s="81">
        <v>264</v>
      </c>
      <c r="I269" s="82" t="str">
        <f t="shared" si="42"/>
        <v/>
      </c>
      <c r="J269" s="81">
        <f t="shared" si="47"/>
        <v>-2</v>
      </c>
      <c r="K269" s="81">
        <f t="shared" si="43"/>
        <v>-20</v>
      </c>
      <c r="L269" s="81"/>
      <c r="M269" s="83">
        <f t="shared" si="44"/>
        <v>0</v>
      </c>
      <c r="N269" s="83">
        <f t="shared" si="45"/>
        <v>0</v>
      </c>
    </row>
    <row r="270" spans="1:14" x14ac:dyDescent="0.25">
      <c r="A270" s="109">
        <f t="shared" si="46"/>
        <v>0</v>
      </c>
      <c r="G270" s="64"/>
      <c r="H270" s="81">
        <v>265</v>
      </c>
      <c r="I270" s="82" t="str">
        <f t="shared" si="42"/>
        <v/>
      </c>
      <c r="J270" s="81">
        <f t="shared" si="47"/>
        <v>-2</v>
      </c>
      <c r="K270" s="81">
        <f t="shared" si="43"/>
        <v>-20</v>
      </c>
      <c r="L270" s="81"/>
      <c r="M270" s="83">
        <f t="shared" si="44"/>
        <v>0</v>
      </c>
      <c r="N270" s="83">
        <f t="shared" si="45"/>
        <v>0</v>
      </c>
    </row>
    <row r="271" spans="1:14" x14ac:dyDescent="0.25">
      <c r="A271" s="110">
        <f t="shared" si="46"/>
        <v>0</v>
      </c>
      <c r="G271" s="64"/>
      <c r="H271" s="81">
        <v>266</v>
      </c>
      <c r="I271" s="82" t="str">
        <f t="shared" si="42"/>
        <v/>
      </c>
      <c r="J271" s="81">
        <f t="shared" si="47"/>
        <v>-2</v>
      </c>
      <c r="K271" s="81">
        <f t="shared" si="43"/>
        <v>-20</v>
      </c>
      <c r="L271" s="81"/>
      <c r="M271" s="83">
        <f t="shared" si="44"/>
        <v>0</v>
      </c>
      <c r="N271" s="83">
        <f t="shared" si="45"/>
        <v>0</v>
      </c>
    </row>
    <row r="272" spans="1:14" x14ac:dyDescent="0.25">
      <c r="A272" s="109">
        <f t="shared" si="46"/>
        <v>0</v>
      </c>
      <c r="G272" s="64"/>
      <c r="H272" s="81">
        <v>267</v>
      </c>
      <c r="I272" s="82" t="str">
        <f t="shared" si="42"/>
        <v/>
      </c>
      <c r="J272" s="81">
        <f t="shared" si="47"/>
        <v>-2</v>
      </c>
      <c r="K272" s="81">
        <f t="shared" si="43"/>
        <v>-20</v>
      </c>
      <c r="L272" s="81"/>
      <c r="M272" s="83">
        <f t="shared" si="44"/>
        <v>0</v>
      </c>
      <c r="N272" s="83">
        <f t="shared" si="45"/>
        <v>0</v>
      </c>
    </row>
    <row r="273" spans="1:14" x14ac:dyDescent="0.25">
      <c r="A273" s="110">
        <f t="shared" si="46"/>
        <v>0</v>
      </c>
      <c r="G273" s="64"/>
      <c r="H273" s="81">
        <v>268</v>
      </c>
      <c r="I273" s="82" t="str">
        <f t="shared" si="42"/>
        <v/>
      </c>
      <c r="J273" s="81">
        <f t="shared" si="47"/>
        <v>-2</v>
      </c>
      <c r="K273" s="81">
        <f t="shared" si="43"/>
        <v>-20</v>
      </c>
      <c r="L273" s="81"/>
      <c r="M273" s="83">
        <f t="shared" si="44"/>
        <v>0</v>
      </c>
      <c r="N273" s="83">
        <f t="shared" si="45"/>
        <v>0</v>
      </c>
    </row>
    <row r="274" spans="1:14" x14ac:dyDescent="0.25">
      <c r="A274" s="109">
        <f t="shared" si="46"/>
        <v>0</v>
      </c>
      <c r="G274" s="64"/>
      <c r="H274" s="81">
        <v>269</v>
      </c>
      <c r="I274" s="82" t="str">
        <f t="shared" si="42"/>
        <v/>
      </c>
      <c r="J274" s="81">
        <f t="shared" si="47"/>
        <v>-2</v>
      </c>
      <c r="K274" s="81">
        <f t="shared" si="43"/>
        <v>-20</v>
      </c>
      <c r="L274" s="81"/>
      <c r="M274" s="83">
        <f t="shared" si="44"/>
        <v>0</v>
      </c>
      <c r="N274" s="83">
        <f t="shared" si="45"/>
        <v>0</v>
      </c>
    </row>
    <row r="275" spans="1:14" x14ac:dyDescent="0.25">
      <c r="A275" s="110">
        <f t="shared" si="46"/>
        <v>0</v>
      </c>
      <c r="G275" s="64"/>
      <c r="H275" s="81">
        <v>270</v>
      </c>
      <c r="I275" s="82" t="str">
        <f t="shared" si="42"/>
        <v/>
      </c>
      <c r="J275" s="81">
        <f t="shared" si="47"/>
        <v>-2</v>
      </c>
      <c r="K275" s="81">
        <f t="shared" si="43"/>
        <v>-20</v>
      </c>
      <c r="L275" s="81"/>
      <c r="M275" s="83">
        <f t="shared" si="44"/>
        <v>0</v>
      </c>
      <c r="N275" s="83">
        <f t="shared" si="45"/>
        <v>0</v>
      </c>
    </row>
    <row r="276" spans="1:14" x14ac:dyDescent="0.25">
      <c r="A276" s="109">
        <f t="shared" si="46"/>
        <v>0</v>
      </c>
      <c r="G276" s="64"/>
      <c r="H276" s="81">
        <v>271</v>
      </c>
      <c r="I276" s="82" t="str">
        <f t="shared" si="42"/>
        <v/>
      </c>
      <c r="J276" s="81">
        <f t="shared" si="47"/>
        <v>-2</v>
      </c>
      <c r="K276" s="81">
        <f t="shared" si="43"/>
        <v>-20</v>
      </c>
      <c r="L276" s="81"/>
      <c r="M276" s="83">
        <f t="shared" si="44"/>
        <v>0</v>
      </c>
      <c r="N276" s="83">
        <f t="shared" si="45"/>
        <v>0</v>
      </c>
    </row>
    <row r="277" spans="1:14" x14ac:dyDescent="0.25">
      <c r="A277" s="110">
        <f t="shared" si="46"/>
        <v>0</v>
      </c>
      <c r="G277" s="64"/>
      <c r="H277" s="81">
        <v>272</v>
      </c>
      <c r="I277" s="82" t="str">
        <f t="shared" si="42"/>
        <v/>
      </c>
      <c r="J277" s="81">
        <f t="shared" si="47"/>
        <v>-2</v>
      </c>
      <c r="K277" s="81">
        <f t="shared" si="43"/>
        <v>-20</v>
      </c>
      <c r="L277" s="81"/>
      <c r="M277" s="83">
        <f t="shared" si="44"/>
        <v>0</v>
      </c>
      <c r="N277" s="83">
        <f t="shared" si="45"/>
        <v>0</v>
      </c>
    </row>
    <row r="278" spans="1:14" x14ac:dyDescent="0.25">
      <c r="A278" s="109">
        <f t="shared" si="46"/>
        <v>0</v>
      </c>
      <c r="G278" s="64"/>
      <c r="H278" s="81">
        <v>273</v>
      </c>
      <c r="I278" s="82" t="str">
        <f t="shared" si="42"/>
        <v/>
      </c>
      <c r="J278" s="81">
        <f t="shared" si="47"/>
        <v>-2</v>
      </c>
      <c r="K278" s="81">
        <f t="shared" si="43"/>
        <v>-20</v>
      </c>
      <c r="L278" s="81"/>
      <c r="M278" s="83">
        <f t="shared" si="44"/>
        <v>0</v>
      </c>
      <c r="N278" s="83">
        <f t="shared" si="45"/>
        <v>0</v>
      </c>
    </row>
    <row r="279" spans="1:14" x14ac:dyDescent="0.25">
      <c r="A279" s="110">
        <f t="shared" si="46"/>
        <v>0</v>
      </c>
      <c r="G279" s="64"/>
      <c r="H279" s="81">
        <v>274</v>
      </c>
      <c r="I279" s="82" t="str">
        <f t="shared" si="42"/>
        <v/>
      </c>
      <c r="J279" s="81">
        <f t="shared" si="47"/>
        <v>-2</v>
      </c>
      <c r="K279" s="81">
        <f t="shared" si="43"/>
        <v>-20</v>
      </c>
      <c r="L279" s="81"/>
      <c r="M279" s="83">
        <f t="shared" si="44"/>
        <v>0</v>
      </c>
      <c r="N279" s="83">
        <f t="shared" si="45"/>
        <v>0</v>
      </c>
    </row>
    <row r="280" spans="1:14" x14ac:dyDescent="0.25">
      <c r="A280" s="109">
        <f t="shared" si="46"/>
        <v>0</v>
      </c>
      <c r="G280" s="64"/>
      <c r="H280" s="81">
        <v>275</v>
      </c>
      <c r="I280" s="82" t="str">
        <f t="shared" si="42"/>
        <v/>
      </c>
      <c r="J280" s="81">
        <f t="shared" si="47"/>
        <v>-2</v>
      </c>
      <c r="K280" s="81">
        <f t="shared" si="43"/>
        <v>-20</v>
      </c>
      <c r="L280" s="81"/>
      <c r="M280" s="83">
        <f t="shared" si="44"/>
        <v>0</v>
      </c>
      <c r="N280" s="83">
        <f t="shared" si="45"/>
        <v>0</v>
      </c>
    </row>
    <row r="281" spans="1:14" x14ac:dyDescent="0.25">
      <c r="A281" s="110">
        <f t="shared" si="46"/>
        <v>0</v>
      </c>
      <c r="G281" s="64"/>
      <c r="H281" s="81">
        <v>276</v>
      </c>
      <c r="I281" s="82" t="str">
        <f t="shared" si="42"/>
        <v/>
      </c>
      <c r="J281" s="81">
        <f t="shared" si="47"/>
        <v>-2</v>
      </c>
      <c r="K281" s="81">
        <f t="shared" si="43"/>
        <v>-20</v>
      </c>
      <c r="L281" s="81"/>
      <c r="M281" s="83">
        <f t="shared" si="44"/>
        <v>0</v>
      </c>
      <c r="N281" s="83">
        <f t="shared" si="45"/>
        <v>0</v>
      </c>
    </row>
    <row r="282" spans="1:14" x14ac:dyDescent="0.25">
      <c r="A282" s="109">
        <f t="shared" si="46"/>
        <v>0</v>
      </c>
      <c r="G282" s="64"/>
      <c r="H282" s="81">
        <v>277</v>
      </c>
      <c r="I282" s="82" t="str">
        <f t="shared" si="42"/>
        <v/>
      </c>
      <c r="J282" s="81">
        <f t="shared" si="47"/>
        <v>-2</v>
      </c>
      <c r="K282" s="81">
        <f t="shared" si="43"/>
        <v>-20</v>
      </c>
      <c r="L282" s="81"/>
      <c r="M282" s="83">
        <f t="shared" si="44"/>
        <v>0</v>
      </c>
      <c r="N282" s="83">
        <f t="shared" si="45"/>
        <v>0</v>
      </c>
    </row>
    <row r="283" spans="1:14" x14ac:dyDescent="0.25">
      <c r="A283" s="110">
        <f t="shared" si="46"/>
        <v>0</v>
      </c>
      <c r="G283" s="64"/>
      <c r="H283" s="81">
        <v>278</v>
      </c>
      <c r="I283" s="82" t="str">
        <f t="shared" si="42"/>
        <v/>
      </c>
      <c r="J283" s="81">
        <f t="shared" si="47"/>
        <v>-2</v>
      </c>
      <c r="K283" s="81">
        <f t="shared" si="43"/>
        <v>-20</v>
      </c>
      <c r="L283" s="81"/>
      <c r="M283" s="83">
        <f t="shared" si="44"/>
        <v>0</v>
      </c>
      <c r="N283" s="83">
        <f t="shared" si="45"/>
        <v>0</v>
      </c>
    </row>
    <row r="284" spans="1:14" x14ac:dyDescent="0.25">
      <c r="A284" s="109">
        <f t="shared" si="46"/>
        <v>0</v>
      </c>
      <c r="G284" s="64"/>
      <c r="H284" s="81">
        <v>279</v>
      </c>
      <c r="I284" s="82" t="str">
        <f t="shared" si="42"/>
        <v/>
      </c>
      <c r="J284" s="81">
        <f t="shared" si="47"/>
        <v>-2</v>
      </c>
      <c r="K284" s="81">
        <f t="shared" si="43"/>
        <v>-20</v>
      </c>
      <c r="L284" s="81"/>
      <c r="M284" s="83">
        <f t="shared" si="44"/>
        <v>0</v>
      </c>
      <c r="N284" s="83">
        <f t="shared" si="45"/>
        <v>0</v>
      </c>
    </row>
    <row r="285" spans="1:14" x14ac:dyDescent="0.25">
      <c r="A285" s="110">
        <f t="shared" si="46"/>
        <v>0</v>
      </c>
      <c r="G285" s="64"/>
      <c r="H285" s="81">
        <v>280</v>
      </c>
      <c r="I285" s="82" t="str">
        <f t="shared" si="42"/>
        <v/>
      </c>
      <c r="J285" s="81">
        <f t="shared" si="47"/>
        <v>-2</v>
      </c>
      <c r="K285" s="81">
        <f t="shared" si="43"/>
        <v>-20</v>
      </c>
      <c r="L285" s="81"/>
      <c r="M285" s="83">
        <f t="shared" si="44"/>
        <v>0</v>
      </c>
      <c r="N285" s="83">
        <f t="shared" si="45"/>
        <v>0</v>
      </c>
    </row>
    <row r="286" spans="1:14" x14ac:dyDescent="0.25">
      <c r="A286" s="109">
        <f t="shared" si="46"/>
        <v>0</v>
      </c>
      <c r="G286" s="64"/>
      <c r="H286" s="81">
        <v>281</v>
      </c>
      <c r="I286" s="82" t="str">
        <f t="shared" si="42"/>
        <v/>
      </c>
      <c r="J286" s="81">
        <f t="shared" si="47"/>
        <v>-2</v>
      </c>
      <c r="K286" s="81">
        <f t="shared" si="43"/>
        <v>-20</v>
      </c>
      <c r="L286" s="81"/>
      <c r="M286" s="83">
        <f t="shared" si="44"/>
        <v>0</v>
      </c>
      <c r="N286" s="83">
        <f t="shared" si="45"/>
        <v>0</v>
      </c>
    </row>
    <row r="287" spans="1:14" x14ac:dyDescent="0.25">
      <c r="A287" s="110">
        <f t="shared" si="46"/>
        <v>0</v>
      </c>
      <c r="G287" s="64"/>
      <c r="H287" s="81">
        <v>282</v>
      </c>
      <c r="I287" s="82" t="str">
        <f t="shared" si="42"/>
        <v/>
      </c>
      <c r="J287" s="81">
        <f t="shared" si="47"/>
        <v>-2</v>
      </c>
      <c r="K287" s="81">
        <f t="shared" si="43"/>
        <v>-20</v>
      </c>
      <c r="L287" s="81"/>
      <c r="M287" s="83">
        <f t="shared" si="44"/>
        <v>0</v>
      </c>
      <c r="N287" s="83">
        <f t="shared" si="45"/>
        <v>0</v>
      </c>
    </row>
    <row r="288" spans="1:14" x14ac:dyDescent="0.25">
      <c r="A288" s="109">
        <f t="shared" si="46"/>
        <v>0</v>
      </c>
      <c r="G288" s="64"/>
      <c r="H288" s="81">
        <v>283</v>
      </c>
      <c r="I288" s="82" t="str">
        <f t="shared" si="42"/>
        <v/>
      </c>
      <c r="J288" s="81">
        <f t="shared" si="47"/>
        <v>-2</v>
      </c>
      <c r="K288" s="81">
        <f t="shared" si="43"/>
        <v>-20</v>
      </c>
      <c r="L288" s="81"/>
      <c r="M288" s="83">
        <f t="shared" si="44"/>
        <v>0</v>
      </c>
      <c r="N288" s="83">
        <f t="shared" si="45"/>
        <v>0</v>
      </c>
    </row>
    <row r="289" spans="1:14" x14ac:dyDescent="0.25">
      <c r="A289" s="110">
        <f t="shared" si="46"/>
        <v>0</v>
      </c>
      <c r="G289" s="64"/>
      <c r="H289" s="81">
        <v>284</v>
      </c>
      <c r="I289" s="82" t="str">
        <f t="shared" si="42"/>
        <v/>
      </c>
      <c r="J289" s="81">
        <f t="shared" si="47"/>
        <v>-2</v>
      </c>
      <c r="K289" s="81">
        <f t="shared" si="43"/>
        <v>-20</v>
      </c>
      <c r="L289" s="81"/>
      <c r="M289" s="83">
        <f t="shared" si="44"/>
        <v>0</v>
      </c>
      <c r="N289" s="83">
        <f t="shared" si="45"/>
        <v>0</v>
      </c>
    </row>
    <row r="290" spans="1:14" x14ac:dyDescent="0.25">
      <c r="A290" s="109">
        <f t="shared" si="46"/>
        <v>0</v>
      </c>
      <c r="G290" s="64"/>
      <c r="H290" s="81">
        <v>285</v>
      </c>
      <c r="I290" s="82" t="str">
        <f t="shared" si="42"/>
        <v/>
      </c>
      <c r="J290" s="81">
        <f t="shared" si="47"/>
        <v>-2</v>
      </c>
      <c r="K290" s="81">
        <f t="shared" si="43"/>
        <v>-20</v>
      </c>
      <c r="L290" s="81"/>
      <c r="M290" s="83">
        <f t="shared" si="44"/>
        <v>0</v>
      </c>
      <c r="N290" s="83">
        <f t="shared" si="45"/>
        <v>0</v>
      </c>
    </row>
    <row r="291" spans="1:14" x14ac:dyDescent="0.25">
      <c r="A291" s="110">
        <f t="shared" si="46"/>
        <v>0</v>
      </c>
      <c r="G291" s="64"/>
      <c r="H291" s="81">
        <v>286</v>
      </c>
      <c r="I291" s="82" t="str">
        <f t="shared" si="42"/>
        <v/>
      </c>
      <c r="J291" s="81">
        <f t="shared" si="47"/>
        <v>-2</v>
      </c>
      <c r="K291" s="81">
        <f t="shared" si="43"/>
        <v>-20</v>
      </c>
      <c r="L291" s="81"/>
      <c r="M291" s="83">
        <f t="shared" si="44"/>
        <v>0</v>
      </c>
      <c r="N291" s="83">
        <f t="shared" si="45"/>
        <v>0</v>
      </c>
    </row>
    <row r="292" spans="1:14" x14ac:dyDescent="0.25">
      <c r="A292" s="109">
        <f t="shared" si="46"/>
        <v>0</v>
      </c>
      <c r="G292" s="64"/>
      <c r="H292" s="81">
        <v>287</v>
      </c>
      <c r="I292" s="82" t="str">
        <f t="shared" si="42"/>
        <v/>
      </c>
      <c r="J292" s="81">
        <f t="shared" si="47"/>
        <v>-2</v>
      </c>
      <c r="K292" s="81">
        <f t="shared" si="43"/>
        <v>-20</v>
      </c>
      <c r="L292" s="81"/>
      <c r="M292" s="83">
        <f t="shared" si="44"/>
        <v>0</v>
      </c>
      <c r="N292" s="83">
        <f t="shared" si="45"/>
        <v>0</v>
      </c>
    </row>
    <row r="293" spans="1:14" x14ac:dyDescent="0.25">
      <c r="A293" s="110">
        <f t="shared" si="46"/>
        <v>0</v>
      </c>
      <c r="G293" s="64"/>
      <c r="H293" s="81">
        <v>288</v>
      </c>
      <c r="I293" s="82" t="str">
        <f t="shared" si="42"/>
        <v/>
      </c>
      <c r="J293" s="81">
        <f t="shared" si="47"/>
        <v>-2</v>
      </c>
      <c r="K293" s="81">
        <f t="shared" si="43"/>
        <v>-20</v>
      </c>
      <c r="L293" s="81"/>
      <c r="M293" s="83">
        <f t="shared" si="44"/>
        <v>0</v>
      </c>
      <c r="N293" s="83">
        <f t="shared" si="45"/>
        <v>0</v>
      </c>
    </row>
    <row r="294" spans="1:14" x14ac:dyDescent="0.25">
      <c r="A294" s="109">
        <f t="shared" si="46"/>
        <v>0</v>
      </c>
      <c r="G294" s="64"/>
      <c r="H294" s="81">
        <v>289</v>
      </c>
      <c r="I294" s="82" t="str">
        <f t="shared" si="42"/>
        <v/>
      </c>
      <c r="J294" s="81">
        <f t="shared" si="47"/>
        <v>-2</v>
      </c>
      <c r="K294" s="81">
        <f t="shared" si="43"/>
        <v>-20</v>
      </c>
      <c r="L294" s="81"/>
      <c r="M294" s="83">
        <f t="shared" si="44"/>
        <v>0</v>
      </c>
      <c r="N294" s="83">
        <f t="shared" si="45"/>
        <v>0</v>
      </c>
    </row>
    <row r="295" spans="1:14" x14ac:dyDescent="0.25">
      <c r="A295" s="110">
        <f t="shared" si="46"/>
        <v>0</v>
      </c>
      <c r="G295" s="64"/>
      <c r="H295" s="81">
        <v>290</v>
      </c>
      <c r="I295" s="82" t="str">
        <f t="shared" si="42"/>
        <v/>
      </c>
      <c r="J295" s="81">
        <f t="shared" si="47"/>
        <v>-2</v>
      </c>
      <c r="K295" s="81">
        <f t="shared" si="43"/>
        <v>-20</v>
      </c>
      <c r="L295" s="81"/>
      <c r="M295" s="83">
        <f t="shared" si="44"/>
        <v>0</v>
      </c>
      <c r="N295" s="83">
        <f t="shared" si="45"/>
        <v>0</v>
      </c>
    </row>
    <row r="296" spans="1:14" x14ac:dyDescent="0.25">
      <c r="A296" s="109">
        <f t="shared" si="46"/>
        <v>0</v>
      </c>
      <c r="G296" s="64"/>
      <c r="H296" s="81">
        <v>291</v>
      </c>
      <c r="I296" s="82" t="str">
        <f t="shared" si="42"/>
        <v/>
      </c>
      <c r="J296" s="81">
        <f t="shared" si="47"/>
        <v>-2</v>
      </c>
      <c r="K296" s="81">
        <f t="shared" si="43"/>
        <v>-20</v>
      </c>
      <c r="L296" s="81"/>
      <c r="M296" s="83">
        <f t="shared" si="44"/>
        <v>0</v>
      </c>
      <c r="N296" s="83">
        <f t="shared" si="45"/>
        <v>0</v>
      </c>
    </row>
    <row r="297" spans="1:14" x14ac:dyDescent="0.25">
      <c r="A297" s="110">
        <f t="shared" si="46"/>
        <v>0</v>
      </c>
      <c r="G297" s="64"/>
      <c r="H297" s="81">
        <v>292</v>
      </c>
      <c r="I297" s="82" t="str">
        <f t="shared" si="42"/>
        <v/>
      </c>
      <c r="J297" s="81">
        <f t="shared" si="47"/>
        <v>-2</v>
      </c>
      <c r="K297" s="81">
        <f t="shared" si="43"/>
        <v>-20</v>
      </c>
      <c r="L297" s="81"/>
      <c r="M297" s="83">
        <f t="shared" si="44"/>
        <v>0</v>
      </c>
      <c r="N297" s="83">
        <f t="shared" si="45"/>
        <v>0</v>
      </c>
    </row>
    <row r="298" spans="1:14" x14ac:dyDescent="0.25">
      <c r="A298" s="109">
        <f t="shared" si="46"/>
        <v>0</v>
      </c>
      <c r="G298" s="64"/>
      <c r="H298" s="81">
        <v>293</v>
      </c>
      <c r="I298" s="82" t="str">
        <f t="shared" si="42"/>
        <v/>
      </c>
      <c r="J298" s="81">
        <f t="shared" si="47"/>
        <v>-2</v>
      </c>
      <c r="K298" s="81">
        <f t="shared" si="43"/>
        <v>-20</v>
      </c>
      <c r="L298" s="81"/>
      <c r="M298" s="83">
        <f t="shared" si="44"/>
        <v>0</v>
      </c>
      <c r="N298" s="83">
        <f t="shared" si="45"/>
        <v>0</v>
      </c>
    </row>
    <row r="299" spans="1:14" x14ac:dyDescent="0.25">
      <c r="A299" s="110">
        <f t="shared" si="46"/>
        <v>0</v>
      </c>
      <c r="G299" s="64"/>
      <c r="H299" s="81">
        <v>294</v>
      </c>
      <c r="I299" s="82" t="str">
        <f t="shared" si="42"/>
        <v/>
      </c>
      <c r="J299" s="81">
        <f t="shared" si="47"/>
        <v>-2</v>
      </c>
      <c r="K299" s="81">
        <f t="shared" si="43"/>
        <v>-20</v>
      </c>
      <c r="L299" s="81"/>
      <c r="M299" s="83">
        <f t="shared" si="44"/>
        <v>0</v>
      </c>
      <c r="N299" s="83">
        <f t="shared" si="45"/>
        <v>0</v>
      </c>
    </row>
    <row r="300" spans="1:14" x14ac:dyDescent="0.25">
      <c r="A300" s="109">
        <f t="shared" si="46"/>
        <v>0</v>
      </c>
      <c r="G300" s="64"/>
      <c r="H300" s="81">
        <v>295</v>
      </c>
      <c r="I300" s="82" t="str">
        <f t="shared" si="42"/>
        <v/>
      </c>
      <c r="J300" s="81">
        <f t="shared" si="47"/>
        <v>-2</v>
      </c>
      <c r="K300" s="81">
        <f t="shared" si="43"/>
        <v>-20</v>
      </c>
      <c r="L300" s="81"/>
      <c r="M300" s="83">
        <f t="shared" si="44"/>
        <v>0</v>
      </c>
      <c r="N300" s="83">
        <f t="shared" si="45"/>
        <v>0</v>
      </c>
    </row>
    <row r="301" spans="1:14" x14ac:dyDescent="0.25">
      <c r="A301" s="110">
        <f t="shared" si="46"/>
        <v>0</v>
      </c>
      <c r="G301" s="64"/>
      <c r="H301" s="81">
        <v>296</v>
      </c>
      <c r="I301" s="82" t="str">
        <f t="shared" si="42"/>
        <v/>
      </c>
      <c r="J301" s="81">
        <f t="shared" si="47"/>
        <v>-2</v>
      </c>
      <c r="K301" s="81">
        <f t="shared" si="43"/>
        <v>-20</v>
      </c>
      <c r="L301" s="81"/>
      <c r="M301" s="83">
        <f t="shared" si="44"/>
        <v>0</v>
      </c>
      <c r="N301" s="83">
        <f t="shared" si="45"/>
        <v>0</v>
      </c>
    </row>
    <row r="302" spans="1:14" x14ac:dyDescent="0.25">
      <c r="A302" s="109">
        <f t="shared" si="46"/>
        <v>0</v>
      </c>
      <c r="G302" s="64"/>
      <c r="H302" s="81">
        <v>297</v>
      </c>
      <c r="I302" s="82" t="str">
        <f t="shared" si="42"/>
        <v/>
      </c>
      <c r="J302" s="81">
        <f t="shared" si="47"/>
        <v>-2</v>
      </c>
      <c r="K302" s="81">
        <f t="shared" si="43"/>
        <v>-20</v>
      </c>
      <c r="L302" s="81"/>
      <c r="M302" s="83">
        <f t="shared" si="44"/>
        <v>0</v>
      </c>
      <c r="N302" s="83">
        <f t="shared" si="45"/>
        <v>0</v>
      </c>
    </row>
    <row r="303" spans="1:14" x14ac:dyDescent="0.25">
      <c r="A303" s="110">
        <f t="shared" si="46"/>
        <v>0</v>
      </c>
      <c r="G303" s="64"/>
      <c r="H303" s="81">
        <v>298</v>
      </c>
      <c r="I303" s="82" t="str">
        <f t="shared" si="42"/>
        <v/>
      </c>
      <c r="J303" s="81">
        <f t="shared" si="47"/>
        <v>-2</v>
      </c>
      <c r="K303" s="81">
        <f t="shared" si="43"/>
        <v>-20</v>
      </c>
      <c r="L303" s="81"/>
      <c r="M303" s="83">
        <f t="shared" si="44"/>
        <v>0</v>
      </c>
      <c r="N303" s="83">
        <f t="shared" si="45"/>
        <v>0</v>
      </c>
    </row>
    <row r="304" spans="1:14" x14ac:dyDescent="0.25">
      <c r="A304" s="109">
        <f t="shared" si="46"/>
        <v>0</v>
      </c>
      <c r="G304" s="64"/>
      <c r="H304" s="81">
        <v>299</v>
      </c>
      <c r="I304" s="82" t="str">
        <f t="shared" si="42"/>
        <v/>
      </c>
      <c r="J304" s="81">
        <f t="shared" si="47"/>
        <v>-2</v>
      </c>
      <c r="K304" s="81">
        <f t="shared" si="43"/>
        <v>-20</v>
      </c>
      <c r="L304" s="81"/>
      <c r="M304" s="83">
        <f t="shared" si="44"/>
        <v>0</v>
      </c>
      <c r="N304" s="83">
        <f t="shared" si="45"/>
        <v>0</v>
      </c>
    </row>
    <row r="305" spans="1:17" x14ac:dyDescent="0.25">
      <c r="A305" s="110">
        <f t="shared" si="46"/>
        <v>0</v>
      </c>
      <c r="G305" s="64"/>
      <c r="H305" s="81">
        <v>300</v>
      </c>
      <c r="I305" s="82" t="str">
        <f t="shared" si="42"/>
        <v/>
      </c>
      <c r="J305" s="81">
        <f t="shared" si="47"/>
        <v>-2</v>
      </c>
      <c r="K305" s="81">
        <f t="shared" si="43"/>
        <v>-20</v>
      </c>
      <c r="L305" s="81"/>
      <c r="M305" s="83">
        <f t="shared" si="44"/>
        <v>0</v>
      </c>
      <c r="N305" s="83">
        <f t="shared" si="45"/>
        <v>0</v>
      </c>
    </row>
    <row r="306" spans="1:17" x14ac:dyDescent="0.25">
      <c r="A306" s="99"/>
    </row>
    <row r="314" spans="1:17" x14ac:dyDescent="0.25">
      <c r="L314" s="102"/>
      <c r="M314" s="102"/>
      <c r="Q314" s="92"/>
    </row>
    <row r="315" spans="1:17" x14ac:dyDescent="0.25">
      <c r="L315" s="102"/>
      <c r="M315" s="102"/>
      <c r="Q315" s="92"/>
    </row>
    <row r="316" spans="1:17" x14ac:dyDescent="0.25">
      <c r="L316" s="102"/>
      <c r="M316" s="102"/>
      <c r="Q316" s="92"/>
    </row>
    <row r="317" spans="1:17" x14ac:dyDescent="0.25">
      <c r="L317" s="102"/>
      <c r="M317" s="102"/>
      <c r="Q317" s="92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312D5882-EC2C-4E2A-9250-952634385167}"/>
    <hyperlink ref="C2:D2" r:id="rId2" display="Płowdiw" xr:uid="{ADEDF634-3B10-4A19-B730-E5630E5DD7BB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E79B8E-DED2-4BD6-8664-7280DF1EAD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2025-07-17T00:01:41Z</dcterms:modified>
  <cp:category/>
  <cp:contentStatus/>
</cp:coreProperties>
</file>