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Szpada 2024-2025/Ranking Kobiet - szpada/"/>
    </mc:Choice>
  </mc:AlternateContent>
  <xr:revisionPtr revIDLastSave="2368" documentId="8_{0F30A1D5-6AB1-408C-A32C-C3051CEBD443}" xr6:coauthVersionLast="47" xr6:coauthVersionMax="47" xr10:uidLastSave="{E5D11A0F-58F3-4871-8223-6A829EAED648}"/>
  <bookViews>
    <workbookView xWindow="-5257" yWindow="-14780" windowWidth="34994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29" r:id="rId4"/>
    <sheet name="PP4" sheetId="30" r:id="rId5"/>
    <sheet name="PP5" sheetId="31" r:id="rId6"/>
    <sheet name="MPW" sheetId="19" r:id="rId7"/>
    <sheet name="Kadra" sheetId="20" r:id="rId8"/>
    <sheet name="PEW1" sheetId="24" r:id="rId9"/>
    <sheet name="PEW2" sheetId="25" r:id="rId10"/>
    <sheet name="PEW3" sheetId="32" r:id="rId11"/>
    <sheet name="PEW4" sheetId="27" r:id="rId12"/>
    <sheet name="PEW5" sheetId="33" r:id="rId13"/>
    <sheet name="PEW6" sheetId="34" r:id="rId14"/>
    <sheet name="PEW7" sheetId="35" r:id="rId15"/>
    <sheet name="PS" sheetId="36" r:id="rId16"/>
    <sheet name="IMEW" sheetId="26" r:id="rId17"/>
  </sheets>
  <definedNames>
    <definedName name="_xlnm._FilterDatabase" localSheetId="7" hidden="1">Kadra!$A$5:$AI$5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0" l="1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AF22" i="20" l="1"/>
  <c r="AG22" i="20" s="1"/>
  <c r="AF21" i="20"/>
  <c r="AG21" i="20" s="1"/>
  <c r="AF20" i="20"/>
  <c r="AG20" i="20" s="1"/>
  <c r="AF19" i="20"/>
  <c r="AG19" i="20" s="1"/>
  <c r="AF18" i="20"/>
  <c r="AG18" i="20" s="1"/>
  <c r="AF17" i="20"/>
  <c r="AG17" i="20" s="1"/>
  <c r="AF16" i="20"/>
  <c r="AG16" i="20" s="1"/>
  <c r="AF15" i="20"/>
  <c r="AG15" i="20" s="1"/>
  <c r="AF14" i="20"/>
  <c r="AG14" i="20" s="1"/>
  <c r="AF13" i="20"/>
  <c r="AG13" i="20" s="1"/>
  <c r="AF12" i="20"/>
  <c r="AG12" i="20" s="1"/>
  <c r="AF11" i="20"/>
  <c r="AG11" i="20" s="1"/>
  <c r="AF10" i="20"/>
  <c r="AG10" i="20" s="1"/>
  <c r="AF9" i="20"/>
  <c r="AG9" i="20" s="1"/>
  <c r="AF8" i="20"/>
  <c r="AG8" i="20" s="1"/>
  <c r="AF7" i="20"/>
  <c r="AG7" i="20" s="1"/>
  <c r="AF6" i="20"/>
  <c r="AG6" i="20" s="1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J302" i="36"/>
  <c r="K302" i="36" s="1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J286" i="36"/>
  <c r="K286" i="36" s="1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J254" i="36"/>
  <c r="K254" i="36" s="1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J238" i="36"/>
  <c r="K238" i="36" s="1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J222" i="36"/>
  <c r="K222" i="36" s="1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J206" i="36"/>
  <c r="K206" i="36" s="1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J190" i="36"/>
  <c r="K190" i="36" s="1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J174" i="36"/>
  <c r="K174" i="36" s="1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J158" i="36"/>
  <c r="K158" i="36" s="1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J150" i="36"/>
  <c r="K150" i="36" s="1"/>
  <c r="I150" i="36"/>
  <c r="M150" i="36" s="1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J142" i="36"/>
  <c r="K142" i="36" s="1"/>
  <c r="I142" i="36"/>
  <c r="M142" i="36" s="1"/>
  <c r="J141" i="36"/>
  <c r="K141" i="36" s="1"/>
  <c r="I141" i="36"/>
  <c r="M141" i="36" s="1"/>
  <c r="J140" i="36"/>
  <c r="K140" i="36" s="1"/>
  <c r="I140" i="36"/>
  <c r="M140" i="36" s="1"/>
  <c r="A140" i="36" s="1"/>
  <c r="B140" i="36"/>
  <c r="K139" i="36"/>
  <c r="J139" i="36"/>
  <c r="I139" i="36"/>
  <c r="M139" i="36" s="1"/>
  <c r="A139" i="36" s="1"/>
  <c r="B139" i="36"/>
  <c r="J138" i="36"/>
  <c r="K138" i="36" s="1"/>
  <c r="I138" i="36"/>
  <c r="M138" i="36" s="1"/>
  <c r="A138" i="36" s="1"/>
  <c r="B138" i="36"/>
  <c r="M137" i="36"/>
  <c r="A137" i="36" s="1"/>
  <c r="J137" i="36"/>
  <c r="K137" i="36" s="1"/>
  <c r="I137" i="36"/>
  <c r="B137" i="36"/>
  <c r="J136" i="36"/>
  <c r="K136" i="36" s="1"/>
  <c r="I136" i="36"/>
  <c r="M136" i="36" s="1"/>
  <c r="A136" i="36" s="1"/>
  <c r="B136" i="36"/>
  <c r="M135" i="36"/>
  <c r="A135" i="36" s="1"/>
  <c r="J135" i="36"/>
  <c r="K135" i="36" s="1"/>
  <c r="I135" i="36"/>
  <c r="B135" i="36"/>
  <c r="K134" i="36"/>
  <c r="J134" i="36"/>
  <c r="I134" i="36"/>
  <c r="M134" i="36" s="1"/>
  <c r="A134" i="36" s="1"/>
  <c r="B134" i="36"/>
  <c r="M133" i="36"/>
  <c r="A133" i="36" s="1"/>
  <c r="J133" i="36"/>
  <c r="K133" i="36" s="1"/>
  <c r="I133" i="36"/>
  <c r="B133" i="36"/>
  <c r="J132" i="36"/>
  <c r="K132" i="36" s="1"/>
  <c r="I132" i="36"/>
  <c r="M132" i="36" s="1"/>
  <c r="A132" i="36" s="1"/>
  <c r="B132" i="36"/>
  <c r="J131" i="36"/>
  <c r="K131" i="36" s="1"/>
  <c r="I131" i="36"/>
  <c r="M131" i="36" s="1"/>
  <c r="A131" i="36" s="1"/>
  <c r="B131" i="36"/>
  <c r="J130" i="36"/>
  <c r="K130" i="36" s="1"/>
  <c r="I130" i="36"/>
  <c r="M130" i="36" s="1"/>
  <c r="A130" i="36" s="1"/>
  <c r="B130" i="36"/>
  <c r="J129" i="36"/>
  <c r="K129" i="36" s="1"/>
  <c r="I129" i="36"/>
  <c r="M129" i="36" s="1"/>
  <c r="A129" i="36" s="1"/>
  <c r="B129" i="36"/>
  <c r="J128" i="36"/>
  <c r="K128" i="36" s="1"/>
  <c r="I128" i="36"/>
  <c r="M128" i="36" s="1"/>
  <c r="A128" i="36" s="1"/>
  <c r="B128" i="36"/>
  <c r="M127" i="36"/>
  <c r="A127" i="36" s="1"/>
  <c r="J127" i="36"/>
  <c r="K127" i="36" s="1"/>
  <c r="I127" i="36"/>
  <c r="B127" i="36"/>
  <c r="K126" i="36"/>
  <c r="J126" i="36"/>
  <c r="I126" i="36"/>
  <c r="M126" i="36" s="1"/>
  <c r="A126" i="36" s="1"/>
  <c r="B126" i="36"/>
  <c r="M125" i="36"/>
  <c r="A125" i="36" s="1"/>
  <c r="J125" i="36"/>
  <c r="K125" i="36" s="1"/>
  <c r="I125" i="36"/>
  <c r="B125" i="36"/>
  <c r="M124" i="36"/>
  <c r="A124" i="36" s="1"/>
  <c r="J124" i="36"/>
  <c r="K124" i="36" s="1"/>
  <c r="I124" i="36"/>
  <c r="B124" i="36"/>
  <c r="M123" i="36"/>
  <c r="A123" i="36" s="1"/>
  <c r="J123" i="36"/>
  <c r="K123" i="36" s="1"/>
  <c r="I123" i="36"/>
  <c r="B123" i="36"/>
  <c r="J122" i="36"/>
  <c r="K122" i="36" s="1"/>
  <c r="I122" i="36"/>
  <c r="M122" i="36" s="1"/>
  <c r="A122" i="36" s="1"/>
  <c r="B122" i="36"/>
  <c r="M121" i="36"/>
  <c r="J121" i="36"/>
  <c r="K121" i="36" s="1"/>
  <c r="I121" i="36"/>
  <c r="B121" i="36"/>
  <c r="A121" i="36"/>
  <c r="M120" i="36"/>
  <c r="A120" i="36" s="1"/>
  <c r="J120" i="36"/>
  <c r="K120" i="36" s="1"/>
  <c r="I120" i="36"/>
  <c r="B120" i="36"/>
  <c r="J119" i="36"/>
  <c r="K119" i="36" s="1"/>
  <c r="I119" i="36"/>
  <c r="M119" i="36" s="1"/>
  <c r="A119" i="36" s="1"/>
  <c r="B119" i="36"/>
  <c r="K118" i="36"/>
  <c r="J118" i="36"/>
  <c r="I118" i="36"/>
  <c r="M118" i="36" s="1"/>
  <c r="A118" i="36" s="1"/>
  <c r="B118" i="36"/>
  <c r="J117" i="36"/>
  <c r="K117" i="36" s="1"/>
  <c r="I117" i="36"/>
  <c r="M117" i="36" s="1"/>
  <c r="A117" i="36" s="1"/>
  <c r="B117" i="36"/>
  <c r="J116" i="36"/>
  <c r="K116" i="36" s="1"/>
  <c r="I116" i="36"/>
  <c r="M116" i="36" s="1"/>
  <c r="A116" i="36" s="1"/>
  <c r="B116" i="36"/>
  <c r="J115" i="36"/>
  <c r="K115" i="36" s="1"/>
  <c r="I115" i="36"/>
  <c r="M115" i="36" s="1"/>
  <c r="A115" i="36" s="1"/>
  <c r="B115" i="36"/>
  <c r="J114" i="36"/>
  <c r="K114" i="36" s="1"/>
  <c r="I114" i="36"/>
  <c r="M114" i="36" s="1"/>
  <c r="A114" i="36" s="1"/>
  <c r="B114" i="36"/>
  <c r="J113" i="36"/>
  <c r="K113" i="36" s="1"/>
  <c r="I113" i="36"/>
  <c r="M113" i="36" s="1"/>
  <c r="A113" i="36" s="1"/>
  <c r="B113" i="36"/>
  <c r="M112" i="36"/>
  <c r="A112" i="36" s="1"/>
  <c r="J112" i="36"/>
  <c r="K112" i="36" s="1"/>
  <c r="I112" i="36"/>
  <c r="B112" i="36"/>
  <c r="J111" i="36"/>
  <c r="K111" i="36" s="1"/>
  <c r="I111" i="36"/>
  <c r="M111" i="36" s="1"/>
  <c r="A111" i="36" s="1"/>
  <c r="B111" i="36"/>
  <c r="K110" i="36"/>
  <c r="J110" i="36"/>
  <c r="I110" i="36"/>
  <c r="M110" i="36" s="1"/>
  <c r="A110" i="36" s="1"/>
  <c r="B110" i="36"/>
  <c r="J109" i="36"/>
  <c r="K109" i="36" s="1"/>
  <c r="I109" i="36"/>
  <c r="M109" i="36" s="1"/>
  <c r="A109" i="36" s="1"/>
  <c r="B109" i="36"/>
  <c r="M108" i="36"/>
  <c r="A108" i="36" s="1"/>
  <c r="J108" i="36"/>
  <c r="K108" i="36" s="1"/>
  <c r="I108" i="36"/>
  <c r="B108" i="36"/>
  <c r="M107" i="36"/>
  <c r="A107" i="36" s="1"/>
  <c r="J107" i="36"/>
  <c r="K107" i="36" s="1"/>
  <c r="I107" i="36"/>
  <c r="B107" i="36"/>
  <c r="J106" i="36"/>
  <c r="K106" i="36" s="1"/>
  <c r="I106" i="36"/>
  <c r="M106" i="36" s="1"/>
  <c r="A106" i="36" s="1"/>
  <c r="B106" i="36"/>
  <c r="M105" i="36"/>
  <c r="A105" i="36" s="1"/>
  <c r="J105" i="36"/>
  <c r="K105" i="36" s="1"/>
  <c r="I105" i="36"/>
  <c r="B105" i="36"/>
  <c r="J104" i="36"/>
  <c r="K104" i="36" s="1"/>
  <c r="I104" i="36"/>
  <c r="M104" i="36" s="1"/>
  <c r="A104" i="36" s="1"/>
  <c r="B104" i="36"/>
  <c r="M103" i="36"/>
  <c r="A103" i="36" s="1"/>
  <c r="J103" i="36"/>
  <c r="K103" i="36" s="1"/>
  <c r="I103" i="36"/>
  <c r="B103" i="36"/>
  <c r="K102" i="36"/>
  <c r="J102" i="36"/>
  <c r="I102" i="36"/>
  <c r="M102" i="36" s="1"/>
  <c r="A102" i="36" s="1"/>
  <c r="B102" i="36"/>
  <c r="M101" i="36"/>
  <c r="A101" i="36" s="1"/>
  <c r="J101" i="36"/>
  <c r="K101" i="36" s="1"/>
  <c r="I101" i="36"/>
  <c r="B101" i="36"/>
  <c r="J100" i="36"/>
  <c r="K100" i="36" s="1"/>
  <c r="I100" i="36"/>
  <c r="M100" i="36" s="1"/>
  <c r="A100" i="36" s="1"/>
  <c r="B100" i="36"/>
  <c r="J99" i="36"/>
  <c r="K99" i="36" s="1"/>
  <c r="I99" i="36"/>
  <c r="M99" i="36" s="1"/>
  <c r="A99" i="36" s="1"/>
  <c r="B99" i="36"/>
  <c r="J98" i="36"/>
  <c r="K98" i="36" s="1"/>
  <c r="I98" i="36"/>
  <c r="M98" i="36" s="1"/>
  <c r="A98" i="36" s="1"/>
  <c r="B98" i="36"/>
  <c r="J97" i="36"/>
  <c r="K97" i="36" s="1"/>
  <c r="I97" i="36"/>
  <c r="M97" i="36" s="1"/>
  <c r="A97" i="36" s="1"/>
  <c r="B97" i="36"/>
  <c r="J96" i="36"/>
  <c r="K96" i="36" s="1"/>
  <c r="I96" i="36"/>
  <c r="M96" i="36" s="1"/>
  <c r="A96" i="36" s="1"/>
  <c r="B96" i="36"/>
  <c r="M95" i="36"/>
  <c r="A95" i="36" s="1"/>
  <c r="J95" i="36"/>
  <c r="K95" i="36" s="1"/>
  <c r="I95" i="36"/>
  <c r="B95" i="36"/>
  <c r="K94" i="36"/>
  <c r="J94" i="36"/>
  <c r="I94" i="36"/>
  <c r="M94" i="36" s="1"/>
  <c r="A94" i="36" s="1"/>
  <c r="B94" i="36"/>
  <c r="M93" i="36"/>
  <c r="A93" i="36" s="1"/>
  <c r="J93" i="36"/>
  <c r="K93" i="36" s="1"/>
  <c r="I93" i="36"/>
  <c r="B93" i="36"/>
  <c r="M92" i="36"/>
  <c r="A92" i="36" s="1"/>
  <c r="J92" i="36"/>
  <c r="K92" i="36" s="1"/>
  <c r="I92" i="36"/>
  <c r="B92" i="36"/>
  <c r="M91" i="36"/>
  <c r="A91" i="36" s="1"/>
  <c r="J91" i="36"/>
  <c r="K91" i="36" s="1"/>
  <c r="I91" i="36"/>
  <c r="B91" i="36"/>
  <c r="J90" i="36"/>
  <c r="K90" i="36" s="1"/>
  <c r="I90" i="36"/>
  <c r="M90" i="36" s="1"/>
  <c r="A90" i="36" s="1"/>
  <c r="B90" i="36"/>
  <c r="M89" i="36"/>
  <c r="A89" i="36" s="1"/>
  <c r="J89" i="36"/>
  <c r="K89" i="36" s="1"/>
  <c r="I89" i="36"/>
  <c r="B89" i="36"/>
  <c r="M88" i="36"/>
  <c r="A88" i="36" s="1"/>
  <c r="J88" i="36"/>
  <c r="K88" i="36" s="1"/>
  <c r="I88" i="36"/>
  <c r="B88" i="36"/>
  <c r="J87" i="36"/>
  <c r="K87" i="36" s="1"/>
  <c r="I87" i="36"/>
  <c r="M87" i="36" s="1"/>
  <c r="A87" i="36" s="1"/>
  <c r="B87" i="36"/>
  <c r="K86" i="36"/>
  <c r="J86" i="36"/>
  <c r="I86" i="36"/>
  <c r="M86" i="36" s="1"/>
  <c r="A86" i="36" s="1"/>
  <c r="B86" i="36"/>
  <c r="J85" i="36"/>
  <c r="K85" i="36" s="1"/>
  <c r="I85" i="36"/>
  <c r="M85" i="36" s="1"/>
  <c r="A85" i="36" s="1"/>
  <c r="B85" i="36"/>
  <c r="J84" i="36"/>
  <c r="K84" i="36" s="1"/>
  <c r="I84" i="36"/>
  <c r="M84" i="36" s="1"/>
  <c r="A84" i="36" s="1"/>
  <c r="B84" i="36"/>
  <c r="J83" i="36"/>
  <c r="K83" i="36" s="1"/>
  <c r="I83" i="36"/>
  <c r="M83" i="36" s="1"/>
  <c r="A83" i="36" s="1"/>
  <c r="B83" i="36"/>
  <c r="J82" i="36"/>
  <c r="K82" i="36" s="1"/>
  <c r="I82" i="36"/>
  <c r="M82" i="36" s="1"/>
  <c r="A82" i="36" s="1"/>
  <c r="B82" i="36"/>
  <c r="J81" i="36"/>
  <c r="K81" i="36" s="1"/>
  <c r="I81" i="36"/>
  <c r="M81" i="36" s="1"/>
  <c r="A81" i="36" s="1"/>
  <c r="B81" i="36"/>
  <c r="M80" i="36"/>
  <c r="A80" i="36" s="1"/>
  <c r="J80" i="36"/>
  <c r="K80" i="36" s="1"/>
  <c r="I80" i="36"/>
  <c r="B80" i="36"/>
  <c r="J79" i="36"/>
  <c r="K79" i="36" s="1"/>
  <c r="I79" i="36"/>
  <c r="M79" i="36" s="1"/>
  <c r="A79" i="36" s="1"/>
  <c r="B79" i="36"/>
  <c r="K78" i="36"/>
  <c r="J78" i="36"/>
  <c r="I78" i="36"/>
  <c r="M78" i="36" s="1"/>
  <c r="A78" i="36" s="1"/>
  <c r="B78" i="36"/>
  <c r="J77" i="36"/>
  <c r="K77" i="36" s="1"/>
  <c r="I77" i="36"/>
  <c r="M77" i="36" s="1"/>
  <c r="A77" i="36" s="1"/>
  <c r="B77" i="36"/>
  <c r="M76" i="36"/>
  <c r="A76" i="36" s="1"/>
  <c r="J76" i="36"/>
  <c r="K76" i="36" s="1"/>
  <c r="I76" i="36"/>
  <c r="B76" i="36"/>
  <c r="M75" i="36"/>
  <c r="A75" i="36" s="1"/>
  <c r="J75" i="36"/>
  <c r="K75" i="36" s="1"/>
  <c r="I75" i="36"/>
  <c r="B75" i="36"/>
  <c r="J74" i="36"/>
  <c r="K74" i="36" s="1"/>
  <c r="I74" i="36"/>
  <c r="M74" i="36" s="1"/>
  <c r="A74" i="36" s="1"/>
  <c r="B74" i="36"/>
  <c r="M73" i="36"/>
  <c r="A73" i="36" s="1"/>
  <c r="J73" i="36"/>
  <c r="K73" i="36" s="1"/>
  <c r="I73" i="36"/>
  <c r="B73" i="36"/>
  <c r="J72" i="36"/>
  <c r="K72" i="36" s="1"/>
  <c r="I72" i="36"/>
  <c r="M72" i="36" s="1"/>
  <c r="A72" i="36" s="1"/>
  <c r="B72" i="36"/>
  <c r="M71" i="36"/>
  <c r="A71" i="36" s="1"/>
  <c r="J71" i="36"/>
  <c r="K71" i="36" s="1"/>
  <c r="I71" i="36"/>
  <c r="B71" i="36"/>
  <c r="K70" i="36"/>
  <c r="J70" i="36"/>
  <c r="I70" i="36"/>
  <c r="M70" i="36" s="1"/>
  <c r="A70" i="36" s="1"/>
  <c r="B70" i="36"/>
  <c r="M69" i="36"/>
  <c r="A69" i="36" s="1"/>
  <c r="J69" i="36"/>
  <c r="K69" i="36" s="1"/>
  <c r="I69" i="36"/>
  <c r="B69" i="36"/>
  <c r="J68" i="36"/>
  <c r="K68" i="36" s="1"/>
  <c r="I68" i="36"/>
  <c r="M68" i="36" s="1"/>
  <c r="A68" i="36" s="1"/>
  <c r="B68" i="36"/>
  <c r="J67" i="36"/>
  <c r="K67" i="36" s="1"/>
  <c r="I67" i="36"/>
  <c r="M67" i="36" s="1"/>
  <c r="A67" i="36" s="1"/>
  <c r="B67" i="36"/>
  <c r="J66" i="36"/>
  <c r="K66" i="36" s="1"/>
  <c r="I66" i="36"/>
  <c r="M66" i="36" s="1"/>
  <c r="A66" i="36" s="1"/>
  <c r="B66" i="36"/>
  <c r="J65" i="36"/>
  <c r="K65" i="36" s="1"/>
  <c r="I65" i="36"/>
  <c r="M65" i="36" s="1"/>
  <c r="A65" i="36" s="1"/>
  <c r="B65" i="36"/>
  <c r="J64" i="36"/>
  <c r="K64" i="36" s="1"/>
  <c r="I64" i="36"/>
  <c r="M64" i="36" s="1"/>
  <c r="A64" i="36" s="1"/>
  <c r="B64" i="36"/>
  <c r="M63" i="36"/>
  <c r="A63" i="36" s="1"/>
  <c r="J63" i="36"/>
  <c r="K63" i="36" s="1"/>
  <c r="I63" i="36"/>
  <c r="B63" i="36"/>
  <c r="J62" i="36"/>
  <c r="K62" i="36" s="1"/>
  <c r="I62" i="36"/>
  <c r="M62" i="36" s="1"/>
  <c r="A62" i="36" s="1"/>
  <c r="B62" i="36"/>
  <c r="J61" i="36"/>
  <c r="K61" i="36" s="1"/>
  <c r="I61" i="36"/>
  <c r="M61" i="36" s="1"/>
  <c r="A61" i="36" s="1"/>
  <c r="B61" i="36"/>
  <c r="J60" i="36"/>
  <c r="K60" i="36" s="1"/>
  <c r="I60" i="36"/>
  <c r="M60" i="36" s="1"/>
  <c r="A60" i="36" s="1"/>
  <c r="B60" i="36"/>
  <c r="M59" i="36"/>
  <c r="A59" i="36" s="1"/>
  <c r="J59" i="36"/>
  <c r="K59" i="36" s="1"/>
  <c r="I59" i="36"/>
  <c r="B59" i="36"/>
  <c r="J58" i="36"/>
  <c r="K58" i="36" s="1"/>
  <c r="I58" i="36"/>
  <c r="M58" i="36" s="1"/>
  <c r="A58" i="36" s="1"/>
  <c r="B58" i="36"/>
  <c r="J57" i="36"/>
  <c r="K57" i="36" s="1"/>
  <c r="I57" i="36"/>
  <c r="M57" i="36" s="1"/>
  <c r="A57" i="36" s="1"/>
  <c r="B57" i="36"/>
  <c r="J56" i="36"/>
  <c r="K56" i="36" s="1"/>
  <c r="I56" i="36"/>
  <c r="M56" i="36" s="1"/>
  <c r="A56" i="36" s="1"/>
  <c r="B56" i="36"/>
  <c r="M55" i="36"/>
  <c r="A55" i="36" s="1"/>
  <c r="J55" i="36"/>
  <c r="K55" i="36" s="1"/>
  <c r="I55" i="36"/>
  <c r="B55" i="36"/>
  <c r="J54" i="36"/>
  <c r="K54" i="36" s="1"/>
  <c r="I54" i="36"/>
  <c r="M54" i="36" s="1"/>
  <c r="A54" i="36" s="1"/>
  <c r="B54" i="36"/>
  <c r="J53" i="36"/>
  <c r="K53" i="36" s="1"/>
  <c r="I53" i="36"/>
  <c r="M53" i="36" s="1"/>
  <c r="A53" i="36" s="1"/>
  <c r="B53" i="36"/>
  <c r="J52" i="36"/>
  <c r="K52" i="36" s="1"/>
  <c r="I52" i="36"/>
  <c r="M52" i="36" s="1"/>
  <c r="A52" i="36" s="1"/>
  <c r="B52" i="36"/>
  <c r="M51" i="36"/>
  <c r="A51" i="36" s="1"/>
  <c r="J51" i="36"/>
  <c r="K51" i="36" s="1"/>
  <c r="I51" i="36"/>
  <c r="B51" i="36"/>
  <c r="J50" i="36"/>
  <c r="K50" i="36" s="1"/>
  <c r="I50" i="36"/>
  <c r="M50" i="36" s="1"/>
  <c r="A50" i="36" s="1"/>
  <c r="B50" i="36"/>
  <c r="J49" i="36"/>
  <c r="K49" i="36" s="1"/>
  <c r="I49" i="36"/>
  <c r="M49" i="36" s="1"/>
  <c r="A49" i="36" s="1"/>
  <c r="B49" i="36"/>
  <c r="J48" i="36"/>
  <c r="K48" i="36" s="1"/>
  <c r="I48" i="36"/>
  <c r="M48" i="36" s="1"/>
  <c r="A48" i="36" s="1"/>
  <c r="B48" i="36"/>
  <c r="M47" i="36"/>
  <c r="A47" i="36" s="1"/>
  <c r="J47" i="36"/>
  <c r="K47" i="36" s="1"/>
  <c r="I47" i="36"/>
  <c r="B47" i="36"/>
  <c r="J46" i="36"/>
  <c r="K46" i="36" s="1"/>
  <c r="I46" i="36"/>
  <c r="M46" i="36" s="1"/>
  <c r="A46" i="36" s="1"/>
  <c r="B46" i="36"/>
  <c r="J45" i="36"/>
  <c r="K45" i="36" s="1"/>
  <c r="I45" i="36"/>
  <c r="M45" i="36" s="1"/>
  <c r="A45" i="36" s="1"/>
  <c r="B45" i="36"/>
  <c r="J44" i="36"/>
  <c r="K44" i="36" s="1"/>
  <c r="I44" i="36"/>
  <c r="M44" i="36" s="1"/>
  <c r="A44" i="36" s="1"/>
  <c r="B44" i="36"/>
  <c r="M43" i="36"/>
  <c r="A43" i="36" s="1"/>
  <c r="J43" i="36"/>
  <c r="K43" i="36" s="1"/>
  <c r="I43" i="36"/>
  <c r="B43" i="36"/>
  <c r="J42" i="36"/>
  <c r="K42" i="36" s="1"/>
  <c r="I42" i="36"/>
  <c r="M42" i="36" s="1"/>
  <c r="A42" i="36" s="1"/>
  <c r="B42" i="36"/>
  <c r="J41" i="36"/>
  <c r="K41" i="36" s="1"/>
  <c r="I41" i="36"/>
  <c r="M41" i="36" s="1"/>
  <c r="A41" i="36" s="1"/>
  <c r="B41" i="36"/>
  <c r="J40" i="36"/>
  <c r="K40" i="36" s="1"/>
  <c r="I40" i="36"/>
  <c r="M40" i="36" s="1"/>
  <c r="A40" i="36" s="1"/>
  <c r="B40" i="36"/>
  <c r="M39" i="36"/>
  <c r="A39" i="36" s="1"/>
  <c r="J39" i="36"/>
  <c r="K39" i="36" s="1"/>
  <c r="I39" i="36"/>
  <c r="B39" i="36"/>
  <c r="J38" i="36"/>
  <c r="K38" i="36" s="1"/>
  <c r="I38" i="36"/>
  <c r="M38" i="36" s="1"/>
  <c r="A38" i="36" s="1"/>
  <c r="B38" i="36"/>
  <c r="J37" i="36"/>
  <c r="K37" i="36" s="1"/>
  <c r="I37" i="36"/>
  <c r="M37" i="36" s="1"/>
  <c r="A37" i="36" s="1"/>
  <c r="B37" i="36"/>
  <c r="J36" i="36"/>
  <c r="K36" i="36" s="1"/>
  <c r="I36" i="36"/>
  <c r="M36" i="36" s="1"/>
  <c r="A36" i="36" s="1"/>
  <c r="B36" i="36"/>
  <c r="M35" i="36"/>
  <c r="A35" i="36" s="1"/>
  <c r="J35" i="36"/>
  <c r="K35" i="36" s="1"/>
  <c r="I35" i="36"/>
  <c r="B35" i="36"/>
  <c r="J34" i="36"/>
  <c r="K34" i="36" s="1"/>
  <c r="I34" i="36"/>
  <c r="M34" i="36" s="1"/>
  <c r="A34" i="36" s="1"/>
  <c r="B34" i="36"/>
  <c r="J33" i="36"/>
  <c r="K33" i="36" s="1"/>
  <c r="I33" i="36"/>
  <c r="M33" i="36" s="1"/>
  <c r="A33" i="36" s="1"/>
  <c r="B33" i="36"/>
  <c r="J32" i="36"/>
  <c r="K32" i="36" s="1"/>
  <c r="I32" i="36"/>
  <c r="M32" i="36" s="1"/>
  <c r="A32" i="36" s="1"/>
  <c r="B32" i="36"/>
  <c r="M31" i="36"/>
  <c r="A31" i="36" s="1"/>
  <c r="J31" i="36"/>
  <c r="K31" i="36" s="1"/>
  <c r="I31" i="36"/>
  <c r="B31" i="36"/>
  <c r="J30" i="36"/>
  <c r="K30" i="36" s="1"/>
  <c r="I30" i="36"/>
  <c r="M30" i="36" s="1"/>
  <c r="A30" i="36" s="1"/>
  <c r="B30" i="36"/>
  <c r="J29" i="36"/>
  <c r="K29" i="36" s="1"/>
  <c r="I29" i="36"/>
  <c r="M29" i="36" s="1"/>
  <c r="A29" i="36" s="1"/>
  <c r="B29" i="36"/>
  <c r="J28" i="36"/>
  <c r="K28" i="36" s="1"/>
  <c r="I28" i="36"/>
  <c r="M28" i="36" s="1"/>
  <c r="A28" i="36" s="1"/>
  <c r="B28" i="36"/>
  <c r="M27" i="36"/>
  <c r="A27" i="36" s="1"/>
  <c r="J27" i="36"/>
  <c r="K27" i="36" s="1"/>
  <c r="I27" i="36"/>
  <c r="B27" i="36"/>
  <c r="J26" i="36"/>
  <c r="K26" i="36" s="1"/>
  <c r="I26" i="36"/>
  <c r="M26" i="36" s="1"/>
  <c r="A26" i="36" s="1"/>
  <c r="B26" i="36"/>
  <c r="J25" i="36"/>
  <c r="K25" i="36" s="1"/>
  <c r="I25" i="36"/>
  <c r="M25" i="36" s="1"/>
  <c r="A25" i="36" s="1"/>
  <c r="B25" i="36"/>
  <c r="J24" i="36"/>
  <c r="K24" i="36" s="1"/>
  <c r="I24" i="36"/>
  <c r="M24" i="36" s="1"/>
  <c r="A24" i="36" s="1"/>
  <c r="B24" i="36"/>
  <c r="M23" i="36"/>
  <c r="A23" i="36" s="1"/>
  <c r="J23" i="36"/>
  <c r="K23" i="36" s="1"/>
  <c r="I23" i="36"/>
  <c r="B23" i="36"/>
  <c r="J22" i="36"/>
  <c r="K22" i="36" s="1"/>
  <c r="I22" i="36"/>
  <c r="M22" i="36" s="1"/>
  <c r="A22" i="36" s="1"/>
  <c r="B22" i="36"/>
  <c r="J21" i="36"/>
  <c r="K21" i="36" s="1"/>
  <c r="I21" i="36"/>
  <c r="M21" i="36" s="1"/>
  <c r="A21" i="36" s="1"/>
  <c r="B21" i="36"/>
  <c r="J20" i="36"/>
  <c r="K20" i="36" s="1"/>
  <c r="I20" i="36"/>
  <c r="M20" i="36" s="1"/>
  <c r="A20" i="36" s="1"/>
  <c r="B20" i="36"/>
  <c r="M19" i="36"/>
  <c r="A19" i="36" s="1"/>
  <c r="J19" i="36"/>
  <c r="K19" i="36" s="1"/>
  <c r="I19" i="36"/>
  <c r="B19" i="36"/>
  <c r="J18" i="36"/>
  <c r="K18" i="36" s="1"/>
  <c r="I18" i="36"/>
  <c r="M18" i="36" s="1"/>
  <c r="A18" i="36" s="1"/>
  <c r="B18" i="36"/>
  <c r="J17" i="36"/>
  <c r="K17" i="36" s="1"/>
  <c r="I17" i="36"/>
  <c r="B17" i="36"/>
  <c r="AI16" i="36"/>
  <c r="J16" i="36"/>
  <c r="K16" i="36" s="1"/>
  <c r="I16" i="36"/>
  <c r="M16" i="36" s="1"/>
  <c r="A16" i="36" s="1"/>
  <c r="B16" i="36"/>
  <c r="J15" i="36"/>
  <c r="K15" i="36" s="1"/>
  <c r="M15" i="36" s="1"/>
  <c r="A15" i="36" s="1"/>
  <c r="I15" i="36"/>
  <c r="B15" i="36"/>
  <c r="AI14" i="36"/>
  <c r="J14" i="36"/>
  <c r="K14" i="36" s="1"/>
  <c r="I14" i="36"/>
  <c r="M14" i="36" s="1"/>
  <c r="A14" i="36" s="1"/>
  <c r="B14" i="36"/>
  <c r="AI13" i="36"/>
  <c r="J13" i="36"/>
  <c r="K13" i="36" s="1"/>
  <c r="I13" i="36"/>
  <c r="M13" i="36" s="1"/>
  <c r="A13" i="36" s="1"/>
  <c r="B13" i="36"/>
  <c r="AI12" i="36"/>
  <c r="J12" i="36"/>
  <c r="K12" i="36" s="1"/>
  <c r="I12" i="36"/>
  <c r="M12" i="36" s="1"/>
  <c r="A12" i="36" s="1"/>
  <c r="B12" i="36"/>
  <c r="J11" i="36"/>
  <c r="K11" i="36" s="1"/>
  <c r="I11" i="36"/>
  <c r="B11" i="36"/>
  <c r="J10" i="36"/>
  <c r="K10" i="36" s="1"/>
  <c r="M10" i="36" s="1"/>
  <c r="A10" i="36" s="1"/>
  <c r="I10" i="36"/>
  <c r="B10" i="36"/>
  <c r="L9" i="36"/>
  <c r="K9" i="36"/>
  <c r="J9" i="36"/>
  <c r="I9" i="36"/>
  <c r="M9" i="36" s="1"/>
  <c r="A9" i="36" s="1"/>
  <c r="B9" i="36"/>
  <c r="J8" i="36"/>
  <c r="K8" i="36" s="1"/>
  <c r="I8" i="36"/>
  <c r="B8" i="36"/>
  <c r="J7" i="36"/>
  <c r="K7" i="36" s="1"/>
  <c r="I7" i="36"/>
  <c r="B7" i="36"/>
  <c r="J6" i="36"/>
  <c r="K6" i="36" s="1"/>
  <c r="I6" i="36"/>
  <c r="M6" i="36" s="1"/>
  <c r="A6" i="36" s="1"/>
  <c r="B6" i="36"/>
  <c r="K2" i="36"/>
  <c r="L6" i="36" s="1"/>
  <c r="AJ10" i="19"/>
  <c r="J10" i="19"/>
  <c r="K10" i="19" s="1"/>
  <c r="I10" i="19"/>
  <c r="N10" i="19" s="1"/>
  <c r="A10" i="19" s="1"/>
  <c r="B10" i="19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8" i="31"/>
  <c r="B7" i="31"/>
  <c r="B6" i="31"/>
  <c r="B11" i="30"/>
  <c r="B10" i="30"/>
  <c r="B9" i="30"/>
  <c r="B8" i="30"/>
  <c r="B7" i="30"/>
  <c r="B6" i="30"/>
  <c r="V22" i="20"/>
  <c r="W22" i="20" s="1"/>
  <c r="V17" i="20"/>
  <c r="W17" i="20" s="1"/>
  <c r="V21" i="20"/>
  <c r="W21" i="20" s="1"/>
  <c r="V20" i="20"/>
  <c r="W20" i="20" s="1"/>
  <c r="V19" i="20"/>
  <c r="W19" i="20" s="1"/>
  <c r="V18" i="20"/>
  <c r="W18" i="20" s="1"/>
  <c r="V16" i="20"/>
  <c r="W16" i="20" s="1"/>
  <c r="V15" i="20"/>
  <c r="W15" i="20" s="1"/>
  <c r="V14" i="20"/>
  <c r="W14" i="20" s="1"/>
  <c r="V13" i="20"/>
  <c r="W13" i="20" s="1"/>
  <c r="V11" i="20"/>
  <c r="W11" i="20" s="1"/>
  <c r="V8" i="20"/>
  <c r="W8" i="20" s="1"/>
  <c r="V12" i="20"/>
  <c r="W12" i="20" s="1"/>
  <c r="V10" i="20"/>
  <c r="W10" i="20" s="1"/>
  <c r="V9" i="20"/>
  <c r="W9" i="20" s="1"/>
  <c r="V7" i="20"/>
  <c r="W7" i="20" s="1"/>
  <c r="V6" i="20"/>
  <c r="W6" i="20" s="1"/>
  <c r="X22" i="20"/>
  <c r="X21" i="20"/>
  <c r="X20" i="20"/>
  <c r="X19" i="20"/>
  <c r="X18" i="20"/>
  <c r="X11" i="20"/>
  <c r="X8" i="20"/>
  <c r="X12" i="20"/>
  <c r="X10" i="20"/>
  <c r="X9" i="20"/>
  <c r="X7" i="20"/>
  <c r="A10" i="29"/>
  <c r="B11" i="29"/>
  <c r="B10" i="29"/>
  <c r="B9" i="29"/>
  <c r="B8" i="29"/>
  <c r="B7" i="29"/>
  <c r="B6" i="29"/>
  <c r="J9" i="18"/>
  <c r="J8" i="18"/>
  <c r="J7" i="18"/>
  <c r="J6" i="18"/>
  <c r="M11" i="36" l="1"/>
  <c r="A11" i="36" s="1"/>
  <c r="M17" i="36"/>
  <c r="A17" i="36" s="1"/>
  <c r="M8" i="36"/>
  <c r="A8" i="36" s="1"/>
  <c r="L8" i="36"/>
  <c r="L7" i="36"/>
  <c r="M7" i="36" s="1"/>
  <c r="A7" i="36" s="1"/>
  <c r="M10" i="19"/>
  <c r="B10" i="18"/>
  <c r="B9" i="18"/>
  <c r="B8" i="18"/>
  <c r="B7" i="18"/>
  <c r="B6" i="18"/>
  <c r="A10" i="18"/>
  <c r="B10" i="17"/>
  <c r="B9" i="17"/>
  <c r="B8" i="17"/>
  <c r="B7" i="17"/>
  <c r="B6" i="17"/>
  <c r="J7" i="17"/>
  <c r="K7" i="17" s="1"/>
  <c r="J6" i="17"/>
  <c r="B12" i="30"/>
  <c r="B9" i="25"/>
  <c r="B15" i="25" l="1"/>
  <c r="B14" i="25"/>
  <c r="B13" i="25"/>
  <c r="B12" i="25"/>
  <c r="B11" i="25"/>
  <c r="B10" i="25"/>
  <c r="B8" i="25"/>
  <c r="B7" i="25"/>
  <c r="B6" i="25"/>
  <c r="AD22" i="20" l="1"/>
  <c r="AD21" i="20"/>
  <c r="AD20" i="20"/>
  <c r="AD19" i="20"/>
  <c r="AD18" i="20"/>
  <c r="AD9" i="20"/>
  <c r="AD8" i="20"/>
  <c r="AD11" i="20"/>
  <c r="AB22" i="20"/>
  <c r="AB17" i="20"/>
  <c r="AB21" i="20"/>
  <c r="AB20" i="20"/>
  <c r="AB19" i="20"/>
  <c r="AB18" i="20"/>
  <c r="AB16" i="20"/>
  <c r="AB15" i="20"/>
  <c r="AB14" i="20"/>
  <c r="AB7" i="20"/>
  <c r="AB10" i="20"/>
  <c r="AB9" i="20"/>
  <c r="AB8" i="20"/>
  <c r="AB11" i="20"/>
  <c r="AB13" i="20"/>
  <c r="AB12" i="20"/>
  <c r="AB6" i="20"/>
  <c r="Z22" i="20"/>
  <c r="Z21" i="20"/>
  <c r="Z20" i="20"/>
  <c r="Z19" i="20"/>
  <c r="Z18" i="20"/>
  <c r="Z7" i="20"/>
  <c r="Z10" i="20"/>
  <c r="Z9" i="20"/>
  <c r="Z8" i="20"/>
  <c r="Z11" i="20"/>
  <c r="Z12" i="20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J301" i="35"/>
  <c r="K301" i="35" s="1"/>
  <c r="I301" i="35"/>
  <c r="M301" i="35" s="1"/>
  <c r="J300" i="35"/>
  <c r="K300" i="35" s="1"/>
  <c r="I300" i="35"/>
  <c r="M300" i="35" s="1"/>
  <c r="J299" i="35"/>
  <c r="K299" i="35" s="1"/>
  <c r="I299" i="35"/>
  <c r="M299" i="35" s="1"/>
  <c r="J298" i="35"/>
  <c r="K298" i="35" s="1"/>
  <c r="I298" i="35"/>
  <c r="M298" i="35" s="1"/>
  <c r="J297" i="35"/>
  <c r="K297" i="35" s="1"/>
  <c r="I297" i="35"/>
  <c r="M297" i="35" s="1"/>
  <c r="K296" i="35"/>
  <c r="J296" i="35"/>
  <c r="I296" i="35"/>
  <c r="M296" i="35" s="1"/>
  <c r="J295" i="35"/>
  <c r="K295" i="35" s="1"/>
  <c r="I295" i="35"/>
  <c r="M295" i="35" s="1"/>
  <c r="J294" i="35"/>
  <c r="K294" i="35" s="1"/>
  <c r="I294" i="35"/>
  <c r="M294" i="35" s="1"/>
  <c r="J293" i="35"/>
  <c r="K293" i="35" s="1"/>
  <c r="I293" i="35"/>
  <c r="M293" i="35" s="1"/>
  <c r="J292" i="35"/>
  <c r="K292" i="35" s="1"/>
  <c r="I292" i="35"/>
  <c r="M292" i="35" s="1"/>
  <c r="J291" i="35"/>
  <c r="K291" i="35" s="1"/>
  <c r="I291" i="35"/>
  <c r="M291" i="35" s="1"/>
  <c r="K290" i="35"/>
  <c r="J290" i="35"/>
  <c r="I290" i="35"/>
  <c r="M290" i="35" s="1"/>
  <c r="J289" i="35"/>
  <c r="K289" i="35" s="1"/>
  <c r="I289" i="35"/>
  <c r="M289" i="35" s="1"/>
  <c r="K288" i="35"/>
  <c r="J288" i="35"/>
  <c r="I288" i="35"/>
  <c r="M288" i="35" s="1"/>
  <c r="J287" i="35"/>
  <c r="K287" i="35" s="1"/>
  <c r="I287" i="35"/>
  <c r="M287" i="35" s="1"/>
  <c r="J286" i="35"/>
  <c r="K286" i="35" s="1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M271" i="35"/>
  <c r="J271" i="35"/>
  <c r="K271" i="35" s="1"/>
  <c r="I271" i="35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J253" i="35"/>
  <c r="K253" i="35" s="1"/>
  <c r="I253" i="35"/>
  <c r="M253" i="35" s="1"/>
  <c r="J252" i="35"/>
  <c r="K252" i="35" s="1"/>
  <c r="I252" i="35"/>
  <c r="M252" i="35" s="1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J221" i="35"/>
  <c r="K221" i="35" s="1"/>
  <c r="I221" i="35"/>
  <c r="M221" i="35" s="1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M207" i="35"/>
  <c r="J207" i="35"/>
  <c r="K207" i="35" s="1"/>
  <c r="I207" i="35"/>
  <c r="J206" i="35"/>
  <c r="K206" i="35" s="1"/>
  <c r="I206" i="35"/>
  <c r="M206" i="35" s="1"/>
  <c r="J205" i="35"/>
  <c r="K205" i="35" s="1"/>
  <c r="I205" i="35"/>
  <c r="M205" i="35" s="1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J173" i="35"/>
  <c r="K173" i="35" s="1"/>
  <c r="I173" i="35"/>
  <c r="M173" i="35" s="1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M151" i="35"/>
  <c r="J151" i="35"/>
  <c r="K151" i="35" s="1"/>
  <c r="I151" i="35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J141" i="35"/>
  <c r="K141" i="35" s="1"/>
  <c r="I141" i="35"/>
  <c r="M141" i="35" s="1"/>
  <c r="J140" i="35"/>
  <c r="K140" i="35" s="1"/>
  <c r="I140" i="35"/>
  <c r="M140" i="35" s="1"/>
  <c r="A140" i="35" s="1"/>
  <c r="B140" i="35"/>
  <c r="J139" i="35"/>
  <c r="K139" i="35" s="1"/>
  <c r="I139" i="35"/>
  <c r="M139" i="35" s="1"/>
  <c r="A139" i="35" s="1"/>
  <c r="B139" i="35"/>
  <c r="J138" i="35"/>
  <c r="K138" i="35" s="1"/>
  <c r="I138" i="35"/>
  <c r="M138" i="35" s="1"/>
  <c r="A138" i="35" s="1"/>
  <c r="B138" i="35"/>
  <c r="M137" i="35"/>
  <c r="A137" i="35" s="1"/>
  <c r="K137" i="35"/>
  <c r="J137" i="35"/>
  <c r="I137" i="35"/>
  <c r="B137" i="35"/>
  <c r="J136" i="35"/>
  <c r="K136" i="35" s="1"/>
  <c r="I136" i="35"/>
  <c r="M136" i="35" s="1"/>
  <c r="A136" i="35" s="1"/>
  <c r="B136" i="35"/>
  <c r="J135" i="35"/>
  <c r="K135" i="35" s="1"/>
  <c r="I135" i="35"/>
  <c r="M135" i="35" s="1"/>
  <c r="A135" i="35" s="1"/>
  <c r="B135" i="35"/>
  <c r="J134" i="35"/>
  <c r="K134" i="35" s="1"/>
  <c r="I134" i="35"/>
  <c r="M134" i="35" s="1"/>
  <c r="A134" i="35" s="1"/>
  <c r="B134" i="35"/>
  <c r="J133" i="35"/>
  <c r="K133" i="35" s="1"/>
  <c r="I133" i="35"/>
  <c r="M133" i="35" s="1"/>
  <c r="A133" i="35" s="1"/>
  <c r="B133" i="35"/>
  <c r="J132" i="35"/>
  <c r="K132" i="35" s="1"/>
  <c r="I132" i="35"/>
  <c r="M132" i="35" s="1"/>
  <c r="A132" i="35" s="1"/>
  <c r="B132" i="35"/>
  <c r="J131" i="35"/>
  <c r="K131" i="35" s="1"/>
  <c r="I131" i="35"/>
  <c r="M131" i="35" s="1"/>
  <c r="A131" i="35" s="1"/>
  <c r="B131" i="35"/>
  <c r="J130" i="35"/>
  <c r="K130" i="35" s="1"/>
  <c r="I130" i="35"/>
  <c r="M130" i="35" s="1"/>
  <c r="A130" i="35" s="1"/>
  <c r="B130" i="35"/>
  <c r="M129" i="35"/>
  <c r="A129" i="35" s="1"/>
  <c r="J129" i="35"/>
  <c r="K129" i="35" s="1"/>
  <c r="I129" i="35"/>
  <c r="B129" i="35"/>
  <c r="K128" i="35"/>
  <c r="J128" i="35"/>
  <c r="I128" i="35"/>
  <c r="M128" i="35" s="1"/>
  <c r="A128" i="35" s="1"/>
  <c r="B128" i="35"/>
  <c r="J127" i="35"/>
  <c r="K127" i="35" s="1"/>
  <c r="I127" i="35"/>
  <c r="M127" i="35" s="1"/>
  <c r="A127" i="35" s="1"/>
  <c r="B127" i="35"/>
  <c r="J126" i="35"/>
  <c r="K126" i="35" s="1"/>
  <c r="I126" i="35"/>
  <c r="M126" i="35" s="1"/>
  <c r="A126" i="35" s="1"/>
  <c r="B126" i="35"/>
  <c r="J125" i="35"/>
  <c r="K125" i="35" s="1"/>
  <c r="I125" i="35"/>
  <c r="M125" i="35" s="1"/>
  <c r="A125" i="35" s="1"/>
  <c r="B125" i="35"/>
  <c r="J124" i="35"/>
  <c r="K124" i="35" s="1"/>
  <c r="I124" i="35"/>
  <c r="M124" i="35" s="1"/>
  <c r="A124" i="35" s="1"/>
  <c r="B124" i="35"/>
  <c r="J123" i="35"/>
  <c r="K123" i="35" s="1"/>
  <c r="I123" i="35"/>
  <c r="M123" i="35" s="1"/>
  <c r="A123" i="35" s="1"/>
  <c r="B123" i="35"/>
  <c r="J122" i="35"/>
  <c r="K122" i="35" s="1"/>
  <c r="I122" i="35"/>
  <c r="M122" i="35" s="1"/>
  <c r="A122" i="35" s="1"/>
  <c r="B122" i="35"/>
  <c r="M121" i="35"/>
  <c r="A121" i="35" s="1"/>
  <c r="J121" i="35"/>
  <c r="K121" i="35" s="1"/>
  <c r="I121" i="35"/>
  <c r="B121" i="35"/>
  <c r="J120" i="35"/>
  <c r="K120" i="35" s="1"/>
  <c r="I120" i="35"/>
  <c r="M120" i="35" s="1"/>
  <c r="A120" i="35" s="1"/>
  <c r="B120" i="35"/>
  <c r="J119" i="35"/>
  <c r="K119" i="35" s="1"/>
  <c r="I119" i="35"/>
  <c r="M119" i="35" s="1"/>
  <c r="A119" i="35" s="1"/>
  <c r="B119" i="35"/>
  <c r="J118" i="35"/>
  <c r="K118" i="35" s="1"/>
  <c r="I118" i="35"/>
  <c r="M118" i="35" s="1"/>
  <c r="A118" i="35" s="1"/>
  <c r="B118" i="35"/>
  <c r="J117" i="35"/>
  <c r="K117" i="35" s="1"/>
  <c r="I117" i="35"/>
  <c r="M117" i="35" s="1"/>
  <c r="A117" i="35" s="1"/>
  <c r="B117" i="35"/>
  <c r="J116" i="35"/>
  <c r="K116" i="35" s="1"/>
  <c r="I116" i="35"/>
  <c r="M116" i="35" s="1"/>
  <c r="A116" i="35" s="1"/>
  <c r="B116" i="35"/>
  <c r="J115" i="35"/>
  <c r="K115" i="35" s="1"/>
  <c r="I115" i="35"/>
  <c r="M115" i="35" s="1"/>
  <c r="A115" i="35" s="1"/>
  <c r="B115" i="35"/>
  <c r="J114" i="35"/>
  <c r="K114" i="35" s="1"/>
  <c r="I114" i="35"/>
  <c r="M114" i="35" s="1"/>
  <c r="A114" i="35" s="1"/>
  <c r="B114" i="35"/>
  <c r="J113" i="35"/>
  <c r="K113" i="35" s="1"/>
  <c r="I113" i="35"/>
  <c r="M113" i="35" s="1"/>
  <c r="A113" i="35" s="1"/>
  <c r="B113" i="35"/>
  <c r="J112" i="35"/>
  <c r="K112" i="35" s="1"/>
  <c r="I112" i="35"/>
  <c r="M112" i="35" s="1"/>
  <c r="A112" i="35" s="1"/>
  <c r="B112" i="35"/>
  <c r="J111" i="35"/>
  <c r="K111" i="35" s="1"/>
  <c r="I111" i="35"/>
  <c r="M111" i="35" s="1"/>
  <c r="B111" i="35"/>
  <c r="A111" i="35"/>
  <c r="J110" i="35"/>
  <c r="K110" i="35" s="1"/>
  <c r="I110" i="35"/>
  <c r="M110" i="35" s="1"/>
  <c r="A110" i="35" s="1"/>
  <c r="B110" i="35"/>
  <c r="J109" i="35"/>
  <c r="K109" i="35" s="1"/>
  <c r="I109" i="35"/>
  <c r="M109" i="35" s="1"/>
  <c r="A109" i="35" s="1"/>
  <c r="B109" i="35"/>
  <c r="J108" i="35"/>
  <c r="K108" i="35" s="1"/>
  <c r="I108" i="35"/>
  <c r="M108" i="35" s="1"/>
  <c r="A108" i="35" s="1"/>
  <c r="B108" i="35"/>
  <c r="J107" i="35"/>
  <c r="K107" i="35" s="1"/>
  <c r="I107" i="35"/>
  <c r="M107" i="35" s="1"/>
  <c r="A107" i="35" s="1"/>
  <c r="B107" i="35"/>
  <c r="J106" i="35"/>
  <c r="K106" i="35" s="1"/>
  <c r="I106" i="35"/>
  <c r="M106" i="35" s="1"/>
  <c r="A106" i="35" s="1"/>
  <c r="B106" i="35"/>
  <c r="J105" i="35"/>
  <c r="K105" i="35" s="1"/>
  <c r="I105" i="35"/>
  <c r="M105" i="35" s="1"/>
  <c r="A105" i="35" s="1"/>
  <c r="B105" i="35"/>
  <c r="J104" i="35"/>
  <c r="K104" i="35" s="1"/>
  <c r="I104" i="35"/>
  <c r="M104" i="35" s="1"/>
  <c r="A104" i="35" s="1"/>
  <c r="B104" i="35"/>
  <c r="J103" i="35"/>
  <c r="K103" i="35" s="1"/>
  <c r="I103" i="35"/>
  <c r="M103" i="35" s="1"/>
  <c r="A103" i="35" s="1"/>
  <c r="B103" i="35"/>
  <c r="J102" i="35"/>
  <c r="K102" i="35" s="1"/>
  <c r="I102" i="35"/>
  <c r="M102" i="35" s="1"/>
  <c r="A102" i="35" s="1"/>
  <c r="B102" i="35"/>
  <c r="J101" i="35"/>
  <c r="K101" i="35" s="1"/>
  <c r="I101" i="35"/>
  <c r="M101" i="35" s="1"/>
  <c r="A101" i="35" s="1"/>
  <c r="B101" i="35"/>
  <c r="J100" i="35"/>
  <c r="K100" i="35" s="1"/>
  <c r="I100" i="35"/>
  <c r="M100" i="35" s="1"/>
  <c r="A100" i="35" s="1"/>
  <c r="B100" i="35"/>
  <c r="J99" i="35"/>
  <c r="K99" i="35" s="1"/>
  <c r="I99" i="35"/>
  <c r="M99" i="35" s="1"/>
  <c r="A99" i="35" s="1"/>
  <c r="B99" i="35"/>
  <c r="J98" i="35"/>
  <c r="K98" i="35" s="1"/>
  <c r="I98" i="35"/>
  <c r="M98" i="35" s="1"/>
  <c r="A98" i="35" s="1"/>
  <c r="B98" i="35"/>
  <c r="M97" i="35"/>
  <c r="A97" i="35" s="1"/>
  <c r="J97" i="35"/>
  <c r="K97" i="35" s="1"/>
  <c r="I97" i="35"/>
  <c r="B97" i="35"/>
  <c r="J96" i="35"/>
  <c r="K96" i="35" s="1"/>
  <c r="I96" i="35"/>
  <c r="M96" i="35" s="1"/>
  <c r="A96" i="35" s="1"/>
  <c r="B96" i="35"/>
  <c r="J95" i="35"/>
  <c r="K95" i="35" s="1"/>
  <c r="I95" i="35"/>
  <c r="M95" i="35" s="1"/>
  <c r="A95" i="35" s="1"/>
  <c r="B95" i="35"/>
  <c r="J94" i="35"/>
  <c r="K94" i="35" s="1"/>
  <c r="I94" i="35"/>
  <c r="M94" i="35" s="1"/>
  <c r="A94" i="35" s="1"/>
  <c r="B94" i="35"/>
  <c r="J93" i="35"/>
  <c r="K93" i="35" s="1"/>
  <c r="I93" i="35"/>
  <c r="M93" i="35" s="1"/>
  <c r="A93" i="35" s="1"/>
  <c r="B93" i="35"/>
  <c r="J92" i="35"/>
  <c r="K92" i="35" s="1"/>
  <c r="I92" i="35"/>
  <c r="M92" i="35" s="1"/>
  <c r="A92" i="35" s="1"/>
  <c r="B92" i="35"/>
  <c r="J91" i="35"/>
  <c r="K91" i="35" s="1"/>
  <c r="I91" i="35"/>
  <c r="M91" i="35" s="1"/>
  <c r="A91" i="35" s="1"/>
  <c r="B91" i="35"/>
  <c r="J90" i="35"/>
  <c r="K90" i="35" s="1"/>
  <c r="I90" i="35"/>
  <c r="M90" i="35" s="1"/>
  <c r="A90" i="35" s="1"/>
  <c r="B90" i="35"/>
  <c r="M89" i="35"/>
  <c r="A89" i="35" s="1"/>
  <c r="J89" i="35"/>
  <c r="K89" i="35" s="1"/>
  <c r="I89" i="35"/>
  <c r="B89" i="35"/>
  <c r="J88" i="35"/>
  <c r="K88" i="35" s="1"/>
  <c r="I88" i="35"/>
  <c r="M88" i="35" s="1"/>
  <c r="A88" i="35" s="1"/>
  <c r="B88" i="35"/>
  <c r="J87" i="35"/>
  <c r="K87" i="35" s="1"/>
  <c r="I87" i="35"/>
  <c r="M87" i="35" s="1"/>
  <c r="A87" i="35" s="1"/>
  <c r="B87" i="35"/>
  <c r="J86" i="35"/>
  <c r="K86" i="35" s="1"/>
  <c r="I86" i="35"/>
  <c r="M86" i="35" s="1"/>
  <c r="A86" i="35" s="1"/>
  <c r="B86" i="35"/>
  <c r="J85" i="35"/>
  <c r="K85" i="35" s="1"/>
  <c r="I85" i="35"/>
  <c r="M85" i="35" s="1"/>
  <c r="A85" i="35" s="1"/>
  <c r="B85" i="35"/>
  <c r="M84" i="35"/>
  <c r="A84" i="35" s="1"/>
  <c r="J84" i="35"/>
  <c r="K84" i="35" s="1"/>
  <c r="I84" i="35"/>
  <c r="B84" i="35"/>
  <c r="J83" i="35"/>
  <c r="K83" i="35" s="1"/>
  <c r="I83" i="35"/>
  <c r="M83" i="35" s="1"/>
  <c r="A83" i="35" s="1"/>
  <c r="B83" i="35"/>
  <c r="J82" i="35"/>
  <c r="K82" i="35" s="1"/>
  <c r="I82" i="35"/>
  <c r="M82" i="35" s="1"/>
  <c r="A82" i="35" s="1"/>
  <c r="B82" i="35"/>
  <c r="J81" i="35"/>
  <c r="K81" i="35" s="1"/>
  <c r="I81" i="35"/>
  <c r="M81" i="35" s="1"/>
  <c r="A81" i="35" s="1"/>
  <c r="B81" i="35"/>
  <c r="J80" i="35"/>
  <c r="K80" i="35" s="1"/>
  <c r="I80" i="35"/>
  <c r="M80" i="35" s="1"/>
  <c r="A80" i="35" s="1"/>
  <c r="B80" i="35"/>
  <c r="M79" i="35"/>
  <c r="A79" i="35" s="1"/>
  <c r="J79" i="35"/>
  <c r="K79" i="35" s="1"/>
  <c r="I79" i="35"/>
  <c r="B79" i="35"/>
  <c r="J78" i="35"/>
  <c r="K78" i="35" s="1"/>
  <c r="I78" i="35"/>
  <c r="M78" i="35" s="1"/>
  <c r="A78" i="35" s="1"/>
  <c r="B78" i="35"/>
  <c r="J77" i="35"/>
  <c r="K77" i="35" s="1"/>
  <c r="I77" i="35"/>
  <c r="M77" i="35" s="1"/>
  <c r="A77" i="35" s="1"/>
  <c r="B77" i="35"/>
  <c r="M76" i="35"/>
  <c r="A76" i="35" s="1"/>
  <c r="K76" i="35"/>
  <c r="J76" i="35"/>
  <c r="I76" i="35"/>
  <c r="B76" i="35"/>
  <c r="J75" i="35"/>
  <c r="K75" i="35" s="1"/>
  <c r="I75" i="35"/>
  <c r="M75" i="35" s="1"/>
  <c r="A75" i="35" s="1"/>
  <c r="B75" i="35"/>
  <c r="M74" i="35"/>
  <c r="A74" i="35" s="1"/>
  <c r="J74" i="35"/>
  <c r="K74" i="35" s="1"/>
  <c r="I74" i="35"/>
  <c r="B74" i="35"/>
  <c r="J73" i="35"/>
  <c r="K73" i="35" s="1"/>
  <c r="I73" i="35"/>
  <c r="M73" i="35" s="1"/>
  <c r="A73" i="35" s="1"/>
  <c r="B73" i="35"/>
  <c r="J72" i="35"/>
  <c r="K72" i="35" s="1"/>
  <c r="I72" i="35"/>
  <c r="M72" i="35" s="1"/>
  <c r="A72" i="35" s="1"/>
  <c r="B72" i="35"/>
  <c r="J71" i="35"/>
  <c r="K71" i="35" s="1"/>
  <c r="I71" i="35"/>
  <c r="M71" i="35" s="1"/>
  <c r="A71" i="35" s="1"/>
  <c r="B71" i="35"/>
  <c r="J70" i="35"/>
  <c r="K70" i="35" s="1"/>
  <c r="I70" i="35"/>
  <c r="M70" i="35" s="1"/>
  <c r="A70" i="35" s="1"/>
  <c r="B70" i="35"/>
  <c r="J69" i="35"/>
  <c r="K69" i="35" s="1"/>
  <c r="I69" i="35"/>
  <c r="M69" i="35" s="1"/>
  <c r="A69" i="35" s="1"/>
  <c r="B69" i="35"/>
  <c r="M68" i="35"/>
  <c r="A68" i="35" s="1"/>
  <c r="J68" i="35"/>
  <c r="K68" i="35" s="1"/>
  <c r="I68" i="35"/>
  <c r="B68" i="35"/>
  <c r="J67" i="35"/>
  <c r="K67" i="35" s="1"/>
  <c r="I67" i="35"/>
  <c r="M67" i="35" s="1"/>
  <c r="A67" i="35" s="1"/>
  <c r="B67" i="35"/>
  <c r="M66" i="35"/>
  <c r="A66" i="35" s="1"/>
  <c r="J66" i="35"/>
  <c r="K66" i="35" s="1"/>
  <c r="I66" i="35"/>
  <c r="B66" i="35"/>
  <c r="J65" i="35"/>
  <c r="K65" i="35" s="1"/>
  <c r="I65" i="35"/>
  <c r="M65" i="35" s="1"/>
  <c r="A65" i="35" s="1"/>
  <c r="B65" i="35"/>
  <c r="J64" i="35"/>
  <c r="K64" i="35" s="1"/>
  <c r="I64" i="35"/>
  <c r="M64" i="35" s="1"/>
  <c r="A64" i="35" s="1"/>
  <c r="B64" i="35"/>
  <c r="J63" i="35"/>
  <c r="K63" i="35" s="1"/>
  <c r="I63" i="35"/>
  <c r="M63" i="35" s="1"/>
  <c r="A63" i="35" s="1"/>
  <c r="B63" i="35"/>
  <c r="J62" i="35"/>
  <c r="K62" i="35" s="1"/>
  <c r="I62" i="35"/>
  <c r="M62" i="35" s="1"/>
  <c r="A62" i="35" s="1"/>
  <c r="B62" i="35"/>
  <c r="M61" i="35"/>
  <c r="A61" i="35" s="1"/>
  <c r="J61" i="35"/>
  <c r="K61" i="35" s="1"/>
  <c r="I61" i="35"/>
  <c r="B61" i="35"/>
  <c r="J60" i="35"/>
  <c r="K60" i="35" s="1"/>
  <c r="I60" i="35"/>
  <c r="M60" i="35" s="1"/>
  <c r="A60" i="35" s="1"/>
  <c r="B60" i="35"/>
  <c r="J59" i="35"/>
  <c r="K59" i="35" s="1"/>
  <c r="I59" i="35"/>
  <c r="M59" i="35" s="1"/>
  <c r="A59" i="35" s="1"/>
  <c r="B59" i="35"/>
  <c r="J58" i="35"/>
  <c r="K58" i="35" s="1"/>
  <c r="I58" i="35"/>
  <c r="M58" i="35" s="1"/>
  <c r="A58" i="35" s="1"/>
  <c r="B58" i="35"/>
  <c r="J57" i="35"/>
  <c r="K57" i="35" s="1"/>
  <c r="I57" i="35"/>
  <c r="M57" i="35" s="1"/>
  <c r="A57" i="35" s="1"/>
  <c r="B57" i="35"/>
  <c r="M56" i="35"/>
  <c r="A56" i="35" s="1"/>
  <c r="J56" i="35"/>
  <c r="K56" i="35" s="1"/>
  <c r="I56" i="35"/>
  <c r="B56" i="35"/>
  <c r="J55" i="35"/>
  <c r="K55" i="35" s="1"/>
  <c r="I55" i="35"/>
  <c r="M55" i="35" s="1"/>
  <c r="A55" i="35" s="1"/>
  <c r="B55" i="35"/>
  <c r="J54" i="35"/>
  <c r="K54" i="35" s="1"/>
  <c r="I54" i="35"/>
  <c r="M54" i="35" s="1"/>
  <c r="A54" i="35" s="1"/>
  <c r="B54" i="35"/>
  <c r="J53" i="35"/>
  <c r="K53" i="35" s="1"/>
  <c r="I53" i="35"/>
  <c r="M53" i="35" s="1"/>
  <c r="A53" i="35" s="1"/>
  <c r="B53" i="35"/>
  <c r="K52" i="35"/>
  <c r="J52" i="35"/>
  <c r="I52" i="35"/>
  <c r="M52" i="35" s="1"/>
  <c r="A52" i="35" s="1"/>
  <c r="B52" i="35"/>
  <c r="M51" i="35"/>
  <c r="A51" i="35" s="1"/>
  <c r="J51" i="35"/>
  <c r="K51" i="35" s="1"/>
  <c r="I51" i="35"/>
  <c r="B51" i="35"/>
  <c r="J50" i="35"/>
  <c r="K50" i="35" s="1"/>
  <c r="I50" i="35"/>
  <c r="M50" i="35" s="1"/>
  <c r="A50" i="35" s="1"/>
  <c r="B50" i="35"/>
  <c r="M49" i="35"/>
  <c r="A49" i="35" s="1"/>
  <c r="J49" i="35"/>
  <c r="K49" i="35" s="1"/>
  <c r="I49" i="35"/>
  <c r="B49" i="35"/>
  <c r="J48" i="35"/>
  <c r="K48" i="35" s="1"/>
  <c r="I48" i="35"/>
  <c r="M48" i="35" s="1"/>
  <c r="A48" i="35" s="1"/>
  <c r="B48" i="35"/>
  <c r="J47" i="35"/>
  <c r="K47" i="35" s="1"/>
  <c r="I47" i="35"/>
  <c r="M47" i="35" s="1"/>
  <c r="A47" i="35" s="1"/>
  <c r="B47" i="35"/>
  <c r="J46" i="35"/>
  <c r="K46" i="35" s="1"/>
  <c r="I46" i="35"/>
  <c r="M46" i="35" s="1"/>
  <c r="A46" i="35" s="1"/>
  <c r="B46" i="35"/>
  <c r="J45" i="35"/>
  <c r="K45" i="35" s="1"/>
  <c r="I45" i="35"/>
  <c r="M45" i="35" s="1"/>
  <c r="A45" i="35" s="1"/>
  <c r="B45" i="35"/>
  <c r="J44" i="35"/>
  <c r="K44" i="35" s="1"/>
  <c r="I44" i="35"/>
  <c r="M44" i="35" s="1"/>
  <c r="A44" i="35" s="1"/>
  <c r="B44" i="35"/>
  <c r="J43" i="35"/>
  <c r="K43" i="35" s="1"/>
  <c r="I43" i="35"/>
  <c r="M43" i="35" s="1"/>
  <c r="A43" i="35" s="1"/>
  <c r="B43" i="35"/>
  <c r="M42" i="35"/>
  <c r="A42" i="35" s="1"/>
  <c r="J42" i="35"/>
  <c r="K42" i="35" s="1"/>
  <c r="I42" i="35"/>
  <c r="B42" i="35"/>
  <c r="J41" i="35"/>
  <c r="K41" i="35" s="1"/>
  <c r="I41" i="35"/>
  <c r="M41" i="35" s="1"/>
  <c r="A41" i="35" s="1"/>
  <c r="B41" i="35"/>
  <c r="J40" i="35"/>
  <c r="K40" i="35" s="1"/>
  <c r="I40" i="35"/>
  <c r="M40" i="35" s="1"/>
  <c r="A40" i="35" s="1"/>
  <c r="B40" i="35"/>
  <c r="M39" i="35"/>
  <c r="A39" i="35" s="1"/>
  <c r="J39" i="35"/>
  <c r="K39" i="35" s="1"/>
  <c r="I39" i="35"/>
  <c r="B39" i="35"/>
  <c r="J38" i="35"/>
  <c r="K38" i="35" s="1"/>
  <c r="I38" i="35"/>
  <c r="M38" i="35" s="1"/>
  <c r="A38" i="35" s="1"/>
  <c r="B38" i="35"/>
  <c r="J37" i="35"/>
  <c r="K37" i="35" s="1"/>
  <c r="I37" i="35"/>
  <c r="M37" i="35" s="1"/>
  <c r="A37" i="35" s="1"/>
  <c r="B37" i="35"/>
  <c r="J36" i="35"/>
  <c r="K36" i="35" s="1"/>
  <c r="I36" i="35"/>
  <c r="M36" i="35" s="1"/>
  <c r="A36" i="35" s="1"/>
  <c r="B36" i="35"/>
  <c r="J35" i="35"/>
  <c r="K35" i="35" s="1"/>
  <c r="I35" i="35"/>
  <c r="M35" i="35" s="1"/>
  <c r="A35" i="35" s="1"/>
  <c r="B35" i="35"/>
  <c r="J34" i="35"/>
  <c r="K34" i="35" s="1"/>
  <c r="I34" i="35"/>
  <c r="M34" i="35" s="1"/>
  <c r="A34" i="35" s="1"/>
  <c r="B34" i="35"/>
  <c r="J33" i="35"/>
  <c r="K33" i="35" s="1"/>
  <c r="I33" i="35"/>
  <c r="M33" i="35" s="1"/>
  <c r="A33" i="35" s="1"/>
  <c r="B33" i="35"/>
  <c r="M32" i="35"/>
  <c r="A32" i="35" s="1"/>
  <c r="K32" i="35"/>
  <c r="J32" i="35"/>
  <c r="I32" i="35"/>
  <c r="B32" i="35"/>
  <c r="J31" i="35"/>
  <c r="K31" i="35" s="1"/>
  <c r="I31" i="35"/>
  <c r="M31" i="35" s="1"/>
  <c r="A31" i="35" s="1"/>
  <c r="B31" i="35"/>
  <c r="J30" i="35"/>
  <c r="K30" i="35" s="1"/>
  <c r="I30" i="35"/>
  <c r="M30" i="35" s="1"/>
  <c r="A30" i="35" s="1"/>
  <c r="B30" i="35"/>
  <c r="J29" i="35"/>
  <c r="K29" i="35" s="1"/>
  <c r="I29" i="35"/>
  <c r="M29" i="35" s="1"/>
  <c r="A29" i="35" s="1"/>
  <c r="B29" i="35"/>
  <c r="J28" i="35"/>
  <c r="K28" i="35" s="1"/>
  <c r="I28" i="35"/>
  <c r="M28" i="35" s="1"/>
  <c r="A28" i="35" s="1"/>
  <c r="B28" i="35"/>
  <c r="J27" i="35"/>
  <c r="K27" i="35" s="1"/>
  <c r="I27" i="35"/>
  <c r="M27" i="35" s="1"/>
  <c r="A27" i="35" s="1"/>
  <c r="B27" i="35"/>
  <c r="J26" i="35"/>
  <c r="K26" i="35" s="1"/>
  <c r="I26" i="35"/>
  <c r="M26" i="35" s="1"/>
  <c r="A26" i="35" s="1"/>
  <c r="B26" i="35"/>
  <c r="J25" i="35"/>
  <c r="K25" i="35" s="1"/>
  <c r="I25" i="35"/>
  <c r="M25" i="35" s="1"/>
  <c r="A25" i="35" s="1"/>
  <c r="B25" i="35"/>
  <c r="J24" i="35"/>
  <c r="K24" i="35" s="1"/>
  <c r="I24" i="35"/>
  <c r="M24" i="35" s="1"/>
  <c r="A24" i="35" s="1"/>
  <c r="B24" i="35"/>
  <c r="J23" i="35"/>
  <c r="K23" i="35" s="1"/>
  <c r="I23" i="35"/>
  <c r="M23" i="35" s="1"/>
  <c r="A23" i="35" s="1"/>
  <c r="B23" i="35"/>
  <c r="J22" i="35"/>
  <c r="K22" i="35" s="1"/>
  <c r="I22" i="35"/>
  <c r="M22" i="35" s="1"/>
  <c r="A22" i="35" s="1"/>
  <c r="B22" i="35"/>
  <c r="J21" i="35"/>
  <c r="K21" i="35" s="1"/>
  <c r="I21" i="35"/>
  <c r="M21" i="35" s="1"/>
  <c r="A21" i="35" s="1"/>
  <c r="B21" i="35"/>
  <c r="M20" i="35"/>
  <c r="A20" i="35" s="1"/>
  <c r="J20" i="35"/>
  <c r="K20" i="35" s="1"/>
  <c r="I20" i="35"/>
  <c r="B20" i="35"/>
  <c r="J19" i="35"/>
  <c r="K19" i="35" s="1"/>
  <c r="I19" i="35"/>
  <c r="M19" i="35" s="1"/>
  <c r="A19" i="35" s="1"/>
  <c r="B19" i="35"/>
  <c r="J18" i="35"/>
  <c r="K18" i="35" s="1"/>
  <c r="I18" i="35"/>
  <c r="M18" i="35" s="1"/>
  <c r="A18" i="35" s="1"/>
  <c r="B18" i="35"/>
  <c r="J17" i="35"/>
  <c r="K17" i="35" s="1"/>
  <c r="I17" i="35"/>
  <c r="M17" i="35" s="1"/>
  <c r="A17" i="35" s="1"/>
  <c r="B17" i="35"/>
  <c r="J16" i="35"/>
  <c r="K16" i="35" s="1"/>
  <c r="I16" i="35"/>
  <c r="M16" i="35" s="1"/>
  <c r="A16" i="35" s="1"/>
  <c r="B16" i="35"/>
  <c r="AD13" i="20" s="1"/>
  <c r="J15" i="35"/>
  <c r="K15" i="35" s="1"/>
  <c r="I15" i="35"/>
  <c r="M15" i="35" s="1"/>
  <c r="A15" i="35" s="1"/>
  <c r="B15" i="35"/>
  <c r="AI14" i="35"/>
  <c r="J14" i="35"/>
  <c r="K14" i="35" s="1"/>
  <c r="I14" i="35"/>
  <c r="M14" i="35" s="1"/>
  <c r="A14" i="35" s="1"/>
  <c r="B14" i="35"/>
  <c r="AD10" i="20" s="1"/>
  <c r="AI13" i="35"/>
  <c r="J13" i="35"/>
  <c r="K13" i="35" s="1"/>
  <c r="I13" i="35"/>
  <c r="B13" i="35"/>
  <c r="AD12" i="20" s="1"/>
  <c r="AI12" i="35"/>
  <c r="AI16" i="35" s="1"/>
  <c r="J12" i="35"/>
  <c r="K12" i="35" s="1"/>
  <c r="I12" i="35"/>
  <c r="M12" i="35" s="1"/>
  <c r="A12" i="35" s="1"/>
  <c r="B12" i="35"/>
  <c r="M11" i="35"/>
  <c r="A11" i="35" s="1"/>
  <c r="J11" i="35"/>
  <c r="K11" i="35" s="1"/>
  <c r="I11" i="35"/>
  <c r="B11" i="35"/>
  <c r="J10" i="35"/>
  <c r="K10" i="35" s="1"/>
  <c r="I10" i="35"/>
  <c r="B10" i="35"/>
  <c r="J9" i="35"/>
  <c r="K9" i="35" s="1"/>
  <c r="I9" i="35"/>
  <c r="B9" i="35"/>
  <c r="J8" i="35"/>
  <c r="K8" i="35" s="1"/>
  <c r="I8" i="35"/>
  <c r="B8" i="35"/>
  <c r="K7" i="35"/>
  <c r="J7" i="35"/>
  <c r="I7" i="35"/>
  <c r="B7" i="35"/>
  <c r="AD6" i="20" s="1"/>
  <c r="L6" i="35"/>
  <c r="J6" i="35"/>
  <c r="K6" i="35" s="1"/>
  <c r="I6" i="35"/>
  <c r="M6" i="35" s="1"/>
  <c r="A6" i="35" s="1"/>
  <c r="B6" i="35"/>
  <c r="K2" i="35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J305" i="34"/>
  <c r="K305" i="34" s="1"/>
  <c r="I305" i="34"/>
  <c r="M305" i="34" s="1"/>
  <c r="K304" i="34"/>
  <c r="J304" i="34"/>
  <c r="I304" i="34"/>
  <c r="M304" i="34" s="1"/>
  <c r="J303" i="34"/>
  <c r="K303" i="34" s="1"/>
  <c r="I303" i="34"/>
  <c r="M303" i="34" s="1"/>
  <c r="J302" i="34"/>
  <c r="K302" i="34" s="1"/>
  <c r="I302" i="34"/>
  <c r="M302" i="34" s="1"/>
  <c r="J301" i="34"/>
  <c r="K301" i="34" s="1"/>
  <c r="I301" i="34"/>
  <c r="M301" i="34" s="1"/>
  <c r="J300" i="34"/>
  <c r="K300" i="34" s="1"/>
  <c r="I300" i="34"/>
  <c r="M300" i="34" s="1"/>
  <c r="J299" i="34"/>
  <c r="K299" i="34" s="1"/>
  <c r="I299" i="34"/>
  <c r="M299" i="34" s="1"/>
  <c r="J298" i="34"/>
  <c r="K298" i="34" s="1"/>
  <c r="I298" i="34"/>
  <c r="M298" i="34" s="1"/>
  <c r="J297" i="34"/>
  <c r="K297" i="34" s="1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J291" i="34"/>
  <c r="K291" i="34" s="1"/>
  <c r="I291" i="34"/>
  <c r="M291" i="34" s="1"/>
  <c r="K290" i="34"/>
  <c r="J290" i="34"/>
  <c r="I290" i="34"/>
  <c r="M290" i="34" s="1"/>
  <c r="J289" i="34"/>
  <c r="K289" i="34" s="1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J285" i="34"/>
  <c r="K285" i="34" s="1"/>
  <c r="I285" i="34"/>
  <c r="M285" i="34" s="1"/>
  <c r="J284" i="34"/>
  <c r="K284" i="34" s="1"/>
  <c r="I284" i="34"/>
  <c r="M284" i="34" s="1"/>
  <c r="J283" i="34"/>
  <c r="K283" i="34" s="1"/>
  <c r="I283" i="34"/>
  <c r="M283" i="34" s="1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K273" i="34"/>
  <c r="J273" i="34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J269" i="34"/>
  <c r="K269" i="34" s="1"/>
  <c r="I269" i="34"/>
  <c r="M269" i="34" s="1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K265" i="34"/>
  <c r="J265" i="34"/>
  <c r="I265" i="34"/>
  <c r="M265" i="34" s="1"/>
  <c r="K264" i="34"/>
  <c r="J264" i="34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J253" i="34"/>
  <c r="K253" i="34" s="1"/>
  <c r="I253" i="34"/>
  <c r="M253" i="34" s="1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K249" i="34"/>
  <c r="J249" i="34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J243" i="34"/>
  <c r="K243" i="34" s="1"/>
  <c r="I243" i="34"/>
  <c r="M243" i="34" s="1"/>
  <c r="J242" i="34"/>
  <c r="K242" i="34" s="1"/>
  <c r="I242" i="34"/>
  <c r="M242" i="34" s="1"/>
  <c r="K241" i="34"/>
  <c r="J241" i="34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J237" i="34"/>
  <c r="K237" i="34" s="1"/>
  <c r="I237" i="34"/>
  <c r="M237" i="34" s="1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K233" i="34"/>
  <c r="J233" i="34"/>
  <c r="I233" i="34"/>
  <c r="M233" i="34" s="1"/>
  <c r="K232" i="34"/>
  <c r="J232" i="34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J221" i="34"/>
  <c r="K221" i="34" s="1"/>
  <c r="I221" i="34"/>
  <c r="M221" i="34" s="1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K217" i="34"/>
  <c r="J217" i="34"/>
  <c r="I217" i="34"/>
  <c r="M217" i="34" s="1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K209" i="34"/>
  <c r="J209" i="34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J205" i="34"/>
  <c r="K205" i="34" s="1"/>
  <c r="I205" i="34"/>
  <c r="M205" i="34" s="1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K201" i="34"/>
  <c r="J201" i="34"/>
  <c r="I201" i="34"/>
  <c r="M201" i="34" s="1"/>
  <c r="K200" i="34"/>
  <c r="J200" i="34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J189" i="34"/>
  <c r="K189" i="34" s="1"/>
  <c r="I189" i="34"/>
  <c r="M189" i="34" s="1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K185" i="34"/>
  <c r="J185" i="34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K177" i="34"/>
  <c r="J177" i="34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J173" i="34"/>
  <c r="K173" i="34" s="1"/>
  <c r="I173" i="34"/>
  <c r="M173" i="34" s="1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K169" i="34"/>
  <c r="J169" i="34"/>
  <c r="I169" i="34"/>
  <c r="M169" i="34" s="1"/>
  <c r="K168" i="34"/>
  <c r="J168" i="34"/>
  <c r="I168" i="34"/>
  <c r="M168" i="34" s="1"/>
  <c r="J167" i="34"/>
  <c r="K167" i="34" s="1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J157" i="34"/>
  <c r="K157" i="34" s="1"/>
  <c r="I157" i="34"/>
  <c r="M157" i="34" s="1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K153" i="34"/>
  <c r="J153" i="34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K145" i="34"/>
  <c r="J145" i="34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J140" i="34"/>
  <c r="K140" i="34" s="1"/>
  <c r="I140" i="34"/>
  <c r="M140" i="34" s="1"/>
  <c r="J139" i="34"/>
  <c r="K139" i="34" s="1"/>
  <c r="I139" i="34"/>
  <c r="M139" i="34" s="1"/>
  <c r="K138" i="34"/>
  <c r="J138" i="34"/>
  <c r="I138" i="34"/>
  <c r="M138" i="34" s="1"/>
  <c r="J137" i="34"/>
  <c r="K137" i="34" s="1"/>
  <c r="I137" i="34"/>
  <c r="M137" i="34" s="1"/>
  <c r="K136" i="34"/>
  <c r="J136" i="34"/>
  <c r="I136" i="34"/>
  <c r="M136" i="34" s="1"/>
  <c r="J135" i="34"/>
  <c r="K135" i="34" s="1"/>
  <c r="I135" i="34"/>
  <c r="M135" i="34" s="1"/>
  <c r="M134" i="34"/>
  <c r="K134" i="34"/>
  <c r="J134" i="34"/>
  <c r="I134" i="34"/>
  <c r="J133" i="34"/>
  <c r="K133" i="34" s="1"/>
  <c r="I133" i="34"/>
  <c r="M133" i="34" s="1"/>
  <c r="M132" i="34"/>
  <c r="J132" i="34"/>
  <c r="K132" i="34" s="1"/>
  <c r="I132" i="34"/>
  <c r="M131" i="34"/>
  <c r="J131" i="34"/>
  <c r="K131" i="34" s="1"/>
  <c r="I131" i="34"/>
  <c r="J130" i="34"/>
  <c r="K130" i="34" s="1"/>
  <c r="I130" i="34"/>
  <c r="M130" i="34" s="1"/>
  <c r="M129" i="34"/>
  <c r="J129" i="34"/>
  <c r="K129" i="34" s="1"/>
  <c r="I129" i="34"/>
  <c r="K128" i="34"/>
  <c r="J128" i="34"/>
  <c r="I128" i="34"/>
  <c r="M128" i="34" s="1"/>
  <c r="M127" i="34"/>
  <c r="J127" i="34"/>
  <c r="K127" i="34" s="1"/>
  <c r="I127" i="34"/>
  <c r="J126" i="34"/>
  <c r="K126" i="34" s="1"/>
  <c r="I126" i="34"/>
  <c r="M126" i="34" s="1"/>
  <c r="M125" i="34"/>
  <c r="J125" i="34"/>
  <c r="K125" i="34" s="1"/>
  <c r="I125" i="34"/>
  <c r="K124" i="34"/>
  <c r="J124" i="34"/>
  <c r="I124" i="34"/>
  <c r="M124" i="34" s="1"/>
  <c r="J123" i="34"/>
  <c r="K123" i="34" s="1"/>
  <c r="I123" i="34"/>
  <c r="M123" i="34" s="1"/>
  <c r="M122" i="34"/>
  <c r="J122" i="34"/>
  <c r="K122" i="34" s="1"/>
  <c r="I122" i="34"/>
  <c r="J121" i="34"/>
  <c r="K121" i="34" s="1"/>
  <c r="I121" i="34"/>
  <c r="M121" i="34" s="1"/>
  <c r="M120" i="34"/>
  <c r="K120" i="34"/>
  <c r="J120" i="34"/>
  <c r="I120" i="34"/>
  <c r="J119" i="34"/>
  <c r="K119" i="34" s="1"/>
  <c r="I119" i="34"/>
  <c r="M119" i="34" s="1"/>
  <c r="M118" i="34"/>
  <c r="K118" i="34"/>
  <c r="J118" i="34"/>
  <c r="I118" i="34"/>
  <c r="J117" i="34"/>
  <c r="K117" i="34" s="1"/>
  <c r="I117" i="34"/>
  <c r="M117" i="34" s="1"/>
  <c r="J116" i="34"/>
  <c r="K116" i="34" s="1"/>
  <c r="I116" i="34"/>
  <c r="M116" i="34" s="1"/>
  <c r="M115" i="34"/>
  <c r="J115" i="34"/>
  <c r="K115" i="34" s="1"/>
  <c r="I115" i="34"/>
  <c r="J114" i="34"/>
  <c r="K114" i="34" s="1"/>
  <c r="I114" i="34"/>
  <c r="M114" i="34" s="1"/>
  <c r="M113" i="34"/>
  <c r="J113" i="34"/>
  <c r="K113" i="34" s="1"/>
  <c r="I113" i="34"/>
  <c r="J112" i="34"/>
  <c r="K112" i="34" s="1"/>
  <c r="I112" i="34"/>
  <c r="M112" i="34" s="1"/>
  <c r="J111" i="34"/>
  <c r="K111" i="34" s="1"/>
  <c r="I111" i="34"/>
  <c r="M111" i="34" s="1"/>
  <c r="K110" i="34"/>
  <c r="J110" i="34"/>
  <c r="I110" i="34"/>
  <c r="M110" i="34" s="1"/>
  <c r="J109" i="34"/>
  <c r="K109" i="34" s="1"/>
  <c r="I109" i="34"/>
  <c r="M109" i="34" s="1"/>
  <c r="J108" i="34"/>
  <c r="K108" i="34" s="1"/>
  <c r="I108" i="34"/>
  <c r="M108" i="34" s="1"/>
  <c r="M107" i="34"/>
  <c r="J107" i="34"/>
  <c r="K107" i="34" s="1"/>
  <c r="I107" i="34"/>
  <c r="J106" i="34"/>
  <c r="K106" i="34" s="1"/>
  <c r="I106" i="34"/>
  <c r="M106" i="34" s="1"/>
  <c r="M105" i="34"/>
  <c r="J105" i="34"/>
  <c r="K105" i="34" s="1"/>
  <c r="I105" i="34"/>
  <c r="J104" i="34"/>
  <c r="K104" i="34" s="1"/>
  <c r="I104" i="34"/>
  <c r="M104" i="34" s="1"/>
  <c r="J103" i="34"/>
  <c r="K103" i="34" s="1"/>
  <c r="I103" i="34"/>
  <c r="M103" i="34" s="1"/>
  <c r="K102" i="34"/>
  <c r="J102" i="34"/>
  <c r="I102" i="34"/>
  <c r="M102" i="34" s="1"/>
  <c r="J101" i="34"/>
  <c r="K101" i="34" s="1"/>
  <c r="I101" i="34"/>
  <c r="M101" i="34" s="1"/>
  <c r="J100" i="34"/>
  <c r="K100" i="34" s="1"/>
  <c r="I100" i="34"/>
  <c r="M100" i="34" s="1"/>
  <c r="M99" i="34"/>
  <c r="J99" i="34"/>
  <c r="K99" i="34" s="1"/>
  <c r="I99" i="34"/>
  <c r="J98" i="34"/>
  <c r="K98" i="34" s="1"/>
  <c r="I98" i="34"/>
  <c r="M98" i="34" s="1"/>
  <c r="M97" i="34"/>
  <c r="J97" i="34"/>
  <c r="K97" i="34" s="1"/>
  <c r="I97" i="34"/>
  <c r="J96" i="34"/>
  <c r="K96" i="34" s="1"/>
  <c r="I96" i="34"/>
  <c r="M96" i="34" s="1"/>
  <c r="J95" i="34"/>
  <c r="K95" i="34" s="1"/>
  <c r="I95" i="34"/>
  <c r="M95" i="34" s="1"/>
  <c r="K94" i="34"/>
  <c r="J94" i="34"/>
  <c r="I94" i="34"/>
  <c r="M94" i="34" s="1"/>
  <c r="J93" i="34"/>
  <c r="K93" i="34" s="1"/>
  <c r="I93" i="34"/>
  <c r="M93" i="34" s="1"/>
  <c r="J92" i="34"/>
  <c r="K92" i="34" s="1"/>
  <c r="I92" i="34"/>
  <c r="M92" i="34" s="1"/>
  <c r="J91" i="34"/>
  <c r="K91" i="34" s="1"/>
  <c r="I91" i="34"/>
  <c r="M91" i="34" s="1"/>
  <c r="J90" i="34"/>
  <c r="K90" i="34" s="1"/>
  <c r="I90" i="34"/>
  <c r="M90" i="34" s="1"/>
  <c r="M89" i="34"/>
  <c r="J89" i="34"/>
  <c r="K89" i="34" s="1"/>
  <c r="I89" i="34"/>
  <c r="J88" i="34"/>
  <c r="K88" i="34" s="1"/>
  <c r="I88" i="34"/>
  <c r="M88" i="34" s="1"/>
  <c r="J87" i="34"/>
  <c r="K87" i="34" s="1"/>
  <c r="I87" i="34"/>
  <c r="M87" i="34" s="1"/>
  <c r="K86" i="34"/>
  <c r="J86" i="34"/>
  <c r="I86" i="34"/>
  <c r="M86" i="34" s="1"/>
  <c r="J85" i="34"/>
  <c r="K85" i="34" s="1"/>
  <c r="I85" i="34"/>
  <c r="M85" i="34" s="1"/>
  <c r="J84" i="34"/>
  <c r="K84" i="34" s="1"/>
  <c r="I84" i="34"/>
  <c r="M84" i="34" s="1"/>
  <c r="J83" i="34"/>
  <c r="K83" i="34" s="1"/>
  <c r="I83" i="34"/>
  <c r="M83" i="34" s="1"/>
  <c r="J82" i="34"/>
  <c r="K82" i="34" s="1"/>
  <c r="I82" i="34"/>
  <c r="M82" i="34" s="1"/>
  <c r="M81" i="34"/>
  <c r="J81" i="34"/>
  <c r="K81" i="34" s="1"/>
  <c r="I81" i="34"/>
  <c r="J80" i="34"/>
  <c r="K80" i="34" s="1"/>
  <c r="I80" i="34"/>
  <c r="M80" i="34" s="1"/>
  <c r="J79" i="34"/>
  <c r="K79" i="34" s="1"/>
  <c r="I79" i="34"/>
  <c r="M79" i="34" s="1"/>
  <c r="K78" i="34"/>
  <c r="J78" i="34"/>
  <c r="I78" i="34"/>
  <c r="M78" i="34" s="1"/>
  <c r="J77" i="34"/>
  <c r="K77" i="34" s="1"/>
  <c r="I77" i="34"/>
  <c r="M77" i="34" s="1"/>
  <c r="J76" i="34"/>
  <c r="K76" i="34" s="1"/>
  <c r="I76" i="34"/>
  <c r="M76" i="34" s="1"/>
  <c r="J75" i="34"/>
  <c r="K75" i="34" s="1"/>
  <c r="I75" i="34"/>
  <c r="M75" i="34" s="1"/>
  <c r="J74" i="34"/>
  <c r="K74" i="34" s="1"/>
  <c r="I74" i="34"/>
  <c r="M74" i="34" s="1"/>
  <c r="M73" i="34"/>
  <c r="J73" i="34"/>
  <c r="K73" i="34" s="1"/>
  <c r="I73" i="34"/>
  <c r="J72" i="34"/>
  <c r="K72" i="34" s="1"/>
  <c r="I72" i="34"/>
  <c r="M72" i="34" s="1"/>
  <c r="J71" i="34"/>
  <c r="K71" i="34" s="1"/>
  <c r="I71" i="34"/>
  <c r="M71" i="34" s="1"/>
  <c r="K70" i="34"/>
  <c r="J70" i="34"/>
  <c r="I70" i="34"/>
  <c r="M70" i="34" s="1"/>
  <c r="J69" i="34"/>
  <c r="K69" i="34" s="1"/>
  <c r="I69" i="34"/>
  <c r="M69" i="34" s="1"/>
  <c r="J68" i="34"/>
  <c r="K68" i="34" s="1"/>
  <c r="I68" i="34"/>
  <c r="M68" i="34" s="1"/>
  <c r="J67" i="34"/>
  <c r="K67" i="34" s="1"/>
  <c r="I67" i="34"/>
  <c r="M67" i="34" s="1"/>
  <c r="J66" i="34"/>
  <c r="K66" i="34" s="1"/>
  <c r="I66" i="34"/>
  <c r="M66" i="34" s="1"/>
  <c r="M65" i="34"/>
  <c r="J65" i="34"/>
  <c r="K65" i="34" s="1"/>
  <c r="I65" i="34"/>
  <c r="B65" i="34"/>
  <c r="J64" i="34"/>
  <c r="K64" i="34" s="1"/>
  <c r="I64" i="34"/>
  <c r="M64" i="34" s="1"/>
  <c r="B64" i="34"/>
  <c r="M63" i="34"/>
  <c r="J63" i="34"/>
  <c r="K63" i="34" s="1"/>
  <c r="I63" i="34"/>
  <c r="B63" i="34"/>
  <c r="J62" i="34"/>
  <c r="K62" i="34" s="1"/>
  <c r="I62" i="34"/>
  <c r="M62" i="34" s="1"/>
  <c r="B62" i="34"/>
  <c r="J61" i="34"/>
  <c r="K61" i="34" s="1"/>
  <c r="I61" i="34"/>
  <c r="M61" i="34" s="1"/>
  <c r="B61" i="34"/>
  <c r="K60" i="34"/>
  <c r="J60" i="34"/>
  <c r="I60" i="34"/>
  <c r="M60" i="34" s="1"/>
  <c r="B60" i="34"/>
  <c r="J59" i="34"/>
  <c r="K59" i="34" s="1"/>
  <c r="I59" i="34"/>
  <c r="M59" i="34" s="1"/>
  <c r="B59" i="34"/>
  <c r="J58" i="34"/>
  <c r="K58" i="34" s="1"/>
  <c r="I58" i="34"/>
  <c r="M58" i="34" s="1"/>
  <c r="B58" i="34"/>
  <c r="M57" i="34"/>
  <c r="J57" i="34"/>
  <c r="K57" i="34" s="1"/>
  <c r="I57" i="34"/>
  <c r="B57" i="34"/>
  <c r="J56" i="34"/>
  <c r="K56" i="34" s="1"/>
  <c r="I56" i="34"/>
  <c r="M56" i="34" s="1"/>
  <c r="B56" i="34"/>
  <c r="M55" i="34"/>
  <c r="J55" i="34"/>
  <c r="K55" i="34" s="1"/>
  <c r="I55" i="34"/>
  <c r="B55" i="34"/>
  <c r="J54" i="34"/>
  <c r="K54" i="34" s="1"/>
  <c r="I54" i="34"/>
  <c r="M54" i="34" s="1"/>
  <c r="B54" i="34"/>
  <c r="J53" i="34"/>
  <c r="K53" i="34" s="1"/>
  <c r="I53" i="34"/>
  <c r="M53" i="34" s="1"/>
  <c r="B53" i="34"/>
  <c r="K52" i="34"/>
  <c r="J52" i="34"/>
  <c r="I52" i="34"/>
  <c r="M52" i="34" s="1"/>
  <c r="B52" i="34"/>
  <c r="J51" i="34"/>
  <c r="K51" i="34" s="1"/>
  <c r="I51" i="34"/>
  <c r="M51" i="34" s="1"/>
  <c r="B51" i="34"/>
  <c r="J50" i="34"/>
  <c r="K50" i="34" s="1"/>
  <c r="I50" i="34"/>
  <c r="M50" i="34" s="1"/>
  <c r="B50" i="34"/>
  <c r="M49" i="34"/>
  <c r="J49" i="34"/>
  <c r="K49" i="34" s="1"/>
  <c r="I49" i="34"/>
  <c r="B49" i="34"/>
  <c r="J48" i="34"/>
  <c r="K48" i="34" s="1"/>
  <c r="I48" i="34"/>
  <c r="M48" i="34" s="1"/>
  <c r="B48" i="34"/>
  <c r="M47" i="34"/>
  <c r="J47" i="34"/>
  <c r="K47" i="34" s="1"/>
  <c r="I47" i="34"/>
  <c r="B47" i="34"/>
  <c r="T46" i="34"/>
  <c r="R46" i="34"/>
  <c r="U46" i="34" s="1"/>
  <c r="J46" i="34"/>
  <c r="K46" i="34" s="1"/>
  <c r="I46" i="34"/>
  <c r="M46" i="34" s="1"/>
  <c r="B46" i="34"/>
  <c r="J45" i="34"/>
  <c r="K45" i="34" s="1"/>
  <c r="I45" i="34"/>
  <c r="M45" i="34" s="1"/>
  <c r="B45" i="34"/>
  <c r="J44" i="34"/>
  <c r="K44" i="34" s="1"/>
  <c r="I44" i="34"/>
  <c r="M44" i="34" s="1"/>
  <c r="B44" i="34"/>
  <c r="M43" i="34"/>
  <c r="K43" i="34"/>
  <c r="J43" i="34"/>
  <c r="I43" i="34"/>
  <c r="B43" i="34"/>
  <c r="K42" i="34"/>
  <c r="J42" i="34"/>
  <c r="I42" i="34"/>
  <c r="M42" i="34" s="1"/>
  <c r="B42" i="34"/>
  <c r="J41" i="34"/>
  <c r="K41" i="34" s="1"/>
  <c r="I41" i="34"/>
  <c r="M41" i="34" s="1"/>
  <c r="B41" i="34"/>
  <c r="J40" i="34"/>
  <c r="K40" i="34" s="1"/>
  <c r="I40" i="34"/>
  <c r="M40" i="34" s="1"/>
  <c r="B40" i="34"/>
  <c r="J39" i="34"/>
  <c r="K39" i="34" s="1"/>
  <c r="I39" i="34"/>
  <c r="M39" i="34" s="1"/>
  <c r="B39" i="34"/>
  <c r="J38" i="34"/>
  <c r="K38" i="34" s="1"/>
  <c r="I38" i="34"/>
  <c r="M38" i="34" s="1"/>
  <c r="B38" i="34"/>
  <c r="J37" i="34"/>
  <c r="K37" i="34" s="1"/>
  <c r="I37" i="34"/>
  <c r="M37" i="34" s="1"/>
  <c r="A37" i="34" s="1"/>
  <c r="B37" i="34"/>
  <c r="J36" i="34"/>
  <c r="K36" i="34" s="1"/>
  <c r="I36" i="34"/>
  <c r="M36" i="34" s="1"/>
  <c r="A36" i="34" s="1"/>
  <c r="B36" i="34"/>
  <c r="M35" i="34"/>
  <c r="J35" i="34"/>
  <c r="K35" i="34" s="1"/>
  <c r="I35" i="34"/>
  <c r="B35" i="34"/>
  <c r="A35" i="34"/>
  <c r="M34" i="34"/>
  <c r="A34" i="34" s="1"/>
  <c r="J34" i="34"/>
  <c r="K34" i="34" s="1"/>
  <c r="I34" i="34"/>
  <c r="B34" i="34"/>
  <c r="J33" i="34"/>
  <c r="K33" i="34" s="1"/>
  <c r="I33" i="34"/>
  <c r="M33" i="34" s="1"/>
  <c r="A33" i="34" s="1"/>
  <c r="B33" i="34"/>
  <c r="J32" i="34"/>
  <c r="K32" i="34" s="1"/>
  <c r="I32" i="34"/>
  <c r="M32" i="34" s="1"/>
  <c r="A32" i="34" s="1"/>
  <c r="B32" i="34"/>
  <c r="J31" i="34"/>
  <c r="K31" i="34" s="1"/>
  <c r="I31" i="34"/>
  <c r="M31" i="34" s="1"/>
  <c r="A31" i="34" s="1"/>
  <c r="B31" i="34"/>
  <c r="M30" i="34"/>
  <c r="A30" i="34" s="1"/>
  <c r="K30" i="34"/>
  <c r="J30" i="34"/>
  <c r="I30" i="34"/>
  <c r="B30" i="34"/>
  <c r="J29" i="34"/>
  <c r="K29" i="34" s="1"/>
  <c r="I29" i="34"/>
  <c r="M29" i="34" s="1"/>
  <c r="A29" i="34" s="1"/>
  <c r="B29" i="34"/>
  <c r="M28" i="34"/>
  <c r="A28" i="34" s="1"/>
  <c r="J28" i="34"/>
  <c r="K28" i="34" s="1"/>
  <c r="I28" i="34"/>
  <c r="B28" i="34"/>
  <c r="J27" i="34"/>
  <c r="K27" i="34" s="1"/>
  <c r="I27" i="34"/>
  <c r="M27" i="34" s="1"/>
  <c r="A27" i="34" s="1"/>
  <c r="B27" i="34"/>
  <c r="K26" i="34"/>
  <c r="J26" i="34"/>
  <c r="I26" i="34"/>
  <c r="M26" i="34" s="1"/>
  <c r="A26" i="34" s="1"/>
  <c r="B26" i="34"/>
  <c r="J25" i="34"/>
  <c r="K25" i="34" s="1"/>
  <c r="I25" i="34"/>
  <c r="M25" i="34" s="1"/>
  <c r="A25" i="34" s="1"/>
  <c r="B25" i="34"/>
  <c r="M24" i="34"/>
  <c r="J24" i="34"/>
  <c r="K24" i="34" s="1"/>
  <c r="I24" i="34"/>
  <c r="B24" i="34"/>
  <c r="A24" i="34"/>
  <c r="M23" i="34"/>
  <c r="A23" i="34" s="1"/>
  <c r="J23" i="34"/>
  <c r="K23" i="34" s="1"/>
  <c r="I23" i="34"/>
  <c r="B23" i="34"/>
  <c r="J22" i="34"/>
  <c r="K22" i="34" s="1"/>
  <c r="I22" i="34"/>
  <c r="M22" i="34" s="1"/>
  <c r="A22" i="34" s="1"/>
  <c r="B22" i="34"/>
  <c r="J21" i="34"/>
  <c r="K21" i="34" s="1"/>
  <c r="I21" i="34"/>
  <c r="M21" i="34" s="1"/>
  <c r="A21" i="34" s="1"/>
  <c r="B21" i="34"/>
  <c r="J20" i="34"/>
  <c r="K20" i="34" s="1"/>
  <c r="I20" i="34"/>
  <c r="M20" i="34" s="1"/>
  <c r="A20" i="34" s="1"/>
  <c r="B20" i="34"/>
  <c r="M19" i="34"/>
  <c r="A19" i="34" s="1"/>
  <c r="J19" i="34"/>
  <c r="K19" i="34" s="1"/>
  <c r="I19" i="34"/>
  <c r="J18" i="34"/>
  <c r="K18" i="34" s="1"/>
  <c r="I18" i="34"/>
  <c r="M18" i="34" s="1"/>
  <c r="A18" i="34" s="1"/>
  <c r="J17" i="34"/>
  <c r="K17" i="34" s="1"/>
  <c r="I17" i="34"/>
  <c r="M17" i="34" s="1"/>
  <c r="A17" i="34" s="1"/>
  <c r="K16" i="34"/>
  <c r="J16" i="34"/>
  <c r="I16" i="34"/>
  <c r="J15" i="34"/>
  <c r="K15" i="34" s="1"/>
  <c r="I15" i="34"/>
  <c r="AI14" i="34"/>
  <c r="M14" i="34"/>
  <c r="A14" i="34" s="1"/>
  <c r="J14" i="34"/>
  <c r="K14" i="34" s="1"/>
  <c r="I14" i="34"/>
  <c r="AI13" i="34"/>
  <c r="AI16" i="34" s="1"/>
  <c r="J13" i="34"/>
  <c r="K13" i="34" s="1"/>
  <c r="I13" i="34"/>
  <c r="M13" i="34" s="1"/>
  <c r="A13" i="34" s="1"/>
  <c r="AI12" i="34"/>
  <c r="M12" i="34"/>
  <c r="A12" i="34" s="1"/>
  <c r="K12" i="34"/>
  <c r="J12" i="34"/>
  <c r="I12" i="34"/>
  <c r="J11" i="34"/>
  <c r="K11" i="34" s="1"/>
  <c r="I11" i="34"/>
  <c r="M11" i="34" s="1"/>
  <c r="A11" i="34" s="1"/>
  <c r="J10" i="34"/>
  <c r="K10" i="34" s="1"/>
  <c r="I10" i="34"/>
  <c r="M10" i="34" s="1"/>
  <c r="A10" i="34" s="1"/>
  <c r="J9" i="34"/>
  <c r="K9" i="34" s="1"/>
  <c r="I9" i="34"/>
  <c r="J8" i="34"/>
  <c r="K8" i="34" s="1"/>
  <c r="I8" i="34"/>
  <c r="M8" i="34" s="1"/>
  <c r="A8" i="34" s="1"/>
  <c r="J7" i="34"/>
  <c r="K7" i="34" s="1"/>
  <c r="I7" i="34"/>
  <c r="K6" i="34"/>
  <c r="J6" i="34"/>
  <c r="I6" i="34"/>
  <c r="K2" i="34"/>
  <c r="L8" i="34" s="1"/>
  <c r="J374" i="33"/>
  <c r="J373" i="33"/>
  <c r="J372" i="33"/>
  <c r="J371" i="33"/>
  <c r="J370" i="33"/>
  <c r="J369" i="33"/>
  <c r="J368" i="33"/>
  <c r="J367" i="33"/>
  <c r="J366" i="33"/>
  <c r="J365" i="33"/>
  <c r="J364" i="33"/>
  <c r="J363" i="33"/>
  <c r="J362" i="33"/>
  <c r="J361" i="33"/>
  <c r="J360" i="33"/>
  <c r="J359" i="33"/>
  <c r="J358" i="33"/>
  <c r="J357" i="33"/>
  <c r="J356" i="33"/>
  <c r="J355" i="33"/>
  <c r="J354" i="33"/>
  <c r="J353" i="33"/>
  <c r="J352" i="33"/>
  <c r="J351" i="33"/>
  <c r="J350" i="33"/>
  <c r="J349" i="33"/>
  <c r="J348" i="33"/>
  <c r="J347" i="33"/>
  <c r="J346" i="33"/>
  <c r="J345" i="33"/>
  <c r="J344" i="33"/>
  <c r="J343" i="33"/>
  <c r="J342" i="33"/>
  <c r="J341" i="33"/>
  <c r="J340" i="33"/>
  <c r="J339" i="33"/>
  <c r="J338" i="33"/>
  <c r="J337" i="33"/>
  <c r="J336" i="33"/>
  <c r="J335" i="33"/>
  <c r="J334" i="33"/>
  <c r="J333" i="33"/>
  <c r="J332" i="33"/>
  <c r="J331" i="33"/>
  <c r="J330" i="33"/>
  <c r="J329" i="33"/>
  <c r="J328" i="33"/>
  <c r="J327" i="33"/>
  <c r="J326" i="33"/>
  <c r="J325" i="33"/>
  <c r="J324" i="33"/>
  <c r="J323" i="33"/>
  <c r="J322" i="33"/>
  <c r="J321" i="33"/>
  <c r="J320" i="33"/>
  <c r="J319" i="33"/>
  <c r="J318" i="33"/>
  <c r="J317" i="33"/>
  <c r="J316" i="33"/>
  <c r="J315" i="33"/>
  <c r="J314" i="33"/>
  <c r="J313" i="33"/>
  <c r="J312" i="33"/>
  <c r="J311" i="33"/>
  <c r="J310" i="33"/>
  <c r="J309" i="33"/>
  <c r="J308" i="33"/>
  <c r="J307" i="33"/>
  <c r="J306" i="33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J302" i="33"/>
  <c r="K302" i="33" s="1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J292" i="33"/>
  <c r="K292" i="33" s="1"/>
  <c r="I292" i="33"/>
  <c r="M292" i="33" s="1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J286" i="33"/>
  <c r="K286" i="33" s="1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J276" i="33"/>
  <c r="K276" i="33" s="1"/>
  <c r="I276" i="33"/>
  <c r="M276" i="33" s="1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J270" i="33"/>
  <c r="K270" i="33" s="1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J254" i="33"/>
  <c r="K254" i="33" s="1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J238" i="33"/>
  <c r="K238" i="33" s="1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J222" i="33"/>
  <c r="K222" i="33" s="1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J206" i="33"/>
  <c r="K206" i="33" s="1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J194" i="33"/>
  <c r="K194" i="33" s="1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J190" i="33"/>
  <c r="K190" i="33" s="1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K185" i="33"/>
  <c r="J185" i="33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J174" i="33"/>
  <c r="K174" i="33" s="1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J162" i="33"/>
  <c r="K162" i="33" s="1"/>
  <c r="I162" i="33"/>
  <c r="M162" i="33" s="1"/>
  <c r="K161" i="33"/>
  <c r="J161" i="33"/>
  <c r="I161" i="33"/>
  <c r="M161" i="33" s="1"/>
  <c r="J160" i="33"/>
  <c r="K160" i="33" s="1"/>
  <c r="I160" i="33"/>
  <c r="M160" i="33" s="1"/>
  <c r="J159" i="33"/>
  <c r="K159" i="33" s="1"/>
  <c r="I159" i="33"/>
  <c r="M159" i="33" s="1"/>
  <c r="J158" i="33"/>
  <c r="K158" i="33" s="1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K153" i="33"/>
  <c r="J153" i="33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J142" i="33"/>
  <c r="K142" i="33" s="1"/>
  <c r="I142" i="33"/>
  <c r="M142" i="33" s="1"/>
  <c r="J141" i="33"/>
  <c r="K141" i="33" s="1"/>
  <c r="I141" i="33"/>
  <c r="M141" i="33" s="1"/>
  <c r="J140" i="33"/>
  <c r="K140" i="33" s="1"/>
  <c r="I140" i="33"/>
  <c r="M140" i="33" s="1"/>
  <c r="J139" i="33"/>
  <c r="K139" i="33" s="1"/>
  <c r="I139" i="33"/>
  <c r="M139" i="33" s="1"/>
  <c r="J138" i="33"/>
  <c r="K138" i="33" s="1"/>
  <c r="I138" i="33"/>
  <c r="M138" i="33" s="1"/>
  <c r="J137" i="33"/>
  <c r="K137" i="33" s="1"/>
  <c r="I137" i="33"/>
  <c r="M137" i="33" s="1"/>
  <c r="J136" i="33"/>
  <c r="K136" i="33" s="1"/>
  <c r="I136" i="33"/>
  <c r="M136" i="33" s="1"/>
  <c r="J135" i="33"/>
  <c r="K135" i="33" s="1"/>
  <c r="I135" i="33"/>
  <c r="M135" i="33" s="1"/>
  <c r="J134" i="33"/>
  <c r="K134" i="33" s="1"/>
  <c r="I134" i="33"/>
  <c r="M134" i="33" s="1"/>
  <c r="J133" i="33"/>
  <c r="K133" i="33" s="1"/>
  <c r="I133" i="33"/>
  <c r="M133" i="33" s="1"/>
  <c r="J132" i="33"/>
  <c r="K132" i="33" s="1"/>
  <c r="I132" i="33"/>
  <c r="M132" i="33" s="1"/>
  <c r="K131" i="33"/>
  <c r="J131" i="33"/>
  <c r="I131" i="33"/>
  <c r="M131" i="33" s="1"/>
  <c r="J130" i="33"/>
  <c r="K130" i="33" s="1"/>
  <c r="I130" i="33"/>
  <c r="M130" i="33" s="1"/>
  <c r="J129" i="33"/>
  <c r="K129" i="33" s="1"/>
  <c r="I129" i="33"/>
  <c r="M129" i="33" s="1"/>
  <c r="J128" i="33"/>
  <c r="K128" i="33" s="1"/>
  <c r="I128" i="33"/>
  <c r="M128" i="33" s="1"/>
  <c r="K127" i="33"/>
  <c r="J127" i="33"/>
  <c r="I127" i="33"/>
  <c r="M127" i="33" s="1"/>
  <c r="J126" i="33"/>
  <c r="K126" i="33" s="1"/>
  <c r="I126" i="33"/>
  <c r="M126" i="33" s="1"/>
  <c r="J125" i="33"/>
  <c r="K125" i="33" s="1"/>
  <c r="I125" i="33"/>
  <c r="M125" i="33" s="1"/>
  <c r="J124" i="33"/>
  <c r="K124" i="33" s="1"/>
  <c r="I124" i="33"/>
  <c r="M124" i="33" s="1"/>
  <c r="J123" i="33"/>
  <c r="K123" i="33" s="1"/>
  <c r="I123" i="33"/>
  <c r="M123" i="33" s="1"/>
  <c r="J122" i="33"/>
  <c r="K122" i="33" s="1"/>
  <c r="I122" i="33"/>
  <c r="M122" i="33" s="1"/>
  <c r="J121" i="33"/>
  <c r="K121" i="33" s="1"/>
  <c r="I121" i="33"/>
  <c r="M121" i="33" s="1"/>
  <c r="J120" i="33"/>
  <c r="K120" i="33" s="1"/>
  <c r="I120" i="33"/>
  <c r="M120" i="33" s="1"/>
  <c r="K119" i="33"/>
  <c r="J119" i="33"/>
  <c r="I119" i="33"/>
  <c r="M119" i="33" s="1"/>
  <c r="J118" i="33"/>
  <c r="K118" i="33" s="1"/>
  <c r="I118" i="33"/>
  <c r="M118" i="33" s="1"/>
  <c r="J117" i="33"/>
  <c r="K117" i="33" s="1"/>
  <c r="I117" i="33"/>
  <c r="M117" i="33" s="1"/>
  <c r="J116" i="33"/>
  <c r="K116" i="33" s="1"/>
  <c r="I116" i="33"/>
  <c r="M116" i="33" s="1"/>
  <c r="J115" i="33"/>
  <c r="K115" i="33" s="1"/>
  <c r="I115" i="33"/>
  <c r="M115" i="33" s="1"/>
  <c r="J114" i="33"/>
  <c r="K114" i="33" s="1"/>
  <c r="I114" i="33"/>
  <c r="M114" i="33" s="1"/>
  <c r="J113" i="33"/>
  <c r="K113" i="33" s="1"/>
  <c r="I113" i="33"/>
  <c r="M113" i="33" s="1"/>
  <c r="J112" i="33"/>
  <c r="K112" i="33" s="1"/>
  <c r="I112" i="33"/>
  <c r="M112" i="33" s="1"/>
  <c r="J111" i="33"/>
  <c r="K111" i="33" s="1"/>
  <c r="I111" i="33"/>
  <c r="M111" i="33" s="1"/>
  <c r="J110" i="33"/>
  <c r="K110" i="33" s="1"/>
  <c r="I110" i="33"/>
  <c r="M110" i="33" s="1"/>
  <c r="J109" i="33"/>
  <c r="K109" i="33" s="1"/>
  <c r="I109" i="33"/>
  <c r="M109" i="33" s="1"/>
  <c r="J108" i="33"/>
  <c r="K108" i="33" s="1"/>
  <c r="I108" i="33"/>
  <c r="M108" i="33" s="1"/>
  <c r="K107" i="33"/>
  <c r="J107" i="33"/>
  <c r="I107" i="33"/>
  <c r="M107" i="33" s="1"/>
  <c r="J106" i="33"/>
  <c r="K106" i="33" s="1"/>
  <c r="I106" i="33"/>
  <c r="M106" i="33" s="1"/>
  <c r="J105" i="33"/>
  <c r="K105" i="33" s="1"/>
  <c r="I105" i="33"/>
  <c r="M105" i="33" s="1"/>
  <c r="J104" i="33"/>
  <c r="K104" i="33" s="1"/>
  <c r="I104" i="33"/>
  <c r="M104" i="33" s="1"/>
  <c r="J103" i="33"/>
  <c r="K103" i="33" s="1"/>
  <c r="I103" i="33"/>
  <c r="M103" i="33" s="1"/>
  <c r="J102" i="33"/>
  <c r="K102" i="33" s="1"/>
  <c r="I102" i="33"/>
  <c r="M102" i="33" s="1"/>
  <c r="J101" i="33"/>
  <c r="K101" i="33" s="1"/>
  <c r="I101" i="33"/>
  <c r="M101" i="33" s="1"/>
  <c r="J100" i="33"/>
  <c r="K100" i="33" s="1"/>
  <c r="I100" i="33"/>
  <c r="M100" i="33" s="1"/>
  <c r="K99" i="33"/>
  <c r="J99" i="33"/>
  <c r="I99" i="33"/>
  <c r="M99" i="33" s="1"/>
  <c r="J98" i="33"/>
  <c r="K98" i="33" s="1"/>
  <c r="I98" i="33"/>
  <c r="M98" i="33" s="1"/>
  <c r="J97" i="33"/>
  <c r="K97" i="33" s="1"/>
  <c r="I97" i="33"/>
  <c r="M97" i="33" s="1"/>
  <c r="J96" i="33"/>
  <c r="K96" i="33" s="1"/>
  <c r="I96" i="33"/>
  <c r="M96" i="33" s="1"/>
  <c r="K95" i="33"/>
  <c r="J95" i="33"/>
  <c r="I95" i="33"/>
  <c r="M95" i="33" s="1"/>
  <c r="J94" i="33"/>
  <c r="K94" i="33" s="1"/>
  <c r="I94" i="33"/>
  <c r="M94" i="33" s="1"/>
  <c r="J93" i="33"/>
  <c r="K93" i="33" s="1"/>
  <c r="I93" i="33"/>
  <c r="M93" i="33" s="1"/>
  <c r="J92" i="33"/>
  <c r="K92" i="33" s="1"/>
  <c r="I92" i="33"/>
  <c r="M92" i="33" s="1"/>
  <c r="J91" i="33"/>
  <c r="K91" i="33" s="1"/>
  <c r="I91" i="33"/>
  <c r="M91" i="33" s="1"/>
  <c r="J90" i="33"/>
  <c r="K90" i="33" s="1"/>
  <c r="I90" i="33"/>
  <c r="M90" i="33" s="1"/>
  <c r="J89" i="33"/>
  <c r="K89" i="33" s="1"/>
  <c r="I89" i="33"/>
  <c r="M89" i="33" s="1"/>
  <c r="J88" i="33"/>
  <c r="K88" i="33" s="1"/>
  <c r="I88" i="33"/>
  <c r="M88" i="33" s="1"/>
  <c r="K87" i="33"/>
  <c r="J87" i="33"/>
  <c r="I87" i="33"/>
  <c r="M87" i="33" s="1"/>
  <c r="J86" i="33"/>
  <c r="K86" i="33" s="1"/>
  <c r="I86" i="33"/>
  <c r="M86" i="33" s="1"/>
  <c r="J85" i="33"/>
  <c r="K85" i="33" s="1"/>
  <c r="I85" i="33"/>
  <c r="M85" i="33" s="1"/>
  <c r="J84" i="33"/>
  <c r="K84" i="33" s="1"/>
  <c r="I84" i="33"/>
  <c r="M84" i="33" s="1"/>
  <c r="J83" i="33"/>
  <c r="K83" i="33" s="1"/>
  <c r="I83" i="33"/>
  <c r="M83" i="33" s="1"/>
  <c r="J82" i="33"/>
  <c r="K82" i="33" s="1"/>
  <c r="I82" i="33"/>
  <c r="M82" i="33" s="1"/>
  <c r="J81" i="33"/>
  <c r="K81" i="33" s="1"/>
  <c r="I81" i="33"/>
  <c r="M81" i="33" s="1"/>
  <c r="J80" i="33"/>
  <c r="K80" i="33" s="1"/>
  <c r="I80" i="33"/>
  <c r="M80" i="33" s="1"/>
  <c r="J79" i="33"/>
  <c r="K79" i="33" s="1"/>
  <c r="I79" i="33"/>
  <c r="M79" i="33" s="1"/>
  <c r="J78" i="33"/>
  <c r="K78" i="33" s="1"/>
  <c r="I78" i="33"/>
  <c r="M78" i="33" s="1"/>
  <c r="J77" i="33"/>
  <c r="K77" i="33" s="1"/>
  <c r="I77" i="33"/>
  <c r="M77" i="33" s="1"/>
  <c r="J76" i="33"/>
  <c r="K76" i="33" s="1"/>
  <c r="I76" i="33"/>
  <c r="M76" i="33" s="1"/>
  <c r="J75" i="33"/>
  <c r="K75" i="33" s="1"/>
  <c r="I75" i="33"/>
  <c r="M75" i="33" s="1"/>
  <c r="J74" i="33"/>
  <c r="K74" i="33" s="1"/>
  <c r="I74" i="33"/>
  <c r="M74" i="33" s="1"/>
  <c r="J73" i="33"/>
  <c r="K73" i="33" s="1"/>
  <c r="I73" i="33"/>
  <c r="M73" i="33" s="1"/>
  <c r="J72" i="33"/>
  <c r="K72" i="33" s="1"/>
  <c r="I72" i="33"/>
  <c r="M72" i="33" s="1"/>
  <c r="J71" i="33"/>
  <c r="K71" i="33" s="1"/>
  <c r="I71" i="33"/>
  <c r="M71" i="33" s="1"/>
  <c r="J70" i="33"/>
  <c r="K70" i="33" s="1"/>
  <c r="I70" i="33"/>
  <c r="M70" i="33" s="1"/>
  <c r="J69" i="33"/>
  <c r="K69" i="33" s="1"/>
  <c r="I69" i="33"/>
  <c r="M69" i="33" s="1"/>
  <c r="J68" i="33"/>
  <c r="K68" i="33" s="1"/>
  <c r="I68" i="33"/>
  <c r="M68" i="33" s="1"/>
  <c r="J67" i="33"/>
  <c r="K67" i="33" s="1"/>
  <c r="I67" i="33"/>
  <c r="M67" i="33" s="1"/>
  <c r="J66" i="33"/>
  <c r="K66" i="33" s="1"/>
  <c r="I66" i="33"/>
  <c r="M66" i="33" s="1"/>
  <c r="J65" i="33"/>
  <c r="K65" i="33" s="1"/>
  <c r="I65" i="33"/>
  <c r="M65" i="33" s="1"/>
  <c r="B65" i="33"/>
  <c r="J64" i="33"/>
  <c r="K64" i="33" s="1"/>
  <c r="I64" i="33"/>
  <c r="M64" i="33" s="1"/>
  <c r="B64" i="33"/>
  <c r="M63" i="33"/>
  <c r="J63" i="33"/>
  <c r="K63" i="33" s="1"/>
  <c r="I63" i="33"/>
  <c r="B63" i="33"/>
  <c r="M62" i="33"/>
  <c r="J62" i="33"/>
  <c r="K62" i="33" s="1"/>
  <c r="I62" i="33"/>
  <c r="B62" i="33"/>
  <c r="J61" i="33"/>
  <c r="K61" i="33" s="1"/>
  <c r="I61" i="33"/>
  <c r="M61" i="33" s="1"/>
  <c r="B61" i="33"/>
  <c r="J60" i="33"/>
  <c r="K60" i="33" s="1"/>
  <c r="I60" i="33"/>
  <c r="M60" i="33" s="1"/>
  <c r="B60" i="33"/>
  <c r="J59" i="33"/>
  <c r="K59" i="33" s="1"/>
  <c r="I59" i="33"/>
  <c r="M59" i="33" s="1"/>
  <c r="B59" i="33"/>
  <c r="J58" i="33"/>
  <c r="K58" i="33" s="1"/>
  <c r="I58" i="33"/>
  <c r="M58" i="33" s="1"/>
  <c r="B58" i="33"/>
  <c r="J57" i="33"/>
  <c r="K57" i="33" s="1"/>
  <c r="I57" i="33"/>
  <c r="M57" i="33" s="1"/>
  <c r="B57" i="33"/>
  <c r="J56" i="33"/>
  <c r="K56" i="33" s="1"/>
  <c r="I56" i="33"/>
  <c r="M56" i="33" s="1"/>
  <c r="B56" i="33"/>
  <c r="J55" i="33"/>
  <c r="K55" i="33" s="1"/>
  <c r="I55" i="33"/>
  <c r="M55" i="33" s="1"/>
  <c r="B55" i="33"/>
  <c r="J54" i="33"/>
  <c r="K54" i="33" s="1"/>
  <c r="I54" i="33"/>
  <c r="M54" i="33" s="1"/>
  <c r="B54" i="33"/>
  <c r="J53" i="33"/>
  <c r="K53" i="33" s="1"/>
  <c r="I53" i="33"/>
  <c r="M53" i="33" s="1"/>
  <c r="B53" i="33"/>
  <c r="J52" i="33"/>
  <c r="K52" i="33" s="1"/>
  <c r="I52" i="33"/>
  <c r="M52" i="33" s="1"/>
  <c r="B52" i="33"/>
  <c r="J51" i="33"/>
  <c r="K51" i="33" s="1"/>
  <c r="I51" i="33"/>
  <c r="M51" i="33" s="1"/>
  <c r="B51" i="33"/>
  <c r="J50" i="33"/>
  <c r="K50" i="33" s="1"/>
  <c r="I50" i="33"/>
  <c r="M50" i="33" s="1"/>
  <c r="B50" i="33"/>
  <c r="J49" i="33"/>
  <c r="K49" i="33" s="1"/>
  <c r="I49" i="33"/>
  <c r="M49" i="33" s="1"/>
  <c r="B49" i="33"/>
  <c r="J48" i="33"/>
  <c r="K48" i="33" s="1"/>
  <c r="I48" i="33"/>
  <c r="M48" i="33" s="1"/>
  <c r="B48" i="33"/>
  <c r="J47" i="33"/>
  <c r="K47" i="33" s="1"/>
  <c r="I47" i="33"/>
  <c r="M47" i="33" s="1"/>
  <c r="B47" i="33"/>
  <c r="T46" i="33"/>
  <c r="R46" i="33"/>
  <c r="U46" i="33" s="1"/>
  <c r="M46" i="33"/>
  <c r="J46" i="33"/>
  <c r="K46" i="33" s="1"/>
  <c r="I46" i="33"/>
  <c r="B46" i="33"/>
  <c r="J45" i="33"/>
  <c r="K45" i="33" s="1"/>
  <c r="I45" i="33"/>
  <c r="M45" i="33" s="1"/>
  <c r="B45" i="33"/>
  <c r="J44" i="33"/>
  <c r="K44" i="33" s="1"/>
  <c r="I44" i="33"/>
  <c r="M44" i="33" s="1"/>
  <c r="B44" i="33"/>
  <c r="J43" i="33"/>
  <c r="K43" i="33" s="1"/>
  <c r="I43" i="33"/>
  <c r="M43" i="33" s="1"/>
  <c r="B43" i="33"/>
  <c r="J42" i="33"/>
  <c r="K42" i="33" s="1"/>
  <c r="I42" i="33"/>
  <c r="M42" i="33" s="1"/>
  <c r="B42" i="33"/>
  <c r="J41" i="33"/>
  <c r="K41" i="33" s="1"/>
  <c r="I41" i="33"/>
  <c r="M41" i="33" s="1"/>
  <c r="B41" i="33"/>
  <c r="J40" i="33"/>
  <c r="K40" i="33" s="1"/>
  <c r="I40" i="33"/>
  <c r="M40" i="33" s="1"/>
  <c r="B40" i="33"/>
  <c r="J39" i="33"/>
  <c r="K39" i="33" s="1"/>
  <c r="I39" i="33"/>
  <c r="M39" i="33" s="1"/>
  <c r="B39" i="33"/>
  <c r="K38" i="33"/>
  <c r="J38" i="33"/>
  <c r="I38" i="33"/>
  <c r="M38" i="33" s="1"/>
  <c r="B38" i="33"/>
  <c r="J37" i="33"/>
  <c r="K37" i="33" s="1"/>
  <c r="I37" i="33"/>
  <c r="M37" i="33" s="1"/>
  <c r="A37" i="33" s="1"/>
  <c r="B37" i="33"/>
  <c r="M36" i="33"/>
  <c r="A36" i="33" s="1"/>
  <c r="J36" i="33"/>
  <c r="K36" i="33" s="1"/>
  <c r="I36" i="33"/>
  <c r="B36" i="33"/>
  <c r="J35" i="33"/>
  <c r="K35" i="33" s="1"/>
  <c r="I35" i="33"/>
  <c r="M35" i="33" s="1"/>
  <c r="A35" i="33" s="1"/>
  <c r="B35" i="33"/>
  <c r="J34" i="33"/>
  <c r="K34" i="33" s="1"/>
  <c r="I34" i="33"/>
  <c r="M34" i="33" s="1"/>
  <c r="A34" i="33" s="1"/>
  <c r="B34" i="33"/>
  <c r="J33" i="33"/>
  <c r="K33" i="33" s="1"/>
  <c r="I33" i="33"/>
  <c r="M33" i="33" s="1"/>
  <c r="A33" i="33" s="1"/>
  <c r="B33" i="33"/>
  <c r="J32" i="33"/>
  <c r="K32" i="33" s="1"/>
  <c r="I32" i="33"/>
  <c r="M32" i="33" s="1"/>
  <c r="A32" i="33" s="1"/>
  <c r="B32" i="33"/>
  <c r="J31" i="33"/>
  <c r="K31" i="33" s="1"/>
  <c r="I31" i="33"/>
  <c r="M31" i="33" s="1"/>
  <c r="A31" i="33" s="1"/>
  <c r="B31" i="33"/>
  <c r="J30" i="33"/>
  <c r="K30" i="33" s="1"/>
  <c r="I30" i="33"/>
  <c r="M30" i="33" s="1"/>
  <c r="A30" i="33" s="1"/>
  <c r="B30" i="33"/>
  <c r="J29" i="33"/>
  <c r="K29" i="33" s="1"/>
  <c r="I29" i="33"/>
  <c r="M29" i="33" s="1"/>
  <c r="A29" i="33" s="1"/>
  <c r="B29" i="33"/>
  <c r="J28" i="33"/>
  <c r="K28" i="33" s="1"/>
  <c r="I28" i="33"/>
  <c r="M28" i="33" s="1"/>
  <c r="A28" i="33" s="1"/>
  <c r="B28" i="33"/>
  <c r="J27" i="33"/>
  <c r="K27" i="33" s="1"/>
  <c r="I27" i="33"/>
  <c r="M27" i="33" s="1"/>
  <c r="A27" i="33" s="1"/>
  <c r="B27" i="33"/>
  <c r="M26" i="33"/>
  <c r="A26" i="33" s="1"/>
  <c r="J26" i="33"/>
  <c r="K26" i="33" s="1"/>
  <c r="I26" i="33"/>
  <c r="B26" i="33"/>
  <c r="J25" i="33"/>
  <c r="K25" i="33" s="1"/>
  <c r="I25" i="33"/>
  <c r="M25" i="33" s="1"/>
  <c r="A25" i="33" s="1"/>
  <c r="B25" i="33"/>
  <c r="J24" i="33"/>
  <c r="K24" i="33" s="1"/>
  <c r="I24" i="33"/>
  <c r="M24" i="33" s="1"/>
  <c r="A24" i="33" s="1"/>
  <c r="B24" i="33"/>
  <c r="J23" i="33"/>
  <c r="K23" i="33" s="1"/>
  <c r="I23" i="33"/>
  <c r="M23" i="33" s="1"/>
  <c r="A23" i="33" s="1"/>
  <c r="B23" i="33"/>
  <c r="J22" i="33"/>
  <c r="K22" i="33" s="1"/>
  <c r="I22" i="33"/>
  <c r="M22" i="33" s="1"/>
  <c r="A22" i="33" s="1"/>
  <c r="B22" i="33"/>
  <c r="J21" i="33"/>
  <c r="K21" i="33" s="1"/>
  <c r="I21" i="33"/>
  <c r="M21" i="33" s="1"/>
  <c r="A21" i="33" s="1"/>
  <c r="B21" i="33"/>
  <c r="J20" i="33"/>
  <c r="K20" i="33" s="1"/>
  <c r="I20" i="33"/>
  <c r="M20" i="33" s="1"/>
  <c r="A20" i="33" s="1"/>
  <c r="B20" i="33"/>
  <c r="J19" i="33"/>
  <c r="K19" i="33" s="1"/>
  <c r="I19" i="33"/>
  <c r="M19" i="33" s="1"/>
  <c r="A19" i="33" s="1"/>
  <c r="B19" i="33"/>
  <c r="J18" i="33"/>
  <c r="K18" i="33" s="1"/>
  <c r="I18" i="33"/>
  <c r="M18" i="33" s="1"/>
  <c r="A18" i="33" s="1"/>
  <c r="B18" i="33"/>
  <c r="J17" i="33"/>
  <c r="K17" i="33" s="1"/>
  <c r="I17" i="33"/>
  <c r="M17" i="33" s="1"/>
  <c r="A17" i="33" s="1"/>
  <c r="B17" i="33"/>
  <c r="AI16" i="33"/>
  <c r="M16" i="33"/>
  <c r="A16" i="33" s="1"/>
  <c r="J16" i="33"/>
  <c r="K16" i="33" s="1"/>
  <c r="I16" i="33"/>
  <c r="B16" i="33"/>
  <c r="Z13" i="20" s="1"/>
  <c r="J15" i="33"/>
  <c r="K15" i="33" s="1"/>
  <c r="I15" i="33"/>
  <c r="M15" i="33" s="1"/>
  <c r="A15" i="33" s="1"/>
  <c r="B15" i="33"/>
  <c r="AI14" i="33"/>
  <c r="J14" i="33"/>
  <c r="K14" i="33" s="1"/>
  <c r="I14" i="33"/>
  <c r="M14" i="33" s="1"/>
  <c r="A14" i="33" s="1"/>
  <c r="B14" i="33"/>
  <c r="AI13" i="33"/>
  <c r="J13" i="33"/>
  <c r="K13" i="33" s="1"/>
  <c r="I13" i="33"/>
  <c r="B13" i="33"/>
  <c r="AI12" i="33"/>
  <c r="J12" i="33"/>
  <c r="K12" i="33" s="1"/>
  <c r="I12" i="33"/>
  <c r="M12" i="33" s="1"/>
  <c r="A12" i="33" s="1"/>
  <c r="B12" i="33"/>
  <c r="J11" i="33"/>
  <c r="K11" i="33" s="1"/>
  <c r="I11" i="33"/>
  <c r="M11" i="33" s="1"/>
  <c r="A11" i="33" s="1"/>
  <c r="B11" i="33"/>
  <c r="J10" i="33"/>
  <c r="K10" i="33" s="1"/>
  <c r="I10" i="33"/>
  <c r="B10" i="33"/>
  <c r="Z6" i="20" s="1"/>
  <c r="J9" i="33"/>
  <c r="K9" i="33" s="1"/>
  <c r="I9" i="33"/>
  <c r="B9" i="33"/>
  <c r="J8" i="33"/>
  <c r="K8" i="33" s="1"/>
  <c r="I8" i="33"/>
  <c r="B8" i="33"/>
  <c r="J7" i="33"/>
  <c r="K7" i="33" s="1"/>
  <c r="I7" i="33"/>
  <c r="B7" i="33"/>
  <c r="J6" i="33"/>
  <c r="K6" i="33" s="1"/>
  <c r="I6" i="33"/>
  <c r="B6" i="33"/>
  <c r="Z16" i="20" s="1"/>
  <c r="K2" i="33"/>
  <c r="L6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J292" i="32"/>
  <c r="K292" i="32" s="1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M281" i="32"/>
  <c r="J281" i="32"/>
  <c r="K281" i="32" s="1"/>
  <c r="I281" i="32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J276" i="32"/>
  <c r="K276" i="32" s="1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J260" i="32"/>
  <c r="K260" i="32" s="1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J244" i="32"/>
  <c r="K244" i="32" s="1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J228" i="32"/>
  <c r="K228" i="32" s="1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J222" i="32"/>
  <c r="K222" i="32" s="1"/>
  <c r="I222" i="32"/>
  <c r="M222" i="32" s="1"/>
  <c r="M221" i="32"/>
  <c r="J221" i="32"/>
  <c r="K221" i="32" s="1"/>
  <c r="I221" i="32"/>
  <c r="J220" i="32"/>
  <c r="K220" i="32" s="1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J212" i="32"/>
  <c r="K212" i="32" s="1"/>
  <c r="I212" i="32"/>
  <c r="M212" i="32" s="1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J180" i="32"/>
  <c r="K180" i="32" s="1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J160" i="32"/>
  <c r="K160" i="32" s="1"/>
  <c r="I160" i="32"/>
  <c r="M160" i="32" s="1"/>
  <c r="J159" i="32"/>
  <c r="K159" i="32" s="1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J138" i="32"/>
  <c r="K138" i="32" s="1"/>
  <c r="I138" i="32"/>
  <c r="M138" i="32" s="1"/>
  <c r="J137" i="32"/>
  <c r="K137" i="32" s="1"/>
  <c r="I137" i="32"/>
  <c r="M137" i="32" s="1"/>
  <c r="J136" i="32"/>
  <c r="K136" i="32" s="1"/>
  <c r="I136" i="32"/>
  <c r="M136" i="32" s="1"/>
  <c r="J135" i="32"/>
  <c r="K135" i="32" s="1"/>
  <c r="I135" i="32"/>
  <c r="M135" i="32" s="1"/>
  <c r="J134" i="32"/>
  <c r="K134" i="32" s="1"/>
  <c r="I134" i="32"/>
  <c r="M134" i="32" s="1"/>
  <c r="J133" i="32"/>
  <c r="K133" i="32" s="1"/>
  <c r="I133" i="32"/>
  <c r="M133" i="32" s="1"/>
  <c r="J132" i="32"/>
  <c r="K132" i="32" s="1"/>
  <c r="I132" i="32"/>
  <c r="M132" i="32" s="1"/>
  <c r="J131" i="32"/>
  <c r="K131" i="32" s="1"/>
  <c r="I131" i="32"/>
  <c r="M131" i="32" s="1"/>
  <c r="J130" i="32"/>
  <c r="K130" i="32" s="1"/>
  <c r="I130" i="32"/>
  <c r="M130" i="32" s="1"/>
  <c r="J129" i="32"/>
  <c r="K129" i="32" s="1"/>
  <c r="I129" i="32"/>
  <c r="M129" i="32" s="1"/>
  <c r="J128" i="32"/>
  <c r="K128" i="32" s="1"/>
  <c r="I128" i="32"/>
  <c r="M128" i="32" s="1"/>
  <c r="J127" i="32"/>
  <c r="K127" i="32" s="1"/>
  <c r="I127" i="32"/>
  <c r="M127" i="32" s="1"/>
  <c r="J126" i="32"/>
  <c r="K126" i="32" s="1"/>
  <c r="I126" i="32"/>
  <c r="M126" i="32" s="1"/>
  <c r="J125" i="32"/>
  <c r="K125" i="32" s="1"/>
  <c r="I125" i="32"/>
  <c r="M125" i="32" s="1"/>
  <c r="K124" i="32"/>
  <c r="J124" i="32"/>
  <c r="I124" i="32"/>
  <c r="M124" i="32" s="1"/>
  <c r="J123" i="32"/>
  <c r="K123" i="32" s="1"/>
  <c r="I123" i="32"/>
  <c r="M123" i="32" s="1"/>
  <c r="J122" i="32"/>
  <c r="K122" i="32" s="1"/>
  <c r="I122" i="32"/>
  <c r="M122" i="32" s="1"/>
  <c r="J121" i="32"/>
  <c r="K121" i="32" s="1"/>
  <c r="I121" i="32"/>
  <c r="M121" i="32" s="1"/>
  <c r="J120" i="32"/>
  <c r="K120" i="32" s="1"/>
  <c r="I120" i="32"/>
  <c r="M120" i="32" s="1"/>
  <c r="J119" i="32"/>
  <c r="K119" i="32" s="1"/>
  <c r="I119" i="32"/>
  <c r="M119" i="32" s="1"/>
  <c r="J118" i="32"/>
  <c r="K118" i="32" s="1"/>
  <c r="I118" i="32"/>
  <c r="M118" i="32" s="1"/>
  <c r="J117" i="32"/>
  <c r="K117" i="32" s="1"/>
  <c r="I117" i="32"/>
  <c r="M117" i="32" s="1"/>
  <c r="J116" i="32"/>
  <c r="K116" i="32" s="1"/>
  <c r="I116" i="32"/>
  <c r="M116" i="32" s="1"/>
  <c r="J115" i="32"/>
  <c r="K115" i="32" s="1"/>
  <c r="I115" i="32"/>
  <c r="M115" i="32" s="1"/>
  <c r="J114" i="32"/>
  <c r="K114" i="32" s="1"/>
  <c r="I114" i="32"/>
  <c r="M114" i="32" s="1"/>
  <c r="J113" i="32"/>
  <c r="K113" i="32" s="1"/>
  <c r="I113" i="32"/>
  <c r="M113" i="32" s="1"/>
  <c r="J112" i="32"/>
  <c r="K112" i="32" s="1"/>
  <c r="I112" i="32"/>
  <c r="M112" i="32" s="1"/>
  <c r="J111" i="32"/>
  <c r="K111" i="32" s="1"/>
  <c r="I111" i="32"/>
  <c r="M111" i="32" s="1"/>
  <c r="K110" i="32"/>
  <c r="J110" i="32"/>
  <c r="I110" i="32"/>
  <c r="M110" i="32" s="1"/>
  <c r="J109" i="32"/>
  <c r="K109" i="32" s="1"/>
  <c r="I109" i="32"/>
  <c r="M109" i="32" s="1"/>
  <c r="K108" i="32"/>
  <c r="J108" i="32"/>
  <c r="I108" i="32"/>
  <c r="M108" i="32" s="1"/>
  <c r="J107" i="32"/>
  <c r="K107" i="32" s="1"/>
  <c r="I107" i="32"/>
  <c r="M107" i="32" s="1"/>
  <c r="J106" i="32"/>
  <c r="K106" i="32" s="1"/>
  <c r="I106" i="32"/>
  <c r="M106" i="32" s="1"/>
  <c r="J105" i="32"/>
  <c r="K105" i="32" s="1"/>
  <c r="I105" i="32"/>
  <c r="M105" i="32" s="1"/>
  <c r="J104" i="32"/>
  <c r="K104" i="32" s="1"/>
  <c r="I104" i="32"/>
  <c r="M104" i="32" s="1"/>
  <c r="J103" i="32"/>
  <c r="K103" i="32" s="1"/>
  <c r="I103" i="32"/>
  <c r="M103" i="32" s="1"/>
  <c r="J102" i="32"/>
  <c r="K102" i="32" s="1"/>
  <c r="I102" i="32"/>
  <c r="M102" i="32" s="1"/>
  <c r="J101" i="32"/>
  <c r="K101" i="32" s="1"/>
  <c r="I101" i="32"/>
  <c r="M101" i="32" s="1"/>
  <c r="J100" i="32"/>
  <c r="K100" i="32" s="1"/>
  <c r="I100" i="32"/>
  <c r="M100" i="32" s="1"/>
  <c r="J99" i="32"/>
  <c r="K99" i="32" s="1"/>
  <c r="I99" i="32"/>
  <c r="M99" i="32" s="1"/>
  <c r="J98" i="32"/>
  <c r="K98" i="32" s="1"/>
  <c r="I98" i="32"/>
  <c r="M98" i="32" s="1"/>
  <c r="J97" i="32"/>
  <c r="K97" i="32" s="1"/>
  <c r="I97" i="32"/>
  <c r="M97" i="32" s="1"/>
  <c r="J96" i="32"/>
  <c r="K96" i="32" s="1"/>
  <c r="I96" i="32"/>
  <c r="M96" i="32" s="1"/>
  <c r="J95" i="32"/>
  <c r="K95" i="32" s="1"/>
  <c r="I95" i="32"/>
  <c r="M95" i="32" s="1"/>
  <c r="J94" i="32"/>
  <c r="K94" i="32" s="1"/>
  <c r="I94" i="32"/>
  <c r="M94" i="32" s="1"/>
  <c r="J93" i="32"/>
  <c r="K93" i="32" s="1"/>
  <c r="I93" i="32"/>
  <c r="M93" i="32" s="1"/>
  <c r="K92" i="32"/>
  <c r="J92" i="32"/>
  <c r="I92" i="32"/>
  <c r="M92" i="32" s="1"/>
  <c r="J91" i="32"/>
  <c r="K91" i="32" s="1"/>
  <c r="I91" i="32"/>
  <c r="M91" i="32" s="1"/>
  <c r="J90" i="32"/>
  <c r="K90" i="32" s="1"/>
  <c r="I90" i="32"/>
  <c r="M90" i="32" s="1"/>
  <c r="J89" i="32"/>
  <c r="K89" i="32" s="1"/>
  <c r="I89" i="32"/>
  <c r="M89" i="32" s="1"/>
  <c r="K88" i="32"/>
  <c r="J88" i="32"/>
  <c r="I88" i="32"/>
  <c r="M88" i="32" s="1"/>
  <c r="J87" i="32"/>
  <c r="K87" i="32" s="1"/>
  <c r="I87" i="32"/>
  <c r="M87" i="32" s="1"/>
  <c r="J86" i="32"/>
  <c r="K86" i="32" s="1"/>
  <c r="I86" i="32"/>
  <c r="M86" i="32" s="1"/>
  <c r="K85" i="32"/>
  <c r="J85" i="32"/>
  <c r="I85" i="32"/>
  <c r="M85" i="32" s="1"/>
  <c r="J84" i="32"/>
  <c r="K84" i="32" s="1"/>
  <c r="I84" i="32"/>
  <c r="M84" i="32" s="1"/>
  <c r="J83" i="32"/>
  <c r="K83" i="32" s="1"/>
  <c r="I83" i="32"/>
  <c r="M83" i="32" s="1"/>
  <c r="J82" i="32"/>
  <c r="K82" i="32" s="1"/>
  <c r="I82" i="32"/>
  <c r="M82" i="32" s="1"/>
  <c r="J81" i="32"/>
  <c r="K81" i="32" s="1"/>
  <c r="I81" i="32"/>
  <c r="M81" i="32" s="1"/>
  <c r="J80" i="32"/>
  <c r="K80" i="32" s="1"/>
  <c r="I80" i="32"/>
  <c r="M80" i="32" s="1"/>
  <c r="J79" i="32"/>
  <c r="K79" i="32" s="1"/>
  <c r="I79" i="32"/>
  <c r="M79" i="32" s="1"/>
  <c r="A79" i="32" s="1"/>
  <c r="J78" i="32"/>
  <c r="K78" i="32" s="1"/>
  <c r="I78" i="32"/>
  <c r="M78" i="32" s="1"/>
  <c r="A78" i="32" s="1"/>
  <c r="J77" i="32"/>
  <c r="K77" i="32" s="1"/>
  <c r="I77" i="32"/>
  <c r="M77" i="32" s="1"/>
  <c r="A77" i="32" s="1"/>
  <c r="M76" i="32"/>
  <c r="A76" i="32" s="1"/>
  <c r="J76" i="32"/>
  <c r="K76" i="32" s="1"/>
  <c r="I76" i="32"/>
  <c r="J75" i="32"/>
  <c r="K75" i="32" s="1"/>
  <c r="I75" i="32"/>
  <c r="M75" i="32" s="1"/>
  <c r="A75" i="32" s="1"/>
  <c r="J74" i="32"/>
  <c r="K74" i="32" s="1"/>
  <c r="I74" i="32"/>
  <c r="M74" i="32" s="1"/>
  <c r="A74" i="32" s="1"/>
  <c r="J73" i="32"/>
  <c r="K73" i="32" s="1"/>
  <c r="I73" i="32"/>
  <c r="M73" i="32" s="1"/>
  <c r="A73" i="32" s="1"/>
  <c r="J72" i="32"/>
  <c r="K72" i="32" s="1"/>
  <c r="I72" i="32"/>
  <c r="M72" i="32" s="1"/>
  <c r="A72" i="32" s="1"/>
  <c r="J71" i="32"/>
  <c r="K71" i="32" s="1"/>
  <c r="I71" i="32"/>
  <c r="M71" i="32" s="1"/>
  <c r="A71" i="32" s="1"/>
  <c r="M70" i="32"/>
  <c r="A70" i="32" s="1"/>
  <c r="J70" i="32"/>
  <c r="K70" i="32" s="1"/>
  <c r="I70" i="32"/>
  <c r="J69" i="32"/>
  <c r="K69" i="32" s="1"/>
  <c r="I69" i="32"/>
  <c r="M69" i="32" s="1"/>
  <c r="A69" i="32" s="1"/>
  <c r="J68" i="32"/>
  <c r="K68" i="32" s="1"/>
  <c r="I68" i="32"/>
  <c r="M68" i="32" s="1"/>
  <c r="A68" i="32" s="1"/>
  <c r="J67" i="32"/>
  <c r="K67" i="32" s="1"/>
  <c r="I67" i="32"/>
  <c r="M67" i="32" s="1"/>
  <c r="A67" i="32" s="1"/>
  <c r="J66" i="32"/>
  <c r="K66" i="32" s="1"/>
  <c r="I66" i="32"/>
  <c r="M66" i="32" s="1"/>
  <c r="A66" i="32" s="1"/>
  <c r="J65" i="32"/>
  <c r="K65" i="32" s="1"/>
  <c r="I65" i="32"/>
  <c r="M65" i="32" s="1"/>
  <c r="A65" i="32" s="1"/>
  <c r="B65" i="32"/>
  <c r="J64" i="32"/>
  <c r="K64" i="32" s="1"/>
  <c r="I64" i="32"/>
  <c r="M64" i="32" s="1"/>
  <c r="A64" i="32" s="1"/>
  <c r="B64" i="32"/>
  <c r="K63" i="32"/>
  <c r="J63" i="32"/>
  <c r="I63" i="32"/>
  <c r="M63" i="32" s="1"/>
  <c r="A63" i="32" s="1"/>
  <c r="B63" i="32"/>
  <c r="J62" i="32"/>
  <c r="K62" i="32" s="1"/>
  <c r="I62" i="32"/>
  <c r="M62" i="32" s="1"/>
  <c r="A62" i="32" s="1"/>
  <c r="B62" i="32"/>
  <c r="K61" i="32"/>
  <c r="J61" i="32"/>
  <c r="I61" i="32"/>
  <c r="M61" i="32" s="1"/>
  <c r="A61" i="32" s="1"/>
  <c r="B61" i="32"/>
  <c r="J60" i="32"/>
  <c r="K60" i="32" s="1"/>
  <c r="I60" i="32"/>
  <c r="M60" i="32" s="1"/>
  <c r="A60" i="32" s="1"/>
  <c r="B60" i="32"/>
  <c r="K59" i="32"/>
  <c r="J59" i="32"/>
  <c r="I59" i="32"/>
  <c r="M59" i="32" s="1"/>
  <c r="A59" i="32" s="1"/>
  <c r="B59" i="32"/>
  <c r="J58" i="32"/>
  <c r="K58" i="32" s="1"/>
  <c r="I58" i="32"/>
  <c r="M58" i="32" s="1"/>
  <c r="A58" i="32" s="1"/>
  <c r="B58" i="32"/>
  <c r="J57" i="32"/>
  <c r="K57" i="32" s="1"/>
  <c r="I57" i="32"/>
  <c r="M57" i="32" s="1"/>
  <c r="A57" i="32" s="1"/>
  <c r="B57" i="32"/>
  <c r="J56" i="32"/>
  <c r="K56" i="32" s="1"/>
  <c r="I56" i="32"/>
  <c r="M56" i="32" s="1"/>
  <c r="A56" i="32" s="1"/>
  <c r="B56" i="32"/>
  <c r="J55" i="32"/>
  <c r="K55" i="32" s="1"/>
  <c r="I55" i="32"/>
  <c r="M55" i="32" s="1"/>
  <c r="A55" i="32" s="1"/>
  <c r="B55" i="32"/>
  <c r="J54" i="32"/>
  <c r="K54" i="32" s="1"/>
  <c r="I54" i="32"/>
  <c r="M54" i="32" s="1"/>
  <c r="A54" i="32" s="1"/>
  <c r="B54" i="32"/>
  <c r="J53" i="32"/>
  <c r="K53" i="32" s="1"/>
  <c r="I53" i="32"/>
  <c r="M53" i="32" s="1"/>
  <c r="A53" i="32" s="1"/>
  <c r="B53" i="32"/>
  <c r="J52" i="32"/>
  <c r="K52" i="32" s="1"/>
  <c r="I52" i="32"/>
  <c r="M52" i="32" s="1"/>
  <c r="A52" i="32" s="1"/>
  <c r="B52" i="32"/>
  <c r="K51" i="32"/>
  <c r="J51" i="32"/>
  <c r="I51" i="32"/>
  <c r="M51" i="32" s="1"/>
  <c r="A51" i="32" s="1"/>
  <c r="B51" i="32"/>
  <c r="J50" i="32"/>
  <c r="K50" i="32" s="1"/>
  <c r="I50" i="32"/>
  <c r="M50" i="32" s="1"/>
  <c r="A50" i="32" s="1"/>
  <c r="B50" i="32"/>
  <c r="J49" i="32"/>
  <c r="K49" i="32" s="1"/>
  <c r="I49" i="32"/>
  <c r="M49" i="32" s="1"/>
  <c r="A49" i="32" s="1"/>
  <c r="B49" i="32"/>
  <c r="J48" i="32"/>
  <c r="K48" i="32" s="1"/>
  <c r="I48" i="32"/>
  <c r="M48" i="32" s="1"/>
  <c r="A48" i="32" s="1"/>
  <c r="B48" i="32"/>
  <c r="K47" i="32"/>
  <c r="J47" i="32"/>
  <c r="I47" i="32"/>
  <c r="M47" i="32" s="1"/>
  <c r="A47" i="32" s="1"/>
  <c r="B47" i="32"/>
  <c r="T46" i="32"/>
  <c r="R46" i="32"/>
  <c r="U46" i="32" s="1"/>
  <c r="J46" i="32"/>
  <c r="K46" i="32" s="1"/>
  <c r="I46" i="32"/>
  <c r="M46" i="32" s="1"/>
  <c r="A46" i="32" s="1"/>
  <c r="B46" i="32"/>
  <c r="M45" i="32"/>
  <c r="A45" i="32" s="1"/>
  <c r="J45" i="32"/>
  <c r="K45" i="32" s="1"/>
  <c r="I45" i="32"/>
  <c r="B45" i="32"/>
  <c r="J44" i="32"/>
  <c r="K44" i="32" s="1"/>
  <c r="I44" i="32"/>
  <c r="M44" i="32" s="1"/>
  <c r="A44" i="32" s="1"/>
  <c r="B44" i="32"/>
  <c r="J43" i="32"/>
  <c r="K43" i="32" s="1"/>
  <c r="I43" i="32"/>
  <c r="M43" i="32" s="1"/>
  <c r="A43" i="32" s="1"/>
  <c r="B43" i="32"/>
  <c r="J42" i="32"/>
  <c r="K42" i="32" s="1"/>
  <c r="I42" i="32"/>
  <c r="M42" i="32" s="1"/>
  <c r="A42" i="32" s="1"/>
  <c r="B42" i="32"/>
  <c r="M41" i="32"/>
  <c r="A41" i="32" s="1"/>
  <c r="J41" i="32"/>
  <c r="K41" i="32" s="1"/>
  <c r="I41" i="32"/>
  <c r="B41" i="32"/>
  <c r="J40" i="32"/>
  <c r="K40" i="32" s="1"/>
  <c r="I40" i="32"/>
  <c r="M40" i="32" s="1"/>
  <c r="A40" i="32" s="1"/>
  <c r="B40" i="32"/>
  <c r="M39" i="32"/>
  <c r="A39" i="32" s="1"/>
  <c r="J39" i="32"/>
  <c r="K39" i="32" s="1"/>
  <c r="I39" i="32"/>
  <c r="B39" i="32"/>
  <c r="J38" i="32"/>
  <c r="K38" i="32" s="1"/>
  <c r="I38" i="32"/>
  <c r="M38" i="32" s="1"/>
  <c r="A38" i="32" s="1"/>
  <c r="B38" i="32"/>
  <c r="J37" i="32"/>
  <c r="K37" i="32" s="1"/>
  <c r="I37" i="32"/>
  <c r="M37" i="32" s="1"/>
  <c r="A37" i="32" s="1"/>
  <c r="B37" i="32"/>
  <c r="J36" i="32"/>
  <c r="K36" i="32" s="1"/>
  <c r="I36" i="32"/>
  <c r="M36" i="32" s="1"/>
  <c r="A36" i="32" s="1"/>
  <c r="B36" i="32"/>
  <c r="J35" i="32"/>
  <c r="K35" i="32" s="1"/>
  <c r="I35" i="32"/>
  <c r="M35" i="32" s="1"/>
  <c r="A35" i="32" s="1"/>
  <c r="B35" i="32"/>
  <c r="J34" i="32"/>
  <c r="K34" i="32" s="1"/>
  <c r="I34" i="32"/>
  <c r="M34" i="32" s="1"/>
  <c r="A34" i="32" s="1"/>
  <c r="B34" i="32"/>
  <c r="J33" i="32"/>
  <c r="K33" i="32" s="1"/>
  <c r="I33" i="32"/>
  <c r="M33" i="32" s="1"/>
  <c r="A33" i="32" s="1"/>
  <c r="B33" i="32"/>
  <c r="J32" i="32"/>
  <c r="K32" i="32" s="1"/>
  <c r="I32" i="32"/>
  <c r="M32" i="32" s="1"/>
  <c r="A32" i="32" s="1"/>
  <c r="B32" i="32"/>
  <c r="M31" i="32"/>
  <c r="A31" i="32" s="1"/>
  <c r="J31" i="32"/>
  <c r="K31" i="32" s="1"/>
  <c r="I31" i="32"/>
  <c r="B31" i="32"/>
  <c r="J30" i="32"/>
  <c r="K30" i="32" s="1"/>
  <c r="I30" i="32"/>
  <c r="M30" i="32" s="1"/>
  <c r="A30" i="32" s="1"/>
  <c r="B30" i="32"/>
  <c r="J29" i="32"/>
  <c r="K29" i="32" s="1"/>
  <c r="M29" i="32" s="1"/>
  <c r="A29" i="32" s="1"/>
  <c r="I29" i="32"/>
  <c r="B29" i="32"/>
  <c r="J28" i="32"/>
  <c r="K28" i="32" s="1"/>
  <c r="I28" i="32"/>
  <c r="M28" i="32" s="1"/>
  <c r="A28" i="32" s="1"/>
  <c r="B28" i="32"/>
  <c r="J27" i="32"/>
  <c r="K27" i="32" s="1"/>
  <c r="M27" i="32" s="1"/>
  <c r="A27" i="32" s="1"/>
  <c r="I27" i="32"/>
  <c r="B27" i="32"/>
  <c r="J26" i="32"/>
  <c r="K26" i="32" s="1"/>
  <c r="I26" i="32"/>
  <c r="M26" i="32" s="1"/>
  <c r="A26" i="32" s="1"/>
  <c r="B26" i="32"/>
  <c r="J25" i="32"/>
  <c r="K25" i="32" s="1"/>
  <c r="I25" i="32"/>
  <c r="B25" i="32"/>
  <c r="J24" i="32"/>
  <c r="K24" i="32" s="1"/>
  <c r="I24" i="32"/>
  <c r="M24" i="32" s="1"/>
  <c r="A24" i="32" s="1"/>
  <c r="B24" i="32"/>
  <c r="J23" i="32"/>
  <c r="K23" i="32" s="1"/>
  <c r="I23" i="32"/>
  <c r="B23" i="32"/>
  <c r="J22" i="32"/>
  <c r="K22" i="32" s="1"/>
  <c r="I22" i="32"/>
  <c r="B22" i="32"/>
  <c r="J21" i="32"/>
  <c r="K21" i="32" s="1"/>
  <c r="I21" i="32"/>
  <c r="B21" i="32"/>
  <c r="J20" i="32"/>
  <c r="K20" i="32" s="1"/>
  <c r="I20" i="32"/>
  <c r="M20" i="32" s="1"/>
  <c r="A20" i="32" s="1"/>
  <c r="B20" i="32"/>
  <c r="J19" i="32"/>
  <c r="K19" i="32" s="1"/>
  <c r="M19" i="32" s="1"/>
  <c r="A19" i="32" s="1"/>
  <c r="I19" i="32"/>
  <c r="B19" i="32"/>
  <c r="J18" i="32"/>
  <c r="K18" i="32" s="1"/>
  <c r="I18" i="32"/>
  <c r="B18" i="32"/>
  <c r="J17" i="32"/>
  <c r="K17" i="32" s="1"/>
  <c r="I17" i="32"/>
  <c r="B17" i="32"/>
  <c r="J16" i="32"/>
  <c r="K16" i="32" s="1"/>
  <c r="I16" i="32"/>
  <c r="B16" i="32"/>
  <c r="J15" i="32"/>
  <c r="K15" i="32" s="1"/>
  <c r="I15" i="32"/>
  <c r="B15" i="32"/>
  <c r="AI14" i="32"/>
  <c r="M14" i="32"/>
  <c r="A14" i="32" s="1"/>
  <c r="J14" i="32"/>
  <c r="K14" i="32" s="1"/>
  <c r="I14" i="32"/>
  <c r="B14" i="32"/>
  <c r="AI13" i="32"/>
  <c r="AI16" i="32" s="1"/>
  <c r="J13" i="32"/>
  <c r="K13" i="32" s="1"/>
  <c r="I13" i="32"/>
  <c r="B13" i="32"/>
  <c r="AI12" i="32"/>
  <c r="J12" i="32"/>
  <c r="K12" i="32" s="1"/>
  <c r="I12" i="32"/>
  <c r="B12" i="32"/>
  <c r="J11" i="32"/>
  <c r="K11" i="32" s="1"/>
  <c r="I11" i="32"/>
  <c r="B11" i="32"/>
  <c r="J10" i="32"/>
  <c r="K10" i="32" s="1"/>
  <c r="I10" i="32"/>
  <c r="B10" i="32"/>
  <c r="J9" i="32"/>
  <c r="K9" i="32" s="1"/>
  <c r="I9" i="32"/>
  <c r="B9" i="32"/>
  <c r="J8" i="32"/>
  <c r="K8" i="32" s="1"/>
  <c r="I8" i="32"/>
  <c r="B8" i="32"/>
  <c r="K7" i="32"/>
  <c r="J7" i="32"/>
  <c r="I7" i="32"/>
  <c r="B7" i="32"/>
  <c r="J6" i="32"/>
  <c r="K6" i="32" s="1"/>
  <c r="I6" i="32"/>
  <c r="B6" i="32"/>
  <c r="K2" i="32"/>
  <c r="L9" i="32" s="1"/>
  <c r="M22" i="20"/>
  <c r="K22" i="20"/>
  <c r="I22" i="20"/>
  <c r="M17" i="20"/>
  <c r="K17" i="20"/>
  <c r="M21" i="20"/>
  <c r="K21" i="20"/>
  <c r="I21" i="20"/>
  <c r="M20" i="20"/>
  <c r="K20" i="20"/>
  <c r="I20" i="20"/>
  <c r="M19" i="20"/>
  <c r="K19" i="20"/>
  <c r="I19" i="20"/>
  <c r="M18" i="20"/>
  <c r="K18" i="20"/>
  <c r="I18" i="20"/>
  <c r="M16" i="20"/>
  <c r="K16" i="20"/>
  <c r="M15" i="20"/>
  <c r="K15" i="20"/>
  <c r="M14" i="20"/>
  <c r="K14" i="20"/>
  <c r="M7" i="20"/>
  <c r="K7" i="20"/>
  <c r="M10" i="20"/>
  <c r="K10" i="20"/>
  <c r="M9" i="20"/>
  <c r="K9" i="20"/>
  <c r="I9" i="20"/>
  <c r="M8" i="20"/>
  <c r="K8" i="20"/>
  <c r="I8" i="20"/>
  <c r="M11" i="20"/>
  <c r="K11" i="20"/>
  <c r="I11" i="20"/>
  <c r="M13" i="20"/>
  <c r="K13" i="20"/>
  <c r="I13" i="20"/>
  <c r="M12" i="20"/>
  <c r="K12" i="20"/>
  <c r="I12" i="20"/>
  <c r="M6" i="20"/>
  <c r="K6" i="20"/>
  <c r="I6" i="20"/>
  <c r="M22" i="13"/>
  <c r="M21" i="13"/>
  <c r="M20" i="13"/>
  <c r="M19" i="13"/>
  <c r="M18" i="13"/>
  <c r="M17" i="13"/>
  <c r="M16" i="13"/>
  <c r="M15" i="13"/>
  <c r="M11" i="13"/>
  <c r="M8" i="13"/>
  <c r="M7" i="13"/>
  <c r="M14" i="13"/>
  <c r="M9" i="13"/>
  <c r="M10" i="13"/>
  <c r="M12" i="13"/>
  <c r="M6" i="13"/>
  <c r="M13" i="13"/>
  <c r="K22" i="13"/>
  <c r="K21" i="13"/>
  <c r="K20" i="13"/>
  <c r="K19" i="13"/>
  <c r="K18" i="13"/>
  <c r="K17" i="13"/>
  <c r="K16" i="13"/>
  <c r="K15" i="13"/>
  <c r="K11" i="13"/>
  <c r="K8" i="13"/>
  <c r="K7" i="13"/>
  <c r="K14" i="13"/>
  <c r="K9" i="13"/>
  <c r="K10" i="13"/>
  <c r="K12" i="13"/>
  <c r="K6" i="13"/>
  <c r="K13" i="13"/>
  <c r="I22" i="13"/>
  <c r="I21" i="13"/>
  <c r="I20" i="13"/>
  <c r="I19" i="13"/>
  <c r="I18" i="13"/>
  <c r="I17" i="13"/>
  <c r="I8" i="13"/>
  <c r="I7" i="13"/>
  <c r="I14" i="13"/>
  <c r="I10" i="13"/>
  <c r="I6" i="13"/>
  <c r="I13" i="13"/>
  <c r="J305" i="31"/>
  <c r="K305" i="31" s="1"/>
  <c r="I305" i="31"/>
  <c r="M305" i="31" s="1"/>
  <c r="M304" i="31"/>
  <c r="J304" i="31"/>
  <c r="K304" i="31" s="1"/>
  <c r="I304" i="3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M300" i="31"/>
  <c r="J300" i="31"/>
  <c r="K300" i="31" s="1"/>
  <c r="I300" i="31"/>
  <c r="J299" i="31"/>
  <c r="K299" i="31" s="1"/>
  <c r="I299" i="31"/>
  <c r="M299" i="31" s="1"/>
  <c r="K298" i="31"/>
  <c r="J298" i="3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K294" i="31"/>
  <c r="J294" i="31"/>
  <c r="I294" i="31"/>
  <c r="M294" i="31" s="1"/>
  <c r="J293" i="31"/>
  <c r="K293" i="31" s="1"/>
  <c r="I293" i="31"/>
  <c r="M293" i="31" s="1"/>
  <c r="K292" i="31"/>
  <c r="J292" i="3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M286" i="31"/>
  <c r="J286" i="31"/>
  <c r="K286" i="31" s="1"/>
  <c r="I286" i="31"/>
  <c r="J285" i="31"/>
  <c r="K285" i="31" s="1"/>
  <c r="I285" i="31"/>
  <c r="M285" i="31" s="1"/>
  <c r="M284" i="31"/>
  <c r="J284" i="31"/>
  <c r="K284" i="31" s="1"/>
  <c r="I284" i="3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M278" i="31"/>
  <c r="J278" i="31"/>
  <c r="K278" i="31" s="1"/>
  <c r="I278" i="3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M268" i="31"/>
  <c r="J268" i="31"/>
  <c r="K268" i="31" s="1"/>
  <c r="I268" i="3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M262" i="31"/>
  <c r="J262" i="31"/>
  <c r="K262" i="31" s="1"/>
  <c r="I262" i="3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M252" i="31"/>
  <c r="J252" i="31"/>
  <c r="K252" i="31" s="1"/>
  <c r="I252" i="3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M246" i="31"/>
  <c r="J246" i="31"/>
  <c r="K246" i="31" s="1"/>
  <c r="I246" i="3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M236" i="31"/>
  <c r="J236" i="31"/>
  <c r="K236" i="31" s="1"/>
  <c r="I236" i="3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M230" i="31"/>
  <c r="J230" i="31"/>
  <c r="K230" i="31" s="1"/>
  <c r="I230" i="3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M220" i="31"/>
  <c r="J220" i="31"/>
  <c r="K220" i="31" s="1"/>
  <c r="I220" i="3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M214" i="31"/>
  <c r="J214" i="31"/>
  <c r="K214" i="31" s="1"/>
  <c r="I214" i="3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M204" i="31"/>
  <c r="J204" i="31"/>
  <c r="K204" i="31" s="1"/>
  <c r="I204" i="3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M198" i="31"/>
  <c r="J198" i="31"/>
  <c r="K198" i="31" s="1"/>
  <c r="I198" i="3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M190" i="31"/>
  <c r="J190" i="31"/>
  <c r="K190" i="31" s="1"/>
  <c r="I190" i="31"/>
  <c r="J189" i="31"/>
  <c r="K189" i="31" s="1"/>
  <c r="I189" i="31"/>
  <c r="M189" i="31" s="1"/>
  <c r="M188" i="31"/>
  <c r="J188" i="31"/>
  <c r="K188" i="31" s="1"/>
  <c r="I188" i="3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M182" i="31"/>
  <c r="J182" i="31"/>
  <c r="K182" i="31" s="1"/>
  <c r="I182" i="3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M174" i="31"/>
  <c r="J174" i="31"/>
  <c r="K174" i="31" s="1"/>
  <c r="I174" i="31"/>
  <c r="J173" i="31"/>
  <c r="K173" i="31" s="1"/>
  <c r="I173" i="31"/>
  <c r="M173" i="31" s="1"/>
  <c r="M172" i="31"/>
  <c r="J172" i="31"/>
  <c r="K172" i="31" s="1"/>
  <c r="I172" i="3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M166" i="31"/>
  <c r="J166" i="31"/>
  <c r="K166" i="31" s="1"/>
  <c r="I166" i="3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M158" i="31"/>
  <c r="J158" i="31"/>
  <c r="K158" i="31" s="1"/>
  <c r="I158" i="31"/>
  <c r="J157" i="31"/>
  <c r="K157" i="31" s="1"/>
  <c r="I157" i="31"/>
  <c r="M157" i="31" s="1"/>
  <c r="M156" i="31"/>
  <c r="J156" i="31"/>
  <c r="K156" i="31" s="1"/>
  <c r="I156" i="3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M150" i="31"/>
  <c r="J150" i="31"/>
  <c r="K150" i="31" s="1"/>
  <c r="I150" i="3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M142" i="31"/>
  <c r="J142" i="31"/>
  <c r="K142" i="31" s="1"/>
  <c r="I142" i="31"/>
  <c r="J141" i="31"/>
  <c r="K141" i="31" s="1"/>
  <c r="I141" i="31"/>
  <c r="M141" i="31" s="1"/>
  <c r="M140" i="31"/>
  <c r="J140" i="31"/>
  <c r="K140" i="31" s="1"/>
  <c r="I140" i="3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J136" i="31"/>
  <c r="K136" i="31" s="1"/>
  <c r="I136" i="31"/>
  <c r="M136" i="31" s="1"/>
  <c r="J135" i="31"/>
  <c r="K135" i="31" s="1"/>
  <c r="I135" i="31"/>
  <c r="M135" i="31" s="1"/>
  <c r="J134" i="31"/>
  <c r="K134" i="31" s="1"/>
  <c r="I134" i="31"/>
  <c r="M134" i="31" s="1"/>
  <c r="J133" i="31"/>
  <c r="K133" i="31" s="1"/>
  <c r="I133" i="31"/>
  <c r="M133" i="31" s="1"/>
  <c r="M132" i="31"/>
  <c r="J132" i="31"/>
  <c r="K132" i="31" s="1"/>
  <c r="I132" i="31"/>
  <c r="K131" i="31"/>
  <c r="J131" i="31"/>
  <c r="I131" i="31"/>
  <c r="M131" i="31" s="1"/>
  <c r="M130" i="31"/>
  <c r="J130" i="31"/>
  <c r="K130" i="31" s="1"/>
  <c r="I130" i="31"/>
  <c r="M129" i="31"/>
  <c r="J129" i="31"/>
  <c r="K129" i="31" s="1"/>
  <c r="I129" i="31"/>
  <c r="J128" i="31"/>
  <c r="K128" i="31" s="1"/>
  <c r="I128" i="31"/>
  <c r="M128" i="31" s="1"/>
  <c r="J127" i="31"/>
  <c r="K127" i="31" s="1"/>
  <c r="I127" i="31"/>
  <c r="M127" i="31" s="1"/>
  <c r="J126" i="31"/>
  <c r="K126" i="31" s="1"/>
  <c r="I126" i="31"/>
  <c r="M126" i="31" s="1"/>
  <c r="M125" i="31"/>
  <c r="J125" i="31"/>
  <c r="K125" i="31" s="1"/>
  <c r="I125" i="31"/>
  <c r="J124" i="31"/>
  <c r="K124" i="31" s="1"/>
  <c r="I124" i="31"/>
  <c r="M124" i="31" s="1"/>
  <c r="M123" i="31"/>
  <c r="K123" i="31"/>
  <c r="J123" i="31"/>
  <c r="I123" i="31"/>
  <c r="M122" i="31"/>
  <c r="J122" i="31"/>
  <c r="K122" i="31" s="1"/>
  <c r="I122" i="31"/>
  <c r="M121" i="31"/>
  <c r="J121" i="31"/>
  <c r="K121" i="31" s="1"/>
  <c r="I121" i="31"/>
  <c r="J120" i="31"/>
  <c r="K120" i="31" s="1"/>
  <c r="I120" i="31"/>
  <c r="M120" i="31" s="1"/>
  <c r="J119" i="31"/>
  <c r="K119" i="31" s="1"/>
  <c r="I119" i="31"/>
  <c r="M119" i="31" s="1"/>
  <c r="J118" i="31"/>
  <c r="K118" i="31" s="1"/>
  <c r="I118" i="31"/>
  <c r="M118" i="31" s="1"/>
  <c r="J117" i="31"/>
  <c r="K117" i="31" s="1"/>
  <c r="I117" i="31"/>
  <c r="M117" i="31" s="1"/>
  <c r="M116" i="31"/>
  <c r="J116" i="31"/>
  <c r="K116" i="31" s="1"/>
  <c r="I116" i="31"/>
  <c r="K115" i="31"/>
  <c r="J115" i="31"/>
  <c r="I115" i="31"/>
  <c r="M115" i="31" s="1"/>
  <c r="M114" i="31"/>
  <c r="J114" i="31"/>
  <c r="K114" i="31" s="1"/>
  <c r="I114" i="31"/>
  <c r="M113" i="31"/>
  <c r="J113" i="31"/>
  <c r="K113" i="31" s="1"/>
  <c r="I113" i="31"/>
  <c r="J112" i="31"/>
  <c r="K112" i="31" s="1"/>
  <c r="I112" i="31"/>
  <c r="M112" i="31" s="1"/>
  <c r="J111" i="31"/>
  <c r="K111" i="31" s="1"/>
  <c r="I111" i="31"/>
  <c r="M111" i="31" s="1"/>
  <c r="J110" i="31"/>
  <c r="K110" i="31" s="1"/>
  <c r="I110" i="31"/>
  <c r="M110" i="31" s="1"/>
  <c r="M109" i="31"/>
  <c r="J109" i="31"/>
  <c r="K109" i="31" s="1"/>
  <c r="I109" i="31"/>
  <c r="J108" i="31"/>
  <c r="K108" i="31" s="1"/>
  <c r="I108" i="31"/>
  <c r="M108" i="31" s="1"/>
  <c r="M107" i="31"/>
  <c r="K107" i="31"/>
  <c r="J107" i="31"/>
  <c r="I107" i="31"/>
  <c r="M106" i="31"/>
  <c r="J106" i="31"/>
  <c r="K106" i="31" s="1"/>
  <c r="I106" i="31"/>
  <c r="M105" i="31"/>
  <c r="J105" i="31"/>
  <c r="K105" i="31" s="1"/>
  <c r="I105" i="31"/>
  <c r="J104" i="31"/>
  <c r="K104" i="31" s="1"/>
  <c r="I104" i="31"/>
  <c r="M104" i="31" s="1"/>
  <c r="J103" i="31"/>
  <c r="K103" i="31" s="1"/>
  <c r="I103" i="31"/>
  <c r="M103" i="31" s="1"/>
  <c r="J102" i="31"/>
  <c r="K102" i="31" s="1"/>
  <c r="I102" i="31"/>
  <c r="M102" i="31" s="1"/>
  <c r="J101" i="31"/>
  <c r="K101" i="31" s="1"/>
  <c r="I101" i="31"/>
  <c r="M101" i="31" s="1"/>
  <c r="M100" i="31"/>
  <c r="J100" i="31"/>
  <c r="K100" i="31" s="1"/>
  <c r="I100" i="31"/>
  <c r="K99" i="31"/>
  <c r="J99" i="31"/>
  <c r="I99" i="31"/>
  <c r="M99" i="31" s="1"/>
  <c r="M98" i="31"/>
  <c r="J98" i="31"/>
  <c r="K98" i="31" s="1"/>
  <c r="I98" i="31"/>
  <c r="M97" i="31"/>
  <c r="J97" i="31"/>
  <c r="K97" i="31" s="1"/>
  <c r="I97" i="31"/>
  <c r="J96" i="31"/>
  <c r="K96" i="31" s="1"/>
  <c r="I96" i="31"/>
  <c r="M96" i="31" s="1"/>
  <c r="J95" i="31"/>
  <c r="K95" i="31" s="1"/>
  <c r="I95" i="31"/>
  <c r="M95" i="31" s="1"/>
  <c r="J94" i="31"/>
  <c r="K94" i="31" s="1"/>
  <c r="I94" i="31"/>
  <c r="M94" i="31" s="1"/>
  <c r="M93" i="31"/>
  <c r="J93" i="31"/>
  <c r="K93" i="31" s="1"/>
  <c r="I93" i="31"/>
  <c r="J92" i="31"/>
  <c r="K92" i="31" s="1"/>
  <c r="I92" i="31"/>
  <c r="M92" i="31" s="1"/>
  <c r="M91" i="31"/>
  <c r="K91" i="31"/>
  <c r="J91" i="31"/>
  <c r="I91" i="31"/>
  <c r="M90" i="31"/>
  <c r="J90" i="31"/>
  <c r="K90" i="31" s="1"/>
  <c r="I90" i="31"/>
  <c r="M89" i="31"/>
  <c r="J89" i="31"/>
  <c r="K89" i="31" s="1"/>
  <c r="I89" i="31"/>
  <c r="J88" i="31"/>
  <c r="K88" i="31" s="1"/>
  <c r="I88" i="31"/>
  <c r="M88" i="31" s="1"/>
  <c r="J87" i="31"/>
  <c r="K87" i="31" s="1"/>
  <c r="I87" i="31"/>
  <c r="M87" i="31" s="1"/>
  <c r="J86" i="31"/>
  <c r="K86" i="31" s="1"/>
  <c r="I86" i="31"/>
  <c r="M86" i="31" s="1"/>
  <c r="J85" i="31"/>
  <c r="K85" i="31" s="1"/>
  <c r="I85" i="31"/>
  <c r="M85" i="31" s="1"/>
  <c r="M84" i="31"/>
  <c r="J84" i="31"/>
  <c r="K84" i="31" s="1"/>
  <c r="I84" i="31"/>
  <c r="K83" i="31"/>
  <c r="J83" i="31"/>
  <c r="I83" i="31"/>
  <c r="M83" i="31" s="1"/>
  <c r="M82" i="31"/>
  <c r="J82" i="31"/>
  <c r="K82" i="31" s="1"/>
  <c r="I82" i="31"/>
  <c r="M81" i="31"/>
  <c r="J81" i="31"/>
  <c r="K81" i="31" s="1"/>
  <c r="I81" i="3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M77" i="31"/>
  <c r="J77" i="31"/>
  <c r="K77" i="31" s="1"/>
  <c r="I77" i="31"/>
  <c r="J76" i="31"/>
  <c r="K76" i="31" s="1"/>
  <c r="I76" i="31"/>
  <c r="M76" i="31" s="1"/>
  <c r="M75" i="31"/>
  <c r="K75" i="31"/>
  <c r="J75" i="31"/>
  <c r="I75" i="31"/>
  <c r="M74" i="31"/>
  <c r="J74" i="31"/>
  <c r="K74" i="31" s="1"/>
  <c r="I74" i="31"/>
  <c r="M73" i="31"/>
  <c r="J73" i="31"/>
  <c r="K73" i="31" s="1"/>
  <c r="I73" i="31"/>
  <c r="J72" i="31"/>
  <c r="K72" i="31" s="1"/>
  <c r="I72" i="31"/>
  <c r="M72" i="31" s="1"/>
  <c r="J71" i="31"/>
  <c r="K71" i="31" s="1"/>
  <c r="I71" i="31"/>
  <c r="M71" i="31" s="1"/>
  <c r="J70" i="31"/>
  <c r="K70" i="31" s="1"/>
  <c r="I70" i="31"/>
  <c r="M70" i="31" s="1"/>
  <c r="J69" i="31"/>
  <c r="K69" i="31" s="1"/>
  <c r="I69" i="31"/>
  <c r="M69" i="31" s="1"/>
  <c r="M68" i="31"/>
  <c r="J68" i="31"/>
  <c r="K68" i="31" s="1"/>
  <c r="I68" i="31"/>
  <c r="K67" i="31"/>
  <c r="J67" i="31"/>
  <c r="I67" i="31"/>
  <c r="M67" i="31" s="1"/>
  <c r="M66" i="31"/>
  <c r="J66" i="31"/>
  <c r="K66" i="31" s="1"/>
  <c r="I66" i="31"/>
  <c r="J65" i="31"/>
  <c r="K65" i="31" s="1"/>
  <c r="I65" i="31"/>
  <c r="M65" i="31" s="1"/>
  <c r="B65" i="31"/>
  <c r="J64" i="31"/>
  <c r="K64" i="31" s="1"/>
  <c r="I64" i="31"/>
  <c r="M64" i="31" s="1"/>
  <c r="B64" i="31"/>
  <c r="M63" i="31"/>
  <c r="J63" i="31"/>
  <c r="K63" i="31" s="1"/>
  <c r="I63" i="31"/>
  <c r="B63" i="31"/>
  <c r="J62" i="31"/>
  <c r="K62" i="31" s="1"/>
  <c r="I62" i="31"/>
  <c r="M62" i="31" s="1"/>
  <c r="B62" i="31"/>
  <c r="J61" i="31"/>
  <c r="K61" i="31" s="1"/>
  <c r="I61" i="31"/>
  <c r="M61" i="31" s="1"/>
  <c r="B61" i="31"/>
  <c r="M60" i="31"/>
  <c r="J60" i="31"/>
  <c r="K60" i="31" s="1"/>
  <c r="I60" i="31"/>
  <c r="B60" i="31"/>
  <c r="J59" i="31"/>
  <c r="K59" i="31" s="1"/>
  <c r="I59" i="31"/>
  <c r="M59" i="31" s="1"/>
  <c r="B59" i="31"/>
  <c r="J58" i="31"/>
  <c r="K58" i="31" s="1"/>
  <c r="I58" i="31"/>
  <c r="M58" i="31" s="1"/>
  <c r="B58" i="31"/>
  <c r="J57" i="31"/>
  <c r="K57" i="31" s="1"/>
  <c r="I57" i="31"/>
  <c r="M57" i="31" s="1"/>
  <c r="B57" i="31"/>
  <c r="J56" i="31"/>
  <c r="K56" i="31" s="1"/>
  <c r="I56" i="31"/>
  <c r="M56" i="31" s="1"/>
  <c r="B56" i="31"/>
  <c r="M55" i="31"/>
  <c r="J55" i="31"/>
  <c r="K55" i="31" s="1"/>
  <c r="I55" i="31"/>
  <c r="B55" i="31"/>
  <c r="J54" i="31"/>
  <c r="K54" i="31" s="1"/>
  <c r="I54" i="31"/>
  <c r="M54" i="31" s="1"/>
  <c r="B54" i="31"/>
  <c r="J53" i="31"/>
  <c r="K53" i="31" s="1"/>
  <c r="I53" i="31"/>
  <c r="M53" i="31" s="1"/>
  <c r="B53" i="31"/>
  <c r="M52" i="31"/>
  <c r="J52" i="31"/>
  <c r="K52" i="31" s="1"/>
  <c r="I52" i="31"/>
  <c r="B52" i="31"/>
  <c r="J51" i="31"/>
  <c r="K51" i="31" s="1"/>
  <c r="I51" i="31"/>
  <c r="M51" i="31" s="1"/>
  <c r="B51" i="31"/>
  <c r="J50" i="31"/>
  <c r="K50" i="31" s="1"/>
  <c r="I50" i="31"/>
  <c r="M50" i="31" s="1"/>
  <c r="B50" i="31"/>
  <c r="J49" i="31"/>
  <c r="K49" i="31" s="1"/>
  <c r="I49" i="31"/>
  <c r="M49" i="31" s="1"/>
  <c r="B49" i="31"/>
  <c r="J48" i="31"/>
  <c r="K48" i="31" s="1"/>
  <c r="I48" i="31"/>
  <c r="M48" i="31" s="1"/>
  <c r="B48" i="31"/>
  <c r="M47" i="31"/>
  <c r="J47" i="31"/>
  <c r="K47" i="31" s="1"/>
  <c r="I47" i="31"/>
  <c r="B47" i="31"/>
  <c r="T46" i="31"/>
  <c r="R46" i="31"/>
  <c r="U46" i="31" s="1"/>
  <c r="J46" i="31"/>
  <c r="K46" i="31" s="1"/>
  <c r="I46" i="31"/>
  <c r="M46" i="31" s="1"/>
  <c r="B46" i="31"/>
  <c r="J45" i="31"/>
  <c r="K45" i="31" s="1"/>
  <c r="I45" i="31"/>
  <c r="M45" i="31" s="1"/>
  <c r="B45" i="31"/>
  <c r="M44" i="31"/>
  <c r="J44" i="31"/>
  <c r="K44" i="31" s="1"/>
  <c r="I44" i="31"/>
  <c r="B44" i="31"/>
  <c r="J43" i="31"/>
  <c r="K43" i="31" s="1"/>
  <c r="I43" i="31"/>
  <c r="M43" i="31" s="1"/>
  <c r="B43" i="31"/>
  <c r="J42" i="31"/>
  <c r="K42" i="31" s="1"/>
  <c r="I42" i="31"/>
  <c r="M42" i="31" s="1"/>
  <c r="B42" i="31"/>
  <c r="K41" i="31"/>
  <c r="J41" i="31"/>
  <c r="I41" i="31"/>
  <c r="M41" i="31" s="1"/>
  <c r="B41" i="31"/>
  <c r="M40" i="31"/>
  <c r="J40" i="31"/>
  <c r="K40" i="31" s="1"/>
  <c r="I40" i="31"/>
  <c r="B40" i="31"/>
  <c r="J39" i="31"/>
  <c r="K39" i="31" s="1"/>
  <c r="I39" i="31"/>
  <c r="M39" i="31" s="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K36" i="31"/>
  <c r="J36" i="31"/>
  <c r="I36" i="31"/>
  <c r="M36" i="31" s="1"/>
  <c r="A36" i="31" s="1"/>
  <c r="B36" i="31"/>
  <c r="K35" i="31"/>
  <c r="J35" i="31"/>
  <c r="I35" i="31"/>
  <c r="M35" i="31" s="1"/>
  <c r="A35" i="31" s="1"/>
  <c r="B35" i="31"/>
  <c r="M34" i="31"/>
  <c r="A34" i="31" s="1"/>
  <c r="J34" i="31"/>
  <c r="K34" i="31" s="1"/>
  <c r="I34" i="31"/>
  <c r="B34" i="31"/>
  <c r="J33" i="31"/>
  <c r="K33" i="31" s="1"/>
  <c r="I33" i="31"/>
  <c r="M33" i="31" s="1"/>
  <c r="A33" i="31" s="1"/>
  <c r="B33" i="31"/>
  <c r="K32" i="31"/>
  <c r="J32" i="31"/>
  <c r="I32" i="31"/>
  <c r="M32" i="31" s="1"/>
  <c r="A32" i="31" s="1"/>
  <c r="B32" i="31"/>
  <c r="K31" i="31"/>
  <c r="J31" i="31"/>
  <c r="I31" i="31"/>
  <c r="M31" i="31" s="1"/>
  <c r="A31" i="31" s="1"/>
  <c r="B31" i="31"/>
  <c r="M30" i="31"/>
  <c r="A30" i="31" s="1"/>
  <c r="J30" i="31"/>
  <c r="K30" i="31" s="1"/>
  <c r="I30" i="31"/>
  <c r="B30" i="31"/>
  <c r="J29" i="31"/>
  <c r="K29" i="31" s="1"/>
  <c r="I29" i="31"/>
  <c r="M29" i="31" s="1"/>
  <c r="A29" i="31" s="1"/>
  <c r="B29" i="31"/>
  <c r="K28" i="31"/>
  <c r="J28" i="31"/>
  <c r="I28" i="31"/>
  <c r="M28" i="31" s="1"/>
  <c r="A28" i="31" s="1"/>
  <c r="B28" i="31"/>
  <c r="K27" i="31"/>
  <c r="J27" i="31"/>
  <c r="I27" i="31"/>
  <c r="M27" i="31" s="1"/>
  <c r="A27" i="31" s="1"/>
  <c r="B27" i="31"/>
  <c r="M26" i="31"/>
  <c r="A26" i="31" s="1"/>
  <c r="J26" i="31"/>
  <c r="K26" i="31" s="1"/>
  <c r="I26" i="31"/>
  <c r="B26" i="31"/>
  <c r="J25" i="31"/>
  <c r="K25" i="31" s="1"/>
  <c r="I25" i="31"/>
  <c r="M25" i="31" s="1"/>
  <c r="A25" i="31" s="1"/>
  <c r="B25" i="31"/>
  <c r="K24" i="31"/>
  <c r="J24" i="31"/>
  <c r="I24" i="31"/>
  <c r="M24" i="31" s="1"/>
  <c r="A24" i="31" s="1"/>
  <c r="B24" i="31"/>
  <c r="K23" i="31"/>
  <c r="J23" i="31"/>
  <c r="I23" i="31"/>
  <c r="M23" i="31" s="1"/>
  <c r="A23" i="31" s="1"/>
  <c r="B23" i="31"/>
  <c r="M22" i="31"/>
  <c r="A22" i="31" s="1"/>
  <c r="J22" i="31"/>
  <c r="K22" i="31" s="1"/>
  <c r="I22" i="31"/>
  <c r="B22" i="31"/>
  <c r="J21" i="31"/>
  <c r="K21" i="31" s="1"/>
  <c r="I21" i="31"/>
  <c r="M21" i="31" s="1"/>
  <c r="A21" i="31" s="1"/>
  <c r="B21" i="31"/>
  <c r="K20" i="31"/>
  <c r="J20" i="31"/>
  <c r="I20" i="31"/>
  <c r="M20" i="31" s="1"/>
  <c r="A20" i="31" s="1"/>
  <c r="B20" i="31"/>
  <c r="K19" i="31"/>
  <c r="J19" i="31"/>
  <c r="I19" i="31"/>
  <c r="M19" i="31" s="1"/>
  <c r="A19" i="31" s="1"/>
  <c r="B19" i="31"/>
  <c r="M18" i="31"/>
  <c r="A18" i="31" s="1"/>
  <c r="J18" i="31"/>
  <c r="K18" i="31" s="1"/>
  <c r="I18" i="31"/>
  <c r="B18" i="31"/>
  <c r="J17" i="31"/>
  <c r="K17" i="31" s="1"/>
  <c r="I17" i="31"/>
  <c r="M17" i="31" s="1"/>
  <c r="A17" i="31" s="1"/>
  <c r="B17" i="31"/>
  <c r="J16" i="31"/>
  <c r="K16" i="31" s="1"/>
  <c r="I16" i="31"/>
  <c r="M16" i="31" s="1"/>
  <c r="A16" i="31" s="1"/>
  <c r="B16" i="31"/>
  <c r="J15" i="31"/>
  <c r="K15" i="31" s="1"/>
  <c r="I15" i="31"/>
  <c r="M15" i="31" s="1"/>
  <c r="A15" i="31" s="1"/>
  <c r="B15" i="31"/>
  <c r="AI14" i="31"/>
  <c r="J14" i="31"/>
  <c r="K14" i="31" s="1"/>
  <c r="I14" i="31"/>
  <c r="M14" i="31" s="1"/>
  <c r="A14" i="31" s="1"/>
  <c r="B14" i="31"/>
  <c r="AI13" i="31"/>
  <c r="J13" i="31"/>
  <c r="K13" i="31" s="1"/>
  <c r="I13" i="31"/>
  <c r="M13" i="31" s="1"/>
  <c r="A13" i="31" s="1"/>
  <c r="B13" i="31"/>
  <c r="AI12" i="31"/>
  <c r="AI16" i="31" s="1"/>
  <c r="K12" i="31"/>
  <c r="J12" i="31"/>
  <c r="I12" i="31"/>
  <c r="M12" i="31" s="1"/>
  <c r="A12" i="31" s="1"/>
  <c r="B12" i="31"/>
  <c r="J11" i="31"/>
  <c r="K11" i="31" s="1"/>
  <c r="I11" i="31"/>
  <c r="M11" i="31" s="1"/>
  <c r="A11" i="31" s="1"/>
  <c r="B11" i="31"/>
  <c r="J10" i="31"/>
  <c r="K10" i="31" s="1"/>
  <c r="I10" i="31"/>
  <c r="M10" i="31" s="1"/>
  <c r="A10" i="31" s="1"/>
  <c r="B10" i="31"/>
  <c r="J9" i="31"/>
  <c r="K9" i="31" s="1"/>
  <c r="I9" i="31"/>
  <c r="M9" i="31" s="1"/>
  <c r="A9" i="31" s="1"/>
  <c r="B9" i="31"/>
  <c r="J8" i="31"/>
  <c r="K8" i="31" s="1"/>
  <c r="I8" i="31"/>
  <c r="M8" i="31" s="1"/>
  <c r="A8" i="31" s="1"/>
  <c r="K7" i="31"/>
  <c r="J7" i="31"/>
  <c r="I7" i="31"/>
  <c r="K6" i="31"/>
  <c r="J6" i="31"/>
  <c r="I6" i="31"/>
  <c r="K2" i="31"/>
  <c r="L8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K284" i="30"/>
  <c r="J284" i="30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K274" i="30"/>
  <c r="J274" i="30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K260" i="30"/>
  <c r="J260" i="30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K244" i="30"/>
  <c r="J244" i="30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K228" i="30"/>
  <c r="J228" i="30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K220" i="30"/>
  <c r="J220" i="30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K204" i="30"/>
  <c r="J204" i="30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K196" i="30"/>
  <c r="J196" i="30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K180" i="30"/>
  <c r="J180" i="30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K164" i="30"/>
  <c r="J164" i="30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J133" i="30"/>
  <c r="K133" i="30" s="1"/>
  <c r="I133" i="30"/>
  <c r="M133" i="30" s="1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J129" i="30"/>
  <c r="K129" i="30" s="1"/>
  <c r="I129" i="30"/>
  <c r="M129" i="30" s="1"/>
  <c r="J128" i="30"/>
  <c r="K128" i="30" s="1"/>
  <c r="I128" i="30"/>
  <c r="M128" i="30" s="1"/>
  <c r="J127" i="30"/>
  <c r="K127" i="30" s="1"/>
  <c r="I127" i="30"/>
  <c r="M127" i="30" s="1"/>
  <c r="J126" i="30"/>
  <c r="K126" i="30" s="1"/>
  <c r="I126" i="30"/>
  <c r="M126" i="30" s="1"/>
  <c r="K125" i="30"/>
  <c r="J125" i="30"/>
  <c r="I125" i="30"/>
  <c r="M125" i="30" s="1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J121" i="30"/>
  <c r="K121" i="30" s="1"/>
  <c r="I121" i="30"/>
  <c r="M121" i="30" s="1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J117" i="30"/>
  <c r="K117" i="30" s="1"/>
  <c r="I117" i="30"/>
  <c r="M117" i="30" s="1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J112" i="30"/>
  <c r="K112" i="30" s="1"/>
  <c r="I112" i="30"/>
  <c r="M112" i="30" s="1"/>
  <c r="J111" i="30"/>
  <c r="K111" i="30" s="1"/>
  <c r="I111" i="30"/>
  <c r="M111" i="30" s="1"/>
  <c r="J110" i="30"/>
  <c r="K110" i="30" s="1"/>
  <c r="I110" i="30"/>
  <c r="M110" i="30" s="1"/>
  <c r="K109" i="30"/>
  <c r="J109" i="30"/>
  <c r="I109" i="30"/>
  <c r="M109" i="30" s="1"/>
  <c r="J108" i="30"/>
  <c r="K108" i="30" s="1"/>
  <c r="I108" i="30"/>
  <c r="M108" i="30" s="1"/>
  <c r="J107" i="30"/>
  <c r="K107" i="30" s="1"/>
  <c r="I107" i="30"/>
  <c r="M107" i="30" s="1"/>
  <c r="J106" i="30"/>
  <c r="K106" i="30" s="1"/>
  <c r="I106" i="30"/>
  <c r="M106" i="30" s="1"/>
  <c r="J105" i="30"/>
  <c r="K105" i="30" s="1"/>
  <c r="I105" i="30"/>
  <c r="M105" i="30" s="1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J101" i="30"/>
  <c r="K101" i="30" s="1"/>
  <c r="I101" i="30"/>
  <c r="M101" i="30" s="1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J97" i="30"/>
  <c r="K97" i="30" s="1"/>
  <c r="I97" i="30"/>
  <c r="M97" i="30" s="1"/>
  <c r="J96" i="30"/>
  <c r="K96" i="30" s="1"/>
  <c r="I96" i="30"/>
  <c r="M96" i="30" s="1"/>
  <c r="J95" i="30"/>
  <c r="K95" i="30" s="1"/>
  <c r="I95" i="30"/>
  <c r="M95" i="30" s="1"/>
  <c r="J94" i="30"/>
  <c r="K94" i="30" s="1"/>
  <c r="I94" i="30"/>
  <c r="M94" i="30" s="1"/>
  <c r="K93" i="30"/>
  <c r="J93" i="30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J89" i="30"/>
  <c r="K89" i="30" s="1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J85" i="30"/>
  <c r="K85" i="30" s="1"/>
  <c r="I85" i="30"/>
  <c r="M85" i="30" s="1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J80" i="30"/>
  <c r="K80" i="30" s="1"/>
  <c r="I80" i="30"/>
  <c r="M80" i="30" s="1"/>
  <c r="J79" i="30"/>
  <c r="K79" i="30" s="1"/>
  <c r="I79" i="30"/>
  <c r="M79" i="30" s="1"/>
  <c r="J78" i="30"/>
  <c r="K78" i="30" s="1"/>
  <c r="I78" i="30"/>
  <c r="M78" i="30" s="1"/>
  <c r="K77" i="30"/>
  <c r="J77" i="30"/>
  <c r="I77" i="30"/>
  <c r="M77" i="30" s="1"/>
  <c r="J76" i="30"/>
  <c r="K76" i="30" s="1"/>
  <c r="I76" i="30"/>
  <c r="M76" i="30" s="1"/>
  <c r="J75" i="30"/>
  <c r="K75" i="30" s="1"/>
  <c r="I75" i="30"/>
  <c r="M75" i="30" s="1"/>
  <c r="J74" i="30"/>
  <c r="K74" i="30" s="1"/>
  <c r="I74" i="30"/>
  <c r="M74" i="30" s="1"/>
  <c r="J73" i="30"/>
  <c r="K73" i="30" s="1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J69" i="30"/>
  <c r="K69" i="30" s="1"/>
  <c r="I69" i="30"/>
  <c r="M69" i="30" s="1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J65" i="30"/>
  <c r="K65" i="30" s="1"/>
  <c r="I65" i="30"/>
  <c r="M65" i="30" s="1"/>
  <c r="B65" i="30"/>
  <c r="J64" i="30"/>
  <c r="K64" i="30" s="1"/>
  <c r="I64" i="30"/>
  <c r="M64" i="30" s="1"/>
  <c r="B64" i="30"/>
  <c r="K63" i="30"/>
  <c r="J63" i="30"/>
  <c r="I63" i="30"/>
  <c r="M63" i="30" s="1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J59" i="30"/>
  <c r="K59" i="30" s="1"/>
  <c r="I59" i="30"/>
  <c r="M59" i="30" s="1"/>
  <c r="B59" i="30"/>
  <c r="J58" i="30"/>
  <c r="K58" i="30" s="1"/>
  <c r="I58" i="30"/>
  <c r="M58" i="30" s="1"/>
  <c r="B58" i="30"/>
  <c r="K57" i="30"/>
  <c r="J57" i="30"/>
  <c r="I57" i="30"/>
  <c r="M57" i="30" s="1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J51" i="30"/>
  <c r="K51" i="30" s="1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K47" i="30"/>
  <c r="J47" i="30"/>
  <c r="I47" i="30"/>
  <c r="M47" i="30" s="1"/>
  <c r="B47" i="30"/>
  <c r="T46" i="30"/>
  <c r="R46" i="30"/>
  <c r="U46" i="30" s="1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J41" i="30"/>
  <c r="K41" i="30" s="1"/>
  <c r="I41" i="30"/>
  <c r="M41" i="30" s="1"/>
  <c r="B41" i="30"/>
  <c r="J40" i="30"/>
  <c r="K40" i="30" s="1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J34" i="30"/>
  <c r="K34" i="30" s="1"/>
  <c r="I34" i="30"/>
  <c r="M34" i="30" s="1"/>
  <c r="A34" i="30" s="1"/>
  <c r="B34" i="30"/>
  <c r="J33" i="30"/>
  <c r="K33" i="30" s="1"/>
  <c r="I33" i="30"/>
  <c r="M33" i="30" s="1"/>
  <c r="A33" i="30" s="1"/>
  <c r="B33" i="30"/>
  <c r="J32" i="30"/>
  <c r="K32" i="30" s="1"/>
  <c r="I32" i="30"/>
  <c r="M32" i="30" s="1"/>
  <c r="A32" i="30" s="1"/>
  <c r="B32" i="30"/>
  <c r="J31" i="30"/>
  <c r="K31" i="30" s="1"/>
  <c r="I31" i="30"/>
  <c r="M31" i="30" s="1"/>
  <c r="A31" i="30" s="1"/>
  <c r="B31" i="30"/>
  <c r="J30" i="30"/>
  <c r="K30" i="30" s="1"/>
  <c r="I30" i="30"/>
  <c r="M30" i="30" s="1"/>
  <c r="A30" i="30" s="1"/>
  <c r="B30" i="30"/>
  <c r="J29" i="30"/>
  <c r="K29" i="30" s="1"/>
  <c r="I29" i="30"/>
  <c r="M29" i="30" s="1"/>
  <c r="A29" i="30" s="1"/>
  <c r="B29" i="30"/>
  <c r="J28" i="30"/>
  <c r="K28" i="30" s="1"/>
  <c r="I28" i="30"/>
  <c r="M28" i="30" s="1"/>
  <c r="A28" i="30" s="1"/>
  <c r="B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J23" i="30"/>
  <c r="K23" i="30" s="1"/>
  <c r="I23" i="30"/>
  <c r="M23" i="30" s="1"/>
  <c r="A23" i="30" s="1"/>
  <c r="B23" i="30"/>
  <c r="J22" i="30"/>
  <c r="K22" i="30" s="1"/>
  <c r="I22" i="30"/>
  <c r="M22" i="30" s="1"/>
  <c r="A22" i="30" s="1"/>
  <c r="B22" i="30"/>
  <c r="J21" i="30"/>
  <c r="K21" i="30" s="1"/>
  <c r="I21" i="30"/>
  <c r="M21" i="30" s="1"/>
  <c r="A21" i="30" s="1"/>
  <c r="B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J18" i="30"/>
  <c r="K18" i="30" s="1"/>
  <c r="I18" i="30"/>
  <c r="M18" i="30" s="1"/>
  <c r="A18" i="30" s="1"/>
  <c r="B18" i="30"/>
  <c r="J17" i="30"/>
  <c r="K17" i="30" s="1"/>
  <c r="I17" i="30"/>
  <c r="M17" i="30" s="1"/>
  <c r="A17" i="30" s="1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J13" i="30"/>
  <c r="K13" i="30" s="1"/>
  <c r="I13" i="30"/>
  <c r="M13" i="30" s="1"/>
  <c r="A13" i="30" s="1"/>
  <c r="B13" i="30"/>
  <c r="AI12" i="30"/>
  <c r="AI16" i="30" s="1"/>
  <c r="J12" i="30"/>
  <c r="K12" i="30" s="1"/>
  <c r="I12" i="30"/>
  <c r="M12" i="30" s="1"/>
  <c r="A12" i="30" s="1"/>
  <c r="J11" i="30"/>
  <c r="K11" i="30" s="1"/>
  <c r="I11" i="30"/>
  <c r="M11" i="30" s="1"/>
  <c r="A11" i="30" s="1"/>
  <c r="J10" i="30"/>
  <c r="K10" i="30" s="1"/>
  <c r="I10" i="30"/>
  <c r="M10" i="30" s="1"/>
  <c r="A10" i="30" s="1"/>
  <c r="J9" i="30"/>
  <c r="K9" i="30" s="1"/>
  <c r="I9" i="30"/>
  <c r="K8" i="30"/>
  <c r="J8" i="30"/>
  <c r="I8" i="30"/>
  <c r="M8" i="30" s="1"/>
  <c r="A8" i="30" s="1"/>
  <c r="K7" i="30"/>
  <c r="I7" i="30"/>
  <c r="K6" i="30"/>
  <c r="I6" i="30"/>
  <c r="K2" i="30"/>
  <c r="L8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K290" i="29"/>
  <c r="J290" i="29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K226" i="29"/>
  <c r="J226" i="29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K202" i="29"/>
  <c r="J202" i="29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J155" i="29"/>
  <c r="K155" i="29" s="1"/>
  <c r="I155" i="29"/>
  <c r="M155" i="29" s="1"/>
  <c r="K154" i="29"/>
  <c r="J154" i="29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J135" i="29"/>
  <c r="K135" i="29" s="1"/>
  <c r="I135" i="29"/>
  <c r="M135" i="29" s="1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M131" i="29"/>
  <c r="J131" i="29"/>
  <c r="K131" i="29" s="1"/>
  <c r="I131" i="29"/>
  <c r="J130" i="29"/>
  <c r="K130" i="29" s="1"/>
  <c r="I130" i="29"/>
  <c r="M130" i="29" s="1"/>
  <c r="M129" i="29"/>
  <c r="J129" i="29"/>
  <c r="K129" i="29" s="1"/>
  <c r="I129" i="29"/>
  <c r="M128" i="29"/>
  <c r="J128" i="29"/>
  <c r="K128" i="29" s="1"/>
  <c r="I128" i="29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J124" i="29"/>
  <c r="K124" i="29" s="1"/>
  <c r="I124" i="29"/>
  <c r="M124" i="29" s="1"/>
  <c r="M123" i="29"/>
  <c r="J123" i="29"/>
  <c r="K123" i="29" s="1"/>
  <c r="I123" i="29"/>
  <c r="J122" i="29"/>
  <c r="K122" i="29" s="1"/>
  <c r="I122" i="29"/>
  <c r="M122" i="29" s="1"/>
  <c r="J121" i="29"/>
  <c r="K121" i="29" s="1"/>
  <c r="I121" i="29"/>
  <c r="M121" i="29" s="1"/>
  <c r="M120" i="29"/>
  <c r="J120" i="29"/>
  <c r="K120" i="29" s="1"/>
  <c r="I120" i="29"/>
  <c r="M119" i="29"/>
  <c r="J119" i="29"/>
  <c r="K119" i="29" s="1"/>
  <c r="I119" i="29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J114" i="29"/>
  <c r="K114" i="29" s="1"/>
  <c r="I114" i="29"/>
  <c r="M114" i="29" s="1"/>
  <c r="M113" i="29"/>
  <c r="J113" i="29"/>
  <c r="K113" i="29" s="1"/>
  <c r="I113" i="29"/>
  <c r="J112" i="29"/>
  <c r="K112" i="29" s="1"/>
  <c r="I112" i="29"/>
  <c r="M112" i="29" s="1"/>
  <c r="M111" i="29"/>
  <c r="J111" i="29"/>
  <c r="K111" i="29" s="1"/>
  <c r="I111" i="29"/>
  <c r="M110" i="29"/>
  <c r="J110" i="29"/>
  <c r="K110" i="29" s="1"/>
  <c r="I110" i="29"/>
  <c r="J109" i="29"/>
  <c r="K109" i="29" s="1"/>
  <c r="I109" i="29"/>
  <c r="M109" i="29" s="1"/>
  <c r="J108" i="29"/>
  <c r="K108" i="29" s="1"/>
  <c r="I108" i="29"/>
  <c r="M108" i="29" s="1"/>
  <c r="M107" i="29"/>
  <c r="J107" i="29"/>
  <c r="K107" i="29" s="1"/>
  <c r="I107" i="29"/>
  <c r="J106" i="29"/>
  <c r="K106" i="29" s="1"/>
  <c r="I106" i="29"/>
  <c r="M106" i="29" s="1"/>
  <c r="M105" i="29"/>
  <c r="J105" i="29"/>
  <c r="K105" i="29" s="1"/>
  <c r="I105" i="29"/>
  <c r="M104" i="29"/>
  <c r="J104" i="29"/>
  <c r="K104" i="29" s="1"/>
  <c r="I104" i="29"/>
  <c r="J103" i="29"/>
  <c r="K103" i="29" s="1"/>
  <c r="I103" i="29"/>
  <c r="M103" i="29" s="1"/>
  <c r="M102" i="29"/>
  <c r="J102" i="29"/>
  <c r="K102" i="29" s="1"/>
  <c r="I102" i="29"/>
  <c r="J101" i="29"/>
  <c r="K101" i="29" s="1"/>
  <c r="I101" i="29"/>
  <c r="M101" i="29" s="1"/>
  <c r="J100" i="29"/>
  <c r="K100" i="29" s="1"/>
  <c r="I100" i="29"/>
  <c r="M100" i="29" s="1"/>
  <c r="M99" i="29"/>
  <c r="J99" i="29"/>
  <c r="K99" i="29" s="1"/>
  <c r="I99" i="29"/>
  <c r="J98" i="29"/>
  <c r="K98" i="29" s="1"/>
  <c r="I98" i="29"/>
  <c r="M98" i="29" s="1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M90" i="29"/>
  <c r="J90" i="29"/>
  <c r="K90" i="29" s="1"/>
  <c r="I90" i="29"/>
  <c r="J89" i="29"/>
  <c r="K89" i="29" s="1"/>
  <c r="I89" i="29"/>
  <c r="M89" i="29" s="1"/>
  <c r="M88" i="29"/>
  <c r="J88" i="29"/>
  <c r="K88" i="29" s="1"/>
  <c r="I88" i="29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M84" i="29"/>
  <c r="J84" i="29"/>
  <c r="K84" i="29" s="1"/>
  <c r="I84" i="29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M74" i="29"/>
  <c r="J74" i="29"/>
  <c r="K74" i="29" s="1"/>
  <c r="I74" i="29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K64" i="29"/>
  <c r="J64" i="29"/>
  <c r="I64" i="29"/>
  <c r="M64" i="29" s="1"/>
  <c r="B64" i="29"/>
  <c r="J63" i="29"/>
  <c r="K63" i="29" s="1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M59" i="29"/>
  <c r="J59" i="29"/>
  <c r="K59" i="29" s="1"/>
  <c r="I59" i="29"/>
  <c r="B59" i="29"/>
  <c r="J58" i="29"/>
  <c r="K58" i="29" s="1"/>
  <c r="I58" i="29"/>
  <c r="M58" i="29" s="1"/>
  <c r="B58" i="29"/>
  <c r="J57" i="29"/>
  <c r="K57" i="29" s="1"/>
  <c r="I57" i="29"/>
  <c r="M57" i="29" s="1"/>
  <c r="B57" i="29"/>
  <c r="J56" i="29"/>
  <c r="K56" i="29" s="1"/>
  <c r="I56" i="29"/>
  <c r="M56" i="29" s="1"/>
  <c r="B56" i="29"/>
  <c r="J55" i="29"/>
  <c r="K55" i="29" s="1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K50" i="29"/>
  <c r="J50" i="29"/>
  <c r="I50" i="29"/>
  <c r="M50" i="29" s="1"/>
  <c r="B50" i="29"/>
  <c r="J49" i="29"/>
  <c r="K49" i="29" s="1"/>
  <c r="I49" i="29"/>
  <c r="M49" i="29" s="1"/>
  <c r="B49" i="29"/>
  <c r="J48" i="29"/>
  <c r="K48" i="29" s="1"/>
  <c r="I48" i="29"/>
  <c r="M48" i="29" s="1"/>
  <c r="B48" i="29"/>
  <c r="J47" i="29"/>
  <c r="K47" i="29" s="1"/>
  <c r="I47" i="29"/>
  <c r="M47" i="29" s="1"/>
  <c r="B47" i="29"/>
  <c r="T46" i="29"/>
  <c r="R46" i="29"/>
  <c r="U46" i="29" s="1"/>
  <c r="M46" i="29"/>
  <c r="J46" i="29"/>
  <c r="K46" i="29" s="1"/>
  <c r="I46" i="29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J42" i="29"/>
  <c r="K42" i="29" s="1"/>
  <c r="I42" i="29"/>
  <c r="M42" i="29" s="1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K36" i="29"/>
  <c r="J36" i="29"/>
  <c r="I36" i="29"/>
  <c r="M36" i="29" s="1"/>
  <c r="A36" i="29" s="1"/>
  <c r="B36" i="29"/>
  <c r="J35" i="29"/>
  <c r="K35" i="29" s="1"/>
  <c r="I35" i="29"/>
  <c r="M35" i="29" s="1"/>
  <c r="A35" i="29" s="1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J31" i="29"/>
  <c r="K31" i="29" s="1"/>
  <c r="I31" i="29"/>
  <c r="M31" i="29" s="1"/>
  <c r="A31" i="29" s="1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A27" i="29" s="1"/>
  <c r="B27" i="29"/>
  <c r="K26" i="29"/>
  <c r="J26" i="29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A24" i="29" s="1"/>
  <c r="B24" i="29"/>
  <c r="J23" i="29"/>
  <c r="K23" i="29" s="1"/>
  <c r="I23" i="29"/>
  <c r="M23" i="29" s="1"/>
  <c r="A23" i="29" s="1"/>
  <c r="B23" i="29"/>
  <c r="J22" i="29"/>
  <c r="K22" i="29" s="1"/>
  <c r="I22" i="29"/>
  <c r="M22" i="29" s="1"/>
  <c r="A22" i="29" s="1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A20" i="29" s="1"/>
  <c r="B20" i="29"/>
  <c r="K19" i="29"/>
  <c r="J19" i="29"/>
  <c r="I19" i="29"/>
  <c r="M19" i="29" s="1"/>
  <c r="A19" i="29" s="1"/>
  <c r="B19" i="29"/>
  <c r="J18" i="29"/>
  <c r="K18" i="29" s="1"/>
  <c r="I18" i="29"/>
  <c r="M18" i="29" s="1"/>
  <c r="A18" i="29" s="1"/>
  <c r="B18" i="29"/>
  <c r="J17" i="29"/>
  <c r="K17" i="29" s="1"/>
  <c r="I17" i="29"/>
  <c r="M17" i="29" s="1"/>
  <c r="A17" i="29" s="1"/>
  <c r="B17" i="29"/>
  <c r="J16" i="29"/>
  <c r="K16" i="29" s="1"/>
  <c r="I16" i="29"/>
  <c r="M16" i="29" s="1"/>
  <c r="A16" i="29" s="1"/>
  <c r="B16" i="29"/>
  <c r="J15" i="29"/>
  <c r="K15" i="29" s="1"/>
  <c r="I15" i="29"/>
  <c r="M15" i="29" s="1"/>
  <c r="A15" i="29" s="1"/>
  <c r="B15" i="29"/>
  <c r="AI14" i="29"/>
  <c r="AI16" i="29" s="1"/>
  <c r="J14" i="29"/>
  <c r="K14" i="29" s="1"/>
  <c r="I14" i="29"/>
  <c r="M14" i="29" s="1"/>
  <c r="A14" i="29" s="1"/>
  <c r="B14" i="29"/>
  <c r="AI13" i="29"/>
  <c r="M13" i="29"/>
  <c r="A13" i="29" s="1"/>
  <c r="J13" i="29"/>
  <c r="K13" i="29" s="1"/>
  <c r="I13" i="29"/>
  <c r="B13" i="29"/>
  <c r="AI12" i="29"/>
  <c r="J12" i="29"/>
  <c r="K12" i="29" s="1"/>
  <c r="I12" i="29"/>
  <c r="M12" i="29" s="1"/>
  <c r="A12" i="29" s="1"/>
  <c r="B12" i="29"/>
  <c r="J11" i="29"/>
  <c r="K11" i="29" s="1"/>
  <c r="I11" i="29"/>
  <c r="M11" i="29" s="1"/>
  <c r="A11" i="29" s="1"/>
  <c r="I12" i="13"/>
  <c r="J10" i="29"/>
  <c r="K10" i="29" s="1"/>
  <c r="I10" i="29"/>
  <c r="J9" i="29"/>
  <c r="K9" i="29" s="1"/>
  <c r="I9" i="29"/>
  <c r="J8" i="29"/>
  <c r="K8" i="29" s="1"/>
  <c r="I8" i="29"/>
  <c r="J7" i="29"/>
  <c r="K7" i="29" s="1"/>
  <c r="I7" i="29"/>
  <c r="J6" i="29"/>
  <c r="K6" i="29" s="1"/>
  <c r="I6" i="29"/>
  <c r="I9" i="13"/>
  <c r="J9" i="13" s="1"/>
  <c r="K2" i="29"/>
  <c r="L6" i="29" s="1"/>
  <c r="E13" i="20"/>
  <c r="AH9" i="20" a="1"/>
  <c r="AH9" i="20" s="1"/>
  <c r="AH11" i="20" a="1"/>
  <c r="AH11" i="20" s="1"/>
  <c r="AH8" i="20" a="1"/>
  <c r="AH8" i="20" s="1"/>
  <c r="AH10" i="20" a="1"/>
  <c r="AH10" i="20" s="1"/>
  <c r="AH7" i="20" a="1"/>
  <c r="AH7" i="20" s="1"/>
  <c r="AH16" i="20" a="1"/>
  <c r="AH16" i="20" s="1"/>
  <c r="AH18" i="20" a="1"/>
  <c r="AH18" i="20" s="1"/>
  <c r="AH19" i="20" a="1"/>
  <c r="AH19" i="20" s="1"/>
  <c r="AH20" i="20" a="1"/>
  <c r="AH20" i="20" s="1"/>
  <c r="AH21" i="20" a="1"/>
  <c r="AH21" i="20" s="1"/>
  <c r="AH17" i="20" a="1"/>
  <c r="AH17" i="20" s="1"/>
  <c r="AH22" i="20" a="1"/>
  <c r="AH22" i="20" s="1"/>
  <c r="B143" i="26"/>
  <c r="B142" i="26"/>
  <c r="B141" i="26"/>
  <c r="B140" i="26"/>
  <c r="B139" i="26"/>
  <c r="B138" i="26"/>
  <c r="B137" i="26"/>
  <c r="B136" i="26"/>
  <c r="B135" i="26"/>
  <c r="B134" i="26"/>
  <c r="B133" i="26"/>
  <c r="B132" i="26"/>
  <c r="B131" i="26"/>
  <c r="B130" i="26"/>
  <c r="B129" i="26"/>
  <c r="B128" i="26"/>
  <c r="B127" i="26"/>
  <c r="B126" i="26"/>
  <c r="B125" i="26"/>
  <c r="B124" i="26"/>
  <c r="B123" i="26"/>
  <c r="B122" i="26"/>
  <c r="B121" i="26"/>
  <c r="B120" i="26"/>
  <c r="B119" i="26"/>
  <c r="B118" i="26"/>
  <c r="B117" i="26"/>
  <c r="B116" i="26"/>
  <c r="B115" i="26"/>
  <c r="B114" i="26"/>
  <c r="B113" i="26"/>
  <c r="B112" i="26"/>
  <c r="B111" i="26"/>
  <c r="B110" i="26"/>
  <c r="B109" i="26"/>
  <c r="B108" i="26"/>
  <c r="B107" i="26"/>
  <c r="B106" i="26"/>
  <c r="B105" i="26"/>
  <c r="B104" i="26"/>
  <c r="B103" i="26"/>
  <c r="B102" i="26"/>
  <c r="B101" i="26"/>
  <c r="B100" i="26"/>
  <c r="B99" i="26"/>
  <c r="B98" i="26"/>
  <c r="B97" i="26"/>
  <c r="B96" i="26"/>
  <c r="B95" i="26"/>
  <c r="B94" i="26"/>
  <c r="B93" i="26"/>
  <c r="B92" i="26"/>
  <c r="B91" i="26"/>
  <c r="B90" i="26"/>
  <c r="B89" i="26"/>
  <c r="B88" i="26"/>
  <c r="AH14" i="20" s="1" a="1"/>
  <c r="AH14" i="20" s="1"/>
  <c r="B87" i="26"/>
  <c r="B86" i="26"/>
  <c r="B85" i="26"/>
  <c r="B84" i="26"/>
  <c r="B83" i="26"/>
  <c r="B82" i="26"/>
  <c r="B81" i="26"/>
  <c r="B80" i="26"/>
  <c r="B79" i="26"/>
  <c r="B78" i="26"/>
  <c r="B77" i="26"/>
  <c r="B76" i="26"/>
  <c r="B75" i="26"/>
  <c r="B74" i="26"/>
  <c r="B73" i="26"/>
  <c r="B72" i="26"/>
  <c r="B71" i="26"/>
  <c r="B70" i="26"/>
  <c r="B69" i="26"/>
  <c r="B68" i="26"/>
  <c r="B67" i="26"/>
  <c r="B66" i="26"/>
  <c r="B65" i="26"/>
  <c r="B64" i="26"/>
  <c r="B63" i="26"/>
  <c r="B62" i="26"/>
  <c r="B61" i="26"/>
  <c r="B60" i="26"/>
  <c r="B59" i="26"/>
  <c r="B58" i="26"/>
  <c r="B57" i="26"/>
  <c r="B56" i="26"/>
  <c r="B55" i="26"/>
  <c r="B54" i="26"/>
  <c r="B53" i="26"/>
  <c r="B52" i="26"/>
  <c r="B51" i="26"/>
  <c r="B50" i="26"/>
  <c r="B49" i="26"/>
  <c r="B48" i="26"/>
  <c r="B47" i="26"/>
  <c r="AH6" i="20" s="1" a="1"/>
  <c r="AH6" i="20" s="1"/>
  <c r="B46" i="26"/>
  <c r="B45" i="26"/>
  <c r="B44" i="26"/>
  <c r="B43" i="26"/>
  <c r="B42" i="26"/>
  <c r="B41" i="26"/>
  <c r="B40" i="26"/>
  <c r="B39" i="26"/>
  <c r="B38" i="26"/>
  <c r="B37" i="26"/>
  <c r="AH12" i="20" s="1" a="1"/>
  <c r="AH12" i="20" s="1"/>
  <c r="B36" i="26"/>
  <c r="B35" i="26"/>
  <c r="B34" i="26"/>
  <c r="B33" i="26"/>
  <c r="B32" i="26"/>
  <c r="B31" i="26"/>
  <c r="B30" i="26"/>
  <c r="B29" i="26"/>
  <c r="B28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I6" i="19"/>
  <c r="I6" i="18"/>
  <c r="I6" i="17"/>
  <c r="J9" i="26"/>
  <c r="K9" i="26" s="1"/>
  <c r="I9" i="26"/>
  <c r="J9" i="27"/>
  <c r="K9" i="27" s="1"/>
  <c r="I9" i="27"/>
  <c r="B9" i="27"/>
  <c r="J9" i="25"/>
  <c r="K9" i="25" s="1"/>
  <c r="I9" i="25"/>
  <c r="J9" i="24"/>
  <c r="K9" i="24" s="1"/>
  <c r="I9" i="24"/>
  <c r="B9" i="24"/>
  <c r="B17" i="27"/>
  <c r="B16" i="27"/>
  <c r="X6" i="20" s="1"/>
  <c r="B15" i="27"/>
  <c r="B14" i="27"/>
  <c r="B13" i="27"/>
  <c r="B12" i="27"/>
  <c r="B20" i="25"/>
  <c r="B19" i="25"/>
  <c r="B18" i="25"/>
  <c r="B17" i="25"/>
  <c r="B16" i="25"/>
  <c r="R22" i="20"/>
  <c r="R21" i="20"/>
  <c r="R20" i="20"/>
  <c r="R19" i="20"/>
  <c r="R18" i="20"/>
  <c r="R11" i="20"/>
  <c r="R13" i="20"/>
  <c r="T22" i="20"/>
  <c r="T21" i="20"/>
  <c r="T20" i="20"/>
  <c r="T19" i="20"/>
  <c r="T18" i="20"/>
  <c r="T10" i="20"/>
  <c r="T11" i="20"/>
  <c r="T13" i="20"/>
  <c r="T6" i="20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J300" i="27"/>
  <c r="K300" i="27" s="1"/>
  <c r="I300" i="27"/>
  <c r="M300" i="27" s="1"/>
  <c r="J299" i="27"/>
  <c r="K299" i="27" s="1"/>
  <c r="I299" i="27"/>
  <c r="M299" i="27" s="1"/>
  <c r="J298" i="27"/>
  <c r="K298" i="27" s="1"/>
  <c r="I298" i="27"/>
  <c r="M298" i="27" s="1"/>
  <c r="J297" i="27"/>
  <c r="K297" i="27" s="1"/>
  <c r="I297" i="27"/>
  <c r="M297" i="27" s="1"/>
  <c r="J296" i="27"/>
  <c r="K296" i="27" s="1"/>
  <c r="I296" i="27"/>
  <c r="M296" i="27" s="1"/>
  <c r="J295" i="27"/>
  <c r="K295" i="27" s="1"/>
  <c r="I295" i="27"/>
  <c r="M295" i="27" s="1"/>
  <c r="J294" i="27"/>
  <c r="K294" i="27" s="1"/>
  <c r="I294" i="27"/>
  <c r="M294" i="27" s="1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J288" i="27"/>
  <c r="K288" i="27" s="1"/>
  <c r="I288" i="27"/>
  <c r="M288" i="27" s="1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J280" i="27"/>
  <c r="K280" i="27" s="1"/>
  <c r="I280" i="27"/>
  <c r="M280" i="27" s="1"/>
  <c r="J279" i="27"/>
  <c r="K279" i="27" s="1"/>
  <c r="I279" i="27"/>
  <c r="M279" i="27" s="1"/>
  <c r="J278" i="27"/>
  <c r="K278" i="27" s="1"/>
  <c r="I278" i="27"/>
  <c r="M278" i="27" s="1"/>
  <c r="J277" i="27"/>
  <c r="K277" i="27" s="1"/>
  <c r="I277" i="27"/>
  <c r="M277" i="27" s="1"/>
  <c r="J276" i="27"/>
  <c r="K276" i="27" s="1"/>
  <c r="I276" i="27"/>
  <c r="M276" i="27" s="1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J272" i="27"/>
  <c r="K272" i="27" s="1"/>
  <c r="I272" i="27"/>
  <c r="M272" i="27" s="1"/>
  <c r="J271" i="27"/>
  <c r="K271" i="27" s="1"/>
  <c r="I271" i="27"/>
  <c r="M271" i="27" s="1"/>
  <c r="J270" i="27"/>
  <c r="K270" i="27" s="1"/>
  <c r="I270" i="27"/>
  <c r="M270" i="27" s="1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J264" i="27"/>
  <c r="K264" i="27" s="1"/>
  <c r="I264" i="27"/>
  <c r="M264" i="27" s="1"/>
  <c r="J263" i="27"/>
  <c r="K263" i="27" s="1"/>
  <c r="I263" i="27"/>
  <c r="M263" i="27" s="1"/>
  <c r="J262" i="27"/>
  <c r="K262" i="27" s="1"/>
  <c r="I262" i="27"/>
  <c r="M262" i="27" s="1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J256" i="27"/>
  <c r="K256" i="27" s="1"/>
  <c r="I256" i="27"/>
  <c r="M256" i="27" s="1"/>
  <c r="J255" i="27"/>
  <c r="K255" i="27" s="1"/>
  <c r="I255" i="27"/>
  <c r="M255" i="27" s="1"/>
  <c r="J254" i="27"/>
  <c r="K254" i="27" s="1"/>
  <c r="I254" i="27"/>
  <c r="M254" i="27" s="1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J248" i="27"/>
  <c r="K248" i="27" s="1"/>
  <c r="I248" i="27"/>
  <c r="M248" i="27" s="1"/>
  <c r="J247" i="27"/>
  <c r="K247" i="27" s="1"/>
  <c r="I247" i="27"/>
  <c r="M247" i="27" s="1"/>
  <c r="J246" i="27"/>
  <c r="K246" i="27" s="1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J242" i="27"/>
  <c r="K242" i="27" s="1"/>
  <c r="I242" i="27"/>
  <c r="M242" i="27" s="1"/>
  <c r="J241" i="27"/>
  <c r="K241" i="27" s="1"/>
  <c r="I241" i="27"/>
  <c r="M241" i="27" s="1"/>
  <c r="J240" i="27"/>
  <c r="K240" i="27" s="1"/>
  <c r="I240" i="27"/>
  <c r="M240" i="27" s="1"/>
  <c r="J239" i="27"/>
  <c r="K239" i="27" s="1"/>
  <c r="I239" i="27"/>
  <c r="M239" i="27" s="1"/>
  <c r="J238" i="27"/>
  <c r="K238" i="27" s="1"/>
  <c r="I238" i="27"/>
  <c r="M238" i="27" s="1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J231" i="27"/>
  <c r="K231" i="27" s="1"/>
  <c r="I231" i="27"/>
  <c r="M231" i="27" s="1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J219" i="27"/>
  <c r="K219" i="27" s="1"/>
  <c r="I219" i="27"/>
  <c r="M219" i="27" s="1"/>
  <c r="J218" i="27"/>
  <c r="K218" i="27" s="1"/>
  <c r="I218" i="27"/>
  <c r="M218" i="27" s="1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J200" i="27"/>
  <c r="K200" i="27" s="1"/>
  <c r="I200" i="27"/>
  <c r="M200" i="27" s="1"/>
  <c r="J199" i="27"/>
  <c r="K199" i="27" s="1"/>
  <c r="I199" i="27"/>
  <c r="M199" i="27" s="1"/>
  <c r="J198" i="27"/>
  <c r="K198" i="27" s="1"/>
  <c r="I198" i="27"/>
  <c r="M198" i="27" s="1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J190" i="27"/>
  <c r="K190" i="27" s="1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J186" i="27"/>
  <c r="K186" i="27" s="1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J169" i="27"/>
  <c r="K169" i="27" s="1"/>
  <c r="I169" i="27"/>
  <c r="M169" i="27" s="1"/>
  <c r="J168" i="27"/>
  <c r="K168" i="27" s="1"/>
  <c r="I168" i="27"/>
  <c r="M168" i="27" s="1"/>
  <c r="J167" i="27"/>
  <c r="K167" i="27" s="1"/>
  <c r="I167" i="27"/>
  <c r="M167" i="27" s="1"/>
  <c r="J166" i="27"/>
  <c r="K166" i="27" s="1"/>
  <c r="I166" i="27"/>
  <c r="M166" i="27" s="1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J162" i="27"/>
  <c r="K162" i="27" s="1"/>
  <c r="I162" i="27"/>
  <c r="M162" i="27" s="1"/>
  <c r="J161" i="27"/>
  <c r="K161" i="27" s="1"/>
  <c r="I161" i="27"/>
  <c r="M161" i="27" s="1"/>
  <c r="J160" i="27"/>
  <c r="K160" i="27" s="1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J156" i="27"/>
  <c r="K156" i="27" s="1"/>
  <c r="I156" i="27"/>
  <c r="M156" i="27" s="1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J150" i="27"/>
  <c r="K150" i="27" s="1"/>
  <c r="I150" i="27"/>
  <c r="M150" i="27" s="1"/>
  <c r="J149" i="27"/>
  <c r="K149" i="27" s="1"/>
  <c r="I149" i="27"/>
  <c r="M149" i="27" s="1"/>
  <c r="J148" i="27"/>
  <c r="K148" i="27" s="1"/>
  <c r="I148" i="27"/>
  <c r="M148" i="27" s="1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J140" i="27"/>
  <c r="K140" i="27" s="1"/>
  <c r="I140" i="27"/>
  <c r="M140" i="27" s="1"/>
  <c r="J139" i="27"/>
  <c r="K139" i="27" s="1"/>
  <c r="I139" i="27"/>
  <c r="M139" i="27" s="1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J133" i="27"/>
  <c r="K133" i="27" s="1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J124" i="27"/>
  <c r="K124" i="27" s="1"/>
  <c r="I124" i="27"/>
  <c r="M124" i="27" s="1"/>
  <c r="J123" i="27"/>
  <c r="K123" i="27" s="1"/>
  <c r="I123" i="27"/>
  <c r="M123" i="27" s="1"/>
  <c r="J122" i="27"/>
  <c r="K122" i="27" s="1"/>
  <c r="I122" i="27"/>
  <c r="M122" i="27" s="1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J117" i="27"/>
  <c r="K117" i="27" s="1"/>
  <c r="I117" i="27"/>
  <c r="M117" i="27" s="1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J108" i="27"/>
  <c r="K108" i="27" s="1"/>
  <c r="I108" i="27"/>
  <c r="M108" i="27" s="1"/>
  <c r="J107" i="27"/>
  <c r="K107" i="27" s="1"/>
  <c r="I107" i="27"/>
  <c r="M107" i="27" s="1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J100" i="27"/>
  <c r="K100" i="27" s="1"/>
  <c r="I100" i="27"/>
  <c r="M100" i="27" s="1"/>
  <c r="J99" i="27"/>
  <c r="K99" i="27" s="1"/>
  <c r="I99" i="27"/>
  <c r="M99" i="27" s="1"/>
  <c r="J98" i="27"/>
  <c r="K98" i="27" s="1"/>
  <c r="I98" i="27"/>
  <c r="M98" i="27" s="1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J93" i="27"/>
  <c r="K93" i="27" s="1"/>
  <c r="I93" i="27"/>
  <c r="M93" i="27" s="1"/>
  <c r="J92" i="27"/>
  <c r="K92" i="27" s="1"/>
  <c r="I92" i="27"/>
  <c r="M92" i="27" s="1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J85" i="27"/>
  <c r="K85" i="27" s="1"/>
  <c r="I85" i="27"/>
  <c r="M85" i="27" s="1"/>
  <c r="J84" i="27"/>
  <c r="K84" i="27" s="1"/>
  <c r="I84" i="27"/>
  <c r="M84" i="27" s="1"/>
  <c r="J83" i="27"/>
  <c r="K83" i="27" s="1"/>
  <c r="I83" i="27"/>
  <c r="M83" i="27" s="1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J78" i="27"/>
  <c r="K78" i="27" s="1"/>
  <c r="I78" i="27"/>
  <c r="M78" i="27" s="1"/>
  <c r="J77" i="27"/>
  <c r="K77" i="27" s="1"/>
  <c r="I77" i="27"/>
  <c r="M77" i="27" s="1"/>
  <c r="J76" i="27"/>
  <c r="K76" i="27" s="1"/>
  <c r="I76" i="27"/>
  <c r="M76" i="27" s="1"/>
  <c r="J75" i="27"/>
  <c r="K75" i="27" s="1"/>
  <c r="I75" i="27"/>
  <c r="M75" i="27" s="1"/>
  <c r="J74" i="27"/>
  <c r="K74" i="27" s="1"/>
  <c r="I74" i="27"/>
  <c r="M74" i="27" s="1"/>
  <c r="J73" i="27"/>
  <c r="K73" i="27" s="1"/>
  <c r="I73" i="27"/>
  <c r="M73" i="27" s="1"/>
  <c r="J72" i="27"/>
  <c r="K72" i="27" s="1"/>
  <c r="I72" i="27"/>
  <c r="M72" i="27" s="1"/>
  <c r="J71" i="27"/>
  <c r="K71" i="27" s="1"/>
  <c r="I71" i="27"/>
  <c r="M71" i="27" s="1"/>
  <c r="J70" i="27"/>
  <c r="K70" i="27" s="1"/>
  <c r="I70" i="27"/>
  <c r="M70" i="27" s="1"/>
  <c r="J69" i="27"/>
  <c r="K69" i="27" s="1"/>
  <c r="I69" i="27"/>
  <c r="M69" i="27" s="1"/>
  <c r="J68" i="27"/>
  <c r="K68" i="27" s="1"/>
  <c r="I68" i="27"/>
  <c r="M68" i="27" s="1"/>
  <c r="J67" i="27"/>
  <c r="K67" i="27" s="1"/>
  <c r="I67" i="27"/>
  <c r="M67" i="27" s="1"/>
  <c r="J66" i="27"/>
  <c r="K66" i="27" s="1"/>
  <c r="I66" i="27"/>
  <c r="M66" i="27" s="1"/>
  <c r="J65" i="27"/>
  <c r="K65" i="27" s="1"/>
  <c r="I65" i="27"/>
  <c r="M65" i="27" s="1"/>
  <c r="B65" i="27"/>
  <c r="J64" i="27"/>
  <c r="K64" i="27" s="1"/>
  <c r="I64" i="27"/>
  <c r="M64" i="27" s="1"/>
  <c r="B64" i="27"/>
  <c r="J63" i="27"/>
  <c r="K63" i="27" s="1"/>
  <c r="I63" i="27"/>
  <c r="M63" i="27" s="1"/>
  <c r="B63" i="27"/>
  <c r="J62" i="27"/>
  <c r="K62" i="27" s="1"/>
  <c r="I62" i="27"/>
  <c r="M62" i="27" s="1"/>
  <c r="B62" i="27"/>
  <c r="J61" i="27"/>
  <c r="K61" i="27" s="1"/>
  <c r="I61" i="27"/>
  <c r="M61" i="27" s="1"/>
  <c r="B61" i="27"/>
  <c r="J60" i="27"/>
  <c r="K60" i="27" s="1"/>
  <c r="I60" i="27"/>
  <c r="M60" i="27" s="1"/>
  <c r="B60" i="27"/>
  <c r="J59" i="27"/>
  <c r="K59" i="27" s="1"/>
  <c r="I59" i="27"/>
  <c r="M59" i="27" s="1"/>
  <c r="B59" i="27"/>
  <c r="J58" i="27"/>
  <c r="K58" i="27" s="1"/>
  <c r="I58" i="27"/>
  <c r="M58" i="27" s="1"/>
  <c r="B58" i="27"/>
  <c r="J57" i="27"/>
  <c r="K57" i="27" s="1"/>
  <c r="I57" i="27"/>
  <c r="M57" i="27" s="1"/>
  <c r="B57" i="27"/>
  <c r="J56" i="27"/>
  <c r="K56" i="27" s="1"/>
  <c r="I56" i="27"/>
  <c r="M56" i="27" s="1"/>
  <c r="B56" i="27"/>
  <c r="J55" i="27"/>
  <c r="K55" i="27" s="1"/>
  <c r="I55" i="27"/>
  <c r="M55" i="27" s="1"/>
  <c r="B55" i="27"/>
  <c r="J54" i="27"/>
  <c r="K54" i="27" s="1"/>
  <c r="I54" i="27"/>
  <c r="M54" i="27" s="1"/>
  <c r="B54" i="27"/>
  <c r="J53" i="27"/>
  <c r="K53" i="27" s="1"/>
  <c r="I53" i="27"/>
  <c r="M53" i="27" s="1"/>
  <c r="B53" i="27"/>
  <c r="J52" i="27"/>
  <c r="K52" i="27" s="1"/>
  <c r="I52" i="27"/>
  <c r="M52" i="27" s="1"/>
  <c r="B52" i="27"/>
  <c r="J51" i="27"/>
  <c r="K51" i="27" s="1"/>
  <c r="I51" i="27"/>
  <c r="M51" i="27" s="1"/>
  <c r="B51" i="27"/>
  <c r="J50" i="27"/>
  <c r="K50" i="27" s="1"/>
  <c r="I50" i="27"/>
  <c r="M50" i="27" s="1"/>
  <c r="B50" i="27"/>
  <c r="J49" i="27"/>
  <c r="K49" i="27" s="1"/>
  <c r="I49" i="27"/>
  <c r="M49" i="27" s="1"/>
  <c r="B49" i="27"/>
  <c r="J48" i="27"/>
  <c r="K48" i="27" s="1"/>
  <c r="I48" i="27"/>
  <c r="M48" i="27" s="1"/>
  <c r="B48" i="27"/>
  <c r="J47" i="27"/>
  <c r="K47" i="27" s="1"/>
  <c r="I47" i="27"/>
  <c r="M47" i="27" s="1"/>
  <c r="B47" i="27"/>
  <c r="T46" i="27"/>
  <c r="R46" i="27"/>
  <c r="J46" i="27"/>
  <c r="K46" i="27" s="1"/>
  <c r="I46" i="27"/>
  <c r="M46" i="27" s="1"/>
  <c r="B46" i="27"/>
  <c r="J45" i="27"/>
  <c r="K45" i="27" s="1"/>
  <c r="I45" i="27"/>
  <c r="M45" i="27" s="1"/>
  <c r="B45" i="27"/>
  <c r="J44" i="27"/>
  <c r="K44" i="27" s="1"/>
  <c r="I44" i="27"/>
  <c r="M44" i="27" s="1"/>
  <c r="B44" i="27"/>
  <c r="J43" i="27"/>
  <c r="K43" i="27" s="1"/>
  <c r="I43" i="27"/>
  <c r="M43" i="27" s="1"/>
  <c r="B43" i="27"/>
  <c r="J42" i="27"/>
  <c r="K42" i="27" s="1"/>
  <c r="I42" i="27"/>
  <c r="M42" i="27" s="1"/>
  <c r="B42" i="27"/>
  <c r="J41" i="27"/>
  <c r="K41" i="27" s="1"/>
  <c r="I41" i="27"/>
  <c r="M41" i="27" s="1"/>
  <c r="B41" i="27"/>
  <c r="J40" i="27"/>
  <c r="K40" i="27" s="1"/>
  <c r="I40" i="27"/>
  <c r="M40" i="27" s="1"/>
  <c r="B40" i="27"/>
  <c r="J39" i="27"/>
  <c r="K39" i="27" s="1"/>
  <c r="I39" i="27"/>
  <c r="M39" i="27" s="1"/>
  <c r="B39" i="27"/>
  <c r="J38" i="27"/>
  <c r="K38" i="27" s="1"/>
  <c r="I38" i="27"/>
  <c r="M38" i="27" s="1"/>
  <c r="B38" i="27"/>
  <c r="J37" i="27"/>
  <c r="K37" i="27" s="1"/>
  <c r="I37" i="27"/>
  <c r="M37" i="27" s="1"/>
  <c r="A37" i="27" s="1"/>
  <c r="B37" i="27"/>
  <c r="J36" i="27"/>
  <c r="K36" i="27" s="1"/>
  <c r="I36" i="27"/>
  <c r="M36" i="27" s="1"/>
  <c r="A36" i="27" s="1"/>
  <c r="B36" i="27"/>
  <c r="J35" i="27"/>
  <c r="K35" i="27" s="1"/>
  <c r="I35" i="27"/>
  <c r="M35" i="27" s="1"/>
  <c r="A35" i="27" s="1"/>
  <c r="B35" i="27"/>
  <c r="J34" i="27"/>
  <c r="K34" i="27" s="1"/>
  <c r="I34" i="27"/>
  <c r="M34" i="27" s="1"/>
  <c r="A34" i="27" s="1"/>
  <c r="B34" i="27"/>
  <c r="J33" i="27"/>
  <c r="K33" i="27" s="1"/>
  <c r="I33" i="27"/>
  <c r="M33" i="27" s="1"/>
  <c r="A33" i="27" s="1"/>
  <c r="B33" i="27"/>
  <c r="J32" i="27"/>
  <c r="K32" i="27" s="1"/>
  <c r="I32" i="27"/>
  <c r="M32" i="27" s="1"/>
  <c r="A32" i="27" s="1"/>
  <c r="B32" i="27"/>
  <c r="J31" i="27"/>
  <c r="K31" i="27" s="1"/>
  <c r="I31" i="27"/>
  <c r="B31" i="27"/>
  <c r="J30" i="27"/>
  <c r="K30" i="27" s="1"/>
  <c r="I30" i="27"/>
  <c r="M30" i="27" s="1"/>
  <c r="A30" i="27" s="1"/>
  <c r="B30" i="27"/>
  <c r="J29" i="27"/>
  <c r="K29" i="27" s="1"/>
  <c r="I29" i="27"/>
  <c r="B29" i="27"/>
  <c r="J28" i="27"/>
  <c r="K28" i="27" s="1"/>
  <c r="I28" i="27"/>
  <c r="M28" i="27" s="1"/>
  <c r="A28" i="27" s="1"/>
  <c r="B28" i="27"/>
  <c r="J27" i="27"/>
  <c r="K27" i="27" s="1"/>
  <c r="I27" i="27"/>
  <c r="B27" i="27"/>
  <c r="J26" i="27"/>
  <c r="K26" i="27" s="1"/>
  <c r="I26" i="27"/>
  <c r="M26" i="27" s="1"/>
  <c r="A26" i="27" s="1"/>
  <c r="B26" i="27"/>
  <c r="J25" i="27"/>
  <c r="K25" i="27" s="1"/>
  <c r="I25" i="27"/>
  <c r="B25" i="27"/>
  <c r="J24" i="27"/>
  <c r="K24" i="27" s="1"/>
  <c r="I24" i="27"/>
  <c r="B24" i="27"/>
  <c r="J23" i="27"/>
  <c r="K23" i="27" s="1"/>
  <c r="I23" i="27"/>
  <c r="B23" i="27"/>
  <c r="J22" i="27"/>
  <c r="K22" i="27" s="1"/>
  <c r="I22" i="27"/>
  <c r="M22" i="27" s="1"/>
  <c r="A22" i="27" s="1"/>
  <c r="B22" i="27"/>
  <c r="J21" i="27"/>
  <c r="K21" i="27" s="1"/>
  <c r="I21" i="27"/>
  <c r="B21" i="27"/>
  <c r="J20" i="27"/>
  <c r="K20" i="27" s="1"/>
  <c r="I20" i="27"/>
  <c r="M20" i="27" s="1"/>
  <c r="A20" i="27" s="1"/>
  <c r="B20" i="27"/>
  <c r="J19" i="27"/>
  <c r="K19" i="27" s="1"/>
  <c r="I19" i="27"/>
  <c r="B19" i="27"/>
  <c r="J18" i="27"/>
  <c r="K18" i="27" s="1"/>
  <c r="I18" i="27"/>
  <c r="B18" i="27"/>
  <c r="J17" i="27"/>
  <c r="K17" i="27" s="1"/>
  <c r="I17" i="27"/>
  <c r="J16" i="27"/>
  <c r="K16" i="27" s="1"/>
  <c r="I16" i="27"/>
  <c r="J15" i="27"/>
  <c r="K15" i="27" s="1"/>
  <c r="I15" i="27"/>
  <c r="AI14" i="27"/>
  <c r="J14" i="27"/>
  <c r="K14" i="27" s="1"/>
  <c r="I14" i="27"/>
  <c r="M14" i="27" s="1"/>
  <c r="A14" i="27" s="1"/>
  <c r="AI13" i="27"/>
  <c r="AI16" i="27" s="1"/>
  <c r="J13" i="27"/>
  <c r="K13" i="27" s="1"/>
  <c r="I13" i="27"/>
  <c r="AI12" i="27"/>
  <c r="J12" i="27"/>
  <c r="K12" i="27" s="1"/>
  <c r="I12" i="27"/>
  <c r="M12" i="27" s="1"/>
  <c r="A12" i="27" s="1"/>
  <c r="J11" i="27"/>
  <c r="K11" i="27" s="1"/>
  <c r="I11" i="27"/>
  <c r="B11" i="27"/>
  <c r="J10" i="27"/>
  <c r="K10" i="27" s="1"/>
  <c r="I10" i="27"/>
  <c r="B10" i="27"/>
  <c r="J8" i="27"/>
  <c r="K8" i="27" s="1"/>
  <c r="I8" i="27"/>
  <c r="B8" i="27"/>
  <c r="J7" i="27"/>
  <c r="K7" i="27" s="1"/>
  <c r="I7" i="27"/>
  <c r="B7" i="27"/>
  <c r="J6" i="27"/>
  <c r="K6" i="27" s="1"/>
  <c r="I6" i="27"/>
  <c r="B6" i="27"/>
  <c r="K2" i="27"/>
  <c r="L6" i="27" s="1"/>
  <c r="J305" i="26"/>
  <c r="K305" i="26" s="1"/>
  <c r="I305" i="26"/>
  <c r="N305" i="26" s="1"/>
  <c r="A305" i="26" s="1"/>
  <c r="J304" i="26"/>
  <c r="K304" i="26" s="1"/>
  <c r="I304" i="26"/>
  <c r="N304" i="26" s="1"/>
  <c r="A304" i="26" s="1"/>
  <c r="J303" i="26"/>
  <c r="K303" i="26" s="1"/>
  <c r="I303" i="26"/>
  <c r="N303" i="26" s="1"/>
  <c r="A303" i="26" s="1"/>
  <c r="J302" i="26"/>
  <c r="K302" i="26" s="1"/>
  <c r="I302" i="26"/>
  <c r="J301" i="26"/>
  <c r="K301" i="26" s="1"/>
  <c r="I301" i="26"/>
  <c r="N301" i="26" s="1"/>
  <c r="A301" i="26" s="1"/>
  <c r="J300" i="26"/>
  <c r="K300" i="26" s="1"/>
  <c r="I300" i="26"/>
  <c r="J299" i="26"/>
  <c r="K299" i="26" s="1"/>
  <c r="I299" i="26"/>
  <c r="N299" i="26" s="1"/>
  <c r="A299" i="26" s="1"/>
  <c r="J298" i="26"/>
  <c r="K298" i="26" s="1"/>
  <c r="I298" i="26"/>
  <c r="J297" i="26"/>
  <c r="K297" i="26" s="1"/>
  <c r="I297" i="26"/>
  <c r="N297" i="26" s="1"/>
  <c r="A297" i="26"/>
  <c r="J296" i="26"/>
  <c r="K296" i="26" s="1"/>
  <c r="I296" i="26"/>
  <c r="N296" i="26" s="1"/>
  <c r="A296" i="26" s="1"/>
  <c r="J295" i="26"/>
  <c r="K295" i="26" s="1"/>
  <c r="I295" i="26"/>
  <c r="N295" i="26" s="1"/>
  <c r="A295" i="26" s="1"/>
  <c r="J294" i="26"/>
  <c r="K294" i="26" s="1"/>
  <c r="I294" i="26"/>
  <c r="J293" i="26"/>
  <c r="K293" i="26" s="1"/>
  <c r="I293" i="26"/>
  <c r="J292" i="26"/>
  <c r="K292" i="26" s="1"/>
  <c r="I292" i="26"/>
  <c r="J291" i="26"/>
  <c r="K291" i="26" s="1"/>
  <c r="I291" i="26"/>
  <c r="J290" i="26"/>
  <c r="K290" i="26" s="1"/>
  <c r="I290" i="26"/>
  <c r="J289" i="26"/>
  <c r="K289" i="26" s="1"/>
  <c r="I289" i="26"/>
  <c r="N289" i="26" s="1"/>
  <c r="A289" i="26" s="1"/>
  <c r="J288" i="26"/>
  <c r="K288" i="26" s="1"/>
  <c r="I288" i="26"/>
  <c r="J287" i="26"/>
  <c r="K287" i="26" s="1"/>
  <c r="I287" i="26"/>
  <c r="J286" i="26"/>
  <c r="K286" i="26" s="1"/>
  <c r="I286" i="26"/>
  <c r="M286" i="26" s="1"/>
  <c r="J285" i="26"/>
  <c r="K285" i="26" s="1"/>
  <c r="I285" i="26"/>
  <c r="J284" i="26"/>
  <c r="K284" i="26" s="1"/>
  <c r="I284" i="26"/>
  <c r="J283" i="26"/>
  <c r="K283" i="26" s="1"/>
  <c r="I283" i="26"/>
  <c r="N283" i="26" s="1"/>
  <c r="A283" i="26" s="1"/>
  <c r="J282" i="26"/>
  <c r="K282" i="26" s="1"/>
  <c r="I282" i="26"/>
  <c r="J281" i="26"/>
  <c r="K281" i="26" s="1"/>
  <c r="I281" i="26"/>
  <c r="N281" i="26" s="1"/>
  <c r="A281" i="26"/>
  <c r="J280" i="26"/>
  <c r="K280" i="26" s="1"/>
  <c r="I280" i="26"/>
  <c r="J279" i="26"/>
  <c r="K279" i="26" s="1"/>
  <c r="I279" i="26"/>
  <c r="J278" i="26"/>
  <c r="K278" i="26" s="1"/>
  <c r="I278" i="26"/>
  <c r="M278" i="26" s="1"/>
  <c r="J277" i="26"/>
  <c r="K277" i="26" s="1"/>
  <c r="I277" i="26"/>
  <c r="N277" i="26" s="1"/>
  <c r="A277" i="26" s="1"/>
  <c r="J276" i="26"/>
  <c r="K276" i="26" s="1"/>
  <c r="I276" i="26"/>
  <c r="M276" i="26" s="1"/>
  <c r="J275" i="26"/>
  <c r="K275" i="26" s="1"/>
  <c r="I275" i="26"/>
  <c r="N275" i="26" s="1"/>
  <c r="A275" i="26" s="1"/>
  <c r="J274" i="26"/>
  <c r="K274" i="26" s="1"/>
  <c r="I274" i="26"/>
  <c r="J273" i="26"/>
  <c r="K273" i="26" s="1"/>
  <c r="I273" i="26"/>
  <c r="N273" i="26" s="1"/>
  <c r="A273" i="26" s="1"/>
  <c r="J272" i="26"/>
  <c r="K272" i="26" s="1"/>
  <c r="I272" i="26"/>
  <c r="J271" i="26"/>
  <c r="K271" i="26" s="1"/>
  <c r="I271" i="26"/>
  <c r="J270" i="26"/>
  <c r="K270" i="26" s="1"/>
  <c r="I270" i="26"/>
  <c r="J269" i="26"/>
  <c r="K269" i="26" s="1"/>
  <c r="I269" i="26"/>
  <c r="N269" i="26" s="1"/>
  <c r="A269" i="26" s="1"/>
  <c r="J268" i="26"/>
  <c r="K268" i="26" s="1"/>
  <c r="I268" i="26"/>
  <c r="J267" i="26"/>
  <c r="K267" i="26" s="1"/>
  <c r="I267" i="26"/>
  <c r="M267" i="26" s="1"/>
  <c r="J266" i="26"/>
  <c r="K266" i="26" s="1"/>
  <c r="I266" i="26"/>
  <c r="J265" i="26"/>
  <c r="K265" i="26" s="1"/>
  <c r="I265" i="26"/>
  <c r="N265" i="26" s="1"/>
  <c r="A265" i="26" s="1"/>
  <c r="J264" i="26"/>
  <c r="K264" i="26" s="1"/>
  <c r="I264" i="26"/>
  <c r="J263" i="26"/>
  <c r="K263" i="26" s="1"/>
  <c r="I263" i="26"/>
  <c r="J262" i="26"/>
  <c r="K262" i="26" s="1"/>
  <c r="I262" i="26"/>
  <c r="J261" i="26"/>
  <c r="K261" i="26" s="1"/>
  <c r="I261" i="26"/>
  <c r="N261" i="26" s="1"/>
  <c r="A261" i="26" s="1"/>
  <c r="J260" i="26"/>
  <c r="K260" i="26" s="1"/>
  <c r="I260" i="26"/>
  <c r="J259" i="26"/>
  <c r="K259" i="26" s="1"/>
  <c r="I259" i="26"/>
  <c r="J258" i="26"/>
  <c r="K258" i="26" s="1"/>
  <c r="I258" i="26"/>
  <c r="J257" i="26"/>
  <c r="K257" i="26" s="1"/>
  <c r="I257" i="26"/>
  <c r="N257" i="26" s="1"/>
  <c r="A257" i="26" s="1"/>
  <c r="J256" i="26"/>
  <c r="K256" i="26" s="1"/>
  <c r="I256" i="26"/>
  <c r="J255" i="26"/>
  <c r="K255" i="26" s="1"/>
  <c r="I255" i="26"/>
  <c r="J254" i="26"/>
  <c r="K254" i="26" s="1"/>
  <c r="I254" i="26"/>
  <c r="J253" i="26"/>
  <c r="K253" i="26" s="1"/>
  <c r="I253" i="26"/>
  <c r="J252" i="26"/>
  <c r="K252" i="26" s="1"/>
  <c r="I252" i="26"/>
  <c r="N252" i="26" s="1"/>
  <c r="A252" i="26" s="1"/>
  <c r="J251" i="26"/>
  <c r="K251" i="26" s="1"/>
  <c r="I251" i="26"/>
  <c r="J250" i="26"/>
  <c r="K250" i="26" s="1"/>
  <c r="I250" i="26"/>
  <c r="J249" i="26"/>
  <c r="K249" i="26" s="1"/>
  <c r="I249" i="26"/>
  <c r="N249" i="26" s="1"/>
  <c r="A249" i="26" s="1"/>
  <c r="J248" i="26"/>
  <c r="K248" i="26" s="1"/>
  <c r="I248" i="26"/>
  <c r="N248" i="26" s="1"/>
  <c r="A248" i="26" s="1"/>
  <c r="J247" i="26"/>
  <c r="K247" i="26" s="1"/>
  <c r="I247" i="26"/>
  <c r="J246" i="26"/>
  <c r="K246" i="26" s="1"/>
  <c r="I246" i="26"/>
  <c r="M246" i="26" s="1"/>
  <c r="J245" i="26"/>
  <c r="K245" i="26" s="1"/>
  <c r="I245" i="26"/>
  <c r="N245" i="26" s="1"/>
  <c r="A245" i="26" s="1"/>
  <c r="J244" i="26"/>
  <c r="K244" i="26" s="1"/>
  <c r="I244" i="26"/>
  <c r="J243" i="26"/>
  <c r="K243" i="26" s="1"/>
  <c r="I243" i="26"/>
  <c r="M243" i="26" s="1"/>
  <c r="J242" i="26"/>
  <c r="K242" i="26" s="1"/>
  <c r="I242" i="26"/>
  <c r="J241" i="26"/>
  <c r="K241" i="26" s="1"/>
  <c r="I241" i="26"/>
  <c r="N241" i="26" s="1"/>
  <c r="A241" i="26"/>
  <c r="J240" i="26"/>
  <c r="K240" i="26" s="1"/>
  <c r="I240" i="26"/>
  <c r="J239" i="26"/>
  <c r="K239" i="26" s="1"/>
  <c r="I239" i="26"/>
  <c r="N239" i="26" s="1"/>
  <c r="A239" i="26" s="1"/>
  <c r="J238" i="26"/>
  <c r="K238" i="26" s="1"/>
  <c r="I238" i="26"/>
  <c r="J237" i="26"/>
  <c r="K237" i="26" s="1"/>
  <c r="I237" i="26"/>
  <c r="N237" i="26" s="1"/>
  <c r="A237" i="26" s="1"/>
  <c r="J236" i="26"/>
  <c r="K236" i="26" s="1"/>
  <c r="I236" i="26"/>
  <c r="J235" i="26"/>
  <c r="K235" i="26" s="1"/>
  <c r="I235" i="26"/>
  <c r="J234" i="26"/>
  <c r="K234" i="26" s="1"/>
  <c r="I234" i="26"/>
  <c r="J233" i="26"/>
  <c r="K233" i="26" s="1"/>
  <c r="I233" i="26"/>
  <c r="N233" i="26" s="1"/>
  <c r="A233" i="26" s="1"/>
  <c r="J232" i="26"/>
  <c r="K232" i="26" s="1"/>
  <c r="I232" i="26"/>
  <c r="N232" i="26" s="1"/>
  <c r="A232" i="26" s="1"/>
  <c r="J231" i="26"/>
  <c r="K231" i="26" s="1"/>
  <c r="I231" i="26"/>
  <c r="N231" i="26" s="1"/>
  <c r="A231" i="26" s="1"/>
  <c r="J230" i="26"/>
  <c r="K230" i="26" s="1"/>
  <c r="I230" i="26"/>
  <c r="J229" i="26"/>
  <c r="K229" i="26" s="1"/>
  <c r="I229" i="26"/>
  <c r="N229" i="26" s="1"/>
  <c r="A229" i="26" s="1"/>
  <c r="J228" i="26"/>
  <c r="K228" i="26" s="1"/>
  <c r="I228" i="26"/>
  <c r="J227" i="26"/>
  <c r="K227" i="26" s="1"/>
  <c r="I227" i="26"/>
  <c r="J226" i="26"/>
  <c r="K226" i="26" s="1"/>
  <c r="I226" i="26"/>
  <c r="J225" i="26"/>
  <c r="K225" i="26" s="1"/>
  <c r="I225" i="26"/>
  <c r="J224" i="26"/>
  <c r="K224" i="26" s="1"/>
  <c r="I224" i="26"/>
  <c r="M224" i="26" s="1"/>
  <c r="J223" i="26"/>
  <c r="K223" i="26" s="1"/>
  <c r="I223" i="26"/>
  <c r="N223" i="26" s="1"/>
  <c r="A223" i="26" s="1"/>
  <c r="J222" i="26"/>
  <c r="K222" i="26" s="1"/>
  <c r="I222" i="26"/>
  <c r="J221" i="26"/>
  <c r="K221" i="26" s="1"/>
  <c r="I221" i="26"/>
  <c r="N221" i="26" s="1"/>
  <c r="A221" i="26" s="1"/>
  <c r="J220" i="26"/>
  <c r="K220" i="26" s="1"/>
  <c r="I220" i="26"/>
  <c r="J219" i="26"/>
  <c r="K219" i="26" s="1"/>
  <c r="I219" i="26"/>
  <c r="J218" i="26"/>
  <c r="K218" i="26" s="1"/>
  <c r="I218" i="26"/>
  <c r="N218" i="26" s="1"/>
  <c r="A218" i="26"/>
  <c r="J217" i="26"/>
  <c r="K217" i="26" s="1"/>
  <c r="I217" i="26"/>
  <c r="J216" i="26"/>
  <c r="K216" i="26" s="1"/>
  <c r="I216" i="26"/>
  <c r="N216" i="26" s="1"/>
  <c r="A216" i="26" s="1"/>
  <c r="J215" i="26"/>
  <c r="K215" i="26" s="1"/>
  <c r="I215" i="26"/>
  <c r="J214" i="26"/>
  <c r="K214" i="26" s="1"/>
  <c r="I214" i="26"/>
  <c r="M214" i="26" s="1"/>
  <c r="J213" i="26"/>
  <c r="K213" i="26" s="1"/>
  <c r="I213" i="26"/>
  <c r="N213" i="26" s="1"/>
  <c r="A213" i="26" s="1"/>
  <c r="J212" i="26"/>
  <c r="K212" i="26" s="1"/>
  <c r="I212" i="26"/>
  <c r="J211" i="26"/>
  <c r="K211" i="26" s="1"/>
  <c r="I211" i="26"/>
  <c r="J210" i="26"/>
  <c r="K210" i="26" s="1"/>
  <c r="I210" i="26"/>
  <c r="J209" i="26"/>
  <c r="K209" i="26" s="1"/>
  <c r="I209" i="26"/>
  <c r="J208" i="26"/>
  <c r="K208" i="26" s="1"/>
  <c r="I208" i="26"/>
  <c r="J207" i="26"/>
  <c r="K207" i="26" s="1"/>
  <c r="I207" i="26"/>
  <c r="J206" i="26"/>
  <c r="K206" i="26" s="1"/>
  <c r="I206" i="26"/>
  <c r="M206" i="26" s="1"/>
  <c r="J205" i="26"/>
  <c r="K205" i="26" s="1"/>
  <c r="I205" i="26"/>
  <c r="N205" i="26" s="1"/>
  <c r="A205" i="26"/>
  <c r="J204" i="26"/>
  <c r="K204" i="26" s="1"/>
  <c r="I204" i="26"/>
  <c r="J203" i="26"/>
  <c r="K203" i="26" s="1"/>
  <c r="I203" i="26"/>
  <c r="J202" i="26"/>
  <c r="K202" i="26" s="1"/>
  <c r="I202" i="26"/>
  <c r="N202" i="26" s="1"/>
  <c r="A202" i="26" s="1"/>
  <c r="J201" i="26"/>
  <c r="K201" i="26" s="1"/>
  <c r="I201" i="26"/>
  <c r="N201" i="26" s="1"/>
  <c r="A201" i="26" s="1"/>
  <c r="J200" i="26"/>
  <c r="K200" i="26" s="1"/>
  <c r="I200" i="26"/>
  <c r="J199" i="26"/>
  <c r="K199" i="26" s="1"/>
  <c r="I199" i="26"/>
  <c r="J198" i="26"/>
  <c r="K198" i="26" s="1"/>
  <c r="I198" i="26"/>
  <c r="J197" i="26"/>
  <c r="K197" i="26" s="1"/>
  <c r="I197" i="26"/>
  <c r="J196" i="26"/>
  <c r="K196" i="26" s="1"/>
  <c r="I196" i="26"/>
  <c r="J195" i="26"/>
  <c r="K195" i="26" s="1"/>
  <c r="I195" i="26"/>
  <c r="J194" i="26"/>
  <c r="K194" i="26" s="1"/>
  <c r="I194" i="26"/>
  <c r="J193" i="26"/>
  <c r="K193" i="26" s="1"/>
  <c r="I193" i="26"/>
  <c r="J192" i="26"/>
  <c r="K192" i="26" s="1"/>
  <c r="I192" i="26"/>
  <c r="J191" i="26"/>
  <c r="K191" i="26" s="1"/>
  <c r="I191" i="26"/>
  <c r="J190" i="26"/>
  <c r="K190" i="26" s="1"/>
  <c r="I190" i="26"/>
  <c r="J189" i="26"/>
  <c r="K189" i="26" s="1"/>
  <c r="I189" i="26"/>
  <c r="N189" i="26" s="1"/>
  <c r="A189" i="26" s="1"/>
  <c r="J188" i="26"/>
  <c r="K188" i="26" s="1"/>
  <c r="I188" i="26"/>
  <c r="J187" i="26"/>
  <c r="K187" i="26" s="1"/>
  <c r="I187" i="26"/>
  <c r="M187" i="26" s="1"/>
  <c r="J186" i="26"/>
  <c r="K186" i="26" s="1"/>
  <c r="I186" i="26"/>
  <c r="N186" i="26" s="1"/>
  <c r="A186" i="26" s="1"/>
  <c r="J185" i="26"/>
  <c r="K185" i="26" s="1"/>
  <c r="I185" i="26"/>
  <c r="J184" i="26"/>
  <c r="K184" i="26" s="1"/>
  <c r="I184" i="26"/>
  <c r="N184" i="26" s="1"/>
  <c r="A184" i="26" s="1"/>
  <c r="J183" i="26"/>
  <c r="K183" i="26" s="1"/>
  <c r="I183" i="26"/>
  <c r="M183" i="26" s="1"/>
  <c r="J182" i="26"/>
  <c r="K182" i="26" s="1"/>
  <c r="I182" i="26"/>
  <c r="J181" i="26"/>
  <c r="K181" i="26" s="1"/>
  <c r="I181" i="26"/>
  <c r="N181" i="26" s="1"/>
  <c r="A181" i="26" s="1"/>
  <c r="J180" i="26"/>
  <c r="K180" i="26" s="1"/>
  <c r="I180" i="26"/>
  <c r="J179" i="26"/>
  <c r="K179" i="26" s="1"/>
  <c r="I179" i="26"/>
  <c r="J178" i="26"/>
  <c r="K178" i="26" s="1"/>
  <c r="I178" i="26"/>
  <c r="J177" i="26"/>
  <c r="K177" i="26" s="1"/>
  <c r="I177" i="26"/>
  <c r="N177" i="26" s="1"/>
  <c r="A177" i="26" s="1"/>
  <c r="J176" i="26"/>
  <c r="K176" i="26" s="1"/>
  <c r="I176" i="26"/>
  <c r="J175" i="26"/>
  <c r="K175" i="26" s="1"/>
  <c r="I175" i="26"/>
  <c r="N175" i="26" s="1"/>
  <c r="A175" i="26" s="1"/>
  <c r="J174" i="26"/>
  <c r="K174" i="26" s="1"/>
  <c r="I174" i="26"/>
  <c r="J173" i="26"/>
  <c r="K173" i="26" s="1"/>
  <c r="I173" i="26"/>
  <c r="N173" i="26" s="1"/>
  <c r="A173" i="26" s="1"/>
  <c r="J172" i="26"/>
  <c r="K172" i="26" s="1"/>
  <c r="I172" i="26"/>
  <c r="J171" i="26"/>
  <c r="K171" i="26" s="1"/>
  <c r="I171" i="26"/>
  <c r="N171" i="26" s="1"/>
  <c r="A171" i="26" s="1"/>
  <c r="J170" i="26"/>
  <c r="K170" i="26" s="1"/>
  <c r="I170" i="26"/>
  <c r="J169" i="26"/>
  <c r="K169" i="26" s="1"/>
  <c r="I169" i="26"/>
  <c r="N169" i="26" s="1"/>
  <c r="A169" i="26" s="1"/>
  <c r="J168" i="26"/>
  <c r="K168" i="26" s="1"/>
  <c r="I168" i="26"/>
  <c r="J167" i="26"/>
  <c r="K167" i="26" s="1"/>
  <c r="I167" i="26"/>
  <c r="J166" i="26"/>
  <c r="K166" i="26" s="1"/>
  <c r="I166" i="26"/>
  <c r="J165" i="26"/>
  <c r="K165" i="26" s="1"/>
  <c r="I165" i="26"/>
  <c r="N165" i="26" s="1"/>
  <c r="A165" i="26" s="1"/>
  <c r="J164" i="26"/>
  <c r="K164" i="26" s="1"/>
  <c r="I164" i="26"/>
  <c r="J163" i="26"/>
  <c r="K163" i="26" s="1"/>
  <c r="I163" i="26"/>
  <c r="N163" i="26" s="1"/>
  <c r="A163" i="26" s="1"/>
  <c r="J162" i="26"/>
  <c r="K162" i="26" s="1"/>
  <c r="I162" i="26"/>
  <c r="J161" i="26"/>
  <c r="K161" i="26" s="1"/>
  <c r="I161" i="26"/>
  <c r="J160" i="26"/>
  <c r="K160" i="26" s="1"/>
  <c r="I160" i="26"/>
  <c r="J159" i="26"/>
  <c r="K159" i="26" s="1"/>
  <c r="I159" i="26"/>
  <c r="J158" i="26"/>
  <c r="K158" i="26" s="1"/>
  <c r="I158" i="26"/>
  <c r="J157" i="26"/>
  <c r="K157" i="26" s="1"/>
  <c r="I157" i="26"/>
  <c r="N157" i="26" s="1"/>
  <c r="A157" i="26"/>
  <c r="J156" i="26"/>
  <c r="K156" i="26" s="1"/>
  <c r="I156" i="26"/>
  <c r="J155" i="26"/>
  <c r="K155" i="26" s="1"/>
  <c r="I155" i="26"/>
  <c r="J154" i="26"/>
  <c r="K154" i="26" s="1"/>
  <c r="I154" i="26"/>
  <c r="N154" i="26" s="1"/>
  <c r="A154" i="26" s="1"/>
  <c r="J153" i="26"/>
  <c r="K153" i="26" s="1"/>
  <c r="I153" i="26"/>
  <c r="J152" i="26"/>
  <c r="K152" i="26" s="1"/>
  <c r="I152" i="26"/>
  <c r="N152" i="26" s="1"/>
  <c r="A152" i="26" s="1"/>
  <c r="J151" i="26"/>
  <c r="K151" i="26" s="1"/>
  <c r="I151" i="26"/>
  <c r="J150" i="26"/>
  <c r="K150" i="26" s="1"/>
  <c r="I150" i="26"/>
  <c r="M150" i="26" s="1"/>
  <c r="J149" i="26"/>
  <c r="K149" i="26" s="1"/>
  <c r="I149" i="26"/>
  <c r="N149" i="26" s="1"/>
  <c r="A149" i="26" s="1"/>
  <c r="J148" i="26"/>
  <c r="K148" i="26" s="1"/>
  <c r="I148" i="26"/>
  <c r="M148" i="26" s="1"/>
  <c r="J147" i="26"/>
  <c r="K147" i="26" s="1"/>
  <c r="I147" i="26"/>
  <c r="J146" i="26"/>
  <c r="K146" i="26" s="1"/>
  <c r="I146" i="26"/>
  <c r="N146" i="26" s="1"/>
  <c r="A146" i="26" s="1"/>
  <c r="J145" i="26"/>
  <c r="K145" i="26" s="1"/>
  <c r="I145" i="26"/>
  <c r="J144" i="26"/>
  <c r="K144" i="26" s="1"/>
  <c r="I144" i="26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N141" i="26" s="1"/>
  <c r="A141" i="26"/>
  <c r="J140" i="26"/>
  <c r="K140" i="26" s="1"/>
  <c r="I140" i="26"/>
  <c r="J139" i="26"/>
  <c r="K139" i="26" s="1"/>
  <c r="I139" i="26"/>
  <c r="J138" i="26"/>
  <c r="K138" i="26" s="1"/>
  <c r="I138" i="26"/>
  <c r="J137" i="26"/>
  <c r="K137" i="26" s="1"/>
  <c r="I137" i="26"/>
  <c r="N137" i="26" s="1"/>
  <c r="A137" i="26" s="1"/>
  <c r="J136" i="26"/>
  <c r="K136" i="26" s="1"/>
  <c r="I136" i="26"/>
  <c r="J135" i="26"/>
  <c r="K135" i="26" s="1"/>
  <c r="I135" i="26"/>
  <c r="J134" i="26"/>
  <c r="K134" i="26" s="1"/>
  <c r="I134" i="26"/>
  <c r="J133" i="26"/>
  <c r="K133" i="26" s="1"/>
  <c r="I133" i="26"/>
  <c r="J132" i="26"/>
  <c r="K132" i="26" s="1"/>
  <c r="I132" i="26"/>
  <c r="J131" i="26"/>
  <c r="K131" i="26" s="1"/>
  <c r="I131" i="26"/>
  <c r="J130" i="26"/>
  <c r="K130" i="26" s="1"/>
  <c r="I130" i="26"/>
  <c r="M130" i="26" s="1"/>
  <c r="J129" i="26"/>
  <c r="K129" i="26" s="1"/>
  <c r="I129" i="26"/>
  <c r="J128" i="26"/>
  <c r="K128" i="26" s="1"/>
  <c r="I128" i="26"/>
  <c r="J127" i="26"/>
  <c r="K127" i="26" s="1"/>
  <c r="I127" i="26"/>
  <c r="N127" i="26" s="1"/>
  <c r="A127" i="26" s="1"/>
  <c r="J126" i="26"/>
  <c r="K126" i="26" s="1"/>
  <c r="I126" i="26"/>
  <c r="M126" i="26" s="1"/>
  <c r="J125" i="26"/>
  <c r="K125" i="26" s="1"/>
  <c r="I125" i="26"/>
  <c r="J124" i="26"/>
  <c r="K124" i="26" s="1"/>
  <c r="I124" i="26"/>
  <c r="J123" i="26"/>
  <c r="K123" i="26" s="1"/>
  <c r="I123" i="26"/>
  <c r="J122" i="26"/>
  <c r="K122" i="26" s="1"/>
  <c r="I122" i="26"/>
  <c r="M122" i="26" s="1"/>
  <c r="J121" i="26"/>
  <c r="K121" i="26" s="1"/>
  <c r="I121" i="26"/>
  <c r="J120" i="26"/>
  <c r="K120" i="26" s="1"/>
  <c r="I120" i="26"/>
  <c r="J119" i="26"/>
  <c r="K119" i="26" s="1"/>
  <c r="I119" i="26"/>
  <c r="N119" i="26" s="1"/>
  <c r="A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J115" i="26"/>
  <c r="K115" i="26" s="1"/>
  <c r="I115" i="26"/>
  <c r="J114" i="26"/>
  <c r="K114" i="26" s="1"/>
  <c r="I114" i="26"/>
  <c r="M114" i="26" s="1"/>
  <c r="J113" i="26"/>
  <c r="K113" i="26" s="1"/>
  <c r="I113" i="26"/>
  <c r="J112" i="26"/>
  <c r="K112" i="26" s="1"/>
  <c r="I112" i="26"/>
  <c r="J111" i="26"/>
  <c r="K111" i="26" s="1"/>
  <c r="I111" i="26"/>
  <c r="N111" i="26" s="1"/>
  <c r="A111" i="26" s="1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J107" i="26"/>
  <c r="K107" i="26" s="1"/>
  <c r="I107" i="26"/>
  <c r="J106" i="26"/>
  <c r="K106" i="26" s="1"/>
  <c r="I106" i="26"/>
  <c r="M106" i="26" s="1"/>
  <c r="J105" i="26"/>
  <c r="K105" i="26" s="1"/>
  <c r="I105" i="26"/>
  <c r="N105" i="26" s="1"/>
  <c r="A105" i="26" s="1"/>
  <c r="J104" i="26"/>
  <c r="K104" i="26" s="1"/>
  <c r="I104" i="26"/>
  <c r="J103" i="26"/>
  <c r="K103" i="26" s="1"/>
  <c r="I103" i="26"/>
  <c r="J102" i="26"/>
  <c r="K102" i="26" s="1"/>
  <c r="I102" i="26"/>
  <c r="M102" i="26" s="1"/>
  <c r="J101" i="26"/>
  <c r="K101" i="26" s="1"/>
  <c r="I101" i="26"/>
  <c r="M101" i="26" s="1"/>
  <c r="J100" i="26"/>
  <c r="K100" i="26" s="1"/>
  <c r="I100" i="26"/>
  <c r="J99" i="26"/>
  <c r="K99" i="26" s="1"/>
  <c r="I99" i="26"/>
  <c r="J98" i="26"/>
  <c r="K98" i="26" s="1"/>
  <c r="I98" i="26"/>
  <c r="M98" i="26" s="1"/>
  <c r="J97" i="26"/>
  <c r="K97" i="26" s="1"/>
  <c r="I97" i="26"/>
  <c r="N97" i="26" s="1"/>
  <c r="A97" i="26" s="1"/>
  <c r="J96" i="26"/>
  <c r="K96" i="26" s="1"/>
  <c r="I96" i="26"/>
  <c r="J95" i="26"/>
  <c r="K95" i="26" s="1"/>
  <c r="I95" i="26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J91" i="26"/>
  <c r="K91" i="26" s="1"/>
  <c r="I91" i="26"/>
  <c r="M91" i="26" s="1"/>
  <c r="J90" i="26"/>
  <c r="K90" i="26" s="1"/>
  <c r="I90" i="26"/>
  <c r="J89" i="26"/>
  <c r="K89" i="26" s="1"/>
  <c r="I89" i="26"/>
  <c r="J88" i="26"/>
  <c r="K88" i="26" s="1"/>
  <c r="I88" i="26"/>
  <c r="J87" i="26"/>
  <c r="K87" i="26" s="1"/>
  <c r="I87" i="26"/>
  <c r="J86" i="26"/>
  <c r="K86" i="26" s="1"/>
  <c r="I86" i="26"/>
  <c r="M86" i="26" s="1"/>
  <c r="J85" i="26"/>
  <c r="K85" i="26" s="1"/>
  <c r="I85" i="26"/>
  <c r="J84" i="26"/>
  <c r="K84" i="26" s="1"/>
  <c r="I84" i="26"/>
  <c r="J83" i="26"/>
  <c r="K83" i="26" s="1"/>
  <c r="I83" i="26"/>
  <c r="J82" i="26"/>
  <c r="K82" i="26" s="1"/>
  <c r="I82" i="26"/>
  <c r="J81" i="26"/>
  <c r="K81" i="26" s="1"/>
  <c r="I81" i="26"/>
  <c r="J80" i="26"/>
  <c r="K80" i="26" s="1"/>
  <c r="I80" i="26"/>
  <c r="M80" i="26" s="1"/>
  <c r="J79" i="26"/>
  <c r="K79" i="26" s="1"/>
  <c r="I79" i="26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J75" i="26"/>
  <c r="K75" i="26" s="1"/>
  <c r="I75" i="26"/>
  <c r="J74" i="26"/>
  <c r="K74" i="26" s="1"/>
  <c r="I74" i="26"/>
  <c r="J73" i="26"/>
  <c r="K73" i="26" s="1"/>
  <c r="I73" i="26"/>
  <c r="J72" i="26"/>
  <c r="K72" i="26" s="1"/>
  <c r="I72" i="26"/>
  <c r="J71" i="26"/>
  <c r="K71" i="26" s="1"/>
  <c r="I71" i="26"/>
  <c r="J70" i="26"/>
  <c r="K70" i="26" s="1"/>
  <c r="I70" i="26"/>
  <c r="M70" i="26" s="1"/>
  <c r="J69" i="26"/>
  <c r="K69" i="26" s="1"/>
  <c r="I69" i="26"/>
  <c r="J68" i="26"/>
  <c r="K68" i="26" s="1"/>
  <c r="I68" i="26"/>
  <c r="J67" i="26"/>
  <c r="K67" i="26" s="1"/>
  <c r="I67" i="26"/>
  <c r="J66" i="26"/>
  <c r="K66" i="26" s="1"/>
  <c r="I66" i="26"/>
  <c r="J65" i="26"/>
  <c r="K65" i="26" s="1"/>
  <c r="I65" i="26"/>
  <c r="J64" i="26"/>
  <c r="K64" i="26" s="1"/>
  <c r="I64" i="26"/>
  <c r="J63" i="26"/>
  <c r="K63" i="26" s="1"/>
  <c r="I63" i="26"/>
  <c r="M63" i="26" s="1"/>
  <c r="J62" i="26"/>
  <c r="K62" i="26" s="1"/>
  <c r="I62" i="26"/>
  <c r="J61" i="26"/>
  <c r="K61" i="26" s="1"/>
  <c r="I61" i="26"/>
  <c r="M61" i="26" s="1"/>
  <c r="J60" i="26"/>
  <c r="K60" i="26" s="1"/>
  <c r="I60" i="26"/>
  <c r="J59" i="26"/>
  <c r="K59" i="26" s="1"/>
  <c r="I59" i="26"/>
  <c r="J58" i="26"/>
  <c r="K58" i="26" s="1"/>
  <c r="I58" i="26"/>
  <c r="J57" i="26"/>
  <c r="K57" i="26" s="1"/>
  <c r="I57" i="26"/>
  <c r="J56" i="26"/>
  <c r="K56" i="26" s="1"/>
  <c r="I56" i="26"/>
  <c r="J55" i="26"/>
  <c r="K55" i="26" s="1"/>
  <c r="I55" i="26"/>
  <c r="J54" i="26"/>
  <c r="K54" i="26" s="1"/>
  <c r="I54" i="26"/>
  <c r="J53" i="26"/>
  <c r="K53" i="26" s="1"/>
  <c r="I53" i="26"/>
  <c r="J52" i="26"/>
  <c r="K52" i="26" s="1"/>
  <c r="I52" i="26"/>
  <c r="J51" i="26"/>
  <c r="K51" i="26" s="1"/>
  <c r="I51" i="26"/>
  <c r="J50" i="26"/>
  <c r="K50" i="26" s="1"/>
  <c r="I50" i="26"/>
  <c r="J49" i="26"/>
  <c r="K49" i="26" s="1"/>
  <c r="I49" i="26"/>
  <c r="J48" i="26"/>
  <c r="K48" i="26" s="1"/>
  <c r="I48" i="26"/>
  <c r="J47" i="26"/>
  <c r="K47" i="26" s="1"/>
  <c r="I47" i="26"/>
  <c r="M47" i="26" s="1"/>
  <c r="U46" i="26"/>
  <c r="S46" i="26"/>
  <c r="J46" i="26"/>
  <c r="K46" i="26" s="1"/>
  <c r="I46" i="26"/>
  <c r="J45" i="26"/>
  <c r="K45" i="26" s="1"/>
  <c r="I45" i="26"/>
  <c r="J44" i="26"/>
  <c r="K44" i="26" s="1"/>
  <c r="I44" i="26"/>
  <c r="M44" i="26" s="1"/>
  <c r="J43" i="26"/>
  <c r="K43" i="26" s="1"/>
  <c r="I43" i="26"/>
  <c r="J42" i="26"/>
  <c r="K42" i="26" s="1"/>
  <c r="I42" i="26"/>
  <c r="J41" i="26"/>
  <c r="K41" i="26" s="1"/>
  <c r="I41" i="26"/>
  <c r="J40" i="26"/>
  <c r="K40" i="26" s="1"/>
  <c r="I40" i="26"/>
  <c r="J39" i="26"/>
  <c r="K39" i="26" s="1"/>
  <c r="I39" i="26"/>
  <c r="M39" i="26" s="1"/>
  <c r="J38" i="26"/>
  <c r="K38" i="26" s="1"/>
  <c r="I38" i="26"/>
  <c r="J37" i="26"/>
  <c r="K37" i="26" s="1"/>
  <c r="I37" i="26"/>
  <c r="J36" i="26"/>
  <c r="K36" i="26" s="1"/>
  <c r="I36" i="26"/>
  <c r="J35" i="26"/>
  <c r="K35" i="26" s="1"/>
  <c r="I35" i="26"/>
  <c r="J34" i="26"/>
  <c r="K34" i="26" s="1"/>
  <c r="I34" i="26"/>
  <c r="J33" i="26"/>
  <c r="K33" i="26" s="1"/>
  <c r="I33" i="26"/>
  <c r="J32" i="26"/>
  <c r="K32" i="26" s="1"/>
  <c r="I32" i="26"/>
  <c r="J31" i="26"/>
  <c r="K31" i="26" s="1"/>
  <c r="I31" i="26"/>
  <c r="J30" i="26"/>
  <c r="K30" i="26" s="1"/>
  <c r="I30" i="26"/>
  <c r="J29" i="26"/>
  <c r="K29" i="26" s="1"/>
  <c r="I29" i="26"/>
  <c r="J28" i="26"/>
  <c r="K28" i="26" s="1"/>
  <c r="I28" i="26"/>
  <c r="M28" i="26" s="1"/>
  <c r="J27" i="26"/>
  <c r="K27" i="26" s="1"/>
  <c r="I27" i="26"/>
  <c r="J26" i="26"/>
  <c r="K26" i="26" s="1"/>
  <c r="I26" i="26"/>
  <c r="J25" i="26"/>
  <c r="K25" i="26" s="1"/>
  <c r="I25" i="26"/>
  <c r="J24" i="26"/>
  <c r="K24" i="26" s="1"/>
  <c r="I24" i="26"/>
  <c r="J23" i="26"/>
  <c r="K23" i="26" s="1"/>
  <c r="I23" i="26"/>
  <c r="M23" i="26" s="1"/>
  <c r="J22" i="26"/>
  <c r="K22" i="26" s="1"/>
  <c r="I22" i="26"/>
  <c r="J21" i="26"/>
  <c r="K21" i="26" s="1"/>
  <c r="I21" i="26"/>
  <c r="J20" i="26"/>
  <c r="K20" i="26" s="1"/>
  <c r="I20" i="26"/>
  <c r="M20" i="26" s="1"/>
  <c r="J19" i="26"/>
  <c r="K19" i="26" s="1"/>
  <c r="I19" i="26"/>
  <c r="J18" i="26"/>
  <c r="K18" i="26" s="1"/>
  <c r="I18" i="26"/>
  <c r="J17" i="26"/>
  <c r="K17" i="26" s="1"/>
  <c r="I17" i="26"/>
  <c r="J16" i="26"/>
  <c r="K16" i="26" s="1"/>
  <c r="I16" i="26"/>
  <c r="J15" i="26"/>
  <c r="K15" i="26" s="1"/>
  <c r="I15" i="26"/>
  <c r="AJ14" i="26"/>
  <c r="J14" i="26"/>
  <c r="K14" i="26" s="1"/>
  <c r="I14" i="26"/>
  <c r="AJ13" i="26"/>
  <c r="J13" i="26"/>
  <c r="K13" i="26" s="1"/>
  <c r="I13" i="26"/>
  <c r="AJ12" i="26"/>
  <c r="AJ16" i="26" s="1"/>
  <c r="J12" i="26"/>
  <c r="K12" i="26" s="1"/>
  <c r="I12" i="26"/>
  <c r="J11" i="26"/>
  <c r="K11" i="26" s="1"/>
  <c r="I11" i="26"/>
  <c r="J10" i="26"/>
  <c r="K10" i="26" s="1"/>
  <c r="I10" i="26"/>
  <c r="J8" i="26"/>
  <c r="K8" i="26" s="1"/>
  <c r="I8" i="26"/>
  <c r="J7" i="26"/>
  <c r="K7" i="26" s="1"/>
  <c r="I7" i="26"/>
  <c r="J6" i="26"/>
  <c r="K6" i="26" s="1"/>
  <c r="I6" i="26"/>
  <c r="K2" i="26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J61" i="25"/>
  <c r="K61" i="25" s="1"/>
  <c r="I61" i="25"/>
  <c r="M61" i="25" s="1"/>
  <c r="B61" i="25"/>
  <c r="J60" i="25"/>
  <c r="K60" i="25" s="1"/>
  <c r="I60" i="25"/>
  <c r="M60" i="25" s="1"/>
  <c r="B60" i="25"/>
  <c r="J59" i="25"/>
  <c r="K59" i="25" s="1"/>
  <c r="I59" i="25"/>
  <c r="M59" i="25" s="1"/>
  <c r="B59" i="25"/>
  <c r="J58" i="25"/>
  <c r="K58" i="25" s="1"/>
  <c r="I58" i="25"/>
  <c r="M58" i="25" s="1"/>
  <c r="B58" i="25"/>
  <c r="J57" i="25"/>
  <c r="K57" i="25" s="1"/>
  <c r="I57" i="25"/>
  <c r="M57" i="25" s="1"/>
  <c r="B57" i="25"/>
  <c r="J56" i="25"/>
  <c r="K56" i="25" s="1"/>
  <c r="I56" i="25"/>
  <c r="M56" i="25" s="1"/>
  <c r="B56" i="25"/>
  <c r="J55" i="25"/>
  <c r="K55" i="25" s="1"/>
  <c r="I55" i="25"/>
  <c r="M55" i="25" s="1"/>
  <c r="B55" i="25"/>
  <c r="J54" i="25"/>
  <c r="K54" i="25" s="1"/>
  <c r="I54" i="25"/>
  <c r="M54" i="25" s="1"/>
  <c r="B54" i="25"/>
  <c r="J53" i="25"/>
  <c r="K53" i="25" s="1"/>
  <c r="I53" i="25"/>
  <c r="M53" i="25" s="1"/>
  <c r="B53" i="25"/>
  <c r="J52" i="25"/>
  <c r="K52" i="25" s="1"/>
  <c r="I52" i="25"/>
  <c r="M52" i="25" s="1"/>
  <c r="B52" i="25"/>
  <c r="J51" i="25"/>
  <c r="K51" i="25" s="1"/>
  <c r="I51" i="25"/>
  <c r="M51" i="25" s="1"/>
  <c r="B51" i="25"/>
  <c r="J50" i="25"/>
  <c r="K50" i="25" s="1"/>
  <c r="I50" i="25"/>
  <c r="M50" i="25" s="1"/>
  <c r="B50" i="25"/>
  <c r="J49" i="25"/>
  <c r="K49" i="25" s="1"/>
  <c r="I49" i="25"/>
  <c r="M49" i="25" s="1"/>
  <c r="B49" i="25"/>
  <c r="J48" i="25"/>
  <c r="K48" i="25" s="1"/>
  <c r="I48" i="25"/>
  <c r="M48" i="25" s="1"/>
  <c r="B48" i="25"/>
  <c r="J47" i="25"/>
  <c r="K47" i="25" s="1"/>
  <c r="I47" i="25"/>
  <c r="M47" i="25" s="1"/>
  <c r="B47" i="25"/>
  <c r="T46" i="25"/>
  <c r="R46" i="25"/>
  <c r="U46" i="25" s="1"/>
  <c r="J46" i="25"/>
  <c r="K46" i="25" s="1"/>
  <c r="I46" i="25"/>
  <c r="M46" i="25" s="1"/>
  <c r="B46" i="25"/>
  <c r="J45" i="25"/>
  <c r="K45" i="25" s="1"/>
  <c r="I45" i="25"/>
  <c r="M45" i="25" s="1"/>
  <c r="B45" i="25"/>
  <c r="J44" i="25"/>
  <c r="K44" i="25" s="1"/>
  <c r="I44" i="25"/>
  <c r="M44" i="25" s="1"/>
  <c r="B44" i="25"/>
  <c r="J43" i="25"/>
  <c r="K43" i="25" s="1"/>
  <c r="I43" i="25"/>
  <c r="M43" i="25" s="1"/>
  <c r="B43" i="25"/>
  <c r="J42" i="25"/>
  <c r="K42" i="25" s="1"/>
  <c r="I42" i="25"/>
  <c r="M42" i="25" s="1"/>
  <c r="B42" i="25"/>
  <c r="J41" i="25"/>
  <c r="K41" i="25" s="1"/>
  <c r="I41" i="25"/>
  <c r="M41" i="25" s="1"/>
  <c r="B41" i="25"/>
  <c r="J40" i="25"/>
  <c r="K40" i="25" s="1"/>
  <c r="I40" i="25"/>
  <c r="M40" i="25" s="1"/>
  <c r="B40" i="25"/>
  <c r="J39" i="25"/>
  <c r="K39" i="25" s="1"/>
  <c r="I39" i="25"/>
  <c r="M39" i="25" s="1"/>
  <c r="B39" i="25"/>
  <c r="J38" i="25"/>
  <c r="K38" i="25" s="1"/>
  <c r="I38" i="25"/>
  <c r="M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M33" i="25" s="1"/>
  <c r="A33" i="25" s="1"/>
  <c r="B33" i="25"/>
  <c r="J32" i="25"/>
  <c r="K32" i="25" s="1"/>
  <c r="I32" i="25"/>
  <c r="M32" i="25" s="1"/>
  <c r="A32" i="25" s="1"/>
  <c r="B32" i="25"/>
  <c r="J31" i="25"/>
  <c r="K31" i="25" s="1"/>
  <c r="I31" i="25"/>
  <c r="M31" i="25" s="1"/>
  <c r="A31" i="25" s="1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M27" i="25" s="1"/>
  <c r="A27" i="25" s="1"/>
  <c r="B27" i="25"/>
  <c r="T17" i="20" s="1"/>
  <c r="J26" i="25"/>
  <c r="K26" i="25" s="1"/>
  <c r="I26" i="25"/>
  <c r="B26" i="25"/>
  <c r="T12" i="20" s="1"/>
  <c r="J25" i="25"/>
  <c r="K25" i="25" s="1"/>
  <c r="I25" i="25"/>
  <c r="B25" i="25"/>
  <c r="J24" i="25"/>
  <c r="K24" i="25" s="1"/>
  <c r="I24" i="25"/>
  <c r="B24" i="25"/>
  <c r="J23" i="25"/>
  <c r="K23" i="25" s="1"/>
  <c r="I23" i="25"/>
  <c r="B23" i="25"/>
  <c r="J22" i="25"/>
  <c r="K22" i="25" s="1"/>
  <c r="I22" i="25"/>
  <c r="B22" i="25"/>
  <c r="J21" i="25"/>
  <c r="K21" i="25" s="1"/>
  <c r="I21" i="25"/>
  <c r="M21" i="25" s="1"/>
  <c r="A21" i="25" s="1"/>
  <c r="B21" i="25"/>
  <c r="J20" i="25"/>
  <c r="K20" i="25" s="1"/>
  <c r="I20" i="25"/>
  <c r="J19" i="25"/>
  <c r="K19" i="25" s="1"/>
  <c r="I19" i="25"/>
  <c r="J18" i="25"/>
  <c r="K18" i="25" s="1"/>
  <c r="I18" i="25"/>
  <c r="J17" i="25"/>
  <c r="K17" i="25" s="1"/>
  <c r="I17" i="25"/>
  <c r="J16" i="25"/>
  <c r="K16" i="25" s="1"/>
  <c r="I16" i="25"/>
  <c r="J15" i="25"/>
  <c r="K15" i="25" s="1"/>
  <c r="I15" i="25"/>
  <c r="AI14" i="25"/>
  <c r="J14" i="25"/>
  <c r="K14" i="25" s="1"/>
  <c r="I14" i="25"/>
  <c r="AI13" i="25"/>
  <c r="AI16" i="25" s="1"/>
  <c r="J13" i="25"/>
  <c r="K13" i="25" s="1"/>
  <c r="I13" i="25"/>
  <c r="AI12" i="25"/>
  <c r="J12" i="25"/>
  <c r="K12" i="25" s="1"/>
  <c r="I12" i="25"/>
  <c r="M12" i="25" s="1"/>
  <c r="A12" i="25" s="1"/>
  <c r="J11" i="25"/>
  <c r="K11" i="25" s="1"/>
  <c r="I11" i="25"/>
  <c r="J10" i="25"/>
  <c r="K10" i="25" s="1"/>
  <c r="I10" i="25"/>
  <c r="J8" i="25"/>
  <c r="K8" i="25" s="1"/>
  <c r="I8" i="25"/>
  <c r="J7" i="25"/>
  <c r="K7" i="25" s="1"/>
  <c r="I7" i="25"/>
  <c r="J6" i="25"/>
  <c r="K6" i="25" s="1"/>
  <c r="I6" i="25"/>
  <c r="K2" i="25"/>
  <c r="L6" i="25" s="1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J216" i="24"/>
  <c r="K216" i="24" s="1"/>
  <c r="I216" i="24"/>
  <c r="M216" i="24" s="1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J167" i="24"/>
  <c r="K167" i="24" s="1"/>
  <c r="I167" i="24"/>
  <c r="M167" i="24" s="1"/>
  <c r="J166" i="24"/>
  <c r="K166" i="24" s="1"/>
  <c r="I166" i="24"/>
  <c r="M166" i="24" s="1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M152" i="24"/>
  <c r="J152" i="24"/>
  <c r="K152" i="24" s="1"/>
  <c r="I152" i="24"/>
  <c r="J151" i="24"/>
  <c r="K151" i="24" s="1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J139" i="24"/>
  <c r="K139" i="24" s="1"/>
  <c r="I139" i="24"/>
  <c r="M139" i="24" s="1"/>
  <c r="J138" i="24"/>
  <c r="K138" i="24" s="1"/>
  <c r="I138" i="24"/>
  <c r="M138" i="24" s="1"/>
  <c r="J137" i="24"/>
  <c r="K137" i="24" s="1"/>
  <c r="I137" i="24"/>
  <c r="M137" i="24" s="1"/>
  <c r="J136" i="24"/>
  <c r="K136" i="24" s="1"/>
  <c r="I136" i="24"/>
  <c r="M136" i="24" s="1"/>
  <c r="J135" i="24"/>
  <c r="K135" i="24" s="1"/>
  <c r="I135" i="24"/>
  <c r="M135" i="24" s="1"/>
  <c r="J134" i="24"/>
  <c r="K134" i="24" s="1"/>
  <c r="I134" i="24"/>
  <c r="M134" i="24" s="1"/>
  <c r="J133" i="24"/>
  <c r="K133" i="24" s="1"/>
  <c r="I133" i="24"/>
  <c r="M133" i="24" s="1"/>
  <c r="J132" i="24"/>
  <c r="K132" i="24" s="1"/>
  <c r="I132" i="24"/>
  <c r="M132" i="24" s="1"/>
  <c r="J131" i="24"/>
  <c r="K131" i="24" s="1"/>
  <c r="I131" i="24"/>
  <c r="M131" i="24" s="1"/>
  <c r="J130" i="24"/>
  <c r="K130" i="24" s="1"/>
  <c r="I130" i="24"/>
  <c r="M130" i="24" s="1"/>
  <c r="J129" i="24"/>
  <c r="K129" i="24" s="1"/>
  <c r="I129" i="24"/>
  <c r="M129" i="24" s="1"/>
  <c r="J128" i="24"/>
  <c r="K128" i="24" s="1"/>
  <c r="I128" i="24"/>
  <c r="M128" i="24" s="1"/>
  <c r="J127" i="24"/>
  <c r="K127" i="24" s="1"/>
  <c r="I127" i="24"/>
  <c r="M127" i="24" s="1"/>
  <c r="J126" i="24"/>
  <c r="K126" i="24" s="1"/>
  <c r="I126" i="24"/>
  <c r="M126" i="24" s="1"/>
  <c r="J125" i="24"/>
  <c r="K125" i="24" s="1"/>
  <c r="I125" i="24"/>
  <c r="M125" i="24" s="1"/>
  <c r="J124" i="24"/>
  <c r="K124" i="24" s="1"/>
  <c r="I124" i="24"/>
  <c r="M124" i="24" s="1"/>
  <c r="J123" i="24"/>
  <c r="K123" i="24" s="1"/>
  <c r="I123" i="24"/>
  <c r="M123" i="24" s="1"/>
  <c r="J122" i="24"/>
  <c r="K122" i="24" s="1"/>
  <c r="I122" i="24"/>
  <c r="M122" i="24" s="1"/>
  <c r="J121" i="24"/>
  <c r="K121" i="24" s="1"/>
  <c r="I121" i="24"/>
  <c r="M121" i="24" s="1"/>
  <c r="J120" i="24"/>
  <c r="K120" i="24" s="1"/>
  <c r="I120" i="24"/>
  <c r="M120" i="24" s="1"/>
  <c r="J119" i="24"/>
  <c r="K119" i="24" s="1"/>
  <c r="I119" i="24"/>
  <c r="M119" i="24" s="1"/>
  <c r="J118" i="24"/>
  <c r="K118" i="24" s="1"/>
  <c r="I118" i="24"/>
  <c r="M118" i="24" s="1"/>
  <c r="J117" i="24"/>
  <c r="K117" i="24" s="1"/>
  <c r="I117" i="24"/>
  <c r="M117" i="24" s="1"/>
  <c r="J116" i="24"/>
  <c r="K116" i="24" s="1"/>
  <c r="I116" i="24"/>
  <c r="M116" i="24" s="1"/>
  <c r="J115" i="24"/>
  <c r="K115" i="24" s="1"/>
  <c r="I115" i="24"/>
  <c r="M115" i="24" s="1"/>
  <c r="J114" i="24"/>
  <c r="K114" i="24" s="1"/>
  <c r="I114" i="24"/>
  <c r="M114" i="24" s="1"/>
  <c r="J113" i="24"/>
  <c r="K113" i="24" s="1"/>
  <c r="I113" i="24"/>
  <c r="M113" i="24" s="1"/>
  <c r="J112" i="24"/>
  <c r="K112" i="24" s="1"/>
  <c r="I112" i="24"/>
  <c r="M112" i="24" s="1"/>
  <c r="J111" i="24"/>
  <c r="K111" i="24" s="1"/>
  <c r="I111" i="24"/>
  <c r="M111" i="24" s="1"/>
  <c r="J110" i="24"/>
  <c r="K110" i="24" s="1"/>
  <c r="I110" i="24"/>
  <c r="M110" i="24" s="1"/>
  <c r="J109" i="24"/>
  <c r="K109" i="24" s="1"/>
  <c r="I109" i="24"/>
  <c r="M109" i="24" s="1"/>
  <c r="J108" i="24"/>
  <c r="K108" i="24" s="1"/>
  <c r="I108" i="24"/>
  <c r="M108" i="24" s="1"/>
  <c r="J107" i="24"/>
  <c r="K107" i="24" s="1"/>
  <c r="I107" i="24"/>
  <c r="M107" i="24" s="1"/>
  <c r="J106" i="24"/>
  <c r="K106" i="24" s="1"/>
  <c r="I106" i="24"/>
  <c r="M106" i="24" s="1"/>
  <c r="J105" i="24"/>
  <c r="K105" i="24" s="1"/>
  <c r="I105" i="24"/>
  <c r="M105" i="24" s="1"/>
  <c r="J104" i="24"/>
  <c r="K104" i="24" s="1"/>
  <c r="I104" i="24"/>
  <c r="M104" i="24" s="1"/>
  <c r="J103" i="24"/>
  <c r="K103" i="24" s="1"/>
  <c r="I103" i="24"/>
  <c r="M103" i="24" s="1"/>
  <c r="J102" i="24"/>
  <c r="K102" i="24" s="1"/>
  <c r="I102" i="24"/>
  <c r="M102" i="24" s="1"/>
  <c r="J101" i="24"/>
  <c r="K101" i="24" s="1"/>
  <c r="I101" i="24"/>
  <c r="M101" i="24" s="1"/>
  <c r="J100" i="24"/>
  <c r="K100" i="24" s="1"/>
  <c r="I100" i="24"/>
  <c r="M100" i="24" s="1"/>
  <c r="J99" i="24"/>
  <c r="K99" i="24" s="1"/>
  <c r="I99" i="24"/>
  <c r="M99" i="24" s="1"/>
  <c r="J98" i="24"/>
  <c r="K98" i="24" s="1"/>
  <c r="I98" i="24"/>
  <c r="M98" i="24" s="1"/>
  <c r="J97" i="24"/>
  <c r="K97" i="24" s="1"/>
  <c r="I97" i="24"/>
  <c r="M97" i="24" s="1"/>
  <c r="J96" i="24"/>
  <c r="K96" i="24" s="1"/>
  <c r="I96" i="24"/>
  <c r="M96" i="24" s="1"/>
  <c r="J95" i="24"/>
  <c r="K95" i="24" s="1"/>
  <c r="I95" i="24"/>
  <c r="M95" i="24" s="1"/>
  <c r="J94" i="24"/>
  <c r="K94" i="24" s="1"/>
  <c r="I94" i="24"/>
  <c r="M94" i="24" s="1"/>
  <c r="J93" i="24"/>
  <c r="K93" i="24" s="1"/>
  <c r="I93" i="24"/>
  <c r="M93" i="24" s="1"/>
  <c r="J92" i="24"/>
  <c r="K92" i="24" s="1"/>
  <c r="I92" i="24"/>
  <c r="M92" i="24" s="1"/>
  <c r="J91" i="24"/>
  <c r="K91" i="24" s="1"/>
  <c r="I91" i="24"/>
  <c r="M91" i="24" s="1"/>
  <c r="J90" i="24"/>
  <c r="K90" i="24" s="1"/>
  <c r="I90" i="24"/>
  <c r="M90" i="24" s="1"/>
  <c r="J89" i="24"/>
  <c r="K89" i="24" s="1"/>
  <c r="I89" i="24"/>
  <c r="M89" i="24" s="1"/>
  <c r="J88" i="24"/>
  <c r="K88" i="24" s="1"/>
  <c r="I88" i="24"/>
  <c r="M88" i="24" s="1"/>
  <c r="J87" i="24"/>
  <c r="K87" i="24" s="1"/>
  <c r="I87" i="24"/>
  <c r="M87" i="24" s="1"/>
  <c r="J86" i="24"/>
  <c r="K86" i="24" s="1"/>
  <c r="I86" i="24"/>
  <c r="M86" i="24" s="1"/>
  <c r="J85" i="24"/>
  <c r="K85" i="24" s="1"/>
  <c r="I85" i="24"/>
  <c r="M85" i="24" s="1"/>
  <c r="J84" i="24"/>
  <c r="K84" i="24" s="1"/>
  <c r="I84" i="24"/>
  <c r="M84" i="24" s="1"/>
  <c r="J83" i="24"/>
  <c r="K83" i="24" s="1"/>
  <c r="I83" i="24"/>
  <c r="M83" i="24" s="1"/>
  <c r="J82" i="24"/>
  <c r="K82" i="24" s="1"/>
  <c r="I82" i="24"/>
  <c r="M82" i="24" s="1"/>
  <c r="J81" i="24"/>
  <c r="K81" i="24" s="1"/>
  <c r="I81" i="24"/>
  <c r="M81" i="24" s="1"/>
  <c r="J80" i="24"/>
  <c r="K80" i="24" s="1"/>
  <c r="I80" i="24"/>
  <c r="M80" i="24" s="1"/>
  <c r="J79" i="24"/>
  <c r="K79" i="24" s="1"/>
  <c r="I79" i="24"/>
  <c r="M79" i="24" s="1"/>
  <c r="J78" i="24"/>
  <c r="K78" i="24" s="1"/>
  <c r="I78" i="24"/>
  <c r="M78" i="24" s="1"/>
  <c r="J77" i="24"/>
  <c r="K77" i="24" s="1"/>
  <c r="I77" i="24"/>
  <c r="M77" i="24" s="1"/>
  <c r="J76" i="24"/>
  <c r="K76" i="24" s="1"/>
  <c r="I76" i="24"/>
  <c r="M76" i="24" s="1"/>
  <c r="J75" i="24"/>
  <c r="K75" i="24" s="1"/>
  <c r="I75" i="24"/>
  <c r="M75" i="24" s="1"/>
  <c r="J74" i="24"/>
  <c r="K74" i="24" s="1"/>
  <c r="I74" i="24"/>
  <c r="M74" i="24" s="1"/>
  <c r="J73" i="24"/>
  <c r="K73" i="24" s="1"/>
  <c r="I73" i="24"/>
  <c r="M73" i="24" s="1"/>
  <c r="J72" i="24"/>
  <c r="K72" i="24" s="1"/>
  <c r="I72" i="24"/>
  <c r="M72" i="24" s="1"/>
  <c r="J71" i="24"/>
  <c r="K71" i="24" s="1"/>
  <c r="I71" i="24"/>
  <c r="M71" i="24" s="1"/>
  <c r="J70" i="24"/>
  <c r="K70" i="24" s="1"/>
  <c r="I70" i="24"/>
  <c r="M70" i="24" s="1"/>
  <c r="J69" i="24"/>
  <c r="K69" i="24" s="1"/>
  <c r="I69" i="24"/>
  <c r="M69" i="24" s="1"/>
  <c r="J68" i="24"/>
  <c r="K68" i="24" s="1"/>
  <c r="I68" i="24"/>
  <c r="M68" i="24" s="1"/>
  <c r="J67" i="24"/>
  <c r="K67" i="24" s="1"/>
  <c r="I67" i="24"/>
  <c r="M67" i="24" s="1"/>
  <c r="J66" i="24"/>
  <c r="K66" i="24" s="1"/>
  <c r="I66" i="24"/>
  <c r="M66" i="24" s="1"/>
  <c r="J65" i="24"/>
  <c r="K65" i="24" s="1"/>
  <c r="I65" i="24"/>
  <c r="M65" i="24" s="1"/>
  <c r="B65" i="24"/>
  <c r="J64" i="24"/>
  <c r="K64" i="24" s="1"/>
  <c r="I64" i="24"/>
  <c r="M64" i="24" s="1"/>
  <c r="B64" i="24"/>
  <c r="J63" i="24"/>
  <c r="K63" i="24" s="1"/>
  <c r="I63" i="24"/>
  <c r="M63" i="24" s="1"/>
  <c r="B63" i="24"/>
  <c r="J62" i="24"/>
  <c r="K62" i="24" s="1"/>
  <c r="I62" i="24"/>
  <c r="M62" i="24" s="1"/>
  <c r="B62" i="24"/>
  <c r="J61" i="24"/>
  <c r="K61" i="24" s="1"/>
  <c r="I61" i="24"/>
  <c r="M61" i="24" s="1"/>
  <c r="B61" i="24"/>
  <c r="J60" i="24"/>
  <c r="K60" i="24" s="1"/>
  <c r="I60" i="24"/>
  <c r="M60" i="24" s="1"/>
  <c r="B60" i="24"/>
  <c r="J59" i="24"/>
  <c r="K59" i="24" s="1"/>
  <c r="I59" i="24"/>
  <c r="M59" i="24" s="1"/>
  <c r="B59" i="24"/>
  <c r="J58" i="24"/>
  <c r="K58" i="24" s="1"/>
  <c r="I58" i="24"/>
  <c r="M58" i="24" s="1"/>
  <c r="B58" i="24"/>
  <c r="J57" i="24"/>
  <c r="K57" i="24" s="1"/>
  <c r="I57" i="24"/>
  <c r="M57" i="24" s="1"/>
  <c r="B57" i="24"/>
  <c r="J56" i="24"/>
  <c r="K56" i="24" s="1"/>
  <c r="I56" i="24"/>
  <c r="M56" i="24" s="1"/>
  <c r="B56" i="24"/>
  <c r="J55" i="24"/>
  <c r="K55" i="24" s="1"/>
  <c r="I55" i="24"/>
  <c r="M55" i="24" s="1"/>
  <c r="B55" i="24"/>
  <c r="J54" i="24"/>
  <c r="K54" i="24" s="1"/>
  <c r="I54" i="24"/>
  <c r="M54" i="24" s="1"/>
  <c r="B54" i="24"/>
  <c r="J53" i="24"/>
  <c r="K53" i="24" s="1"/>
  <c r="I53" i="24"/>
  <c r="M53" i="24" s="1"/>
  <c r="B53" i="24"/>
  <c r="J52" i="24"/>
  <c r="K52" i="24" s="1"/>
  <c r="I52" i="24"/>
  <c r="M52" i="24" s="1"/>
  <c r="B52" i="24"/>
  <c r="J51" i="24"/>
  <c r="K51" i="24" s="1"/>
  <c r="I51" i="24"/>
  <c r="M51" i="24" s="1"/>
  <c r="B51" i="24"/>
  <c r="J50" i="24"/>
  <c r="K50" i="24" s="1"/>
  <c r="I50" i="24"/>
  <c r="M50" i="24" s="1"/>
  <c r="B50" i="24"/>
  <c r="J49" i="24"/>
  <c r="K49" i="24" s="1"/>
  <c r="I49" i="24"/>
  <c r="M49" i="24" s="1"/>
  <c r="B49" i="24"/>
  <c r="J48" i="24"/>
  <c r="K48" i="24" s="1"/>
  <c r="I48" i="24"/>
  <c r="M48" i="24" s="1"/>
  <c r="B48" i="24"/>
  <c r="J47" i="24"/>
  <c r="K47" i="24" s="1"/>
  <c r="I47" i="24"/>
  <c r="M47" i="24" s="1"/>
  <c r="B47" i="24"/>
  <c r="T46" i="24"/>
  <c r="R46" i="24"/>
  <c r="U46" i="24" s="1"/>
  <c r="J46" i="24"/>
  <c r="K46" i="24" s="1"/>
  <c r="I46" i="24"/>
  <c r="M46" i="24" s="1"/>
  <c r="B46" i="24"/>
  <c r="J45" i="24"/>
  <c r="K45" i="24" s="1"/>
  <c r="I45" i="24"/>
  <c r="M45" i="24" s="1"/>
  <c r="B45" i="24"/>
  <c r="J44" i="24"/>
  <c r="K44" i="24" s="1"/>
  <c r="I44" i="24"/>
  <c r="M44" i="24" s="1"/>
  <c r="B44" i="24"/>
  <c r="J43" i="24"/>
  <c r="K43" i="24" s="1"/>
  <c r="I43" i="24"/>
  <c r="M43" i="24" s="1"/>
  <c r="B43" i="24"/>
  <c r="J42" i="24"/>
  <c r="K42" i="24" s="1"/>
  <c r="I42" i="24"/>
  <c r="M42" i="24" s="1"/>
  <c r="B42" i="24"/>
  <c r="J41" i="24"/>
  <c r="K41" i="24" s="1"/>
  <c r="I41" i="24"/>
  <c r="M41" i="24" s="1"/>
  <c r="B41" i="24"/>
  <c r="J40" i="24"/>
  <c r="K40" i="24" s="1"/>
  <c r="I40" i="24"/>
  <c r="M40" i="24" s="1"/>
  <c r="B40" i="24"/>
  <c r="J39" i="24"/>
  <c r="K39" i="24" s="1"/>
  <c r="I39" i="24"/>
  <c r="M39" i="24" s="1"/>
  <c r="B39" i="24"/>
  <c r="J38" i="24"/>
  <c r="K38" i="24" s="1"/>
  <c r="I38" i="24"/>
  <c r="M38" i="24" s="1"/>
  <c r="B38" i="24"/>
  <c r="J37" i="24"/>
  <c r="K37" i="24" s="1"/>
  <c r="I37" i="24"/>
  <c r="M37" i="24" s="1"/>
  <c r="A37" i="24" s="1"/>
  <c r="B37" i="24"/>
  <c r="J36" i="24"/>
  <c r="K36" i="24" s="1"/>
  <c r="I36" i="24"/>
  <c r="M36" i="24" s="1"/>
  <c r="A36" i="24" s="1"/>
  <c r="B36" i="24"/>
  <c r="J35" i="24"/>
  <c r="K35" i="24" s="1"/>
  <c r="I35" i="24"/>
  <c r="M35" i="24" s="1"/>
  <c r="A35" i="24" s="1"/>
  <c r="B35" i="24"/>
  <c r="J34" i="24"/>
  <c r="K34" i="24" s="1"/>
  <c r="I34" i="24"/>
  <c r="M34" i="24" s="1"/>
  <c r="A34" i="24" s="1"/>
  <c r="B34" i="24"/>
  <c r="J33" i="24"/>
  <c r="K33" i="24" s="1"/>
  <c r="I33" i="24"/>
  <c r="M33" i="24" s="1"/>
  <c r="A33" i="24" s="1"/>
  <c r="B33" i="24"/>
  <c r="J32" i="24"/>
  <c r="K32" i="24" s="1"/>
  <c r="I32" i="24"/>
  <c r="M32" i="24" s="1"/>
  <c r="A32" i="24" s="1"/>
  <c r="B32" i="24"/>
  <c r="J31" i="24"/>
  <c r="K31" i="24" s="1"/>
  <c r="I31" i="24"/>
  <c r="M31" i="24" s="1"/>
  <c r="A31" i="24" s="1"/>
  <c r="B31" i="24"/>
  <c r="J30" i="24"/>
  <c r="K30" i="24" s="1"/>
  <c r="I30" i="24"/>
  <c r="M30" i="24" s="1"/>
  <c r="A30" i="24" s="1"/>
  <c r="B30" i="24"/>
  <c r="J29" i="24"/>
  <c r="K29" i="24" s="1"/>
  <c r="I29" i="24"/>
  <c r="M29" i="24" s="1"/>
  <c r="A29" i="24" s="1"/>
  <c r="B29" i="24"/>
  <c r="J28" i="24"/>
  <c r="K28" i="24" s="1"/>
  <c r="I28" i="24"/>
  <c r="M28" i="24" s="1"/>
  <c r="A28" i="24" s="1"/>
  <c r="B28" i="24"/>
  <c r="J27" i="24"/>
  <c r="K27" i="24" s="1"/>
  <c r="I27" i="24"/>
  <c r="M27" i="24" s="1"/>
  <c r="A27" i="24" s="1"/>
  <c r="B27" i="24"/>
  <c r="J26" i="24"/>
  <c r="K26" i="24" s="1"/>
  <c r="I26" i="24"/>
  <c r="M26" i="24" s="1"/>
  <c r="A26" i="24" s="1"/>
  <c r="B26" i="24"/>
  <c r="J25" i="24"/>
  <c r="K25" i="24" s="1"/>
  <c r="I25" i="24"/>
  <c r="M25" i="24" s="1"/>
  <c r="A25" i="24" s="1"/>
  <c r="B25" i="24"/>
  <c r="J24" i="24"/>
  <c r="K24" i="24" s="1"/>
  <c r="I24" i="24"/>
  <c r="M24" i="24" s="1"/>
  <c r="A24" i="24" s="1"/>
  <c r="B24" i="24"/>
  <c r="J23" i="24"/>
  <c r="K23" i="24" s="1"/>
  <c r="I23" i="24"/>
  <c r="M23" i="24" s="1"/>
  <c r="A23" i="24" s="1"/>
  <c r="B23" i="24"/>
  <c r="J22" i="24"/>
  <c r="K22" i="24" s="1"/>
  <c r="I22" i="24"/>
  <c r="M22" i="24" s="1"/>
  <c r="A22" i="24" s="1"/>
  <c r="B22" i="24"/>
  <c r="J21" i="24"/>
  <c r="K21" i="24" s="1"/>
  <c r="I21" i="24"/>
  <c r="M21" i="24" s="1"/>
  <c r="A21" i="24" s="1"/>
  <c r="B21" i="24"/>
  <c r="J20" i="24"/>
  <c r="K20" i="24" s="1"/>
  <c r="I20" i="24"/>
  <c r="B20" i="24"/>
  <c r="J19" i="24"/>
  <c r="K19" i="24" s="1"/>
  <c r="M19" i="24" s="1"/>
  <c r="A19" i="24" s="1"/>
  <c r="I19" i="24"/>
  <c r="B19" i="24"/>
  <c r="J18" i="24"/>
  <c r="K18" i="24" s="1"/>
  <c r="I18" i="24"/>
  <c r="B18" i="24"/>
  <c r="J17" i="24"/>
  <c r="K17" i="24" s="1"/>
  <c r="I17" i="24"/>
  <c r="B17" i="24"/>
  <c r="J16" i="24"/>
  <c r="K16" i="24" s="1"/>
  <c r="I16" i="24"/>
  <c r="M16" i="24" s="1"/>
  <c r="A16" i="24" s="1"/>
  <c r="B16" i="24"/>
  <c r="J15" i="24"/>
  <c r="K15" i="24" s="1"/>
  <c r="M15" i="24" s="1"/>
  <c r="A15" i="24" s="1"/>
  <c r="I15" i="24"/>
  <c r="B15" i="24"/>
  <c r="R12" i="20" s="1"/>
  <c r="AI14" i="24"/>
  <c r="J14" i="24"/>
  <c r="K14" i="24" s="1"/>
  <c r="I14" i="24"/>
  <c r="B14" i="24"/>
  <c r="AI13" i="24"/>
  <c r="AI16" i="24" s="1"/>
  <c r="J13" i="24"/>
  <c r="K13" i="24" s="1"/>
  <c r="I13" i="24"/>
  <c r="B13" i="24"/>
  <c r="AI12" i="24"/>
  <c r="J12" i="24"/>
  <c r="K12" i="24" s="1"/>
  <c r="I12" i="24"/>
  <c r="B12" i="24"/>
  <c r="J11" i="24"/>
  <c r="K11" i="24" s="1"/>
  <c r="I11" i="24"/>
  <c r="B11" i="24"/>
  <c r="J10" i="24"/>
  <c r="K10" i="24" s="1"/>
  <c r="I10" i="24"/>
  <c r="B10" i="24"/>
  <c r="J8" i="24"/>
  <c r="K8" i="24" s="1"/>
  <c r="I8" i="24"/>
  <c r="B8" i="24"/>
  <c r="J7" i="24"/>
  <c r="K7" i="24" s="1"/>
  <c r="I7" i="24"/>
  <c r="B7" i="24"/>
  <c r="J6" i="24"/>
  <c r="K6" i="24" s="1"/>
  <c r="I6" i="24"/>
  <c r="B6" i="24"/>
  <c r="K2" i="24"/>
  <c r="L9" i="24" s="1"/>
  <c r="O22" i="20" a="1"/>
  <c r="O22" i="20" s="1"/>
  <c r="O21" i="20" a="1"/>
  <c r="O21" i="20" s="1"/>
  <c r="O20" i="20" a="1"/>
  <c r="O20" i="20" s="1"/>
  <c r="O19" i="20" a="1"/>
  <c r="O19" i="20" s="1"/>
  <c r="O18" i="20" a="1"/>
  <c r="O18" i="20" s="1"/>
  <c r="O9" i="20" a="1"/>
  <c r="O9" i="20" s="1"/>
  <c r="O11" i="20" a="1"/>
  <c r="O11" i="20" s="1"/>
  <c r="O8" i="20" a="1"/>
  <c r="O8" i="20" s="1"/>
  <c r="O13" i="20" a="1"/>
  <c r="O13" i="20" s="1"/>
  <c r="O10" i="20" a="1"/>
  <c r="O10" i="20" s="1"/>
  <c r="O12" i="20" a="1"/>
  <c r="O12" i="20" s="1"/>
  <c r="O6" i="20" a="1"/>
  <c r="O6" i="20" s="1"/>
  <c r="A6" i="20"/>
  <c r="E6" i="20"/>
  <c r="G6" i="20"/>
  <c r="A12" i="20"/>
  <c r="E12" i="20"/>
  <c r="G12" i="20"/>
  <c r="A10" i="20"/>
  <c r="G10" i="20"/>
  <c r="A13" i="20"/>
  <c r="G13" i="20"/>
  <c r="A8" i="20"/>
  <c r="E8" i="20"/>
  <c r="G8" i="20"/>
  <c r="A11" i="20"/>
  <c r="E11" i="20"/>
  <c r="G11" i="20"/>
  <c r="H11" i="20" s="1"/>
  <c r="A9" i="20"/>
  <c r="G9" i="20"/>
  <c r="A7" i="20"/>
  <c r="G7" i="20"/>
  <c r="H7" i="20" s="1"/>
  <c r="A14" i="20"/>
  <c r="G14" i="20"/>
  <c r="H14" i="20" s="1"/>
  <c r="A15" i="20"/>
  <c r="G15" i="20"/>
  <c r="H15" i="20" s="1"/>
  <c r="A16" i="20"/>
  <c r="G16" i="20"/>
  <c r="H16" i="20" s="1"/>
  <c r="A18" i="20"/>
  <c r="E18" i="20"/>
  <c r="G18" i="20"/>
  <c r="H18" i="20" s="1"/>
  <c r="A19" i="20"/>
  <c r="E19" i="20"/>
  <c r="G19" i="20"/>
  <c r="H19" i="20" s="1"/>
  <c r="A20" i="20"/>
  <c r="E20" i="20"/>
  <c r="G20" i="20"/>
  <c r="H20" i="20" s="1"/>
  <c r="A21" i="20"/>
  <c r="E21" i="20"/>
  <c r="G21" i="20"/>
  <c r="H21" i="20" s="1"/>
  <c r="A17" i="20"/>
  <c r="G17" i="20"/>
  <c r="H17" i="20" s="1"/>
  <c r="A22" i="20"/>
  <c r="E22" i="20"/>
  <c r="G22" i="20"/>
  <c r="H22" i="20" s="1"/>
  <c r="B13" i="19"/>
  <c r="B12" i="19"/>
  <c r="B11" i="19"/>
  <c r="O16" i="20" a="1"/>
  <c r="O16" i="20" s="1"/>
  <c r="B9" i="19"/>
  <c r="B8" i="19"/>
  <c r="B7" i="19"/>
  <c r="B6" i="19"/>
  <c r="O6" i="13"/>
  <c r="O13" i="13"/>
  <c r="O9" i="13"/>
  <c r="O8" i="13"/>
  <c r="O12" i="13"/>
  <c r="O14" i="13"/>
  <c r="O7" i="13"/>
  <c r="O10" i="13"/>
  <c r="O16" i="13"/>
  <c r="O17" i="13"/>
  <c r="O18" i="13"/>
  <c r="O19" i="13"/>
  <c r="O20" i="13"/>
  <c r="O21" i="13"/>
  <c r="O22" i="13"/>
  <c r="B11" i="18"/>
  <c r="G6" i="13"/>
  <c r="G13" i="13"/>
  <c r="G11" i="13"/>
  <c r="G9" i="13"/>
  <c r="G8" i="13"/>
  <c r="G12" i="13"/>
  <c r="G17" i="13"/>
  <c r="G18" i="13"/>
  <c r="G19" i="13"/>
  <c r="G20" i="13"/>
  <c r="G21" i="13"/>
  <c r="G22" i="13"/>
  <c r="J305" i="17"/>
  <c r="J304" i="17"/>
  <c r="J303" i="17"/>
  <c r="K303" i="17" s="1"/>
  <c r="J302" i="17"/>
  <c r="K302" i="17" s="1"/>
  <c r="J301" i="17"/>
  <c r="J300" i="17"/>
  <c r="J299" i="17"/>
  <c r="K299" i="17" s="1"/>
  <c r="J298" i="17"/>
  <c r="K298" i="17" s="1"/>
  <c r="J297" i="17"/>
  <c r="J296" i="17"/>
  <c r="J295" i="17"/>
  <c r="J294" i="17"/>
  <c r="K294" i="17" s="1"/>
  <c r="J293" i="17"/>
  <c r="J292" i="17"/>
  <c r="K292" i="17" s="1"/>
  <c r="J291" i="17"/>
  <c r="J290" i="17"/>
  <c r="K290" i="17" s="1"/>
  <c r="J289" i="17"/>
  <c r="J288" i="17"/>
  <c r="J287" i="17"/>
  <c r="K287" i="17" s="1"/>
  <c r="J286" i="17"/>
  <c r="J285" i="17"/>
  <c r="J284" i="17"/>
  <c r="K284" i="17" s="1"/>
  <c r="J283" i="17"/>
  <c r="K283" i="17" s="1"/>
  <c r="J282" i="17"/>
  <c r="K282" i="17" s="1"/>
  <c r="J281" i="17"/>
  <c r="J280" i="17"/>
  <c r="J279" i="17"/>
  <c r="K279" i="17" s="1"/>
  <c r="J278" i="17"/>
  <c r="K278" i="17" s="1"/>
  <c r="J277" i="17"/>
  <c r="J276" i="17"/>
  <c r="J275" i="17"/>
  <c r="J274" i="17"/>
  <c r="K274" i="17" s="1"/>
  <c r="J273" i="17"/>
  <c r="J272" i="17"/>
  <c r="J271" i="17"/>
  <c r="J270" i="17"/>
  <c r="K270" i="17" s="1"/>
  <c r="J269" i="17"/>
  <c r="J268" i="17"/>
  <c r="J267" i="17"/>
  <c r="K267" i="17" s="1"/>
  <c r="J266" i="17"/>
  <c r="J265" i="17"/>
  <c r="J264" i="17"/>
  <c r="J263" i="17"/>
  <c r="K263" i="17" s="1"/>
  <c r="J262" i="17"/>
  <c r="J261" i="17"/>
  <c r="J260" i="17"/>
  <c r="J259" i="17"/>
  <c r="K259" i="17" s="1"/>
  <c r="J258" i="17"/>
  <c r="K258" i="17" s="1"/>
  <c r="J257" i="17"/>
  <c r="J256" i="17"/>
  <c r="J255" i="17"/>
  <c r="J254" i="17"/>
  <c r="K254" i="17" s="1"/>
  <c r="J253" i="17"/>
  <c r="J252" i="17"/>
  <c r="K252" i="17" s="1"/>
  <c r="J251" i="17"/>
  <c r="K251" i="17" s="1"/>
  <c r="J250" i="17"/>
  <c r="K250" i="17" s="1"/>
  <c r="J249" i="17"/>
  <c r="J248" i="17"/>
  <c r="J247" i="17"/>
  <c r="K247" i="17" s="1"/>
  <c r="J246" i="17"/>
  <c r="K246" i="17" s="1"/>
  <c r="J245" i="17"/>
  <c r="J244" i="17"/>
  <c r="K244" i="17" s="1"/>
  <c r="J243" i="17"/>
  <c r="K243" i="17" s="1"/>
  <c r="J242" i="17"/>
  <c r="K242" i="17" s="1"/>
  <c r="J241" i="17"/>
  <c r="J240" i="17"/>
  <c r="J239" i="17"/>
  <c r="K239" i="17" s="1"/>
  <c r="J238" i="17"/>
  <c r="J237" i="17"/>
  <c r="J236" i="17"/>
  <c r="J235" i="17"/>
  <c r="K235" i="17" s="1"/>
  <c r="J234" i="17"/>
  <c r="K234" i="17" s="1"/>
  <c r="J233" i="17"/>
  <c r="J232" i="17"/>
  <c r="J231" i="17"/>
  <c r="K231" i="17" s="1"/>
  <c r="J230" i="17"/>
  <c r="K230" i="17" s="1"/>
  <c r="J229" i="17"/>
  <c r="J228" i="17"/>
  <c r="K228" i="17" s="1"/>
  <c r="J227" i="17"/>
  <c r="K227" i="17" s="1"/>
  <c r="J226" i="17"/>
  <c r="K226" i="17" s="1"/>
  <c r="J225" i="17"/>
  <c r="J224" i="17"/>
  <c r="J223" i="17"/>
  <c r="K223" i="17" s="1"/>
  <c r="J222" i="17"/>
  <c r="K222" i="17" s="1"/>
  <c r="J221" i="17"/>
  <c r="J220" i="17"/>
  <c r="J219" i="17"/>
  <c r="J218" i="17"/>
  <c r="K218" i="17" s="1"/>
  <c r="J217" i="17"/>
  <c r="J216" i="17"/>
  <c r="J215" i="17"/>
  <c r="J214" i="17"/>
  <c r="K214" i="17" s="1"/>
  <c r="J213" i="17"/>
  <c r="J212" i="17"/>
  <c r="J211" i="17"/>
  <c r="K211" i="17" s="1"/>
  <c r="J210" i="17"/>
  <c r="K210" i="17" s="1"/>
  <c r="J209" i="17"/>
  <c r="J208" i="17"/>
  <c r="J207" i="17"/>
  <c r="J206" i="17"/>
  <c r="K206" i="17" s="1"/>
  <c r="J205" i="17"/>
  <c r="J204" i="17"/>
  <c r="J203" i="17"/>
  <c r="K203" i="17" s="1"/>
  <c r="J202" i="17"/>
  <c r="J201" i="17"/>
  <c r="J200" i="17"/>
  <c r="J199" i="17"/>
  <c r="J198" i="17"/>
  <c r="K198" i="17" s="1"/>
  <c r="J197" i="17"/>
  <c r="J196" i="17"/>
  <c r="K196" i="17" s="1"/>
  <c r="J195" i="17"/>
  <c r="K195" i="17" s="1"/>
  <c r="J194" i="17"/>
  <c r="K194" i="17" s="1"/>
  <c r="J193" i="17"/>
  <c r="J192" i="17"/>
  <c r="J191" i="17"/>
  <c r="J190" i="17"/>
  <c r="K190" i="17" s="1"/>
  <c r="J189" i="17"/>
  <c r="J188" i="17"/>
  <c r="J187" i="17"/>
  <c r="K187" i="17" s="1"/>
  <c r="J186" i="17"/>
  <c r="K186" i="17" s="1"/>
  <c r="J185" i="17"/>
  <c r="J184" i="17"/>
  <c r="J183" i="17"/>
  <c r="K183" i="17" s="1"/>
  <c r="J182" i="17"/>
  <c r="K182" i="17" s="1"/>
  <c r="J181" i="17"/>
  <c r="J180" i="17"/>
  <c r="J179" i="17"/>
  <c r="K179" i="17" s="1"/>
  <c r="J178" i="17"/>
  <c r="K178" i="17" s="1"/>
  <c r="J177" i="17"/>
  <c r="J176" i="17"/>
  <c r="J175" i="17"/>
  <c r="K175" i="17" s="1"/>
  <c r="J174" i="17"/>
  <c r="J173" i="17"/>
  <c r="J172" i="17"/>
  <c r="J171" i="17"/>
  <c r="K171" i="17" s="1"/>
  <c r="J170" i="17"/>
  <c r="K170" i="17" s="1"/>
  <c r="J169" i="17"/>
  <c r="J168" i="17"/>
  <c r="J167" i="17"/>
  <c r="J166" i="17"/>
  <c r="K166" i="17" s="1"/>
  <c r="J165" i="17"/>
  <c r="J164" i="17"/>
  <c r="K164" i="17" s="1"/>
  <c r="J163" i="17"/>
  <c r="K163" i="17" s="1"/>
  <c r="J162" i="17"/>
  <c r="K162" i="17" s="1"/>
  <c r="J161" i="17"/>
  <c r="J160" i="17"/>
  <c r="J159" i="17"/>
  <c r="J158" i="17"/>
  <c r="K158" i="17" s="1"/>
  <c r="J157" i="17"/>
  <c r="J156" i="17"/>
  <c r="J155" i="17"/>
  <c r="K155" i="17" s="1"/>
  <c r="J154" i="17"/>
  <c r="K154" i="17" s="1"/>
  <c r="J153" i="17"/>
  <c r="J152" i="17"/>
  <c r="J151" i="17"/>
  <c r="K151" i="17" s="1"/>
  <c r="J150" i="17"/>
  <c r="K150" i="17" s="1"/>
  <c r="J149" i="17"/>
  <c r="J148" i="17"/>
  <c r="K148" i="17" s="1"/>
  <c r="J147" i="17"/>
  <c r="K147" i="17" s="1"/>
  <c r="J146" i="17"/>
  <c r="K146" i="17" s="1"/>
  <c r="J145" i="17"/>
  <c r="J144" i="17"/>
  <c r="J143" i="17"/>
  <c r="J142" i="17"/>
  <c r="K142" i="17" s="1"/>
  <c r="J141" i="17"/>
  <c r="J140" i="17"/>
  <c r="J139" i="17"/>
  <c r="K139" i="17" s="1"/>
  <c r="J138" i="17"/>
  <c r="K138" i="17" s="1"/>
  <c r="J137" i="17"/>
  <c r="J136" i="17"/>
  <c r="J135" i="17"/>
  <c r="J134" i="17"/>
  <c r="K134" i="17" s="1"/>
  <c r="J133" i="17"/>
  <c r="J132" i="17"/>
  <c r="J131" i="17"/>
  <c r="K131" i="17" s="1"/>
  <c r="J130" i="17"/>
  <c r="K130" i="17" s="1"/>
  <c r="J129" i="17"/>
  <c r="J128" i="17"/>
  <c r="J127" i="17"/>
  <c r="J126" i="17"/>
  <c r="K126" i="17" s="1"/>
  <c r="J125" i="17"/>
  <c r="J124" i="17"/>
  <c r="J123" i="17"/>
  <c r="K123" i="17" s="1"/>
  <c r="J122" i="17"/>
  <c r="K122" i="17" s="1"/>
  <c r="J121" i="17"/>
  <c r="J120" i="17"/>
  <c r="J119" i="17"/>
  <c r="K119" i="17" s="1"/>
  <c r="J118" i="17"/>
  <c r="K118" i="17" s="1"/>
  <c r="J117" i="17"/>
  <c r="J116" i="17"/>
  <c r="K116" i="17" s="1"/>
  <c r="J115" i="17"/>
  <c r="K115" i="17" s="1"/>
  <c r="J114" i="17"/>
  <c r="K114" i="17" s="1"/>
  <c r="J113" i="17"/>
  <c r="J112" i="17"/>
  <c r="J111" i="17"/>
  <c r="J110" i="17"/>
  <c r="K110" i="17" s="1"/>
  <c r="J109" i="17"/>
  <c r="J108" i="17"/>
  <c r="K108" i="17" s="1"/>
  <c r="J107" i="17"/>
  <c r="K107" i="17" s="1"/>
  <c r="J106" i="17"/>
  <c r="K106" i="17" s="1"/>
  <c r="J105" i="17"/>
  <c r="J104" i="17"/>
  <c r="J103" i="17"/>
  <c r="K103" i="17" s="1"/>
  <c r="J102" i="17"/>
  <c r="J101" i="17"/>
  <c r="J100" i="17"/>
  <c r="J99" i="17"/>
  <c r="K99" i="17" s="1"/>
  <c r="J98" i="17"/>
  <c r="K98" i="17" s="1"/>
  <c r="J97" i="17"/>
  <c r="J96" i="17"/>
  <c r="J95" i="17"/>
  <c r="K95" i="17" s="1"/>
  <c r="J94" i="17"/>
  <c r="K94" i="17" s="1"/>
  <c r="J93" i="17"/>
  <c r="J92" i="17"/>
  <c r="K92" i="17" s="1"/>
  <c r="J91" i="17"/>
  <c r="K91" i="17" s="1"/>
  <c r="J90" i="17"/>
  <c r="K90" i="17" s="1"/>
  <c r="J89" i="17"/>
  <c r="J88" i="17"/>
  <c r="J87" i="17"/>
  <c r="K87" i="17" s="1"/>
  <c r="J86" i="17"/>
  <c r="K86" i="17" s="1"/>
  <c r="J85" i="17"/>
  <c r="J84" i="17"/>
  <c r="K84" i="17" s="1"/>
  <c r="J83" i="17"/>
  <c r="K83" i="17" s="1"/>
  <c r="J82" i="17"/>
  <c r="K82" i="17" s="1"/>
  <c r="J81" i="17"/>
  <c r="J80" i="17"/>
  <c r="J79" i="17"/>
  <c r="K79" i="17" s="1"/>
  <c r="J78" i="17"/>
  <c r="J77" i="17"/>
  <c r="J76" i="17"/>
  <c r="K76" i="17" s="1"/>
  <c r="J75" i="17"/>
  <c r="J74" i="17"/>
  <c r="J73" i="17"/>
  <c r="J72" i="17"/>
  <c r="J71" i="17"/>
  <c r="J70" i="17"/>
  <c r="K70" i="17" s="1"/>
  <c r="J69" i="17"/>
  <c r="J68" i="17"/>
  <c r="K68" i="17" s="1"/>
  <c r="J67" i="17"/>
  <c r="K67" i="17" s="1"/>
  <c r="J66" i="17"/>
  <c r="K66" i="17" s="1"/>
  <c r="J65" i="17"/>
  <c r="J64" i="17"/>
  <c r="J63" i="17"/>
  <c r="K63" i="17" s="1"/>
  <c r="J62" i="17"/>
  <c r="K62" i="17" s="1"/>
  <c r="J61" i="17"/>
  <c r="J60" i="17"/>
  <c r="K60" i="17" s="1"/>
  <c r="J59" i="17"/>
  <c r="J58" i="17"/>
  <c r="K58" i="17" s="1"/>
  <c r="J57" i="17"/>
  <c r="J56" i="17"/>
  <c r="J55" i="17"/>
  <c r="J54" i="17"/>
  <c r="K54" i="17" s="1"/>
  <c r="J53" i="17"/>
  <c r="J52" i="17"/>
  <c r="K52" i="17" s="1"/>
  <c r="J51" i="17"/>
  <c r="K51" i="17" s="1"/>
  <c r="J50" i="17"/>
  <c r="K50" i="17" s="1"/>
  <c r="J49" i="17"/>
  <c r="J48" i="17"/>
  <c r="J47" i="17"/>
  <c r="K47" i="17" s="1"/>
  <c r="J46" i="17"/>
  <c r="K46" i="17" s="1"/>
  <c r="J45" i="17"/>
  <c r="J44" i="17"/>
  <c r="J43" i="17"/>
  <c r="K43" i="17" s="1"/>
  <c r="J42" i="17"/>
  <c r="K42" i="17" s="1"/>
  <c r="J41" i="17"/>
  <c r="J40" i="17"/>
  <c r="J39" i="17"/>
  <c r="K39" i="17" s="1"/>
  <c r="J38" i="17"/>
  <c r="J37" i="17"/>
  <c r="J36" i="17"/>
  <c r="K36" i="17" s="1"/>
  <c r="J35" i="17"/>
  <c r="K35" i="17" s="1"/>
  <c r="J34" i="17"/>
  <c r="K34" i="17" s="1"/>
  <c r="J33" i="17"/>
  <c r="J32" i="17"/>
  <c r="J31" i="17"/>
  <c r="K31" i="17" s="1"/>
  <c r="J30" i="17"/>
  <c r="K30" i="17" s="1"/>
  <c r="J29" i="17"/>
  <c r="J28" i="17"/>
  <c r="J27" i="17"/>
  <c r="K27" i="17" s="1"/>
  <c r="J26" i="17"/>
  <c r="K26" i="17" s="1"/>
  <c r="J25" i="17"/>
  <c r="J24" i="17"/>
  <c r="J23" i="17"/>
  <c r="K23" i="17" s="1"/>
  <c r="J22" i="17"/>
  <c r="K22" i="17" s="1"/>
  <c r="J21" i="17"/>
  <c r="J20" i="17"/>
  <c r="K20" i="17" s="1"/>
  <c r="J19" i="17"/>
  <c r="J18" i="17"/>
  <c r="K18" i="17" s="1"/>
  <c r="J17" i="17"/>
  <c r="J16" i="17"/>
  <c r="J15" i="17"/>
  <c r="K15" i="17" s="1"/>
  <c r="J14" i="17"/>
  <c r="K14" i="17" s="1"/>
  <c r="J13" i="17"/>
  <c r="J12" i="17"/>
  <c r="J11" i="17"/>
  <c r="J10" i="17"/>
  <c r="K10" i="17" s="1"/>
  <c r="J9" i="17"/>
  <c r="J8" i="17"/>
  <c r="K6" i="17"/>
  <c r="E13" i="13"/>
  <c r="E9" i="13"/>
  <c r="E17" i="13"/>
  <c r="E18" i="13"/>
  <c r="E19" i="13"/>
  <c r="E20" i="13"/>
  <c r="E21" i="13"/>
  <c r="E22" i="13"/>
  <c r="B19" i="17"/>
  <c r="B18" i="17"/>
  <c r="B17" i="17"/>
  <c r="B16" i="17"/>
  <c r="B15" i="17"/>
  <c r="B14" i="17"/>
  <c r="B13" i="17"/>
  <c r="B12" i="17"/>
  <c r="B11" i="17"/>
  <c r="E14" i="20"/>
  <c r="E11" i="13"/>
  <c r="E6" i="13"/>
  <c r="J305" i="19"/>
  <c r="K305" i="19" s="1"/>
  <c r="J304" i="19"/>
  <c r="J303" i="19"/>
  <c r="J302" i="19"/>
  <c r="K302" i="19" s="1"/>
  <c r="J301" i="19"/>
  <c r="K301" i="19" s="1"/>
  <c r="J300" i="19"/>
  <c r="J299" i="19"/>
  <c r="K299" i="19" s="1"/>
  <c r="J298" i="19"/>
  <c r="K298" i="19" s="1"/>
  <c r="J297" i="19"/>
  <c r="K297" i="19" s="1"/>
  <c r="J296" i="19"/>
  <c r="J295" i="19"/>
  <c r="J294" i="19"/>
  <c r="J293" i="19"/>
  <c r="K293" i="19" s="1"/>
  <c r="J292" i="19"/>
  <c r="K292" i="19" s="1"/>
  <c r="J291" i="19"/>
  <c r="K291" i="19" s="1"/>
  <c r="J290" i="19"/>
  <c r="K290" i="19" s="1"/>
  <c r="J289" i="19"/>
  <c r="K289" i="19" s="1"/>
  <c r="J288" i="19"/>
  <c r="J287" i="19"/>
  <c r="K287" i="19" s="1"/>
  <c r="J286" i="19"/>
  <c r="K286" i="19" s="1"/>
  <c r="J285" i="19"/>
  <c r="K285" i="19" s="1"/>
  <c r="J284" i="19"/>
  <c r="J283" i="19"/>
  <c r="K283" i="19" s="1"/>
  <c r="J282" i="19"/>
  <c r="K282" i="19" s="1"/>
  <c r="J281" i="19"/>
  <c r="K281" i="19" s="1"/>
  <c r="J280" i="19"/>
  <c r="J279" i="19"/>
  <c r="J278" i="19"/>
  <c r="J277" i="19"/>
  <c r="K277" i="19" s="1"/>
  <c r="J276" i="19"/>
  <c r="J275" i="19"/>
  <c r="K275" i="19" s="1"/>
  <c r="J274" i="19"/>
  <c r="K274" i="19" s="1"/>
  <c r="J273" i="19"/>
  <c r="K273" i="19" s="1"/>
  <c r="J272" i="19"/>
  <c r="J271" i="19"/>
  <c r="J270" i="19"/>
  <c r="J269" i="19"/>
  <c r="K269" i="19" s="1"/>
  <c r="J268" i="19"/>
  <c r="J267" i="19"/>
  <c r="K267" i="19" s="1"/>
  <c r="J266" i="19"/>
  <c r="K266" i="19" s="1"/>
  <c r="J265" i="19"/>
  <c r="K265" i="19" s="1"/>
  <c r="J264" i="19"/>
  <c r="J263" i="19"/>
  <c r="J262" i="19"/>
  <c r="J261" i="19"/>
  <c r="K261" i="19" s="1"/>
  <c r="J260" i="19"/>
  <c r="K260" i="19" s="1"/>
  <c r="J259" i="19"/>
  <c r="K259" i="19" s="1"/>
  <c r="J258" i="19"/>
  <c r="K258" i="19" s="1"/>
  <c r="J257" i="19"/>
  <c r="K257" i="19" s="1"/>
  <c r="J256" i="19"/>
  <c r="J255" i="19"/>
  <c r="J254" i="19"/>
  <c r="J253" i="19"/>
  <c r="K253" i="19" s="1"/>
  <c r="J252" i="19"/>
  <c r="K252" i="19" s="1"/>
  <c r="J251" i="19"/>
  <c r="K251" i="19" s="1"/>
  <c r="J250" i="19"/>
  <c r="K250" i="19" s="1"/>
  <c r="J249" i="19"/>
  <c r="K249" i="19" s="1"/>
  <c r="J248" i="19"/>
  <c r="J247" i="19"/>
  <c r="J246" i="19"/>
  <c r="J245" i="19"/>
  <c r="K245" i="19" s="1"/>
  <c r="J244" i="19"/>
  <c r="K244" i="19" s="1"/>
  <c r="J243" i="19"/>
  <c r="K243" i="19" s="1"/>
  <c r="J242" i="19"/>
  <c r="K242" i="19" s="1"/>
  <c r="J241" i="19"/>
  <c r="K241" i="19" s="1"/>
  <c r="J240" i="19"/>
  <c r="J239" i="19"/>
  <c r="J238" i="19"/>
  <c r="J237" i="19"/>
  <c r="K237" i="19" s="1"/>
  <c r="J236" i="19"/>
  <c r="J235" i="19"/>
  <c r="K235" i="19" s="1"/>
  <c r="J234" i="19"/>
  <c r="K234" i="19" s="1"/>
  <c r="J233" i="19"/>
  <c r="K233" i="19" s="1"/>
  <c r="J232" i="19"/>
  <c r="J231" i="19"/>
  <c r="J230" i="19"/>
  <c r="J229" i="19"/>
  <c r="K229" i="19" s="1"/>
  <c r="J228" i="19"/>
  <c r="J227" i="19"/>
  <c r="K227" i="19" s="1"/>
  <c r="J226" i="19"/>
  <c r="K226" i="19" s="1"/>
  <c r="J225" i="19"/>
  <c r="K225" i="19" s="1"/>
  <c r="J224" i="19"/>
  <c r="J223" i="19"/>
  <c r="J222" i="19"/>
  <c r="J221" i="19"/>
  <c r="K221" i="19" s="1"/>
  <c r="J220" i="19"/>
  <c r="K220" i="19" s="1"/>
  <c r="J219" i="19"/>
  <c r="K219" i="19" s="1"/>
  <c r="J218" i="19"/>
  <c r="K218" i="19" s="1"/>
  <c r="J217" i="19"/>
  <c r="K217" i="19" s="1"/>
  <c r="J216" i="19"/>
  <c r="J215" i="19"/>
  <c r="J214" i="19"/>
  <c r="K214" i="19" s="1"/>
  <c r="J213" i="19"/>
  <c r="K213" i="19" s="1"/>
  <c r="J212" i="19"/>
  <c r="K212" i="19" s="1"/>
  <c r="J211" i="19"/>
  <c r="K211" i="19" s="1"/>
  <c r="J210" i="19"/>
  <c r="K210" i="19" s="1"/>
  <c r="J209" i="19"/>
  <c r="J208" i="19"/>
  <c r="J207" i="19"/>
  <c r="K207" i="19" s="1"/>
  <c r="J206" i="19"/>
  <c r="J205" i="19"/>
  <c r="K205" i="19" s="1"/>
  <c r="J204" i="19"/>
  <c r="J203" i="19"/>
  <c r="K203" i="19" s="1"/>
  <c r="J202" i="19"/>
  <c r="K202" i="19" s="1"/>
  <c r="J201" i="19"/>
  <c r="K201" i="19" s="1"/>
  <c r="J200" i="19"/>
  <c r="J199" i="19"/>
  <c r="J198" i="19"/>
  <c r="K198" i="19" s="1"/>
  <c r="J197" i="19"/>
  <c r="K197" i="19" s="1"/>
  <c r="J196" i="19"/>
  <c r="J195" i="19"/>
  <c r="K195" i="19" s="1"/>
  <c r="J194" i="19"/>
  <c r="J193" i="19"/>
  <c r="K193" i="19" s="1"/>
  <c r="J192" i="19"/>
  <c r="J191" i="19"/>
  <c r="J190" i="19"/>
  <c r="J189" i="19"/>
  <c r="K189" i="19" s="1"/>
  <c r="J188" i="19"/>
  <c r="J187" i="19"/>
  <c r="K187" i="19" s="1"/>
  <c r="J186" i="19"/>
  <c r="K186" i="19" s="1"/>
  <c r="J185" i="19"/>
  <c r="K185" i="19" s="1"/>
  <c r="J184" i="19"/>
  <c r="J183" i="19"/>
  <c r="K183" i="19" s="1"/>
  <c r="J182" i="19"/>
  <c r="J181" i="19"/>
  <c r="J180" i="19"/>
  <c r="J179" i="19"/>
  <c r="K179" i="19" s="1"/>
  <c r="J178" i="19"/>
  <c r="K178" i="19" s="1"/>
  <c r="J177" i="19"/>
  <c r="K177" i="19" s="1"/>
  <c r="J176" i="19"/>
  <c r="J175" i="19"/>
  <c r="J174" i="19"/>
  <c r="K174" i="19" s="1"/>
  <c r="J173" i="19"/>
  <c r="K173" i="19" s="1"/>
  <c r="J172" i="19"/>
  <c r="K172" i="19" s="1"/>
  <c r="J171" i="19"/>
  <c r="J170" i="19"/>
  <c r="K170" i="19" s="1"/>
  <c r="J169" i="19"/>
  <c r="K169" i="19" s="1"/>
  <c r="J168" i="19"/>
  <c r="J167" i="19"/>
  <c r="J166" i="19"/>
  <c r="J165" i="19"/>
  <c r="K165" i="19" s="1"/>
  <c r="J164" i="19"/>
  <c r="J163" i="19"/>
  <c r="K163" i="19" s="1"/>
  <c r="J162" i="19"/>
  <c r="K162" i="19" s="1"/>
  <c r="J161" i="19"/>
  <c r="K161" i="19" s="1"/>
  <c r="J160" i="19"/>
  <c r="J159" i="19"/>
  <c r="K159" i="19" s="1"/>
  <c r="J158" i="19"/>
  <c r="J157" i="19"/>
  <c r="K157" i="19" s="1"/>
  <c r="J156" i="19"/>
  <c r="K156" i="19" s="1"/>
  <c r="J155" i="19"/>
  <c r="K155" i="19" s="1"/>
  <c r="J154" i="19"/>
  <c r="K154" i="19" s="1"/>
  <c r="J153" i="19"/>
  <c r="K153" i="19" s="1"/>
  <c r="J152" i="19"/>
  <c r="J151" i="19"/>
  <c r="J150" i="19"/>
  <c r="J149" i="19"/>
  <c r="K149" i="19" s="1"/>
  <c r="J148" i="19"/>
  <c r="K148" i="19" s="1"/>
  <c r="J147" i="19"/>
  <c r="K147" i="19" s="1"/>
  <c r="J146" i="19"/>
  <c r="J145" i="19"/>
  <c r="K145" i="19" s="1"/>
  <c r="J144" i="19"/>
  <c r="J143" i="19"/>
  <c r="K143" i="19" s="1"/>
  <c r="J142" i="19"/>
  <c r="J141" i="19"/>
  <c r="K141" i="19" s="1"/>
  <c r="J140" i="19"/>
  <c r="K140" i="19" s="1"/>
  <c r="J139" i="19"/>
  <c r="K139" i="19" s="1"/>
  <c r="J138" i="19"/>
  <c r="K138" i="19" s="1"/>
  <c r="J137" i="19"/>
  <c r="K137" i="19" s="1"/>
  <c r="J136" i="19"/>
  <c r="J135" i="19"/>
  <c r="J134" i="19"/>
  <c r="J133" i="19"/>
  <c r="K133" i="19" s="1"/>
  <c r="J132" i="19"/>
  <c r="K132" i="19" s="1"/>
  <c r="J131" i="19"/>
  <c r="K131" i="19" s="1"/>
  <c r="J130" i="19"/>
  <c r="K130" i="19" s="1"/>
  <c r="J129" i="19"/>
  <c r="K129" i="19" s="1"/>
  <c r="J128" i="19"/>
  <c r="J127" i="19"/>
  <c r="J126" i="19"/>
  <c r="J125" i="19"/>
  <c r="K125" i="19" s="1"/>
  <c r="J124" i="19"/>
  <c r="J123" i="19"/>
  <c r="K123" i="19" s="1"/>
  <c r="J122" i="19"/>
  <c r="K122" i="19" s="1"/>
  <c r="J121" i="19"/>
  <c r="K121" i="19" s="1"/>
  <c r="J120" i="19"/>
  <c r="J119" i="19"/>
  <c r="J118" i="19"/>
  <c r="J117" i="19"/>
  <c r="K117" i="19" s="1"/>
  <c r="J116" i="19"/>
  <c r="J115" i="19"/>
  <c r="K115" i="19" s="1"/>
  <c r="J114" i="19"/>
  <c r="K114" i="19" s="1"/>
  <c r="J113" i="19"/>
  <c r="K113" i="19" s="1"/>
  <c r="J112" i="19"/>
  <c r="J111" i="19"/>
  <c r="J110" i="19"/>
  <c r="J109" i="19"/>
  <c r="K109" i="19" s="1"/>
  <c r="J108" i="19"/>
  <c r="J107" i="19"/>
  <c r="K107" i="19" s="1"/>
  <c r="J106" i="19"/>
  <c r="K106" i="19" s="1"/>
  <c r="J105" i="19"/>
  <c r="K105" i="19" s="1"/>
  <c r="J104" i="19"/>
  <c r="J103" i="19"/>
  <c r="J102" i="19"/>
  <c r="J101" i="19"/>
  <c r="K101" i="19" s="1"/>
  <c r="J100" i="19"/>
  <c r="J99" i="19"/>
  <c r="K99" i="19" s="1"/>
  <c r="J98" i="19"/>
  <c r="K98" i="19" s="1"/>
  <c r="J97" i="19"/>
  <c r="K97" i="19" s="1"/>
  <c r="J96" i="19"/>
  <c r="J95" i="19"/>
  <c r="J94" i="19"/>
  <c r="J93" i="19"/>
  <c r="K93" i="19" s="1"/>
  <c r="J92" i="19"/>
  <c r="K92" i="19" s="1"/>
  <c r="J91" i="19"/>
  <c r="K91" i="19" s="1"/>
  <c r="J90" i="19"/>
  <c r="K90" i="19" s="1"/>
  <c r="J89" i="19"/>
  <c r="K89" i="19" s="1"/>
  <c r="J88" i="19"/>
  <c r="J87" i="19"/>
  <c r="J86" i="19"/>
  <c r="K86" i="19" s="1"/>
  <c r="J85" i="19"/>
  <c r="K85" i="19" s="1"/>
  <c r="J84" i="19"/>
  <c r="K84" i="19" s="1"/>
  <c r="J83" i="19"/>
  <c r="K83" i="19" s="1"/>
  <c r="J82" i="19"/>
  <c r="J81" i="19"/>
  <c r="J80" i="19"/>
  <c r="J79" i="19"/>
  <c r="J78" i="19"/>
  <c r="J77" i="19"/>
  <c r="K77" i="19" s="1"/>
  <c r="J76" i="19"/>
  <c r="K76" i="19" s="1"/>
  <c r="J75" i="19"/>
  <c r="K75" i="19" s="1"/>
  <c r="J74" i="19"/>
  <c r="K74" i="19" s="1"/>
  <c r="J73" i="19"/>
  <c r="K73" i="19" s="1"/>
  <c r="J72" i="19"/>
  <c r="J71" i="19"/>
  <c r="J70" i="19"/>
  <c r="K70" i="19" s="1"/>
  <c r="J69" i="19"/>
  <c r="K69" i="19" s="1"/>
  <c r="J68" i="19"/>
  <c r="K68" i="19" s="1"/>
  <c r="J67" i="19"/>
  <c r="K67" i="19" s="1"/>
  <c r="J66" i="19"/>
  <c r="K66" i="19" s="1"/>
  <c r="J65" i="19"/>
  <c r="K65" i="19" s="1"/>
  <c r="J64" i="19"/>
  <c r="J63" i="19"/>
  <c r="J62" i="19"/>
  <c r="K62" i="19" s="1"/>
  <c r="J61" i="19"/>
  <c r="K61" i="19" s="1"/>
  <c r="J60" i="19"/>
  <c r="J59" i="19"/>
  <c r="J58" i="19"/>
  <c r="K58" i="19" s="1"/>
  <c r="J57" i="19"/>
  <c r="K57" i="19" s="1"/>
  <c r="J56" i="19"/>
  <c r="J55" i="19"/>
  <c r="K55" i="19" s="1"/>
  <c r="J54" i="19"/>
  <c r="J53" i="19"/>
  <c r="K53" i="19" s="1"/>
  <c r="J52" i="19"/>
  <c r="J51" i="19"/>
  <c r="K51" i="19" s="1"/>
  <c r="J50" i="19"/>
  <c r="K50" i="19" s="1"/>
  <c r="J49" i="19"/>
  <c r="K49" i="19" s="1"/>
  <c r="J48" i="19"/>
  <c r="J47" i="19"/>
  <c r="J46" i="19"/>
  <c r="K46" i="19" s="1"/>
  <c r="J45" i="19"/>
  <c r="J44" i="19"/>
  <c r="J43" i="19"/>
  <c r="K43" i="19" s="1"/>
  <c r="J42" i="19"/>
  <c r="K42" i="19" s="1"/>
  <c r="J41" i="19"/>
  <c r="K41" i="19" s="1"/>
  <c r="J40" i="19"/>
  <c r="J39" i="19"/>
  <c r="J38" i="19"/>
  <c r="J37" i="19"/>
  <c r="K37" i="19" s="1"/>
  <c r="J36" i="19"/>
  <c r="J35" i="19"/>
  <c r="K35" i="19" s="1"/>
  <c r="J34" i="19"/>
  <c r="K34" i="19" s="1"/>
  <c r="J33" i="19"/>
  <c r="K33" i="19" s="1"/>
  <c r="J32" i="19"/>
  <c r="J31" i="19"/>
  <c r="J30" i="19"/>
  <c r="K30" i="19" s="1"/>
  <c r="J29" i="19"/>
  <c r="K29" i="19" s="1"/>
  <c r="J28" i="19"/>
  <c r="K28" i="19" s="1"/>
  <c r="J27" i="19"/>
  <c r="K27" i="19" s="1"/>
  <c r="J26" i="19"/>
  <c r="K26" i="19" s="1"/>
  <c r="J25" i="19"/>
  <c r="K25" i="19" s="1"/>
  <c r="J24" i="19"/>
  <c r="J23" i="19"/>
  <c r="J22" i="19"/>
  <c r="J21" i="19"/>
  <c r="K21" i="19" s="1"/>
  <c r="J20" i="19"/>
  <c r="K20" i="19" s="1"/>
  <c r="J19" i="19"/>
  <c r="K19" i="19" s="1"/>
  <c r="J18" i="19"/>
  <c r="K18" i="19" s="1"/>
  <c r="J17" i="19"/>
  <c r="K17" i="19" s="1"/>
  <c r="J16" i="19"/>
  <c r="J15" i="19"/>
  <c r="J14" i="19"/>
  <c r="J13" i="19"/>
  <c r="K13" i="19" s="1"/>
  <c r="J12" i="19"/>
  <c r="K12" i="19" s="1"/>
  <c r="J11" i="19"/>
  <c r="K11" i="19" s="1"/>
  <c r="J9" i="19"/>
  <c r="K9" i="19" s="1"/>
  <c r="K8" i="19"/>
  <c r="J7" i="19"/>
  <c r="K36" i="19"/>
  <c r="K44" i="19"/>
  <c r="K52" i="19"/>
  <c r="K60" i="19"/>
  <c r="K100" i="19"/>
  <c r="K108" i="19"/>
  <c r="K116" i="19"/>
  <c r="K124" i="19"/>
  <c r="K164" i="19"/>
  <c r="K188" i="19"/>
  <c r="K196" i="19"/>
  <c r="K204" i="19"/>
  <c r="K215" i="19"/>
  <c r="K223" i="19"/>
  <c r="K228" i="19"/>
  <c r="K231" i="19"/>
  <c r="K236" i="19"/>
  <c r="K255" i="19"/>
  <c r="K268" i="19"/>
  <c r="K271" i="19"/>
  <c r="K276" i="19"/>
  <c r="K284" i="19"/>
  <c r="K295" i="19"/>
  <c r="K303" i="19"/>
  <c r="K146" i="19"/>
  <c r="K82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K126" i="18" s="1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K109" i="18" s="1"/>
  <c r="J108" i="18"/>
  <c r="J107" i="18"/>
  <c r="J106" i="18"/>
  <c r="J105" i="18"/>
  <c r="J104" i="18"/>
  <c r="J103" i="18"/>
  <c r="J102" i="18"/>
  <c r="J101" i="18"/>
  <c r="K101" i="18" s="1"/>
  <c r="J100" i="18"/>
  <c r="J99" i="18"/>
  <c r="J98" i="18"/>
  <c r="J97" i="18"/>
  <c r="J96" i="18"/>
  <c r="J95" i="18"/>
  <c r="J94" i="18"/>
  <c r="J93" i="18"/>
  <c r="K93" i="18" s="1"/>
  <c r="J92" i="18"/>
  <c r="J91" i="18"/>
  <c r="J90" i="18"/>
  <c r="J89" i="18"/>
  <c r="J88" i="18"/>
  <c r="J87" i="18"/>
  <c r="J86" i="18"/>
  <c r="J85" i="18"/>
  <c r="K85" i="18" s="1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K69" i="18" s="1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K53" i="18" s="1"/>
  <c r="J52" i="18"/>
  <c r="J51" i="18"/>
  <c r="J50" i="18"/>
  <c r="J49" i="18"/>
  <c r="J48" i="18"/>
  <c r="J47" i="18"/>
  <c r="J46" i="18"/>
  <c r="K46" i="18" s="1"/>
  <c r="J45" i="18"/>
  <c r="K45" i="18" s="1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K29" i="18" s="1"/>
  <c r="J28" i="18"/>
  <c r="J27" i="18"/>
  <c r="J26" i="18"/>
  <c r="J25" i="18"/>
  <c r="J24" i="18"/>
  <c r="J23" i="18"/>
  <c r="J22" i="18"/>
  <c r="J21" i="18"/>
  <c r="K21" i="18" s="1"/>
  <c r="J20" i="18"/>
  <c r="J19" i="18"/>
  <c r="J18" i="18"/>
  <c r="J17" i="18"/>
  <c r="J16" i="18"/>
  <c r="J15" i="18"/>
  <c r="J14" i="18"/>
  <c r="J13" i="18"/>
  <c r="K13" i="18" s="1"/>
  <c r="J12" i="18"/>
  <c r="J11" i="18"/>
  <c r="J10" i="18"/>
  <c r="K14" i="18"/>
  <c r="K22" i="18"/>
  <c r="K30" i="18"/>
  <c r="K38" i="18"/>
  <c r="K54" i="18"/>
  <c r="K62" i="18"/>
  <c r="K78" i="18"/>
  <c r="K86" i="18"/>
  <c r="K94" i="18"/>
  <c r="K110" i="18"/>
  <c r="K118" i="18"/>
  <c r="K142" i="18"/>
  <c r="K150" i="18"/>
  <c r="K158" i="18"/>
  <c r="K174" i="18"/>
  <c r="K182" i="18"/>
  <c r="K190" i="18"/>
  <c r="K198" i="18"/>
  <c r="K206" i="18"/>
  <c r="K238" i="18"/>
  <c r="K246" i="18"/>
  <c r="K254" i="18"/>
  <c r="K262" i="18"/>
  <c r="K278" i="18"/>
  <c r="K286" i="18"/>
  <c r="K294" i="18"/>
  <c r="K302" i="18"/>
  <c r="K298" i="18"/>
  <c r="K290" i="18"/>
  <c r="K282" i="18"/>
  <c r="K274" i="18"/>
  <c r="K266" i="18"/>
  <c r="K258" i="18"/>
  <c r="K250" i="18"/>
  <c r="K242" i="18"/>
  <c r="K234" i="18"/>
  <c r="K226" i="18"/>
  <c r="K218" i="18"/>
  <c r="K210" i="18"/>
  <c r="K202" i="18"/>
  <c r="K186" i="18"/>
  <c r="K178" i="18"/>
  <c r="K162" i="18"/>
  <c r="K154" i="18"/>
  <c r="K138" i="18"/>
  <c r="K130" i="18"/>
  <c r="K114" i="18"/>
  <c r="K106" i="18"/>
  <c r="K90" i="18"/>
  <c r="K82" i="18"/>
  <c r="K66" i="18"/>
  <c r="K58" i="18"/>
  <c r="K50" i="18"/>
  <c r="K42" i="18"/>
  <c r="K34" i="18"/>
  <c r="K18" i="18"/>
  <c r="K10" i="18"/>
  <c r="K29" i="17"/>
  <c r="K37" i="17"/>
  <c r="K45" i="17"/>
  <c r="K53" i="17"/>
  <c r="K69" i="17"/>
  <c r="K74" i="17"/>
  <c r="K77" i="17"/>
  <c r="K85" i="17"/>
  <c r="K93" i="17"/>
  <c r="K117" i="17"/>
  <c r="K125" i="17"/>
  <c r="K133" i="17"/>
  <c r="K141" i="17"/>
  <c r="K149" i="17"/>
  <c r="K157" i="17"/>
  <c r="K161" i="17"/>
  <c r="K165" i="17"/>
  <c r="K169" i="17"/>
  <c r="K173" i="17"/>
  <c r="K177" i="17"/>
  <c r="K181" i="17"/>
  <c r="K185" i="17"/>
  <c r="K197" i="17"/>
  <c r="K201" i="17"/>
  <c r="K202" i="17"/>
  <c r="K205" i="17"/>
  <c r="K209" i="17"/>
  <c r="K217" i="17"/>
  <c r="K221" i="17"/>
  <c r="K237" i="17"/>
  <c r="K241" i="17"/>
  <c r="K245" i="17"/>
  <c r="K257" i="17"/>
  <c r="K261" i="17"/>
  <c r="K266" i="17"/>
  <c r="K273" i="17"/>
  <c r="K277" i="17"/>
  <c r="K281" i="17"/>
  <c r="K285" i="17"/>
  <c r="K297" i="17"/>
  <c r="K301" i="17"/>
  <c r="A22" i="13"/>
  <c r="A21" i="13"/>
  <c r="A20" i="13"/>
  <c r="A19" i="13"/>
  <c r="A18" i="13"/>
  <c r="A17" i="13"/>
  <c r="A12" i="13"/>
  <c r="A16" i="13"/>
  <c r="A8" i="13"/>
  <c r="A15" i="13"/>
  <c r="A10" i="13"/>
  <c r="A9" i="13"/>
  <c r="A13" i="13"/>
  <c r="A7" i="13"/>
  <c r="A14" i="13"/>
  <c r="A11" i="13"/>
  <c r="A6" i="13"/>
  <c r="I305" i="19"/>
  <c r="K304" i="19"/>
  <c r="I304" i="19"/>
  <c r="I303" i="19"/>
  <c r="I302" i="19"/>
  <c r="I301" i="19"/>
  <c r="K300" i="19"/>
  <c r="I300" i="19"/>
  <c r="I299" i="19"/>
  <c r="I298" i="19"/>
  <c r="I297" i="19"/>
  <c r="K296" i="19"/>
  <c r="I296" i="19"/>
  <c r="I295" i="19"/>
  <c r="K294" i="19"/>
  <c r="I294" i="19"/>
  <c r="I293" i="19"/>
  <c r="I292" i="19"/>
  <c r="I291" i="19"/>
  <c r="I290" i="19"/>
  <c r="I289" i="19"/>
  <c r="K288" i="19"/>
  <c r="I288" i="19"/>
  <c r="I287" i="19"/>
  <c r="I286" i="19"/>
  <c r="I285" i="19"/>
  <c r="I284" i="19"/>
  <c r="I283" i="19"/>
  <c r="I282" i="19"/>
  <c r="I281" i="19"/>
  <c r="K280" i="19"/>
  <c r="I280" i="19"/>
  <c r="K279" i="19"/>
  <c r="I279" i="19"/>
  <c r="K278" i="19"/>
  <c r="I278" i="19"/>
  <c r="I277" i="19"/>
  <c r="I276" i="19"/>
  <c r="I275" i="19"/>
  <c r="I274" i="19"/>
  <c r="I273" i="19"/>
  <c r="K272" i="19"/>
  <c r="I272" i="19"/>
  <c r="I271" i="19"/>
  <c r="K270" i="19"/>
  <c r="I270" i="19"/>
  <c r="I269" i="19"/>
  <c r="I268" i="19"/>
  <c r="I267" i="19"/>
  <c r="I266" i="19"/>
  <c r="I265" i="19"/>
  <c r="K264" i="19"/>
  <c r="I264" i="19"/>
  <c r="K263" i="19"/>
  <c r="I263" i="19"/>
  <c r="K262" i="19"/>
  <c r="I262" i="19"/>
  <c r="I261" i="19"/>
  <c r="I260" i="19"/>
  <c r="I259" i="19"/>
  <c r="I258" i="19"/>
  <c r="I257" i="19"/>
  <c r="K256" i="19"/>
  <c r="I256" i="19"/>
  <c r="I255" i="19"/>
  <c r="K254" i="19"/>
  <c r="I254" i="19"/>
  <c r="I253" i="19"/>
  <c r="I252" i="19"/>
  <c r="I251" i="19"/>
  <c r="I250" i="19"/>
  <c r="I249" i="19"/>
  <c r="K248" i="19"/>
  <c r="I248" i="19"/>
  <c r="K247" i="19"/>
  <c r="I247" i="19"/>
  <c r="K246" i="19"/>
  <c r="I246" i="19"/>
  <c r="I245" i="19"/>
  <c r="I244" i="19"/>
  <c r="I243" i="19"/>
  <c r="I242" i="19"/>
  <c r="I241" i="19"/>
  <c r="K240" i="19"/>
  <c r="I240" i="19"/>
  <c r="K239" i="19"/>
  <c r="I239" i="19"/>
  <c r="K238" i="19"/>
  <c r="I238" i="19"/>
  <c r="I237" i="19"/>
  <c r="I236" i="19"/>
  <c r="I235" i="19"/>
  <c r="I234" i="19"/>
  <c r="I233" i="19"/>
  <c r="K232" i="19"/>
  <c r="I232" i="19"/>
  <c r="I231" i="19"/>
  <c r="K230" i="19"/>
  <c r="I230" i="19"/>
  <c r="I229" i="19"/>
  <c r="I228" i="19"/>
  <c r="I227" i="19"/>
  <c r="I226" i="19"/>
  <c r="I225" i="19"/>
  <c r="K224" i="19"/>
  <c r="I224" i="19"/>
  <c r="I223" i="19"/>
  <c r="K222" i="19"/>
  <c r="I222" i="19"/>
  <c r="I221" i="19"/>
  <c r="I220" i="19"/>
  <c r="I219" i="19"/>
  <c r="I218" i="19"/>
  <c r="I217" i="19"/>
  <c r="K216" i="19"/>
  <c r="I216" i="19"/>
  <c r="I215" i="19"/>
  <c r="I214" i="19"/>
  <c r="I213" i="19"/>
  <c r="I212" i="19"/>
  <c r="I211" i="19"/>
  <c r="I210" i="19"/>
  <c r="K209" i="19"/>
  <c r="I209" i="19"/>
  <c r="K208" i="19"/>
  <c r="I208" i="19"/>
  <c r="I207" i="19"/>
  <c r="K206" i="19"/>
  <c r="I206" i="19"/>
  <c r="I205" i="19"/>
  <c r="I204" i="19"/>
  <c r="I203" i="19"/>
  <c r="I202" i="19"/>
  <c r="I201" i="19"/>
  <c r="K200" i="19"/>
  <c r="I200" i="19"/>
  <c r="K199" i="19"/>
  <c r="I199" i="19"/>
  <c r="I198" i="19"/>
  <c r="I197" i="19"/>
  <c r="I196" i="19"/>
  <c r="I195" i="19"/>
  <c r="K194" i="19"/>
  <c r="I194" i="19"/>
  <c r="I193" i="19"/>
  <c r="K192" i="19"/>
  <c r="I192" i="19"/>
  <c r="K191" i="19"/>
  <c r="I191" i="19"/>
  <c r="K190" i="19"/>
  <c r="I190" i="19"/>
  <c r="I189" i="19"/>
  <c r="I188" i="19"/>
  <c r="I187" i="19"/>
  <c r="I186" i="19"/>
  <c r="I185" i="19"/>
  <c r="K184" i="19"/>
  <c r="I184" i="19"/>
  <c r="I183" i="19"/>
  <c r="K182" i="19"/>
  <c r="I182" i="19"/>
  <c r="K181" i="19"/>
  <c r="I181" i="19"/>
  <c r="K180" i="19"/>
  <c r="I180" i="19"/>
  <c r="I179" i="19"/>
  <c r="I178" i="19"/>
  <c r="I177" i="19"/>
  <c r="K176" i="19"/>
  <c r="I176" i="19"/>
  <c r="K175" i="19"/>
  <c r="I175" i="19"/>
  <c r="I174" i="19"/>
  <c r="I173" i="19"/>
  <c r="I172" i="19"/>
  <c r="K171" i="19"/>
  <c r="I171" i="19"/>
  <c r="I170" i="19"/>
  <c r="I169" i="19"/>
  <c r="K168" i="19"/>
  <c r="I168" i="19"/>
  <c r="K167" i="19"/>
  <c r="I167" i="19"/>
  <c r="K166" i="19"/>
  <c r="I166" i="19"/>
  <c r="I165" i="19"/>
  <c r="I164" i="19"/>
  <c r="I163" i="19"/>
  <c r="I162" i="19"/>
  <c r="I161" i="19"/>
  <c r="K160" i="19"/>
  <c r="I160" i="19"/>
  <c r="I159" i="19"/>
  <c r="K158" i="19"/>
  <c r="I158" i="19"/>
  <c r="I157" i="19"/>
  <c r="I156" i="19"/>
  <c r="I155" i="19"/>
  <c r="I154" i="19"/>
  <c r="I153" i="19"/>
  <c r="K152" i="19"/>
  <c r="I152" i="19"/>
  <c r="K151" i="19"/>
  <c r="I151" i="19"/>
  <c r="K150" i="19"/>
  <c r="I150" i="19"/>
  <c r="I149" i="19"/>
  <c r="I148" i="19"/>
  <c r="I147" i="19"/>
  <c r="I146" i="19"/>
  <c r="I145" i="19"/>
  <c r="K144" i="19"/>
  <c r="I144" i="19"/>
  <c r="I143" i="19"/>
  <c r="K142" i="19"/>
  <c r="I142" i="19"/>
  <c r="I141" i="19"/>
  <c r="I140" i="19"/>
  <c r="I139" i="19"/>
  <c r="I138" i="19"/>
  <c r="I137" i="19"/>
  <c r="K136" i="19"/>
  <c r="I136" i="19"/>
  <c r="K135" i="19"/>
  <c r="I135" i="19"/>
  <c r="K134" i="19"/>
  <c r="I134" i="19"/>
  <c r="I133" i="19"/>
  <c r="I132" i="19"/>
  <c r="I131" i="19"/>
  <c r="I130" i="19"/>
  <c r="I129" i="19"/>
  <c r="K128" i="19"/>
  <c r="I128" i="19"/>
  <c r="K127" i="19"/>
  <c r="I127" i="19"/>
  <c r="K126" i="19"/>
  <c r="I126" i="19"/>
  <c r="I125" i="19"/>
  <c r="I124" i="19"/>
  <c r="I123" i="19"/>
  <c r="I122" i="19"/>
  <c r="I121" i="19"/>
  <c r="K120" i="19"/>
  <c r="I120" i="19"/>
  <c r="K119" i="19"/>
  <c r="I119" i="19"/>
  <c r="K118" i="19"/>
  <c r="I118" i="19"/>
  <c r="I117" i="19"/>
  <c r="I116" i="19"/>
  <c r="I115" i="19"/>
  <c r="I114" i="19"/>
  <c r="I113" i="19"/>
  <c r="K112" i="19"/>
  <c r="I112" i="19"/>
  <c r="K111" i="19"/>
  <c r="I111" i="19"/>
  <c r="K110" i="19"/>
  <c r="I110" i="19"/>
  <c r="I109" i="19"/>
  <c r="I108" i="19"/>
  <c r="I107" i="19"/>
  <c r="I106" i="19"/>
  <c r="I105" i="19"/>
  <c r="K104" i="19"/>
  <c r="I104" i="19"/>
  <c r="K103" i="19"/>
  <c r="I103" i="19"/>
  <c r="K102" i="19"/>
  <c r="I102" i="19"/>
  <c r="I101" i="19"/>
  <c r="I100" i="19"/>
  <c r="I99" i="19"/>
  <c r="I98" i="19"/>
  <c r="I97" i="19"/>
  <c r="K96" i="19"/>
  <c r="I96" i="19"/>
  <c r="K95" i="19"/>
  <c r="I95" i="19"/>
  <c r="K94" i="19"/>
  <c r="I94" i="19"/>
  <c r="I93" i="19"/>
  <c r="I92" i="19"/>
  <c r="I91" i="19"/>
  <c r="I90" i="19"/>
  <c r="I89" i="19"/>
  <c r="K88" i="19"/>
  <c r="I88" i="19"/>
  <c r="K87" i="19"/>
  <c r="I87" i="19"/>
  <c r="I86" i="19"/>
  <c r="I85" i="19"/>
  <c r="I84" i="19"/>
  <c r="I83" i="19"/>
  <c r="I82" i="19"/>
  <c r="K81" i="19"/>
  <c r="I81" i="19"/>
  <c r="K80" i="19"/>
  <c r="I80" i="19"/>
  <c r="K79" i="19"/>
  <c r="I79" i="19"/>
  <c r="K78" i="19"/>
  <c r="I78" i="19"/>
  <c r="I77" i="19"/>
  <c r="I76" i="19"/>
  <c r="I75" i="19"/>
  <c r="I74" i="19"/>
  <c r="I73" i="19"/>
  <c r="K72" i="19"/>
  <c r="I72" i="19"/>
  <c r="K71" i="19"/>
  <c r="I71" i="19"/>
  <c r="I70" i="19"/>
  <c r="I69" i="19"/>
  <c r="I68" i="19"/>
  <c r="I67" i="19"/>
  <c r="I66" i="19"/>
  <c r="I65" i="19"/>
  <c r="B65" i="19"/>
  <c r="K64" i="19"/>
  <c r="I64" i="19"/>
  <c r="B64" i="19"/>
  <c r="K63" i="19"/>
  <c r="I63" i="19"/>
  <c r="B63" i="19"/>
  <c r="I62" i="19"/>
  <c r="B62" i="19"/>
  <c r="I61" i="19"/>
  <c r="B61" i="19"/>
  <c r="I60" i="19"/>
  <c r="B60" i="19"/>
  <c r="K59" i="19"/>
  <c r="I59" i="19"/>
  <c r="B59" i="19"/>
  <c r="I58" i="19"/>
  <c r="B58" i="19"/>
  <c r="I57" i="19"/>
  <c r="B57" i="19"/>
  <c r="K56" i="19"/>
  <c r="I56" i="19"/>
  <c r="B56" i="19"/>
  <c r="I55" i="19"/>
  <c r="B55" i="19"/>
  <c r="K54" i="19"/>
  <c r="I54" i="19"/>
  <c r="B54" i="19"/>
  <c r="I53" i="19"/>
  <c r="B53" i="19"/>
  <c r="I52" i="19"/>
  <c r="B52" i="19"/>
  <c r="I51" i="19"/>
  <c r="B51" i="19"/>
  <c r="I50" i="19"/>
  <c r="B50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K45" i="19"/>
  <c r="I45" i="19"/>
  <c r="B45" i="19"/>
  <c r="I44" i="19"/>
  <c r="B44" i="19"/>
  <c r="I43" i="19"/>
  <c r="B43" i="19"/>
  <c r="I42" i="19"/>
  <c r="B42" i="19"/>
  <c r="I41" i="19"/>
  <c r="B41" i="19"/>
  <c r="K40" i="19"/>
  <c r="I40" i="19"/>
  <c r="B40" i="19"/>
  <c r="K39" i="19"/>
  <c r="I39" i="19"/>
  <c r="B39" i="19"/>
  <c r="K38" i="19"/>
  <c r="I38" i="19"/>
  <c r="B38" i="19"/>
  <c r="I37" i="19"/>
  <c r="B37" i="19"/>
  <c r="I36" i="19"/>
  <c r="B36" i="19"/>
  <c r="I35" i="19"/>
  <c r="B35" i="19"/>
  <c r="I34" i="19"/>
  <c r="B34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I25" i="19"/>
  <c r="B25" i="19"/>
  <c r="K24" i="19"/>
  <c r="I24" i="19"/>
  <c r="B24" i="19"/>
  <c r="K23" i="19"/>
  <c r="I23" i="19"/>
  <c r="B23" i="19"/>
  <c r="K22" i="19"/>
  <c r="I22" i="19"/>
  <c r="B22" i="19"/>
  <c r="I21" i="19"/>
  <c r="B21" i="19"/>
  <c r="I20" i="19"/>
  <c r="B20" i="19"/>
  <c r="I19" i="19"/>
  <c r="B19" i="19"/>
  <c r="I18" i="19"/>
  <c r="B18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I13" i="19"/>
  <c r="AJ12" i="19"/>
  <c r="I12" i="19"/>
  <c r="I11" i="19"/>
  <c r="I9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U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M35" i="18" s="1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B30" i="18"/>
  <c r="I29" i="18"/>
  <c r="B29" i="18"/>
  <c r="K28" i="18"/>
  <c r="I28" i="18"/>
  <c r="B28" i="18"/>
  <c r="K27" i="18"/>
  <c r="I27" i="18"/>
  <c r="B27" i="18"/>
  <c r="K26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K20" i="18"/>
  <c r="I20" i="18"/>
  <c r="B20" i="18"/>
  <c r="K19" i="18"/>
  <c r="I19" i="18"/>
  <c r="M19" i="18" s="1"/>
  <c r="B19" i="18"/>
  <c r="I18" i="18"/>
  <c r="B18" i="18"/>
  <c r="K17" i="18"/>
  <c r="I17" i="18"/>
  <c r="K16" i="18"/>
  <c r="I16" i="18"/>
  <c r="K15" i="18"/>
  <c r="I15" i="18"/>
  <c r="AI14" i="18"/>
  <c r="I14" i="18"/>
  <c r="M14" i="18" s="1"/>
  <c r="A14" i="18" s="1"/>
  <c r="AI13" i="18"/>
  <c r="I13" i="18"/>
  <c r="M13" i="18" s="1"/>
  <c r="A13" i="18" s="1"/>
  <c r="AI12" i="18"/>
  <c r="AI16" i="18" s="1"/>
  <c r="K12" i="18"/>
  <c r="I12" i="18"/>
  <c r="M12" i="18" s="1"/>
  <c r="A12" i="18" s="1"/>
  <c r="K11" i="18"/>
  <c r="I11" i="18"/>
  <c r="M11" i="18" s="1"/>
  <c r="I10" i="18"/>
  <c r="M10" i="18" s="1"/>
  <c r="K9" i="18"/>
  <c r="I9" i="18"/>
  <c r="K8" i="18"/>
  <c r="I8" i="18"/>
  <c r="K7" i="18"/>
  <c r="I7" i="18"/>
  <c r="K6" i="18"/>
  <c r="K2" i="18"/>
  <c r="K305" i="17"/>
  <c r="I305" i="17"/>
  <c r="M305" i="17" s="1"/>
  <c r="K304" i="17"/>
  <c r="I304" i="17"/>
  <c r="M304" i="17" s="1"/>
  <c r="I303" i="17"/>
  <c r="M303" i="17" s="1"/>
  <c r="I302" i="17"/>
  <c r="M302" i="17" s="1"/>
  <c r="I301" i="17"/>
  <c r="M301" i="17" s="1"/>
  <c r="K300" i="17"/>
  <c r="I300" i="17"/>
  <c r="M300" i="17" s="1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I287" i="17"/>
  <c r="M287" i="17" s="1"/>
  <c r="K286" i="17"/>
  <c r="I286" i="17"/>
  <c r="M286" i="17" s="1"/>
  <c r="I285" i="17"/>
  <c r="M285" i="17" s="1"/>
  <c r="I284" i="17"/>
  <c r="M284" i="17" s="1"/>
  <c r="I283" i="17"/>
  <c r="M283" i="17" s="1"/>
  <c r="I282" i="17"/>
  <c r="M282" i="17" s="1"/>
  <c r="I281" i="17"/>
  <c r="M281" i="17" s="1"/>
  <c r="K280" i="17"/>
  <c r="I280" i="17"/>
  <c r="M280" i="17" s="1"/>
  <c r="I279" i="17"/>
  <c r="M279" i="17" s="1"/>
  <c r="I278" i="17"/>
  <c r="M278" i="17" s="1"/>
  <c r="I277" i="17"/>
  <c r="M277" i="17" s="1"/>
  <c r="K276" i="17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I267" i="17"/>
  <c r="M267" i="17" s="1"/>
  <c r="I266" i="17"/>
  <c r="M266" i="17" s="1"/>
  <c r="K265" i="17"/>
  <c r="I265" i="17"/>
  <c r="M265" i="17" s="1"/>
  <c r="K264" i="17"/>
  <c r="I264" i="17"/>
  <c r="M264" i="17" s="1"/>
  <c r="I263" i="17"/>
  <c r="M263" i="17" s="1"/>
  <c r="K262" i="17"/>
  <c r="I262" i="17"/>
  <c r="M262" i="17" s="1"/>
  <c r="I261" i="17"/>
  <c r="M261" i="17" s="1"/>
  <c r="K260" i="17"/>
  <c r="I260" i="17"/>
  <c r="M260" i="17" s="1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I254" i="17"/>
  <c r="M254" i="17" s="1"/>
  <c r="K253" i="17"/>
  <c r="I253" i="17"/>
  <c r="M253" i="17" s="1"/>
  <c r="I252" i="17"/>
  <c r="M252" i="17" s="1"/>
  <c r="I251" i="17"/>
  <c r="M251" i="17" s="1"/>
  <c r="I250" i="17"/>
  <c r="M250" i="17" s="1"/>
  <c r="K249" i="17"/>
  <c r="I249" i="17"/>
  <c r="M249" i="17" s="1"/>
  <c r="K248" i="17"/>
  <c r="I248" i="17"/>
  <c r="M248" i="17" s="1"/>
  <c r="I247" i="17"/>
  <c r="M247" i="17" s="1"/>
  <c r="I246" i="17"/>
  <c r="M246" i="17" s="1"/>
  <c r="I245" i="17"/>
  <c r="M245" i="17" s="1"/>
  <c r="I244" i="17"/>
  <c r="M244" i="17" s="1"/>
  <c r="I243" i="17"/>
  <c r="M243" i="17" s="1"/>
  <c r="I242" i="17"/>
  <c r="M242" i="17" s="1"/>
  <c r="I241" i="17"/>
  <c r="M241" i="17" s="1"/>
  <c r="K240" i="17"/>
  <c r="I240" i="17"/>
  <c r="M240" i="17" s="1"/>
  <c r="I239" i="17"/>
  <c r="M239" i="17" s="1"/>
  <c r="K238" i="17"/>
  <c r="I238" i="17"/>
  <c r="M238" i="17" s="1"/>
  <c r="I237" i="17"/>
  <c r="M237" i="17" s="1"/>
  <c r="K236" i="17"/>
  <c r="I236" i="17"/>
  <c r="M236" i="17" s="1"/>
  <c r="I235" i="17"/>
  <c r="M235" i="17" s="1"/>
  <c r="I234" i="17"/>
  <c r="M234" i="17" s="1"/>
  <c r="K233" i="17"/>
  <c r="I233" i="17"/>
  <c r="M233" i="17" s="1"/>
  <c r="K232" i="17"/>
  <c r="I232" i="17"/>
  <c r="M232" i="17" s="1"/>
  <c r="I231" i="17"/>
  <c r="M231" i="17" s="1"/>
  <c r="I230" i="17"/>
  <c r="M230" i="17" s="1"/>
  <c r="K229" i="17"/>
  <c r="I229" i="17"/>
  <c r="M229" i="17" s="1"/>
  <c r="I228" i="17"/>
  <c r="M228" i="17" s="1"/>
  <c r="I227" i="17"/>
  <c r="M227" i="17" s="1"/>
  <c r="I226" i="17"/>
  <c r="M226" i="17" s="1"/>
  <c r="K225" i="17"/>
  <c r="I225" i="17"/>
  <c r="M225" i="17" s="1"/>
  <c r="K224" i="17"/>
  <c r="I224" i="17"/>
  <c r="M224" i="17" s="1"/>
  <c r="I223" i="17"/>
  <c r="M223" i="17" s="1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K212" i="17"/>
  <c r="I212" i="17"/>
  <c r="M212" i="17" s="1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K204" i="17"/>
  <c r="I204" i="17"/>
  <c r="M204" i="17" s="1"/>
  <c r="I203" i="17"/>
  <c r="M203" i="17" s="1"/>
  <c r="I202" i="17"/>
  <c r="M202" i="17" s="1"/>
  <c r="I201" i="17"/>
  <c r="M201" i="17" s="1"/>
  <c r="K200" i="17"/>
  <c r="I200" i="17"/>
  <c r="M200" i="17" s="1"/>
  <c r="K199" i="17"/>
  <c r="I199" i="17"/>
  <c r="M199" i="17" s="1"/>
  <c r="I198" i="17"/>
  <c r="M198" i="17" s="1"/>
  <c r="I197" i="17"/>
  <c r="M197" i="17" s="1"/>
  <c r="I196" i="17"/>
  <c r="M196" i="17" s="1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I187" i="17"/>
  <c r="M187" i="17" s="1"/>
  <c r="I186" i="17"/>
  <c r="M186" i="17" s="1"/>
  <c r="I185" i="17"/>
  <c r="M185" i="17" s="1"/>
  <c r="K184" i="17"/>
  <c r="I184" i="17"/>
  <c r="M184" i="17" s="1"/>
  <c r="I183" i="17"/>
  <c r="M183" i="17" s="1"/>
  <c r="I182" i="17"/>
  <c r="M182" i="17" s="1"/>
  <c r="I181" i="17"/>
  <c r="M181" i="17" s="1"/>
  <c r="K180" i="17"/>
  <c r="I180" i="17"/>
  <c r="M180" i="17" s="1"/>
  <c r="I179" i="17"/>
  <c r="M179" i="17" s="1"/>
  <c r="I178" i="17"/>
  <c r="M178" i="17" s="1"/>
  <c r="I177" i="17"/>
  <c r="M177" i="17" s="1"/>
  <c r="K176" i="17"/>
  <c r="I176" i="17"/>
  <c r="M176" i="17" s="1"/>
  <c r="I175" i="17"/>
  <c r="M175" i="17" s="1"/>
  <c r="K174" i="17"/>
  <c r="I174" i="17"/>
  <c r="M174" i="17" s="1"/>
  <c r="I173" i="17"/>
  <c r="M173" i="17" s="1"/>
  <c r="K172" i="17"/>
  <c r="I172" i="17"/>
  <c r="M172" i="17" s="1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K156" i="17"/>
  <c r="I156" i="17"/>
  <c r="M156" i="17" s="1"/>
  <c r="I155" i="17"/>
  <c r="M155" i="17" s="1"/>
  <c r="I154" i="17"/>
  <c r="M154" i="17" s="1"/>
  <c r="K153" i="17"/>
  <c r="I153" i="17"/>
  <c r="M153" i="17" s="1"/>
  <c r="K152" i="17"/>
  <c r="I152" i="17"/>
  <c r="M152" i="17" s="1"/>
  <c r="I151" i="17"/>
  <c r="M151" i="17" s="1"/>
  <c r="I150" i="17"/>
  <c r="M150" i="17" s="1"/>
  <c r="I149" i="17"/>
  <c r="M149" i="17" s="1"/>
  <c r="I148" i="17"/>
  <c r="M148" i="17" s="1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I141" i="17"/>
  <c r="M141" i="17" s="1"/>
  <c r="K140" i="17"/>
  <c r="I140" i="17"/>
  <c r="M140" i="17" s="1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I133" i="17"/>
  <c r="M133" i="17" s="1"/>
  <c r="K132" i="17"/>
  <c r="I132" i="17"/>
  <c r="M132" i="17" s="1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I123" i="17"/>
  <c r="M123" i="17" s="1"/>
  <c r="I122" i="17"/>
  <c r="M122" i="17" s="1"/>
  <c r="K121" i="17"/>
  <c r="I121" i="17"/>
  <c r="M121" i="17" s="1"/>
  <c r="K120" i="17"/>
  <c r="I120" i="17"/>
  <c r="M120" i="17" s="1"/>
  <c r="I119" i="17"/>
  <c r="M119" i="17" s="1"/>
  <c r="I118" i="17"/>
  <c r="M118" i="17" s="1"/>
  <c r="I117" i="17"/>
  <c r="M117" i="17" s="1"/>
  <c r="I116" i="17"/>
  <c r="M116" i="17" s="1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I108" i="17"/>
  <c r="M108" i="17" s="1"/>
  <c r="I107" i="17"/>
  <c r="M107" i="17" s="1"/>
  <c r="I106" i="17"/>
  <c r="M106" i="17" s="1"/>
  <c r="K105" i="17"/>
  <c r="I105" i="17"/>
  <c r="M105" i="17" s="1"/>
  <c r="K104" i="17"/>
  <c r="I104" i="17"/>
  <c r="M104" i="17" s="1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I99" i="17"/>
  <c r="M99" i="17" s="1"/>
  <c r="I98" i="17"/>
  <c r="M98" i="17" s="1"/>
  <c r="K97" i="17"/>
  <c r="I97" i="17"/>
  <c r="M97" i="17" s="1"/>
  <c r="K96" i="17"/>
  <c r="I96" i="17"/>
  <c r="M96" i="17" s="1"/>
  <c r="I95" i="17"/>
  <c r="M95" i="17" s="1"/>
  <c r="I94" i="17"/>
  <c r="M94" i="17" s="1"/>
  <c r="I93" i="17"/>
  <c r="M93" i="17" s="1"/>
  <c r="I92" i="17"/>
  <c r="M92" i="17" s="1"/>
  <c r="I91" i="17"/>
  <c r="M91" i="17" s="1"/>
  <c r="I90" i="17"/>
  <c r="M90" i="17" s="1"/>
  <c r="K89" i="17"/>
  <c r="I89" i="17"/>
  <c r="M89" i="17" s="1"/>
  <c r="K88" i="17"/>
  <c r="I88" i="17"/>
  <c r="M88" i="17" s="1"/>
  <c r="I87" i="17"/>
  <c r="M87" i="17" s="1"/>
  <c r="I86" i="17"/>
  <c r="M86" i="17" s="1"/>
  <c r="I85" i="17"/>
  <c r="M85" i="17" s="1"/>
  <c r="I84" i="17"/>
  <c r="M84" i="17" s="1"/>
  <c r="I83" i="17"/>
  <c r="M83" i="17" s="1"/>
  <c r="I82" i="17"/>
  <c r="M82" i="17" s="1"/>
  <c r="K81" i="17"/>
  <c r="I81" i="17"/>
  <c r="M81" i="17" s="1"/>
  <c r="K80" i="17"/>
  <c r="I80" i="17"/>
  <c r="M80" i="17" s="1"/>
  <c r="I79" i="17"/>
  <c r="M79" i="17" s="1"/>
  <c r="K78" i="17"/>
  <c r="I78" i="17"/>
  <c r="M78" i="17" s="1"/>
  <c r="I77" i="17"/>
  <c r="M77" i="17" s="1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I68" i="17"/>
  <c r="M68" i="17" s="1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I53" i="17"/>
  <c r="M53" i="17" s="1"/>
  <c r="B53" i="17"/>
  <c r="I52" i="17"/>
  <c r="M52" i="17" s="1"/>
  <c r="B52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I47" i="17"/>
  <c r="M47" i="17" s="1"/>
  <c r="B47" i="17"/>
  <c r="T46" i="17"/>
  <c r="R46" i="17"/>
  <c r="U46" i="17" s="1"/>
  <c r="I46" i="17"/>
  <c r="M46" i="17" s="1"/>
  <c r="B46" i="17"/>
  <c r="I45" i="17"/>
  <c r="M45" i="17" s="1"/>
  <c r="B45" i="17"/>
  <c r="K44" i="17"/>
  <c r="I44" i="17"/>
  <c r="M44" i="17" s="1"/>
  <c r="B44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I39" i="17"/>
  <c r="M39" i="17" s="1"/>
  <c r="B39" i="17"/>
  <c r="K38" i="17"/>
  <c r="I38" i="17"/>
  <c r="M38" i="17" s="1"/>
  <c r="B38" i="17"/>
  <c r="I37" i="17"/>
  <c r="B37" i="17"/>
  <c r="I36" i="17"/>
  <c r="B36" i="17"/>
  <c r="I35" i="17"/>
  <c r="M35" i="17" s="1"/>
  <c r="A35" i="17" s="1"/>
  <c r="B35" i="17"/>
  <c r="I34" i="17"/>
  <c r="M34" i="17" s="1"/>
  <c r="A34" i="17" s="1"/>
  <c r="B34" i="17"/>
  <c r="K33" i="17"/>
  <c r="I33" i="17"/>
  <c r="M33" i="17" s="1"/>
  <c r="A33" i="17" s="1"/>
  <c r="B33" i="17"/>
  <c r="K32" i="17"/>
  <c r="I32" i="17"/>
  <c r="B32" i="17"/>
  <c r="I31" i="17"/>
  <c r="B31" i="17"/>
  <c r="I30" i="17"/>
  <c r="B30" i="17"/>
  <c r="I29" i="17"/>
  <c r="B29" i="17"/>
  <c r="K28" i="17"/>
  <c r="I28" i="17"/>
  <c r="M28" i="17" s="1"/>
  <c r="A28" i="17" s="1"/>
  <c r="B28" i="17"/>
  <c r="I27" i="17"/>
  <c r="B27" i="17"/>
  <c r="I26" i="17"/>
  <c r="M26" i="17" s="1"/>
  <c r="A26" i="17" s="1"/>
  <c r="B26" i="17"/>
  <c r="K25" i="17"/>
  <c r="I25" i="17"/>
  <c r="B25" i="17"/>
  <c r="K24" i="17"/>
  <c r="I24" i="17"/>
  <c r="B24" i="17"/>
  <c r="I23" i="17"/>
  <c r="B23" i="17"/>
  <c r="I22" i="17"/>
  <c r="B22" i="17"/>
  <c r="K21" i="17"/>
  <c r="I21" i="17"/>
  <c r="B21" i="17"/>
  <c r="I20" i="17"/>
  <c r="M20" i="17" s="1"/>
  <c r="A20" i="17" s="1"/>
  <c r="B20" i="17"/>
  <c r="K19" i="17"/>
  <c r="I19" i="17"/>
  <c r="I18" i="17"/>
  <c r="K17" i="17"/>
  <c r="I17" i="17"/>
  <c r="K16" i="17"/>
  <c r="I16" i="17"/>
  <c r="I15" i="17"/>
  <c r="M15" i="17" s="1"/>
  <c r="A15" i="17" s="1"/>
  <c r="AI14" i="17"/>
  <c r="I14" i="17"/>
  <c r="M14" i="17" s="1"/>
  <c r="A14" i="17" s="1"/>
  <c r="AI13" i="17"/>
  <c r="K13" i="17"/>
  <c r="I13" i="17"/>
  <c r="AI12" i="17"/>
  <c r="K12" i="17"/>
  <c r="I12" i="17"/>
  <c r="M12" i="17" s="1"/>
  <c r="A12" i="17" s="1"/>
  <c r="K11" i="17"/>
  <c r="I11" i="17"/>
  <c r="I10" i="17"/>
  <c r="K9" i="17"/>
  <c r="I9" i="17"/>
  <c r="M9" i="17" s="1"/>
  <c r="A9" i="17" s="1"/>
  <c r="K8" i="17"/>
  <c r="I8" i="17"/>
  <c r="I7" i="17"/>
  <c r="K2" i="17"/>
  <c r="AH13" i="20" l="1" a="1"/>
  <c r="AH13" i="20" s="1"/>
  <c r="AH15" i="20" a="1"/>
  <c r="AH15" i="20" s="1"/>
  <c r="AD16" i="20"/>
  <c r="AE16" i="20" s="1"/>
  <c r="AC10" i="20"/>
  <c r="AC21" i="20"/>
  <c r="M15" i="34"/>
  <c r="A15" i="34" s="1"/>
  <c r="AC7" i="20"/>
  <c r="AC17" i="20"/>
  <c r="AC20" i="20"/>
  <c r="AC14" i="20"/>
  <c r="L6" i="34"/>
  <c r="M6" i="34" s="1"/>
  <c r="A6" i="34" s="1"/>
  <c r="AC12" i="20"/>
  <c r="AC15" i="20"/>
  <c r="AC9" i="20"/>
  <c r="M16" i="34"/>
  <c r="A16" i="34" s="1"/>
  <c r="AC13" i="20"/>
  <c r="AC16" i="20"/>
  <c r="AC22" i="20"/>
  <c r="AC11" i="20"/>
  <c r="AC18" i="20"/>
  <c r="AC6" i="20"/>
  <c r="L7" i="34"/>
  <c r="M7" i="34" s="1"/>
  <c r="A7" i="34" s="1"/>
  <c r="AC8" i="20"/>
  <c r="AC19" i="20"/>
  <c r="M10" i="33"/>
  <c r="A10" i="33" s="1"/>
  <c r="Z17" i="20"/>
  <c r="AA17" i="20" s="1"/>
  <c r="N7" i="20"/>
  <c r="N13" i="13"/>
  <c r="N11" i="13"/>
  <c r="N22" i="13"/>
  <c r="N14" i="20"/>
  <c r="N21" i="20"/>
  <c r="N12" i="20"/>
  <c r="N6" i="13"/>
  <c r="N15" i="13"/>
  <c r="N13" i="20"/>
  <c r="N20" i="13"/>
  <c r="N18" i="20"/>
  <c r="N12" i="13"/>
  <c r="N16" i="13"/>
  <c r="N9" i="20"/>
  <c r="N15" i="20"/>
  <c r="N19" i="20"/>
  <c r="N17" i="20"/>
  <c r="N8" i="13"/>
  <c r="N10" i="13"/>
  <c r="N17" i="13"/>
  <c r="N6" i="20"/>
  <c r="L7" i="31"/>
  <c r="M7" i="31" s="1"/>
  <c r="A7" i="31" s="1"/>
  <c r="N21" i="13"/>
  <c r="N9" i="13"/>
  <c r="N18" i="13"/>
  <c r="N11" i="20"/>
  <c r="N10" i="20"/>
  <c r="N16" i="20"/>
  <c r="N14" i="13"/>
  <c r="N19" i="13"/>
  <c r="N20" i="20"/>
  <c r="N22" i="20"/>
  <c r="L7" i="30"/>
  <c r="M13" i="27"/>
  <c r="A13" i="27" s="1"/>
  <c r="M16" i="27"/>
  <c r="A16" i="27" s="1"/>
  <c r="M19" i="27"/>
  <c r="A19" i="27" s="1"/>
  <c r="M27" i="27"/>
  <c r="A27" i="27" s="1"/>
  <c r="M25" i="27"/>
  <c r="A25" i="27" s="1"/>
  <c r="M23" i="27"/>
  <c r="A23" i="27" s="1"/>
  <c r="M31" i="27"/>
  <c r="A31" i="27" s="1"/>
  <c r="Y12" i="20"/>
  <c r="Y7" i="20"/>
  <c r="Y20" i="20"/>
  <c r="Y18" i="20"/>
  <c r="Y9" i="20"/>
  <c r="Y21" i="20"/>
  <c r="Y19" i="20"/>
  <c r="Y22" i="20"/>
  <c r="Y11" i="20"/>
  <c r="Y10" i="20"/>
  <c r="Y8" i="20"/>
  <c r="M15" i="27"/>
  <c r="A15" i="27" s="1"/>
  <c r="M21" i="27"/>
  <c r="A21" i="27" s="1"/>
  <c r="M29" i="27"/>
  <c r="A29" i="27" s="1"/>
  <c r="M24" i="27"/>
  <c r="A24" i="27" s="1"/>
  <c r="X15" i="20"/>
  <c r="Y15" i="20" s="1"/>
  <c r="X17" i="20"/>
  <c r="Y17" i="20" s="1"/>
  <c r="X14" i="20"/>
  <c r="Y14" i="20" s="1"/>
  <c r="X13" i="20"/>
  <c r="Y13" i="20" s="1"/>
  <c r="X16" i="20"/>
  <c r="Y16" i="20" s="1"/>
  <c r="Y6" i="20"/>
  <c r="M12" i="32"/>
  <c r="A12" i="32" s="1"/>
  <c r="M21" i="32"/>
  <c r="A21" i="32" s="1"/>
  <c r="M10" i="32"/>
  <c r="A10" i="32" s="1"/>
  <c r="M22" i="32"/>
  <c r="A22" i="32" s="1"/>
  <c r="M17" i="32"/>
  <c r="A17" i="32" s="1"/>
  <c r="M25" i="32"/>
  <c r="A25" i="32" s="1"/>
  <c r="M11" i="32"/>
  <c r="A11" i="32" s="1"/>
  <c r="M18" i="32"/>
  <c r="A18" i="32" s="1"/>
  <c r="M23" i="32"/>
  <c r="A23" i="32" s="1"/>
  <c r="M6" i="29"/>
  <c r="A6" i="29" s="1"/>
  <c r="M10" i="29"/>
  <c r="M10" i="25"/>
  <c r="A10" i="25" s="1"/>
  <c r="M23" i="25"/>
  <c r="A23" i="25" s="1"/>
  <c r="M20" i="25"/>
  <c r="A20" i="25" s="1"/>
  <c r="M9" i="18"/>
  <c r="A9" i="18" s="1"/>
  <c r="H8" i="20"/>
  <c r="M10" i="17"/>
  <c r="M20" i="24"/>
  <c r="A20" i="24" s="1"/>
  <c r="R6" i="20"/>
  <c r="AE6" i="20"/>
  <c r="AD7" i="20"/>
  <c r="AE7" i="20" s="1"/>
  <c r="AD17" i="20"/>
  <c r="AE17" i="20" s="1"/>
  <c r="AE18" i="20"/>
  <c r="AE19" i="20"/>
  <c r="M10" i="35"/>
  <c r="A10" i="35" s="1"/>
  <c r="AE9" i="20"/>
  <c r="AE21" i="20"/>
  <c r="AE12" i="20"/>
  <c r="AD14" i="20"/>
  <c r="AE14" i="20" s="1"/>
  <c r="AE22" i="20"/>
  <c r="M13" i="35"/>
  <c r="A13" i="35" s="1"/>
  <c r="AE11" i="20"/>
  <c r="AE8" i="20"/>
  <c r="AE20" i="20"/>
  <c r="M7" i="35"/>
  <c r="A7" i="35" s="1"/>
  <c r="AD15" i="20"/>
  <c r="AE15" i="20" s="1"/>
  <c r="AE10" i="20"/>
  <c r="AE13" i="20"/>
  <c r="AA16" i="20"/>
  <c r="Z14" i="20"/>
  <c r="AA14" i="20" s="1"/>
  <c r="AA22" i="20"/>
  <c r="M6" i="33"/>
  <c r="A6" i="33" s="1"/>
  <c r="AA12" i="20" s="1"/>
  <c r="Z15" i="20"/>
  <c r="AA15" i="20" s="1"/>
  <c r="AA13" i="20"/>
  <c r="AA6" i="20"/>
  <c r="AA11" i="20"/>
  <c r="M13" i="33"/>
  <c r="A13" i="33" s="1"/>
  <c r="AA8" i="20"/>
  <c r="AA19" i="20"/>
  <c r="AA9" i="20"/>
  <c r="AA20" i="20"/>
  <c r="AA7" i="20"/>
  <c r="AA21" i="20"/>
  <c r="O7" i="20" a="1"/>
  <c r="O7" i="20" s="1"/>
  <c r="P7" i="20" s="1"/>
  <c r="O17" i="20" a="1"/>
  <c r="O17" i="20" s="1"/>
  <c r="O14" i="20" a="1"/>
  <c r="O14" i="20" s="1"/>
  <c r="O15" i="13"/>
  <c r="O11" i="13"/>
  <c r="O15" i="20" a="1"/>
  <c r="O15" i="20" s="1"/>
  <c r="M9" i="32"/>
  <c r="A9" i="32" s="1"/>
  <c r="M16" i="32"/>
  <c r="A16" i="32" s="1"/>
  <c r="M13" i="32"/>
  <c r="A13" i="32" s="1"/>
  <c r="M15" i="32"/>
  <c r="A15" i="32" s="1"/>
  <c r="L6" i="32"/>
  <c r="M6" i="32" s="1"/>
  <c r="A6" i="32" s="1"/>
  <c r="L8" i="32"/>
  <c r="M8" i="32" s="1"/>
  <c r="A8" i="32" s="1"/>
  <c r="M6" i="30"/>
  <c r="M7" i="30"/>
  <c r="A7" i="30" s="1"/>
  <c r="M9" i="30"/>
  <c r="A9" i="30" s="1"/>
  <c r="L20" i="13"/>
  <c r="L12" i="20"/>
  <c r="L14" i="20"/>
  <c r="L6" i="30"/>
  <c r="L16" i="13"/>
  <c r="M6" i="27"/>
  <c r="A6" i="27" s="1"/>
  <c r="M10" i="27"/>
  <c r="A10" i="27" s="1"/>
  <c r="M17" i="27"/>
  <c r="A17" i="27" s="1"/>
  <c r="J14" i="13"/>
  <c r="J19" i="13"/>
  <c r="J6" i="20"/>
  <c r="I7" i="20"/>
  <c r="J7" i="20" s="1"/>
  <c r="I17" i="20"/>
  <c r="J17" i="20" s="1"/>
  <c r="J7" i="13"/>
  <c r="J20" i="13"/>
  <c r="J13" i="20"/>
  <c r="I16" i="20"/>
  <c r="J16" i="20" s="1"/>
  <c r="J8" i="13"/>
  <c r="J21" i="13"/>
  <c r="J9" i="20"/>
  <c r="J20" i="20"/>
  <c r="J6" i="13"/>
  <c r="I11" i="13"/>
  <c r="J11" i="13" s="1"/>
  <c r="J22" i="13"/>
  <c r="I14" i="20"/>
  <c r="J14" i="20" s="1"/>
  <c r="J22" i="20"/>
  <c r="I15" i="13"/>
  <c r="J15" i="13" s="1"/>
  <c r="J11" i="20"/>
  <c r="J18" i="20"/>
  <c r="M9" i="29"/>
  <c r="A9" i="29" s="1"/>
  <c r="J12" i="13"/>
  <c r="I16" i="13"/>
  <c r="J16" i="13" s="1"/>
  <c r="I10" i="20"/>
  <c r="J10" i="20" s="1"/>
  <c r="J21" i="20"/>
  <c r="J10" i="13"/>
  <c r="J17" i="13"/>
  <c r="I15" i="20"/>
  <c r="J15" i="20" s="1"/>
  <c r="J18" i="13"/>
  <c r="J8" i="20"/>
  <c r="J19" i="20"/>
  <c r="M17" i="25"/>
  <c r="A17" i="25" s="1"/>
  <c r="M26" i="25"/>
  <c r="A26" i="25" s="1"/>
  <c r="M24" i="25"/>
  <c r="A24" i="25" s="1"/>
  <c r="M22" i="25"/>
  <c r="A22" i="25" s="1"/>
  <c r="M25" i="25"/>
  <c r="A25" i="25" s="1"/>
  <c r="H13" i="20"/>
  <c r="E12" i="13"/>
  <c r="M15" i="25"/>
  <c r="A15" i="25" s="1"/>
  <c r="M19" i="25"/>
  <c r="A19" i="25" s="1"/>
  <c r="M13" i="25"/>
  <c r="A13" i="25" s="1"/>
  <c r="M16" i="25"/>
  <c r="A16" i="25" s="1"/>
  <c r="M11" i="25"/>
  <c r="A11" i="25" s="1"/>
  <c r="M14" i="25"/>
  <c r="A14" i="25" s="1"/>
  <c r="M18" i="25"/>
  <c r="A18" i="25" s="1"/>
  <c r="M11" i="24"/>
  <c r="A11" i="24" s="1"/>
  <c r="R17" i="20"/>
  <c r="M9" i="24"/>
  <c r="A9" i="24" s="1"/>
  <c r="R15" i="20"/>
  <c r="M12" i="24"/>
  <c r="A12" i="24" s="1"/>
  <c r="M14" i="24"/>
  <c r="A14" i="24" s="1"/>
  <c r="R16" i="20"/>
  <c r="M10" i="24"/>
  <c r="A10" i="24" s="1"/>
  <c r="L7" i="35"/>
  <c r="L9" i="35"/>
  <c r="M9" i="35" s="1"/>
  <c r="A9" i="35" s="1"/>
  <c r="L8" i="35"/>
  <c r="M8" i="35" s="1"/>
  <c r="A8" i="35" s="1"/>
  <c r="L9" i="34"/>
  <c r="M9" i="34" s="1"/>
  <c r="A9" i="34" s="1"/>
  <c r="L9" i="33"/>
  <c r="M9" i="33" s="1"/>
  <c r="A9" i="33" s="1"/>
  <c r="L7" i="33"/>
  <c r="M7" i="33" s="1"/>
  <c r="A7" i="33" s="1"/>
  <c r="L8" i="33"/>
  <c r="M8" i="33" s="1"/>
  <c r="A8" i="33" s="1"/>
  <c r="L7" i="32"/>
  <c r="M7" i="32" s="1"/>
  <c r="A7" i="32" s="1"/>
  <c r="L9" i="27"/>
  <c r="M9" i="27" s="1"/>
  <c r="A9" i="27" s="1"/>
  <c r="L9" i="25"/>
  <c r="M9" i="25" s="1"/>
  <c r="A9" i="25" s="1"/>
  <c r="L6" i="31"/>
  <c r="M6" i="31" s="1"/>
  <c r="A6" i="31" s="1"/>
  <c r="L8" i="29"/>
  <c r="M8" i="29" s="1"/>
  <c r="A8" i="29" s="1"/>
  <c r="L7" i="29"/>
  <c r="M7" i="29" s="1"/>
  <c r="A7" i="29" s="1"/>
  <c r="J12" i="20" s="1"/>
  <c r="E16" i="20"/>
  <c r="E10" i="20"/>
  <c r="E7" i="20"/>
  <c r="E17" i="20"/>
  <c r="E15" i="20"/>
  <c r="E9" i="20"/>
  <c r="E8" i="13"/>
  <c r="L6" i="26"/>
  <c r="M6" i="26" s="1"/>
  <c r="N6" i="26" s="1"/>
  <c r="A6" i="26" s="1"/>
  <c r="L9" i="26"/>
  <c r="L8" i="26"/>
  <c r="M8" i="26" s="1"/>
  <c r="N8" i="26" s="1"/>
  <c r="A8" i="26" s="1"/>
  <c r="M10" i="26"/>
  <c r="N10" i="26" s="1"/>
  <c r="A10" i="26" s="1"/>
  <c r="M11" i="26"/>
  <c r="N11" i="26" s="1"/>
  <c r="A11" i="26" s="1"/>
  <c r="M13" i="26"/>
  <c r="N13" i="26" s="1"/>
  <c r="A13" i="26" s="1"/>
  <c r="M14" i="26"/>
  <c r="N14" i="26" s="1"/>
  <c r="A14" i="26" s="1"/>
  <c r="M16" i="26"/>
  <c r="N16" i="26" s="1"/>
  <c r="A16" i="26" s="1"/>
  <c r="M17" i="26"/>
  <c r="N17" i="26" s="1"/>
  <c r="A17" i="26" s="1"/>
  <c r="M24" i="26"/>
  <c r="N24" i="26" s="1"/>
  <c r="A24" i="26" s="1"/>
  <c r="M30" i="26"/>
  <c r="N30" i="26" s="1"/>
  <c r="A30" i="26" s="1"/>
  <c r="M32" i="26"/>
  <c r="N32" i="26" s="1"/>
  <c r="A32" i="26" s="1"/>
  <c r="M33" i="26"/>
  <c r="N33" i="26" s="1"/>
  <c r="A33" i="26" s="1"/>
  <c r="M35" i="26"/>
  <c r="N35" i="26" s="1"/>
  <c r="A35" i="26" s="1"/>
  <c r="M37" i="26"/>
  <c r="N37" i="26" s="1"/>
  <c r="A37" i="26" s="1"/>
  <c r="AI12" i="20" s="1"/>
  <c r="M41" i="26"/>
  <c r="N41" i="26" s="1"/>
  <c r="A41" i="26" s="1"/>
  <c r="M45" i="26"/>
  <c r="N45" i="26" s="1"/>
  <c r="A45" i="26" s="1"/>
  <c r="M46" i="26"/>
  <c r="N46" i="26" s="1"/>
  <c r="A46" i="26" s="1"/>
  <c r="V46" i="26"/>
  <c r="M49" i="26"/>
  <c r="N49" i="26" s="1"/>
  <c r="A49" i="26" s="1"/>
  <c r="M51" i="26"/>
  <c r="N51" i="26"/>
  <c r="A51" i="26" s="1"/>
  <c r="M54" i="26"/>
  <c r="N54" i="26"/>
  <c r="A54" i="26" s="1"/>
  <c r="M56" i="26"/>
  <c r="N56" i="26" s="1"/>
  <c r="A56" i="26" s="1"/>
  <c r="M58" i="26"/>
  <c r="N58" i="26"/>
  <c r="A58" i="26" s="1"/>
  <c r="M60" i="26"/>
  <c r="N60" i="26" s="1"/>
  <c r="A60" i="26" s="1"/>
  <c r="M62" i="26"/>
  <c r="N62" i="26" s="1"/>
  <c r="A62" i="26" s="1"/>
  <c r="M65" i="26"/>
  <c r="N65" i="26" s="1"/>
  <c r="A65" i="26" s="1"/>
  <c r="M66" i="26"/>
  <c r="N66" i="26"/>
  <c r="A66" i="26" s="1"/>
  <c r="M67" i="26"/>
  <c r="N67" i="26" s="1"/>
  <c r="A67" i="26" s="1"/>
  <c r="M72" i="26"/>
  <c r="N72" i="26" s="1"/>
  <c r="A72" i="26" s="1"/>
  <c r="M75" i="26"/>
  <c r="N75" i="26"/>
  <c r="A75" i="26" s="1"/>
  <c r="M79" i="26"/>
  <c r="N79" i="26"/>
  <c r="A79" i="26" s="1"/>
  <c r="M81" i="26"/>
  <c r="N81" i="26" s="1"/>
  <c r="A81" i="26" s="1"/>
  <c r="M82" i="26"/>
  <c r="N82" i="26"/>
  <c r="A82" i="26" s="1"/>
  <c r="M83" i="26"/>
  <c r="N83" i="26" s="1"/>
  <c r="A83" i="26" s="1"/>
  <c r="M84" i="26"/>
  <c r="N84" i="26" s="1"/>
  <c r="A84" i="26" s="1"/>
  <c r="N88" i="26"/>
  <c r="A88" i="26" s="1"/>
  <c r="M88" i="26"/>
  <c r="N89" i="26"/>
  <c r="A89" i="26" s="1"/>
  <c r="M89" i="26"/>
  <c r="N92" i="26"/>
  <c r="A92" i="26" s="1"/>
  <c r="M92" i="26"/>
  <c r="N95" i="26"/>
  <c r="A95" i="26" s="1"/>
  <c r="M95" i="26"/>
  <c r="N100" i="26"/>
  <c r="A100" i="26" s="1"/>
  <c r="M100" i="26"/>
  <c r="N103" i="26"/>
  <c r="A103" i="26" s="1"/>
  <c r="M103" i="26"/>
  <c r="N108" i="26"/>
  <c r="A108" i="26" s="1"/>
  <c r="M108" i="26"/>
  <c r="N113" i="26"/>
  <c r="A113" i="26" s="1"/>
  <c r="M113" i="26"/>
  <c r="N116" i="26"/>
  <c r="A116" i="26" s="1"/>
  <c r="M116" i="26"/>
  <c r="M121" i="26"/>
  <c r="N121" i="26"/>
  <c r="A121" i="26" s="1"/>
  <c r="N124" i="26"/>
  <c r="A124" i="26" s="1"/>
  <c r="M124" i="26"/>
  <c r="N129" i="26"/>
  <c r="A129" i="26" s="1"/>
  <c r="M129" i="26"/>
  <c r="N132" i="26"/>
  <c r="A132" i="26" s="1"/>
  <c r="M132" i="26"/>
  <c r="M134" i="26"/>
  <c r="N134" i="26"/>
  <c r="A134" i="26" s="1"/>
  <c r="N135" i="26"/>
  <c r="A135" i="26" s="1"/>
  <c r="M135" i="26"/>
  <c r="N138" i="26"/>
  <c r="A138" i="26" s="1"/>
  <c r="M138" i="26"/>
  <c r="N139" i="26"/>
  <c r="A139" i="26" s="1"/>
  <c r="M139" i="26"/>
  <c r="N140" i="26"/>
  <c r="A140" i="26" s="1"/>
  <c r="M140" i="26"/>
  <c r="N145" i="26"/>
  <c r="A145" i="26" s="1"/>
  <c r="M145" i="26"/>
  <c r="N147" i="26"/>
  <c r="A147" i="26" s="1"/>
  <c r="M147" i="26"/>
  <c r="N151" i="26"/>
  <c r="A151" i="26" s="1"/>
  <c r="M151" i="26"/>
  <c r="N155" i="26"/>
  <c r="A155" i="26" s="1"/>
  <c r="M155" i="26"/>
  <c r="N156" i="26"/>
  <c r="A156" i="26" s="1"/>
  <c r="M156" i="26"/>
  <c r="M158" i="26"/>
  <c r="N158" i="26"/>
  <c r="A158" i="26" s="1"/>
  <c r="N159" i="26"/>
  <c r="A159" i="26" s="1"/>
  <c r="M159" i="26"/>
  <c r="M160" i="26"/>
  <c r="N160" i="26"/>
  <c r="A160" i="26" s="1"/>
  <c r="N162" i="26"/>
  <c r="A162" i="26" s="1"/>
  <c r="M162" i="26"/>
  <c r="N164" i="26"/>
  <c r="A164" i="26" s="1"/>
  <c r="M164" i="26"/>
  <c r="N166" i="26"/>
  <c r="A166" i="26" s="1"/>
  <c r="M166" i="26"/>
  <c r="M167" i="26"/>
  <c r="N167" i="26"/>
  <c r="A167" i="26" s="1"/>
  <c r="N170" i="26"/>
  <c r="A170" i="26" s="1"/>
  <c r="M170" i="26"/>
  <c r="N172" i="26"/>
  <c r="A172" i="26" s="1"/>
  <c r="M172" i="26"/>
  <c r="M174" i="26"/>
  <c r="N174" i="26"/>
  <c r="A174" i="26" s="1"/>
  <c r="N178" i="26"/>
  <c r="A178" i="26" s="1"/>
  <c r="M178" i="26"/>
  <c r="N179" i="26"/>
  <c r="A179" i="26" s="1"/>
  <c r="M179" i="26"/>
  <c r="M180" i="26"/>
  <c r="N180" i="26"/>
  <c r="A180" i="26" s="1"/>
  <c r="M182" i="26"/>
  <c r="N182" i="26"/>
  <c r="A182" i="26" s="1"/>
  <c r="N188" i="26"/>
  <c r="A188" i="26" s="1"/>
  <c r="M188" i="26"/>
  <c r="M190" i="26"/>
  <c r="N190" i="26"/>
  <c r="A190" i="26" s="1"/>
  <c r="N191" i="26"/>
  <c r="A191" i="26" s="1"/>
  <c r="M191" i="26"/>
  <c r="M192" i="26"/>
  <c r="N192" i="26"/>
  <c r="A192" i="26" s="1"/>
  <c r="N194" i="26"/>
  <c r="A194" i="26" s="1"/>
  <c r="M194" i="26"/>
  <c r="N195" i="26"/>
  <c r="A195" i="26" s="1"/>
  <c r="M195" i="26"/>
  <c r="N196" i="26"/>
  <c r="A196" i="26" s="1"/>
  <c r="M196" i="26"/>
  <c r="N197" i="26"/>
  <c r="A197" i="26" s="1"/>
  <c r="M197" i="26"/>
  <c r="N198" i="26"/>
  <c r="A198" i="26" s="1"/>
  <c r="M198" i="26"/>
  <c r="N199" i="26"/>
  <c r="A199" i="26" s="1"/>
  <c r="M199" i="26"/>
  <c r="N203" i="26"/>
  <c r="A203" i="26" s="1"/>
  <c r="M203" i="26"/>
  <c r="N204" i="26"/>
  <c r="A204" i="26" s="1"/>
  <c r="M204" i="26"/>
  <c r="N207" i="26"/>
  <c r="A207" i="26" s="1"/>
  <c r="M207" i="26"/>
  <c r="N209" i="26"/>
  <c r="A209" i="26" s="1"/>
  <c r="M209" i="26"/>
  <c r="N210" i="26"/>
  <c r="A210" i="26" s="1"/>
  <c r="M210" i="26"/>
  <c r="N211" i="26"/>
  <c r="A211" i="26" s="1"/>
  <c r="M211" i="26"/>
  <c r="M212" i="26"/>
  <c r="N212" i="26"/>
  <c r="A212" i="26" s="1"/>
  <c r="M215" i="26"/>
  <c r="N215" i="26"/>
  <c r="A215" i="26" s="1"/>
  <c r="M219" i="26"/>
  <c r="N219" i="26"/>
  <c r="A219" i="26" s="1"/>
  <c r="N220" i="26"/>
  <c r="A220" i="26" s="1"/>
  <c r="M220" i="26"/>
  <c r="M222" i="26"/>
  <c r="N222" i="26"/>
  <c r="A222" i="26" s="1"/>
  <c r="N226" i="26"/>
  <c r="A226" i="26" s="1"/>
  <c r="M226" i="26"/>
  <c r="N227" i="26"/>
  <c r="A227" i="26" s="1"/>
  <c r="M227" i="26"/>
  <c r="N228" i="26"/>
  <c r="A228" i="26" s="1"/>
  <c r="M228" i="26"/>
  <c r="M230" i="26"/>
  <c r="N230" i="26"/>
  <c r="A230" i="26" s="1"/>
  <c r="M235" i="26"/>
  <c r="N235" i="26"/>
  <c r="A235" i="26" s="1"/>
  <c r="N240" i="26"/>
  <c r="A240" i="26" s="1"/>
  <c r="M240" i="26"/>
  <c r="M244" i="26"/>
  <c r="N244" i="26"/>
  <c r="A244" i="26" s="1"/>
  <c r="N247" i="26"/>
  <c r="A247" i="26" s="1"/>
  <c r="M247" i="26"/>
  <c r="M251" i="26"/>
  <c r="N251" i="26"/>
  <c r="A251" i="26" s="1"/>
  <c r="M254" i="26"/>
  <c r="N254" i="26"/>
  <c r="A254" i="26" s="1"/>
  <c r="N255" i="26"/>
  <c r="A255" i="26" s="1"/>
  <c r="M255" i="26"/>
  <c r="N256" i="26"/>
  <c r="A256" i="26" s="1"/>
  <c r="M256" i="26"/>
  <c r="M259" i="26"/>
  <c r="N259" i="26"/>
  <c r="A259" i="26" s="1"/>
  <c r="N260" i="26"/>
  <c r="A260" i="26" s="1"/>
  <c r="M260" i="26"/>
  <c r="M262" i="26"/>
  <c r="N262" i="26"/>
  <c r="A262" i="26" s="1"/>
  <c r="N263" i="26"/>
  <c r="A263" i="26" s="1"/>
  <c r="M263" i="26"/>
  <c r="N264" i="26"/>
  <c r="A264" i="26" s="1"/>
  <c r="M264" i="26"/>
  <c r="N271" i="26"/>
  <c r="A271" i="26" s="1"/>
  <c r="M271" i="26"/>
  <c r="N272" i="26"/>
  <c r="A272" i="26" s="1"/>
  <c r="M272" i="26"/>
  <c r="N279" i="26"/>
  <c r="A279" i="26" s="1"/>
  <c r="M279" i="26"/>
  <c r="N280" i="26"/>
  <c r="A280" i="26" s="1"/>
  <c r="M280" i="26"/>
  <c r="N284" i="26"/>
  <c r="A284" i="26" s="1"/>
  <c r="M284" i="26"/>
  <c r="N287" i="26"/>
  <c r="A287" i="26" s="1"/>
  <c r="M287" i="26"/>
  <c r="N288" i="26"/>
  <c r="A288" i="26" s="1"/>
  <c r="M288" i="26"/>
  <c r="M291" i="26"/>
  <c r="N291" i="26"/>
  <c r="A291" i="26" s="1"/>
  <c r="N292" i="26"/>
  <c r="A292" i="26" s="1"/>
  <c r="M292" i="26"/>
  <c r="N293" i="26"/>
  <c r="A293" i="26" s="1"/>
  <c r="M293" i="26"/>
  <c r="M294" i="26"/>
  <c r="N294" i="26"/>
  <c r="A294" i="26" s="1"/>
  <c r="M9" i="26"/>
  <c r="N9" i="26" s="1"/>
  <c r="A9" i="26" s="1"/>
  <c r="M19" i="26"/>
  <c r="N19" i="26" s="1"/>
  <c r="A19" i="26" s="1"/>
  <c r="M48" i="26"/>
  <c r="N48" i="26" s="1"/>
  <c r="A48" i="26" s="1"/>
  <c r="M64" i="26"/>
  <c r="N64" i="26" s="1"/>
  <c r="A64" i="26" s="1"/>
  <c r="N98" i="26"/>
  <c r="A98" i="26" s="1"/>
  <c r="M111" i="26"/>
  <c r="M127" i="26"/>
  <c r="M149" i="26"/>
  <c r="N214" i="26"/>
  <c r="A214" i="26" s="1"/>
  <c r="M218" i="26"/>
  <c r="N224" i="26"/>
  <c r="A224" i="26" s="1"/>
  <c r="M231" i="26"/>
  <c r="N276" i="26"/>
  <c r="A276" i="26" s="1"/>
  <c r="M296" i="26"/>
  <c r="M303" i="26"/>
  <c r="L7" i="26"/>
  <c r="M7" i="26" s="1"/>
  <c r="N7" i="26" s="1"/>
  <c r="A7" i="26" s="1"/>
  <c r="N106" i="26"/>
  <c r="A106" i="26" s="1"/>
  <c r="N122" i="26"/>
  <c r="A122" i="26" s="1"/>
  <c r="M283" i="26"/>
  <c r="N91" i="26"/>
  <c r="A91" i="26" s="1"/>
  <c r="N143" i="26"/>
  <c r="A143" i="26" s="1"/>
  <c r="N23" i="26"/>
  <c r="A23" i="26" s="1"/>
  <c r="M25" i="26"/>
  <c r="N25" i="26" s="1"/>
  <c r="A25" i="26" s="1"/>
  <c r="M50" i="26"/>
  <c r="N50" i="26" s="1"/>
  <c r="A50" i="26" s="1"/>
  <c r="N61" i="26"/>
  <c r="A61" i="26" s="1"/>
  <c r="N63" i="26"/>
  <c r="A63" i="26" s="1"/>
  <c r="N102" i="26"/>
  <c r="A102" i="26" s="1"/>
  <c r="M146" i="26"/>
  <c r="N150" i="26"/>
  <c r="A150" i="26" s="1"/>
  <c r="M163" i="26"/>
  <c r="M165" i="26"/>
  <c r="M171" i="26"/>
  <c r="M177" i="26"/>
  <c r="N183" i="26"/>
  <c r="A183" i="26" s="1"/>
  <c r="N187" i="26"/>
  <c r="A187" i="26" s="1"/>
  <c r="M239" i="26"/>
  <c r="N243" i="26"/>
  <c r="A243" i="26" s="1"/>
  <c r="M248" i="26"/>
  <c r="N286" i="26"/>
  <c r="A286" i="26" s="1"/>
  <c r="M68" i="26"/>
  <c r="N68" i="26" s="1"/>
  <c r="A68" i="26" s="1"/>
  <c r="N118" i="26"/>
  <c r="A118" i="26" s="1"/>
  <c r="M154" i="26"/>
  <c r="M202" i="26"/>
  <c r="M229" i="26"/>
  <c r="N267" i="26"/>
  <c r="A267" i="26" s="1"/>
  <c r="M15" i="26"/>
  <c r="N15" i="26" s="1"/>
  <c r="A15" i="26" s="1"/>
  <c r="N20" i="26"/>
  <c r="A20" i="26" s="1"/>
  <c r="M22" i="26"/>
  <c r="N22" i="26" s="1"/>
  <c r="A22" i="26" s="1"/>
  <c r="M31" i="26"/>
  <c r="N31" i="26" s="1"/>
  <c r="A31" i="26" s="1"/>
  <c r="M42" i="26"/>
  <c r="N42" i="26" s="1"/>
  <c r="A42" i="26" s="1"/>
  <c r="N78" i="26"/>
  <c r="A78" i="26" s="1"/>
  <c r="N94" i="26"/>
  <c r="A94" i="26" s="1"/>
  <c r="N110" i="26"/>
  <c r="A110" i="26" s="1"/>
  <c r="N114" i="26"/>
  <c r="A114" i="26" s="1"/>
  <c r="M119" i="26"/>
  <c r="N126" i="26"/>
  <c r="A126" i="26" s="1"/>
  <c r="N130" i="26"/>
  <c r="A130" i="26" s="1"/>
  <c r="N148" i="26"/>
  <c r="A148" i="26" s="1"/>
  <c r="M175" i="26"/>
  <c r="M223" i="26"/>
  <c r="M232" i="26"/>
  <c r="M252" i="26"/>
  <c r="M261" i="26"/>
  <c r="M275" i="26"/>
  <c r="M277" i="26"/>
  <c r="M295" i="26"/>
  <c r="M299" i="26"/>
  <c r="M304" i="26"/>
  <c r="N70" i="26"/>
  <c r="A70" i="26" s="1"/>
  <c r="N86" i="26"/>
  <c r="A86" i="26" s="1"/>
  <c r="M137" i="26"/>
  <c r="M73" i="26"/>
  <c r="N73" i="26" s="1"/>
  <c r="A73" i="26" s="1"/>
  <c r="M169" i="26"/>
  <c r="M181" i="26"/>
  <c r="N206" i="26"/>
  <c r="A206" i="26" s="1"/>
  <c r="M245" i="26"/>
  <c r="M76" i="26"/>
  <c r="N76" i="26" s="1"/>
  <c r="A76" i="26" s="1"/>
  <c r="N117" i="26"/>
  <c r="A117" i="26" s="1"/>
  <c r="N142" i="26"/>
  <c r="A142" i="26" s="1"/>
  <c r="M186" i="26"/>
  <c r="M201" i="26"/>
  <c r="M213" i="26"/>
  <c r="M11" i="27"/>
  <c r="A11" i="27" s="1"/>
  <c r="M18" i="27"/>
  <c r="A18" i="27" s="1"/>
  <c r="U46" i="27"/>
  <c r="T16" i="20"/>
  <c r="T15" i="20"/>
  <c r="T14" i="20"/>
  <c r="T7" i="20"/>
  <c r="T9" i="20"/>
  <c r="T8" i="20"/>
  <c r="M6" i="25"/>
  <c r="A6" i="25" s="1"/>
  <c r="R10" i="20"/>
  <c r="M13" i="24"/>
  <c r="A13" i="24" s="1"/>
  <c r="M18" i="24"/>
  <c r="A18" i="24" s="1"/>
  <c r="R9" i="20"/>
  <c r="S9" i="20" s="1"/>
  <c r="R8" i="20"/>
  <c r="R7" i="20"/>
  <c r="M17" i="24"/>
  <c r="A17" i="24" s="1"/>
  <c r="S12" i="20"/>
  <c r="R14" i="20"/>
  <c r="L8" i="27"/>
  <c r="M8" i="27" s="1"/>
  <c r="A8" i="27" s="1"/>
  <c r="L7" i="27"/>
  <c r="M7" i="27" s="1"/>
  <c r="A7" i="27" s="1"/>
  <c r="N115" i="26"/>
  <c r="A115" i="26" s="1"/>
  <c r="M115" i="26"/>
  <c r="N161" i="26"/>
  <c r="A161" i="26" s="1"/>
  <c r="M161" i="26"/>
  <c r="N200" i="26"/>
  <c r="A200" i="26" s="1"/>
  <c r="M200" i="26"/>
  <c r="N225" i="26"/>
  <c r="A225" i="26" s="1"/>
  <c r="M225" i="26"/>
  <c r="M238" i="26"/>
  <c r="N238" i="26"/>
  <c r="A238" i="26" s="1"/>
  <c r="M242" i="26"/>
  <c r="N242" i="26"/>
  <c r="A242" i="26" s="1"/>
  <c r="N253" i="26"/>
  <c r="A253" i="26" s="1"/>
  <c r="M253" i="26"/>
  <c r="M270" i="26"/>
  <c r="N270" i="26"/>
  <c r="A270" i="26" s="1"/>
  <c r="M55" i="26"/>
  <c r="N55" i="26" s="1"/>
  <c r="A55" i="26" s="1"/>
  <c r="M71" i="26"/>
  <c r="N71" i="26" s="1"/>
  <c r="A71" i="26" s="1"/>
  <c r="N107" i="26"/>
  <c r="A107" i="26" s="1"/>
  <c r="M107" i="26"/>
  <c r="N128" i="26"/>
  <c r="A128" i="26" s="1"/>
  <c r="M128" i="26"/>
  <c r="M144" i="26"/>
  <c r="N144" i="26"/>
  <c r="A144" i="26" s="1"/>
  <c r="N185" i="26"/>
  <c r="A185" i="26" s="1"/>
  <c r="M185" i="26"/>
  <c r="M12" i="26"/>
  <c r="N12" i="26" s="1"/>
  <c r="A12" i="26" s="1"/>
  <c r="M21" i="26"/>
  <c r="N21" i="26" s="1"/>
  <c r="A21" i="26" s="1"/>
  <c r="N28" i="26"/>
  <c r="A28" i="26" s="1"/>
  <c r="M36" i="26"/>
  <c r="N36" i="26" s="1"/>
  <c r="A36" i="26" s="1"/>
  <c r="N44" i="26"/>
  <c r="A44" i="26" s="1"/>
  <c r="M69" i="26"/>
  <c r="N69" i="26" s="1"/>
  <c r="A69" i="26" s="1"/>
  <c r="N99" i="26"/>
  <c r="A99" i="26" s="1"/>
  <c r="M99" i="26"/>
  <c r="M105" i="26"/>
  <c r="N109" i="26"/>
  <c r="A109" i="26" s="1"/>
  <c r="M208" i="26"/>
  <c r="N208" i="26"/>
  <c r="A208" i="26" s="1"/>
  <c r="N39" i="26"/>
  <c r="A39" i="26" s="1"/>
  <c r="M52" i="26"/>
  <c r="N52" i="26" s="1"/>
  <c r="A52" i="26" s="1"/>
  <c r="AI11" i="20" s="1"/>
  <c r="M59" i="26"/>
  <c r="N59" i="26"/>
  <c r="A59" i="26" s="1"/>
  <c r="M87" i="26"/>
  <c r="N87" i="26" s="1"/>
  <c r="A87" i="26" s="1"/>
  <c r="M97" i="26"/>
  <c r="N101" i="26"/>
  <c r="A101" i="26" s="1"/>
  <c r="N120" i="26"/>
  <c r="A120" i="26" s="1"/>
  <c r="M120" i="26"/>
  <c r="N133" i="26"/>
  <c r="A133" i="26" s="1"/>
  <c r="M133" i="26"/>
  <c r="N236" i="26"/>
  <c r="A236" i="26" s="1"/>
  <c r="M236" i="26"/>
  <c r="N268" i="26"/>
  <c r="A268" i="26" s="1"/>
  <c r="M268" i="26"/>
  <c r="N300" i="26"/>
  <c r="A300" i="26" s="1"/>
  <c r="M300" i="26"/>
  <c r="N123" i="26"/>
  <c r="A123" i="26" s="1"/>
  <c r="M123" i="26"/>
  <c r="N136" i="26"/>
  <c r="A136" i="26" s="1"/>
  <c r="M136" i="26"/>
  <c r="M274" i="26"/>
  <c r="N274" i="26"/>
  <c r="A274" i="26" s="1"/>
  <c r="N285" i="26"/>
  <c r="A285" i="26" s="1"/>
  <c r="M285" i="26"/>
  <c r="M302" i="26"/>
  <c r="N302" i="26"/>
  <c r="A302" i="26" s="1"/>
  <c r="M29" i="26"/>
  <c r="N29" i="26" s="1"/>
  <c r="A29" i="26" s="1"/>
  <c r="M74" i="26"/>
  <c r="N74" i="26"/>
  <c r="A74" i="26" s="1"/>
  <c r="N77" i="26"/>
  <c r="A77" i="26" s="1"/>
  <c r="M85" i="26"/>
  <c r="N85" i="26" s="1"/>
  <c r="A85" i="26" s="1"/>
  <c r="N112" i="26"/>
  <c r="A112" i="26" s="1"/>
  <c r="M112" i="26"/>
  <c r="N153" i="26"/>
  <c r="A153" i="26" s="1"/>
  <c r="M153" i="26"/>
  <c r="N168" i="26"/>
  <c r="A168" i="26" s="1"/>
  <c r="M168" i="26"/>
  <c r="N193" i="26"/>
  <c r="A193" i="26" s="1"/>
  <c r="M193" i="26"/>
  <c r="M40" i="26"/>
  <c r="N40" i="26" s="1"/>
  <c r="A40" i="26" s="1"/>
  <c r="M53" i="26"/>
  <c r="N53" i="26" s="1"/>
  <c r="A53" i="26" s="1"/>
  <c r="N104" i="26"/>
  <c r="A104" i="26" s="1"/>
  <c r="M104" i="26"/>
  <c r="N125" i="26"/>
  <c r="A125" i="26" s="1"/>
  <c r="M125" i="26"/>
  <c r="N131" i="26"/>
  <c r="A131" i="26" s="1"/>
  <c r="M131" i="26"/>
  <c r="N217" i="26"/>
  <c r="A217" i="26" s="1"/>
  <c r="M217" i="26"/>
  <c r="M27" i="26"/>
  <c r="N27" i="26" s="1"/>
  <c r="A27" i="26" s="1"/>
  <c r="M34" i="26"/>
  <c r="N34" i="26" s="1"/>
  <c r="A34" i="26" s="1"/>
  <c r="M43" i="26"/>
  <c r="N43" i="26" s="1"/>
  <c r="A43" i="26" s="1"/>
  <c r="N47" i="26"/>
  <c r="A47" i="26" s="1"/>
  <c r="AI6" i="20" s="1"/>
  <c r="N80" i="26"/>
  <c r="A80" i="26" s="1"/>
  <c r="M90" i="26"/>
  <c r="N90" i="26"/>
  <c r="A90" i="26" s="1"/>
  <c r="N93" i="26"/>
  <c r="A93" i="26" s="1"/>
  <c r="N96" i="26"/>
  <c r="A96" i="26" s="1"/>
  <c r="M96" i="26"/>
  <c r="M176" i="26"/>
  <c r="N176" i="26"/>
  <c r="A176" i="26" s="1"/>
  <c r="M250" i="26"/>
  <c r="N250" i="26"/>
  <c r="A250" i="26" s="1"/>
  <c r="M282" i="26"/>
  <c r="N282" i="26"/>
  <c r="A282" i="26" s="1"/>
  <c r="N246" i="26"/>
  <c r="A246" i="26" s="1"/>
  <c r="N278" i="26"/>
  <c r="A278" i="26" s="1"/>
  <c r="M258" i="26"/>
  <c r="N258" i="26"/>
  <c r="A258" i="26" s="1"/>
  <c r="M290" i="26"/>
  <c r="N290" i="26"/>
  <c r="A290" i="26" s="1"/>
  <c r="M18" i="26"/>
  <c r="N18" i="26" s="1"/>
  <c r="A18" i="26" s="1"/>
  <c r="M26" i="26"/>
  <c r="N26" i="26" s="1"/>
  <c r="A26" i="26" s="1"/>
  <c r="M38" i="26"/>
  <c r="N38" i="26" s="1"/>
  <c r="A38" i="26" s="1"/>
  <c r="M57" i="26"/>
  <c r="N57" i="26" s="1"/>
  <c r="A57" i="26" s="1"/>
  <c r="M152" i="26"/>
  <c r="M184" i="26"/>
  <c r="M216" i="26"/>
  <c r="M234" i="26"/>
  <c r="N234" i="26"/>
  <c r="A234" i="26" s="1"/>
  <c r="M237" i="26"/>
  <c r="M266" i="26"/>
  <c r="N266" i="26"/>
  <c r="A266" i="26" s="1"/>
  <c r="M269" i="26"/>
  <c r="M298" i="26"/>
  <c r="N298" i="26"/>
  <c r="A298" i="26" s="1"/>
  <c r="M301" i="26"/>
  <c r="M141" i="26"/>
  <c r="M157" i="26"/>
  <c r="M173" i="26"/>
  <c r="M189" i="26"/>
  <c r="M205" i="26"/>
  <c r="M221" i="26"/>
  <c r="M233" i="26"/>
  <c r="M241" i="26"/>
  <c r="M249" i="26"/>
  <c r="M257" i="26"/>
  <c r="M265" i="26"/>
  <c r="M273" i="26"/>
  <c r="M281" i="26"/>
  <c r="M289" i="26"/>
  <c r="M297" i="26"/>
  <c r="M305" i="26"/>
  <c r="L7" i="25"/>
  <c r="M7" i="25" s="1"/>
  <c r="A7" i="25" s="1"/>
  <c r="L8" i="25"/>
  <c r="M8" i="25" s="1"/>
  <c r="A8" i="25" s="1"/>
  <c r="L6" i="24"/>
  <c r="M6" i="24" s="1"/>
  <c r="A6" i="24" s="1"/>
  <c r="L7" i="24"/>
  <c r="M7" i="24" s="1"/>
  <c r="A7" i="24" s="1"/>
  <c r="L8" i="24"/>
  <c r="M8" i="24"/>
  <c r="A8" i="24" s="1"/>
  <c r="M11" i="17"/>
  <c r="A11" i="17" s="1"/>
  <c r="F12" i="20" s="1"/>
  <c r="M13" i="17"/>
  <c r="A13" i="17" s="1"/>
  <c r="AI16" i="17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9" i="17"/>
  <c r="A29" i="17" s="1"/>
  <c r="M30" i="17"/>
  <c r="A30" i="17" s="1"/>
  <c r="M31" i="17"/>
  <c r="A31" i="17" s="1"/>
  <c r="M32" i="17"/>
  <c r="A32" i="17" s="1"/>
  <c r="M36" i="17"/>
  <c r="A36" i="17" s="1"/>
  <c r="M37" i="17"/>
  <c r="A37" i="17" s="1"/>
  <c r="M9" i="19"/>
  <c r="N9" i="19" s="1"/>
  <c r="A9" i="19" s="1"/>
  <c r="P21" i="20"/>
  <c r="M11" i="19"/>
  <c r="N11" i="19" s="1"/>
  <c r="A11" i="19" s="1"/>
  <c r="N12" i="19"/>
  <c r="A12" i="19" s="1"/>
  <c r="M12" i="19"/>
  <c r="N13" i="19"/>
  <c r="A13" i="19" s="1"/>
  <c r="M13" i="19"/>
  <c r="N14" i="19"/>
  <c r="A14" i="19" s="1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A45" i="19" s="1"/>
  <c r="M45" i="19"/>
  <c r="N46" i="19"/>
  <c r="A46" i="19" s="1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A59" i="19" s="1"/>
  <c r="M59" i="19"/>
  <c r="N60" i="19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A66" i="19" s="1"/>
  <c r="M66" i="19"/>
  <c r="N67" i="19"/>
  <c r="A67" i="19" s="1"/>
  <c r="M67" i="19"/>
  <c r="N68" i="19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M76" i="19"/>
  <c r="N77" i="19"/>
  <c r="M77" i="19"/>
  <c r="N78" i="19"/>
  <c r="A78" i="19" s="1"/>
  <c r="M78" i="19"/>
  <c r="N79" i="19"/>
  <c r="A79" i="19" s="1"/>
  <c r="M79" i="19"/>
  <c r="N80" i="19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M88" i="19"/>
  <c r="N89" i="19"/>
  <c r="A89" i="19" s="1"/>
  <c r="M89" i="19"/>
  <c r="N90" i="19"/>
  <c r="A90" i="19" s="1"/>
  <c r="M90" i="19"/>
  <c r="N91" i="19"/>
  <c r="A91" i="19" s="1"/>
  <c r="M91" i="19"/>
  <c r="N92" i="19"/>
  <c r="M92" i="19"/>
  <c r="N93" i="19"/>
  <c r="A93" i="19" s="1"/>
  <c r="M93" i="19"/>
  <c r="N94" i="19"/>
  <c r="A94" i="19" s="1"/>
  <c r="M94" i="19"/>
  <c r="N95" i="19"/>
  <c r="M95" i="19"/>
  <c r="N96" i="19"/>
  <c r="A96" i="19" s="1"/>
  <c r="M96" i="19"/>
  <c r="N97" i="19"/>
  <c r="A97" i="19" s="1"/>
  <c r="M97" i="19"/>
  <c r="N98" i="19"/>
  <c r="M98" i="19"/>
  <c r="N99" i="19"/>
  <c r="A99" i="19" s="1"/>
  <c r="M99" i="19"/>
  <c r="N100" i="19"/>
  <c r="M100" i="19"/>
  <c r="N101" i="19"/>
  <c r="M101" i="19"/>
  <c r="N102" i="19"/>
  <c r="A102" i="19" s="1"/>
  <c r="M102" i="19"/>
  <c r="N103" i="19"/>
  <c r="A103" i="19" s="1"/>
  <c r="M103" i="19"/>
  <c r="N104" i="19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M112" i="19"/>
  <c r="N113" i="19"/>
  <c r="M113" i="19"/>
  <c r="N114" i="19"/>
  <c r="A114" i="19" s="1"/>
  <c r="M114" i="19"/>
  <c r="N115" i="19"/>
  <c r="A115" i="19" s="1"/>
  <c r="M115" i="19"/>
  <c r="N116" i="19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A143" i="19" s="1"/>
  <c r="M143" i="19"/>
  <c r="N144" i="19"/>
  <c r="M144" i="19"/>
  <c r="N145" i="19"/>
  <c r="A145" i="19" s="1"/>
  <c r="M145" i="19"/>
  <c r="N146" i="19"/>
  <c r="A146" i="19" s="1"/>
  <c r="M146" i="19"/>
  <c r="N147" i="19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A154" i="19" s="1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A158" i="19" s="1"/>
  <c r="M158" i="19"/>
  <c r="N159" i="19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M192" i="19"/>
  <c r="N193" i="19"/>
  <c r="A193" i="19" s="1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M216" i="19"/>
  <c r="N217" i="19"/>
  <c r="A217" i="19" s="1"/>
  <c r="M217" i="19"/>
  <c r="N218" i="19"/>
  <c r="A218" i="19" s="1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M224" i="19"/>
  <c r="N225" i="19"/>
  <c r="M225" i="19"/>
  <c r="N226" i="19"/>
  <c r="A226" i="19" s="1"/>
  <c r="M226" i="19"/>
  <c r="N227" i="19"/>
  <c r="A227" i="19" s="1"/>
  <c r="M227" i="19"/>
  <c r="N228" i="19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M236" i="19"/>
  <c r="N237" i="19"/>
  <c r="A237" i="19" s="1"/>
  <c r="M237" i="19"/>
  <c r="N238" i="19"/>
  <c r="A238" i="19" s="1"/>
  <c r="M238" i="19"/>
  <c r="N239" i="19"/>
  <c r="A239" i="19" s="1"/>
  <c r="M239" i="19"/>
  <c r="N240" i="19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M248" i="19"/>
  <c r="N249" i="19"/>
  <c r="A249" i="19" s="1"/>
  <c r="M249" i="19"/>
  <c r="N250" i="19"/>
  <c r="A250" i="19" s="1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M260" i="19"/>
  <c r="N261" i="19"/>
  <c r="A261" i="19" s="1"/>
  <c r="M261" i="19"/>
  <c r="N262" i="19"/>
  <c r="A262" i="19" s="1"/>
  <c r="M262" i="19"/>
  <c r="N263" i="19"/>
  <c r="A263" i="19" s="1"/>
  <c r="M263" i="19"/>
  <c r="N264" i="19"/>
  <c r="M264" i="19"/>
  <c r="N265" i="19"/>
  <c r="A265" i="19" s="1"/>
  <c r="M265" i="19"/>
  <c r="N266" i="19"/>
  <c r="A266" i="19" s="1"/>
  <c r="M266" i="19"/>
  <c r="N267" i="19"/>
  <c r="A267" i="19" s="1"/>
  <c r="M267" i="19"/>
  <c r="N268" i="19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M273" i="19"/>
  <c r="N274" i="19"/>
  <c r="A274" i="19" s="1"/>
  <c r="M274" i="19"/>
  <c r="N275" i="19"/>
  <c r="A275" i="19" s="1"/>
  <c r="M275" i="19"/>
  <c r="N276" i="19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M296" i="19"/>
  <c r="N297" i="19"/>
  <c r="M297" i="19"/>
  <c r="N298" i="19"/>
  <c r="A298" i="19" s="1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E14" i="13"/>
  <c r="E7" i="13"/>
  <c r="E10" i="13"/>
  <c r="E15" i="13"/>
  <c r="E16" i="13"/>
  <c r="H9" i="13"/>
  <c r="H12" i="13"/>
  <c r="G14" i="13"/>
  <c r="G7" i="13"/>
  <c r="G10" i="13"/>
  <c r="G15" i="13"/>
  <c r="G16" i="13"/>
  <c r="H17" i="13"/>
  <c r="H18" i="13"/>
  <c r="H19" i="13"/>
  <c r="H20" i="13"/>
  <c r="H21" i="13"/>
  <c r="H22" i="13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6" i="18"/>
  <c r="A36" i="18" s="1"/>
  <c r="M37" i="18"/>
  <c r="A37" i="18" s="1"/>
  <c r="F9" i="13"/>
  <c r="A19" i="18"/>
  <c r="A34" i="18"/>
  <c r="A26" i="18"/>
  <c r="A35" i="18"/>
  <c r="A11" i="18"/>
  <c r="A10" i="17"/>
  <c r="L8" i="17"/>
  <c r="M8" i="17" s="1"/>
  <c r="A8" i="17" s="1"/>
  <c r="L6" i="17"/>
  <c r="L7" i="17"/>
  <c r="M7" i="17" s="1"/>
  <c r="A7" i="17" s="1"/>
  <c r="A273" i="19"/>
  <c r="A216" i="19"/>
  <c r="A77" i="19"/>
  <c r="A88" i="19"/>
  <c r="A21" i="19"/>
  <c r="L7" i="19"/>
  <c r="M7" i="19" s="1"/>
  <c r="N7" i="19" s="1"/>
  <c r="L8" i="19"/>
  <c r="L6" i="19"/>
  <c r="M6" i="19" s="1"/>
  <c r="N6" i="19" s="1"/>
  <c r="A6" i="19" s="1"/>
  <c r="P12" i="20" s="1"/>
  <c r="A76" i="19"/>
  <c r="A98" i="19"/>
  <c r="L6" i="18"/>
  <c r="L7" i="18"/>
  <c r="M7" i="18" s="1"/>
  <c r="A7" i="18" s="1"/>
  <c r="A7" i="19"/>
  <c r="A65" i="19"/>
  <c r="A112" i="19"/>
  <c r="L8" i="18"/>
  <c r="AJ16" i="19"/>
  <c r="A48" i="19"/>
  <c r="A92" i="19"/>
  <c r="A116" i="19"/>
  <c r="A205" i="19"/>
  <c r="A60" i="19"/>
  <c r="A68" i="19"/>
  <c r="A297" i="19"/>
  <c r="A113" i="19"/>
  <c r="A15" i="19"/>
  <c r="A104" i="19"/>
  <c r="A44" i="19"/>
  <c r="A100" i="19"/>
  <c r="A55" i="19"/>
  <c r="A95" i="19"/>
  <c r="A40" i="19"/>
  <c r="A80" i="19"/>
  <c r="A225" i="19"/>
  <c r="A101" i="19"/>
  <c r="A168" i="19"/>
  <c r="A232" i="19"/>
  <c r="A256" i="19"/>
  <c r="A280" i="19"/>
  <c r="A147" i="19"/>
  <c r="A159" i="19"/>
  <c r="A244" i="19"/>
  <c r="A268" i="19"/>
  <c r="A144" i="19"/>
  <c r="A192" i="19"/>
  <c r="A292" i="19"/>
  <c r="A224" i="19"/>
  <c r="A236" i="19"/>
  <c r="A248" i="19"/>
  <c r="A260" i="19"/>
  <c r="A272" i="19"/>
  <c r="A284" i="19"/>
  <c r="A296" i="19"/>
  <c r="A228" i="19"/>
  <c r="A240" i="19"/>
  <c r="A264" i="19"/>
  <c r="A276" i="19"/>
  <c r="AI15" i="20" l="1"/>
  <c r="AI20" i="20"/>
  <c r="AI16" i="20"/>
  <c r="AI10" i="20"/>
  <c r="AI8" i="20"/>
  <c r="AI21" i="20"/>
  <c r="AI13" i="20"/>
  <c r="AI7" i="20"/>
  <c r="AI9" i="20"/>
  <c r="AI17" i="20"/>
  <c r="AI18" i="20"/>
  <c r="AI14" i="20"/>
  <c r="AI19" i="20"/>
  <c r="AI22" i="20"/>
  <c r="AA10" i="20"/>
  <c r="AA18" i="20"/>
  <c r="N8" i="20"/>
  <c r="N7" i="13"/>
  <c r="L9" i="20"/>
  <c r="A6" i="30"/>
  <c r="J13" i="13"/>
  <c r="U10" i="20"/>
  <c r="H10" i="20"/>
  <c r="F13" i="13"/>
  <c r="F8" i="13"/>
  <c r="F21" i="20"/>
  <c r="F22" i="13"/>
  <c r="F22" i="20"/>
  <c r="F20" i="20"/>
  <c r="F11" i="13"/>
  <c r="F21" i="13"/>
  <c r="F14" i="13"/>
  <c r="F11" i="20"/>
  <c r="F19" i="13"/>
  <c r="F18" i="13"/>
  <c r="F17" i="13"/>
  <c r="S6" i="20"/>
  <c r="P15" i="20"/>
  <c r="P9" i="20"/>
  <c r="P19" i="20"/>
  <c r="P22" i="20"/>
  <c r="P10" i="20"/>
  <c r="P11" i="20"/>
  <c r="P20" i="20"/>
  <c r="P17" i="20"/>
  <c r="P18" i="20"/>
  <c r="P16" i="20"/>
  <c r="P13" i="20"/>
  <c r="P6" i="20"/>
  <c r="P14" i="20"/>
  <c r="L12" i="13"/>
  <c r="L8" i="20"/>
  <c r="L10" i="20"/>
  <c r="L8" i="13"/>
  <c r="L21" i="20"/>
  <c r="L16" i="20"/>
  <c r="L7" i="13"/>
  <c r="L17" i="13"/>
  <c r="L9" i="13"/>
  <c r="L11" i="20"/>
  <c r="L13" i="13"/>
  <c r="L13" i="20"/>
  <c r="L18" i="20"/>
  <c r="L21" i="13"/>
  <c r="L10" i="13"/>
  <c r="L22" i="20"/>
  <c r="L22" i="13"/>
  <c r="L17" i="20"/>
  <c r="L19" i="13"/>
  <c r="L7" i="20"/>
  <c r="L15" i="13"/>
  <c r="L6" i="13"/>
  <c r="L15" i="20"/>
  <c r="L6" i="20"/>
  <c r="L20" i="20"/>
  <c r="L11" i="13"/>
  <c r="L19" i="20"/>
  <c r="L14" i="13"/>
  <c r="L18" i="13"/>
  <c r="F12" i="13"/>
  <c r="U13" i="20"/>
  <c r="U18" i="20"/>
  <c r="U19" i="20"/>
  <c r="U22" i="20"/>
  <c r="U9" i="20"/>
  <c r="U17" i="20"/>
  <c r="U7" i="20"/>
  <c r="U20" i="20"/>
  <c r="U12" i="20"/>
  <c r="U6" i="20"/>
  <c r="U14" i="20"/>
  <c r="U21" i="20"/>
  <c r="U15" i="20"/>
  <c r="U11" i="20"/>
  <c r="S11" i="20"/>
  <c r="S13" i="20"/>
  <c r="S17" i="20"/>
  <c r="S20" i="20"/>
  <c r="S7" i="20"/>
  <c r="S10" i="20"/>
  <c r="S8" i="20"/>
  <c r="S18" i="20"/>
  <c r="S22" i="20"/>
  <c r="S19" i="20"/>
  <c r="S16" i="20"/>
  <c r="S14" i="20"/>
  <c r="S21" i="20"/>
  <c r="S15" i="20"/>
  <c r="F13" i="20"/>
  <c r="F7" i="20"/>
  <c r="F9" i="20"/>
  <c r="F18" i="20"/>
  <c r="F20" i="13"/>
  <c r="F19" i="20"/>
  <c r="U16" i="20"/>
  <c r="U8" i="20"/>
  <c r="P6" i="13"/>
  <c r="P13" i="13"/>
  <c r="P11" i="13"/>
  <c r="P9" i="13"/>
  <c r="P8" i="13"/>
  <c r="P12" i="13"/>
  <c r="P14" i="13"/>
  <c r="P10" i="13"/>
  <c r="P15" i="13"/>
  <c r="P16" i="13"/>
  <c r="P17" i="13"/>
  <c r="P18" i="13"/>
  <c r="P19" i="13"/>
  <c r="P20" i="13"/>
  <c r="P21" i="13"/>
  <c r="P22" i="13"/>
  <c r="M8" i="19"/>
  <c r="N8" i="19" s="1"/>
  <c r="A8" i="19" s="1"/>
  <c r="P8" i="20" s="1"/>
  <c r="M6" i="17"/>
  <c r="A6" i="17" s="1"/>
  <c r="F7" i="13" s="1"/>
  <c r="M8" i="18"/>
  <c r="A8" i="18" s="1"/>
  <c r="H11" i="13" s="1"/>
  <c r="M6" i="18"/>
  <c r="A6" i="18" s="1"/>
  <c r="H16" i="13"/>
  <c r="H15" i="13"/>
  <c r="H10" i="13"/>
  <c r="H7" i="13"/>
  <c r="H14" i="13"/>
  <c r="P7" i="13" l="1"/>
  <c r="D7" i="13" s="1"/>
  <c r="D9" i="13"/>
  <c r="D17" i="13"/>
  <c r="H8" i="13"/>
  <c r="D8" i="13" s="1"/>
  <c r="H9" i="20"/>
  <c r="F8" i="20"/>
  <c r="F15" i="13"/>
  <c r="D15" i="13" s="1"/>
  <c r="F10" i="20"/>
  <c r="F14" i="20"/>
  <c r="F17" i="20"/>
  <c r="F15" i="20"/>
  <c r="F16" i="13"/>
  <c r="D16" i="13" s="1"/>
  <c r="F16" i="20"/>
  <c r="F10" i="13"/>
  <c r="D10" i="13" s="1"/>
  <c r="D19" i="13"/>
  <c r="D20" i="13"/>
  <c r="D12" i="13"/>
  <c r="D14" i="13"/>
  <c r="D18" i="13"/>
  <c r="D21" i="13"/>
  <c r="D22" i="13"/>
  <c r="D11" i="13"/>
  <c r="H6" i="20"/>
  <c r="H6" i="13"/>
  <c r="H13" i="13"/>
  <c r="D13" i="13" s="1"/>
  <c r="H12" i="20"/>
  <c r="F6" i="13"/>
  <c r="F6" i="20"/>
  <c r="D6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<sst xmlns="http://schemas.openxmlformats.org/spreadsheetml/2006/main" count="2379" uniqueCount="142">
  <si>
    <t>Dołączył/a do kategorii w tym roku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</si>
  <si>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</si>
  <si>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</si>
  <si>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KOBIETY Kat.1</t>
  </si>
  <si>
    <t>L.P.</t>
  </si>
  <si>
    <t>NAZWISKO Imię</t>
  </si>
  <si>
    <t>KLUB</t>
  </si>
  <si>
    <t>PUNKTY</t>
  </si>
  <si>
    <t>I PP</t>
  </si>
  <si>
    <t>II PP</t>
  </si>
  <si>
    <t>III PP</t>
  </si>
  <si>
    <t>IV PP</t>
  </si>
  <si>
    <t>V PP</t>
  </si>
  <si>
    <t>MPW</t>
  </si>
  <si>
    <t>M</t>
  </si>
  <si>
    <t>P</t>
  </si>
  <si>
    <t>KAMIŃSKA Gabriela</t>
  </si>
  <si>
    <t>KLIMECKA Dorota</t>
  </si>
  <si>
    <t>SAMECKA-NACZYŃSKA Martyna</t>
  </si>
  <si>
    <t>KOWALSKA Milena</t>
  </si>
  <si>
    <t>KŁOS Iwona</t>
  </si>
  <si>
    <t>SADOWSKA Małgorzata</t>
  </si>
  <si>
    <t>MURRAY Claire</t>
  </si>
  <si>
    <t>GIERS-ROMEK Monika</t>
  </si>
  <si>
    <t xml:space="preserve"> </t>
  </si>
  <si>
    <t>Liczba uczestników:</t>
  </si>
  <si>
    <t>GP Punkty</t>
  </si>
  <si>
    <t>Bonus za rundę</t>
  </si>
  <si>
    <t>Bonus za podium</t>
  </si>
  <si>
    <t>miejsce:</t>
  </si>
  <si>
    <t>KONIN</t>
  </si>
  <si>
    <t xml:space="preserve"> data:</t>
  </si>
  <si>
    <t>28.09.2024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</si>
  <si>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</si>
  <si>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</si>
  <si>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</si>
  <si>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</si>
  <si>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</si>
  <si>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</si>
  <si>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</si>
  <si>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</si>
  <si>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</si>
  <si>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</si>
  <si>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</si>
  <si>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</si>
  <si>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AZS AWF Warszawa</t>
  </si>
  <si>
    <t> POL</t>
  </si>
  <si>
    <t>IKS AWF Warszawa</t>
  </si>
  <si>
    <t>SPWS</t>
  </si>
  <si>
    <t>Stormont</t>
  </si>
  <si>
    <t>x</t>
  </si>
  <si>
    <t>UKS 46 Łódź</t>
  </si>
  <si>
    <t>N</t>
  </si>
  <si>
    <t>MP</t>
  </si>
  <si>
    <t>MP-1</t>
  </si>
  <si>
    <t>log(x)</t>
  </si>
  <si>
    <t>Log(N)</t>
  </si>
  <si>
    <t>MP - (MP-1)*LOG(x)/LOG(N)</t>
  </si>
  <si>
    <t>points</t>
  </si>
  <si>
    <t> </t>
  </si>
  <si>
    <t>BYTOM</t>
  </si>
  <si>
    <t>26.10.2024</t>
  </si>
  <si>
    <t>AZS AWF WARSZAWA</t>
  </si>
  <si>
    <t xml:space="preserve"> POL</t>
  </si>
  <si>
    <t>KKS/TARNOWSKI KLUB SZERM.</t>
  </si>
  <si>
    <t>Mnożnik za podium</t>
  </si>
  <si>
    <t>KRAKÓW</t>
  </si>
  <si>
    <t>30.11.2024</t>
  </si>
  <si>
    <t>UKS 46 ŁÓDŹ</t>
  </si>
  <si>
    <t>ST. POLSKICH WETERANÓW SZERMIERKI</t>
  </si>
  <si>
    <t>KKS KRAKÓW / TARNOWSKI KLUB SZERMIERCZY</t>
  </si>
  <si>
    <t>IKS AWF WARSZAWA</t>
  </si>
  <si>
    <t>WARSZAWA</t>
  </si>
  <si>
    <t>22.02.2025</t>
  </si>
  <si>
    <t>NAZWISKO</t>
  </si>
  <si>
    <t>RUNDA</t>
  </si>
  <si>
    <t>BONUS</t>
  </si>
  <si>
    <t>KAMIŃSKA (1) Gabriela</t>
  </si>
  <si>
    <t>KRUJALSKIENE (0) Julija</t>
  </si>
  <si>
    <t>KLIMECKA (1) Dorota</t>
  </si>
  <si>
    <t>GRZYB (0) Bianka</t>
  </si>
  <si>
    <t>CHMIELEWSKA (0) Emilia</t>
  </si>
  <si>
    <t>SZCZECIN</t>
  </si>
  <si>
    <t>26.04.2025</t>
  </si>
  <si>
    <t>AZS AWF POZNAŃ</t>
  </si>
  <si>
    <t>Podium</t>
  </si>
  <si>
    <t>Współczynnik MPW</t>
  </si>
  <si>
    <t>Punkty MPW</t>
  </si>
  <si>
    <t>MIEJSCE</t>
  </si>
  <si>
    <t>PKTY</t>
  </si>
  <si>
    <t>Klasyfikacja będą podstawą do rekomendacji dla PZSZERM powołań do kadry na międzynarodowe zawody rangi mistrzowskiej.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</si>
  <si>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</si>
  <si>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</si>
  <si>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</si>
  <si>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</si>
  <si>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</si>
  <si>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</si>
  <si>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</si>
  <si>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</si>
  <si>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Budapeszt</t>
  </si>
  <si>
    <t>21.09.2024</t>
  </si>
  <si>
    <t>Madrid</t>
  </si>
  <si>
    <t>16.11.2024</t>
  </si>
  <si>
    <t>Guildford</t>
  </si>
  <si>
    <t>04.01.2025</t>
  </si>
  <si>
    <t>Terni</t>
  </si>
  <si>
    <t>02.02.2025</t>
  </si>
  <si>
    <t>Stockholm (SWE)</t>
  </si>
  <si>
    <t>15.03.2025</t>
  </si>
  <si>
    <t>29.03.2025</t>
  </si>
  <si>
    <t>ZILIONE Zivile</t>
  </si>
  <si>
    <t> LTU</t>
  </si>
  <si>
    <t>PETROVSKA Olha</t>
  </si>
  <si>
    <t> UKR</t>
  </si>
  <si>
    <t>HERCZEG Krisztina</t>
  </si>
  <si>
    <t> HUN</t>
  </si>
  <si>
    <t>VITALYOS Eszter Zsuzsanna</t>
  </si>
  <si>
    <t>BONJEAN Cindy</t>
  </si>
  <si>
    <t> FRA</t>
  </si>
  <si>
    <t>TERZANI Marta</t>
  </si>
  <si>
    <t> ITA</t>
  </si>
  <si>
    <t>ENRIGHT Ritva Irene</t>
  </si>
  <si>
    <t> FIN</t>
  </si>
  <si>
    <t>SZINI Andrea Katalin</t>
  </si>
  <si>
    <t>OSTRIKOFF Michelle</t>
  </si>
  <si>
    <t> CAN</t>
  </si>
  <si>
    <t>CHANIA</t>
  </si>
  <si>
    <t>3.05.2025</t>
  </si>
  <si>
    <t xml:space="preserve">  </t>
  </si>
  <si>
    <t>PABIANICE</t>
  </si>
  <si>
    <t>7.06.2025</t>
  </si>
  <si>
    <t>KAMIŃSKA Gabriela (1)</t>
  </si>
  <si>
    <t>GÓRNA Karolina (0)</t>
  </si>
  <si>
    <t>SAMECKA-NACZYŃSKA Martyna (1)</t>
  </si>
  <si>
    <t>KLIMECKA Dorota (1)</t>
  </si>
  <si>
    <t>CHMIELEWSKA Emilia (0)</t>
  </si>
  <si>
    <t>Płowdiw</t>
  </si>
  <si>
    <t>29.05.2025</t>
  </si>
  <si>
    <t>Paryż</t>
  </si>
  <si>
    <t>05-07.07.2025</t>
  </si>
  <si>
    <t>Na sumę punktów w rankingu skłądają się 4 najlepsze wyniki (z 5 możliwych) w turniejach PP Weteranów, wynik z Mistrzostw Polski Weteranów, 3 najlepsze wyniki z PEW i PS w ciągu roku (krocząco) oraz punkty zdobyte w IMEW.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</si>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</sst>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6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sz val="11"/>
      <color rgb="FF1E1E1E"/>
      <name val="Segoe UI"/>
      <family val="2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2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0">
    <xf numFmtId="0" fontId="0" fillId="0" borderId="0"/>
    <xf numFmtId="0" fontId="10" fillId="3" borderId="0" applyNumberFormat="0" applyBorder="0" applyAlignment="0" applyProtection="0"/>
    <xf numFmtId="0" fontId="6" fillId="0" borderId="0"/>
    <xf numFmtId="0" fontId="5" fillId="12" borderId="0" applyNumberFormat="0" applyBorder="0" applyAlignment="0" applyProtection="0"/>
    <xf numFmtId="0" fontId="4" fillId="0" borderId="0"/>
    <xf numFmtId="0" fontId="3" fillId="0" borderId="0"/>
    <xf numFmtId="0" fontId="3" fillId="0" borderId="0"/>
    <xf numFmtId="0" fontId="2" fillId="0" borderId="0"/>
    <xf numFmtId="0" fontId="11" fillId="0" borderId="0" applyNumberFormat="0" applyFill="0" applyBorder="0" applyAlignment="0" applyProtection="0"/>
    <xf numFmtId="0" fontId="1" fillId="0" borderId="0"/>
  </cellStyleXfs>
  <cellXfs count="270">
    <xf numFmtId="0" fontId="0" fillId="0" borderId="0" xfId="0"/>
    <xf numFmtId="0" fontId="10" fillId="3" borderId="0" xfId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15" fillId="4" borderId="0" xfId="0" applyFont="1" applyFill="1"/>
    <xf numFmtId="0" fontId="14" fillId="4" borderId="0" xfId="0" applyFont="1" applyFill="1"/>
    <xf numFmtId="0" fontId="7" fillId="2" borderId="9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9" fillId="7" borderId="11" xfId="0" applyFont="1" applyFill="1" applyBorder="1" applyAlignment="1">
      <alignment horizontal="left"/>
    </xf>
    <xf numFmtId="0" fontId="16" fillId="7" borderId="12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left"/>
    </xf>
    <xf numFmtId="0" fontId="9" fillId="7" borderId="13" xfId="0" applyFont="1" applyFill="1" applyBorder="1" applyAlignment="1">
      <alignment horizontal="center"/>
    </xf>
    <xf numFmtId="0" fontId="0" fillId="7" borderId="0" xfId="0" applyFill="1"/>
    <xf numFmtId="0" fontId="6" fillId="8" borderId="0" xfId="2" applyFill="1"/>
    <xf numFmtId="0" fontId="18" fillId="8" borderId="0" xfId="2" applyFont="1" applyFill="1" applyAlignment="1">
      <alignment horizontal="right" vertical="center"/>
    </xf>
    <xf numFmtId="0" fontId="18" fillId="8" borderId="0" xfId="2" applyFont="1" applyFill="1" applyAlignment="1">
      <alignment horizontal="center" vertical="center"/>
    </xf>
    <xf numFmtId="1" fontId="19" fillId="8" borderId="0" xfId="2" applyNumberFormat="1" applyFont="1" applyFill="1" applyAlignment="1">
      <alignment horizontal="left" vertical="center"/>
    </xf>
    <xf numFmtId="0" fontId="6" fillId="8" borderId="0" xfId="2" applyFill="1" applyAlignment="1">
      <alignment horizontal="center" vertical="center"/>
    </xf>
    <xf numFmtId="0" fontId="6" fillId="7" borderId="0" xfId="2" applyFill="1"/>
    <xf numFmtId="0" fontId="8" fillId="8" borderId="0" xfId="0" applyFont="1" applyFill="1" applyAlignment="1">
      <alignment horizontal="right"/>
    </xf>
    <xf numFmtId="0" fontId="20" fillId="8" borderId="0" xfId="0" applyFont="1" applyFill="1" applyAlignment="1">
      <alignment horizontal="right"/>
    </xf>
    <xf numFmtId="0" fontId="12" fillId="9" borderId="0" xfId="2" applyFont="1" applyFill="1" applyAlignment="1">
      <alignment horizontal="center" vertical="center"/>
    </xf>
    <xf numFmtId="0" fontId="12" fillId="7" borderId="0" xfId="2" applyFont="1" applyFill="1" applyAlignment="1">
      <alignment horizontal="center" vertical="center"/>
    </xf>
    <xf numFmtId="1" fontId="6" fillId="7" borderId="0" xfId="2" applyNumberFormat="1" applyFill="1" applyAlignment="1">
      <alignment horizontal="center" vertical="center"/>
    </xf>
    <xf numFmtId="0" fontId="6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6" fillId="8" borderId="0" xfId="2" applyNumberFormat="1" applyFill="1" applyAlignment="1">
      <alignment horizontal="center" vertical="center"/>
    </xf>
    <xf numFmtId="0" fontId="0" fillId="8" borderId="0" xfId="0" applyFill="1"/>
    <xf numFmtId="0" fontId="10" fillId="3" borderId="15" xfId="1" applyBorder="1" applyAlignment="1">
      <alignment horizontal="center" vertical="center" wrapText="1"/>
    </xf>
    <xf numFmtId="0" fontId="21" fillId="10" borderId="0" xfId="2" applyFont="1" applyFill="1" applyAlignment="1">
      <alignment horizontal="center" vertical="center"/>
    </xf>
    <xf numFmtId="0" fontId="21" fillId="10" borderId="0" xfId="2" applyFont="1" applyFill="1" applyAlignment="1">
      <alignment horizontal="center" vertical="center" wrapText="1"/>
    </xf>
    <xf numFmtId="1" fontId="21" fillId="10" borderId="0" xfId="2" applyNumberFormat="1" applyFont="1" applyFill="1" applyAlignment="1">
      <alignment horizontal="center" vertical="center" wrapText="1"/>
    </xf>
    <xf numFmtId="1" fontId="9" fillId="7" borderId="0" xfId="0" applyNumberFormat="1" applyFont="1" applyFill="1" applyAlignment="1">
      <alignment horizontal="center" vertical="center"/>
    </xf>
    <xf numFmtId="0" fontId="22" fillId="7" borderId="16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3" fillId="8" borderId="0" xfId="2" applyFont="1" applyFill="1" applyAlignment="1">
      <alignment horizontal="center" vertical="center"/>
    </xf>
    <xf numFmtId="2" fontId="23" fillId="8" borderId="0" xfId="2" applyNumberFormat="1" applyFont="1" applyFill="1" applyAlignment="1">
      <alignment horizontal="center" vertical="center"/>
    </xf>
    <xf numFmtId="164" fontId="23" fillId="8" borderId="0" xfId="2" applyNumberFormat="1" applyFont="1" applyFill="1" applyAlignment="1">
      <alignment horizontal="center" vertical="center"/>
    </xf>
    <xf numFmtId="1" fontId="9" fillId="6" borderId="0" xfId="0" applyNumberFormat="1" applyFont="1" applyFill="1" applyAlignment="1">
      <alignment horizontal="center" vertical="center"/>
    </xf>
    <xf numFmtId="0" fontId="22" fillId="6" borderId="16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3" fillId="11" borderId="0" xfId="2" applyFont="1" applyFill="1" applyAlignment="1">
      <alignment horizontal="center" vertical="center"/>
    </xf>
    <xf numFmtId="2" fontId="23" fillId="11" borderId="0" xfId="2" applyNumberFormat="1" applyFont="1" applyFill="1" applyAlignment="1">
      <alignment horizontal="center" vertical="center"/>
    </xf>
    <xf numFmtId="164" fontId="23" fillId="11" borderId="0" xfId="2" applyNumberFormat="1" applyFont="1" applyFill="1" applyAlignment="1">
      <alignment horizontal="center" vertical="center"/>
    </xf>
    <xf numFmtId="0" fontId="13" fillId="7" borderId="0" xfId="2" applyFont="1" applyFill="1"/>
    <xf numFmtId="1" fontId="6" fillId="7" borderId="0" xfId="2" applyNumberFormat="1" applyFill="1"/>
    <xf numFmtId="0" fontId="6" fillId="7" borderId="0" xfId="2" applyFill="1" applyAlignment="1">
      <alignment horizontal="right"/>
    </xf>
    <xf numFmtId="0" fontId="12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4" fillId="7" borderId="0" xfId="2" applyFont="1" applyFill="1"/>
    <xf numFmtId="164" fontId="6" fillId="8" borderId="0" xfId="2" applyNumberFormat="1" applyFill="1"/>
    <xf numFmtId="49" fontId="6" fillId="7" borderId="0" xfId="2" applyNumberFormat="1" applyFill="1"/>
    <xf numFmtId="0" fontId="12" fillId="8" borderId="0" xfId="2" applyFont="1" applyFill="1"/>
    <xf numFmtId="164" fontId="12" fillId="7" borderId="0" xfId="2" applyNumberFormat="1" applyFont="1" applyFill="1"/>
    <xf numFmtId="164" fontId="6" fillId="7" borderId="0" xfId="2" applyNumberFormat="1" applyFill="1"/>
    <xf numFmtId="1" fontId="6" fillId="0" borderId="0" xfId="2" applyNumberFormat="1" applyAlignment="1">
      <alignment horizontal="center"/>
    </xf>
    <xf numFmtId="0" fontId="6" fillId="0" borderId="0" xfId="2"/>
    <xf numFmtId="164" fontId="6" fillId="0" borderId="0" xfId="2" applyNumberFormat="1" applyAlignment="1">
      <alignment horizontal="center"/>
    </xf>
    <xf numFmtId="0" fontId="6" fillId="0" borderId="0" xfId="2" applyAlignment="1">
      <alignment horizontal="center" vertical="center"/>
    </xf>
    <xf numFmtId="1" fontId="6" fillId="0" borderId="0" xfId="2" applyNumberFormat="1" applyAlignment="1">
      <alignment horizontal="center" vertical="center"/>
    </xf>
    <xf numFmtId="164" fontId="6" fillId="0" borderId="0" xfId="2" applyNumberFormat="1" applyAlignment="1">
      <alignment horizontal="center" vertical="center"/>
    </xf>
    <xf numFmtId="0" fontId="13" fillId="8" borderId="0" xfId="2" applyFont="1" applyFill="1" applyAlignment="1">
      <alignment horizontal="left" vertical="center"/>
    </xf>
    <xf numFmtId="0" fontId="6" fillId="8" borderId="0" xfId="2" applyFill="1" applyAlignment="1">
      <alignment horizontal="left" vertical="center"/>
    </xf>
    <xf numFmtId="164" fontId="6" fillId="7" borderId="0" xfId="2" applyNumberFormat="1" applyFill="1" applyAlignment="1">
      <alignment horizontal="center" vertical="center"/>
    </xf>
    <xf numFmtId="0" fontId="26" fillId="4" borderId="0" xfId="0" applyFont="1" applyFill="1"/>
    <xf numFmtId="0" fontId="27" fillId="4" borderId="0" xfId="0" applyFont="1" applyFill="1"/>
    <xf numFmtId="0" fontId="28" fillId="2" borderId="1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13" fillId="12" borderId="1" xfId="3" applyFont="1" applyBorder="1" applyAlignment="1">
      <alignment horizontal="center" vertical="center" wrapText="1"/>
    </xf>
    <xf numFmtId="0" fontId="13" fillId="12" borderId="9" xfId="3" applyFont="1" applyBorder="1" applyAlignment="1">
      <alignment horizontal="center" vertical="center" wrapText="1"/>
    </xf>
    <xf numFmtId="1" fontId="0" fillId="0" borderId="0" xfId="0" applyNumberFormat="1"/>
    <xf numFmtId="0" fontId="30" fillId="0" borderId="0" xfId="0" applyFont="1"/>
    <xf numFmtId="2" fontId="8" fillId="7" borderId="11" xfId="0" applyNumberFormat="1" applyFont="1" applyFill="1" applyBorder="1" applyAlignment="1">
      <alignment horizontal="center" vertical="center"/>
    </xf>
    <xf numFmtId="2" fontId="29" fillId="7" borderId="11" xfId="0" applyNumberFormat="1" applyFont="1" applyFill="1" applyBorder="1" applyAlignment="1">
      <alignment horizontal="center" vertical="center"/>
    </xf>
    <xf numFmtId="2" fontId="29" fillId="7" borderId="14" xfId="0" applyNumberFormat="1" applyFont="1" applyFill="1" applyBorder="1" applyAlignment="1">
      <alignment horizontal="center" vertical="center"/>
    </xf>
    <xf numFmtId="2" fontId="9" fillId="7" borderId="0" xfId="0" applyNumberFormat="1" applyFont="1" applyFill="1" applyAlignment="1">
      <alignment horizontal="center" vertical="center"/>
    </xf>
    <xf numFmtId="2" fontId="9" fillId="6" borderId="0" xfId="0" applyNumberFormat="1" applyFont="1" applyFill="1" applyAlignment="1">
      <alignment horizontal="center" vertical="center"/>
    </xf>
    <xf numFmtId="0" fontId="23" fillId="11" borderId="0" xfId="4" applyFont="1" applyFill="1" applyAlignment="1">
      <alignment horizontal="center" vertical="center"/>
    </xf>
    <xf numFmtId="2" fontId="23" fillId="11" borderId="0" xfId="4" applyNumberFormat="1" applyFont="1" applyFill="1" applyAlignment="1">
      <alignment horizontal="center" vertical="center"/>
    </xf>
    <xf numFmtId="164" fontId="23" fillId="11" borderId="0" xfId="4" applyNumberFormat="1" applyFont="1" applyFill="1" applyAlignment="1">
      <alignment horizontal="center" vertical="center"/>
    </xf>
    <xf numFmtId="0" fontId="4" fillId="8" borderId="0" xfId="4" applyFill="1"/>
    <xf numFmtId="0" fontId="4" fillId="7" borderId="0" xfId="4" applyFill="1"/>
    <xf numFmtId="0" fontId="13" fillId="7" borderId="0" xfId="4" applyFont="1" applyFill="1"/>
    <xf numFmtId="1" fontId="4" fillId="7" borderId="0" xfId="4" applyNumberFormat="1" applyFill="1"/>
    <xf numFmtId="0" fontId="4" fillId="7" borderId="0" xfId="4" applyFill="1" applyAlignment="1">
      <alignment horizontal="right"/>
    </xf>
    <xf numFmtId="2" fontId="15" fillId="7" borderId="11" xfId="0" applyNumberFormat="1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/>
    </xf>
    <xf numFmtId="2" fontId="17" fillId="7" borderId="11" xfId="0" applyNumberFormat="1" applyFont="1" applyFill="1" applyBorder="1" applyAlignment="1">
      <alignment horizontal="center" vertical="center"/>
    </xf>
    <xf numFmtId="2" fontId="17" fillId="7" borderId="14" xfId="0" applyNumberFormat="1" applyFont="1" applyFill="1" applyBorder="1" applyAlignment="1">
      <alignment horizontal="center" vertical="center"/>
    </xf>
    <xf numFmtId="0" fontId="3" fillId="8" borderId="0" xfId="5" applyFill="1"/>
    <xf numFmtId="0" fontId="18" fillId="8" borderId="0" xfId="5" applyFont="1" applyFill="1" applyAlignment="1">
      <alignment horizontal="right" vertical="center"/>
    </xf>
    <xf numFmtId="0" fontId="18" fillId="8" borderId="0" xfId="5" applyFont="1" applyFill="1" applyAlignment="1">
      <alignment horizontal="center" vertical="center"/>
    </xf>
    <xf numFmtId="1" fontId="19" fillId="8" borderId="0" xfId="5" applyNumberFormat="1" applyFont="1" applyFill="1" applyAlignment="1">
      <alignment horizontal="left" vertical="center"/>
    </xf>
    <xf numFmtId="0" fontId="3" fillId="8" borderId="0" xfId="5" applyFill="1" applyAlignment="1">
      <alignment horizontal="center" vertical="center"/>
    </xf>
    <xf numFmtId="0" fontId="3" fillId="7" borderId="0" xfId="5" applyFill="1"/>
    <xf numFmtId="0" fontId="12" fillId="9" borderId="0" xfId="5" applyFont="1" applyFill="1" applyAlignment="1">
      <alignment horizontal="center" vertical="center"/>
    </xf>
    <xf numFmtId="0" fontId="12" fillId="7" borderId="0" xfId="5" applyFont="1" applyFill="1" applyAlignment="1">
      <alignment horizontal="center" vertical="center"/>
    </xf>
    <xf numFmtId="1" fontId="3" fillId="7" borderId="0" xfId="5" applyNumberFormat="1" applyFill="1" applyAlignment="1">
      <alignment horizontal="center" vertical="center"/>
    </xf>
    <xf numFmtId="0" fontId="3" fillId="8" borderId="0" xfId="5" applyFill="1" applyAlignment="1">
      <alignment horizontal="right"/>
    </xf>
    <xf numFmtId="1" fontId="3" fillId="8" borderId="0" xfId="5" applyNumberFormat="1" applyFill="1" applyAlignment="1">
      <alignment horizontal="center" vertical="center"/>
    </xf>
    <xf numFmtId="0" fontId="21" fillId="10" borderId="0" xfId="5" applyFont="1" applyFill="1" applyAlignment="1">
      <alignment horizontal="center" vertical="center"/>
    </xf>
    <xf numFmtId="0" fontId="21" fillId="10" borderId="0" xfId="5" applyFont="1" applyFill="1" applyAlignment="1">
      <alignment horizontal="center" vertical="center" wrapText="1"/>
    </xf>
    <xf numFmtId="1" fontId="21" fillId="10" borderId="0" xfId="5" applyNumberFormat="1" applyFont="1" applyFill="1" applyAlignment="1">
      <alignment horizontal="center" vertical="center" wrapText="1"/>
    </xf>
    <xf numFmtId="0" fontId="23" fillId="8" borderId="0" xfId="5" applyFont="1" applyFill="1" applyAlignment="1">
      <alignment horizontal="center" vertical="center"/>
    </xf>
    <xf numFmtId="2" fontId="23" fillId="8" borderId="0" xfId="5" applyNumberFormat="1" applyFont="1" applyFill="1" applyAlignment="1">
      <alignment horizontal="center" vertical="center"/>
    </xf>
    <xf numFmtId="164" fontId="23" fillId="8" borderId="0" xfId="5" applyNumberFormat="1" applyFont="1" applyFill="1" applyAlignment="1">
      <alignment horizontal="center" vertical="center"/>
    </xf>
    <xf numFmtId="0" fontId="23" fillId="11" borderId="0" xfId="5" applyFont="1" applyFill="1" applyAlignment="1">
      <alignment horizontal="center" vertical="center"/>
    </xf>
    <xf numFmtId="2" fontId="23" fillId="11" borderId="0" xfId="5" applyNumberFormat="1" applyFont="1" applyFill="1" applyAlignment="1">
      <alignment horizontal="center" vertical="center"/>
    </xf>
    <xf numFmtId="164" fontId="23" fillId="11" borderId="0" xfId="5" applyNumberFormat="1" applyFont="1" applyFill="1" applyAlignment="1">
      <alignment horizontal="center" vertical="center"/>
    </xf>
    <xf numFmtId="0" fontId="13" fillId="7" borderId="0" xfId="5" applyFont="1" applyFill="1"/>
    <xf numFmtId="1" fontId="3" fillId="7" borderId="0" xfId="5" applyNumberFormat="1" applyFill="1"/>
    <xf numFmtId="0" fontId="3" fillId="7" borderId="0" xfId="5" applyFill="1" applyAlignment="1">
      <alignment horizontal="right"/>
    </xf>
    <xf numFmtId="0" fontId="12" fillId="7" borderId="0" xfId="5" applyFont="1" applyFill="1"/>
    <xf numFmtId="0" fontId="24" fillId="7" borderId="0" xfId="5" applyFont="1" applyFill="1"/>
    <xf numFmtId="164" fontId="3" fillId="8" borderId="0" xfId="5" applyNumberFormat="1" applyFill="1"/>
    <xf numFmtId="49" fontId="3" fillId="7" borderId="0" xfId="5" applyNumberFormat="1" applyFill="1"/>
    <xf numFmtId="0" fontId="12" fillId="8" borderId="0" xfId="5" applyFont="1" applyFill="1"/>
    <xf numFmtId="164" fontId="12" fillId="7" borderId="0" xfId="5" applyNumberFormat="1" applyFont="1" applyFill="1"/>
    <xf numFmtId="164" fontId="3" fillId="7" borderId="0" xfId="5" applyNumberFormat="1" applyFill="1"/>
    <xf numFmtId="1" fontId="3" fillId="0" borderId="0" xfId="5" applyNumberFormat="1" applyAlignment="1">
      <alignment horizontal="center"/>
    </xf>
    <xf numFmtId="0" fontId="3" fillId="0" borderId="0" xfId="5"/>
    <xf numFmtId="164" fontId="3" fillId="0" borderId="0" xfId="5" applyNumberFormat="1" applyAlignment="1">
      <alignment horizontal="center"/>
    </xf>
    <xf numFmtId="0" fontId="3" fillId="0" borderId="0" xfId="5" applyAlignment="1">
      <alignment horizontal="center" vertical="center"/>
    </xf>
    <xf numFmtId="1" fontId="3" fillId="0" borderId="0" xfId="5" applyNumberFormat="1" applyAlignment="1">
      <alignment horizontal="center" vertical="center"/>
    </xf>
    <xf numFmtId="164" fontId="3" fillId="0" borderId="0" xfId="5" applyNumberFormat="1" applyAlignment="1">
      <alignment horizontal="center" vertical="center"/>
    </xf>
    <xf numFmtId="0" fontId="3" fillId="8" borderId="0" xfId="6" applyFill="1"/>
    <xf numFmtId="0" fontId="18" fillId="8" borderId="0" xfId="6" applyFont="1" applyFill="1" applyAlignment="1">
      <alignment horizontal="right" vertical="center"/>
    </xf>
    <xf numFmtId="0" fontId="18" fillId="8" borderId="0" xfId="6" applyFont="1" applyFill="1" applyAlignment="1">
      <alignment horizontal="center" vertical="center"/>
    </xf>
    <xf numFmtId="1" fontId="19" fillId="8" borderId="0" xfId="6" applyNumberFormat="1" applyFont="1" applyFill="1" applyAlignment="1">
      <alignment horizontal="left" vertical="center"/>
    </xf>
    <xf numFmtId="0" fontId="3" fillId="8" borderId="0" xfId="6" applyFill="1" applyAlignment="1">
      <alignment horizontal="center" vertical="center"/>
    </xf>
    <xf numFmtId="0" fontId="3" fillId="7" borderId="0" xfId="6" applyFill="1"/>
    <xf numFmtId="0" fontId="12" fillId="9" borderId="0" xfId="6" applyFont="1" applyFill="1" applyAlignment="1">
      <alignment horizontal="center" vertical="center"/>
    </xf>
    <xf numFmtId="0" fontId="12" fillId="7" borderId="0" xfId="6" applyFont="1" applyFill="1" applyAlignment="1">
      <alignment horizontal="center" vertical="center"/>
    </xf>
    <xf numFmtId="1" fontId="3" fillId="7" borderId="0" xfId="6" applyNumberFormat="1" applyFill="1" applyAlignment="1">
      <alignment horizontal="center" vertical="center"/>
    </xf>
    <xf numFmtId="0" fontId="3" fillId="8" borderId="0" xfId="6" applyFill="1" applyAlignment="1">
      <alignment horizontal="right"/>
    </xf>
    <xf numFmtId="0" fontId="21" fillId="10" borderId="0" xfId="6" applyFont="1" applyFill="1" applyAlignment="1">
      <alignment horizontal="center" vertical="center"/>
    </xf>
    <xf numFmtId="0" fontId="21" fillId="10" borderId="0" xfId="6" applyFont="1" applyFill="1" applyAlignment="1">
      <alignment horizontal="center" vertical="center" wrapText="1"/>
    </xf>
    <xf numFmtId="0" fontId="23" fillId="8" borderId="0" xfId="6" applyFont="1" applyFill="1" applyAlignment="1">
      <alignment horizontal="center" vertical="center"/>
    </xf>
    <xf numFmtId="2" fontId="23" fillId="8" borderId="0" xfId="6" applyNumberFormat="1" applyFont="1" applyFill="1" applyAlignment="1">
      <alignment horizontal="center" vertical="center"/>
    </xf>
    <xf numFmtId="164" fontId="23" fillId="8" borderId="0" xfId="6" applyNumberFormat="1" applyFont="1" applyFill="1" applyAlignment="1">
      <alignment horizontal="center" vertical="center"/>
    </xf>
    <xf numFmtId="0" fontId="23" fillId="11" borderId="0" xfId="6" applyFont="1" applyFill="1" applyAlignment="1">
      <alignment horizontal="center" vertical="center"/>
    </xf>
    <xf numFmtId="2" fontId="23" fillId="11" borderId="0" xfId="6" applyNumberFormat="1" applyFont="1" applyFill="1" applyAlignment="1">
      <alignment horizontal="center" vertical="center"/>
    </xf>
    <xf numFmtId="164" fontId="23" fillId="11" borderId="0" xfId="6" applyNumberFormat="1" applyFont="1" applyFill="1" applyAlignment="1">
      <alignment horizontal="center" vertical="center"/>
    </xf>
    <xf numFmtId="0" fontId="13" fillId="7" borderId="0" xfId="6" applyFont="1" applyFill="1"/>
    <xf numFmtId="1" fontId="3" fillId="7" borderId="0" xfId="6" applyNumberFormat="1" applyFill="1"/>
    <xf numFmtId="0" fontId="3" fillId="7" borderId="0" xfId="6" applyFill="1" applyAlignment="1">
      <alignment horizontal="right"/>
    </xf>
    <xf numFmtId="0" fontId="12" fillId="7" borderId="0" xfId="6" applyFont="1" applyFill="1"/>
    <xf numFmtId="0" fontId="24" fillId="7" borderId="0" xfId="6" applyFont="1" applyFill="1"/>
    <xf numFmtId="164" fontId="3" fillId="8" borderId="0" xfId="6" applyNumberFormat="1" applyFill="1"/>
    <xf numFmtId="49" fontId="3" fillId="7" borderId="0" xfId="6" applyNumberFormat="1" applyFill="1"/>
    <xf numFmtId="0" fontId="12" fillId="8" borderId="0" xfId="6" applyFont="1" applyFill="1"/>
    <xf numFmtId="164" fontId="12" fillId="7" borderId="0" xfId="6" applyNumberFormat="1" applyFont="1" applyFill="1"/>
    <xf numFmtId="164" fontId="3" fillId="7" borderId="0" xfId="6" applyNumberFormat="1" applyFill="1"/>
    <xf numFmtId="0" fontId="3" fillId="0" borderId="0" xfId="6"/>
    <xf numFmtId="1" fontId="3" fillId="0" borderId="0" xfId="6" applyNumberFormat="1" applyAlignment="1">
      <alignment horizontal="center"/>
    </xf>
    <xf numFmtId="164" fontId="3" fillId="0" borderId="0" xfId="6" applyNumberFormat="1" applyAlignment="1">
      <alignment horizontal="center"/>
    </xf>
    <xf numFmtId="0" fontId="3" fillId="0" borderId="0" xfId="6" applyAlignment="1">
      <alignment horizontal="center" vertical="center"/>
    </xf>
    <xf numFmtId="1" fontId="3" fillId="0" borderId="0" xfId="6" applyNumberFormat="1" applyAlignment="1">
      <alignment horizontal="center" vertical="center"/>
    </xf>
    <xf numFmtId="164" fontId="3" fillId="0" borderId="0" xfId="6" applyNumberFormat="1" applyAlignment="1">
      <alignment horizontal="center" vertical="center"/>
    </xf>
    <xf numFmtId="2" fontId="3" fillId="7" borderId="0" xfId="6" applyNumberFormat="1" applyFill="1" applyAlignment="1">
      <alignment horizontal="center" vertical="center"/>
    </xf>
    <xf numFmtId="1" fontId="3" fillId="8" borderId="0" xfId="6" applyNumberFormat="1" applyFill="1" applyAlignment="1">
      <alignment horizontal="center" vertical="center"/>
    </xf>
    <xf numFmtId="1" fontId="21" fillId="10" borderId="0" xfId="6" applyNumberFormat="1" applyFont="1" applyFill="1" applyAlignment="1">
      <alignment horizontal="center" vertical="center" wrapText="1"/>
    </xf>
    <xf numFmtId="2" fontId="3" fillId="0" borderId="0" xfId="6" applyNumberFormat="1" applyAlignment="1">
      <alignment horizontal="center"/>
    </xf>
    <xf numFmtId="0" fontId="31" fillId="8" borderId="0" xfId="2" applyFont="1" applyFill="1"/>
    <xf numFmtId="0" fontId="32" fillId="8" borderId="0" xfId="2" applyFont="1" applyFill="1"/>
    <xf numFmtId="0" fontId="33" fillId="14" borderId="0" xfId="0" applyFont="1" applyFill="1"/>
    <xf numFmtId="0" fontId="33" fillId="14" borderId="0" xfId="0" applyFont="1" applyFill="1" applyAlignment="1">
      <alignment horizontal="left" vertical="center"/>
    </xf>
    <xf numFmtId="0" fontId="33" fillId="14" borderId="0" xfId="0" applyFont="1" applyFill="1" applyAlignment="1">
      <alignment horizontal="center" vertical="center"/>
    </xf>
    <xf numFmtId="0" fontId="34" fillId="14" borderId="0" xfId="0" applyFont="1" applyFill="1" applyAlignment="1">
      <alignment horizontal="center" vertical="center"/>
    </xf>
    <xf numFmtId="0" fontId="34" fillId="14" borderId="0" xfId="0" applyFont="1" applyFill="1"/>
    <xf numFmtId="0" fontId="34" fillId="14" borderId="0" xfId="0" applyFont="1" applyFill="1" applyAlignment="1">
      <alignment horizontal="left" vertical="center"/>
    </xf>
    <xf numFmtId="0" fontId="35" fillId="14" borderId="0" xfId="0" applyFont="1" applyFill="1" applyAlignment="1">
      <alignment horizontal="center" vertical="center"/>
    </xf>
    <xf numFmtId="17" fontId="33" fillId="14" borderId="0" xfId="0" applyNumberFormat="1" applyFont="1" applyFill="1" applyAlignment="1">
      <alignment horizontal="center" vertical="center"/>
    </xf>
    <xf numFmtId="0" fontId="11" fillId="8" borderId="0" xfId="8" applyFill="1"/>
    <xf numFmtId="0" fontId="31" fillId="8" borderId="0" xfId="2" applyFont="1" applyFill="1" applyAlignment="1">
      <alignment horizontal="center" vertical="center"/>
    </xf>
    <xf numFmtId="0" fontId="31" fillId="8" borderId="0" xfId="2" applyFont="1" applyFill="1" applyAlignment="1">
      <alignment vertical="center"/>
    </xf>
    <xf numFmtId="0" fontId="31" fillId="8" borderId="0" xfId="2" applyFont="1" applyFill="1" applyAlignment="1">
      <alignment horizontal="center"/>
    </xf>
    <xf numFmtId="164" fontId="31" fillId="8" borderId="0" xfId="2" applyNumberFormat="1" applyFont="1" applyFill="1"/>
    <xf numFmtId="0" fontId="12" fillId="8" borderId="0" xfId="2" applyFont="1" applyFill="1" applyAlignment="1">
      <alignment horizontal="center" vertical="center"/>
    </xf>
    <xf numFmtId="0" fontId="9" fillId="5" borderId="0" xfId="0" applyFont="1" applyFill="1"/>
    <xf numFmtId="0" fontId="9" fillId="5" borderId="13" xfId="0" applyFont="1" applyFill="1" applyBorder="1"/>
    <xf numFmtId="0" fontId="9" fillId="5" borderId="11" xfId="0" applyFont="1" applyFill="1" applyBorder="1"/>
    <xf numFmtId="0" fontId="0" fillId="15" borderId="0" xfId="0" applyFill="1" applyAlignment="1">
      <alignment vertical="center" wrapText="1"/>
    </xf>
    <xf numFmtId="0" fontId="34" fillId="14" borderId="0" xfId="0" applyFont="1" applyFill="1" applyAlignment="1">
      <alignment vertical="center"/>
    </xf>
    <xf numFmtId="0" fontId="11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14" fontId="11" fillId="8" borderId="0" xfId="8" applyNumberFormat="1" applyFill="1" applyAlignment="1">
      <alignment horizontal="left"/>
    </xf>
    <xf numFmtId="0" fontId="31" fillId="8" borderId="0" xfId="5" applyFont="1" applyFill="1"/>
    <xf numFmtId="0" fontId="12" fillId="8" borderId="0" xfId="5" applyFont="1" applyFill="1" applyAlignment="1">
      <alignment horizontal="center" vertical="center"/>
    </xf>
    <xf numFmtId="0" fontId="12" fillId="11" borderId="0" xfId="5" applyFont="1" applyFill="1" applyAlignment="1">
      <alignment horizontal="center" vertical="center"/>
    </xf>
    <xf numFmtId="164" fontId="31" fillId="8" borderId="0" xfId="2" applyNumberFormat="1" applyFont="1" applyFill="1" applyAlignment="1">
      <alignment vertical="center"/>
    </xf>
    <xf numFmtId="0" fontId="9" fillId="7" borderId="0" xfId="0" applyFont="1" applyFill="1" applyAlignment="1">
      <alignment horizontal="left"/>
    </xf>
    <xf numFmtId="0" fontId="7" fillId="2" borderId="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1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11" fillId="14" borderId="0" xfId="8" applyFill="1" applyAlignment="1">
      <alignment horizontal="left" vertical="center"/>
    </xf>
    <xf numFmtId="0" fontId="0" fillId="14" borderId="0" xfId="0" applyFill="1" applyAlignment="1">
      <alignment horizontal="left"/>
    </xf>
    <xf numFmtId="0" fontId="0" fillId="13" borderId="17" xfId="0" applyFill="1" applyBorder="1" applyAlignment="1">
      <alignment horizontal="center" vertical="center" wrapText="1"/>
    </xf>
    <xf numFmtId="0" fontId="0" fillId="13" borderId="18" xfId="0" applyFill="1" applyBorder="1" applyAlignment="1">
      <alignment horizontal="center" vertical="center" wrapText="1"/>
    </xf>
    <xf numFmtId="0" fontId="0" fillId="13" borderId="27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3" borderId="28" xfId="0" applyFill="1" applyBorder="1" applyAlignment="1">
      <alignment horizontal="center" vertical="center" wrapText="1"/>
    </xf>
    <xf numFmtId="0" fontId="0" fillId="13" borderId="29" xfId="0" applyFill="1" applyBorder="1" applyAlignment="1">
      <alignment horizontal="center" vertical="center" wrapText="1"/>
    </xf>
    <xf numFmtId="0" fontId="0" fillId="13" borderId="30" xfId="0" applyFill="1" applyBorder="1" applyAlignment="1">
      <alignment horizontal="center" vertical="center" wrapText="1"/>
    </xf>
    <xf numFmtId="0" fontId="0" fillId="13" borderId="31" xfId="0" applyFill="1" applyBorder="1" applyAlignment="1">
      <alignment horizontal="center" vertical="center" wrapText="1"/>
    </xf>
    <xf numFmtId="0" fontId="13" fillId="12" borderId="25" xfId="3" applyFont="1" applyBorder="1" applyAlignment="1">
      <alignment horizontal="center" vertical="center"/>
    </xf>
    <xf numFmtId="0" fontId="13" fillId="12" borderId="26" xfId="3" applyFont="1" applyBorder="1" applyAlignment="1">
      <alignment horizontal="center" vertical="center"/>
    </xf>
    <xf numFmtId="0" fontId="25" fillId="4" borderId="0" xfId="0" applyFont="1" applyFill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14" fontId="11" fillId="8" borderId="0" xfId="8" applyNumberFormat="1" applyFill="1" applyAlignment="1">
      <alignment horizontal="left"/>
    </xf>
    <xf numFmtId="14" fontId="0" fillId="8" borderId="0" xfId="0" quotePrefix="1" applyNumberFormat="1" applyFill="1" applyAlignment="1">
      <alignment horizontal="left"/>
    </xf>
    <xf numFmtId="0" fontId="1" fillId="8" borderId="0" xfId="9" applyFill="1"/>
    <xf numFmtId="0" fontId="18" fillId="8" borderId="0" xfId="9" applyFont="1" applyFill="1" applyAlignment="1">
      <alignment horizontal="right" vertical="center"/>
    </xf>
    <xf numFmtId="0" fontId="18" fillId="8" borderId="0" xfId="9" applyFont="1" applyFill="1" applyAlignment="1">
      <alignment horizontal="center" vertical="center"/>
    </xf>
    <xf numFmtId="1" fontId="19" fillId="8" borderId="0" xfId="9" applyNumberFormat="1" applyFont="1" applyFill="1" applyAlignment="1">
      <alignment horizontal="left" vertical="center"/>
    </xf>
    <xf numFmtId="0" fontId="1" fillId="8" borderId="0" xfId="9" applyFill="1" applyAlignment="1">
      <alignment horizontal="center" vertical="center"/>
    </xf>
    <xf numFmtId="0" fontId="1" fillId="7" borderId="0" xfId="9" applyFill="1"/>
    <xf numFmtId="0" fontId="12" fillId="9" borderId="0" xfId="9" applyFont="1" applyFill="1" applyAlignment="1">
      <alignment horizontal="center" vertical="center"/>
    </xf>
    <xf numFmtId="0" fontId="12" fillId="7" borderId="0" xfId="9" applyFont="1" applyFill="1" applyAlignment="1">
      <alignment horizontal="center" vertical="center"/>
    </xf>
    <xf numFmtId="1" fontId="1" fillId="7" borderId="0" xfId="9" applyNumberFormat="1" applyFill="1" applyAlignment="1">
      <alignment horizontal="center" vertical="center"/>
    </xf>
    <xf numFmtId="0" fontId="1" fillId="8" borderId="0" xfId="9" applyFill="1" applyAlignment="1">
      <alignment horizontal="right"/>
    </xf>
    <xf numFmtId="1" fontId="1" fillId="8" borderId="0" xfId="9" applyNumberFormat="1" applyFill="1" applyAlignment="1">
      <alignment horizontal="center" vertical="center"/>
    </xf>
    <xf numFmtId="0" fontId="21" fillId="10" borderId="0" xfId="9" applyFont="1" applyFill="1" applyAlignment="1">
      <alignment horizontal="center" vertical="center"/>
    </xf>
    <xf numFmtId="0" fontId="21" fillId="10" borderId="0" xfId="9" applyFont="1" applyFill="1" applyAlignment="1">
      <alignment horizontal="center" vertical="center" wrapText="1"/>
    </xf>
    <xf numFmtId="1" fontId="21" fillId="10" borderId="0" xfId="9" applyNumberFormat="1" applyFont="1" applyFill="1" applyAlignment="1">
      <alignment horizontal="center" vertical="center" wrapText="1"/>
    </xf>
    <xf numFmtId="0" fontId="23" fillId="8" borderId="0" xfId="9" applyFont="1" applyFill="1" applyAlignment="1">
      <alignment horizontal="center" vertical="center"/>
    </xf>
    <xf numFmtId="2" fontId="23" fillId="8" borderId="0" xfId="9" applyNumberFormat="1" applyFont="1" applyFill="1" applyAlignment="1">
      <alignment horizontal="center" vertical="center"/>
    </xf>
    <xf numFmtId="164" fontId="23" fillId="8" borderId="0" xfId="9" applyNumberFormat="1" applyFont="1" applyFill="1" applyAlignment="1">
      <alignment horizontal="center" vertical="center"/>
    </xf>
    <xf numFmtId="0" fontId="23" fillId="11" borderId="0" xfId="9" applyFont="1" applyFill="1" applyAlignment="1">
      <alignment horizontal="center" vertical="center"/>
    </xf>
    <xf numFmtId="2" fontId="23" fillId="11" borderId="0" xfId="9" applyNumberFormat="1" applyFont="1" applyFill="1" applyAlignment="1">
      <alignment horizontal="center" vertical="center"/>
    </xf>
    <xf numFmtId="164" fontId="23" fillId="11" borderId="0" xfId="9" applyNumberFormat="1" applyFont="1" applyFill="1" applyAlignment="1">
      <alignment horizontal="center" vertical="center"/>
    </xf>
    <xf numFmtId="0" fontId="13" fillId="7" borderId="0" xfId="9" applyFont="1" applyFill="1"/>
    <xf numFmtId="1" fontId="1" fillId="7" borderId="0" xfId="9" applyNumberFormat="1" applyFill="1"/>
    <xf numFmtId="0" fontId="1" fillId="7" borderId="0" xfId="9" applyFill="1" applyAlignment="1">
      <alignment horizontal="right"/>
    </xf>
    <xf numFmtId="0" fontId="12" fillId="7" borderId="0" xfId="9" applyFont="1" applyFill="1"/>
    <xf numFmtId="0" fontId="24" fillId="7" borderId="0" xfId="9" applyFont="1" applyFill="1"/>
    <xf numFmtId="164" fontId="1" fillId="8" borderId="0" xfId="9" applyNumberFormat="1" applyFill="1"/>
    <xf numFmtId="49" fontId="1" fillId="7" borderId="0" xfId="9" applyNumberFormat="1" applyFill="1"/>
    <xf numFmtId="0" fontId="12" fillId="8" borderId="0" xfId="9" applyFont="1" applyFill="1"/>
    <xf numFmtId="164" fontId="12" fillId="7" borderId="0" xfId="9" applyNumberFormat="1" applyFont="1" applyFill="1"/>
    <xf numFmtId="164" fontId="1" fillId="7" borderId="0" xfId="9" applyNumberFormat="1" applyFill="1"/>
    <xf numFmtId="0" fontId="1" fillId="0" borderId="0" xfId="9"/>
    <xf numFmtId="1" fontId="1" fillId="0" borderId="0" xfId="9" applyNumberFormat="1" applyAlignment="1">
      <alignment horizontal="center"/>
    </xf>
    <xf numFmtId="164" fontId="1" fillId="0" borderId="0" xfId="9" applyNumberFormat="1" applyAlignment="1">
      <alignment horizontal="center"/>
    </xf>
    <xf numFmtId="0" fontId="1" fillId="0" borderId="0" xfId="9" applyAlignment="1">
      <alignment horizontal="center" vertical="center"/>
    </xf>
    <xf numFmtId="1" fontId="1" fillId="0" borderId="0" xfId="9" applyNumberFormat="1" applyAlignment="1">
      <alignment horizontal="center" vertical="center"/>
    </xf>
    <xf numFmtId="164" fontId="1" fillId="0" borderId="0" xfId="9" applyNumberFormat="1" applyAlignment="1">
      <alignment horizontal="center" vertical="center"/>
    </xf>
  </cellXfs>
  <cellStyles count="10">
    <cellStyle name="20% — akcent 1" xfId="3" builtinId="30"/>
    <cellStyle name="Akcent 1" xfId="1" builtinId="29"/>
    <cellStyle name="Hiperłącze" xfId="8" builtinId="8"/>
    <cellStyle name="Normal 2" xfId="2" xr:uid="{A0C5B794-07DF-4486-9021-334F7E2E1851}"/>
    <cellStyle name="Normal 2 2" xfId="4" xr:uid="{58D6238D-2614-430E-8F40-14438D02F212}"/>
    <cellStyle name="Normal 2 2 2" xfId="5" xr:uid="{A664AD65-59FE-4448-A0DC-A7BF91337DF7}"/>
    <cellStyle name="Normal 2 2 2 2" xfId="6" xr:uid="{D6690D94-CDD9-4FD3-90C7-7B13449C1290}"/>
    <cellStyle name="Normal 2 2 2 2 2 2" xfId="9" xr:uid="{0339563F-C727-4050-A6C3-CE23959BAF3E}"/>
    <cellStyle name="Normal 2 2 2 3" xfId="7" xr:uid="{A787EFFC-A371-4565-99D6-0003AE9F58FB}"/>
    <cellStyle name="Normalny" xfId="0" builtinId="0"/>
  </cellStyles>
  <dxfs count="26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9633DE4F5D8A41D7AB9E647E48F959E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B5D5175B652C4EFCA0481CC16B2B820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BBD0096CEB054477A70223370B858F10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E97E57057A43470290D32048501F0A3C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EF2665D68F5246C0915D6E65A586D753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fencingtimelive.com/events/results/0C897F4B78BE41288DC9EE257CCE4398" TargetMode="External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08L1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ef-1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timelive.com/events/results/F3F0A15FF0764DC393CFE1E5159ACEF0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4fence.it/FIS/Risultati/2025-02-02-01_Terni_(TR)_-_4_Prova_Naz.le_Master_-_EVF_Circuit/index.php?a=SP&amp;s=F&amp;c=6&amp;f=clafinal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fencing.ophardt.online/en/search/results/30279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fencingtimelive.com/events/results/12EDF39DE0A045FCB3EF4F8EE0472ED5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worldwide.com/en/920969-2024/results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edv1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www.fencingtimelive.com/events/results/1FFEB083A3344764983F6B3094A935A4" TargetMode="External"/><Relationship Id="rId1" Type="http://schemas.openxmlformats.org/officeDocument/2006/relationships/hyperlink" Target="https://www.fencingtimelive.com/events/results/ABAADCA376B1472397749EEA732DC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0EC5-A26B-4FC3-9667-336334CFD186}">
  <dimension ref="A1:U38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8" width="6.75" bestFit="1" customWidth="1"/>
    <col min="9" max="14" width="6" customWidth="1"/>
    <col min="15" max="15" width="3.75" customWidth="1"/>
    <col min="16" max="16" width="6.75" bestFit="1" customWidth="1"/>
    <col min="17" max="17" width="4" customWidth="1"/>
  </cols>
  <sheetData>
    <row r="1" spans="1:21" ht="14.3" thickBot="1" x14ac:dyDescent="0.3">
      <c r="A1" s="3"/>
      <c r="B1" s="3"/>
      <c r="C1" s="3"/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180" t="s">
        <v>0</v>
      </c>
      <c r="C2" s="3"/>
      <c r="D2" s="65" t="s">
        <v>1</v>
      </c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R2" s="198" t="s">
        <v>2</v>
      </c>
      <c r="S2" s="199"/>
      <c r="T2" s="199"/>
      <c r="U2" s="200"/>
    </row>
    <row r="3" spans="1:21" ht="13.6" x14ac:dyDescent="0.25">
      <c r="A3" s="3"/>
      <c r="B3" s="3"/>
      <c r="C3" s="3"/>
      <c r="D3" s="5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01"/>
      <c r="S3" s="202"/>
      <c r="T3" s="202"/>
      <c r="U3" s="203"/>
    </row>
    <row r="4" spans="1:21" ht="24.8" customHeight="1" thickBot="1" x14ac:dyDescent="0.25">
      <c r="A4" s="193" t="s">
        <v>4</v>
      </c>
      <c r="B4" s="195" t="s">
        <v>5</v>
      </c>
      <c r="C4" s="195" t="s">
        <v>6</v>
      </c>
      <c r="D4" s="195" t="s">
        <v>7</v>
      </c>
      <c r="E4" s="207" t="s">
        <v>8</v>
      </c>
      <c r="F4" s="208"/>
      <c r="G4" s="207" t="s">
        <v>9</v>
      </c>
      <c r="H4" s="208"/>
      <c r="I4" s="207" t="s">
        <v>10</v>
      </c>
      <c r="J4" s="208"/>
      <c r="K4" s="207" t="s">
        <v>11</v>
      </c>
      <c r="L4" s="208"/>
      <c r="M4" s="207" t="s">
        <v>12</v>
      </c>
      <c r="N4" s="208"/>
      <c r="O4" s="207" t="s">
        <v>13</v>
      </c>
      <c r="P4" s="208"/>
      <c r="R4" s="204"/>
      <c r="S4" s="205"/>
      <c r="T4" s="205"/>
      <c r="U4" s="206"/>
    </row>
    <row r="5" spans="1:21" ht="18" customHeight="1" thickTop="1" x14ac:dyDescent="0.2">
      <c r="A5" s="194"/>
      <c r="B5" s="196"/>
      <c r="C5" s="196"/>
      <c r="D5" s="197"/>
      <c r="E5" s="2" t="s">
        <v>14</v>
      </c>
      <c r="F5" s="2" t="s">
        <v>15</v>
      </c>
      <c r="G5" s="2" t="s">
        <v>14</v>
      </c>
      <c r="H5" s="6" t="s">
        <v>15</v>
      </c>
      <c r="I5" s="2" t="s">
        <v>14</v>
      </c>
      <c r="J5" s="6" t="s">
        <v>15</v>
      </c>
      <c r="K5" s="2" t="s">
        <v>14</v>
      </c>
      <c r="L5" s="6" t="s">
        <v>15</v>
      </c>
      <c r="M5" s="2" t="s">
        <v>14</v>
      </c>
      <c r="N5" s="6" t="s">
        <v>15</v>
      </c>
      <c r="O5" s="2" t="s">
        <v>14</v>
      </c>
      <c r="P5" s="6" t="s">
        <v>15</v>
      </c>
    </row>
    <row r="6" spans="1:21" ht="14.8" customHeight="1" x14ac:dyDescent="0.25">
      <c r="A6" s="7">
        <f t="shared" ref="A6:A22" si="0">ROW()-5</f>
        <v>1</v>
      </c>
      <c r="B6" s="10" t="s">
        <v>16</v>
      </c>
      <c r="C6" s="87"/>
      <c r="D6" s="86">
        <f t="shared" ref="D6:D22" si="1">SUM(F6,H6,J6,L6,N6,P6)-MIN(F6,H6,J6,L6,N6)</f>
        <v>400.38567510498541</v>
      </c>
      <c r="E6" s="9">
        <f>_xlfn.XLOOKUP($B6,'PP1'!$C$6:$C$101,'PP1'!$B$6:$B$101,"")</f>
        <v>1</v>
      </c>
      <c r="F6" s="88">
        <f>_xlfn.XLOOKUP(E6,'PP1'!$B$6:$B$55,'PP1'!$A$6:$A$55,0)</f>
        <v>95.389783520090276</v>
      </c>
      <c r="G6" s="9">
        <f>_xlfn.XLOOKUP($B6,'PP2'!$C$6:$C$101,'PP2'!$B$6:$B$101,"")</f>
        <v>1</v>
      </c>
      <c r="H6" s="88">
        <f>_xlfn.XLOOKUP(G6,'PP2'!$B$6:$B$55,'PP2'!$A$6:$A$55,0)</f>
        <v>84.286609467713788</v>
      </c>
      <c r="I6" s="9">
        <f>_xlfn.XLOOKUP($B6,'PP3'!$C$6:$C$101,'PP3'!$B$6:$B$101,"")</f>
        <v>4</v>
      </c>
      <c r="J6" s="88">
        <f>_xlfn.XLOOKUP(I6,'PP3'!$B$6:$B$55,'PP3'!$A$6:$A$55,0)</f>
        <v>17.793697308807488</v>
      </c>
      <c r="K6" s="9">
        <f>_xlfn.XLOOKUP($B6,'PP4'!$C$6:$C$101,'PP4'!$B$6:$B$101,"")</f>
        <v>1</v>
      </c>
      <c r="L6" s="88">
        <f>_xlfn.XLOOKUP(K6,'PP4'!$B$6:$B$55,'PP4'!$A$6:$A$55,0)</f>
        <v>91.339289449053865</v>
      </c>
      <c r="M6" s="9" t="str">
        <f>_xlfn.XLOOKUP($B6,'PP5'!$C$6:$C$101,'PP5'!$B$6:$B$101,"")</f>
        <v/>
      </c>
      <c r="N6" s="88">
        <f>_xlfn.XLOOKUP(M6,'PP5'!$B$6:$B$55,'PP5'!$A$6:$A$55,0)</f>
        <v>0</v>
      </c>
      <c r="O6" s="9">
        <f>_xlfn.XLOOKUP(B6,MPW!C$6:C$101,MPW!B$6:B$101,"")</f>
        <v>1</v>
      </c>
      <c r="P6" s="89">
        <f>_xlfn.XLOOKUP(O6,MPW!$B$6:$B$55,MPW!$A$6:$A$55,0)</f>
        <v>111.57629535932</v>
      </c>
      <c r="R6" s="71"/>
    </row>
    <row r="7" spans="1:21" ht="14.8" customHeight="1" x14ac:dyDescent="0.25">
      <c r="A7" s="7">
        <f t="shared" si="0"/>
        <v>2</v>
      </c>
      <c r="B7" s="10" t="s">
        <v>17</v>
      </c>
      <c r="C7" s="11"/>
      <c r="D7" s="86">
        <f t="shared" si="1"/>
        <v>199.12984284621052</v>
      </c>
      <c r="E7" s="9">
        <f>_xlfn.XLOOKUP($B7,'PP1'!$C$6:$C$101,'PP1'!$B$6:$B$101,"")</f>
        <v>3</v>
      </c>
      <c r="F7" s="88">
        <f>_xlfn.XLOOKUP(E7,'PP1'!$B$6:$B$55,'PP1'!$A$6:$A$55,0)</f>
        <v>31.682224310216817</v>
      </c>
      <c r="G7" s="9">
        <f>_xlfn.XLOOKUP($B7,'PP2'!$C$6:$C$101,'PP2'!$B$6:$B$101,"")</f>
        <v>4</v>
      </c>
      <c r="H7" s="88">
        <f>_xlfn.XLOOKUP(G7,'PP2'!$B$6:$B$55,'PP2'!$A$6:$A$55,0)</f>
        <v>1</v>
      </c>
      <c r="I7" s="9">
        <f>_xlfn.XLOOKUP($B7,'PP3'!$C$6:$C$101,'PP3'!$B$6:$B$101,"")</f>
        <v>2</v>
      </c>
      <c r="J7" s="88">
        <f>_xlfn.XLOOKUP(I7,'PP3'!$B$6:$B$55,'PP3'!$A$6:$A$55,0)</f>
        <v>59.156704334463925</v>
      </c>
      <c r="K7" s="9">
        <f>_xlfn.XLOOKUP($B7,'PP4'!$C$6:$C$101,'PP4'!$B$6:$B$101,"")</f>
        <v>2</v>
      </c>
      <c r="L7" s="88">
        <f>_xlfn.XLOOKUP(K7,'PP4'!$B$6:$B$55,'PP4'!$A$6:$A$55,0)</f>
        <v>18.559526299369239</v>
      </c>
      <c r="M7" s="9">
        <f>_xlfn.XLOOKUP($B7,'PP5'!$C$6:$C$101,'PP5'!$B$6:$B$101,"")</f>
        <v>1</v>
      </c>
      <c r="N7" s="88">
        <f>_xlfn.XLOOKUP(M7,'PP5'!$B$6:$B$55,'PP5'!$A$6:$A$55,0)</f>
        <v>71.339289449053865</v>
      </c>
      <c r="O7" s="9">
        <f>_xlfn.XLOOKUP(B7,MPW!C$6:C$101,MPW!B$6:B$101,"")</f>
        <v>3</v>
      </c>
      <c r="P7" s="89">
        <f>_xlfn.XLOOKUP(O7,MPW!$B$6:$B$55,MPW!$A$6:$A$55,0)</f>
        <v>18.392098453106669</v>
      </c>
    </row>
    <row r="8" spans="1:21" ht="15.8" customHeight="1" x14ac:dyDescent="0.25">
      <c r="A8" s="7">
        <f t="shared" si="0"/>
        <v>3</v>
      </c>
      <c r="B8" s="10" t="s">
        <v>19</v>
      </c>
      <c r="C8" s="11"/>
      <c r="D8" s="86">
        <f t="shared" si="1"/>
        <v>112.32040540832655</v>
      </c>
      <c r="E8" s="9">
        <f>_xlfn.XLOOKUP($B8,'PP1'!$C$6:$C$101,'PP1'!$B$6:$B$101,"")</f>
        <v>5</v>
      </c>
      <c r="F8" s="88">
        <f>_xlfn.XLOOKUP(E8,'PP1'!$B$6:$B$55,'PP1'!$A$6:$A$55,0)</f>
        <v>1</v>
      </c>
      <c r="G8" s="9">
        <f>_xlfn.XLOOKUP($B8,'PP2'!$C$6:$C$101,'PP2'!$B$6:$B$101,"")</f>
        <v>3</v>
      </c>
      <c r="H8" s="88">
        <f>_xlfn.XLOOKUP(G8,'PP2'!$B$6:$B$55,'PP2'!$A$6:$A$55,0)</f>
        <v>15.930621888236271</v>
      </c>
      <c r="I8" s="9">
        <f>_xlfn.XLOOKUP($B8,'PP3'!$C$6:$C$101,'PP3'!$B$6:$B$101,"")</f>
        <v>1</v>
      </c>
      <c r="J8" s="88">
        <f>_xlfn.XLOOKUP(I8,'PP3'!$B$6:$B$55,'PP3'!$A$6:$A$55,0)</f>
        <v>95.389783520090276</v>
      </c>
      <c r="K8" s="9" t="str">
        <f>_xlfn.XLOOKUP($B8,'PP4'!$C$6:$C$101,'PP4'!$B$6:$B$101,"")</f>
        <v/>
      </c>
      <c r="L8" s="88">
        <f>_xlfn.XLOOKUP(K8,'PP4'!$B$6:$B$55,'PP4'!$A$6:$A$55,0)</f>
        <v>0</v>
      </c>
      <c r="M8" s="9" t="str">
        <f>_xlfn.XLOOKUP($B8,'PP5'!$C$6:$C$101,'PP5'!$B$6:$B$101,"")</f>
        <v/>
      </c>
      <c r="N8" s="88">
        <f>_xlfn.XLOOKUP(M8,'PP5'!$B$6:$B$55,'PP5'!$A$6:$A$55,0)</f>
        <v>0</v>
      </c>
      <c r="O8" s="9" t="str">
        <f>_xlfn.XLOOKUP(B8,MPW!C$6:C$101,MPW!B$6:B$101,"")</f>
        <v/>
      </c>
      <c r="P8" s="89">
        <f>_xlfn.XLOOKUP(O8,MPW!$B$6:$B$55,MPW!$A$6:$A$55,0)</f>
        <v>0</v>
      </c>
    </row>
    <row r="9" spans="1:21" ht="14.8" customHeight="1" x14ac:dyDescent="0.25">
      <c r="A9" s="7">
        <f t="shared" si="0"/>
        <v>4</v>
      </c>
      <c r="B9" s="181" t="s">
        <v>18</v>
      </c>
      <c r="C9" s="11"/>
      <c r="D9" s="86">
        <f t="shared" si="1"/>
        <v>105.44223173067557</v>
      </c>
      <c r="E9" s="9">
        <f>_xlfn.XLOOKUP($B9,'PP1'!$C$6:$C$101,'PP1'!$B$6:$B$101,"")</f>
        <v>2</v>
      </c>
      <c r="F9" s="88">
        <f>_xlfn.XLOOKUP(E9,'PP1'!$B$6:$B$55,'PP1'!$A$6:$A$55,0)</f>
        <v>59.156704334463925</v>
      </c>
      <c r="G9" s="9" t="str">
        <f>_xlfn.XLOOKUP($B9,'PP2'!$C$6:$C$101,'PP2'!$B$6:$B$101,"")</f>
        <v/>
      </c>
      <c r="H9" s="88">
        <f>_xlfn.XLOOKUP(G9,'PP2'!$B$6:$B$55,'PP2'!$A$6:$A$55,0)</f>
        <v>0</v>
      </c>
      <c r="I9" s="9">
        <f>_xlfn.XLOOKUP($B9,'PP3'!$C$6:$C$101,'PP3'!$B$6:$B$101,"")</f>
        <v>5</v>
      </c>
      <c r="J9" s="88">
        <f>_xlfn.XLOOKUP(I9,'PP3'!$B$6:$B$55,'PP3'!$A$6:$A$55,0)</f>
        <v>1</v>
      </c>
      <c r="K9" s="9" t="str">
        <f>_xlfn.XLOOKUP($B9,'PP4'!$C$6:$C$101,'PP4'!$B$6:$B$101,"")</f>
        <v/>
      </c>
      <c r="L9" s="88">
        <f>_xlfn.XLOOKUP(K9,'PP4'!$B$6:$B$55,'PP4'!$A$6:$A$55,0)</f>
        <v>0</v>
      </c>
      <c r="M9" s="9" t="str">
        <f>_xlfn.XLOOKUP($B9,'PP5'!$C$6:$C$101,'PP5'!$B$6:$B$101,"")</f>
        <v/>
      </c>
      <c r="N9" s="88">
        <f>_xlfn.XLOOKUP(M9,'PP5'!$B$6:$B$55,'PP5'!$A$6:$A$55,0)</f>
        <v>0</v>
      </c>
      <c r="O9" s="9">
        <f>_xlfn.XLOOKUP(B9,MPW!C$6:C$101,MPW!B$6:B$101,"")</f>
        <v>2</v>
      </c>
      <c r="P9" s="89">
        <f>_xlfn.XLOOKUP(O9,MPW!$B$6:$B$55,MPW!$A$6:$A$55,0)</f>
        <v>45.285527396211648</v>
      </c>
    </row>
    <row r="10" spans="1:21" ht="14.8" customHeight="1" x14ac:dyDescent="0.25">
      <c r="A10" s="7">
        <f t="shared" si="0"/>
        <v>5</v>
      </c>
      <c r="B10" s="10" t="s">
        <v>20</v>
      </c>
      <c r="C10" s="11"/>
      <c r="D10" s="86">
        <f t="shared" si="1"/>
        <v>76.706630622026012</v>
      </c>
      <c r="E10" s="9" t="str">
        <f>_xlfn.XLOOKUP($B10,'PP1'!$C$6:$C$101,'PP1'!$B$6:$B$101,"")</f>
        <v/>
      </c>
      <c r="F10" s="88">
        <f>_xlfn.XLOOKUP(E10,'PP1'!$B$6:$B$55,'PP1'!$A$6:$A$55,0)</f>
        <v>0</v>
      </c>
      <c r="G10" s="9">
        <f>_xlfn.XLOOKUP($B10,'PP2'!$C$6:$C$101,'PP2'!$B$6:$B$101,"")</f>
        <v>2</v>
      </c>
      <c r="H10" s="88">
        <f>_xlfn.XLOOKUP(G10,'PP2'!$B$6:$B$55,'PP2'!$A$6:$A$55,0)</f>
        <v>45.024406311809194</v>
      </c>
      <c r="I10" s="9">
        <f>_xlfn.XLOOKUP($B10,'PP3'!$C$6:$C$101,'PP3'!$B$6:$B$101,"")</f>
        <v>3</v>
      </c>
      <c r="J10" s="88">
        <f>_xlfn.XLOOKUP(I10,'PP3'!$B$6:$B$55,'PP3'!$A$6:$A$55,0)</f>
        <v>31.682224310216817</v>
      </c>
      <c r="K10" s="9" t="str">
        <f>_xlfn.XLOOKUP($B10,'PP4'!$C$6:$C$101,'PP4'!$B$6:$B$101,"")</f>
        <v/>
      </c>
      <c r="L10" s="88">
        <f>_xlfn.XLOOKUP(K10,'PP4'!$B$6:$B$55,'PP4'!$A$6:$A$55,0)</f>
        <v>0</v>
      </c>
      <c r="M10" s="9" t="str">
        <f>_xlfn.XLOOKUP($B10,'PP5'!$C$6:$C$101,'PP5'!$B$6:$B$101,"")</f>
        <v/>
      </c>
      <c r="N10" s="88">
        <f>_xlfn.XLOOKUP(M10,'PP5'!$B$6:$B$55,'PP5'!$A$6:$A$55,0)</f>
        <v>0</v>
      </c>
      <c r="O10" s="9" t="str">
        <f>_xlfn.XLOOKUP(B10,MPW!C$6:C$101,MPW!B$6:B$101,"")</f>
        <v/>
      </c>
      <c r="P10" s="89">
        <f>_xlfn.XLOOKUP(O10,MPW!$B$6:$B$55,MPW!$A$6:$A$55,0)</f>
        <v>0</v>
      </c>
    </row>
    <row r="11" spans="1:21" ht="14.8" customHeight="1" x14ac:dyDescent="0.25">
      <c r="A11" s="7">
        <f t="shared" si="0"/>
        <v>6</v>
      </c>
      <c r="B11" s="10" t="s">
        <v>22</v>
      </c>
      <c r="C11" s="11"/>
      <c r="D11" s="86">
        <f t="shared" si="1"/>
        <v>17.793697308807488</v>
      </c>
      <c r="E11" s="9">
        <f>_xlfn.XLOOKUP($B11,'PP1'!$C$6:$C$101,'PP1'!$B$6:$B$101,"")</f>
        <v>4</v>
      </c>
      <c r="F11" s="88">
        <f>_xlfn.XLOOKUP(E11,'PP1'!$B$6:$B$55,'PP1'!$A$6:$A$55,0)</f>
        <v>17.793697308807488</v>
      </c>
      <c r="G11" s="9" t="str">
        <f>_xlfn.XLOOKUP($B11,'PP2'!$C$6:$C$101,'PP2'!$B$6:$B$101,"")</f>
        <v/>
      </c>
      <c r="H11" s="88">
        <f>_xlfn.XLOOKUP(G11,'PP2'!$B$6:$B$55,'PP2'!$A$6:$A$55,0)</f>
        <v>0</v>
      </c>
      <c r="I11" s="9" t="str">
        <f>_xlfn.XLOOKUP($B11,'PP3'!$C$6:$C$101,'PP3'!$B$6:$B$101,"")</f>
        <v/>
      </c>
      <c r="J11" s="88">
        <f>_xlfn.XLOOKUP(I11,'PP3'!$B$6:$B$55,'PP3'!$A$6:$A$55,0)</f>
        <v>0</v>
      </c>
      <c r="K11" s="9" t="str">
        <f>_xlfn.XLOOKUP($B11,'PP4'!$C$6:$C$101,'PP4'!$B$6:$B$101,"")</f>
        <v/>
      </c>
      <c r="L11" s="88">
        <f>_xlfn.XLOOKUP(K11,'PP4'!$B$6:$B$55,'PP4'!$A$6:$A$55,0)</f>
        <v>0</v>
      </c>
      <c r="M11" s="9" t="str">
        <f>_xlfn.XLOOKUP($B11,'PP5'!$C$6:$C$101,'PP5'!$B$6:$B$101,"")</f>
        <v/>
      </c>
      <c r="N11" s="88">
        <f>_xlfn.XLOOKUP(M11,'PP5'!$B$6:$B$55,'PP5'!$A$6:$A$55,0)</f>
        <v>0</v>
      </c>
      <c r="O11" s="9" t="str">
        <f>_xlfn.XLOOKUP(B11,MPW!C$6:C$101,MPW!B$6:B$101,"")</f>
        <v/>
      </c>
      <c r="P11" s="89">
        <f>_xlfn.XLOOKUP(O11,MPW!$B$6:$B$55,MPW!$A$6:$A$55,0)</f>
        <v>0</v>
      </c>
    </row>
    <row r="12" spans="1:21" ht="14.8" customHeight="1" x14ac:dyDescent="0.3">
      <c r="A12" s="7">
        <f t="shared" si="0"/>
        <v>7</v>
      </c>
      <c r="B12" s="10" t="s">
        <v>23</v>
      </c>
      <c r="C12" s="11"/>
      <c r="D12" s="86">
        <f t="shared" si="1"/>
        <v>8.5595262993692387</v>
      </c>
      <c r="E12" s="9" t="str">
        <f>_xlfn.XLOOKUP($B12,'PP1'!$C$6:$C$101,'PP1'!$B$6:$B$101,"")</f>
        <v/>
      </c>
      <c r="F12" s="88">
        <f>_xlfn.XLOOKUP(E12,'PP1'!$B$6:$B$55,'PP1'!$A$6:$A$55,0)</f>
        <v>0</v>
      </c>
      <c r="G12" s="9" t="str">
        <f>_xlfn.XLOOKUP($B12,'PP2'!$C$6:$C$101,'PP2'!$B$6:$B$101,"")</f>
        <v/>
      </c>
      <c r="H12" s="88">
        <f>_xlfn.XLOOKUP(G12,'PP2'!$B$6:$B$55,'PP2'!$A$6:$A$55,0)</f>
        <v>0</v>
      </c>
      <c r="I12" s="9" t="str">
        <f>_xlfn.XLOOKUP($B12,'PP3'!$C$6:$C$101,'PP3'!$B$6:$B$101,"")</f>
        <v/>
      </c>
      <c r="J12" s="88">
        <f>_xlfn.XLOOKUP(I12,'PP3'!$B$6:$B$55,'PP3'!$A$6:$A$55,0)</f>
        <v>0</v>
      </c>
      <c r="K12" s="9" t="str">
        <f>_xlfn.XLOOKUP($B12,'PP4'!$C$6:$C$101,'PP4'!$B$6:$B$101,"")</f>
        <v/>
      </c>
      <c r="L12" s="88">
        <f>_xlfn.XLOOKUP(K12,'PP4'!$B$6:$B$55,'PP4'!$A$6:$A$55,0)</f>
        <v>0</v>
      </c>
      <c r="M12" s="9">
        <f>_xlfn.XLOOKUP($B12,'PP5'!$C$6:$C$101,'PP5'!$B$6:$B$101,"")</f>
        <v>2</v>
      </c>
      <c r="N12" s="88">
        <f>_xlfn.XLOOKUP(M12,'PP5'!$B$6:$B$55,'PP5'!$A$6:$A$55,0)</f>
        <v>8.5595262993692387</v>
      </c>
      <c r="O12" s="9" t="str">
        <f>_xlfn.XLOOKUP(B12,MPW!C$6:C$101,MPW!B$6:B$101,"")</f>
        <v/>
      </c>
      <c r="P12" s="89">
        <f>_xlfn.XLOOKUP(O12,MPW!$B$6:$B$55,MPW!$A$6:$A$55,0)</f>
        <v>0</v>
      </c>
      <c r="T12" s="72"/>
    </row>
    <row r="13" spans="1:21" ht="14.8" customHeight="1" x14ac:dyDescent="0.25">
      <c r="A13" s="7">
        <f t="shared" si="0"/>
        <v>8</v>
      </c>
      <c r="B13" s="192" t="s">
        <v>21</v>
      </c>
      <c r="C13" s="11"/>
      <c r="D13" s="86">
        <f t="shared" si="1"/>
        <v>0</v>
      </c>
      <c r="E13" s="9" t="str">
        <f>_xlfn.XLOOKUP($B13,'PP1'!$C$6:$C$101,'PP1'!$B$6:$B$101,"")</f>
        <v/>
      </c>
      <c r="F13" s="88">
        <f>_xlfn.XLOOKUP(E13,'PP1'!$B$6:$B$55,'PP1'!$A$6:$A$55,0)</f>
        <v>0</v>
      </c>
      <c r="G13" s="9" t="str">
        <f>_xlfn.XLOOKUP($B13,'PP2'!$C$6:$C$101,'PP2'!$B$6:$B$101,"")</f>
        <v/>
      </c>
      <c r="H13" s="88">
        <f>_xlfn.XLOOKUP(G13,'PP2'!$B$6:$B$55,'PP2'!$A$6:$A$55,0)</f>
        <v>0</v>
      </c>
      <c r="I13" s="9" t="str">
        <f>_xlfn.XLOOKUP($B13,'PP3'!$C$6:$C$101,'PP3'!$B$6:$B$101,"")</f>
        <v/>
      </c>
      <c r="J13" s="88">
        <f>_xlfn.XLOOKUP(I13,'PP3'!$B$6:$B$55,'PP3'!$A$6:$A$55,0)</f>
        <v>0</v>
      </c>
      <c r="K13" s="9" t="str">
        <f>_xlfn.XLOOKUP($B13,'PP4'!$C$6:$C$101,'PP4'!$B$6:$B$101,"")</f>
        <v/>
      </c>
      <c r="L13" s="88">
        <f>_xlfn.XLOOKUP(K13,'PP4'!$B$6:$B$55,'PP4'!$A$6:$A$55,0)</f>
        <v>0</v>
      </c>
      <c r="M13" s="9" t="str">
        <f>_xlfn.XLOOKUP($B13,'PP5'!$C$6:$C$101,'PP5'!$B$6:$B$101,"")</f>
        <v/>
      </c>
      <c r="N13" s="88">
        <f>_xlfn.XLOOKUP(M13,'PP5'!$B$6:$B$55,'PP5'!$A$6:$A$55,0)</f>
        <v>0</v>
      </c>
      <c r="O13" s="9" t="str">
        <f>_xlfn.XLOOKUP(B13,MPW!C$6:C$101,MPW!B$6:B$101,"")</f>
        <v/>
      </c>
      <c r="P13" s="89">
        <f>_xlfn.XLOOKUP(O13,MPW!$B$6:$B$55,MPW!$A$6:$A$55,0)</f>
        <v>0</v>
      </c>
    </row>
    <row r="14" spans="1:21" ht="14.8" customHeight="1" x14ac:dyDescent="0.25">
      <c r="A14" s="7">
        <f t="shared" si="0"/>
        <v>9</v>
      </c>
      <c r="B14" s="10"/>
      <c r="C14" s="11"/>
      <c r="D14" s="86">
        <f t="shared" si="1"/>
        <v>0</v>
      </c>
      <c r="E14" s="9" t="str">
        <f>_xlfn.XLOOKUP($B14,'PP1'!$C$6:$C$101,'PP1'!$B$6:$B$101,"")</f>
        <v/>
      </c>
      <c r="F14" s="88">
        <f>_xlfn.XLOOKUP(E14,'PP1'!$B$6:$B$55,'PP1'!$A$6:$A$55,0)</f>
        <v>0</v>
      </c>
      <c r="G14" s="9" t="str">
        <f>_xlfn.XLOOKUP($B14,'PP2'!$C$6:$C$101,'PP2'!$B$6:$B$101,"")</f>
        <v/>
      </c>
      <c r="H14" s="88">
        <f>_xlfn.XLOOKUP(G14,'PP2'!$B$6:$B$55,'PP2'!$A$6:$A$55,0)</f>
        <v>0</v>
      </c>
      <c r="I14" s="9" t="str">
        <f>_xlfn.XLOOKUP($B14,'PP3'!$C$6:$C$101,'PP3'!$B$6:$B$101,"")</f>
        <v/>
      </c>
      <c r="J14" s="88">
        <f>_xlfn.XLOOKUP(I14,'PP3'!$B$6:$B$55,'PP3'!$A$6:$A$55,0)</f>
        <v>0</v>
      </c>
      <c r="K14" s="9" t="str">
        <f>_xlfn.XLOOKUP($B14,'PP4'!$C$6:$C$101,'PP4'!$B$6:$B$101,"")</f>
        <v/>
      </c>
      <c r="L14" s="88">
        <f>_xlfn.XLOOKUP(K14,'PP4'!$B$6:$B$55,'PP4'!$A$6:$A$55,0)</f>
        <v>0</v>
      </c>
      <c r="M14" s="9" t="str">
        <f>_xlfn.XLOOKUP($B14,'PP5'!$C$6:$C$101,'PP5'!$B$6:$B$101,"")</f>
        <v/>
      </c>
      <c r="N14" s="88">
        <f>_xlfn.XLOOKUP(M14,'PP5'!$B$6:$B$55,'PP5'!$A$6:$A$55,0)</f>
        <v>0</v>
      </c>
      <c r="O14" s="9" t="str">
        <f>_xlfn.XLOOKUP(B14,MPW!C$6:C$101,MPW!B$6:B$101,"")</f>
        <v/>
      </c>
      <c r="P14" s="89">
        <f>_xlfn.XLOOKUP(O14,MPW!$B$6:$B$55,MPW!$A$6:$A$55,0)</f>
        <v>0</v>
      </c>
    </row>
    <row r="15" spans="1:21" ht="14.8" customHeight="1" x14ac:dyDescent="0.25">
      <c r="A15" s="7">
        <f t="shared" si="0"/>
        <v>10</v>
      </c>
      <c r="B15" s="10"/>
      <c r="C15" s="11"/>
      <c r="D15" s="86">
        <f t="shared" si="1"/>
        <v>0</v>
      </c>
      <c r="E15" s="9" t="str">
        <f>_xlfn.XLOOKUP($B15,'PP1'!$C$6:$C$101,'PP1'!$B$6:$B$101,"")</f>
        <v/>
      </c>
      <c r="F15" s="88">
        <f>_xlfn.XLOOKUP(E15,'PP1'!$B$6:$B$55,'PP1'!$A$6:$A$55,0)</f>
        <v>0</v>
      </c>
      <c r="G15" s="9" t="str">
        <f>_xlfn.XLOOKUP($B15,'PP2'!$C$6:$C$101,'PP2'!$B$6:$B$101,"")</f>
        <v/>
      </c>
      <c r="H15" s="88">
        <f>_xlfn.XLOOKUP(G15,'PP2'!$B$6:$B$55,'PP2'!$A$6:$A$55,0)</f>
        <v>0</v>
      </c>
      <c r="I15" s="9" t="str">
        <f>_xlfn.XLOOKUP($B15,'PP3'!$C$6:$C$101,'PP3'!$B$6:$B$101,"")</f>
        <v/>
      </c>
      <c r="J15" s="88">
        <f>_xlfn.XLOOKUP(I15,'PP3'!$B$6:$B$55,'PP3'!$A$6:$A$55,0)</f>
        <v>0</v>
      </c>
      <c r="K15" s="9" t="str">
        <f>_xlfn.XLOOKUP($B15,'PP4'!$C$6:$C$101,'PP4'!$B$6:$B$101,"")</f>
        <v/>
      </c>
      <c r="L15" s="88">
        <f>_xlfn.XLOOKUP(K15,'PP4'!$B$6:$B$55,'PP4'!$A$6:$A$55,0)</f>
        <v>0</v>
      </c>
      <c r="M15" s="9" t="str">
        <f>_xlfn.XLOOKUP($B15,'PP5'!$C$6:$C$101,'PP5'!$B$6:$B$101,"")</f>
        <v/>
      </c>
      <c r="N15" s="88">
        <f>_xlfn.XLOOKUP(M15,'PP5'!$B$6:$B$55,'PP5'!$A$6:$A$55,0)</f>
        <v>0</v>
      </c>
      <c r="O15" s="9" t="str">
        <f>_xlfn.XLOOKUP(B15,MPW!C$6:C$101,MPW!B$6:B$101,"")</f>
        <v/>
      </c>
      <c r="P15" s="89">
        <f>_xlfn.XLOOKUP(O15,MPW!$B$6:$B$55,MPW!$A$6:$A$55,0)</f>
        <v>0</v>
      </c>
    </row>
    <row r="16" spans="1:21" ht="14.8" customHeight="1" x14ac:dyDescent="0.25">
      <c r="A16" s="7">
        <f t="shared" si="0"/>
        <v>11</v>
      </c>
      <c r="B16" s="10"/>
      <c r="C16" s="11"/>
      <c r="D16" s="86">
        <f t="shared" si="1"/>
        <v>0</v>
      </c>
      <c r="E16" s="9" t="str">
        <f>_xlfn.XLOOKUP($B16,'PP1'!$C$6:$C$101,'PP1'!$B$6:$B$101,"")</f>
        <v/>
      </c>
      <c r="F16" s="88">
        <f>_xlfn.XLOOKUP(E16,'PP1'!$B$6:$B$55,'PP1'!$A$6:$A$55,0)</f>
        <v>0</v>
      </c>
      <c r="G16" s="9" t="str">
        <f>_xlfn.XLOOKUP($B16,'PP2'!$C$6:$C$101,'PP2'!$B$6:$B$101,"")</f>
        <v/>
      </c>
      <c r="H16" s="88">
        <f>_xlfn.XLOOKUP(G16,'PP2'!$B$6:$B$55,'PP2'!$A$6:$A$55,0)</f>
        <v>0</v>
      </c>
      <c r="I16" s="9" t="str">
        <f>_xlfn.XLOOKUP($B16,'PP3'!$C$6:$C$101,'PP3'!$B$6:$B$101,"")</f>
        <v/>
      </c>
      <c r="J16" s="88">
        <f>_xlfn.XLOOKUP(I16,'PP3'!$B$6:$B$55,'PP3'!$A$6:$A$55,0)</f>
        <v>0</v>
      </c>
      <c r="K16" s="9" t="str">
        <f>_xlfn.XLOOKUP($B16,'PP4'!$C$6:$C$101,'PP4'!$B$6:$B$101,"")</f>
        <v/>
      </c>
      <c r="L16" s="88">
        <f>_xlfn.XLOOKUP(K16,'PP4'!$B$6:$B$55,'PP4'!$A$6:$A$55,0)</f>
        <v>0</v>
      </c>
      <c r="M16" s="9" t="str">
        <f>_xlfn.XLOOKUP($B16,'PP5'!$C$6:$C$101,'PP5'!$B$6:$B$101,"")</f>
        <v/>
      </c>
      <c r="N16" s="88">
        <f>_xlfn.XLOOKUP(M16,'PP5'!$B$6:$B$55,'PP5'!$A$6:$A$55,0)</f>
        <v>0</v>
      </c>
      <c r="O16" s="9" t="str">
        <f>_xlfn.XLOOKUP(B16,MPW!C$6:C$101,MPW!B$6:B$101,"")</f>
        <v/>
      </c>
      <c r="P16" s="89">
        <f>_xlfn.XLOOKUP(O16,MPW!$B$6:$B$55,MPW!$A$6:$A$55,0)</f>
        <v>0</v>
      </c>
    </row>
    <row r="17" spans="1:16" ht="14.8" customHeight="1" x14ac:dyDescent="0.25">
      <c r="A17" s="7">
        <f t="shared" si="0"/>
        <v>12</v>
      </c>
      <c r="B17" s="10" t="s">
        <v>24</v>
      </c>
      <c r="C17" s="11"/>
      <c r="D17" s="86">
        <f t="shared" si="1"/>
        <v>0</v>
      </c>
      <c r="E17" s="9" t="str">
        <f>_xlfn.XLOOKUP($B17,'PP1'!$C$6:$C$101,'PP1'!$B$6:$B$101,"")</f>
        <v/>
      </c>
      <c r="F17" s="88">
        <f>_xlfn.XLOOKUP(E17,'PP1'!$B$6:$B$55,'PP1'!$A$6:$A$55,0)</f>
        <v>0</v>
      </c>
      <c r="G17" s="9" t="str">
        <f>_xlfn.XLOOKUP($B17,'PP2'!$C$6:$C$101,'PP2'!$B$6:$B$101,"")</f>
        <v/>
      </c>
      <c r="H17" s="88">
        <f>_xlfn.XLOOKUP(G17,'PP2'!$B$6:$B$55,'PP2'!$A$6:$A$55,0)</f>
        <v>0</v>
      </c>
      <c r="I17" s="9" t="str">
        <f>_xlfn.XLOOKUP($B17,'PP3'!$C$6:$C$101,'PP3'!$B$6:$B$101,"")</f>
        <v/>
      </c>
      <c r="J17" s="88">
        <f>_xlfn.XLOOKUP(I17,'PP3'!$B$6:$B$55,'PP3'!$A$6:$A$55,0)</f>
        <v>0</v>
      </c>
      <c r="K17" s="9" t="str">
        <f>_xlfn.XLOOKUP($B17,'PP4'!$C$6:$C$101,'PP4'!$B$6:$B$101,"")</f>
        <v/>
      </c>
      <c r="L17" s="88">
        <f>_xlfn.XLOOKUP(K17,'PP4'!$B$6:$B$55,'PP4'!$A$6:$A$55,0)</f>
        <v>0</v>
      </c>
      <c r="M17" s="9" t="str">
        <f>_xlfn.XLOOKUP($B17,'PP5'!$C$6:$C$101,'PP5'!$B$6:$B$101,"")</f>
        <v/>
      </c>
      <c r="N17" s="88">
        <f>_xlfn.XLOOKUP(M17,'PP5'!$B$6:$B$55,'PP5'!$A$6:$A$55,0)</f>
        <v>0</v>
      </c>
      <c r="O17" s="9" t="str">
        <f>_xlfn.XLOOKUP(B17,MPW!C$6:C$101,MPW!B$6:B$101,"")</f>
        <v/>
      </c>
      <c r="P17" s="89">
        <f>_xlfn.XLOOKUP(O17,MPW!$B$6:$B$55,MPW!$A$6:$A$55,0)</f>
        <v>0</v>
      </c>
    </row>
    <row r="18" spans="1:16" ht="14.8" customHeight="1" x14ac:dyDescent="0.25">
      <c r="A18" s="7">
        <f t="shared" si="0"/>
        <v>13</v>
      </c>
      <c r="B18" s="10" t="s">
        <v>24</v>
      </c>
      <c r="C18" s="11"/>
      <c r="D18" s="86">
        <f t="shared" si="1"/>
        <v>0</v>
      </c>
      <c r="E18" s="9" t="str">
        <f>_xlfn.XLOOKUP($B18,'PP1'!$C$6:$C$101,'PP1'!$B$6:$B$101,"")</f>
        <v/>
      </c>
      <c r="F18" s="88">
        <f>_xlfn.XLOOKUP(E18,'PP1'!$B$6:$B$55,'PP1'!$A$6:$A$55,0)</f>
        <v>0</v>
      </c>
      <c r="G18" s="9" t="str">
        <f>_xlfn.XLOOKUP($B18,'PP2'!$C$6:$C$101,'PP2'!$B$6:$B$101,"")</f>
        <v/>
      </c>
      <c r="H18" s="88">
        <f>_xlfn.XLOOKUP(G18,'PP2'!$B$6:$B$55,'PP2'!$A$6:$A$55,0)</f>
        <v>0</v>
      </c>
      <c r="I18" s="9" t="str">
        <f>_xlfn.XLOOKUP($B18,'PP3'!$C$6:$C$101,'PP3'!$B$6:$B$101,"")</f>
        <v/>
      </c>
      <c r="J18" s="88">
        <f>_xlfn.XLOOKUP(I18,'PP3'!$B$6:$B$55,'PP3'!$A$6:$A$55,0)</f>
        <v>0</v>
      </c>
      <c r="K18" s="9" t="str">
        <f>_xlfn.XLOOKUP($B18,'PP4'!$C$6:$C$101,'PP4'!$B$6:$B$101,"")</f>
        <v/>
      </c>
      <c r="L18" s="88">
        <f>_xlfn.XLOOKUP(K18,'PP4'!$B$6:$B$55,'PP4'!$A$6:$A$55,0)</f>
        <v>0</v>
      </c>
      <c r="M18" s="9" t="str">
        <f>_xlfn.XLOOKUP($B18,'PP5'!$C$6:$C$101,'PP5'!$B$6:$B$101,"")</f>
        <v/>
      </c>
      <c r="N18" s="88">
        <f>_xlfn.XLOOKUP(M18,'PP5'!$B$6:$B$55,'PP5'!$A$6:$A$55,0)</f>
        <v>0</v>
      </c>
      <c r="O18" s="9" t="str">
        <f>_xlfn.XLOOKUP(B18,MPW!C$6:C$101,MPW!B$6:B$101,"")</f>
        <v/>
      </c>
      <c r="P18" s="89">
        <f>_xlfn.XLOOKUP(O18,MPW!$B$6:$B$55,MPW!$A$6:$A$55,0)</f>
        <v>0</v>
      </c>
    </row>
    <row r="19" spans="1:16" ht="14.8" customHeight="1" x14ac:dyDescent="0.25">
      <c r="A19" s="7">
        <f t="shared" si="0"/>
        <v>14</v>
      </c>
      <c r="B19" s="10" t="s">
        <v>24</v>
      </c>
      <c r="C19" s="11"/>
      <c r="D19" s="86">
        <f t="shared" si="1"/>
        <v>0</v>
      </c>
      <c r="E19" s="9" t="str">
        <f>_xlfn.XLOOKUP($B19,'PP1'!$C$6:$C$101,'PP1'!$B$6:$B$101,"")</f>
        <v/>
      </c>
      <c r="F19" s="88">
        <f>_xlfn.XLOOKUP(E19,'PP1'!$B$6:$B$55,'PP1'!$A$6:$A$55,0)</f>
        <v>0</v>
      </c>
      <c r="G19" s="9" t="str">
        <f>_xlfn.XLOOKUP($B19,'PP2'!$C$6:$C$101,'PP2'!$B$6:$B$101,"")</f>
        <v/>
      </c>
      <c r="H19" s="88">
        <f>_xlfn.XLOOKUP(G19,'PP2'!$B$6:$B$55,'PP2'!$A$6:$A$55,0)</f>
        <v>0</v>
      </c>
      <c r="I19" s="9" t="str">
        <f>_xlfn.XLOOKUP($B19,'PP3'!$C$6:$C$101,'PP3'!$B$6:$B$101,"")</f>
        <v/>
      </c>
      <c r="J19" s="88">
        <f>_xlfn.XLOOKUP(I19,'PP3'!$B$6:$B$55,'PP3'!$A$6:$A$55,0)</f>
        <v>0</v>
      </c>
      <c r="K19" s="9" t="str">
        <f>_xlfn.XLOOKUP($B19,'PP4'!$C$6:$C$101,'PP4'!$B$6:$B$101,"")</f>
        <v/>
      </c>
      <c r="L19" s="88">
        <f>_xlfn.XLOOKUP(K19,'PP4'!$B$6:$B$55,'PP4'!$A$6:$A$55,0)</f>
        <v>0</v>
      </c>
      <c r="M19" s="9" t="str">
        <f>_xlfn.XLOOKUP($B19,'PP5'!$C$6:$C$101,'PP5'!$B$6:$B$101,"")</f>
        <v/>
      </c>
      <c r="N19" s="88">
        <f>_xlfn.XLOOKUP(M19,'PP5'!$B$6:$B$55,'PP5'!$A$6:$A$55,0)</f>
        <v>0</v>
      </c>
      <c r="O19" s="9" t="str">
        <f>_xlfn.XLOOKUP(B19,MPW!C$6:C$101,MPW!B$6:B$101,"")</f>
        <v/>
      </c>
      <c r="P19" s="89">
        <f>_xlfn.XLOOKUP(O19,MPW!$B$6:$B$55,MPW!$A$6:$A$55,0)</f>
        <v>0</v>
      </c>
    </row>
    <row r="20" spans="1:16" ht="14.8" customHeight="1" x14ac:dyDescent="0.25">
      <c r="A20" s="7">
        <f t="shared" si="0"/>
        <v>15</v>
      </c>
      <c r="B20" s="10" t="s">
        <v>24</v>
      </c>
      <c r="C20" s="11"/>
      <c r="D20" s="86">
        <f t="shared" si="1"/>
        <v>0</v>
      </c>
      <c r="E20" s="9" t="str">
        <f>_xlfn.XLOOKUP($B20,'PP1'!$C$6:$C$101,'PP1'!$B$6:$B$101,"")</f>
        <v/>
      </c>
      <c r="F20" s="88">
        <f>_xlfn.XLOOKUP(E20,'PP1'!$B$6:$B$55,'PP1'!$A$6:$A$55,0)</f>
        <v>0</v>
      </c>
      <c r="G20" s="9" t="str">
        <f>_xlfn.XLOOKUP($B20,'PP2'!$C$6:$C$101,'PP2'!$B$6:$B$101,"")</f>
        <v/>
      </c>
      <c r="H20" s="88">
        <f>_xlfn.XLOOKUP(G20,'PP2'!$B$6:$B$55,'PP2'!$A$6:$A$55,0)</f>
        <v>0</v>
      </c>
      <c r="I20" s="9" t="str">
        <f>_xlfn.XLOOKUP($B20,'PP3'!$C$6:$C$101,'PP3'!$B$6:$B$101,"")</f>
        <v/>
      </c>
      <c r="J20" s="88">
        <f>_xlfn.XLOOKUP(I20,'PP3'!$B$6:$B$55,'PP3'!$A$6:$A$55,0)</f>
        <v>0</v>
      </c>
      <c r="K20" s="9" t="str">
        <f>_xlfn.XLOOKUP($B20,'PP4'!$C$6:$C$101,'PP4'!$B$6:$B$101,"")</f>
        <v/>
      </c>
      <c r="L20" s="88">
        <f>_xlfn.XLOOKUP(K20,'PP4'!$B$6:$B$55,'PP4'!$A$6:$A$55,0)</f>
        <v>0</v>
      </c>
      <c r="M20" s="9" t="str">
        <f>_xlfn.XLOOKUP($B20,'PP5'!$C$6:$C$101,'PP5'!$B$6:$B$101,"")</f>
        <v/>
      </c>
      <c r="N20" s="88">
        <f>_xlfn.XLOOKUP(M20,'PP5'!$B$6:$B$55,'PP5'!$A$6:$A$55,0)</f>
        <v>0</v>
      </c>
      <c r="O20" s="9" t="str">
        <f>_xlfn.XLOOKUP(B20,MPW!C$6:C$101,MPW!B$6:B$101,"")</f>
        <v/>
      </c>
      <c r="P20" s="89">
        <f>_xlfn.XLOOKUP(O20,MPW!$B$6:$B$55,MPW!$A$6:$A$55,0)</f>
        <v>0</v>
      </c>
    </row>
    <row r="21" spans="1:16" ht="14.8" customHeight="1" x14ac:dyDescent="0.25">
      <c r="A21" s="7">
        <f t="shared" si="0"/>
        <v>16</v>
      </c>
      <c r="B21" s="10" t="s">
        <v>24</v>
      </c>
      <c r="C21" s="11"/>
      <c r="D21" s="86">
        <f t="shared" si="1"/>
        <v>0</v>
      </c>
      <c r="E21" s="9" t="str">
        <f>_xlfn.XLOOKUP($B21,'PP1'!$C$6:$C$101,'PP1'!$B$6:$B$101,"")</f>
        <v/>
      </c>
      <c r="F21" s="88">
        <f>_xlfn.XLOOKUP(E21,'PP1'!$B$6:$B$55,'PP1'!$A$6:$A$55,0)</f>
        <v>0</v>
      </c>
      <c r="G21" s="9" t="str">
        <f>_xlfn.XLOOKUP($B21,'PP2'!$C$6:$C$101,'PP2'!$B$6:$B$101,"")</f>
        <v/>
      </c>
      <c r="H21" s="88">
        <f>_xlfn.XLOOKUP(G21,'PP2'!$B$6:$B$55,'PP2'!$A$6:$A$55,0)</f>
        <v>0</v>
      </c>
      <c r="I21" s="9" t="str">
        <f>_xlfn.XLOOKUP($B21,'PP3'!$C$6:$C$101,'PP3'!$B$6:$B$101,"")</f>
        <v/>
      </c>
      <c r="J21" s="88">
        <f>_xlfn.XLOOKUP(I21,'PP3'!$B$6:$B$55,'PP3'!$A$6:$A$55,0)</f>
        <v>0</v>
      </c>
      <c r="K21" s="9" t="str">
        <f>_xlfn.XLOOKUP($B21,'PP4'!$C$6:$C$101,'PP4'!$B$6:$B$101,"")</f>
        <v/>
      </c>
      <c r="L21" s="88">
        <f>_xlfn.XLOOKUP(K21,'PP4'!$B$6:$B$55,'PP4'!$A$6:$A$55,0)</f>
        <v>0</v>
      </c>
      <c r="M21" s="9" t="str">
        <f>_xlfn.XLOOKUP($B21,'PP5'!$C$6:$C$101,'PP5'!$B$6:$B$101,"")</f>
        <v/>
      </c>
      <c r="N21" s="88">
        <f>_xlfn.XLOOKUP(M21,'PP5'!$B$6:$B$55,'PP5'!$A$6:$A$55,0)</f>
        <v>0</v>
      </c>
      <c r="O21" s="9" t="str">
        <f>_xlfn.XLOOKUP(B21,MPW!C$6:C$101,MPW!B$6:B$101,"")</f>
        <v/>
      </c>
      <c r="P21" s="89">
        <f>_xlfn.XLOOKUP(O21,MPW!$B$6:$B$55,MPW!$A$6:$A$55,0)</f>
        <v>0</v>
      </c>
    </row>
    <row r="22" spans="1:16" ht="14.8" customHeight="1" x14ac:dyDescent="0.25">
      <c r="A22" s="7">
        <f t="shared" si="0"/>
        <v>17</v>
      </c>
      <c r="B22" s="10" t="s">
        <v>24</v>
      </c>
      <c r="C22" s="11"/>
      <c r="D22" s="86">
        <f t="shared" si="1"/>
        <v>0</v>
      </c>
      <c r="E22" s="9" t="str">
        <f>_xlfn.XLOOKUP($B22,'PP1'!$C$6:$C$101,'PP1'!$B$6:$B$101,"")</f>
        <v/>
      </c>
      <c r="F22" s="88">
        <f>_xlfn.XLOOKUP(E22,'PP1'!$B$6:$B$55,'PP1'!$A$6:$A$55,0)</f>
        <v>0</v>
      </c>
      <c r="G22" s="9" t="str">
        <f>_xlfn.XLOOKUP($B22,'PP2'!$C$6:$C$101,'PP2'!$B$6:$B$101,"")</f>
        <v/>
      </c>
      <c r="H22" s="88">
        <f>_xlfn.XLOOKUP(G22,'PP2'!$B$6:$B$55,'PP2'!$A$6:$A$55,0)</f>
        <v>0</v>
      </c>
      <c r="I22" s="9" t="str">
        <f>_xlfn.XLOOKUP($B22,'PP3'!$C$6:$C$101,'PP3'!$B$6:$B$101,"")</f>
        <v/>
      </c>
      <c r="J22" s="88">
        <f>_xlfn.XLOOKUP(I22,'PP3'!$B$6:$B$55,'PP3'!$A$6:$A$55,0)</f>
        <v>0</v>
      </c>
      <c r="K22" s="9" t="str">
        <f>_xlfn.XLOOKUP($B22,'PP4'!$C$6:$C$101,'PP4'!$B$6:$B$101,"")</f>
        <v/>
      </c>
      <c r="L22" s="88">
        <f>_xlfn.XLOOKUP(K22,'PP4'!$B$6:$B$55,'PP4'!$A$6:$A$55,0)</f>
        <v>0</v>
      </c>
      <c r="M22" s="9" t="str">
        <f>_xlfn.XLOOKUP($B22,'PP5'!$C$6:$C$101,'PP5'!$B$6:$B$101,"")</f>
        <v/>
      </c>
      <c r="N22" s="88">
        <f>_xlfn.XLOOKUP(M22,'PP5'!$B$6:$B$55,'PP5'!$A$6:$A$55,0)</f>
        <v>0</v>
      </c>
      <c r="O22" s="9" t="str">
        <f>_xlfn.XLOOKUP(B22,MPW!C$6:C$101,MPW!B$6:B$101,"")</f>
        <v/>
      </c>
      <c r="P22" s="89">
        <f>_xlfn.XLOOKUP(O22,MPW!$B$6:$B$55,MPW!$A$6:$A$55,0)</f>
        <v>0</v>
      </c>
    </row>
    <row r="23" spans="1:16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1:16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 ht="65.400000000000006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</sheetData>
  <sheetProtection selectLockedCells="1" selectUnlockedCells="1"/>
  <autoFilter ref="A5:P5" xr:uid="{3F920EC5-A26B-4FC3-9667-336334CFD186}">
    <sortState xmlns:xlrd2="http://schemas.microsoft.com/office/spreadsheetml/2017/richdata2" ref="A7:P22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22">
    <cfRule type="cellIs" dxfId="25" priority="5" operator="equal">
      <formula>3</formula>
    </cfRule>
    <cfRule type="cellIs" dxfId="24" priority="6" operator="equal">
      <formula>2</formula>
    </cfRule>
    <cfRule type="cellIs" dxfId="23" priority="7" operator="equal">
      <formula>1</formula>
    </cfRule>
  </conditionalFormatting>
  <conditionalFormatting sqref="D6:P22">
    <cfRule type="cellIs" dxfId="22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76AC-93AE-4D25-A97B-C83DC69C2312}">
  <sheetPr>
    <tabColor rgb="FF92D050"/>
  </sheetPr>
  <dimension ref="A1:AL317"/>
  <sheetViews>
    <sheetView workbookViewId="0">
      <selection activeCell="J6" sqref="J6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2.25" style="60" customWidth="1"/>
    <col min="14" max="15" width="13.875" style="13" customWidth="1"/>
    <col min="16" max="18" width="8.875" style="13"/>
    <col min="19" max="19" width="8.875" style="18"/>
    <col min="20" max="20" width="8.875" style="18" customWidth="1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25</v>
      </c>
      <c r="I1" s="15" t="s">
        <v>26</v>
      </c>
      <c r="J1" s="15" t="s">
        <v>27</v>
      </c>
      <c r="K1" s="16" t="s">
        <v>28</v>
      </c>
      <c r="L1" s="17"/>
      <c r="M1" s="17"/>
    </row>
    <row r="2" spans="1:36" ht="14.45" customHeight="1" x14ac:dyDescent="0.25">
      <c r="A2" s="13"/>
      <c r="B2" s="19" t="s">
        <v>29</v>
      </c>
      <c r="C2" s="209" t="s">
        <v>30</v>
      </c>
      <c r="D2" s="209"/>
      <c r="E2" s="20"/>
      <c r="F2" s="20"/>
      <c r="G2" s="20"/>
      <c r="H2" s="21">
        <v>5</v>
      </c>
      <c r="I2" s="22">
        <v>50</v>
      </c>
      <c r="J2" s="22">
        <v>10</v>
      </c>
      <c r="K2" s="23">
        <f>3*H2^(1/3)</f>
        <v>5.1299278400300903</v>
      </c>
      <c r="L2" s="17"/>
      <c r="M2" s="17"/>
    </row>
    <row r="3" spans="1:36" ht="14.45" customHeight="1" x14ac:dyDescent="0.25">
      <c r="A3" s="13"/>
      <c r="B3" s="24" t="s">
        <v>31</v>
      </c>
      <c r="C3" s="210" t="s">
        <v>32</v>
      </c>
      <c r="D3" s="210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33</v>
      </c>
      <c r="B5" s="28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7"/>
      <c r="H5" s="29" t="s">
        <v>39</v>
      </c>
      <c r="I5" s="30" t="s">
        <v>40</v>
      </c>
      <c r="J5" s="31" t="s">
        <v>41</v>
      </c>
      <c r="K5" s="30" t="s">
        <v>42</v>
      </c>
      <c r="L5" s="30" t="s">
        <v>43</v>
      </c>
      <c r="M5" s="29" t="s">
        <v>44</v>
      </c>
      <c r="O5" s="164"/>
      <c r="P5" s="164"/>
      <c r="Q5" s="164"/>
      <c r="R5" s="164"/>
    </row>
    <row r="6" spans="1:36" ht="14.45" customHeight="1" x14ac:dyDescent="0.25">
      <c r="A6" s="32">
        <f>M6</f>
        <v>95.389783520090276</v>
      </c>
      <c r="B6" s="33">
        <f t="shared" ref="B6:B19" si="0">IF(H6&gt;$H$2,"",(ROW()-5))</f>
        <v>1</v>
      </c>
      <c r="C6" s="34" t="s">
        <v>16</v>
      </c>
      <c r="D6" s="34" t="s">
        <v>45</v>
      </c>
      <c r="E6" s="34"/>
      <c r="F6" s="34" t="s">
        <v>46</v>
      </c>
      <c r="G6" s="27"/>
      <c r="H6" s="35">
        <v>1</v>
      </c>
      <c r="I6" s="36">
        <f>IF(H2=1,50,IF(H6&lt;$H$2+1,($I$2-($I$2-1)*(LOG(H6)/LOG($H$2))),""))</f>
        <v>50</v>
      </c>
      <c r="J6" s="35">
        <f t="shared" ref="J6:J70" si="1">INT(LOG($H$2,2))-ROUNDUP(LOG(H6,2),0)+IF(OR($H$2=1,$H$2=2,$H$2=4,$H$2=8,$H$2=16,$H$2=32,$H$2=64,$H$2=128,$H$2=256),0,1)</f>
        <v>3</v>
      </c>
      <c r="K6" s="35">
        <f t="shared" ref="K6:K69" si="2">J6*$J$2</f>
        <v>30</v>
      </c>
      <c r="L6" s="37">
        <f>3*K2</f>
        <v>15.389783520090271</v>
      </c>
      <c r="M6" s="37">
        <f t="shared" ref="M6:M69" si="3">IF(I6&lt;&gt;"",K6+I6+L6,0)</f>
        <v>95.389783520090276</v>
      </c>
      <c r="O6" s="164"/>
      <c r="P6" s="164"/>
      <c r="Q6" s="164"/>
      <c r="R6" s="164"/>
    </row>
    <row r="7" spans="1:36" ht="14.45" customHeight="1" x14ac:dyDescent="0.25">
      <c r="A7" s="38">
        <f t="shared" ref="A7:A37" si="4">M7</f>
        <v>59.156704334463925</v>
      </c>
      <c r="B7" s="39">
        <f t="shared" si="0"/>
        <v>2</v>
      </c>
      <c r="C7" s="40" t="s">
        <v>18</v>
      </c>
      <c r="D7" s="40" t="s">
        <v>47</v>
      </c>
      <c r="E7" s="40"/>
      <c r="F7" s="40" t="s">
        <v>46</v>
      </c>
      <c r="G7" s="27"/>
      <c r="H7" s="41">
        <v>2</v>
      </c>
      <c r="I7" s="42">
        <f t="shared" ref="I7:I69" si="5">IF(H7&lt;$H$2+1,($I$2-($I$2-1)*(LOG(H7)/LOG($H$2))),"")</f>
        <v>28.896848654403744</v>
      </c>
      <c r="J7" s="41">
        <f t="shared" si="1"/>
        <v>2</v>
      </c>
      <c r="K7" s="43">
        <f t="shared" si="2"/>
        <v>20</v>
      </c>
      <c r="L7" s="43">
        <f>2*K2</f>
        <v>10.259855680060181</v>
      </c>
      <c r="M7" s="43">
        <f t="shared" si="3"/>
        <v>59.156704334463925</v>
      </c>
      <c r="O7" s="165"/>
      <c r="P7" s="165"/>
      <c r="Q7" s="164"/>
      <c r="R7" s="164"/>
      <c r="V7" s="44"/>
      <c r="Z7" s="45"/>
      <c r="AA7" s="45"/>
      <c r="AG7" s="46"/>
    </row>
    <row r="8" spans="1:36" ht="14.45" customHeight="1" x14ac:dyDescent="0.25">
      <c r="A8" s="32">
        <f t="shared" si="4"/>
        <v>31.682224310216817</v>
      </c>
      <c r="B8" s="33">
        <f t="shared" si="0"/>
        <v>3</v>
      </c>
      <c r="C8" s="34" t="s">
        <v>17</v>
      </c>
      <c r="D8" s="34" t="s">
        <v>48</v>
      </c>
      <c r="E8" s="34"/>
      <c r="F8" s="34" t="s">
        <v>46</v>
      </c>
      <c r="G8" s="27"/>
      <c r="H8" s="35">
        <v>3</v>
      </c>
      <c r="I8" s="36">
        <f t="shared" si="5"/>
        <v>16.552296470186725</v>
      </c>
      <c r="J8" s="35">
        <f t="shared" si="1"/>
        <v>1</v>
      </c>
      <c r="K8" s="35">
        <f t="shared" si="2"/>
        <v>10</v>
      </c>
      <c r="L8" s="35">
        <f>K2</f>
        <v>5.1299278400300903</v>
      </c>
      <c r="M8" s="37">
        <f t="shared" si="3"/>
        <v>31.682224310216817</v>
      </c>
      <c r="O8" s="164"/>
      <c r="P8" s="164"/>
      <c r="Q8" s="164"/>
      <c r="R8" s="164"/>
      <c r="V8" s="44"/>
      <c r="Z8" s="45"/>
      <c r="AA8" s="45"/>
      <c r="AG8" s="46"/>
    </row>
    <row r="9" spans="1:36" ht="14.45" customHeight="1" x14ac:dyDescent="0.25">
      <c r="A9" s="38">
        <f t="shared" si="4"/>
        <v>17.793697308807488</v>
      </c>
      <c r="B9" s="39">
        <f t="shared" si="0"/>
        <v>4</v>
      </c>
      <c r="C9" s="40" t="s">
        <v>22</v>
      </c>
      <c r="D9" s="40" t="s">
        <v>49</v>
      </c>
      <c r="E9" s="40"/>
      <c r="F9" s="40" t="s">
        <v>46</v>
      </c>
      <c r="G9" s="27"/>
      <c r="H9" s="41">
        <v>4</v>
      </c>
      <c r="I9" s="42">
        <f t="shared" si="5"/>
        <v>7.7936973088074879</v>
      </c>
      <c r="J9" s="41">
        <f t="shared" si="1"/>
        <v>1</v>
      </c>
      <c r="K9" s="41">
        <f t="shared" si="2"/>
        <v>10</v>
      </c>
      <c r="L9" s="43"/>
      <c r="M9" s="43">
        <f t="shared" si="3"/>
        <v>17.793697308807488</v>
      </c>
      <c r="O9" s="164"/>
      <c r="P9" s="164"/>
      <c r="Q9" s="164"/>
      <c r="R9" s="164"/>
      <c r="V9" s="44"/>
      <c r="Z9" s="45"/>
      <c r="AA9" s="45"/>
      <c r="AG9" s="46"/>
      <c r="AH9" s="18" t="s">
        <v>50</v>
      </c>
      <c r="AI9" s="18">
        <v>23</v>
      </c>
    </row>
    <row r="10" spans="1:36" ht="14.45" customHeight="1" x14ac:dyDescent="0.25">
      <c r="A10" s="32">
        <f t="shared" si="4"/>
        <v>1</v>
      </c>
      <c r="B10" s="33">
        <f t="shared" si="0"/>
        <v>5</v>
      </c>
      <c r="C10" s="34" t="s">
        <v>19</v>
      </c>
      <c r="D10" s="34" t="s">
        <v>51</v>
      </c>
      <c r="E10" s="34"/>
      <c r="F10" s="34" t="s">
        <v>46</v>
      </c>
      <c r="G10" s="27"/>
      <c r="H10" s="35">
        <v>5</v>
      </c>
      <c r="I10" s="36">
        <f t="shared" si="5"/>
        <v>1</v>
      </c>
      <c r="J10" s="35">
        <f t="shared" si="1"/>
        <v>0</v>
      </c>
      <c r="K10" s="35">
        <f t="shared" si="2"/>
        <v>0</v>
      </c>
      <c r="L10" s="35"/>
      <c r="M10" s="37">
        <f t="shared" si="3"/>
        <v>1</v>
      </c>
      <c r="O10" s="164"/>
      <c r="P10" s="164"/>
      <c r="Q10" s="164"/>
      <c r="R10" s="164"/>
      <c r="V10" s="44"/>
      <c r="Z10" s="45"/>
      <c r="AA10" s="45"/>
      <c r="AG10" s="46"/>
      <c r="AH10" s="18" t="s">
        <v>52</v>
      </c>
      <c r="AI10" s="18">
        <v>45</v>
      </c>
    </row>
    <row r="11" spans="1:36" ht="14.45" customHeight="1" x14ac:dyDescent="0.25">
      <c r="A11" s="38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41">
        <v>6</v>
      </c>
      <c r="I11" s="42" t="str">
        <f t="shared" si="5"/>
        <v/>
      </c>
      <c r="J11" s="41">
        <f t="shared" si="1"/>
        <v>0</v>
      </c>
      <c r="K11" s="41">
        <f t="shared" si="2"/>
        <v>0</v>
      </c>
      <c r="L11" s="41"/>
      <c r="M11" s="43">
        <f t="shared" si="3"/>
        <v>0</v>
      </c>
      <c r="O11" s="164"/>
      <c r="P11" s="164"/>
      <c r="Q11" s="164"/>
      <c r="R11" s="164"/>
      <c r="V11" s="47"/>
      <c r="Z11" s="45"/>
      <c r="AA11" s="45"/>
      <c r="AG11" s="46"/>
      <c r="AH11" s="18" t="s">
        <v>53</v>
      </c>
      <c r="AI11" s="18">
        <v>50</v>
      </c>
    </row>
    <row r="12" spans="1:36" ht="14.45" customHeight="1" x14ac:dyDescent="0.25">
      <c r="A12" s="32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35">
        <v>7</v>
      </c>
      <c r="I12" s="36" t="str">
        <f t="shared" si="5"/>
        <v/>
      </c>
      <c r="J12" s="35">
        <f t="shared" si="1"/>
        <v>0</v>
      </c>
      <c r="K12" s="35">
        <f t="shared" si="2"/>
        <v>0</v>
      </c>
      <c r="L12" s="35"/>
      <c r="M12" s="37">
        <f t="shared" si="3"/>
        <v>0</v>
      </c>
      <c r="Z12" s="45"/>
      <c r="AA12" s="45"/>
      <c r="AG12" s="46"/>
      <c r="AH12" s="18" t="s">
        <v>54</v>
      </c>
      <c r="AI12" s="18">
        <f>AI11-1</f>
        <v>49</v>
      </c>
    </row>
    <row r="13" spans="1:36" ht="14.45" customHeight="1" x14ac:dyDescent="0.25">
      <c r="A13" s="48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41">
        <v>8</v>
      </c>
      <c r="I13" s="42" t="str">
        <f t="shared" si="5"/>
        <v/>
      </c>
      <c r="J13" s="41">
        <f t="shared" si="1"/>
        <v>0</v>
      </c>
      <c r="K13" s="41">
        <f t="shared" si="2"/>
        <v>0</v>
      </c>
      <c r="L13" s="41"/>
      <c r="M13" s="43">
        <f t="shared" si="3"/>
        <v>0</v>
      </c>
      <c r="X13" s="44"/>
      <c r="AG13" s="46"/>
      <c r="AH13" s="18" t="s">
        <v>55</v>
      </c>
      <c r="AI13" s="18">
        <f>LOG(AI9)</f>
        <v>1.3617278360175928</v>
      </c>
    </row>
    <row r="14" spans="1:36" x14ac:dyDescent="0.25">
      <c r="A14" s="49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35">
        <v>9</v>
      </c>
      <c r="I14" s="36" t="str">
        <f t="shared" si="5"/>
        <v/>
      </c>
      <c r="J14" s="35">
        <f t="shared" si="1"/>
        <v>-1</v>
      </c>
      <c r="K14" s="35">
        <f t="shared" si="2"/>
        <v>-10</v>
      </c>
      <c r="L14" s="35"/>
      <c r="M14" s="37">
        <f t="shared" si="3"/>
        <v>0</v>
      </c>
      <c r="X14" s="50"/>
      <c r="Z14" s="45"/>
      <c r="AA14" s="45"/>
      <c r="AG14" s="46"/>
      <c r="AH14" s="18" t="s">
        <v>56</v>
      </c>
      <c r="AI14" s="18">
        <f>LOG(AI10)</f>
        <v>1.6532125137753437</v>
      </c>
    </row>
    <row r="15" spans="1:36" x14ac:dyDescent="0.25">
      <c r="A15" s="48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41">
        <v>10</v>
      </c>
      <c r="I15" s="42" t="str">
        <f t="shared" si="5"/>
        <v/>
      </c>
      <c r="J15" s="41">
        <f t="shared" si="1"/>
        <v>-1</v>
      </c>
      <c r="K15" s="41">
        <f t="shared" si="2"/>
        <v>-10</v>
      </c>
      <c r="L15" s="41"/>
      <c r="M15" s="43">
        <f t="shared" si="3"/>
        <v>0</v>
      </c>
      <c r="X15" s="44"/>
      <c r="Z15" s="45"/>
      <c r="AA15" s="45"/>
    </row>
    <row r="16" spans="1:36" x14ac:dyDescent="0.25">
      <c r="A16" s="49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35">
        <v>11</v>
      </c>
      <c r="I16" s="36" t="str">
        <f t="shared" si="5"/>
        <v/>
      </c>
      <c r="J16" s="35">
        <f t="shared" si="1"/>
        <v>-1</v>
      </c>
      <c r="K16" s="35">
        <f t="shared" si="2"/>
        <v>-10</v>
      </c>
      <c r="L16" s="35"/>
      <c r="M16" s="37">
        <f t="shared" si="3"/>
        <v>0</v>
      </c>
      <c r="R16" s="51"/>
      <c r="Z16" s="45"/>
      <c r="AA16" s="45"/>
      <c r="AH16" s="52" t="s">
        <v>57</v>
      </c>
      <c r="AI16" s="18">
        <f>AI11-AI12*AI13/AI14</f>
        <v>9.6393909380186855</v>
      </c>
      <c r="AJ16" s="18" t="s">
        <v>58</v>
      </c>
    </row>
    <row r="17" spans="1:19" x14ac:dyDescent="0.25">
      <c r="A17" s="48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41">
        <v>12</v>
      </c>
      <c r="I17" s="42" t="str">
        <f t="shared" si="5"/>
        <v/>
      </c>
      <c r="J17" s="41">
        <f t="shared" si="1"/>
        <v>-1</v>
      </c>
      <c r="K17" s="41">
        <f t="shared" si="2"/>
        <v>-10</v>
      </c>
      <c r="L17" s="41"/>
      <c r="M17" s="43">
        <f t="shared" si="3"/>
        <v>0</v>
      </c>
    </row>
    <row r="18" spans="1:19" x14ac:dyDescent="0.25">
      <c r="A18" s="49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35">
        <v>13</v>
      </c>
      <c r="I18" s="36" t="str">
        <f t="shared" si="5"/>
        <v/>
      </c>
      <c r="J18" s="35">
        <f t="shared" si="1"/>
        <v>-1</v>
      </c>
      <c r="K18" s="35">
        <f t="shared" si="2"/>
        <v>-10</v>
      </c>
      <c r="L18" s="35"/>
      <c r="M18" s="37">
        <f t="shared" si="3"/>
        <v>0</v>
      </c>
    </row>
    <row r="19" spans="1:19" x14ac:dyDescent="0.25">
      <c r="A19" s="48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41">
        <v>14</v>
      </c>
      <c r="I19" s="42" t="str">
        <f t="shared" si="5"/>
        <v/>
      </c>
      <c r="J19" s="41">
        <f t="shared" si="1"/>
        <v>-1</v>
      </c>
      <c r="K19" s="41">
        <f t="shared" si="2"/>
        <v>-10</v>
      </c>
      <c r="L19" s="41"/>
      <c r="M19" s="43">
        <f t="shared" si="3"/>
        <v>0</v>
      </c>
    </row>
    <row r="20" spans="1:19" x14ac:dyDescent="0.25">
      <c r="A20" s="49">
        <f t="shared" si="4"/>
        <v>0</v>
      </c>
      <c r="B20" s="33" t="str">
        <f t="shared" ref="B20:B65" si="6">IF(H20&gt;$H$2,"",(ROW()-5))</f>
        <v/>
      </c>
      <c r="C20" s="34"/>
      <c r="D20" s="34"/>
      <c r="E20" s="34"/>
      <c r="F20" s="34"/>
      <c r="G20" s="27"/>
      <c r="H20" s="35">
        <v>15</v>
      </c>
      <c r="I20" s="36" t="str">
        <f t="shared" si="5"/>
        <v/>
      </c>
      <c r="J20" s="35">
        <f t="shared" si="1"/>
        <v>-1</v>
      </c>
      <c r="K20" s="35">
        <f t="shared" si="2"/>
        <v>-10</v>
      </c>
      <c r="L20" s="35"/>
      <c r="M20" s="37">
        <f t="shared" si="3"/>
        <v>0</v>
      </c>
      <c r="R20" s="53"/>
      <c r="S20" s="54"/>
    </row>
    <row r="21" spans="1:19" x14ac:dyDescent="0.25">
      <c r="A21" s="48">
        <f t="shared" si="4"/>
        <v>0</v>
      </c>
      <c r="B21" s="39" t="str">
        <f t="shared" si="6"/>
        <v/>
      </c>
      <c r="C21" s="40"/>
      <c r="D21" s="40"/>
      <c r="E21" s="40"/>
      <c r="F21" s="40"/>
      <c r="G21" s="27"/>
      <c r="H21" s="41">
        <v>16</v>
      </c>
      <c r="I21" s="42" t="str">
        <f t="shared" si="5"/>
        <v/>
      </c>
      <c r="J21" s="41">
        <f t="shared" si="1"/>
        <v>-1</v>
      </c>
      <c r="K21" s="41">
        <f t="shared" si="2"/>
        <v>-10</v>
      </c>
      <c r="L21" s="41"/>
      <c r="M21" s="43">
        <f t="shared" si="3"/>
        <v>0</v>
      </c>
    </row>
    <row r="22" spans="1:19" x14ac:dyDescent="0.25">
      <c r="A22" s="49">
        <f t="shared" si="4"/>
        <v>0</v>
      </c>
      <c r="B22" s="33" t="str">
        <f t="shared" si="6"/>
        <v/>
      </c>
      <c r="C22" s="34"/>
      <c r="D22" s="34"/>
      <c r="E22" s="34"/>
      <c r="F22" s="34"/>
      <c r="G22" s="27"/>
      <c r="H22" s="35">
        <v>17</v>
      </c>
      <c r="I22" s="36" t="str">
        <f t="shared" si="5"/>
        <v/>
      </c>
      <c r="J22" s="35">
        <f t="shared" si="1"/>
        <v>-2</v>
      </c>
      <c r="K22" s="35">
        <f t="shared" si="2"/>
        <v>-20</v>
      </c>
      <c r="L22" s="35"/>
      <c r="M22" s="37">
        <f t="shared" si="3"/>
        <v>0</v>
      </c>
    </row>
    <row r="23" spans="1:19" x14ac:dyDescent="0.25">
      <c r="A23" s="48">
        <f t="shared" si="4"/>
        <v>0</v>
      </c>
      <c r="B23" s="39" t="str">
        <f t="shared" si="6"/>
        <v/>
      </c>
      <c r="C23" s="40"/>
      <c r="D23" s="40"/>
      <c r="E23" s="40"/>
      <c r="F23" s="40"/>
      <c r="G23" s="27"/>
      <c r="H23" s="41">
        <v>18</v>
      </c>
      <c r="I23" s="42" t="str">
        <f t="shared" si="5"/>
        <v/>
      </c>
      <c r="J23" s="41">
        <f t="shared" si="1"/>
        <v>-2</v>
      </c>
      <c r="K23" s="41">
        <f t="shared" si="2"/>
        <v>-20</v>
      </c>
      <c r="L23" s="41"/>
      <c r="M23" s="43">
        <f t="shared" si="3"/>
        <v>0</v>
      </c>
    </row>
    <row r="24" spans="1:19" x14ac:dyDescent="0.25">
      <c r="A24" s="49">
        <f t="shared" si="4"/>
        <v>0</v>
      </c>
      <c r="B24" s="33" t="str">
        <f t="shared" si="6"/>
        <v/>
      </c>
      <c r="C24" s="34"/>
      <c r="D24" s="34"/>
      <c r="E24" s="34"/>
      <c r="F24" s="34"/>
      <c r="G24" s="27"/>
      <c r="H24" s="35">
        <v>19</v>
      </c>
      <c r="I24" s="36" t="str">
        <f t="shared" si="5"/>
        <v/>
      </c>
      <c r="J24" s="35">
        <f t="shared" si="1"/>
        <v>-2</v>
      </c>
      <c r="K24" s="35">
        <f t="shared" si="2"/>
        <v>-20</v>
      </c>
      <c r="L24" s="35"/>
      <c r="M24" s="37">
        <f t="shared" si="3"/>
        <v>0</v>
      </c>
      <c r="R24" s="53"/>
      <c r="S24" s="54"/>
    </row>
    <row r="25" spans="1:19" x14ac:dyDescent="0.25">
      <c r="A25" s="48">
        <f t="shared" si="4"/>
        <v>0</v>
      </c>
      <c r="B25" s="39" t="str">
        <f t="shared" si="6"/>
        <v/>
      </c>
      <c r="C25" s="40"/>
      <c r="D25" s="40"/>
      <c r="E25" s="40"/>
      <c r="F25" s="40"/>
      <c r="G25" s="27"/>
      <c r="H25" s="41">
        <v>20</v>
      </c>
      <c r="I25" s="42" t="str">
        <f t="shared" si="5"/>
        <v/>
      </c>
      <c r="J25" s="41">
        <f t="shared" si="1"/>
        <v>-2</v>
      </c>
      <c r="K25" s="41">
        <f t="shared" si="2"/>
        <v>-20</v>
      </c>
      <c r="L25" s="41"/>
      <c r="M25" s="43">
        <f t="shared" si="3"/>
        <v>0</v>
      </c>
    </row>
    <row r="26" spans="1:19" x14ac:dyDescent="0.25">
      <c r="A26" s="49">
        <f t="shared" si="4"/>
        <v>0</v>
      </c>
      <c r="B26" s="33" t="str">
        <f t="shared" si="6"/>
        <v/>
      </c>
      <c r="C26" s="34"/>
      <c r="D26" s="34"/>
      <c r="E26" s="34"/>
      <c r="F26" s="34"/>
      <c r="G26" s="27"/>
      <c r="H26" s="35">
        <v>21</v>
      </c>
      <c r="I26" s="36" t="str">
        <f t="shared" si="5"/>
        <v/>
      </c>
      <c r="J26" s="35">
        <f t="shared" si="1"/>
        <v>-2</v>
      </c>
      <c r="K26" s="35">
        <f t="shared" si="2"/>
        <v>-20</v>
      </c>
      <c r="L26" s="35"/>
      <c r="M26" s="37">
        <f t="shared" si="3"/>
        <v>0</v>
      </c>
    </row>
    <row r="27" spans="1:19" x14ac:dyDescent="0.25">
      <c r="A27" s="48">
        <f t="shared" si="4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5"/>
        <v/>
      </c>
      <c r="J27" s="41">
        <f t="shared" si="1"/>
        <v>-2</v>
      </c>
      <c r="K27" s="41">
        <f t="shared" si="2"/>
        <v>-20</v>
      </c>
      <c r="L27" s="41"/>
      <c r="M27" s="43">
        <f t="shared" si="3"/>
        <v>0</v>
      </c>
    </row>
    <row r="28" spans="1:19" x14ac:dyDescent="0.25">
      <c r="A28" s="49">
        <f t="shared" si="4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5"/>
        <v/>
      </c>
      <c r="J28" s="35">
        <f t="shared" si="1"/>
        <v>-2</v>
      </c>
      <c r="K28" s="35">
        <f t="shared" si="2"/>
        <v>-20</v>
      </c>
      <c r="L28" s="35"/>
      <c r="M28" s="37">
        <f t="shared" si="3"/>
        <v>0</v>
      </c>
      <c r="R28" s="53"/>
      <c r="S28" s="54"/>
    </row>
    <row r="29" spans="1:19" x14ac:dyDescent="0.25">
      <c r="A29" s="48">
        <f t="shared" si="4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5"/>
        <v/>
      </c>
      <c r="J29" s="41">
        <f t="shared" si="1"/>
        <v>-2</v>
      </c>
      <c r="K29" s="41">
        <f t="shared" si="2"/>
        <v>-20</v>
      </c>
      <c r="L29" s="41"/>
      <c r="M29" s="43">
        <f t="shared" si="3"/>
        <v>0</v>
      </c>
    </row>
    <row r="30" spans="1:19" x14ac:dyDescent="0.25">
      <c r="A30" s="49">
        <f t="shared" si="4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5"/>
        <v/>
      </c>
      <c r="J30" s="35">
        <f t="shared" si="1"/>
        <v>-2</v>
      </c>
      <c r="K30" s="35">
        <f t="shared" si="2"/>
        <v>-20</v>
      </c>
      <c r="L30" s="35"/>
      <c r="M30" s="37">
        <f t="shared" si="3"/>
        <v>0</v>
      </c>
    </row>
    <row r="31" spans="1:19" x14ac:dyDescent="0.25">
      <c r="A31" s="48">
        <f t="shared" si="4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5"/>
        <v/>
      </c>
      <c r="J31" s="41">
        <f t="shared" si="1"/>
        <v>-2</v>
      </c>
      <c r="K31" s="41">
        <f t="shared" si="2"/>
        <v>-20</v>
      </c>
      <c r="L31" s="41"/>
      <c r="M31" s="43">
        <f t="shared" si="3"/>
        <v>0</v>
      </c>
    </row>
    <row r="32" spans="1:19" x14ac:dyDescent="0.25">
      <c r="A32" s="49">
        <f t="shared" si="4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5"/>
        <v/>
      </c>
      <c r="J32" s="35">
        <f t="shared" si="1"/>
        <v>-2</v>
      </c>
      <c r="K32" s="35">
        <f t="shared" si="2"/>
        <v>-20</v>
      </c>
      <c r="L32" s="35"/>
      <c r="M32" s="37">
        <f t="shared" si="3"/>
        <v>0</v>
      </c>
      <c r="R32" s="53"/>
      <c r="S32" s="54"/>
    </row>
    <row r="33" spans="1:21" x14ac:dyDescent="0.25">
      <c r="A33" s="48">
        <f t="shared" si="4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5"/>
        <v/>
      </c>
      <c r="J33" s="41">
        <f t="shared" si="1"/>
        <v>-2</v>
      </c>
      <c r="K33" s="41">
        <f t="shared" si="2"/>
        <v>-20</v>
      </c>
      <c r="L33" s="41"/>
      <c r="M33" s="43">
        <f t="shared" si="3"/>
        <v>0</v>
      </c>
    </row>
    <row r="34" spans="1:21" x14ac:dyDescent="0.25">
      <c r="A34" s="49">
        <f t="shared" si="4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5"/>
        <v/>
      </c>
      <c r="J34" s="35">
        <f t="shared" si="1"/>
        <v>-2</v>
      </c>
      <c r="K34" s="35">
        <f t="shared" si="2"/>
        <v>-20</v>
      </c>
      <c r="L34" s="35"/>
      <c r="M34" s="37">
        <f t="shared" si="3"/>
        <v>0</v>
      </c>
    </row>
    <row r="35" spans="1:21" x14ac:dyDescent="0.25">
      <c r="A35" s="48">
        <f t="shared" si="4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5"/>
        <v/>
      </c>
      <c r="J35" s="41">
        <f t="shared" si="1"/>
        <v>-2</v>
      </c>
      <c r="K35" s="41">
        <f t="shared" si="2"/>
        <v>-20</v>
      </c>
      <c r="L35" s="41"/>
      <c r="M35" s="43">
        <f t="shared" si="3"/>
        <v>0</v>
      </c>
    </row>
    <row r="36" spans="1:21" x14ac:dyDescent="0.25">
      <c r="A36" s="49">
        <f t="shared" si="4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5"/>
        <v/>
      </c>
      <c r="J36" s="35">
        <f t="shared" si="1"/>
        <v>-2</v>
      </c>
      <c r="K36" s="35">
        <f t="shared" si="2"/>
        <v>-20</v>
      </c>
      <c r="L36" s="35"/>
      <c r="M36" s="37">
        <f t="shared" si="3"/>
        <v>0</v>
      </c>
      <c r="R36" s="53"/>
      <c r="S36" s="54"/>
    </row>
    <row r="37" spans="1:21" x14ac:dyDescent="0.25">
      <c r="A37" s="48">
        <f t="shared" si="4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5"/>
        <v/>
      </c>
      <c r="J37" s="41">
        <f t="shared" si="1"/>
        <v>-2</v>
      </c>
      <c r="K37" s="41">
        <f t="shared" si="2"/>
        <v>-20</v>
      </c>
      <c r="L37" s="41"/>
      <c r="M37" s="43">
        <f t="shared" si="3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5"/>
        <v/>
      </c>
      <c r="J38" s="35">
        <f t="shared" si="1"/>
        <v>-3</v>
      </c>
      <c r="K38" s="35">
        <f t="shared" si="2"/>
        <v>-30</v>
      </c>
      <c r="L38" s="35"/>
      <c r="M38" s="37">
        <f t="shared" si="3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5"/>
        <v/>
      </c>
      <c r="J39" s="41">
        <f t="shared" si="1"/>
        <v>-3</v>
      </c>
      <c r="K39" s="41">
        <f t="shared" si="2"/>
        <v>-30</v>
      </c>
      <c r="L39" s="41"/>
      <c r="M39" s="43">
        <f t="shared" si="3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5"/>
        <v/>
      </c>
      <c r="J40" s="35">
        <f t="shared" si="1"/>
        <v>-3</v>
      </c>
      <c r="K40" s="35">
        <f t="shared" si="2"/>
        <v>-30</v>
      </c>
      <c r="L40" s="35"/>
      <c r="M40" s="37">
        <f t="shared" si="3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5"/>
        <v/>
      </c>
      <c r="J41" s="41">
        <f t="shared" si="1"/>
        <v>-3</v>
      </c>
      <c r="K41" s="41">
        <f t="shared" si="2"/>
        <v>-30</v>
      </c>
      <c r="L41" s="41"/>
      <c r="M41" s="43">
        <f t="shared" si="3"/>
        <v>0</v>
      </c>
      <c r="S41" s="5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5"/>
        <v/>
      </c>
      <c r="J42" s="35">
        <f t="shared" si="1"/>
        <v>-3</v>
      </c>
      <c r="K42" s="35">
        <f t="shared" si="2"/>
        <v>-30</v>
      </c>
      <c r="L42" s="35"/>
      <c r="M42" s="37">
        <f t="shared" si="3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5"/>
        <v/>
      </c>
      <c r="J43" s="41">
        <f t="shared" si="1"/>
        <v>-3</v>
      </c>
      <c r="K43" s="41">
        <f t="shared" si="2"/>
        <v>-30</v>
      </c>
      <c r="L43" s="41"/>
      <c r="M43" s="43">
        <f t="shared" si="3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5"/>
        <v/>
      </c>
      <c r="J44" s="35">
        <f t="shared" si="1"/>
        <v>-3</v>
      </c>
      <c r="K44" s="35">
        <f t="shared" si="2"/>
        <v>-30</v>
      </c>
      <c r="L44" s="35"/>
      <c r="M44" s="37">
        <f t="shared" si="3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5"/>
        <v/>
      </c>
      <c r="J45" s="41">
        <f t="shared" si="1"/>
        <v>-3</v>
      </c>
      <c r="K45" s="41">
        <f t="shared" si="2"/>
        <v>-30</v>
      </c>
      <c r="L45" s="41"/>
      <c r="M45" s="43">
        <f t="shared" si="3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5"/>
        <v/>
      </c>
      <c r="J46" s="35">
        <f t="shared" si="1"/>
        <v>-3</v>
      </c>
      <c r="K46" s="35">
        <f t="shared" si="2"/>
        <v>-30</v>
      </c>
      <c r="L46" s="35"/>
      <c r="M46" s="37">
        <f t="shared" si="3"/>
        <v>0</v>
      </c>
      <c r="R46" s="13">
        <f>LOG($H$2,2)</f>
        <v>2.3219280948873622</v>
      </c>
      <c r="T46" s="18">
        <f>LOG(H38,2)</f>
        <v>5.0443941193584534</v>
      </c>
      <c r="U46" s="18">
        <f>R46-T46</f>
        <v>-2.7224660244710912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5"/>
        <v/>
      </c>
      <c r="J47" s="41">
        <f t="shared" si="1"/>
        <v>-3</v>
      </c>
      <c r="K47" s="41">
        <f t="shared" si="2"/>
        <v>-30</v>
      </c>
      <c r="L47" s="41"/>
      <c r="M47" s="43">
        <f t="shared" si="3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5"/>
        <v/>
      </c>
      <c r="J48" s="35">
        <f t="shared" si="1"/>
        <v>-3</v>
      </c>
      <c r="K48" s="35">
        <f t="shared" si="2"/>
        <v>-30</v>
      </c>
      <c r="L48" s="35"/>
      <c r="M48" s="37">
        <f t="shared" si="3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5"/>
        <v/>
      </c>
      <c r="J49" s="41">
        <f t="shared" si="1"/>
        <v>-3</v>
      </c>
      <c r="K49" s="41">
        <f t="shared" si="2"/>
        <v>-30</v>
      </c>
      <c r="L49" s="41"/>
      <c r="M49" s="43">
        <f t="shared" si="3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5"/>
        <v/>
      </c>
      <c r="J50" s="35">
        <f t="shared" si="1"/>
        <v>-3</v>
      </c>
      <c r="K50" s="35">
        <f t="shared" si="2"/>
        <v>-30</v>
      </c>
      <c r="L50" s="35"/>
      <c r="M50" s="37">
        <f t="shared" si="3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5"/>
        <v/>
      </c>
      <c r="J51" s="41">
        <f t="shared" si="1"/>
        <v>-3</v>
      </c>
      <c r="K51" s="41">
        <f t="shared" si="2"/>
        <v>-30</v>
      </c>
      <c r="L51" s="41"/>
      <c r="M51" s="43">
        <f t="shared" si="3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5"/>
        <v/>
      </c>
      <c r="J52" s="35">
        <f t="shared" si="1"/>
        <v>-3</v>
      </c>
      <c r="K52" s="35">
        <f t="shared" si="2"/>
        <v>-30</v>
      </c>
      <c r="L52" s="35"/>
      <c r="M52" s="37">
        <f t="shared" si="3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5"/>
        <v/>
      </c>
      <c r="J53" s="41">
        <f t="shared" si="1"/>
        <v>-3</v>
      </c>
      <c r="K53" s="41">
        <f t="shared" si="2"/>
        <v>-30</v>
      </c>
      <c r="L53" s="41"/>
      <c r="M53" s="43">
        <f t="shared" si="3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5"/>
        <v/>
      </c>
      <c r="J54" s="35">
        <f t="shared" si="1"/>
        <v>-3</v>
      </c>
      <c r="K54" s="35">
        <f t="shared" si="2"/>
        <v>-30</v>
      </c>
      <c r="L54" s="35"/>
      <c r="M54" s="37">
        <f t="shared" si="3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5"/>
        <v/>
      </c>
      <c r="J55" s="41">
        <f t="shared" si="1"/>
        <v>-3</v>
      </c>
      <c r="K55" s="41">
        <f t="shared" si="2"/>
        <v>-30</v>
      </c>
      <c r="L55" s="41"/>
      <c r="M55" s="43">
        <f t="shared" si="3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5"/>
        <v/>
      </c>
      <c r="J56" s="35">
        <f t="shared" si="1"/>
        <v>-3</v>
      </c>
      <c r="K56" s="35">
        <f t="shared" si="2"/>
        <v>-30</v>
      </c>
      <c r="L56" s="35"/>
      <c r="M56" s="37">
        <f t="shared" si="3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5"/>
        <v/>
      </c>
      <c r="J57" s="41">
        <f t="shared" si="1"/>
        <v>-3</v>
      </c>
      <c r="K57" s="41">
        <f t="shared" si="2"/>
        <v>-30</v>
      </c>
      <c r="L57" s="41"/>
      <c r="M57" s="43">
        <f t="shared" si="3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5"/>
        <v/>
      </c>
      <c r="J58" s="35">
        <f t="shared" si="1"/>
        <v>-3</v>
      </c>
      <c r="K58" s="35">
        <f t="shared" si="2"/>
        <v>-30</v>
      </c>
      <c r="L58" s="35"/>
      <c r="M58" s="37">
        <f t="shared" si="3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5"/>
        <v/>
      </c>
      <c r="J59" s="41">
        <f t="shared" si="1"/>
        <v>-3</v>
      </c>
      <c r="K59" s="41">
        <f t="shared" si="2"/>
        <v>-30</v>
      </c>
      <c r="L59" s="41"/>
      <c r="M59" s="43">
        <f t="shared" si="3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5"/>
        <v/>
      </c>
      <c r="J60" s="35">
        <f t="shared" si="1"/>
        <v>-3</v>
      </c>
      <c r="K60" s="35">
        <f t="shared" si="2"/>
        <v>-30</v>
      </c>
      <c r="L60" s="35"/>
      <c r="M60" s="37">
        <f t="shared" si="3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5"/>
        <v/>
      </c>
      <c r="J61" s="41">
        <f t="shared" si="1"/>
        <v>-3</v>
      </c>
      <c r="K61" s="41">
        <f t="shared" si="2"/>
        <v>-30</v>
      </c>
      <c r="L61" s="41"/>
      <c r="M61" s="43">
        <f t="shared" si="3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5"/>
        <v/>
      </c>
      <c r="J62" s="35">
        <f t="shared" si="1"/>
        <v>-3</v>
      </c>
      <c r="K62" s="35">
        <f t="shared" si="2"/>
        <v>-30</v>
      </c>
      <c r="L62" s="35"/>
      <c r="M62" s="37">
        <f t="shared" si="3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5"/>
        <v/>
      </c>
      <c r="J63" s="41">
        <f t="shared" si="1"/>
        <v>-3</v>
      </c>
      <c r="K63" s="41">
        <f t="shared" si="2"/>
        <v>-30</v>
      </c>
      <c r="L63" s="41"/>
      <c r="M63" s="43">
        <f t="shared" si="3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5"/>
        <v/>
      </c>
      <c r="J64" s="35">
        <f t="shared" si="1"/>
        <v>-3</v>
      </c>
      <c r="K64" s="35">
        <f t="shared" si="2"/>
        <v>-30</v>
      </c>
      <c r="L64" s="35"/>
      <c r="M64" s="37">
        <f t="shared" si="3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5"/>
        <v/>
      </c>
      <c r="J65" s="41">
        <f t="shared" si="1"/>
        <v>-3</v>
      </c>
      <c r="K65" s="41">
        <f t="shared" si="2"/>
        <v>-30</v>
      </c>
      <c r="L65" s="41"/>
      <c r="M65" s="43">
        <f t="shared" si="3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5"/>
        <v/>
      </c>
      <c r="J66" s="35">
        <f t="shared" si="1"/>
        <v>-3</v>
      </c>
      <c r="K66" s="35">
        <f t="shared" si="2"/>
        <v>-30</v>
      </c>
      <c r="L66" s="35"/>
      <c r="M66" s="37">
        <f t="shared" si="3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5"/>
        <v/>
      </c>
      <c r="J67" s="35">
        <f t="shared" si="1"/>
        <v>-3</v>
      </c>
      <c r="K67" s="35">
        <f t="shared" si="2"/>
        <v>-30</v>
      </c>
      <c r="L67" s="35"/>
      <c r="M67" s="37">
        <f t="shared" si="3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5"/>
        <v/>
      </c>
      <c r="J68" s="35">
        <f t="shared" si="1"/>
        <v>-3</v>
      </c>
      <c r="K68" s="35">
        <f t="shared" si="2"/>
        <v>-30</v>
      </c>
      <c r="L68" s="35"/>
      <c r="M68" s="37">
        <f t="shared" si="3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5"/>
        <v/>
      </c>
      <c r="J69" s="35">
        <f t="shared" si="1"/>
        <v>-3</v>
      </c>
      <c r="K69" s="35">
        <f t="shared" si="2"/>
        <v>-30</v>
      </c>
      <c r="L69" s="35"/>
      <c r="M69" s="37">
        <f t="shared" si="3"/>
        <v>0</v>
      </c>
    </row>
    <row r="70" spans="1:13" x14ac:dyDescent="0.25">
      <c r="A70" s="56"/>
      <c r="G70" s="13"/>
      <c r="H70" s="35">
        <v>65</v>
      </c>
      <c r="I70" s="36" t="str">
        <f t="shared" ref="I70:I133" si="7">IF(H70&lt;$H$2+1,($I$2-($I$2-1)*(LOG(H70)/LOG($H$2))),"")</f>
        <v/>
      </c>
      <c r="J70" s="35">
        <f t="shared" si="1"/>
        <v>-4</v>
      </c>
      <c r="K70" s="35">
        <f t="shared" ref="K70:K133" si="8">J70*$J$2</f>
        <v>-40</v>
      </c>
      <c r="L70" s="35"/>
      <c r="M70" s="37">
        <f t="shared" ref="M70:M133" si="9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7"/>
        <v/>
      </c>
      <c r="J71" s="35">
        <f t="shared" ref="J71:J134" si="10">INT(LOG($H$2,2))-ROUNDUP(LOG(H71,2),0)+IF(OR($H$2=1,$H$2=2,$H$2=4,$H$2=8,$H$2=16,$H$2=32,$H$2=64,$H$2=128,$H$2=256),0,1)</f>
        <v>-4</v>
      </c>
      <c r="K71" s="35">
        <f t="shared" si="8"/>
        <v>-40</v>
      </c>
      <c r="L71" s="35"/>
      <c r="M71" s="37">
        <f t="shared" si="9"/>
        <v>0</v>
      </c>
    </row>
    <row r="72" spans="1:13" x14ac:dyDescent="0.25">
      <c r="A72" s="56"/>
      <c r="G72" s="13"/>
      <c r="H72" s="35">
        <v>67</v>
      </c>
      <c r="I72" s="36" t="str">
        <f t="shared" si="7"/>
        <v/>
      </c>
      <c r="J72" s="35">
        <f t="shared" si="10"/>
        <v>-4</v>
      </c>
      <c r="K72" s="35">
        <f t="shared" si="8"/>
        <v>-40</v>
      </c>
      <c r="L72" s="35"/>
      <c r="M72" s="37">
        <f t="shared" si="9"/>
        <v>0</v>
      </c>
    </row>
    <row r="73" spans="1:13" x14ac:dyDescent="0.25">
      <c r="A73" s="56"/>
      <c r="G73" s="13"/>
      <c r="H73" s="35">
        <v>68</v>
      </c>
      <c r="I73" s="36" t="str">
        <f t="shared" si="7"/>
        <v/>
      </c>
      <c r="J73" s="35">
        <f t="shared" si="10"/>
        <v>-4</v>
      </c>
      <c r="K73" s="35">
        <f t="shared" si="8"/>
        <v>-40</v>
      </c>
      <c r="L73" s="35"/>
      <c r="M73" s="37">
        <f t="shared" si="9"/>
        <v>0</v>
      </c>
    </row>
    <row r="74" spans="1:13" x14ac:dyDescent="0.25">
      <c r="A74" s="56"/>
      <c r="G74" s="13"/>
      <c r="H74" s="35">
        <v>69</v>
      </c>
      <c r="I74" s="36" t="str">
        <f t="shared" si="7"/>
        <v/>
      </c>
      <c r="J74" s="35">
        <f t="shared" si="10"/>
        <v>-4</v>
      </c>
      <c r="K74" s="35">
        <f t="shared" si="8"/>
        <v>-40</v>
      </c>
      <c r="L74" s="35"/>
      <c r="M74" s="37">
        <f t="shared" si="9"/>
        <v>0</v>
      </c>
    </row>
    <row r="75" spans="1:13" x14ac:dyDescent="0.25">
      <c r="A75" s="56"/>
      <c r="G75" s="13"/>
      <c r="H75" s="35">
        <v>70</v>
      </c>
      <c r="I75" s="36" t="str">
        <f t="shared" si="7"/>
        <v/>
      </c>
      <c r="J75" s="35">
        <f t="shared" si="10"/>
        <v>-4</v>
      </c>
      <c r="K75" s="35">
        <f t="shared" si="8"/>
        <v>-40</v>
      </c>
      <c r="L75" s="35"/>
      <c r="M75" s="37">
        <f t="shared" si="9"/>
        <v>0</v>
      </c>
    </row>
    <row r="76" spans="1:13" x14ac:dyDescent="0.25">
      <c r="A76" s="56"/>
      <c r="G76" s="13"/>
      <c r="H76" s="35">
        <v>71</v>
      </c>
      <c r="I76" s="36" t="str">
        <f t="shared" si="7"/>
        <v/>
      </c>
      <c r="J76" s="35">
        <f t="shared" si="10"/>
        <v>-4</v>
      </c>
      <c r="K76" s="35">
        <f t="shared" si="8"/>
        <v>-40</v>
      </c>
      <c r="L76" s="35"/>
      <c r="M76" s="37">
        <f t="shared" si="9"/>
        <v>0</v>
      </c>
    </row>
    <row r="77" spans="1:13" x14ac:dyDescent="0.25">
      <c r="A77" s="56"/>
      <c r="G77" s="13"/>
      <c r="H77" s="35">
        <v>72</v>
      </c>
      <c r="I77" s="36" t="str">
        <f t="shared" si="7"/>
        <v/>
      </c>
      <c r="J77" s="35">
        <f t="shared" si="10"/>
        <v>-4</v>
      </c>
      <c r="K77" s="35">
        <f t="shared" si="8"/>
        <v>-40</v>
      </c>
      <c r="L77" s="35"/>
      <c r="M77" s="37">
        <f t="shared" si="9"/>
        <v>0</v>
      </c>
    </row>
    <row r="78" spans="1:13" x14ac:dyDescent="0.25">
      <c r="A78" s="56"/>
      <c r="G78" s="13"/>
      <c r="H78" s="35">
        <v>73</v>
      </c>
      <c r="I78" s="36" t="str">
        <f t="shared" si="7"/>
        <v/>
      </c>
      <c r="J78" s="35">
        <f t="shared" si="10"/>
        <v>-4</v>
      </c>
      <c r="K78" s="35">
        <f t="shared" si="8"/>
        <v>-40</v>
      </c>
      <c r="L78" s="35"/>
      <c r="M78" s="37">
        <f t="shared" si="9"/>
        <v>0</v>
      </c>
    </row>
    <row r="79" spans="1:13" x14ac:dyDescent="0.25">
      <c r="A79" s="56"/>
      <c r="G79" s="13"/>
      <c r="H79" s="35">
        <v>74</v>
      </c>
      <c r="I79" s="36" t="str">
        <f t="shared" si="7"/>
        <v/>
      </c>
      <c r="J79" s="35">
        <f t="shared" si="10"/>
        <v>-4</v>
      </c>
      <c r="K79" s="35">
        <f t="shared" si="8"/>
        <v>-40</v>
      </c>
      <c r="L79" s="35"/>
      <c r="M79" s="37">
        <f t="shared" si="9"/>
        <v>0</v>
      </c>
    </row>
    <row r="80" spans="1:13" x14ac:dyDescent="0.25">
      <c r="A80" s="56"/>
      <c r="G80" s="13"/>
      <c r="H80" s="35">
        <v>75</v>
      </c>
      <c r="I80" s="36" t="str">
        <f t="shared" si="7"/>
        <v/>
      </c>
      <c r="J80" s="35">
        <f t="shared" si="10"/>
        <v>-4</v>
      </c>
      <c r="K80" s="35">
        <f t="shared" si="8"/>
        <v>-40</v>
      </c>
      <c r="L80" s="35"/>
      <c r="M80" s="37">
        <f t="shared" si="9"/>
        <v>0</v>
      </c>
    </row>
    <row r="81" spans="1:13" x14ac:dyDescent="0.25">
      <c r="A81" s="56"/>
      <c r="G81" s="13"/>
      <c r="H81" s="35">
        <v>76</v>
      </c>
      <c r="I81" s="36" t="str">
        <f t="shared" si="7"/>
        <v/>
      </c>
      <c r="J81" s="35">
        <f t="shared" si="10"/>
        <v>-4</v>
      </c>
      <c r="K81" s="35">
        <f t="shared" si="8"/>
        <v>-40</v>
      </c>
      <c r="L81" s="35"/>
      <c r="M81" s="37">
        <f t="shared" si="9"/>
        <v>0</v>
      </c>
    </row>
    <row r="82" spans="1:13" x14ac:dyDescent="0.25">
      <c r="A82" s="56"/>
      <c r="G82" s="13"/>
      <c r="H82" s="35">
        <v>77</v>
      </c>
      <c r="I82" s="36" t="str">
        <f t="shared" si="7"/>
        <v/>
      </c>
      <c r="J82" s="35">
        <f t="shared" si="10"/>
        <v>-4</v>
      </c>
      <c r="K82" s="35">
        <f t="shared" si="8"/>
        <v>-40</v>
      </c>
      <c r="L82" s="35"/>
      <c r="M82" s="37">
        <f t="shared" si="9"/>
        <v>0</v>
      </c>
    </row>
    <row r="83" spans="1:13" x14ac:dyDescent="0.25">
      <c r="A83" s="56"/>
      <c r="G83" s="13"/>
      <c r="H83" s="35">
        <v>78</v>
      </c>
      <c r="I83" s="36" t="str">
        <f t="shared" si="7"/>
        <v/>
      </c>
      <c r="J83" s="35">
        <f t="shared" si="10"/>
        <v>-4</v>
      </c>
      <c r="K83" s="35">
        <f t="shared" si="8"/>
        <v>-40</v>
      </c>
      <c r="L83" s="35"/>
      <c r="M83" s="37">
        <f t="shared" si="9"/>
        <v>0</v>
      </c>
    </row>
    <row r="84" spans="1:13" x14ac:dyDescent="0.25">
      <c r="A84" s="56"/>
      <c r="G84" s="13"/>
      <c r="H84" s="35">
        <v>79</v>
      </c>
      <c r="I84" s="36" t="str">
        <f t="shared" si="7"/>
        <v/>
      </c>
      <c r="J84" s="35">
        <f t="shared" si="10"/>
        <v>-4</v>
      </c>
      <c r="K84" s="35">
        <f t="shared" si="8"/>
        <v>-40</v>
      </c>
      <c r="L84" s="35"/>
      <c r="M84" s="37">
        <f t="shared" si="9"/>
        <v>0</v>
      </c>
    </row>
    <row r="85" spans="1:13" x14ac:dyDescent="0.25">
      <c r="A85" s="56"/>
      <c r="G85" s="13"/>
      <c r="H85" s="35">
        <v>80</v>
      </c>
      <c r="I85" s="36" t="str">
        <f t="shared" si="7"/>
        <v/>
      </c>
      <c r="J85" s="35">
        <f t="shared" si="10"/>
        <v>-4</v>
      </c>
      <c r="K85" s="35">
        <f t="shared" si="8"/>
        <v>-40</v>
      </c>
      <c r="L85" s="35"/>
      <c r="M85" s="37">
        <f t="shared" si="9"/>
        <v>0</v>
      </c>
    </row>
    <row r="86" spans="1:13" x14ac:dyDescent="0.25">
      <c r="A86" s="56"/>
      <c r="G86" s="13"/>
      <c r="H86" s="35">
        <v>81</v>
      </c>
      <c r="I86" s="36" t="str">
        <f t="shared" si="7"/>
        <v/>
      </c>
      <c r="J86" s="35">
        <f t="shared" si="10"/>
        <v>-4</v>
      </c>
      <c r="K86" s="35">
        <f t="shared" si="8"/>
        <v>-40</v>
      </c>
      <c r="L86" s="35"/>
      <c r="M86" s="37">
        <f t="shared" si="9"/>
        <v>0</v>
      </c>
    </row>
    <row r="87" spans="1:13" x14ac:dyDescent="0.25">
      <c r="A87" s="56"/>
      <c r="G87" s="13"/>
      <c r="H87" s="35">
        <v>82</v>
      </c>
      <c r="I87" s="36" t="str">
        <f t="shared" si="7"/>
        <v/>
      </c>
      <c r="J87" s="35">
        <f t="shared" si="10"/>
        <v>-4</v>
      </c>
      <c r="K87" s="35">
        <f t="shared" si="8"/>
        <v>-40</v>
      </c>
      <c r="L87" s="35"/>
      <c r="M87" s="37">
        <f t="shared" si="9"/>
        <v>0</v>
      </c>
    </row>
    <row r="88" spans="1:13" x14ac:dyDescent="0.25">
      <c r="A88" s="56"/>
      <c r="G88" s="13"/>
      <c r="H88" s="35">
        <v>83</v>
      </c>
      <c r="I88" s="36" t="str">
        <f t="shared" si="7"/>
        <v/>
      </c>
      <c r="J88" s="35">
        <f t="shared" si="10"/>
        <v>-4</v>
      </c>
      <c r="K88" s="35">
        <f t="shared" si="8"/>
        <v>-40</v>
      </c>
      <c r="L88" s="35"/>
      <c r="M88" s="37">
        <f t="shared" si="9"/>
        <v>0</v>
      </c>
    </row>
    <row r="89" spans="1:13" x14ac:dyDescent="0.25">
      <c r="A89" s="56"/>
      <c r="G89" s="13"/>
      <c r="H89" s="35">
        <v>84</v>
      </c>
      <c r="I89" s="36" t="str">
        <f t="shared" si="7"/>
        <v/>
      </c>
      <c r="J89" s="35">
        <f t="shared" si="10"/>
        <v>-4</v>
      </c>
      <c r="K89" s="35">
        <f t="shared" si="8"/>
        <v>-40</v>
      </c>
      <c r="L89" s="35"/>
      <c r="M89" s="37">
        <f t="shared" si="9"/>
        <v>0</v>
      </c>
    </row>
    <row r="90" spans="1:13" x14ac:dyDescent="0.25">
      <c r="A90" s="56"/>
      <c r="G90" s="13"/>
      <c r="H90" s="35">
        <v>85</v>
      </c>
      <c r="I90" s="36" t="str">
        <f t="shared" si="7"/>
        <v/>
      </c>
      <c r="J90" s="35">
        <f t="shared" si="10"/>
        <v>-4</v>
      </c>
      <c r="K90" s="35">
        <f t="shared" si="8"/>
        <v>-40</v>
      </c>
      <c r="L90" s="35"/>
      <c r="M90" s="37">
        <f t="shared" si="9"/>
        <v>0</v>
      </c>
    </row>
    <row r="91" spans="1:13" x14ac:dyDescent="0.25">
      <c r="A91" s="56"/>
      <c r="G91" s="13"/>
      <c r="H91" s="35">
        <v>86</v>
      </c>
      <c r="I91" s="36" t="str">
        <f t="shared" si="7"/>
        <v/>
      </c>
      <c r="J91" s="35">
        <f t="shared" si="10"/>
        <v>-4</v>
      </c>
      <c r="K91" s="35">
        <f t="shared" si="8"/>
        <v>-40</v>
      </c>
      <c r="L91" s="35"/>
      <c r="M91" s="37">
        <f t="shared" si="9"/>
        <v>0</v>
      </c>
    </row>
    <row r="92" spans="1:13" x14ac:dyDescent="0.25">
      <c r="A92" s="56"/>
      <c r="G92" s="13"/>
      <c r="H92" s="35">
        <v>87</v>
      </c>
      <c r="I92" s="36" t="str">
        <f t="shared" si="7"/>
        <v/>
      </c>
      <c r="J92" s="35">
        <f t="shared" si="10"/>
        <v>-4</v>
      </c>
      <c r="K92" s="35">
        <f t="shared" si="8"/>
        <v>-40</v>
      </c>
      <c r="L92" s="35"/>
      <c r="M92" s="37">
        <f t="shared" si="9"/>
        <v>0</v>
      </c>
    </row>
    <row r="93" spans="1:13" x14ac:dyDescent="0.25">
      <c r="A93" s="56"/>
      <c r="G93" s="13"/>
      <c r="H93" s="35">
        <v>88</v>
      </c>
      <c r="I93" s="36" t="str">
        <f t="shared" si="7"/>
        <v/>
      </c>
      <c r="J93" s="35">
        <f t="shared" si="10"/>
        <v>-4</v>
      </c>
      <c r="K93" s="35">
        <f t="shared" si="8"/>
        <v>-40</v>
      </c>
      <c r="L93" s="35"/>
      <c r="M93" s="37">
        <f t="shared" si="9"/>
        <v>0</v>
      </c>
    </row>
    <row r="94" spans="1:13" x14ac:dyDescent="0.25">
      <c r="A94" s="56"/>
      <c r="G94" s="13"/>
      <c r="H94" s="35">
        <v>89</v>
      </c>
      <c r="I94" s="36" t="str">
        <f t="shared" si="7"/>
        <v/>
      </c>
      <c r="J94" s="35">
        <f t="shared" si="10"/>
        <v>-4</v>
      </c>
      <c r="K94" s="35">
        <f t="shared" si="8"/>
        <v>-40</v>
      </c>
      <c r="L94" s="35"/>
      <c r="M94" s="37">
        <f t="shared" si="9"/>
        <v>0</v>
      </c>
    </row>
    <row r="95" spans="1:13" x14ac:dyDescent="0.25">
      <c r="A95" s="56"/>
      <c r="G95" s="13"/>
      <c r="H95" s="35">
        <v>90</v>
      </c>
      <c r="I95" s="36" t="str">
        <f t="shared" si="7"/>
        <v/>
      </c>
      <c r="J95" s="35">
        <f t="shared" si="10"/>
        <v>-4</v>
      </c>
      <c r="K95" s="35">
        <f t="shared" si="8"/>
        <v>-40</v>
      </c>
      <c r="L95" s="35"/>
      <c r="M95" s="37">
        <f t="shared" si="9"/>
        <v>0</v>
      </c>
    </row>
    <row r="96" spans="1:13" x14ac:dyDescent="0.25">
      <c r="A96" s="56"/>
      <c r="G96" s="13"/>
      <c r="H96" s="35">
        <v>91</v>
      </c>
      <c r="I96" s="36" t="str">
        <f t="shared" si="7"/>
        <v/>
      </c>
      <c r="J96" s="35">
        <f t="shared" si="10"/>
        <v>-4</v>
      </c>
      <c r="K96" s="35">
        <f t="shared" si="8"/>
        <v>-40</v>
      </c>
      <c r="L96" s="35"/>
      <c r="M96" s="37">
        <f t="shared" si="9"/>
        <v>0</v>
      </c>
    </row>
    <row r="97" spans="1:13" x14ac:dyDescent="0.25">
      <c r="A97" s="56"/>
      <c r="G97" s="13"/>
      <c r="H97" s="35">
        <v>92</v>
      </c>
      <c r="I97" s="36" t="str">
        <f t="shared" si="7"/>
        <v/>
      </c>
      <c r="J97" s="35">
        <f t="shared" si="10"/>
        <v>-4</v>
      </c>
      <c r="K97" s="35">
        <f t="shared" si="8"/>
        <v>-40</v>
      </c>
      <c r="L97" s="35"/>
      <c r="M97" s="37">
        <f t="shared" si="9"/>
        <v>0</v>
      </c>
    </row>
    <row r="98" spans="1:13" x14ac:dyDescent="0.25">
      <c r="A98" s="56"/>
      <c r="G98" s="13"/>
      <c r="H98" s="35">
        <v>93</v>
      </c>
      <c r="I98" s="36" t="str">
        <f t="shared" si="7"/>
        <v/>
      </c>
      <c r="J98" s="35">
        <f t="shared" si="10"/>
        <v>-4</v>
      </c>
      <c r="K98" s="35">
        <f t="shared" si="8"/>
        <v>-40</v>
      </c>
      <c r="L98" s="35"/>
      <c r="M98" s="37">
        <f t="shared" si="9"/>
        <v>0</v>
      </c>
    </row>
    <row r="99" spans="1:13" x14ac:dyDescent="0.25">
      <c r="A99" s="56"/>
      <c r="G99" s="13"/>
      <c r="H99" s="35">
        <v>94</v>
      </c>
      <c r="I99" s="36" t="str">
        <f t="shared" si="7"/>
        <v/>
      </c>
      <c r="J99" s="35">
        <f t="shared" si="10"/>
        <v>-4</v>
      </c>
      <c r="K99" s="35">
        <f t="shared" si="8"/>
        <v>-40</v>
      </c>
      <c r="L99" s="35"/>
      <c r="M99" s="37">
        <f t="shared" si="9"/>
        <v>0</v>
      </c>
    </row>
    <row r="100" spans="1:13" x14ac:dyDescent="0.25">
      <c r="A100" s="56"/>
      <c r="G100" s="13"/>
      <c r="H100" s="35">
        <v>95</v>
      </c>
      <c r="I100" s="36" t="str">
        <f t="shared" si="7"/>
        <v/>
      </c>
      <c r="J100" s="35">
        <f t="shared" si="10"/>
        <v>-4</v>
      </c>
      <c r="K100" s="35">
        <f t="shared" si="8"/>
        <v>-40</v>
      </c>
      <c r="L100" s="35"/>
      <c r="M100" s="37">
        <f t="shared" si="9"/>
        <v>0</v>
      </c>
    </row>
    <row r="101" spans="1:13" x14ac:dyDescent="0.25">
      <c r="A101" s="56"/>
      <c r="G101" s="13"/>
      <c r="H101" s="35">
        <v>96</v>
      </c>
      <c r="I101" s="36" t="str">
        <f t="shared" si="7"/>
        <v/>
      </c>
      <c r="J101" s="35">
        <f t="shared" si="10"/>
        <v>-4</v>
      </c>
      <c r="K101" s="35">
        <f t="shared" si="8"/>
        <v>-40</v>
      </c>
      <c r="L101" s="35"/>
      <c r="M101" s="37">
        <f t="shared" si="9"/>
        <v>0</v>
      </c>
    </row>
    <row r="102" spans="1:13" x14ac:dyDescent="0.25">
      <c r="A102" s="56"/>
      <c r="G102" s="13"/>
      <c r="H102" s="35">
        <v>97</v>
      </c>
      <c r="I102" s="36" t="str">
        <f t="shared" si="7"/>
        <v/>
      </c>
      <c r="J102" s="35">
        <f t="shared" si="10"/>
        <v>-4</v>
      </c>
      <c r="K102" s="35">
        <f t="shared" si="8"/>
        <v>-40</v>
      </c>
      <c r="L102" s="35"/>
      <c r="M102" s="37">
        <f t="shared" si="9"/>
        <v>0</v>
      </c>
    </row>
    <row r="103" spans="1:13" x14ac:dyDescent="0.25">
      <c r="A103" s="56"/>
      <c r="G103" s="13"/>
      <c r="H103" s="35">
        <v>98</v>
      </c>
      <c r="I103" s="36" t="str">
        <f t="shared" si="7"/>
        <v/>
      </c>
      <c r="J103" s="35">
        <f t="shared" si="10"/>
        <v>-4</v>
      </c>
      <c r="K103" s="35">
        <f t="shared" si="8"/>
        <v>-40</v>
      </c>
      <c r="L103" s="35"/>
      <c r="M103" s="37">
        <f t="shared" si="9"/>
        <v>0</v>
      </c>
    </row>
    <row r="104" spans="1:13" x14ac:dyDescent="0.25">
      <c r="A104" s="56"/>
      <c r="G104" s="13"/>
      <c r="H104" s="35">
        <v>99</v>
      </c>
      <c r="I104" s="36" t="str">
        <f t="shared" si="7"/>
        <v/>
      </c>
      <c r="J104" s="35">
        <f t="shared" si="10"/>
        <v>-4</v>
      </c>
      <c r="K104" s="35">
        <f t="shared" si="8"/>
        <v>-40</v>
      </c>
      <c r="L104" s="35"/>
      <c r="M104" s="37">
        <f t="shared" si="9"/>
        <v>0</v>
      </c>
    </row>
    <row r="105" spans="1:13" x14ac:dyDescent="0.25">
      <c r="A105" s="56"/>
      <c r="G105" s="13"/>
      <c r="H105" s="35">
        <v>100</v>
      </c>
      <c r="I105" s="36" t="str">
        <f t="shared" si="7"/>
        <v/>
      </c>
      <c r="J105" s="35">
        <f t="shared" si="10"/>
        <v>-4</v>
      </c>
      <c r="K105" s="35">
        <f t="shared" si="8"/>
        <v>-40</v>
      </c>
      <c r="L105" s="35"/>
      <c r="M105" s="37">
        <f t="shared" si="9"/>
        <v>0</v>
      </c>
    </row>
    <row r="106" spans="1:13" x14ac:dyDescent="0.25">
      <c r="A106" s="56"/>
      <c r="G106" s="13"/>
      <c r="H106" s="35">
        <v>101</v>
      </c>
      <c r="I106" s="36" t="str">
        <f t="shared" si="7"/>
        <v/>
      </c>
      <c r="J106" s="35">
        <f t="shared" si="10"/>
        <v>-4</v>
      </c>
      <c r="K106" s="35">
        <f t="shared" si="8"/>
        <v>-40</v>
      </c>
      <c r="L106" s="35"/>
      <c r="M106" s="37">
        <f t="shared" si="9"/>
        <v>0</v>
      </c>
    </row>
    <row r="107" spans="1:13" x14ac:dyDescent="0.25">
      <c r="A107" s="56"/>
      <c r="G107" s="13"/>
      <c r="H107" s="35">
        <v>102</v>
      </c>
      <c r="I107" s="36" t="str">
        <f t="shared" si="7"/>
        <v/>
      </c>
      <c r="J107" s="35">
        <f t="shared" si="10"/>
        <v>-4</v>
      </c>
      <c r="K107" s="35">
        <f t="shared" si="8"/>
        <v>-40</v>
      </c>
      <c r="L107" s="35"/>
      <c r="M107" s="37">
        <f t="shared" si="9"/>
        <v>0</v>
      </c>
    </row>
    <row r="108" spans="1:13" x14ac:dyDescent="0.25">
      <c r="A108" s="56"/>
      <c r="G108" s="13"/>
      <c r="H108" s="35">
        <v>103</v>
      </c>
      <c r="I108" s="36" t="str">
        <f t="shared" si="7"/>
        <v/>
      </c>
      <c r="J108" s="35">
        <f t="shared" si="10"/>
        <v>-4</v>
      </c>
      <c r="K108" s="35">
        <f t="shared" si="8"/>
        <v>-40</v>
      </c>
      <c r="L108" s="35"/>
      <c r="M108" s="37">
        <f t="shared" si="9"/>
        <v>0</v>
      </c>
    </row>
    <row r="109" spans="1:13" x14ac:dyDescent="0.25">
      <c r="A109" s="56"/>
      <c r="G109" s="13"/>
      <c r="H109" s="35">
        <v>104</v>
      </c>
      <c r="I109" s="36" t="str">
        <f t="shared" si="7"/>
        <v/>
      </c>
      <c r="J109" s="35">
        <f t="shared" si="10"/>
        <v>-4</v>
      </c>
      <c r="K109" s="35">
        <f t="shared" si="8"/>
        <v>-40</v>
      </c>
      <c r="L109" s="35"/>
      <c r="M109" s="37">
        <f t="shared" si="9"/>
        <v>0</v>
      </c>
    </row>
    <row r="110" spans="1:13" x14ac:dyDescent="0.25">
      <c r="A110" s="56"/>
      <c r="G110" s="13"/>
      <c r="H110" s="35">
        <v>105</v>
      </c>
      <c r="I110" s="36" t="str">
        <f t="shared" si="7"/>
        <v/>
      </c>
      <c r="J110" s="35">
        <f t="shared" si="10"/>
        <v>-4</v>
      </c>
      <c r="K110" s="35">
        <f t="shared" si="8"/>
        <v>-40</v>
      </c>
      <c r="L110" s="35"/>
      <c r="M110" s="37">
        <f t="shared" si="9"/>
        <v>0</v>
      </c>
    </row>
    <row r="111" spans="1:13" x14ac:dyDescent="0.25">
      <c r="A111" s="56"/>
      <c r="G111" s="13"/>
      <c r="H111" s="35">
        <v>106</v>
      </c>
      <c r="I111" s="36" t="str">
        <f t="shared" si="7"/>
        <v/>
      </c>
      <c r="J111" s="35">
        <f t="shared" si="10"/>
        <v>-4</v>
      </c>
      <c r="K111" s="35">
        <f t="shared" si="8"/>
        <v>-40</v>
      </c>
      <c r="L111" s="35"/>
      <c r="M111" s="37">
        <f t="shared" si="9"/>
        <v>0</v>
      </c>
    </row>
    <row r="112" spans="1:13" x14ac:dyDescent="0.25">
      <c r="A112" s="56"/>
      <c r="G112" s="13"/>
      <c r="H112" s="35">
        <v>107</v>
      </c>
      <c r="I112" s="36" t="str">
        <f t="shared" si="7"/>
        <v/>
      </c>
      <c r="J112" s="35">
        <f t="shared" si="10"/>
        <v>-4</v>
      </c>
      <c r="K112" s="35">
        <f t="shared" si="8"/>
        <v>-40</v>
      </c>
      <c r="L112" s="35"/>
      <c r="M112" s="37">
        <f t="shared" si="9"/>
        <v>0</v>
      </c>
    </row>
    <row r="113" spans="1:13" x14ac:dyDescent="0.25">
      <c r="A113" s="56"/>
      <c r="G113" s="13"/>
      <c r="H113" s="35">
        <v>108</v>
      </c>
      <c r="I113" s="36" t="str">
        <f t="shared" si="7"/>
        <v/>
      </c>
      <c r="J113" s="35">
        <f t="shared" si="10"/>
        <v>-4</v>
      </c>
      <c r="K113" s="35">
        <f t="shared" si="8"/>
        <v>-40</v>
      </c>
      <c r="L113" s="35"/>
      <c r="M113" s="37">
        <f t="shared" si="9"/>
        <v>0</v>
      </c>
    </row>
    <row r="114" spans="1:13" x14ac:dyDescent="0.25">
      <c r="A114" s="56"/>
      <c r="G114" s="13"/>
      <c r="H114" s="35">
        <v>109</v>
      </c>
      <c r="I114" s="36" t="str">
        <f t="shared" si="7"/>
        <v/>
      </c>
      <c r="J114" s="35">
        <f t="shared" si="10"/>
        <v>-4</v>
      </c>
      <c r="K114" s="35">
        <f t="shared" si="8"/>
        <v>-40</v>
      </c>
      <c r="L114" s="35"/>
      <c r="M114" s="37">
        <f t="shared" si="9"/>
        <v>0</v>
      </c>
    </row>
    <row r="115" spans="1:13" x14ac:dyDescent="0.25">
      <c r="A115" s="56"/>
      <c r="G115" s="13"/>
      <c r="H115" s="35">
        <v>110</v>
      </c>
      <c r="I115" s="36" t="str">
        <f t="shared" si="7"/>
        <v/>
      </c>
      <c r="J115" s="35">
        <f t="shared" si="10"/>
        <v>-4</v>
      </c>
      <c r="K115" s="35">
        <f t="shared" si="8"/>
        <v>-40</v>
      </c>
      <c r="L115" s="35"/>
      <c r="M115" s="37">
        <f t="shared" si="9"/>
        <v>0</v>
      </c>
    </row>
    <row r="116" spans="1:13" x14ac:dyDescent="0.25">
      <c r="A116" s="56"/>
      <c r="G116" s="13"/>
      <c r="H116" s="35">
        <v>111</v>
      </c>
      <c r="I116" s="36" t="str">
        <f t="shared" si="7"/>
        <v/>
      </c>
      <c r="J116" s="35">
        <f t="shared" si="10"/>
        <v>-4</v>
      </c>
      <c r="K116" s="35">
        <f t="shared" si="8"/>
        <v>-40</v>
      </c>
      <c r="L116" s="35"/>
      <c r="M116" s="37">
        <f t="shared" si="9"/>
        <v>0</v>
      </c>
    </row>
    <row r="117" spans="1:13" x14ac:dyDescent="0.25">
      <c r="A117" s="56"/>
      <c r="G117" s="13"/>
      <c r="H117" s="35">
        <v>112</v>
      </c>
      <c r="I117" s="36" t="str">
        <f t="shared" si="7"/>
        <v/>
      </c>
      <c r="J117" s="35">
        <f t="shared" si="10"/>
        <v>-4</v>
      </c>
      <c r="K117" s="35">
        <f t="shared" si="8"/>
        <v>-40</v>
      </c>
      <c r="L117" s="35"/>
      <c r="M117" s="37">
        <f t="shared" si="9"/>
        <v>0</v>
      </c>
    </row>
    <row r="118" spans="1:13" x14ac:dyDescent="0.25">
      <c r="A118" s="56"/>
      <c r="G118" s="13"/>
      <c r="H118" s="35">
        <v>113</v>
      </c>
      <c r="I118" s="36" t="str">
        <f t="shared" si="7"/>
        <v/>
      </c>
      <c r="J118" s="35">
        <f t="shared" si="10"/>
        <v>-4</v>
      </c>
      <c r="K118" s="35">
        <f t="shared" si="8"/>
        <v>-40</v>
      </c>
      <c r="L118" s="35"/>
      <c r="M118" s="37">
        <f t="shared" si="9"/>
        <v>0</v>
      </c>
    </row>
    <row r="119" spans="1:13" x14ac:dyDescent="0.25">
      <c r="A119" s="56"/>
      <c r="G119" s="13"/>
      <c r="H119" s="35">
        <v>114</v>
      </c>
      <c r="I119" s="36" t="str">
        <f t="shared" si="7"/>
        <v/>
      </c>
      <c r="J119" s="35">
        <f t="shared" si="10"/>
        <v>-4</v>
      </c>
      <c r="K119" s="35">
        <f t="shared" si="8"/>
        <v>-40</v>
      </c>
      <c r="L119" s="35"/>
      <c r="M119" s="37">
        <f t="shared" si="9"/>
        <v>0</v>
      </c>
    </row>
    <row r="120" spans="1:13" x14ac:dyDescent="0.25">
      <c r="A120" s="56"/>
      <c r="G120" s="13"/>
      <c r="H120" s="35">
        <v>115</v>
      </c>
      <c r="I120" s="36" t="str">
        <f t="shared" si="7"/>
        <v/>
      </c>
      <c r="J120" s="35">
        <f t="shared" si="10"/>
        <v>-4</v>
      </c>
      <c r="K120" s="35">
        <f t="shared" si="8"/>
        <v>-40</v>
      </c>
      <c r="L120" s="35"/>
      <c r="M120" s="37">
        <f t="shared" si="9"/>
        <v>0</v>
      </c>
    </row>
    <row r="121" spans="1:13" x14ac:dyDescent="0.25">
      <c r="A121" s="56"/>
      <c r="G121" s="13"/>
      <c r="H121" s="35">
        <v>116</v>
      </c>
      <c r="I121" s="36" t="str">
        <f t="shared" si="7"/>
        <v/>
      </c>
      <c r="J121" s="35">
        <f t="shared" si="10"/>
        <v>-4</v>
      </c>
      <c r="K121" s="35">
        <f t="shared" si="8"/>
        <v>-40</v>
      </c>
      <c r="L121" s="35"/>
      <c r="M121" s="37">
        <f t="shared" si="9"/>
        <v>0</v>
      </c>
    </row>
    <row r="122" spans="1:13" x14ac:dyDescent="0.25">
      <c r="A122" s="56"/>
      <c r="G122" s="13"/>
      <c r="H122" s="35">
        <v>117</v>
      </c>
      <c r="I122" s="36" t="str">
        <f t="shared" si="7"/>
        <v/>
      </c>
      <c r="J122" s="35">
        <f t="shared" si="10"/>
        <v>-4</v>
      </c>
      <c r="K122" s="35">
        <f t="shared" si="8"/>
        <v>-40</v>
      </c>
      <c r="L122" s="35"/>
      <c r="M122" s="37">
        <f t="shared" si="9"/>
        <v>0</v>
      </c>
    </row>
    <row r="123" spans="1:13" x14ac:dyDescent="0.25">
      <c r="A123" s="56"/>
      <c r="G123" s="13"/>
      <c r="H123" s="35">
        <v>118</v>
      </c>
      <c r="I123" s="36" t="str">
        <f t="shared" si="7"/>
        <v/>
      </c>
      <c r="J123" s="35">
        <f t="shared" si="10"/>
        <v>-4</v>
      </c>
      <c r="K123" s="35">
        <f t="shared" si="8"/>
        <v>-40</v>
      </c>
      <c r="L123" s="35"/>
      <c r="M123" s="37">
        <f t="shared" si="9"/>
        <v>0</v>
      </c>
    </row>
    <row r="124" spans="1:13" x14ac:dyDescent="0.25">
      <c r="A124" s="56"/>
      <c r="G124" s="13"/>
      <c r="H124" s="35">
        <v>119</v>
      </c>
      <c r="I124" s="36" t="str">
        <f t="shared" si="7"/>
        <v/>
      </c>
      <c r="J124" s="35">
        <f t="shared" si="10"/>
        <v>-4</v>
      </c>
      <c r="K124" s="35">
        <f t="shared" si="8"/>
        <v>-40</v>
      </c>
      <c r="L124" s="35"/>
      <c r="M124" s="37">
        <f t="shared" si="9"/>
        <v>0</v>
      </c>
    </row>
    <row r="125" spans="1:13" x14ac:dyDescent="0.25">
      <c r="A125" s="56"/>
      <c r="G125" s="13"/>
      <c r="H125" s="35">
        <v>120</v>
      </c>
      <c r="I125" s="36" t="str">
        <f t="shared" si="7"/>
        <v/>
      </c>
      <c r="J125" s="35">
        <f t="shared" si="10"/>
        <v>-4</v>
      </c>
      <c r="K125" s="35">
        <f t="shared" si="8"/>
        <v>-40</v>
      </c>
      <c r="L125" s="35"/>
      <c r="M125" s="37">
        <f t="shared" si="9"/>
        <v>0</v>
      </c>
    </row>
    <row r="126" spans="1:13" x14ac:dyDescent="0.25">
      <c r="A126" s="56"/>
      <c r="G126" s="13"/>
      <c r="H126" s="35">
        <v>121</v>
      </c>
      <c r="I126" s="36" t="str">
        <f t="shared" si="7"/>
        <v/>
      </c>
      <c r="J126" s="35">
        <f t="shared" si="10"/>
        <v>-4</v>
      </c>
      <c r="K126" s="35">
        <f t="shared" si="8"/>
        <v>-40</v>
      </c>
      <c r="L126" s="35"/>
      <c r="M126" s="37">
        <f t="shared" si="9"/>
        <v>0</v>
      </c>
    </row>
    <row r="127" spans="1:13" x14ac:dyDescent="0.25">
      <c r="A127" s="56"/>
      <c r="G127" s="13"/>
      <c r="H127" s="35">
        <v>122</v>
      </c>
      <c r="I127" s="36" t="str">
        <f t="shared" si="7"/>
        <v/>
      </c>
      <c r="J127" s="35">
        <f t="shared" si="10"/>
        <v>-4</v>
      </c>
      <c r="K127" s="35">
        <f t="shared" si="8"/>
        <v>-40</v>
      </c>
      <c r="L127" s="35"/>
      <c r="M127" s="37">
        <f t="shared" si="9"/>
        <v>0</v>
      </c>
    </row>
    <row r="128" spans="1:13" x14ac:dyDescent="0.25">
      <c r="A128" s="56"/>
      <c r="G128" s="13"/>
      <c r="H128" s="35">
        <v>123</v>
      </c>
      <c r="I128" s="36" t="str">
        <f t="shared" si="7"/>
        <v/>
      </c>
      <c r="J128" s="35">
        <f t="shared" si="10"/>
        <v>-4</v>
      </c>
      <c r="K128" s="35">
        <f t="shared" si="8"/>
        <v>-40</v>
      </c>
      <c r="L128" s="35"/>
      <c r="M128" s="37">
        <f t="shared" si="9"/>
        <v>0</v>
      </c>
    </row>
    <row r="129" spans="1:13" x14ac:dyDescent="0.25">
      <c r="A129" s="56"/>
      <c r="G129" s="13"/>
      <c r="H129" s="35">
        <v>124</v>
      </c>
      <c r="I129" s="36" t="str">
        <f t="shared" si="7"/>
        <v/>
      </c>
      <c r="J129" s="35">
        <f t="shared" si="10"/>
        <v>-4</v>
      </c>
      <c r="K129" s="35">
        <f t="shared" si="8"/>
        <v>-40</v>
      </c>
      <c r="L129" s="35"/>
      <c r="M129" s="37">
        <f t="shared" si="9"/>
        <v>0</v>
      </c>
    </row>
    <row r="130" spans="1:13" x14ac:dyDescent="0.25">
      <c r="A130" s="56"/>
      <c r="G130" s="13"/>
      <c r="H130" s="35">
        <v>125</v>
      </c>
      <c r="I130" s="36" t="str">
        <f t="shared" si="7"/>
        <v/>
      </c>
      <c r="J130" s="35">
        <f t="shared" si="10"/>
        <v>-4</v>
      </c>
      <c r="K130" s="35">
        <f t="shared" si="8"/>
        <v>-40</v>
      </c>
      <c r="L130" s="35"/>
      <c r="M130" s="37">
        <f t="shared" si="9"/>
        <v>0</v>
      </c>
    </row>
    <row r="131" spans="1:13" x14ac:dyDescent="0.25">
      <c r="A131" s="56"/>
      <c r="G131" s="13"/>
      <c r="H131" s="35">
        <v>126</v>
      </c>
      <c r="I131" s="36" t="str">
        <f t="shared" si="7"/>
        <v/>
      </c>
      <c r="J131" s="35">
        <f t="shared" si="10"/>
        <v>-4</v>
      </c>
      <c r="K131" s="35">
        <f t="shared" si="8"/>
        <v>-40</v>
      </c>
      <c r="L131" s="35"/>
      <c r="M131" s="37">
        <f t="shared" si="9"/>
        <v>0</v>
      </c>
    </row>
    <row r="132" spans="1:13" x14ac:dyDescent="0.25">
      <c r="A132" s="56"/>
      <c r="G132" s="13"/>
      <c r="H132" s="35">
        <v>127</v>
      </c>
      <c r="I132" s="36" t="str">
        <f t="shared" si="7"/>
        <v/>
      </c>
      <c r="J132" s="35">
        <f t="shared" si="10"/>
        <v>-4</v>
      </c>
      <c r="K132" s="35">
        <f t="shared" si="8"/>
        <v>-40</v>
      </c>
      <c r="L132" s="35"/>
      <c r="M132" s="37">
        <f t="shared" si="9"/>
        <v>0</v>
      </c>
    </row>
    <row r="133" spans="1:13" x14ac:dyDescent="0.25">
      <c r="A133" s="56"/>
      <c r="G133" s="13"/>
      <c r="H133" s="35">
        <v>128</v>
      </c>
      <c r="I133" s="36" t="str">
        <f t="shared" si="7"/>
        <v/>
      </c>
      <c r="J133" s="35">
        <f t="shared" si="10"/>
        <v>-4</v>
      </c>
      <c r="K133" s="35">
        <f t="shared" si="8"/>
        <v>-40</v>
      </c>
      <c r="L133" s="35"/>
      <c r="M133" s="37">
        <f t="shared" si="9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1">IF(H134&lt;$H$2+1,($I$2-($I$2-1)*(LOG(H134)/LOG($H$2))),"")</f>
        <v/>
      </c>
      <c r="J134" s="35">
        <f t="shared" si="10"/>
        <v>-5</v>
      </c>
      <c r="K134" s="35">
        <f t="shared" ref="K134:K197" si="12">J134*$J$2</f>
        <v>-50</v>
      </c>
      <c r="L134" s="35"/>
      <c r="M134" s="37">
        <f t="shared" ref="M134:M197" si="13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1"/>
        <v/>
      </c>
      <c r="J135" s="35">
        <f t="shared" ref="J135:J198" si="14">INT(LOG($H$2,2))-ROUNDUP(LOG(H135,2),0)+IF(OR($H$2=1,$H$2=2,$H$2=4,$H$2=8,$H$2=16,$H$2=32,$H$2=64,$H$2=128,$H$2=256),0,1)</f>
        <v>-5</v>
      </c>
      <c r="K135" s="35">
        <f t="shared" si="12"/>
        <v>-50</v>
      </c>
      <c r="L135" s="35"/>
      <c r="M135" s="37">
        <f t="shared" si="13"/>
        <v>0</v>
      </c>
    </row>
    <row r="136" spans="1:13" x14ac:dyDescent="0.25">
      <c r="A136" s="56"/>
      <c r="G136" s="13"/>
      <c r="H136" s="35">
        <v>131</v>
      </c>
      <c r="I136" s="36" t="str">
        <f t="shared" si="11"/>
        <v/>
      </c>
      <c r="J136" s="35">
        <f t="shared" si="14"/>
        <v>-5</v>
      </c>
      <c r="K136" s="35">
        <f t="shared" si="12"/>
        <v>-50</v>
      </c>
      <c r="L136" s="35"/>
      <c r="M136" s="37">
        <f t="shared" si="13"/>
        <v>0</v>
      </c>
    </row>
    <row r="137" spans="1:13" x14ac:dyDescent="0.25">
      <c r="A137" s="56"/>
      <c r="G137" s="13"/>
      <c r="H137" s="35">
        <v>132</v>
      </c>
      <c r="I137" s="36" t="str">
        <f t="shared" si="11"/>
        <v/>
      </c>
      <c r="J137" s="35">
        <f t="shared" si="14"/>
        <v>-5</v>
      </c>
      <c r="K137" s="35">
        <f t="shared" si="12"/>
        <v>-50</v>
      </c>
      <c r="L137" s="35"/>
      <c r="M137" s="37">
        <f t="shared" si="13"/>
        <v>0</v>
      </c>
    </row>
    <row r="138" spans="1:13" x14ac:dyDescent="0.25">
      <c r="A138" s="56"/>
      <c r="G138" s="13"/>
      <c r="H138" s="35">
        <v>133</v>
      </c>
      <c r="I138" s="36" t="str">
        <f t="shared" si="11"/>
        <v/>
      </c>
      <c r="J138" s="35">
        <f t="shared" si="14"/>
        <v>-5</v>
      </c>
      <c r="K138" s="35">
        <f t="shared" si="12"/>
        <v>-50</v>
      </c>
      <c r="L138" s="35"/>
      <c r="M138" s="37">
        <f t="shared" si="13"/>
        <v>0</v>
      </c>
    </row>
    <row r="139" spans="1:13" x14ac:dyDescent="0.25">
      <c r="A139" s="56"/>
      <c r="G139" s="13"/>
      <c r="H139" s="35">
        <v>134</v>
      </c>
      <c r="I139" s="36" t="str">
        <f t="shared" si="11"/>
        <v/>
      </c>
      <c r="J139" s="35">
        <f t="shared" si="14"/>
        <v>-5</v>
      </c>
      <c r="K139" s="35">
        <f t="shared" si="12"/>
        <v>-50</v>
      </c>
      <c r="L139" s="35"/>
      <c r="M139" s="37">
        <f t="shared" si="13"/>
        <v>0</v>
      </c>
    </row>
    <row r="140" spans="1:13" x14ac:dyDescent="0.25">
      <c r="A140" s="56"/>
      <c r="G140" s="13"/>
      <c r="H140" s="35">
        <v>135</v>
      </c>
      <c r="I140" s="36" t="str">
        <f t="shared" si="11"/>
        <v/>
      </c>
      <c r="J140" s="35">
        <f t="shared" si="14"/>
        <v>-5</v>
      </c>
      <c r="K140" s="35">
        <f t="shared" si="12"/>
        <v>-50</v>
      </c>
      <c r="L140" s="35"/>
      <c r="M140" s="37">
        <f t="shared" si="13"/>
        <v>0</v>
      </c>
    </row>
    <row r="141" spans="1:13" x14ac:dyDescent="0.25">
      <c r="A141" s="56"/>
      <c r="G141" s="13"/>
      <c r="H141" s="35">
        <v>136</v>
      </c>
      <c r="I141" s="36" t="str">
        <f t="shared" si="11"/>
        <v/>
      </c>
      <c r="J141" s="35">
        <f t="shared" si="14"/>
        <v>-5</v>
      </c>
      <c r="K141" s="35">
        <f t="shared" si="12"/>
        <v>-50</v>
      </c>
      <c r="L141" s="35"/>
      <c r="M141" s="37">
        <f t="shared" si="13"/>
        <v>0</v>
      </c>
    </row>
    <row r="142" spans="1:13" x14ac:dyDescent="0.25">
      <c r="A142" s="56"/>
      <c r="G142" s="13"/>
      <c r="H142" s="35">
        <v>137</v>
      </c>
      <c r="I142" s="36" t="str">
        <f t="shared" si="11"/>
        <v/>
      </c>
      <c r="J142" s="35">
        <f t="shared" si="14"/>
        <v>-5</v>
      </c>
      <c r="K142" s="35">
        <f t="shared" si="12"/>
        <v>-50</v>
      </c>
      <c r="L142" s="35"/>
      <c r="M142" s="37">
        <f t="shared" si="13"/>
        <v>0</v>
      </c>
    </row>
    <row r="143" spans="1:13" x14ac:dyDescent="0.25">
      <c r="A143" s="56"/>
      <c r="G143" s="13"/>
      <c r="H143" s="35">
        <v>138</v>
      </c>
      <c r="I143" s="36" t="str">
        <f t="shared" si="11"/>
        <v/>
      </c>
      <c r="J143" s="35">
        <f t="shared" si="14"/>
        <v>-5</v>
      </c>
      <c r="K143" s="35">
        <f t="shared" si="12"/>
        <v>-50</v>
      </c>
      <c r="L143" s="35"/>
      <c r="M143" s="37">
        <f t="shared" si="13"/>
        <v>0</v>
      </c>
    </row>
    <row r="144" spans="1:13" x14ac:dyDescent="0.25">
      <c r="A144" s="56"/>
      <c r="G144" s="13"/>
      <c r="H144" s="35">
        <v>139</v>
      </c>
      <c r="I144" s="36" t="str">
        <f t="shared" si="11"/>
        <v/>
      </c>
      <c r="J144" s="35">
        <f t="shared" si="14"/>
        <v>-5</v>
      </c>
      <c r="K144" s="35">
        <f t="shared" si="12"/>
        <v>-50</v>
      </c>
      <c r="L144" s="35"/>
      <c r="M144" s="37">
        <f t="shared" si="13"/>
        <v>0</v>
      </c>
    </row>
    <row r="145" spans="1:13" x14ac:dyDescent="0.25">
      <c r="A145" s="56"/>
      <c r="G145" s="13"/>
      <c r="H145" s="35">
        <v>140</v>
      </c>
      <c r="I145" s="36" t="str">
        <f t="shared" si="11"/>
        <v/>
      </c>
      <c r="J145" s="35">
        <f t="shared" si="14"/>
        <v>-5</v>
      </c>
      <c r="K145" s="35">
        <f t="shared" si="12"/>
        <v>-50</v>
      </c>
      <c r="L145" s="35"/>
      <c r="M145" s="37">
        <f t="shared" si="13"/>
        <v>0</v>
      </c>
    </row>
    <row r="146" spans="1:13" x14ac:dyDescent="0.25">
      <c r="A146" s="56"/>
      <c r="G146" s="13"/>
      <c r="H146" s="35">
        <v>141</v>
      </c>
      <c r="I146" s="36" t="str">
        <f t="shared" si="11"/>
        <v/>
      </c>
      <c r="J146" s="35">
        <f t="shared" si="14"/>
        <v>-5</v>
      </c>
      <c r="K146" s="35">
        <f t="shared" si="12"/>
        <v>-50</v>
      </c>
      <c r="L146" s="35"/>
      <c r="M146" s="37">
        <f t="shared" si="13"/>
        <v>0</v>
      </c>
    </row>
    <row r="147" spans="1:13" x14ac:dyDescent="0.25">
      <c r="A147" s="56"/>
      <c r="G147" s="13"/>
      <c r="H147" s="35">
        <v>142</v>
      </c>
      <c r="I147" s="36" t="str">
        <f t="shared" si="11"/>
        <v/>
      </c>
      <c r="J147" s="35">
        <f t="shared" si="14"/>
        <v>-5</v>
      </c>
      <c r="K147" s="35">
        <f t="shared" si="12"/>
        <v>-50</v>
      </c>
      <c r="L147" s="35"/>
      <c r="M147" s="37">
        <f t="shared" si="13"/>
        <v>0</v>
      </c>
    </row>
    <row r="148" spans="1:13" x14ac:dyDescent="0.25">
      <c r="A148" s="56"/>
      <c r="G148" s="13"/>
      <c r="H148" s="35">
        <v>143</v>
      </c>
      <c r="I148" s="36" t="str">
        <f t="shared" si="11"/>
        <v/>
      </c>
      <c r="J148" s="35">
        <f t="shared" si="14"/>
        <v>-5</v>
      </c>
      <c r="K148" s="35">
        <f t="shared" si="12"/>
        <v>-50</v>
      </c>
      <c r="L148" s="35"/>
      <c r="M148" s="37">
        <f t="shared" si="13"/>
        <v>0</v>
      </c>
    </row>
    <row r="149" spans="1:13" x14ac:dyDescent="0.25">
      <c r="A149" s="56"/>
      <c r="G149" s="13"/>
      <c r="H149" s="35">
        <v>144</v>
      </c>
      <c r="I149" s="36" t="str">
        <f t="shared" si="11"/>
        <v/>
      </c>
      <c r="J149" s="35">
        <f t="shared" si="14"/>
        <v>-5</v>
      </c>
      <c r="K149" s="35">
        <f t="shared" si="12"/>
        <v>-50</v>
      </c>
      <c r="L149" s="35"/>
      <c r="M149" s="37">
        <f t="shared" si="13"/>
        <v>0</v>
      </c>
    </row>
    <row r="150" spans="1:13" x14ac:dyDescent="0.25">
      <c r="A150" s="56"/>
      <c r="G150" s="13"/>
      <c r="H150" s="35">
        <v>145</v>
      </c>
      <c r="I150" s="36" t="str">
        <f t="shared" si="11"/>
        <v/>
      </c>
      <c r="J150" s="35">
        <f t="shared" si="14"/>
        <v>-5</v>
      </c>
      <c r="K150" s="35">
        <f t="shared" si="12"/>
        <v>-50</v>
      </c>
      <c r="L150" s="35"/>
      <c r="M150" s="37">
        <f t="shared" si="13"/>
        <v>0</v>
      </c>
    </row>
    <row r="151" spans="1:13" x14ac:dyDescent="0.25">
      <c r="A151" s="56"/>
      <c r="G151" s="13"/>
      <c r="H151" s="35">
        <v>146</v>
      </c>
      <c r="I151" s="36" t="str">
        <f t="shared" si="11"/>
        <v/>
      </c>
      <c r="J151" s="35">
        <f t="shared" si="14"/>
        <v>-5</v>
      </c>
      <c r="K151" s="35">
        <f t="shared" si="12"/>
        <v>-50</v>
      </c>
      <c r="L151" s="35"/>
      <c r="M151" s="37">
        <f t="shared" si="13"/>
        <v>0</v>
      </c>
    </row>
    <row r="152" spans="1:13" x14ac:dyDescent="0.25">
      <c r="A152" s="56"/>
      <c r="G152" s="13"/>
      <c r="H152" s="35">
        <v>147</v>
      </c>
      <c r="I152" s="36" t="str">
        <f t="shared" si="11"/>
        <v/>
      </c>
      <c r="J152" s="35">
        <f t="shared" si="14"/>
        <v>-5</v>
      </c>
      <c r="K152" s="35">
        <f t="shared" si="12"/>
        <v>-50</v>
      </c>
      <c r="L152" s="35"/>
      <c r="M152" s="37">
        <f t="shared" si="13"/>
        <v>0</v>
      </c>
    </row>
    <row r="153" spans="1:13" x14ac:dyDescent="0.25">
      <c r="A153" s="56"/>
      <c r="G153" s="13"/>
      <c r="H153" s="35">
        <v>148</v>
      </c>
      <c r="I153" s="36" t="str">
        <f t="shared" si="11"/>
        <v/>
      </c>
      <c r="J153" s="35">
        <f t="shared" si="14"/>
        <v>-5</v>
      </c>
      <c r="K153" s="35">
        <f t="shared" si="12"/>
        <v>-50</v>
      </c>
      <c r="L153" s="35"/>
      <c r="M153" s="37">
        <f t="shared" si="13"/>
        <v>0</v>
      </c>
    </row>
    <row r="154" spans="1:13" x14ac:dyDescent="0.25">
      <c r="A154" s="56"/>
      <c r="G154" s="13"/>
      <c r="H154" s="35">
        <v>149</v>
      </c>
      <c r="I154" s="36" t="str">
        <f t="shared" si="11"/>
        <v/>
      </c>
      <c r="J154" s="35">
        <f t="shared" si="14"/>
        <v>-5</v>
      </c>
      <c r="K154" s="35">
        <f t="shared" si="12"/>
        <v>-50</v>
      </c>
      <c r="L154" s="35"/>
      <c r="M154" s="37">
        <f t="shared" si="13"/>
        <v>0</v>
      </c>
    </row>
    <row r="155" spans="1:13" x14ac:dyDescent="0.25">
      <c r="A155" s="56"/>
      <c r="G155" s="13"/>
      <c r="H155" s="35">
        <v>150</v>
      </c>
      <c r="I155" s="36" t="str">
        <f t="shared" si="11"/>
        <v/>
      </c>
      <c r="J155" s="35">
        <f t="shared" si="14"/>
        <v>-5</v>
      </c>
      <c r="K155" s="35">
        <f t="shared" si="12"/>
        <v>-50</v>
      </c>
      <c r="L155" s="35"/>
      <c r="M155" s="37">
        <f t="shared" si="13"/>
        <v>0</v>
      </c>
    </row>
    <row r="156" spans="1:13" x14ac:dyDescent="0.25">
      <c r="A156" s="56"/>
      <c r="G156" s="13"/>
      <c r="H156" s="35">
        <v>151</v>
      </c>
      <c r="I156" s="36" t="str">
        <f t="shared" si="11"/>
        <v/>
      </c>
      <c r="J156" s="35">
        <f t="shared" si="14"/>
        <v>-5</v>
      </c>
      <c r="K156" s="35">
        <f t="shared" si="12"/>
        <v>-50</v>
      </c>
      <c r="L156" s="35"/>
      <c r="M156" s="37">
        <f t="shared" si="13"/>
        <v>0</v>
      </c>
    </row>
    <row r="157" spans="1:13" x14ac:dyDescent="0.25">
      <c r="A157" s="56"/>
      <c r="G157" s="13"/>
      <c r="H157" s="35">
        <v>152</v>
      </c>
      <c r="I157" s="36" t="str">
        <f t="shared" si="11"/>
        <v/>
      </c>
      <c r="J157" s="35">
        <f t="shared" si="14"/>
        <v>-5</v>
      </c>
      <c r="K157" s="35">
        <f t="shared" si="12"/>
        <v>-50</v>
      </c>
      <c r="L157" s="35"/>
      <c r="M157" s="37">
        <f t="shared" si="13"/>
        <v>0</v>
      </c>
    </row>
    <row r="158" spans="1:13" x14ac:dyDescent="0.25">
      <c r="A158" s="56"/>
      <c r="G158" s="13"/>
      <c r="H158" s="35">
        <v>153</v>
      </c>
      <c r="I158" s="36" t="str">
        <f t="shared" si="11"/>
        <v/>
      </c>
      <c r="J158" s="35">
        <f t="shared" si="14"/>
        <v>-5</v>
      </c>
      <c r="K158" s="35">
        <f t="shared" si="12"/>
        <v>-50</v>
      </c>
      <c r="L158" s="35"/>
      <c r="M158" s="37">
        <f t="shared" si="13"/>
        <v>0</v>
      </c>
    </row>
    <row r="159" spans="1:13" x14ac:dyDescent="0.25">
      <c r="A159" s="56"/>
      <c r="G159" s="13"/>
      <c r="H159" s="35">
        <v>154</v>
      </c>
      <c r="I159" s="36" t="str">
        <f t="shared" si="11"/>
        <v/>
      </c>
      <c r="J159" s="35">
        <f t="shared" si="14"/>
        <v>-5</v>
      </c>
      <c r="K159" s="35">
        <f t="shared" si="12"/>
        <v>-50</v>
      </c>
      <c r="L159" s="35"/>
      <c r="M159" s="37">
        <f t="shared" si="13"/>
        <v>0</v>
      </c>
    </row>
    <row r="160" spans="1:13" x14ac:dyDescent="0.25">
      <c r="A160" s="56"/>
      <c r="G160" s="13"/>
      <c r="H160" s="35">
        <v>155</v>
      </c>
      <c r="I160" s="36" t="str">
        <f t="shared" si="11"/>
        <v/>
      </c>
      <c r="J160" s="35">
        <f t="shared" si="14"/>
        <v>-5</v>
      </c>
      <c r="K160" s="35">
        <f t="shared" si="12"/>
        <v>-50</v>
      </c>
      <c r="L160" s="35"/>
      <c r="M160" s="37">
        <f t="shared" si="13"/>
        <v>0</v>
      </c>
    </row>
    <row r="161" spans="1:13" x14ac:dyDescent="0.25">
      <c r="A161" s="56"/>
      <c r="G161" s="13"/>
      <c r="H161" s="35">
        <v>156</v>
      </c>
      <c r="I161" s="36" t="str">
        <f t="shared" si="11"/>
        <v/>
      </c>
      <c r="J161" s="35">
        <f t="shared" si="14"/>
        <v>-5</v>
      </c>
      <c r="K161" s="35">
        <f t="shared" si="12"/>
        <v>-50</v>
      </c>
      <c r="L161" s="35"/>
      <c r="M161" s="37">
        <f t="shared" si="13"/>
        <v>0</v>
      </c>
    </row>
    <row r="162" spans="1:13" x14ac:dyDescent="0.25">
      <c r="A162" s="56"/>
      <c r="G162" s="13"/>
      <c r="H162" s="35">
        <v>157</v>
      </c>
      <c r="I162" s="36" t="str">
        <f t="shared" si="11"/>
        <v/>
      </c>
      <c r="J162" s="35">
        <f t="shared" si="14"/>
        <v>-5</v>
      </c>
      <c r="K162" s="35">
        <f t="shared" si="12"/>
        <v>-50</v>
      </c>
      <c r="L162" s="35"/>
      <c r="M162" s="37">
        <f t="shared" si="13"/>
        <v>0</v>
      </c>
    </row>
    <row r="163" spans="1:13" x14ac:dyDescent="0.25">
      <c r="A163" s="56"/>
      <c r="G163" s="13"/>
      <c r="H163" s="35">
        <v>158</v>
      </c>
      <c r="I163" s="36" t="str">
        <f t="shared" si="11"/>
        <v/>
      </c>
      <c r="J163" s="35">
        <f t="shared" si="14"/>
        <v>-5</v>
      </c>
      <c r="K163" s="35">
        <f t="shared" si="12"/>
        <v>-50</v>
      </c>
      <c r="L163" s="35"/>
      <c r="M163" s="37">
        <f t="shared" si="13"/>
        <v>0</v>
      </c>
    </row>
    <row r="164" spans="1:13" x14ac:dyDescent="0.25">
      <c r="A164" s="56"/>
      <c r="G164" s="13"/>
      <c r="H164" s="35">
        <v>159</v>
      </c>
      <c r="I164" s="36" t="str">
        <f t="shared" si="11"/>
        <v/>
      </c>
      <c r="J164" s="35">
        <f t="shared" si="14"/>
        <v>-5</v>
      </c>
      <c r="K164" s="35">
        <f t="shared" si="12"/>
        <v>-50</v>
      </c>
      <c r="L164" s="35"/>
      <c r="M164" s="37">
        <f t="shared" si="13"/>
        <v>0</v>
      </c>
    </row>
    <row r="165" spans="1:13" x14ac:dyDescent="0.25">
      <c r="A165" s="56"/>
      <c r="G165" s="13"/>
      <c r="H165" s="35">
        <v>160</v>
      </c>
      <c r="I165" s="36" t="str">
        <f t="shared" si="11"/>
        <v/>
      </c>
      <c r="J165" s="35">
        <f t="shared" si="14"/>
        <v>-5</v>
      </c>
      <c r="K165" s="35">
        <f t="shared" si="12"/>
        <v>-50</v>
      </c>
      <c r="L165" s="35"/>
      <c r="M165" s="37">
        <f t="shared" si="13"/>
        <v>0</v>
      </c>
    </row>
    <row r="166" spans="1:13" x14ac:dyDescent="0.25">
      <c r="A166" s="56"/>
      <c r="G166" s="13"/>
      <c r="H166" s="35">
        <v>161</v>
      </c>
      <c r="I166" s="36" t="str">
        <f t="shared" si="11"/>
        <v/>
      </c>
      <c r="J166" s="35">
        <f t="shared" si="14"/>
        <v>-5</v>
      </c>
      <c r="K166" s="35">
        <f t="shared" si="12"/>
        <v>-50</v>
      </c>
      <c r="L166" s="35"/>
      <c r="M166" s="37">
        <f t="shared" si="13"/>
        <v>0</v>
      </c>
    </row>
    <row r="167" spans="1:13" x14ac:dyDescent="0.25">
      <c r="A167" s="56"/>
      <c r="G167" s="13"/>
      <c r="H167" s="35">
        <v>162</v>
      </c>
      <c r="I167" s="36" t="str">
        <f t="shared" si="11"/>
        <v/>
      </c>
      <c r="J167" s="35">
        <f t="shared" si="14"/>
        <v>-5</v>
      </c>
      <c r="K167" s="35">
        <f t="shared" si="12"/>
        <v>-50</v>
      </c>
      <c r="L167" s="35"/>
      <c r="M167" s="37">
        <f t="shared" si="13"/>
        <v>0</v>
      </c>
    </row>
    <row r="168" spans="1:13" x14ac:dyDescent="0.25">
      <c r="A168" s="56"/>
      <c r="G168" s="13"/>
      <c r="H168" s="35">
        <v>163</v>
      </c>
      <c r="I168" s="36" t="str">
        <f t="shared" si="11"/>
        <v/>
      </c>
      <c r="J168" s="35">
        <f t="shared" si="14"/>
        <v>-5</v>
      </c>
      <c r="K168" s="35">
        <f t="shared" si="12"/>
        <v>-50</v>
      </c>
      <c r="L168" s="35"/>
      <c r="M168" s="37">
        <f t="shared" si="13"/>
        <v>0</v>
      </c>
    </row>
    <row r="169" spans="1:13" x14ac:dyDescent="0.25">
      <c r="A169" s="56"/>
      <c r="G169" s="13"/>
      <c r="H169" s="35">
        <v>164</v>
      </c>
      <c r="I169" s="36" t="str">
        <f t="shared" si="11"/>
        <v/>
      </c>
      <c r="J169" s="35">
        <f t="shared" si="14"/>
        <v>-5</v>
      </c>
      <c r="K169" s="35">
        <f t="shared" si="12"/>
        <v>-50</v>
      </c>
      <c r="L169" s="35"/>
      <c r="M169" s="37">
        <f t="shared" si="13"/>
        <v>0</v>
      </c>
    </row>
    <row r="170" spans="1:13" x14ac:dyDescent="0.25">
      <c r="A170" s="56"/>
      <c r="G170" s="13"/>
      <c r="H170" s="35">
        <v>165</v>
      </c>
      <c r="I170" s="36" t="str">
        <f t="shared" si="11"/>
        <v/>
      </c>
      <c r="J170" s="35">
        <f t="shared" si="14"/>
        <v>-5</v>
      </c>
      <c r="K170" s="35">
        <f t="shared" si="12"/>
        <v>-50</v>
      </c>
      <c r="L170" s="35"/>
      <c r="M170" s="37">
        <f t="shared" si="13"/>
        <v>0</v>
      </c>
    </row>
    <row r="171" spans="1:13" x14ac:dyDescent="0.25">
      <c r="A171" s="56"/>
      <c r="G171" s="13"/>
      <c r="H171" s="35">
        <v>166</v>
      </c>
      <c r="I171" s="36" t="str">
        <f t="shared" si="11"/>
        <v/>
      </c>
      <c r="J171" s="35">
        <f t="shared" si="14"/>
        <v>-5</v>
      </c>
      <c r="K171" s="35">
        <f t="shared" si="12"/>
        <v>-50</v>
      </c>
      <c r="L171" s="35"/>
      <c r="M171" s="37">
        <f t="shared" si="13"/>
        <v>0</v>
      </c>
    </row>
    <row r="172" spans="1:13" x14ac:dyDescent="0.25">
      <c r="A172" s="56"/>
      <c r="G172" s="13"/>
      <c r="H172" s="35">
        <v>167</v>
      </c>
      <c r="I172" s="36" t="str">
        <f t="shared" si="11"/>
        <v/>
      </c>
      <c r="J172" s="35">
        <f t="shared" si="14"/>
        <v>-5</v>
      </c>
      <c r="K172" s="35">
        <f t="shared" si="12"/>
        <v>-50</v>
      </c>
      <c r="L172" s="35"/>
      <c r="M172" s="37">
        <f t="shared" si="13"/>
        <v>0</v>
      </c>
    </row>
    <row r="173" spans="1:13" x14ac:dyDescent="0.25">
      <c r="A173" s="56"/>
      <c r="G173" s="13"/>
      <c r="H173" s="35">
        <v>168</v>
      </c>
      <c r="I173" s="36" t="str">
        <f t="shared" si="11"/>
        <v/>
      </c>
      <c r="J173" s="35">
        <f t="shared" si="14"/>
        <v>-5</v>
      </c>
      <c r="K173" s="35">
        <f t="shared" si="12"/>
        <v>-50</v>
      </c>
      <c r="L173" s="35"/>
      <c r="M173" s="37">
        <f t="shared" si="13"/>
        <v>0</v>
      </c>
    </row>
    <row r="174" spans="1:13" x14ac:dyDescent="0.25">
      <c r="A174" s="56"/>
      <c r="G174" s="13"/>
      <c r="H174" s="35">
        <v>169</v>
      </c>
      <c r="I174" s="36" t="str">
        <f t="shared" si="11"/>
        <v/>
      </c>
      <c r="J174" s="35">
        <f t="shared" si="14"/>
        <v>-5</v>
      </c>
      <c r="K174" s="35">
        <f t="shared" si="12"/>
        <v>-50</v>
      </c>
      <c r="L174" s="35"/>
      <c r="M174" s="37">
        <f t="shared" si="13"/>
        <v>0</v>
      </c>
    </row>
    <row r="175" spans="1:13" x14ac:dyDescent="0.25">
      <c r="A175" s="56"/>
      <c r="G175" s="13"/>
      <c r="H175" s="35">
        <v>170</v>
      </c>
      <c r="I175" s="36" t="str">
        <f t="shared" si="11"/>
        <v/>
      </c>
      <c r="J175" s="35">
        <f t="shared" si="14"/>
        <v>-5</v>
      </c>
      <c r="K175" s="35">
        <f t="shared" si="12"/>
        <v>-50</v>
      </c>
      <c r="L175" s="35"/>
      <c r="M175" s="37">
        <f t="shared" si="13"/>
        <v>0</v>
      </c>
    </row>
    <row r="176" spans="1:13" x14ac:dyDescent="0.25">
      <c r="A176" s="56"/>
      <c r="G176" s="13"/>
      <c r="H176" s="35">
        <v>171</v>
      </c>
      <c r="I176" s="36" t="str">
        <f t="shared" si="11"/>
        <v/>
      </c>
      <c r="J176" s="35">
        <f t="shared" si="14"/>
        <v>-5</v>
      </c>
      <c r="K176" s="35">
        <f t="shared" si="12"/>
        <v>-50</v>
      </c>
      <c r="L176" s="35"/>
      <c r="M176" s="37">
        <f t="shared" si="13"/>
        <v>0</v>
      </c>
    </row>
    <row r="177" spans="1:13" x14ac:dyDescent="0.25">
      <c r="A177" s="56"/>
      <c r="G177" s="13"/>
      <c r="H177" s="35">
        <v>172</v>
      </c>
      <c r="I177" s="36" t="str">
        <f t="shared" si="11"/>
        <v/>
      </c>
      <c r="J177" s="35">
        <f t="shared" si="14"/>
        <v>-5</v>
      </c>
      <c r="K177" s="35">
        <f t="shared" si="12"/>
        <v>-50</v>
      </c>
      <c r="L177" s="35"/>
      <c r="M177" s="37">
        <f t="shared" si="13"/>
        <v>0</v>
      </c>
    </row>
    <row r="178" spans="1:13" x14ac:dyDescent="0.25">
      <c r="A178" s="56"/>
      <c r="G178" s="13"/>
      <c r="H178" s="35">
        <v>173</v>
      </c>
      <c r="I178" s="36" t="str">
        <f t="shared" si="11"/>
        <v/>
      </c>
      <c r="J178" s="35">
        <f t="shared" si="14"/>
        <v>-5</v>
      </c>
      <c r="K178" s="35">
        <f t="shared" si="12"/>
        <v>-50</v>
      </c>
      <c r="L178" s="35"/>
      <c r="M178" s="37">
        <f t="shared" si="13"/>
        <v>0</v>
      </c>
    </row>
    <row r="179" spans="1:13" x14ac:dyDescent="0.25">
      <c r="A179" s="56"/>
      <c r="G179" s="13"/>
      <c r="H179" s="35">
        <v>174</v>
      </c>
      <c r="I179" s="36" t="str">
        <f t="shared" si="11"/>
        <v/>
      </c>
      <c r="J179" s="35">
        <f t="shared" si="14"/>
        <v>-5</v>
      </c>
      <c r="K179" s="35">
        <f t="shared" si="12"/>
        <v>-50</v>
      </c>
      <c r="L179" s="35"/>
      <c r="M179" s="37">
        <f t="shared" si="13"/>
        <v>0</v>
      </c>
    </row>
    <row r="180" spans="1:13" x14ac:dyDescent="0.25">
      <c r="A180" s="56"/>
      <c r="G180" s="13"/>
      <c r="H180" s="35">
        <v>175</v>
      </c>
      <c r="I180" s="36" t="str">
        <f t="shared" si="11"/>
        <v/>
      </c>
      <c r="J180" s="35">
        <f t="shared" si="14"/>
        <v>-5</v>
      </c>
      <c r="K180" s="35">
        <f t="shared" si="12"/>
        <v>-50</v>
      </c>
      <c r="L180" s="35"/>
      <c r="M180" s="37">
        <f t="shared" si="13"/>
        <v>0</v>
      </c>
    </row>
    <row r="181" spans="1:13" x14ac:dyDescent="0.25">
      <c r="A181" s="56"/>
      <c r="G181" s="13"/>
      <c r="H181" s="35">
        <v>176</v>
      </c>
      <c r="I181" s="36" t="str">
        <f t="shared" si="11"/>
        <v/>
      </c>
      <c r="J181" s="35">
        <f t="shared" si="14"/>
        <v>-5</v>
      </c>
      <c r="K181" s="35">
        <f t="shared" si="12"/>
        <v>-50</v>
      </c>
      <c r="L181" s="35"/>
      <c r="M181" s="37">
        <f t="shared" si="13"/>
        <v>0</v>
      </c>
    </row>
    <row r="182" spans="1:13" x14ac:dyDescent="0.25">
      <c r="A182" s="56"/>
      <c r="G182" s="13"/>
      <c r="H182" s="35">
        <v>177</v>
      </c>
      <c r="I182" s="36" t="str">
        <f t="shared" si="11"/>
        <v/>
      </c>
      <c r="J182" s="35">
        <f t="shared" si="14"/>
        <v>-5</v>
      </c>
      <c r="K182" s="35">
        <f t="shared" si="12"/>
        <v>-50</v>
      </c>
      <c r="L182" s="35"/>
      <c r="M182" s="37">
        <f t="shared" si="13"/>
        <v>0</v>
      </c>
    </row>
    <row r="183" spans="1:13" x14ac:dyDescent="0.25">
      <c r="A183" s="56"/>
      <c r="G183" s="13"/>
      <c r="H183" s="35">
        <v>178</v>
      </c>
      <c r="I183" s="36" t="str">
        <f t="shared" si="11"/>
        <v/>
      </c>
      <c r="J183" s="35">
        <f t="shared" si="14"/>
        <v>-5</v>
      </c>
      <c r="K183" s="35">
        <f t="shared" si="12"/>
        <v>-50</v>
      </c>
      <c r="L183" s="35"/>
      <c r="M183" s="37">
        <f t="shared" si="13"/>
        <v>0</v>
      </c>
    </row>
    <row r="184" spans="1:13" x14ac:dyDescent="0.25">
      <c r="A184" s="56"/>
      <c r="G184" s="13"/>
      <c r="H184" s="35">
        <v>179</v>
      </c>
      <c r="I184" s="36" t="str">
        <f t="shared" si="11"/>
        <v/>
      </c>
      <c r="J184" s="35">
        <f t="shared" si="14"/>
        <v>-5</v>
      </c>
      <c r="K184" s="35">
        <f t="shared" si="12"/>
        <v>-50</v>
      </c>
      <c r="L184" s="35"/>
      <c r="M184" s="37">
        <f t="shared" si="13"/>
        <v>0</v>
      </c>
    </row>
    <row r="185" spans="1:13" x14ac:dyDescent="0.25">
      <c r="A185" s="56"/>
      <c r="G185" s="13"/>
      <c r="H185" s="35">
        <v>180</v>
      </c>
      <c r="I185" s="36" t="str">
        <f t="shared" si="11"/>
        <v/>
      </c>
      <c r="J185" s="35">
        <f t="shared" si="14"/>
        <v>-5</v>
      </c>
      <c r="K185" s="35">
        <f t="shared" si="12"/>
        <v>-50</v>
      </c>
      <c r="L185" s="35"/>
      <c r="M185" s="37">
        <f t="shared" si="13"/>
        <v>0</v>
      </c>
    </row>
    <row r="186" spans="1:13" x14ac:dyDescent="0.25">
      <c r="A186" s="56"/>
      <c r="G186" s="13"/>
      <c r="H186" s="35">
        <v>181</v>
      </c>
      <c r="I186" s="36" t="str">
        <f t="shared" si="11"/>
        <v/>
      </c>
      <c r="J186" s="35">
        <f t="shared" si="14"/>
        <v>-5</v>
      </c>
      <c r="K186" s="35">
        <f t="shared" si="12"/>
        <v>-50</v>
      </c>
      <c r="L186" s="35"/>
      <c r="M186" s="37">
        <f t="shared" si="13"/>
        <v>0</v>
      </c>
    </row>
    <row r="187" spans="1:13" x14ac:dyDescent="0.25">
      <c r="A187" s="56"/>
      <c r="G187" s="13"/>
      <c r="H187" s="35">
        <v>182</v>
      </c>
      <c r="I187" s="36" t="str">
        <f t="shared" si="11"/>
        <v/>
      </c>
      <c r="J187" s="35">
        <f t="shared" si="14"/>
        <v>-5</v>
      </c>
      <c r="K187" s="35">
        <f t="shared" si="12"/>
        <v>-50</v>
      </c>
      <c r="L187" s="35"/>
      <c r="M187" s="37">
        <f t="shared" si="13"/>
        <v>0</v>
      </c>
    </row>
    <row r="188" spans="1:13" x14ac:dyDescent="0.25">
      <c r="A188" s="56"/>
      <c r="G188" s="13"/>
      <c r="H188" s="35">
        <v>183</v>
      </c>
      <c r="I188" s="36" t="str">
        <f t="shared" si="11"/>
        <v/>
      </c>
      <c r="J188" s="35">
        <f t="shared" si="14"/>
        <v>-5</v>
      </c>
      <c r="K188" s="35">
        <f t="shared" si="12"/>
        <v>-50</v>
      </c>
      <c r="L188" s="35"/>
      <c r="M188" s="37">
        <f t="shared" si="13"/>
        <v>0</v>
      </c>
    </row>
    <row r="189" spans="1:13" x14ac:dyDescent="0.25">
      <c r="A189" s="56"/>
      <c r="G189" s="13"/>
      <c r="H189" s="35">
        <v>184</v>
      </c>
      <c r="I189" s="36" t="str">
        <f t="shared" si="11"/>
        <v/>
      </c>
      <c r="J189" s="35">
        <f t="shared" si="14"/>
        <v>-5</v>
      </c>
      <c r="K189" s="35">
        <f t="shared" si="12"/>
        <v>-50</v>
      </c>
      <c r="L189" s="35"/>
      <c r="M189" s="37">
        <f t="shared" si="13"/>
        <v>0</v>
      </c>
    </row>
    <row r="190" spans="1:13" x14ac:dyDescent="0.25">
      <c r="A190" s="56"/>
      <c r="G190" s="13"/>
      <c r="H190" s="35">
        <v>185</v>
      </c>
      <c r="I190" s="36" t="str">
        <f t="shared" si="11"/>
        <v/>
      </c>
      <c r="J190" s="35">
        <f t="shared" si="14"/>
        <v>-5</v>
      </c>
      <c r="K190" s="35">
        <f t="shared" si="12"/>
        <v>-50</v>
      </c>
      <c r="L190" s="35"/>
      <c r="M190" s="37">
        <f t="shared" si="13"/>
        <v>0</v>
      </c>
    </row>
    <row r="191" spans="1:13" x14ac:dyDescent="0.25">
      <c r="A191" s="56"/>
      <c r="G191" s="13"/>
      <c r="H191" s="35">
        <v>186</v>
      </c>
      <c r="I191" s="36" t="str">
        <f t="shared" si="11"/>
        <v/>
      </c>
      <c r="J191" s="35">
        <f t="shared" si="14"/>
        <v>-5</v>
      </c>
      <c r="K191" s="35">
        <f t="shared" si="12"/>
        <v>-50</v>
      </c>
      <c r="L191" s="35"/>
      <c r="M191" s="37">
        <f t="shared" si="13"/>
        <v>0</v>
      </c>
    </row>
    <row r="192" spans="1:13" x14ac:dyDescent="0.25">
      <c r="A192" s="56"/>
      <c r="G192" s="13"/>
      <c r="H192" s="35">
        <v>187</v>
      </c>
      <c r="I192" s="36" t="str">
        <f t="shared" si="11"/>
        <v/>
      </c>
      <c r="J192" s="35">
        <f t="shared" si="14"/>
        <v>-5</v>
      </c>
      <c r="K192" s="35">
        <f t="shared" si="12"/>
        <v>-50</v>
      </c>
      <c r="L192" s="35"/>
      <c r="M192" s="37">
        <f t="shared" si="13"/>
        <v>0</v>
      </c>
    </row>
    <row r="193" spans="1:13" x14ac:dyDescent="0.25">
      <c r="A193" s="56"/>
      <c r="G193" s="13"/>
      <c r="H193" s="35">
        <v>188</v>
      </c>
      <c r="I193" s="36" t="str">
        <f t="shared" si="11"/>
        <v/>
      </c>
      <c r="J193" s="35">
        <f t="shared" si="14"/>
        <v>-5</v>
      </c>
      <c r="K193" s="35">
        <f t="shared" si="12"/>
        <v>-50</v>
      </c>
      <c r="L193" s="35"/>
      <c r="M193" s="37">
        <f t="shared" si="13"/>
        <v>0</v>
      </c>
    </row>
    <row r="194" spans="1:13" x14ac:dyDescent="0.25">
      <c r="A194" s="56"/>
      <c r="G194" s="13"/>
      <c r="H194" s="35">
        <v>189</v>
      </c>
      <c r="I194" s="36" t="str">
        <f t="shared" si="11"/>
        <v/>
      </c>
      <c r="J194" s="35">
        <f t="shared" si="14"/>
        <v>-5</v>
      </c>
      <c r="K194" s="35">
        <f t="shared" si="12"/>
        <v>-50</v>
      </c>
      <c r="L194" s="35"/>
      <c r="M194" s="37">
        <f t="shared" si="13"/>
        <v>0</v>
      </c>
    </row>
    <row r="195" spans="1:13" x14ac:dyDescent="0.25">
      <c r="A195" s="56"/>
      <c r="G195" s="13"/>
      <c r="H195" s="35">
        <v>190</v>
      </c>
      <c r="I195" s="36" t="str">
        <f t="shared" si="11"/>
        <v/>
      </c>
      <c r="J195" s="35">
        <f t="shared" si="14"/>
        <v>-5</v>
      </c>
      <c r="K195" s="35">
        <f t="shared" si="12"/>
        <v>-50</v>
      </c>
      <c r="L195" s="35"/>
      <c r="M195" s="37">
        <f t="shared" si="13"/>
        <v>0</v>
      </c>
    </row>
    <row r="196" spans="1:13" x14ac:dyDescent="0.25">
      <c r="A196" s="56"/>
      <c r="G196" s="13"/>
      <c r="H196" s="35">
        <v>191</v>
      </c>
      <c r="I196" s="36" t="str">
        <f t="shared" si="11"/>
        <v/>
      </c>
      <c r="J196" s="35">
        <f t="shared" si="14"/>
        <v>-5</v>
      </c>
      <c r="K196" s="35">
        <f t="shared" si="12"/>
        <v>-50</v>
      </c>
      <c r="L196" s="35"/>
      <c r="M196" s="37">
        <f t="shared" si="13"/>
        <v>0</v>
      </c>
    </row>
    <row r="197" spans="1:13" x14ac:dyDescent="0.25">
      <c r="A197" s="56"/>
      <c r="G197" s="13"/>
      <c r="H197" s="35">
        <v>192</v>
      </c>
      <c r="I197" s="36" t="str">
        <f t="shared" si="11"/>
        <v/>
      </c>
      <c r="J197" s="35">
        <f t="shared" si="14"/>
        <v>-5</v>
      </c>
      <c r="K197" s="35">
        <f t="shared" si="12"/>
        <v>-50</v>
      </c>
      <c r="L197" s="35"/>
      <c r="M197" s="37">
        <f t="shared" si="13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5">
        <f t="shared" si="14"/>
        <v>-5</v>
      </c>
      <c r="K198" s="35">
        <f t="shared" ref="K198:K261" si="16">J198*$J$2</f>
        <v>-50</v>
      </c>
      <c r="L198" s="35"/>
      <c r="M198" s="37">
        <f t="shared" ref="M198:M261" si="17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5"/>
        <v/>
      </c>
      <c r="J199" s="35">
        <f t="shared" ref="J199:J262" si="18">INT(LOG($H$2,2))-ROUNDUP(LOG(H199,2),0)+IF(OR($H$2=1,$H$2=2,$H$2=4,$H$2=8,$H$2=16,$H$2=32,$H$2=64,$H$2=128,$H$2=256),0,1)</f>
        <v>-5</v>
      </c>
      <c r="K199" s="35">
        <f t="shared" si="16"/>
        <v>-50</v>
      </c>
      <c r="L199" s="35"/>
      <c r="M199" s="37">
        <f t="shared" si="17"/>
        <v>0</v>
      </c>
    </row>
    <row r="200" spans="1:13" x14ac:dyDescent="0.25">
      <c r="A200" s="56"/>
      <c r="G200" s="13"/>
      <c r="H200" s="35">
        <v>195</v>
      </c>
      <c r="I200" s="36" t="str">
        <f t="shared" si="15"/>
        <v/>
      </c>
      <c r="J200" s="35">
        <f t="shared" si="18"/>
        <v>-5</v>
      </c>
      <c r="K200" s="35">
        <f t="shared" si="16"/>
        <v>-50</v>
      </c>
      <c r="L200" s="35"/>
      <c r="M200" s="37">
        <f t="shared" si="17"/>
        <v>0</v>
      </c>
    </row>
    <row r="201" spans="1:13" x14ac:dyDescent="0.25">
      <c r="A201" s="56"/>
      <c r="G201" s="13"/>
      <c r="H201" s="35">
        <v>196</v>
      </c>
      <c r="I201" s="36" t="str">
        <f t="shared" si="15"/>
        <v/>
      </c>
      <c r="J201" s="35">
        <f t="shared" si="18"/>
        <v>-5</v>
      </c>
      <c r="K201" s="35">
        <f t="shared" si="16"/>
        <v>-50</v>
      </c>
      <c r="L201" s="35"/>
      <c r="M201" s="37">
        <f t="shared" si="17"/>
        <v>0</v>
      </c>
    </row>
    <row r="202" spans="1:13" x14ac:dyDescent="0.25">
      <c r="A202" s="56"/>
      <c r="G202" s="13"/>
      <c r="H202" s="35">
        <v>197</v>
      </c>
      <c r="I202" s="36" t="str">
        <f t="shared" si="15"/>
        <v/>
      </c>
      <c r="J202" s="35">
        <f t="shared" si="18"/>
        <v>-5</v>
      </c>
      <c r="K202" s="35">
        <f t="shared" si="16"/>
        <v>-50</v>
      </c>
      <c r="L202" s="35"/>
      <c r="M202" s="37">
        <f t="shared" si="17"/>
        <v>0</v>
      </c>
    </row>
    <row r="203" spans="1:13" x14ac:dyDescent="0.25">
      <c r="A203" s="56"/>
      <c r="G203" s="13"/>
      <c r="H203" s="35">
        <v>198</v>
      </c>
      <c r="I203" s="36" t="str">
        <f t="shared" si="15"/>
        <v/>
      </c>
      <c r="J203" s="35">
        <f t="shared" si="18"/>
        <v>-5</v>
      </c>
      <c r="K203" s="35">
        <f t="shared" si="16"/>
        <v>-50</v>
      </c>
      <c r="L203" s="35"/>
      <c r="M203" s="37">
        <f t="shared" si="17"/>
        <v>0</v>
      </c>
    </row>
    <row r="204" spans="1:13" x14ac:dyDescent="0.25">
      <c r="A204" s="56"/>
      <c r="G204" s="13"/>
      <c r="H204" s="35">
        <v>199</v>
      </c>
      <c r="I204" s="36" t="str">
        <f t="shared" si="15"/>
        <v/>
      </c>
      <c r="J204" s="35">
        <f t="shared" si="18"/>
        <v>-5</v>
      </c>
      <c r="K204" s="35">
        <f t="shared" si="16"/>
        <v>-50</v>
      </c>
      <c r="L204" s="35"/>
      <c r="M204" s="37">
        <f t="shared" si="17"/>
        <v>0</v>
      </c>
    </row>
    <row r="205" spans="1:13" x14ac:dyDescent="0.25">
      <c r="A205" s="56"/>
      <c r="G205" s="13"/>
      <c r="H205" s="35">
        <v>200</v>
      </c>
      <c r="I205" s="36" t="str">
        <f t="shared" si="15"/>
        <v/>
      </c>
      <c r="J205" s="35">
        <f t="shared" si="18"/>
        <v>-5</v>
      </c>
      <c r="K205" s="35">
        <f t="shared" si="16"/>
        <v>-50</v>
      </c>
      <c r="L205" s="35"/>
      <c r="M205" s="37">
        <f t="shared" si="17"/>
        <v>0</v>
      </c>
    </row>
    <row r="206" spans="1:13" x14ac:dyDescent="0.25">
      <c r="A206" s="56"/>
      <c r="G206" s="13"/>
      <c r="H206" s="35">
        <v>201</v>
      </c>
      <c r="I206" s="36" t="str">
        <f t="shared" si="15"/>
        <v/>
      </c>
      <c r="J206" s="35">
        <f t="shared" si="18"/>
        <v>-5</v>
      </c>
      <c r="K206" s="35">
        <f t="shared" si="16"/>
        <v>-50</v>
      </c>
      <c r="L206" s="35"/>
      <c r="M206" s="37">
        <f t="shared" si="17"/>
        <v>0</v>
      </c>
    </row>
    <row r="207" spans="1:13" x14ac:dyDescent="0.25">
      <c r="A207" s="56"/>
      <c r="G207" s="13"/>
      <c r="H207" s="35">
        <v>202</v>
      </c>
      <c r="I207" s="36" t="str">
        <f t="shared" si="15"/>
        <v/>
      </c>
      <c r="J207" s="35">
        <f t="shared" si="18"/>
        <v>-5</v>
      </c>
      <c r="K207" s="35">
        <f t="shared" si="16"/>
        <v>-50</v>
      </c>
      <c r="L207" s="35"/>
      <c r="M207" s="37">
        <f t="shared" si="17"/>
        <v>0</v>
      </c>
    </row>
    <row r="208" spans="1:13" x14ac:dyDescent="0.25">
      <c r="A208" s="56"/>
      <c r="G208" s="13"/>
      <c r="H208" s="35">
        <v>203</v>
      </c>
      <c r="I208" s="36" t="str">
        <f t="shared" si="15"/>
        <v/>
      </c>
      <c r="J208" s="35">
        <f t="shared" si="18"/>
        <v>-5</v>
      </c>
      <c r="K208" s="35">
        <f t="shared" si="16"/>
        <v>-50</v>
      </c>
      <c r="L208" s="35"/>
      <c r="M208" s="37">
        <f t="shared" si="17"/>
        <v>0</v>
      </c>
    </row>
    <row r="209" spans="1:13" x14ac:dyDescent="0.25">
      <c r="A209" s="56"/>
      <c r="G209" s="13"/>
      <c r="H209" s="35">
        <v>204</v>
      </c>
      <c r="I209" s="36" t="str">
        <f t="shared" si="15"/>
        <v/>
      </c>
      <c r="J209" s="35">
        <f t="shared" si="18"/>
        <v>-5</v>
      </c>
      <c r="K209" s="35">
        <f t="shared" si="16"/>
        <v>-50</v>
      </c>
      <c r="L209" s="35"/>
      <c r="M209" s="37">
        <f t="shared" si="17"/>
        <v>0</v>
      </c>
    </row>
    <row r="210" spans="1:13" x14ac:dyDescent="0.25">
      <c r="A210" s="56"/>
      <c r="G210" s="13"/>
      <c r="H210" s="35">
        <v>205</v>
      </c>
      <c r="I210" s="36" t="str">
        <f t="shared" si="15"/>
        <v/>
      </c>
      <c r="J210" s="35">
        <f t="shared" si="18"/>
        <v>-5</v>
      </c>
      <c r="K210" s="35">
        <f t="shared" si="16"/>
        <v>-50</v>
      </c>
      <c r="L210" s="35"/>
      <c r="M210" s="37">
        <f t="shared" si="17"/>
        <v>0</v>
      </c>
    </row>
    <row r="211" spans="1:13" x14ac:dyDescent="0.25">
      <c r="A211" s="56"/>
      <c r="G211" s="13"/>
      <c r="H211" s="35">
        <v>206</v>
      </c>
      <c r="I211" s="36" t="str">
        <f t="shared" si="15"/>
        <v/>
      </c>
      <c r="J211" s="35">
        <f t="shared" si="18"/>
        <v>-5</v>
      </c>
      <c r="K211" s="35">
        <f t="shared" si="16"/>
        <v>-50</v>
      </c>
      <c r="L211" s="35"/>
      <c r="M211" s="37">
        <f t="shared" si="17"/>
        <v>0</v>
      </c>
    </row>
    <row r="212" spans="1:13" x14ac:dyDescent="0.25">
      <c r="A212" s="56"/>
      <c r="G212" s="13"/>
      <c r="H212" s="35">
        <v>207</v>
      </c>
      <c r="I212" s="36" t="str">
        <f t="shared" si="15"/>
        <v/>
      </c>
      <c r="J212" s="35">
        <f t="shared" si="18"/>
        <v>-5</v>
      </c>
      <c r="K212" s="35">
        <f t="shared" si="16"/>
        <v>-50</v>
      </c>
      <c r="L212" s="35"/>
      <c r="M212" s="37">
        <f t="shared" si="17"/>
        <v>0</v>
      </c>
    </row>
    <row r="213" spans="1:13" x14ac:dyDescent="0.25">
      <c r="A213" s="56"/>
      <c r="G213" s="13"/>
      <c r="H213" s="35">
        <v>208</v>
      </c>
      <c r="I213" s="36" t="str">
        <f t="shared" si="15"/>
        <v/>
      </c>
      <c r="J213" s="35">
        <f t="shared" si="18"/>
        <v>-5</v>
      </c>
      <c r="K213" s="35">
        <f t="shared" si="16"/>
        <v>-50</v>
      </c>
      <c r="L213" s="35"/>
      <c r="M213" s="37">
        <f t="shared" si="17"/>
        <v>0</v>
      </c>
    </row>
    <row r="214" spans="1:13" x14ac:dyDescent="0.25">
      <c r="A214" s="56"/>
      <c r="G214" s="13"/>
      <c r="H214" s="35">
        <v>209</v>
      </c>
      <c r="I214" s="36" t="str">
        <f t="shared" si="15"/>
        <v/>
      </c>
      <c r="J214" s="35">
        <f t="shared" si="18"/>
        <v>-5</v>
      </c>
      <c r="K214" s="35">
        <f t="shared" si="16"/>
        <v>-50</v>
      </c>
      <c r="L214" s="35"/>
      <c r="M214" s="37">
        <f t="shared" si="17"/>
        <v>0</v>
      </c>
    </row>
    <row r="215" spans="1:13" x14ac:dyDescent="0.25">
      <c r="A215" s="56"/>
      <c r="G215" s="13"/>
      <c r="H215" s="35">
        <v>210</v>
      </c>
      <c r="I215" s="36" t="str">
        <f t="shared" si="15"/>
        <v/>
      </c>
      <c r="J215" s="35">
        <f t="shared" si="18"/>
        <v>-5</v>
      </c>
      <c r="K215" s="35">
        <f t="shared" si="16"/>
        <v>-50</v>
      </c>
      <c r="L215" s="35"/>
      <c r="M215" s="37">
        <f t="shared" si="17"/>
        <v>0</v>
      </c>
    </row>
    <row r="216" spans="1:13" x14ac:dyDescent="0.25">
      <c r="A216" s="56"/>
      <c r="G216" s="13"/>
      <c r="H216" s="35">
        <v>211</v>
      </c>
      <c r="I216" s="36" t="str">
        <f t="shared" si="15"/>
        <v/>
      </c>
      <c r="J216" s="35">
        <f t="shared" si="18"/>
        <v>-5</v>
      </c>
      <c r="K216" s="35">
        <f t="shared" si="16"/>
        <v>-50</v>
      </c>
      <c r="L216" s="35"/>
      <c r="M216" s="37">
        <f t="shared" si="17"/>
        <v>0</v>
      </c>
    </row>
    <row r="217" spans="1:13" x14ac:dyDescent="0.25">
      <c r="A217" s="56"/>
      <c r="G217" s="13"/>
      <c r="H217" s="35">
        <v>212</v>
      </c>
      <c r="I217" s="36" t="str">
        <f t="shared" si="15"/>
        <v/>
      </c>
      <c r="J217" s="35">
        <f t="shared" si="18"/>
        <v>-5</v>
      </c>
      <c r="K217" s="35">
        <f t="shared" si="16"/>
        <v>-50</v>
      </c>
      <c r="L217" s="35"/>
      <c r="M217" s="37">
        <f t="shared" si="17"/>
        <v>0</v>
      </c>
    </row>
    <row r="218" spans="1:13" x14ac:dyDescent="0.25">
      <c r="A218" s="56"/>
      <c r="G218" s="13"/>
      <c r="H218" s="35">
        <v>213</v>
      </c>
      <c r="I218" s="36" t="str">
        <f t="shared" si="15"/>
        <v/>
      </c>
      <c r="J218" s="35">
        <f t="shared" si="18"/>
        <v>-5</v>
      </c>
      <c r="K218" s="35">
        <f t="shared" si="16"/>
        <v>-50</v>
      </c>
      <c r="L218" s="35"/>
      <c r="M218" s="37">
        <f t="shared" si="17"/>
        <v>0</v>
      </c>
    </row>
    <row r="219" spans="1:13" x14ac:dyDescent="0.25">
      <c r="A219" s="56"/>
      <c r="G219" s="13"/>
      <c r="H219" s="35">
        <v>214</v>
      </c>
      <c r="I219" s="36" t="str">
        <f t="shared" si="15"/>
        <v/>
      </c>
      <c r="J219" s="35">
        <f t="shared" si="18"/>
        <v>-5</v>
      </c>
      <c r="K219" s="35">
        <f t="shared" si="16"/>
        <v>-50</v>
      </c>
      <c r="L219" s="35"/>
      <c r="M219" s="37">
        <f t="shared" si="17"/>
        <v>0</v>
      </c>
    </row>
    <row r="220" spans="1:13" x14ac:dyDescent="0.25">
      <c r="A220" s="56"/>
      <c r="G220" s="13"/>
      <c r="H220" s="35">
        <v>215</v>
      </c>
      <c r="I220" s="36" t="str">
        <f t="shared" si="15"/>
        <v/>
      </c>
      <c r="J220" s="35">
        <f t="shared" si="18"/>
        <v>-5</v>
      </c>
      <c r="K220" s="35">
        <f t="shared" si="16"/>
        <v>-50</v>
      </c>
      <c r="L220" s="35"/>
      <c r="M220" s="37">
        <f t="shared" si="17"/>
        <v>0</v>
      </c>
    </row>
    <row r="221" spans="1:13" x14ac:dyDescent="0.25">
      <c r="A221" s="56"/>
      <c r="G221" s="13"/>
      <c r="H221" s="35">
        <v>216</v>
      </c>
      <c r="I221" s="36" t="str">
        <f t="shared" si="15"/>
        <v/>
      </c>
      <c r="J221" s="35">
        <f t="shared" si="18"/>
        <v>-5</v>
      </c>
      <c r="K221" s="35">
        <f t="shared" si="16"/>
        <v>-50</v>
      </c>
      <c r="L221" s="35"/>
      <c r="M221" s="37">
        <f t="shared" si="17"/>
        <v>0</v>
      </c>
    </row>
    <row r="222" spans="1:13" x14ac:dyDescent="0.25">
      <c r="A222" s="56"/>
      <c r="G222" s="13"/>
      <c r="H222" s="35">
        <v>217</v>
      </c>
      <c r="I222" s="36" t="str">
        <f t="shared" si="15"/>
        <v/>
      </c>
      <c r="J222" s="35">
        <f t="shared" si="18"/>
        <v>-5</v>
      </c>
      <c r="K222" s="35">
        <f t="shared" si="16"/>
        <v>-50</v>
      </c>
      <c r="L222" s="35"/>
      <c r="M222" s="37">
        <f t="shared" si="17"/>
        <v>0</v>
      </c>
    </row>
    <row r="223" spans="1:13" x14ac:dyDescent="0.25">
      <c r="A223" s="56"/>
      <c r="G223" s="13"/>
      <c r="H223" s="35">
        <v>218</v>
      </c>
      <c r="I223" s="36" t="str">
        <f t="shared" si="15"/>
        <v/>
      </c>
      <c r="J223" s="35">
        <f t="shared" si="18"/>
        <v>-5</v>
      </c>
      <c r="K223" s="35">
        <f t="shared" si="16"/>
        <v>-50</v>
      </c>
      <c r="L223" s="35"/>
      <c r="M223" s="37">
        <f t="shared" si="17"/>
        <v>0</v>
      </c>
    </row>
    <row r="224" spans="1:13" x14ac:dyDescent="0.25">
      <c r="A224" s="56"/>
      <c r="G224" s="13"/>
      <c r="H224" s="35">
        <v>219</v>
      </c>
      <c r="I224" s="36" t="str">
        <f t="shared" si="15"/>
        <v/>
      </c>
      <c r="J224" s="35">
        <f t="shared" si="18"/>
        <v>-5</v>
      </c>
      <c r="K224" s="35">
        <f t="shared" si="16"/>
        <v>-50</v>
      </c>
      <c r="L224" s="35"/>
      <c r="M224" s="37">
        <f t="shared" si="17"/>
        <v>0</v>
      </c>
    </row>
    <row r="225" spans="1:13" x14ac:dyDescent="0.25">
      <c r="A225" s="56"/>
      <c r="G225" s="13"/>
      <c r="H225" s="35">
        <v>220</v>
      </c>
      <c r="I225" s="36" t="str">
        <f t="shared" si="15"/>
        <v/>
      </c>
      <c r="J225" s="35">
        <f t="shared" si="18"/>
        <v>-5</v>
      </c>
      <c r="K225" s="35">
        <f t="shared" si="16"/>
        <v>-50</v>
      </c>
      <c r="L225" s="35"/>
      <c r="M225" s="37">
        <f t="shared" si="17"/>
        <v>0</v>
      </c>
    </row>
    <row r="226" spans="1:13" x14ac:dyDescent="0.25">
      <c r="A226" s="56"/>
      <c r="G226" s="13"/>
      <c r="H226" s="35">
        <v>221</v>
      </c>
      <c r="I226" s="36" t="str">
        <f t="shared" si="15"/>
        <v/>
      </c>
      <c r="J226" s="35">
        <f t="shared" si="18"/>
        <v>-5</v>
      </c>
      <c r="K226" s="35">
        <f t="shared" si="16"/>
        <v>-50</v>
      </c>
      <c r="L226" s="35"/>
      <c r="M226" s="37">
        <f t="shared" si="17"/>
        <v>0</v>
      </c>
    </row>
    <row r="227" spans="1:13" x14ac:dyDescent="0.25">
      <c r="A227" s="56"/>
      <c r="G227" s="13"/>
      <c r="H227" s="35">
        <v>222</v>
      </c>
      <c r="I227" s="36" t="str">
        <f t="shared" si="15"/>
        <v/>
      </c>
      <c r="J227" s="35">
        <f t="shared" si="18"/>
        <v>-5</v>
      </c>
      <c r="K227" s="35">
        <f t="shared" si="16"/>
        <v>-50</v>
      </c>
      <c r="L227" s="35"/>
      <c r="M227" s="37">
        <f t="shared" si="17"/>
        <v>0</v>
      </c>
    </row>
    <row r="228" spans="1:13" x14ac:dyDescent="0.25">
      <c r="A228" s="56"/>
      <c r="G228" s="13"/>
      <c r="H228" s="35">
        <v>223</v>
      </c>
      <c r="I228" s="36" t="str">
        <f t="shared" si="15"/>
        <v/>
      </c>
      <c r="J228" s="35">
        <f t="shared" si="18"/>
        <v>-5</v>
      </c>
      <c r="K228" s="35">
        <f t="shared" si="16"/>
        <v>-50</v>
      </c>
      <c r="L228" s="35"/>
      <c r="M228" s="37">
        <f t="shared" si="17"/>
        <v>0</v>
      </c>
    </row>
    <row r="229" spans="1:13" x14ac:dyDescent="0.25">
      <c r="A229" s="56"/>
      <c r="G229" s="13"/>
      <c r="H229" s="35">
        <v>224</v>
      </c>
      <c r="I229" s="36" t="str">
        <f t="shared" si="15"/>
        <v/>
      </c>
      <c r="J229" s="35">
        <f t="shared" si="18"/>
        <v>-5</v>
      </c>
      <c r="K229" s="35">
        <f t="shared" si="16"/>
        <v>-50</v>
      </c>
      <c r="L229" s="35"/>
      <c r="M229" s="37">
        <f t="shared" si="17"/>
        <v>0</v>
      </c>
    </row>
    <row r="230" spans="1:13" x14ac:dyDescent="0.25">
      <c r="A230" s="56"/>
      <c r="G230" s="13"/>
      <c r="H230" s="35">
        <v>225</v>
      </c>
      <c r="I230" s="36" t="str">
        <f t="shared" si="15"/>
        <v/>
      </c>
      <c r="J230" s="35">
        <f t="shared" si="18"/>
        <v>-5</v>
      </c>
      <c r="K230" s="35">
        <f t="shared" si="16"/>
        <v>-50</v>
      </c>
      <c r="L230" s="35"/>
      <c r="M230" s="37">
        <f t="shared" si="17"/>
        <v>0</v>
      </c>
    </row>
    <row r="231" spans="1:13" x14ac:dyDescent="0.25">
      <c r="A231" s="56"/>
      <c r="G231" s="13"/>
      <c r="H231" s="35">
        <v>226</v>
      </c>
      <c r="I231" s="36" t="str">
        <f t="shared" si="15"/>
        <v/>
      </c>
      <c r="J231" s="35">
        <f t="shared" si="18"/>
        <v>-5</v>
      </c>
      <c r="K231" s="35">
        <f t="shared" si="16"/>
        <v>-50</v>
      </c>
      <c r="L231" s="35"/>
      <c r="M231" s="37">
        <f t="shared" si="17"/>
        <v>0</v>
      </c>
    </row>
    <row r="232" spans="1:13" x14ac:dyDescent="0.25">
      <c r="A232" s="56"/>
      <c r="G232" s="13"/>
      <c r="H232" s="35">
        <v>227</v>
      </c>
      <c r="I232" s="36" t="str">
        <f t="shared" si="15"/>
        <v/>
      </c>
      <c r="J232" s="35">
        <f t="shared" si="18"/>
        <v>-5</v>
      </c>
      <c r="K232" s="35">
        <f t="shared" si="16"/>
        <v>-50</v>
      </c>
      <c r="L232" s="35"/>
      <c r="M232" s="37">
        <f t="shared" si="17"/>
        <v>0</v>
      </c>
    </row>
    <row r="233" spans="1:13" x14ac:dyDescent="0.25">
      <c r="A233" s="56"/>
      <c r="G233" s="13"/>
      <c r="H233" s="35">
        <v>228</v>
      </c>
      <c r="I233" s="36" t="str">
        <f t="shared" si="15"/>
        <v/>
      </c>
      <c r="J233" s="35">
        <f t="shared" si="18"/>
        <v>-5</v>
      </c>
      <c r="K233" s="35">
        <f t="shared" si="16"/>
        <v>-50</v>
      </c>
      <c r="L233" s="35"/>
      <c r="M233" s="37">
        <f t="shared" si="17"/>
        <v>0</v>
      </c>
    </row>
    <row r="234" spans="1:13" x14ac:dyDescent="0.25">
      <c r="A234" s="56"/>
      <c r="G234" s="13"/>
      <c r="H234" s="35">
        <v>229</v>
      </c>
      <c r="I234" s="36" t="str">
        <f t="shared" si="15"/>
        <v/>
      </c>
      <c r="J234" s="35">
        <f t="shared" si="18"/>
        <v>-5</v>
      </c>
      <c r="K234" s="35">
        <f t="shared" si="16"/>
        <v>-50</v>
      </c>
      <c r="L234" s="35"/>
      <c r="M234" s="37">
        <f t="shared" si="17"/>
        <v>0</v>
      </c>
    </row>
    <row r="235" spans="1:13" x14ac:dyDescent="0.25">
      <c r="A235" s="56"/>
      <c r="G235" s="13"/>
      <c r="H235" s="35">
        <v>230</v>
      </c>
      <c r="I235" s="36" t="str">
        <f t="shared" si="15"/>
        <v/>
      </c>
      <c r="J235" s="35">
        <f t="shared" si="18"/>
        <v>-5</v>
      </c>
      <c r="K235" s="35">
        <f t="shared" si="16"/>
        <v>-50</v>
      </c>
      <c r="L235" s="35"/>
      <c r="M235" s="37">
        <f t="shared" si="17"/>
        <v>0</v>
      </c>
    </row>
    <row r="236" spans="1:13" x14ac:dyDescent="0.25">
      <c r="A236" s="56"/>
      <c r="G236" s="13"/>
      <c r="H236" s="35">
        <v>231</v>
      </c>
      <c r="I236" s="36" t="str">
        <f t="shared" si="15"/>
        <v/>
      </c>
      <c r="J236" s="35">
        <f t="shared" si="18"/>
        <v>-5</v>
      </c>
      <c r="K236" s="35">
        <f t="shared" si="16"/>
        <v>-50</v>
      </c>
      <c r="L236" s="35"/>
      <c r="M236" s="37">
        <f t="shared" si="17"/>
        <v>0</v>
      </c>
    </row>
    <row r="237" spans="1:13" x14ac:dyDescent="0.25">
      <c r="A237" s="56"/>
      <c r="G237" s="13"/>
      <c r="H237" s="35">
        <v>232</v>
      </c>
      <c r="I237" s="36" t="str">
        <f t="shared" si="15"/>
        <v/>
      </c>
      <c r="J237" s="35">
        <f t="shared" si="18"/>
        <v>-5</v>
      </c>
      <c r="K237" s="35">
        <f t="shared" si="16"/>
        <v>-50</v>
      </c>
      <c r="L237" s="35"/>
      <c r="M237" s="37">
        <f t="shared" si="17"/>
        <v>0</v>
      </c>
    </row>
    <row r="238" spans="1:13" x14ac:dyDescent="0.25">
      <c r="A238" s="56"/>
      <c r="G238" s="13"/>
      <c r="H238" s="35">
        <v>233</v>
      </c>
      <c r="I238" s="36" t="str">
        <f t="shared" si="15"/>
        <v/>
      </c>
      <c r="J238" s="35">
        <f t="shared" si="18"/>
        <v>-5</v>
      </c>
      <c r="K238" s="35">
        <f t="shared" si="16"/>
        <v>-50</v>
      </c>
      <c r="L238" s="35"/>
      <c r="M238" s="37">
        <f t="shared" si="17"/>
        <v>0</v>
      </c>
    </row>
    <row r="239" spans="1:13" x14ac:dyDescent="0.25">
      <c r="A239" s="56"/>
      <c r="G239" s="13"/>
      <c r="H239" s="35">
        <v>234</v>
      </c>
      <c r="I239" s="36" t="str">
        <f t="shared" si="15"/>
        <v/>
      </c>
      <c r="J239" s="35">
        <f t="shared" si="18"/>
        <v>-5</v>
      </c>
      <c r="K239" s="35">
        <f t="shared" si="16"/>
        <v>-50</v>
      </c>
      <c r="L239" s="35"/>
      <c r="M239" s="37">
        <f t="shared" si="17"/>
        <v>0</v>
      </c>
    </row>
    <row r="240" spans="1:13" x14ac:dyDescent="0.25">
      <c r="A240" s="56"/>
      <c r="G240" s="13"/>
      <c r="H240" s="35">
        <v>235</v>
      </c>
      <c r="I240" s="36" t="str">
        <f t="shared" si="15"/>
        <v/>
      </c>
      <c r="J240" s="35">
        <f t="shared" si="18"/>
        <v>-5</v>
      </c>
      <c r="K240" s="35">
        <f t="shared" si="16"/>
        <v>-50</v>
      </c>
      <c r="L240" s="35"/>
      <c r="M240" s="37">
        <f t="shared" si="17"/>
        <v>0</v>
      </c>
    </row>
    <row r="241" spans="1:13" x14ac:dyDescent="0.25">
      <c r="A241" s="56"/>
      <c r="G241" s="13"/>
      <c r="H241" s="35">
        <v>236</v>
      </c>
      <c r="I241" s="36" t="str">
        <f t="shared" si="15"/>
        <v/>
      </c>
      <c r="J241" s="35">
        <f t="shared" si="18"/>
        <v>-5</v>
      </c>
      <c r="K241" s="35">
        <f t="shared" si="16"/>
        <v>-50</v>
      </c>
      <c r="L241" s="35"/>
      <c r="M241" s="37">
        <f t="shared" si="17"/>
        <v>0</v>
      </c>
    </row>
    <row r="242" spans="1:13" x14ac:dyDescent="0.25">
      <c r="A242" s="56"/>
      <c r="G242" s="13"/>
      <c r="H242" s="35">
        <v>237</v>
      </c>
      <c r="I242" s="36" t="str">
        <f t="shared" si="15"/>
        <v/>
      </c>
      <c r="J242" s="35">
        <f t="shared" si="18"/>
        <v>-5</v>
      </c>
      <c r="K242" s="35">
        <f t="shared" si="16"/>
        <v>-50</v>
      </c>
      <c r="L242" s="35"/>
      <c r="M242" s="37">
        <f t="shared" si="17"/>
        <v>0</v>
      </c>
    </row>
    <row r="243" spans="1:13" x14ac:dyDescent="0.25">
      <c r="A243" s="56"/>
      <c r="G243" s="13"/>
      <c r="H243" s="35">
        <v>238</v>
      </c>
      <c r="I243" s="36" t="str">
        <f t="shared" si="15"/>
        <v/>
      </c>
      <c r="J243" s="35">
        <f t="shared" si="18"/>
        <v>-5</v>
      </c>
      <c r="K243" s="35">
        <f t="shared" si="16"/>
        <v>-50</v>
      </c>
      <c r="L243" s="35"/>
      <c r="M243" s="37">
        <f t="shared" si="17"/>
        <v>0</v>
      </c>
    </row>
    <row r="244" spans="1:13" x14ac:dyDescent="0.25">
      <c r="A244" s="56"/>
      <c r="G244" s="13"/>
      <c r="H244" s="35">
        <v>239</v>
      </c>
      <c r="I244" s="36" t="str">
        <f t="shared" si="15"/>
        <v/>
      </c>
      <c r="J244" s="35">
        <f t="shared" si="18"/>
        <v>-5</v>
      </c>
      <c r="K244" s="35">
        <f t="shared" si="16"/>
        <v>-50</v>
      </c>
      <c r="L244" s="35"/>
      <c r="M244" s="37">
        <f t="shared" si="17"/>
        <v>0</v>
      </c>
    </row>
    <row r="245" spans="1:13" x14ac:dyDescent="0.25">
      <c r="A245" s="56"/>
      <c r="G245" s="13"/>
      <c r="H245" s="35">
        <v>240</v>
      </c>
      <c r="I245" s="36" t="str">
        <f t="shared" si="15"/>
        <v/>
      </c>
      <c r="J245" s="35">
        <f t="shared" si="18"/>
        <v>-5</v>
      </c>
      <c r="K245" s="35">
        <f t="shared" si="16"/>
        <v>-50</v>
      </c>
      <c r="L245" s="35"/>
      <c r="M245" s="37">
        <f t="shared" si="17"/>
        <v>0</v>
      </c>
    </row>
    <row r="246" spans="1:13" x14ac:dyDescent="0.25">
      <c r="A246" s="56"/>
      <c r="G246" s="13"/>
      <c r="H246" s="35">
        <v>241</v>
      </c>
      <c r="I246" s="36" t="str">
        <f t="shared" si="15"/>
        <v/>
      </c>
      <c r="J246" s="35">
        <f t="shared" si="18"/>
        <v>-5</v>
      </c>
      <c r="K246" s="35">
        <f t="shared" si="16"/>
        <v>-50</v>
      </c>
      <c r="L246" s="35"/>
      <c r="M246" s="37">
        <f t="shared" si="17"/>
        <v>0</v>
      </c>
    </row>
    <row r="247" spans="1:13" x14ac:dyDescent="0.25">
      <c r="A247" s="56"/>
      <c r="G247" s="13"/>
      <c r="H247" s="35">
        <v>242</v>
      </c>
      <c r="I247" s="36" t="str">
        <f t="shared" si="15"/>
        <v/>
      </c>
      <c r="J247" s="35">
        <f t="shared" si="18"/>
        <v>-5</v>
      </c>
      <c r="K247" s="35">
        <f t="shared" si="16"/>
        <v>-50</v>
      </c>
      <c r="L247" s="35"/>
      <c r="M247" s="37">
        <f t="shared" si="17"/>
        <v>0</v>
      </c>
    </row>
    <row r="248" spans="1:13" x14ac:dyDescent="0.25">
      <c r="A248" s="56"/>
      <c r="G248" s="13"/>
      <c r="H248" s="35">
        <v>243</v>
      </c>
      <c r="I248" s="36" t="str">
        <f t="shared" si="15"/>
        <v/>
      </c>
      <c r="J248" s="35">
        <f t="shared" si="18"/>
        <v>-5</v>
      </c>
      <c r="K248" s="35">
        <f t="shared" si="16"/>
        <v>-50</v>
      </c>
      <c r="L248" s="35"/>
      <c r="M248" s="37">
        <f t="shared" si="17"/>
        <v>0</v>
      </c>
    </row>
    <row r="249" spans="1:13" x14ac:dyDescent="0.25">
      <c r="A249" s="56"/>
      <c r="G249" s="13"/>
      <c r="H249" s="35">
        <v>244</v>
      </c>
      <c r="I249" s="36" t="str">
        <f t="shared" si="15"/>
        <v/>
      </c>
      <c r="J249" s="35">
        <f t="shared" si="18"/>
        <v>-5</v>
      </c>
      <c r="K249" s="35">
        <f t="shared" si="16"/>
        <v>-50</v>
      </c>
      <c r="L249" s="35"/>
      <c r="M249" s="37">
        <f t="shared" si="17"/>
        <v>0</v>
      </c>
    </row>
    <row r="250" spans="1:13" x14ac:dyDescent="0.25">
      <c r="A250" s="56"/>
      <c r="G250" s="13"/>
      <c r="H250" s="35">
        <v>245</v>
      </c>
      <c r="I250" s="36" t="str">
        <f t="shared" si="15"/>
        <v/>
      </c>
      <c r="J250" s="35">
        <f t="shared" si="18"/>
        <v>-5</v>
      </c>
      <c r="K250" s="35">
        <f t="shared" si="16"/>
        <v>-50</v>
      </c>
      <c r="L250" s="35"/>
      <c r="M250" s="37">
        <f t="shared" si="17"/>
        <v>0</v>
      </c>
    </row>
    <row r="251" spans="1:13" x14ac:dyDescent="0.25">
      <c r="A251" s="56"/>
      <c r="G251" s="13"/>
      <c r="H251" s="35">
        <v>246</v>
      </c>
      <c r="I251" s="36" t="str">
        <f t="shared" si="15"/>
        <v/>
      </c>
      <c r="J251" s="35">
        <f t="shared" si="18"/>
        <v>-5</v>
      </c>
      <c r="K251" s="35">
        <f t="shared" si="16"/>
        <v>-50</v>
      </c>
      <c r="L251" s="35"/>
      <c r="M251" s="37">
        <f t="shared" si="17"/>
        <v>0</v>
      </c>
    </row>
    <row r="252" spans="1:13" x14ac:dyDescent="0.25">
      <c r="A252" s="56"/>
      <c r="G252" s="13"/>
      <c r="H252" s="35">
        <v>247</v>
      </c>
      <c r="I252" s="36" t="str">
        <f t="shared" si="15"/>
        <v/>
      </c>
      <c r="J252" s="35">
        <f t="shared" si="18"/>
        <v>-5</v>
      </c>
      <c r="K252" s="35">
        <f t="shared" si="16"/>
        <v>-50</v>
      </c>
      <c r="L252" s="35"/>
      <c r="M252" s="37">
        <f t="shared" si="17"/>
        <v>0</v>
      </c>
    </row>
    <row r="253" spans="1:13" x14ac:dyDescent="0.25">
      <c r="A253" s="56"/>
      <c r="G253" s="13"/>
      <c r="H253" s="35">
        <v>248</v>
      </c>
      <c r="I253" s="36" t="str">
        <f t="shared" si="15"/>
        <v/>
      </c>
      <c r="J253" s="35">
        <f t="shared" si="18"/>
        <v>-5</v>
      </c>
      <c r="K253" s="35">
        <f t="shared" si="16"/>
        <v>-50</v>
      </c>
      <c r="L253" s="35"/>
      <c r="M253" s="37">
        <f t="shared" si="17"/>
        <v>0</v>
      </c>
    </row>
    <row r="254" spans="1:13" x14ac:dyDescent="0.25">
      <c r="A254" s="56"/>
      <c r="G254" s="13"/>
      <c r="H254" s="35">
        <v>249</v>
      </c>
      <c r="I254" s="36" t="str">
        <f t="shared" si="15"/>
        <v/>
      </c>
      <c r="J254" s="35">
        <f t="shared" si="18"/>
        <v>-5</v>
      </c>
      <c r="K254" s="35">
        <f t="shared" si="16"/>
        <v>-50</v>
      </c>
      <c r="L254" s="35"/>
      <c r="M254" s="37">
        <f t="shared" si="17"/>
        <v>0</v>
      </c>
    </row>
    <row r="255" spans="1:13" x14ac:dyDescent="0.25">
      <c r="A255" s="56"/>
      <c r="G255" s="13"/>
      <c r="H255" s="35">
        <v>250</v>
      </c>
      <c r="I255" s="36" t="str">
        <f t="shared" si="15"/>
        <v/>
      </c>
      <c r="J255" s="35">
        <f t="shared" si="18"/>
        <v>-5</v>
      </c>
      <c r="K255" s="35">
        <f t="shared" si="16"/>
        <v>-50</v>
      </c>
      <c r="L255" s="35"/>
      <c r="M255" s="37">
        <f t="shared" si="17"/>
        <v>0</v>
      </c>
    </row>
    <row r="256" spans="1:13" x14ac:dyDescent="0.25">
      <c r="A256" s="56"/>
      <c r="G256" s="13"/>
      <c r="H256" s="35">
        <v>251</v>
      </c>
      <c r="I256" s="36" t="str">
        <f t="shared" si="15"/>
        <v/>
      </c>
      <c r="J256" s="35">
        <f t="shared" si="18"/>
        <v>-5</v>
      </c>
      <c r="K256" s="35">
        <f t="shared" si="16"/>
        <v>-50</v>
      </c>
      <c r="L256" s="35"/>
      <c r="M256" s="37">
        <f t="shared" si="17"/>
        <v>0</v>
      </c>
    </row>
    <row r="257" spans="1:13" x14ac:dyDescent="0.25">
      <c r="A257" s="56"/>
      <c r="G257" s="13"/>
      <c r="H257" s="35">
        <v>252</v>
      </c>
      <c r="I257" s="36" t="str">
        <f t="shared" si="15"/>
        <v/>
      </c>
      <c r="J257" s="35">
        <f t="shared" si="18"/>
        <v>-5</v>
      </c>
      <c r="K257" s="35">
        <f t="shared" si="16"/>
        <v>-50</v>
      </c>
      <c r="L257" s="35"/>
      <c r="M257" s="37">
        <f t="shared" si="17"/>
        <v>0</v>
      </c>
    </row>
    <row r="258" spans="1:13" x14ac:dyDescent="0.25">
      <c r="A258" s="56"/>
      <c r="G258" s="13"/>
      <c r="H258" s="35">
        <v>253</v>
      </c>
      <c r="I258" s="36" t="str">
        <f t="shared" si="15"/>
        <v/>
      </c>
      <c r="J258" s="35">
        <f t="shared" si="18"/>
        <v>-5</v>
      </c>
      <c r="K258" s="35">
        <f t="shared" si="16"/>
        <v>-50</v>
      </c>
      <c r="L258" s="35"/>
      <c r="M258" s="37">
        <f t="shared" si="17"/>
        <v>0</v>
      </c>
    </row>
    <row r="259" spans="1:13" x14ac:dyDescent="0.25">
      <c r="A259" s="56"/>
      <c r="G259" s="13"/>
      <c r="H259" s="35">
        <v>254</v>
      </c>
      <c r="I259" s="36" t="str">
        <f t="shared" si="15"/>
        <v/>
      </c>
      <c r="J259" s="35">
        <f t="shared" si="18"/>
        <v>-5</v>
      </c>
      <c r="K259" s="35">
        <f t="shared" si="16"/>
        <v>-50</v>
      </c>
      <c r="L259" s="35"/>
      <c r="M259" s="37">
        <f t="shared" si="17"/>
        <v>0</v>
      </c>
    </row>
    <row r="260" spans="1:13" x14ac:dyDescent="0.25">
      <c r="A260" s="56"/>
      <c r="G260" s="13"/>
      <c r="H260" s="35">
        <v>255</v>
      </c>
      <c r="I260" s="36" t="str">
        <f t="shared" si="15"/>
        <v/>
      </c>
      <c r="J260" s="35">
        <f t="shared" si="18"/>
        <v>-5</v>
      </c>
      <c r="K260" s="35">
        <f t="shared" si="16"/>
        <v>-50</v>
      </c>
      <c r="L260" s="35"/>
      <c r="M260" s="37">
        <f t="shared" si="17"/>
        <v>0</v>
      </c>
    </row>
    <row r="261" spans="1:13" x14ac:dyDescent="0.25">
      <c r="A261" s="56"/>
      <c r="G261" s="13"/>
      <c r="H261" s="35">
        <v>256</v>
      </c>
      <c r="I261" s="36" t="str">
        <f t="shared" si="15"/>
        <v/>
      </c>
      <c r="J261" s="35">
        <f t="shared" si="18"/>
        <v>-5</v>
      </c>
      <c r="K261" s="35">
        <f t="shared" si="16"/>
        <v>-50</v>
      </c>
      <c r="L261" s="35"/>
      <c r="M261" s="37">
        <f t="shared" si="17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5">
        <f t="shared" si="18"/>
        <v>-6</v>
      </c>
      <c r="K262" s="35">
        <f t="shared" ref="K262:K305" si="20">J262*$J$2</f>
        <v>-60</v>
      </c>
      <c r="L262" s="35"/>
      <c r="M262" s="37">
        <f t="shared" ref="M262:M305" si="21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9"/>
        <v/>
      </c>
      <c r="J263" s="35">
        <f t="shared" ref="J263:J305" si="22">INT(LOG($H$2,2))-ROUNDUP(LOG(H263,2),0)+IF(OR($H$2=1,$H$2=2,$H$2=4,$H$2=8,$H$2=16,$H$2=32,$H$2=64,$H$2=128,$H$2=256),0,1)</f>
        <v>-6</v>
      </c>
      <c r="K263" s="35">
        <f t="shared" si="20"/>
        <v>-60</v>
      </c>
      <c r="L263" s="35"/>
      <c r="M263" s="37">
        <f t="shared" si="21"/>
        <v>0</v>
      </c>
    </row>
    <row r="264" spans="1:13" x14ac:dyDescent="0.25">
      <c r="A264" s="56"/>
      <c r="G264" s="13"/>
      <c r="H264" s="35">
        <v>259</v>
      </c>
      <c r="I264" s="36" t="str">
        <f t="shared" si="19"/>
        <v/>
      </c>
      <c r="J264" s="35">
        <f t="shared" si="22"/>
        <v>-6</v>
      </c>
      <c r="K264" s="35">
        <f t="shared" si="20"/>
        <v>-60</v>
      </c>
      <c r="L264" s="35"/>
      <c r="M264" s="37">
        <f t="shared" si="21"/>
        <v>0</v>
      </c>
    </row>
    <row r="265" spans="1:13" x14ac:dyDescent="0.25">
      <c r="A265" s="56"/>
      <c r="G265" s="13"/>
      <c r="H265" s="35">
        <v>260</v>
      </c>
      <c r="I265" s="36" t="str">
        <f t="shared" si="19"/>
        <v/>
      </c>
      <c r="J265" s="35">
        <f t="shared" si="22"/>
        <v>-6</v>
      </c>
      <c r="K265" s="35">
        <f t="shared" si="20"/>
        <v>-60</v>
      </c>
      <c r="L265" s="35"/>
      <c r="M265" s="37">
        <f t="shared" si="21"/>
        <v>0</v>
      </c>
    </row>
    <row r="266" spans="1:13" x14ac:dyDescent="0.25">
      <c r="A266" s="56"/>
      <c r="G266" s="13"/>
      <c r="H266" s="35">
        <v>261</v>
      </c>
      <c r="I266" s="36" t="str">
        <f t="shared" si="19"/>
        <v/>
      </c>
      <c r="J266" s="35">
        <f t="shared" si="22"/>
        <v>-6</v>
      </c>
      <c r="K266" s="35">
        <f t="shared" si="20"/>
        <v>-60</v>
      </c>
      <c r="L266" s="35"/>
      <c r="M266" s="37">
        <f t="shared" si="21"/>
        <v>0</v>
      </c>
    </row>
    <row r="267" spans="1:13" x14ac:dyDescent="0.25">
      <c r="A267" s="56"/>
      <c r="G267" s="13"/>
      <c r="H267" s="35">
        <v>262</v>
      </c>
      <c r="I267" s="36" t="str">
        <f t="shared" si="19"/>
        <v/>
      </c>
      <c r="J267" s="35">
        <f t="shared" si="22"/>
        <v>-6</v>
      </c>
      <c r="K267" s="35">
        <f t="shared" si="20"/>
        <v>-60</v>
      </c>
      <c r="L267" s="35"/>
      <c r="M267" s="37">
        <f t="shared" si="21"/>
        <v>0</v>
      </c>
    </row>
    <row r="268" spans="1:13" x14ac:dyDescent="0.25">
      <c r="A268" s="56"/>
      <c r="G268" s="13"/>
      <c r="H268" s="35">
        <v>263</v>
      </c>
      <c r="I268" s="36" t="str">
        <f t="shared" si="19"/>
        <v/>
      </c>
      <c r="J268" s="35">
        <f t="shared" si="22"/>
        <v>-6</v>
      </c>
      <c r="K268" s="35">
        <f t="shared" si="20"/>
        <v>-60</v>
      </c>
      <c r="L268" s="35"/>
      <c r="M268" s="37">
        <f t="shared" si="21"/>
        <v>0</v>
      </c>
    </row>
    <row r="269" spans="1:13" x14ac:dyDescent="0.25">
      <c r="A269" s="56"/>
      <c r="G269" s="13"/>
      <c r="H269" s="35">
        <v>264</v>
      </c>
      <c r="I269" s="36" t="str">
        <f t="shared" si="19"/>
        <v/>
      </c>
      <c r="J269" s="35">
        <f t="shared" si="22"/>
        <v>-6</v>
      </c>
      <c r="K269" s="35">
        <f t="shared" si="20"/>
        <v>-60</v>
      </c>
      <c r="L269" s="35"/>
      <c r="M269" s="37">
        <f t="shared" si="21"/>
        <v>0</v>
      </c>
    </row>
    <row r="270" spans="1:13" x14ac:dyDescent="0.25">
      <c r="A270" s="56"/>
      <c r="G270" s="13"/>
      <c r="H270" s="35">
        <v>265</v>
      </c>
      <c r="I270" s="36" t="str">
        <f t="shared" si="19"/>
        <v/>
      </c>
      <c r="J270" s="35">
        <f t="shared" si="22"/>
        <v>-6</v>
      </c>
      <c r="K270" s="35">
        <f t="shared" si="20"/>
        <v>-60</v>
      </c>
      <c r="L270" s="35"/>
      <c r="M270" s="37">
        <f t="shared" si="21"/>
        <v>0</v>
      </c>
    </row>
    <row r="271" spans="1:13" x14ac:dyDescent="0.25">
      <c r="A271" s="56"/>
      <c r="G271" s="13"/>
      <c r="H271" s="35">
        <v>266</v>
      </c>
      <c r="I271" s="36" t="str">
        <f t="shared" si="19"/>
        <v/>
      </c>
      <c r="J271" s="35">
        <f t="shared" si="22"/>
        <v>-6</v>
      </c>
      <c r="K271" s="35">
        <f t="shared" si="20"/>
        <v>-60</v>
      </c>
      <c r="L271" s="35"/>
      <c r="M271" s="37">
        <f t="shared" si="21"/>
        <v>0</v>
      </c>
    </row>
    <row r="272" spans="1:13" x14ac:dyDescent="0.25">
      <c r="A272" s="56"/>
      <c r="G272" s="13"/>
      <c r="H272" s="35">
        <v>267</v>
      </c>
      <c r="I272" s="36" t="str">
        <f t="shared" si="19"/>
        <v/>
      </c>
      <c r="J272" s="35">
        <f t="shared" si="22"/>
        <v>-6</v>
      </c>
      <c r="K272" s="35">
        <f t="shared" si="20"/>
        <v>-60</v>
      </c>
      <c r="L272" s="35"/>
      <c r="M272" s="37">
        <f t="shared" si="21"/>
        <v>0</v>
      </c>
    </row>
    <row r="273" spans="1:13" x14ac:dyDescent="0.25">
      <c r="A273" s="56"/>
      <c r="G273" s="13"/>
      <c r="H273" s="35">
        <v>268</v>
      </c>
      <c r="I273" s="36" t="str">
        <f t="shared" si="19"/>
        <v/>
      </c>
      <c r="J273" s="35">
        <f t="shared" si="22"/>
        <v>-6</v>
      </c>
      <c r="K273" s="35">
        <f t="shared" si="20"/>
        <v>-60</v>
      </c>
      <c r="L273" s="35"/>
      <c r="M273" s="37">
        <f t="shared" si="21"/>
        <v>0</v>
      </c>
    </row>
    <row r="274" spans="1:13" x14ac:dyDescent="0.25">
      <c r="A274" s="56"/>
      <c r="G274" s="13"/>
      <c r="H274" s="35">
        <v>269</v>
      </c>
      <c r="I274" s="36" t="str">
        <f t="shared" si="19"/>
        <v/>
      </c>
      <c r="J274" s="35">
        <f t="shared" si="22"/>
        <v>-6</v>
      </c>
      <c r="K274" s="35">
        <f t="shared" si="20"/>
        <v>-60</v>
      </c>
      <c r="L274" s="35"/>
      <c r="M274" s="37">
        <f t="shared" si="21"/>
        <v>0</v>
      </c>
    </row>
    <row r="275" spans="1:13" x14ac:dyDescent="0.25">
      <c r="A275" s="56"/>
      <c r="G275" s="13"/>
      <c r="H275" s="35">
        <v>270</v>
      </c>
      <c r="I275" s="36" t="str">
        <f t="shared" si="19"/>
        <v/>
      </c>
      <c r="J275" s="35">
        <f t="shared" si="22"/>
        <v>-6</v>
      </c>
      <c r="K275" s="35">
        <f t="shared" si="20"/>
        <v>-60</v>
      </c>
      <c r="L275" s="35"/>
      <c r="M275" s="37">
        <f t="shared" si="21"/>
        <v>0</v>
      </c>
    </row>
    <row r="276" spans="1:13" x14ac:dyDescent="0.25">
      <c r="A276" s="56"/>
      <c r="G276" s="13"/>
      <c r="H276" s="35">
        <v>271</v>
      </c>
      <c r="I276" s="36" t="str">
        <f t="shared" si="19"/>
        <v/>
      </c>
      <c r="J276" s="35">
        <f t="shared" si="22"/>
        <v>-6</v>
      </c>
      <c r="K276" s="35">
        <f t="shared" si="20"/>
        <v>-60</v>
      </c>
      <c r="L276" s="35"/>
      <c r="M276" s="37">
        <f t="shared" si="21"/>
        <v>0</v>
      </c>
    </row>
    <row r="277" spans="1:13" x14ac:dyDescent="0.25">
      <c r="A277" s="56"/>
      <c r="G277" s="13"/>
      <c r="H277" s="35">
        <v>272</v>
      </c>
      <c r="I277" s="36" t="str">
        <f t="shared" si="19"/>
        <v/>
      </c>
      <c r="J277" s="35">
        <f t="shared" si="22"/>
        <v>-6</v>
      </c>
      <c r="K277" s="35">
        <f t="shared" si="20"/>
        <v>-60</v>
      </c>
      <c r="L277" s="35"/>
      <c r="M277" s="37">
        <f t="shared" si="21"/>
        <v>0</v>
      </c>
    </row>
    <row r="278" spans="1:13" x14ac:dyDescent="0.25">
      <c r="A278" s="56"/>
      <c r="G278" s="13"/>
      <c r="H278" s="35">
        <v>273</v>
      </c>
      <c r="I278" s="36" t="str">
        <f t="shared" si="19"/>
        <v/>
      </c>
      <c r="J278" s="35">
        <f t="shared" si="22"/>
        <v>-6</v>
      </c>
      <c r="K278" s="35">
        <f t="shared" si="20"/>
        <v>-60</v>
      </c>
      <c r="L278" s="35"/>
      <c r="M278" s="37">
        <f t="shared" si="21"/>
        <v>0</v>
      </c>
    </row>
    <row r="279" spans="1:13" x14ac:dyDescent="0.25">
      <c r="A279" s="56"/>
      <c r="G279" s="13"/>
      <c r="H279" s="35">
        <v>274</v>
      </c>
      <c r="I279" s="36" t="str">
        <f t="shared" si="19"/>
        <v/>
      </c>
      <c r="J279" s="35">
        <f t="shared" si="22"/>
        <v>-6</v>
      </c>
      <c r="K279" s="35">
        <f t="shared" si="20"/>
        <v>-60</v>
      </c>
      <c r="L279" s="35"/>
      <c r="M279" s="37">
        <f t="shared" si="21"/>
        <v>0</v>
      </c>
    </row>
    <row r="280" spans="1:13" x14ac:dyDescent="0.25">
      <c r="A280" s="56"/>
      <c r="G280" s="13"/>
      <c r="H280" s="35">
        <v>275</v>
      </c>
      <c r="I280" s="36" t="str">
        <f t="shared" si="19"/>
        <v/>
      </c>
      <c r="J280" s="35">
        <f t="shared" si="22"/>
        <v>-6</v>
      </c>
      <c r="K280" s="35">
        <f t="shared" si="20"/>
        <v>-60</v>
      </c>
      <c r="L280" s="35"/>
      <c r="M280" s="37">
        <f t="shared" si="21"/>
        <v>0</v>
      </c>
    </row>
    <row r="281" spans="1:13" x14ac:dyDescent="0.25">
      <c r="A281" s="56"/>
      <c r="G281" s="13"/>
      <c r="H281" s="35">
        <v>276</v>
      </c>
      <c r="I281" s="36" t="str">
        <f t="shared" si="19"/>
        <v/>
      </c>
      <c r="J281" s="35">
        <f t="shared" si="22"/>
        <v>-6</v>
      </c>
      <c r="K281" s="35">
        <f t="shared" si="20"/>
        <v>-60</v>
      </c>
      <c r="L281" s="35"/>
      <c r="M281" s="37">
        <f t="shared" si="21"/>
        <v>0</v>
      </c>
    </row>
    <row r="282" spans="1:13" x14ac:dyDescent="0.25">
      <c r="A282" s="56"/>
      <c r="G282" s="13"/>
      <c r="H282" s="35">
        <v>277</v>
      </c>
      <c r="I282" s="36" t="str">
        <f t="shared" si="19"/>
        <v/>
      </c>
      <c r="J282" s="35">
        <f t="shared" si="22"/>
        <v>-6</v>
      </c>
      <c r="K282" s="35">
        <f t="shared" si="20"/>
        <v>-60</v>
      </c>
      <c r="L282" s="35"/>
      <c r="M282" s="37">
        <f t="shared" si="21"/>
        <v>0</v>
      </c>
    </row>
    <row r="283" spans="1:13" x14ac:dyDescent="0.25">
      <c r="A283" s="56"/>
      <c r="G283" s="13"/>
      <c r="H283" s="35">
        <v>278</v>
      </c>
      <c r="I283" s="36" t="str">
        <f t="shared" si="19"/>
        <v/>
      </c>
      <c r="J283" s="35">
        <f t="shared" si="22"/>
        <v>-6</v>
      </c>
      <c r="K283" s="35">
        <f t="shared" si="20"/>
        <v>-60</v>
      </c>
      <c r="L283" s="35"/>
      <c r="M283" s="37">
        <f t="shared" si="21"/>
        <v>0</v>
      </c>
    </row>
    <row r="284" spans="1:13" x14ac:dyDescent="0.25">
      <c r="A284" s="56"/>
      <c r="G284" s="13"/>
      <c r="H284" s="35">
        <v>279</v>
      </c>
      <c r="I284" s="36" t="str">
        <f t="shared" si="19"/>
        <v/>
      </c>
      <c r="J284" s="35">
        <f t="shared" si="22"/>
        <v>-6</v>
      </c>
      <c r="K284" s="35">
        <f t="shared" si="20"/>
        <v>-60</v>
      </c>
      <c r="L284" s="35"/>
      <c r="M284" s="37">
        <f t="shared" si="21"/>
        <v>0</v>
      </c>
    </row>
    <row r="285" spans="1:13" x14ac:dyDescent="0.25">
      <c r="A285" s="56"/>
      <c r="G285" s="13"/>
      <c r="H285" s="35">
        <v>280</v>
      </c>
      <c r="I285" s="36" t="str">
        <f t="shared" si="19"/>
        <v/>
      </c>
      <c r="J285" s="35">
        <f t="shared" si="22"/>
        <v>-6</v>
      </c>
      <c r="K285" s="35">
        <f t="shared" si="20"/>
        <v>-60</v>
      </c>
      <c r="L285" s="35"/>
      <c r="M285" s="37">
        <f t="shared" si="21"/>
        <v>0</v>
      </c>
    </row>
    <row r="286" spans="1:13" x14ac:dyDescent="0.25">
      <c r="A286" s="56"/>
      <c r="G286" s="13"/>
      <c r="H286" s="35">
        <v>281</v>
      </c>
      <c r="I286" s="36" t="str">
        <f t="shared" si="19"/>
        <v/>
      </c>
      <c r="J286" s="35">
        <f t="shared" si="22"/>
        <v>-6</v>
      </c>
      <c r="K286" s="35">
        <f t="shared" si="20"/>
        <v>-60</v>
      </c>
      <c r="L286" s="35"/>
      <c r="M286" s="37">
        <f t="shared" si="21"/>
        <v>0</v>
      </c>
    </row>
    <row r="287" spans="1:13" x14ac:dyDescent="0.25">
      <c r="A287" s="56"/>
      <c r="G287" s="13"/>
      <c r="H287" s="35">
        <v>282</v>
      </c>
      <c r="I287" s="36" t="str">
        <f t="shared" si="19"/>
        <v/>
      </c>
      <c r="J287" s="35">
        <f t="shared" si="22"/>
        <v>-6</v>
      </c>
      <c r="K287" s="35">
        <f t="shared" si="20"/>
        <v>-60</v>
      </c>
      <c r="L287" s="35"/>
      <c r="M287" s="37">
        <f t="shared" si="21"/>
        <v>0</v>
      </c>
    </row>
    <row r="288" spans="1:13" x14ac:dyDescent="0.25">
      <c r="A288" s="56"/>
      <c r="G288" s="13"/>
      <c r="H288" s="35">
        <v>283</v>
      </c>
      <c r="I288" s="36" t="str">
        <f t="shared" si="19"/>
        <v/>
      </c>
      <c r="J288" s="35">
        <f t="shared" si="22"/>
        <v>-6</v>
      </c>
      <c r="K288" s="35">
        <f t="shared" si="20"/>
        <v>-60</v>
      </c>
      <c r="L288" s="35"/>
      <c r="M288" s="37">
        <f t="shared" si="21"/>
        <v>0</v>
      </c>
    </row>
    <row r="289" spans="1:13" x14ac:dyDescent="0.25">
      <c r="A289" s="56"/>
      <c r="G289" s="13"/>
      <c r="H289" s="35">
        <v>284</v>
      </c>
      <c r="I289" s="36" t="str">
        <f t="shared" si="19"/>
        <v/>
      </c>
      <c r="J289" s="35">
        <f t="shared" si="22"/>
        <v>-6</v>
      </c>
      <c r="K289" s="35">
        <f t="shared" si="20"/>
        <v>-60</v>
      </c>
      <c r="L289" s="35"/>
      <c r="M289" s="37">
        <f t="shared" si="21"/>
        <v>0</v>
      </c>
    </row>
    <row r="290" spans="1:13" x14ac:dyDescent="0.25">
      <c r="A290" s="56"/>
      <c r="G290" s="13"/>
      <c r="H290" s="35">
        <v>285</v>
      </c>
      <c r="I290" s="36" t="str">
        <f t="shared" si="19"/>
        <v/>
      </c>
      <c r="J290" s="35">
        <f t="shared" si="22"/>
        <v>-6</v>
      </c>
      <c r="K290" s="35">
        <f t="shared" si="20"/>
        <v>-60</v>
      </c>
      <c r="L290" s="35"/>
      <c r="M290" s="37">
        <f t="shared" si="21"/>
        <v>0</v>
      </c>
    </row>
    <row r="291" spans="1:13" x14ac:dyDescent="0.25">
      <c r="A291" s="56"/>
      <c r="G291" s="13"/>
      <c r="H291" s="35">
        <v>286</v>
      </c>
      <c r="I291" s="36" t="str">
        <f t="shared" si="19"/>
        <v/>
      </c>
      <c r="J291" s="35">
        <f t="shared" si="22"/>
        <v>-6</v>
      </c>
      <c r="K291" s="35">
        <f t="shared" si="20"/>
        <v>-60</v>
      </c>
      <c r="L291" s="35"/>
      <c r="M291" s="37">
        <f t="shared" si="21"/>
        <v>0</v>
      </c>
    </row>
    <row r="292" spans="1:13" x14ac:dyDescent="0.25">
      <c r="A292" s="56"/>
      <c r="G292" s="13"/>
      <c r="H292" s="35">
        <v>287</v>
      </c>
      <c r="I292" s="36" t="str">
        <f t="shared" si="19"/>
        <v/>
      </c>
      <c r="J292" s="35">
        <f t="shared" si="22"/>
        <v>-6</v>
      </c>
      <c r="K292" s="35">
        <f t="shared" si="20"/>
        <v>-60</v>
      </c>
      <c r="L292" s="35"/>
      <c r="M292" s="37">
        <f t="shared" si="21"/>
        <v>0</v>
      </c>
    </row>
    <row r="293" spans="1:13" x14ac:dyDescent="0.25">
      <c r="A293" s="56"/>
      <c r="G293" s="13"/>
      <c r="H293" s="35">
        <v>288</v>
      </c>
      <c r="I293" s="36" t="str">
        <f t="shared" si="19"/>
        <v/>
      </c>
      <c r="J293" s="35">
        <f t="shared" si="22"/>
        <v>-6</v>
      </c>
      <c r="K293" s="35">
        <f t="shared" si="20"/>
        <v>-60</v>
      </c>
      <c r="L293" s="35"/>
      <c r="M293" s="37">
        <f t="shared" si="21"/>
        <v>0</v>
      </c>
    </row>
    <row r="294" spans="1:13" x14ac:dyDescent="0.25">
      <c r="A294" s="56"/>
      <c r="G294" s="13"/>
      <c r="H294" s="35">
        <v>289</v>
      </c>
      <c r="I294" s="36" t="str">
        <f t="shared" si="19"/>
        <v/>
      </c>
      <c r="J294" s="35">
        <f t="shared" si="22"/>
        <v>-6</v>
      </c>
      <c r="K294" s="35">
        <f t="shared" si="20"/>
        <v>-60</v>
      </c>
      <c r="L294" s="35"/>
      <c r="M294" s="37">
        <f t="shared" si="21"/>
        <v>0</v>
      </c>
    </row>
    <row r="295" spans="1:13" x14ac:dyDescent="0.25">
      <c r="A295" s="56"/>
      <c r="G295" s="13"/>
      <c r="H295" s="35">
        <v>290</v>
      </c>
      <c r="I295" s="36" t="str">
        <f t="shared" si="19"/>
        <v/>
      </c>
      <c r="J295" s="35">
        <f t="shared" si="22"/>
        <v>-6</v>
      </c>
      <c r="K295" s="35">
        <f t="shared" si="20"/>
        <v>-60</v>
      </c>
      <c r="L295" s="35"/>
      <c r="M295" s="37">
        <f t="shared" si="21"/>
        <v>0</v>
      </c>
    </row>
    <row r="296" spans="1:13" x14ac:dyDescent="0.25">
      <c r="A296" s="56"/>
      <c r="G296" s="13"/>
      <c r="H296" s="35">
        <v>291</v>
      </c>
      <c r="I296" s="36" t="str">
        <f t="shared" si="19"/>
        <v/>
      </c>
      <c r="J296" s="35">
        <f t="shared" si="22"/>
        <v>-6</v>
      </c>
      <c r="K296" s="35">
        <f t="shared" si="20"/>
        <v>-60</v>
      </c>
      <c r="L296" s="35"/>
      <c r="M296" s="37">
        <f t="shared" si="21"/>
        <v>0</v>
      </c>
    </row>
    <row r="297" spans="1:13" x14ac:dyDescent="0.25">
      <c r="A297" s="56"/>
      <c r="G297" s="13"/>
      <c r="H297" s="35">
        <v>292</v>
      </c>
      <c r="I297" s="36" t="str">
        <f t="shared" si="19"/>
        <v/>
      </c>
      <c r="J297" s="35">
        <f t="shared" si="22"/>
        <v>-6</v>
      </c>
      <c r="K297" s="35">
        <f t="shared" si="20"/>
        <v>-60</v>
      </c>
      <c r="L297" s="35"/>
      <c r="M297" s="37">
        <f t="shared" si="21"/>
        <v>0</v>
      </c>
    </row>
    <row r="298" spans="1:13" x14ac:dyDescent="0.25">
      <c r="A298" s="56"/>
      <c r="G298" s="13"/>
      <c r="H298" s="35">
        <v>293</v>
      </c>
      <c r="I298" s="36" t="str">
        <f t="shared" si="19"/>
        <v/>
      </c>
      <c r="J298" s="35">
        <f t="shared" si="22"/>
        <v>-6</v>
      </c>
      <c r="K298" s="35">
        <f t="shared" si="20"/>
        <v>-60</v>
      </c>
      <c r="L298" s="35"/>
      <c r="M298" s="37">
        <f t="shared" si="21"/>
        <v>0</v>
      </c>
    </row>
    <row r="299" spans="1:13" x14ac:dyDescent="0.25">
      <c r="A299" s="56"/>
      <c r="G299" s="13"/>
      <c r="H299" s="35">
        <v>294</v>
      </c>
      <c r="I299" s="36" t="str">
        <f t="shared" si="19"/>
        <v/>
      </c>
      <c r="J299" s="35">
        <f t="shared" si="22"/>
        <v>-6</v>
      </c>
      <c r="K299" s="35">
        <f t="shared" si="20"/>
        <v>-60</v>
      </c>
      <c r="L299" s="35"/>
      <c r="M299" s="37">
        <f t="shared" si="21"/>
        <v>0</v>
      </c>
    </row>
    <row r="300" spans="1:13" x14ac:dyDescent="0.25">
      <c r="A300" s="56"/>
      <c r="G300" s="13"/>
      <c r="H300" s="35">
        <v>295</v>
      </c>
      <c r="I300" s="36" t="str">
        <f t="shared" si="19"/>
        <v/>
      </c>
      <c r="J300" s="35">
        <f t="shared" si="22"/>
        <v>-6</v>
      </c>
      <c r="K300" s="35">
        <f t="shared" si="20"/>
        <v>-60</v>
      </c>
      <c r="L300" s="35"/>
      <c r="M300" s="37">
        <f t="shared" si="21"/>
        <v>0</v>
      </c>
    </row>
    <row r="301" spans="1:13" x14ac:dyDescent="0.25">
      <c r="A301" s="56"/>
      <c r="G301" s="13"/>
      <c r="H301" s="35">
        <v>296</v>
      </c>
      <c r="I301" s="36" t="str">
        <f t="shared" si="19"/>
        <v/>
      </c>
      <c r="J301" s="35">
        <f t="shared" si="22"/>
        <v>-6</v>
      </c>
      <c r="K301" s="35">
        <f t="shared" si="20"/>
        <v>-60</v>
      </c>
      <c r="L301" s="35"/>
      <c r="M301" s="37">
        <f t="shared" si="21"/>
        <v>0</v>
      </c>
    </row>
    <row r="302" spans="1:13" x14ac:dyDescent="0.25">
      <c r="A302" s="56"/>
      <c r="G302" s="13"/>
      <c r="H302" s="35">
        <v>297</v>
      </c>
      <c r="I302" s="36" t="str">
        <f t="shared" si="19"/>
        <v/>
      </c>
      <c r="J302" s="35">
        <f t="shared" si="22"/>
        <v>-6</v>
      </c>
      <c r="K302" s="35">
        <f t="shared" si="20"/>
        <v>-60</v>
      </c>
      <c r="L302" s="35"/>
      <c r="M302" s="37">
        <f t="shared" si="21"/>
        <v>0</v>
      </c>
    </row>
    <row r="303" spans="1:13" x14ac:dyDescent="0.25">
      <c r="A303" s="56"/>
      <c r="G303" s="13"/>
      <c r="H303" s="35">
        <v>298</v>
      </c>
      <c r="I303" s="36" t="str">
        <f t="shared" si="19"/>
        <v/>
      </c>
      <c r="J303" s="35">
        <f t="shared" si="22"/>
        <v>-6</v>
      </c>
      <c r="K303" s="35">
        <f t="shared" si="20"/>
        <v>-60</v>
      </c>
      <c r="L303" s="35"/>
      <c r="M303" s="37">
        <f t="shared" si="21"/>
        <v>0</v>
      </c>
    </row>
    <row r="304" spans="1:13" x14ac:dyDescent="0.25">
      <c r="A304" s="56"/>
      <c r="G304" s="13"/>
      <c r="H304" s="35">
        <v>299</v>
      </c>
      <c r="I304" s="36" t="str">
        <f t="shared" si="19"/>
        <v/>
      </c>
      <c r="J304" s="35">
        <f t="shared" si="22"/>
        <v>-6</v>
      </c>
      <c r="K304" s="35">
        <f t="shared" si="20"/>
        <v>-60</v>
      </c>
      <c r="L304" s="35"/>
      <c r="M304" s="37">
        <f t="shared" si="21"/>
        <v>0</v>
      </c>
    </row>
    <row r="305" spans="1:16" x14ac:dyDescent="0.25">
      <c r="A305" s="56"/>
      <c r="G305" s="13"/>
      <c r="H305" s="35">
        <v>300</v>
      </c>
      <c r="I305" s="36" t="str">
        <f t="shared" si="19"/>
        <v/>
      </c>
      <c r="J305" s="35">
        <f t="shared" si="22"/>
        <v>-6</v>
      </c>
      <c r="K305" s="35">
        <f t="shared" si="20"/>
        <v>-60</v>
      </c>
      <c r="L305" s="35"/>
      <c r="M305" s="37">
        <f t="shared" si="21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6 J7 J8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3F012F7A-ED91-4D04-8689-688C3A0907A1}">
      <formula1>#REF!</formula1>
    </dataValidation>
  </dataValidations>
  <hyperlinks>
    <hyperlink ref="C2:D2" r:id="rId1" display="KONIN" xr:uid="{DE3A850A-8361-4E44-8D7C-E457B5F0521B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CD54-238C-40CA-BCA1-835CE5A57A9A}">
  <sheetPr>
    <tabColor rgb="FF92D050"/>
  </sheetPr>
  <dimension ref="A1:AL318"/>
  <sheetViews>
    <sheetView workbookViewId="0">
      <selection activeCell="J12" sqref="J12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" style="59" customWidth="1"/>
    <col min="11" max="11" width="8.75" style="59" customWidth="1"/>
    <col min="12" max="12" width="11" style="59" customWidth="1"/>
    <col min="13" max="13" width="11.75" style="60" customWidth="1"/>
    <col min="14" max="14" width="6.25" style="13" customWidth="1"/>
    <col min="15" max="15" width="1.875" style="13" bestFit="1" customWidth="1"/>
    <col min="16" max="16" width="27.25" style="63" bestFit="1" customWidth="1"/>
    <col min="17" max="17" width="7.375" style="17" customWidth="1"/>
    <col min="18" max="18" width="8.875" style="17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25</v>
      </c>
      <c r="I1" s="15" t="s">
        <v>26</v>
      </c>
      <c r="J1" s="15" t="s">
        <v>27</v>
      </c>
      <c r="K1" s="16" t="s">
        <v>28</v>
      </c>
      <c r="L1" s="17"/>
      <c r="M1" s="17"/>
      <c r="N1" s="166" t="s">
        <v>59</v>
      </c>
      <c r="O1" s="166" t="s">
        <v>59</v>
      </c>
      <c r="P1" s="167" t="s">
        <v>59</v>
      </c>
      <c r="Q1" s="168" t="s">
        <v>59</v>
      </c>
      <c r="R1" s="168" t="s">
        <v>59</v>
      </c>
    </row>
    <row r="2" spans="1:36" x14ac:dyDescent="0.25">
      <c r="A2" s="13"/>
      <c r="B2" s="19" t="s">
        <v>29</v>
      </c>
      <c r="C2" s="209" t="s">
        <v>60</v>
      </c>
      <c r="D2" s="209"/>
      <c r="E2" s="20"/>
      <c r="F2" s="20"/>
      <c r="G2" s="20"/>
      <c r="H2" s="21">
        <v>4</v>
      </c>
      <c r="I2" s="22">
        <v>50</v>
      </c>
      <c r="J2" s="22">
        <v>10</v>
      </c>
      <c r="K2" s="23">
        <f>3*H2^(1/3)</f>
        <v>4.7622031559045981</v>
      </c>
      <c r="L2" s="17"/>
      <c r="M2" s="17"/>
      <c r="N2" s="166" t="s">
        <v>59</v>
      </c>
      <c r="O2" s="166" t="s">
        <v>59</v>
      </c>
      <c r="P2" s="167" t="s">
        <v>59</v>
      </c>
      <c r="Q2" s="168" t="s">
        <v>59</v>
      </c>
      <c r="R2" s="168" t="s">
        <v>59</v>
      </c>
    </row>
    <row r="3" spans="1:36" ht="14.45" customHeight="1" x14ac:dyDescent="0.25">
      <c r="A3" s="13"/>
      <c r="B3" s="24" t="s">
        <v>31</v>
      </c>
      <c r="C3" s="210" t="s">
        <v>61</v>
      </c>
      <c r="D3" s="210"/>
      <c r="E3" s="25"/>
      <c r="F3" s="25"/>
      <c r="G3" s="25"/>
      <c r="H3" s="17"/>
      <c r="I3" s="17"/>
      <c r="J3" s="17"/>
      <c r="K3" s="17"/>
      <c r="L3" s="17"/>
      <c r="M3" s="17"/>
      <c r="N3" s="166" t="s">
        <v>59</v>
      </c>
      <c r="O3" s="166" t="s">
        <v>59</v>
      </c>
      <c r="P3" s="167" t="s">
        <v>59</v>
      </c>
      <c r="Q3" s="168" t="s">
        <v>59</v>
      </c>
      <c r="R3" s="168" t="s">
        <v>59</v>
      </c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17"/>
      <c r="K4" s="17"/>
      <c r="L4" s="17"/>
      <c r="M4" s="17"/>
      <c r="N4" s="166" t="s">
        <v>59</v>
      </c>
      <c r="O4" s="166" t="s">
        <v>59</v>
      </c>
      <c r="P4" s="167" t="s">
        <v>59</v>
      </c>
      <c r="Q4" s="168" t="s">
        <v>59</v>
      </c>
      <c r="R4" s="168" t="s">
        <v>59</v>
      </c>
    </row>
    <row r="5" spans="1:36" ht="34.65" x14ac:dyDescent="0.25">
      <c r="A5" s="1" t="s">
        <v>33</v>
      </c>
      <c r="B5" s="28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7"/>
      <c r="H5" s="29" t="s">
        <v>39</v>
      </c>
      <c r="I5" s="30" t="s">
        <v>40</v>
      </c>
      <c r="J5" s="30" t="s">
        <v>41</v>
      </c>
      <c r="K5" s="30" t="s">
        <v>42</v>
      </c>
      <c r="L5" s="30" t="s">
        <v>43</v>
      </c>
      <c r="M5" s="29" t="s">
        <v>44</v>
      </c>
      <c r="N5" s="166" t="s">
        <v>59</v>
      </c>
      <c r="O5" s="166"/>
      <c r="P5" s="184"/>
      <c r="Q5" s="184"/>
      <c r="R5" s="184"/>
    </row>
    <row r="6" spans="1:36" ht="14.45" customHeight="1" x14ac:dyDescent="0.25">
      <c r="A6" s="32">
        <f>M6</f>
        <v>84.286609467713788</v>
      </c>
      <c r="B6" s="33">
        <f t="shared" ref="B6:B11" si="0">IF(H6&gt;$H$2,"",(ROW()-5))</f>
        <v>1</v>
      </c>
      <c r="C6" s="34" t="s">
        <v>16</v>
      </c>
      <c r="D6" s="34" t="s">
        <v>62</v>
      </c>
      <c r="E6" s="34" t="s">
        <v>46</v>
      </c>
      <c r="F6" s="34" t="s">
        <v>63</v>
      </c>
      <c r="G6" s="27"/>
      <c r="H6" s="35">
        <v>1</v>
      </c>
      <c r="I6" s="36">
        <f>IF(H2=1,50,IF(H6&lt;$H$2+1,($I$2-($I$2-1)*(LOG(H6)/LOG($H$2))),""))</f>
        <v>50</v>
      </c>
      <c r="J6" s="36">
        <f t="shared" ref="J6:J9" si="1">INT(LOG($H$2,2))-ROUNDUP(LOG(H6,2),0)+IF(OR($H$2=1,$H$2=2,$H$2=4,$H$2=8,$H$2=16,$H$2=32,$H$2=64,$H$2=128,$H$2=256),0,1)</f>
        <v>2</v>
      </c>
      <c r="K6" s="35">
        <f t="shared" ref="K6:K69" si="2">J6*$J$2</f>
        <v>20</v>
      </c>
      <c r="L6" s="37">
        <f>3*K2</f>
        <v>14.286609467713795</v>
      </c>
      <c r="M6" s="37">
        <f t="shared" ref="M6:M69" si="3">IF(I6&lt;&gt;"",K6+I6+L6,0)</f>
        <v>84.286609467713788</v>
      </c>
      <c r="N6" s="166" t="s">
        <v>59</v>
      </c>
      <c r="O6" s="170"/>
      <c r="P6" s="171"/>
      <c r="Q6" s="169"/>
      <c r="R6" s="169"/>
    </row>
    <row r="7" spans="1:36" ht="14.45" customHeight="1" x14ac:dyDescent="0.25">
      <c r="A7" s="38">
        <f t="shared" ref="A7:A37" si="4">M7</f>
        <v>45.024406311809194</v>
      </c>
      <c r="B7" s="39">
        <f t="shared" si="0"/>
        <v>2</v>
      </c>
      <c r="C7" s="40" t="s">
        <v>20</v>
      </c>
      <c r="D7" s="40" t="s">
        <v>64</v>
      </c>
      <c r="E7" s="40" t="s">
        <v>46</v>
      </c>
      <c r="F7" s="40" t="s">
        <v>63</v>
      </c>
      <c r="G7" s="27"/>
      <c r="H7" s="41">
        <v>2</v>
      </c>
      <c r="I7" s="42">
        <f t="shared" ref="I7:I69" si="5">IF(H7&lt;$H$2+1,($I$2-($I$2-1)*(LOG(H7)/LOG($H$2))),"")</f>
        <v>25.5</v>
      </c>
      <c r="J7" s="42">
        <f t="shared" si="1"/>
        <v>1</v>
      </c>
      <c r="K7" s="41">
        <f t="shared" si="2"/>
        <v>10</v>
      </c>
      <c r="L7" s="43">
        <f>2*K2</f>
        <v>9.5244063118091962</v>
      </c>
      <c r="M7" s="43">
        <f t="shared" si="3"/>
        <v>45.024406311809194</v>
      </c>
      <c r="N7" s="166" t="s">
        <v>59</v>
      </c>
      <c r="O7" s="170"/>
      <c r="P7" s="171"/>
      <c r="Q7" s="169"/>
      <c r="R7" s="169"/>
    </row>
    <row r="8" spans="1:36" ht="14.45" customHeight="1" x14ac:dyDescent="0.25">
      <c r="A8" s="32">
        <f t="shared" si="4"/>
        <v>15.930621888236271</v>
      </c>
      <c r="B8" s="33">
        <f t="shared" si="0"/>
        <v>3</v>
      </c>
      <c r="C8" s="34" t="s">
        <v>19</v>
      </c>
      <c r="D8" s="34"/>
      <c r="E8" s="34" t="s">
        <v>46</v>
      </c>
      <c r="F8" s="34" t="s">
        <v>63</v>
      </c>
      <c r="G8" s="27"/>
      <c r="H8" s="35">
        <v>3</v>
      </c>
      <c r="I8" s="36">
        <f t="shared" si="5"/>
        <v>11.168418732331673</v>
      </c>
      <c r="J8" s="36">
        <f t="shared" si="1"/>
        <v>0</v>
      </c>
      <c r="K8" s="35">
        <f t="shared" si="2"/>
        <v>0</v>
      </c>
      <c r="L8" s="37">
        <f>K2</f>
        <v>4.7622031559045981</v>
      </c>
      <c r="M8" s="37">
        <f t="shared" si="3"/>
        <v>15.930621888236271</v>
      </c>
      <c r="N8" s="166" t="s">
        <v>59</v>
      </c>
      <c r="O8" s="170"/>
      <c r="P8" s="171"/>
      <c r="Q8" s="169"/>
      <c r="R8" s="169"/>
    </row>
    <row r="9" spans="1:36" ht="14.45" customHeight="1" x14ac:dyDescent="0.25">
      <c r="A9" s="38">
        <f t="shared" si="4"/>
        <v>1</v>
      </c>
      <c r="B9" s="39">
        <f t="shared" si="0"/>
        <v>4</v>
      </c>
      <c r="C9" s="40" t="s">
        <v>17</v>
      </c>
      <c r="D9" s="40" t="s">
        <v>48</v>
      </c>
      <c r="E9" s="40" t="s">
        <v>46</v>
      </c>
      <c r="F9" s="40" t="s">
        <v>63</v>
      </c>
      <c r="G9" s="27"/>
      <c r="H9" s="41">
        <v>4</v>
      </c>
      <c r="I9" s="42">
        <f t="shared" si="5"/>
        <v>1</v>
      </c>
      <c r="J9" s="42">
        <f t="shared" si="1"/>
        <v>0</v>
      </c>
      <c r="K9" s="41">
        <f t="shared" si="2"/>
        <v>0</v>
      </c>
      <c r="L9" s="43"/>
      <c r="M9" s="43">
        <f t="shared" si="3"/>
        <v>1</v>
      </c>
      <c r="N9" s="166" t="s">
        <v>59</v>
      </c>
      <c r="O9" s="170"/>
      <c r="P9" s="171"/>
      <c r="Q9" s="169"/>
      <c r="R9" s="169"/>
      <c r="V9" s="44"/>
      <c r="Z9" s="45"/>
      <c r="AA9" s="45"/>
      <c r="AG9" s="46"/>
      <c r="AH9" s="18" t="s">
        <v>50</v>
      </c>
      <c r="AI9" s="18">
        <v>23</v>
      </c>
    </row>
    <row r="10" spans="1:36" ht="14.45" customHeight="1" x14ac:dyDescent="0.25">
      <c r="A10" s="32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35">
        <v>5</v>
      </c>
      <c r="I10" s="36" t="str">
        <f t="shared" si="5"/>
        <v/>
      </c>
      <c r="J10" s="36">
        <f t="shared" ref="J10:J70" si="6">INT(LOG($H$2,2))-ROUNDUP(LOG(H10,2),0)+IF(OR($H$2=1,$H$2=2,$H$2=4,$H$2=8,$H$2=16,$H$2=32,$H$2=64,$H$2=128,$H$2=256),0,1)</f>
        <v>-1</v>
      </c>
      <c r="K10" s="35">
        <f t="shared" si="2"/>
        <v>-10</v>
      </c>
      <c r="L10" s="35"/>
      <c r="M10" s="37">
        <f t="shared" si="3"/>
        <v>0</v>
      </c>
      <c r="N10" s="166" t="s">
        <v>59</v>
      </c>
      <c r="O10" s="170"/>
      <c r="P10" s="171"/>
      <c r="Q10" s="169"/>
      <c r="R10" s="169"/>
      <c r="V10" s="44"/>
      <c r="Z10" s="45"/>
      <c r="AA10" s="45"/>
      <c r="AG10" s="46"/>
      <c r="AH10" s="18" t="s">
        <v>52</v>
      </c>
      <c r="AI10" s="18">
        <v>45</v>
      </c>
    </row>
    <row r="11" spans="1:36" ht="14.45" customHeight="1" x14ac:dyDescent="0.25">
      <c r="A11" s="38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41">
        <v>6</v>
      </c>
      <c r="I11" s="42" t="str">
        <f t="shared" si="5"/>
        <v/>
      </c>
      <c r="J11" s="42">
        <f t="shared" si="6"/>
        <v>-1</v>
      </c>
      <c r="K11" s="41">
        <f t="shared" si="2"/>
        <v>-10</v>
      </c>
      <c r="L11" s="41"/>
      <c r="M11" s="43">
        <f t="shared" si="3"/>
        <v>0</v>
      </c>
      <c r="N11" s="166" t="s">
        <v>59</v>
      </c>
      <c r="O11" s="170"/>
      <c r="P11" s="171"/>
      <c r="Q11" s="169"/>
      <c r="R11" s="169"/>
      <c r="V11" s="47"/>
      <c r="Z11" s="45"/>
      <c r="AA11" s="45"/>
      <c r="AG11" s="46"/>
      <c r="AH11" s="18" t="s">
        <v>53</v>
      </c>
      <c r="AI11" s="18">
        <v>50</v>
      </c>
    </row>
    <row r="12" spans="1:36" ht="14.45" customHeight="1" x14ac:dyDescent="0.25">
      <c r="A12" s="32">
        <f t="shared" si="4"/>
        <v>0</v>
      </c>
      <c r="B12" s="33"/>
      <c r="C12" s="34"/>
      <c r="D12" s="34"/>
      <c r="E12" s="34"/>
      <c r="F12" s="34"/>
      <c r="G12" s="27"/>
      <c r="H12" s="35">
        <v>7</v>
      </c>
      <c r="I12" s="36" t="str">
        <f t="shared" si="5"/>
        <v/>
      </c>
      <c r="J12" s="36">
        <f t="shared" si="6"/>
        <v>-1</v>
      </c>
      <c r="K12" s="35">
        <f t="shared" si="2"/>
        <v>-10</v>
      </c>
      <c r="L12" s="35"/>
      <c r="M12" s="37">
        <f t="shared" si="3"/>
        <v>0</v>
      </c>
      <c r="N12" s="166" t="s">
        <v>59</v>
      </c>
      <c r="O12" s="170"/>
      <c r="P12" s="171"/>
      <c r="Q12" s="169"/>
      <c r="R12" s="169"/>
      <c r="Z12" s="45"/>
      <c r="AA12" s="45"/>
      <c r="AG12" s="46"/>
      <c r="AH12" s="18" t="s">
        <v>54</v>
      </c>
      <c r="AI12" s="18">
        <f>AI11-1</f>
        <v>49</v>
      </c>
    </row>
    <row r="13" spans="1:36" ht="14.45" customHeight="1" x14ac:dyDescent="0.25">
      <c r="A13" s="48">
        <f t="shared" si="4"/>
        <v>0</v>
      </c>
      <c r="B13" s="39"/>
      <c r="C13" s="40"/>
      <c r="D13" s="40"/>
      <c r="E13" s="40"/>
      <c r="F13" s="40"/>
      <c r="G13" s="27"/>
      <c r="H13" s="41">
        <v>8</v>
      </c>
      <c r="I13" s="42" t="str">
        <f t="shared" si="5"/>
        <v/>
      </c>
      <c r="J13" s="42">
        <f t="shared" si="6"/>
        <v>-1</v>
      </c>
      <c r="K13" s="41">
        <f t="shared" si="2"/>
        <v>-10</v>
      </c>
      <c r="L13" s="41"/>
      <c r="M13" s="43">
        <f t="shared" si="3"/>
        <v>0</v>
      </c>
      <c r="N13" s="166" t="s">
        <v>59</v>
      </c>
      <c r="O13" s="170"/>
      <c r="P13" s="171"/>
      <c r="Q13" s="169"/>
      <c r="R13" s="169"/>
      <c r="X13" s="44"/>
      <c r="AG13" s="46"/>
      <c r="AH13" s="18" t="s">
        <v>55</v>
      </c>
      <c r="AI13" s="18">
        <f>LOG(AI9)</f>
        <v>1.3617278360175928</v>
      </c>
    </row>
    <row r="14" spans="1:36" x14ac:dyDescent="0.25">
      <c r="A14" s="49">
        <f t="shared" si="4"/>
        <v>0</v>
      </c>
      <c r="B14" s="33"/>
      <c r="C14" s="34"/>
      <c r="D14" s="34"/>
      <c r="E14" s="34"/>
      <c r="F14" s="34"/>
      <c r="G14" s="27"/>
      <c r="H14" s="35">
        <v>9</v>
      </c>
      <c r="I14" s="36" t="str">
        <f t="shared" si="5"/>
        <v/>
      </c>
      <c r="J14" s="36">
        <f t="shared" si="6"/>
        <v>-2</v>
      </c>
      <c r="K14" s="35">
        <f t="shared" si="2"/>
        <v>-20</v>
      </c>
      <c r="L14" s="35"/>
      <c r="M14" s="37">
        <f t="shared" si="3"/>
        <v>0</v>
      </c>
      <c r="N14" s="166" t="s">
        <v>59</v>
      </c>
      <c r="O14" s="170"/>
      <c r="P14" s="171"/>
      <c r="Q14" s="169"/>
      <c r="R14" s="169"/>
      <c r="X14" s="50"/>
      <c r="Z14" s="45"/>
      <c r="AA14" s="45"/>
      <c r="AG14" s="46"/>
      <c r="AH14" s="18" t="s">
        <v>56</v>
      </c>
      <c r="AI14" s="18">
        <f>LOG(AI10)</f>
        <v>1.6532125137753437</v>
      </c>
    </row>
    <row r="15" spans="1:36" x14ac:dyDescent="0.25">
      <c r="A15" s="48">
        <f t="shared" si="4"/>
        <v>0</v>
      </c>
      <c r="B15" s="39"/>
      <c r="C15" s="40"/>
      <c r="D15" s="40"/>
      <c r="E15" s="40"/>
      <c r="F15" s="40"/>
      <c r="G15" s="27"/>
      <c r="H15" s="41">
        <v>10</v>
      </c>
      <c r="I15" s="42" t="str">
        <f t="shared" si="5"/>
        <v/>
      </c>
      <c r="J15" s="42">
        <f t="shared" si="6"/>
        <v>-2</v>
      </c>
      <c r="K15" s="41">
        <f t="shared" si="2"/>
        <v>-20</v>
      </c>
      <c r="L15" s="41"/>
      <c r="M15" s="43">
        <f t="shared" si="3"/>
        <v>0</v>
      </c>
      <c r="N15" s="166" t="s">
        <v>59</v>
      </c>
      <c r="O15" s="170"/>
      <c r="P15" s="171"/>
      <c r="Q15" s="169"/>
      <c r="R15" s="169"/>
      <c r="X15" s="44"/>
      <c r="Z15" s="45"/>
      <c r="AA15" s="45"/>
    </row>
    <row r="16" spans="1:36" x14ac:dyDescent="0.25">
      <c r="A16" s="49">
        <f t="shared" si="4"/>
        <v>0</v>
      </c>
      <c r="B16" s="33"/>
      <c r="C16" s="34"/>
      <c r="D16" s="34"/>
      <c r="E16" s="34"/>
      <c r="F16" s="34"/>
      <c r="G16" s="27"/>
      <c r="H16" s="35">
        <v>11</v>
      </c>
      <c r="I16" s="36" t="str">
        <f t="shared" si="5"/>
        <v/>
      </c>
      <c r="J16" s="36">
        <f t="shared" si="6"/>
        <v>-2</v>
      </c>
      <c r="K16" s="35">
        <f t="shared" si="2"/>
        <v>-20</v>
      </c>
      <c r="L16" s="35"/>
      <c r="M16" s="37">
        <f t="shared" si="3"/>
        <v>0</v>
      </c>
      <c r="N16" s="166" t="s">
        <v>59</v>
      </c>
      <c r="O16" s="166"/>
      <c r="P16" s="167"/>
      <c r="Q16" s="168"/>
      <c r="R16" s="168"/>
      <c r="Z16" s="45"/>
      <c r="AA16" s="45"/>
      <c r="AH16" s="52" t="s">
        <v>57</v>
      </c>
      <c r="AI16" s="18">
        <f>AI11-AI12*AI13/AI14</f>
        <v>9.6393909380186855</v>
      </c>
      <c r="AJ16" s="18" t="s">
        <v>58</v>
      </c>
    </row>
    <row r="17" spans="1:19" x14ac:dyDescent="0.25">
      <c r="A17" s="48">
        <f t="shared" si="4"/>
        <v>0</v>
      </c>
      <c r="B17" s="39"/>
      <c r="C17" s="40"/>
      <c r="D17" s="40"/>
      <c r="E17" s="40"/>
      <c r="F17" s="40"/>
      <c r="G17" s="27"/>
      <c r="H17" s="41">
        <v>12</v>
      </c>
      <c r="I17" s="42" t="str">
        <f t="shared" si="5"/>
        <v/>
      </c>
      <c r="J17" s="42">
        <f t="shared" si="6"/>
        <v>-2</v>
      </c>
      <c r="K17" s="41">
        <f t="shared" si="2"/>
        <v>-20</v>
      </c>
      <c r="L17" s="41"/>
      <c r="M17" s="43">
        <f t="shared" si="3"/>
        <v>0</v>
      </c>
      <c r="N17" s="166" t="s">
        <v>59</v>
      </c>
      <c r="O17" s="166"/>
      <c r="P17" s="167"/>
      <c r="Q17" s="168"/>
      <c r="R17" s="168"/>
    </row>
    <row r="18" spans="1:19" x14ac:dyDescent="0.25">
      <c r="A18" s="49">
        <f t="shared" si="4"/>
        <v>0</v>
      </c>
      <c r="B18" s="33" t="str">
        <f t="shared" ref="B18:B65" si="7">IF(H18&gt;$H$2,"",(ROW()-5))</f>
        <v/>
      </c>
      <c r="C18" s="34"/>
      <c r="D18" s="34"/>
      <c r="E18" s="34"/>
      <c r="F18" s="34"/>
      <c r="G18" s="27"/>
      <c r="H18" s="35">
        <v>13</v>
      </c>
      <c r="I18" s="36" t="str">
        <f t="shared" si="5"/>
        <v/>
      </c>
      <c r="J18" s="36">
        <f t="shared" si="6"/>
        <v>-2</v>
      </c>
      <c r="K18" s="35">
        <f t="shared" si="2"/>
        <v>-20</v>
      </c>
      <c r="L18" s="35"/>
      <c r="M18" s="37">
        <f t="shared" si="3"/>
        <v>0</v>
      </c>
      <c r="N18" s="166" t="s">
        <v>59</v>
      </c>
      <c r="O18" s="166" t="s">
        <v>59</v>
      </c>
      <c r="P18" s="167" t="s">
        <v>59</v>
      </c>
      <c r="Q18" s="168" t="s">
        <v>59</v>
      </c>
      <c r="R18" s="168" t="s">
        <v>59</v>
      </c>
    </row>
    <row r="19" spans="1:19" x14ac:dyDescent="0.25">
      <c r="A19" s="48">
        <f t="shared" si="4"/>
        <v>0</v>
      </c>
      <c r="B19" s="39" t="str">
        <f t="shared" si="7"/>
        <v/>
      </c>
      <c r="C19" s="40"/>
      <c r="D19" s="40"/>
      <c r="E19" s="40"/>
      <c r="F19" s="40"/>
      <c r="G19" s="27"/>
      <c r="H19" s="41">
        <v>14</v>
      </c>
      <c r="I19" s="42" t="str">
        <f t="shared" si="5"/>
        <v/>
      </c>
      <c r="J19" s="42">
        <f t="shared" si="6"/>
        <v>-2</v>
      </c>
      <c r="K19" s="41">
        <f t="shared" si="2"/>
        <v>-20</v>
      </c>
      <c r="L19" s="41"/>
      <c r="M19" s="43">
        <f t="shared" si="3"/>
        <v>0</v>
      </c>
      <c r="N19" s="166" t="s">
        <v>59</v>
      </c>
      <c r="O19" s="166" t="s">
        <v>59</v>
      </c>
      <c r="P19" s="167" t="s">
        <v>59</v>
      </c>
      <c r="Q19" s="168" t="s">
        <v>59</v>
      </c>
      <c r="R19" s="168" t="s">
        <v>59</v>
      </c>
    </row>
    <row r="20" spans="1:19" x14ac:dyDescent="0.25">
      <c r="A20" s="49">
        <f t="shared" si="4"/>
        <v>0</v>
      </c>
      <c r="B20" s="33" t="str">
        <f t="shared" si="7"/>
        <v/>
      </c>
      <c r="C20" s="34"/>
      <c r="D20" s="34"/>
      <c r="E20" s="34"/>
      <c r="F20" s="34"/>
      <c r="G20" s="27"/>
      <c r="H20" s="35">
        <v>15</v>
      </c>
      <c r="I20" s="36" t="str">
        <f t="shared" si="5"/>
        <v/>
      </c>
      <c r="J20" s="36">
        <f t="shared" si="6"/>
        <v>-2</v>
      </c>
      <c r="K20" s="35">
        <f t="shared" si="2"/>
        <v>-20</v>
      </c>
      <c r="L20" s="35"/>
      <c r="M20" s="37">
        <f t="shared" si="3"/>
        <v>0</v>
      </c>
      <c r="N20" s="166" t="s">
        <v>59</v>
      </c>
      <c r="O20" s="166" t="s">
        <v>59</v>
      </c>
      <c r="P20" s="167" t="s">
        <v>59</v>
      </c>
      <c r="Q20" s="172" t="s">
        <v>59</v>
      </c>
      <c r="R20" s="168" t="s">
        <v>59</v>
      </c>
      <c r="S20" s="54"/>
    </row>
    <row r="21" spans="1:19" x14ac:dyDescent="0.25">
      <c r="A21" s="48">
        <f t="shared" si="4"/>
        <v>0</v>
      </c>
      <c r="B21" s="39" t="str">
        <f t="shared" si="7"/>
        <v/>
      </c>
      <c r="C21" s="40"/>
      <c r="D21" s="40"/>
      <c r="E21" s="40"/>
      <c r="F21" s="40"/>
      <c r="G21" s="27"/>
      <c r="H21" s="41">
        <v>16</v>
      </c>
      <c r="I21" s="42" t="str">
        <f t="shared" si="5"/>
        <v/>
      </c>
      <c r="J21" s="42">
        <f t="shared" si="6"/>
        <v>-2</v>
      </c>
      <c r="K21" s="41">
        <f t="shared" si="2"/>
        <v>-20</v>
      </c>
      <c r="L21" s="41"/>
      <c r="M21" s="43">
        <f t="shared" si="3"/>
        <v>0</v>
      </c>
      <c r="N21" s="166" t="s">
        <v>59</v>
      </c>
      <c r="O21" s="166" t="s">
        <v>59</v>
      </c>
      <c r="P21" s="167" t="s">
        <v>59</v>
      </c>
      <c r="Q21" s="168" t="s">
        <v>59</v>
      </c>
      <c r="R21" s="168" t="s">
        <v>59</v>
      </c>
    </row>
    <row r="22" spans="1:19" x14ac:dyDescent="0.25">
      <c r="A22" s="49">
        <f t="shared" si="4"/>
        <v>0</v>
      </c>
      <c r="B22" s="33" t="str">
        <f t="shared" si="7"/>
        <v/>
      </c>
      <c r="C22" s="34"/>
      <c r="D22" s="34"/>
      <c r="E22" s="34"/>
      <c r="F22" s="34"/>
      <c r="G22" s="27"/>
      <c r="H22" s="35">
        <v>17</v>
      </c>
      <c r="I22" s="36" t="str">
        <f t="shared" si="5"/>
        <v/>
      </c>
      <c r="J22" s="36">
        <f t="shared" si="6"/>
        <v>-3</v>
      </c>
      <c r="K22" s="35">
        <f t="shared" si="2"/>
        <v>-30</v>
      </c>
      <c r="L22" s="35"/>
      <c r="M22" s="37">
        <f t="shared" si="3"/>
        <v>0</v>
      </c>
      <c r="N22" s="166" t="s">
        <v>59</v>
      </c>
      <c r="O22" s="166" t="s">
        <v>59</v>
      </c>
      <c r="P22" s="167" t="s">
        <v>59</v>
      </c>
      <c r="Q22" s="168" t="s">
        <v>59</v>
      </c>
      <c r="R22" s="168" t="s">
        <v>59</v>
      </c>
    </row>
    <row r="23" spans="1:19" x14ac:dyDescent="0.25">
      <c r="A23" s="48">
        <f t="shared" si="4"/>
        <v>0</v>
      </c>
      <c r="B23" s="39" t="str">
        <f t="shared" si="7"/>
        <v/>
      </c>
      <c r="C23" s="40"/>
      <c r="D23" s="40"/>
      <c r="E23" s="40"/>
      <c r="F23" s="40"/>
      <c r="G23" s="27"/>
      <c r="H23" s="41">
        <v>18</v>
      </c>
      <c r="I23" s="42" t="str">
        <f t="shared" si="5"/>
        <v/>
      </c>
      <c r="J23" s="42">
        <f t="shared" si="6"/>
        <v>-3</v>
      </c>
      <c r="K23" s="41">
        <f t="shared" si="2"/>
        <v>-30</v>
      </c>
      <c r="L23" s="41"/>
      <c r="M23" s="43">
        <f t="shared" si="3"/>
        <v>0</v>
      </c>
      <c r="N23" s="166" t="s">
        <v>59</v>
      </c>
      <c r="O23" s="166" t="s">
        <v>59</v>
      </c>
      <c r="P23" s="167" t="s">
        <v>59</v>
      </c>
      <c r="Q23" s="168" t="s">
        <v>59</v>
      </c>
      <c r="R23" s="168" t="s">
        <v>59</v>
      </c>
    </row>
    <row r="24" spans="1:19" x14ac:dyDescent="0.25">
      <c r="A24" s="49">
        <f t="shared" si="4"/>
        <v>0</v>
      </c>
      <c r="B24" s="33" t="str">
        <f t="shared" si="7"/>
        <v/>
      </c>
      <c r="C24" s="34"/>
      <c r="D24" s="34"/>
      <c r="E24" s="34"/>
      <c r="F24" s="34"/>
      <c r="G24" s="27"/>
      <c r="H24" s="35">
        <v>19</v>
      </c>
      <c r="I24" s="36" t="str">
        <f t="shared" si="5"/>
        <v/>
      </c>
      <c r="J24" s="36">
        <f t="shared" si="6"/>
        <v>-3</v>
      </c>
      <c r="K24" s="35">
        <f t="shared" si="2"/>
        <v>-30</v>
      </c>
      <c r="L24" s="35"/>
      <c r="M24" s="37">
        <f t="shared" si="3"/>
        <v>0</v>
      </c>
      <c r="N24" s="166" t="s">
        <v>59</v>
      </c>
      <c r="O24" s="166" t="s">
        <v>59</v>
      </c>
      <c r="P24" s="167" t="s">
        <v>59</v>
      </c>
      <c r="Q24" s="172" t="s">
        <v>59</v>
      </c>
      <c r="R24" s="168" t="s">
        <v>59</v>
      </c>
      <c r="S24" s="54"/>
    </row>
    <row r="25" spans="1:19" x14ac:dyDescent="0.25">
      <c r="A25" s="48">
        <f t="shared" si="4"/>
        <v>0</v>
      </c>
      <c r="B25" s="39" t="str">
        <f t="shared" si="7"/>
        <v/>
      </c>
      <c r="C25" s="40"/>
      <c r="D25" s="40"/>
      <c r="E25" s="40"/>
      <c r="F25" s="40"/>
      <c r="G25" s="27"/>
      <c r="H25" s="41">
        <v>20</v>
      </c>
      <c r="I25" s="42" t="str">
        <f t="shared" si="5"/>
        <v/>
      </c>
      <c r="J25" s="42">
        <f t="shared" si="6"/>
        <v>-3</v>
      </c>
      <c r="K25" s="41">
        <f t="shared" si="2"/>
        <v>-30</v>
      </c>
      <c r="L25" s="41"/>
      <c r="M25" s="43">
        <f t="shared" si="3"/>
        <v>0</v>
      </c>
      <c r="N25" s="166" t="s">
        <v>59</v>
      </c>
      <c r="O25" s="166" t="s">
        <v>59</v>
      </c>
      <c r="P25" s="167" t="s">
        <v>59</v>
      </c>
      <c r="Q25" s="168" t="s">
        <v>59</v>
      </c>
      <c r="R25" s="168" t="s">
        <v>59</v>
      </c>
    </row>
    <row r="26" spans="1:19" x14ac:dyDescent="0.25">
      <c r="A26" s="49">
        <f t="shared" si="4"/>
        <v>0</v>
      </c>
      <c r="B26" s="33" t="str">
        <f t="shared" si="7"/>
        <v/>
      </c>
      <c r="C26" s="34"/>
      <c r="D26" s="34"/>
      <c r="E26" s="34"/>
      <c r="F26" s="34"/>
      <c r="G26" s="27"/>
      <c r="H26" s="35">
        <v>21</v>
      </c>
      <c r="I26" s="36" t="str">
        <f t="shared" si="5"/>
        <v/>
      </c>
      <c r="J26" s="36">
        <f t="shared" si="6"/>
        <v>-3</v>
      </c>
      <c r="K26" s="35">
        <f t="shared" si="2"/>
        <v>-30</v>
      </c>
      <c r="L26" s="35"/>
      <c r="M26" s="37">
        <f t="shared" si="3"/>
        <v>0</v>
      </c>
      <c r="N26" s="166" t="s">
        <v>59</v>
      </c>
      <c r="O26" s="166" t="s">
        <v>59</v>
      </c>
      <c r="P26" s="167" t="s">
        <v>59</v>
      </c>
      <c r="Q26" s="168" t="s">
        <v>59</v>
      </c>
      <c r="R26" s="168" t="s">
        <v>59</v>
      </c>
    </row>
    <row r="27" spans="1:19" x14ac:dyDescent="0.25">
      <c r="A27" s="48">
        <f t="shared" si="4"/>
        <v>0</v>
      </c>
      <c r="B27" s="39" t="str">
        <f t="shared" si="7"/>
        <v/>
      </c>
      <c r="C27" s="40"/>
      <c r="D27" s="40"/>
      <c r="E27" s="40"/>
      <c r="F27" s="40"/>
      <c r="G27" s="27"/>
      <c r="H27" s="41">
        <v>22</v>
      </c>
      <c r="I27" s="42" t="str">
        <f t="shared" si="5"/>
        <v/>
      </c>
      <c r="J27" s="42">
        <f t="shared" si="6"/>
        <v>-3</v>
      </c>
      <c r="K27" s="41">
        <f t="shared" si="2"/>
        <v>-30</v>
      </c>
      <c r="L27" s="41"/>
      <c r="M27" s="43">
        <f t="shared" si="3"/>
        <v>0</v>
      </c>
      <c r="N27" s="166" t="s">
        <v>59</v>
      </c>
      <c r="O27" s="166" t="s">
        <v>59</v>
      </c>
      <c r="P27" s="167" t="s">
        <v>59</v>
      </c>
      <c r="Q27" s="168" t="s">
        <v>59</v>
      </c>
      <c r="R27" s="168" t="s">
        <v>59</v>
      </c>
    </row>
    <row r="28" spans="1:19" x14ac:dyDescent="0.25">
      <c r="A28" s="49">
        <f t="shared" si="4"/>
        <v>0</v>
      </c>
      <c r="B28" s="33" t="str">
        <f t="shared" si="7"/>
        <v/>
      </c>
      <c r="C28" s="34"/>
      <c r="D28" s="34"/>
      <c r="E28" s="34"/>
      <c r="F28" s="34"/>
      <c r="G28" s="27"/>
      <c r="H28" s="35">
        <v>23</v>
      </c>
      <c r="I28" s="36" t="str">
        <f t="shared" si="5"/>
        <v/>
      </c>
      <c r="J28" s="36">
        <f t="shared" si="6"/>
        <v>-3</v>
      </c>
      <c r="K28" s="35">
        <f t="shared" si="2"/>
        <v>-30</v>
      </c>
      <c r="L28" s="35"/>
      <c r="M28" s="37">
        <f t="shared" si="3"/>
        <v>0</v>
      </c>
      <c r="N28" s="166" t="s">
        <v>59</v>
      </c>
      <c r="O28" s="166" t="s">
        <v>59</v>
      </c>
      <c r="P28" s="167" t="s">
        <v>59</v>
      </c>
      <c r="Q28" s="172" t="s">
        <v>59</v>
      </c>
      <c r="R28" s="168" t="s">
        <v>59</v>
      </c>
      <c r="S28" s="54"/>
    </row>
    <row r="29" spans="1:19" x14ac:dyDescent="0.25">
      <c r="A29" s="48">
        <f t="shared" si="4"/>
        <v>0</v>
      </c>
      <c r="B29" s="39" t="str">
        <f t="shared" si="7"/>
        <v/>
      </c>
      <c r="C29" s="40"/>
      <c r="D29" s="40"/>
      <c r="E29" s="40"/>
      <c r="F29" s="40"/>
      <c r="G29" s="13"/>
      <c r="H29" s="41">
        <v>24</v>
      </c>
      <c r="I29" s="42" t="str">
        <f t="shared" si="5"/>
        <v/>
      </c>
      <c r="J29" s="42">
        <f t="shared" si="6"/>
        <v>-3</v>
      </c>
      <c r="K29" s="41">
        <f t="shared" si="2"/>
        <v>-30</v>
      </c>
      <c r="L29" s="41"/>
      <c r="M29" s="43">
        <f t="shared" si="3"/>
        <v>0</v>
      </c>
      <c r="N29" s="166" t="s">
        <v>59</v>
      </c>
      <c r="O29" s="166" t="s">
        <v>59</v>
      </c>
      <c r="P29" s="167" t="s">
        <v>59</v>
      </c>
      <c r="Q29" s="168" t="s">
        <v>59</v>
      </c>
      <c r="R29" s="168" t="s">
        <v>59</v>
      </c>
    </row>
    <row r="30" spans="1:19" x14ac:dyDescent="0.25">
      <c r="A30" s="49">
        <f t="shared" si="4"/>
        <v>0</v>
      </c>
      <c r="B30" s="33" t="str">
        <f t="shared" si="7"/>
        <v/>
      </c>
      <c r="C30" s="34"/>
      <c r="D30" s="34"/>
      <c r="E30" s="34"/>
      <c r="F30" s="34"/>
      <c r="G30" s="13"/>
      <c r="H30" s="35">
        <v>25</v>
      </c>
      <c r="I30" s="36" t="str">
        <f t="shared" si="5"/>
        <v/>
      </c>
      <c r="J30" s="36">
        <f t="shared" si="6"/>
        <v>-3</v>
      </c>
      <c r="K30" s="35">
        <f t="shared" si="2"/>
        <v>-30</v>
      </c>
      <c r="L30" s="35"/>
      <c r="M30" s="37">
        <f t="shared" si="3"/>
        <v>0</v>
      </c>
      <c r="N30" s="166" t="s">
        <v>59</v>
      </c>
      <c r="O30" s="166" t="s">
        <v>59</v>
      </c>
      <c r="P30" s="167" t="s">
        <v>59</v>
      </c>
      <c r="Q30" s="168" t="s">
        <v>59</v>
      </c>
      <c r="R30" s="168" t="s">
        <v>59</v>
      </c>
    </row>
    <row r="31" spans="1:19" x14ac:dyDescent="0.25">
      <c r="A31" s="48">
        <f t="shared" si="4"/>
        <v>0</v>
      </c>
      <c r="B31" s="39" t="str">
        <f t="shared" si="7"/>
        <v/>
      </c>
      <c r="C31" s="40"/>
      <c r="D31" s="40"/>
      <c r="E31" s="40"/>
      <c r="F31" s="40"/>
      <c r="G31" s="13"/>
      <c r="H31" s="41">
        <v>26</v>
      </c>
      <c r="I31" s="42" t="str">
        <f t="shared" si="5"/>
        <v/>
      </c>
      <c r="J31" s="42">
        <f t="shared" si="6"/>
        <v>-3</v>
      </c>
      <c r="K31" s="41">
        <f t="shared" si="2"/>
        <v>-30</v>
      </c>
      <c r="L31" s="41"/>
      <c r="M31" s="43">
        <f t="shared" si="3"/>
        <v>0</v>
      </c>
      <c r="N31" s="166" t="s">
        <v>59</v>
      </c>
      <c r="O31" s="166" t="s">
        <v>59</v>
      </c>
      <c r="P31" s="167" t="s">
        <v>59</v>
      </c>
      <c r="Q31" s="168" t="s">
        <v>59</v>
      </c>
      <c r="R31" s="168" t="s">
        <v>59</v>
      </c>
    </row>
    <row r="32" spans="1:19" x14ac:dyDescent="0.25">
      <c r="A32" s="49">
        <f t="shared" si="4"/>
        <v>0</v>
      </c>
      <c r="B32" s="33" t="str">
        <f t="shared" si="7"/>
        <v/>
      </c>
      <c r="C32" s="34"/>
      <c r="D32" s="34"/>
      <c r="E32" s="34"/>
      <c r="F32" s="34"/>
      <c r="G32" s="13"/>
      <c r="H32" s="35">
        <v>27</v>
      </c>
      <c r="I32" s="36" t="str">
        <f t="shared" si="5"/>
        <v/>
      </c>
      <c r="J32" s="36">
        <f t="shared" si="6"/>
        <v>-3</v>
      </c>
      <c r="K32" s="35">
        <f t="shared" si="2"/>
        <v>-30</v>
      </c>
      <c r="L32" s="35"/>
      <c r="M32" s="37">
        <f t="shared" si="3"/>
        <v>0</v>
      </c>
      <c r="N32" s="166" t="s">
        <v>59</v>
      </c>
      <c r="O32" s="166" t="s">
        <v>59</v>
      </c>
      <c r="P32" s="167" t="s">
        <v>59</v>
      </c>
      <c r="Q32" s="172" t="s">
        <v>59</v>
      </c>
      <c r="R32" s="168" t="s">
        <v>59</v>
      </c>
      <c r="S32" s="54"/>
    </row>
    <row r="33" spans="1:21" x14ac:dyDescent="0.25">
      <c r="A33" s="48">
        <f t="shared" si="4"/>
        <v>0</v>
      </c>
      <c r="B33" s="39" t="str">
        <f t="shared" si="7"/>
        <v/>
      </c>
      <c r="C33" s="40"/>
      <c r="D33" s="40"/>
      <c r="E33" s="40"/>
      <c r="F33" s="40"/>
      <c r="G33" s="13"/>
      <c r="H33" s="41">
        <v>28</v>
      </c>
      <c r="I33" s="42" t="str">
        <f t="shared" si="5"/>
        <v/>
      </c>
      <c r="J33" s="42">
        <f t="shared" si="6"/>
        <v>-3</v>
      </c>
      <c r="K33" s="41">
        <f t="shared" si="2"/>
        <v>-30</v>
      </c>
      <c r="L33" s="41"/>
      <c r="M33" s="43">
        <f t="shared" si="3"/>
        <v>0</v>
      </c>
      <c r="N33" s="166" t="s">
        <v>59</v>
      </c>
      <c r="O33" s="166" t="s">
        <v>59</v>
      </c>
      <c r="P33" s="167" t="s">
        <v>59</v>
      </c>
      <c r="Q33" s="168" t="s">
        <v>59</v>
      </c>
      <c r="R33" s="168" t="s">
        <v>59</v>
      </c>
    </row>
    <row r="34" spans="1:21" x14ac:dyDescent="0.25">
      <c r="A34" s="49">
        <f t="shared" si="4"/>
        <v>0</v>
      </c>
      <c r="B34" s="33" t="str">
        <f t="shared" si="7"/>
        <v/>
      </c>
      <c r="C34" s="34"/>
      <c r="D34" s="34"/>
      <c r="E34" s="34"/>
      <c r="F34" s="34"/>
      <c r="G34" s="13"/>
      <c r="H34" s="35">
        <v>29</v>
      </c>
      <c r="I34" s="36" t="str">
        <f t="shared" si="5"/>
        <v/>
      </c>
      <c r="J34" s="36">
        <f t="shared" si="6"/>
        <v>-3</v>
      </c>
      <c r="K34" s="35">
        <f t="shared" si="2"/>
        <v>-30</v>
      </c>
      <c r="L34" s="35"/>
      <c r="M34" s="37">
        <f t="shared" si="3"/>
        <v>0</v>
      </c>
      <c r="N34" s="166" t="s">
        <v>59</v>
      </c>
      <c r="O34" s="166" t="s">
        <v>59</v>
      </c>
      <c r="P34" s="167" t="s">
        <v>59</v>
      </c>
      <c r="Q34" s="168" t="s">
        <v>59</v>
      </c>
      <c r="R34" s="168" t="s">
        <v>59</v>
      </c>
    </row>
    <row r="35" spans="1:21" x14ac:dyDescent="0.25">
      <c r="A35" s="48">
        <f t="shared" si="4"/>
        <v>0</v>
      </c>
      <c r="B35" s="39" t="str">
        <f t="shared" si="7"/>
        <v/>
      </c>
      <c r="C35" s="40"/>
      <c r="D35" s="40"/>
      <c r="E35" s="40"/>
      <c r="F35" s="40"/>
      <c r="G35" s="13"/>
      <c r="H35" s="41">
        <v>30</v>
      </c>
      <c r="I35" s="42" t="str">
        <f t="shared" si="5"/>
        <v/>
      </c>
      <c r="J35" s="42">
        <f t="shared" si="6"/>
        <v>-3</v>
      </c>
      <c r="K35" s="41">
        <f t="shared" si="2"/>
        <v>-30</v>
      </c>
      <c r="L35" s="41"/>
      <c r="M35" s="43">
        <f t="shared" si="3"/>
        <v>0</v>
      </c>
      <c r="N35" s="166" t="s">
        <v>59</v>
      </c>
      <c r="O35" s="166" t="s">
        <v>59</v>
      </c>
      <c r="P35" s="167" t="s">
        <v>59</v>
      </c>
      <c r="Q35" s="168" t="s">
        <v>59</v>
      </c>
      <c r="R35" s="168" t="s">
        <v>59</v>
      </c>
    </row>
    <row r="36" spans="1:21" x14ac:dyDescent="0.25">
      <c r="A36" s="49">
        <f t="shared" si="4"/>
        <v>0</v>
      </c>
      <c r="B36" s="33" t="str">
        <f t="shared" si="7"/>
        <v/>
      </c>
      <c r="C36" s="34"/>
      <c r="D36" s="34"/>
      <c r="E36" s="34"/>
      <c r="F36" s="34"/>
      <c r="G36" s="13"/>
      <c r="H36" s="35">
        <v>31</v>
      </c>
      <c r="I36" s="36" t="str">
        <f t="shared" si="5"/>
        <v/>
      </c>
      <c r="J36" s="36">
        <f t="shared" si="6"/>
        <v>-3</v>
      </c>
      <c r="K36" s="35">
        <f t="shared" si="2"/>
        <v>-30</v>
      </c>
      <c r="L36" s="35"/>
      <c r="M36" s="37">
        <f t="shared" si="3"/>
        <v>0</v>
      </c>
      <c r="N36" s="166" t="s">
        <v>59</v>
      </c>
      <c r="O36" s="166" t="s">
        <v>59</v>
      </c>
      <c r="P36" s="167" t="s">
        <v>59</v>
      </c>
      <c r="Q36" s="172" t="s">
        <v>59</v>
      </c>
      <c r="R36" s="168" t="s">
        <v>59</v>
      </c>
      <c r="S36" s="54"/>
    </row>
    <row r="37" spans="1:21" x14ac:dyDescent="0.25">
      <c r="A37" s="48">
        <f t="shared" si="4"/>
        <v>0</v>
      </c>
      <c r="B37" s="39" t="str">
        <f t="shared" si="7"/>
        <v/>
      </c>
      <c r="C37" s="40"/>
      <c r="D37" s="40"/>
      <c r="E37" s="40"/>
      <c r="F37" s="40"/>
      <c r="G37" s="13"/>
      <c r="H37" s="41">
        <v>32</v>
      </c>
      <c r="I37" s="42" t="str">
        <f t="shared" si="5"/>
        <v/>
      </c>
      <c r="J37" s="42">
        <f t="shared" si="6"/>
        <v>-3</v>
      </c>
      <c r="K37" s="41">
        <f t="shared" si="2"/>
        <v>-30</v>
      </c>
      <c r="L37" s="41"/>
      <c r="M37" s="43">
        <f t="shared" si="3"/>
        <v>0</v>
      </c>
      <c r="N37" s="166" t="s">
        <v>59</v>
      </c>
      <c r="O37" s="166" t="s">
        <v>59</v>
      </c>
      <c r="P37" s="167" t="s">
        <v>59</v>
      </c>
      <c r="Q37" s="168" t="s">
        <v>59</v>
      </c>
      <c r="R37" s="168" t="s">
        <v>59</v>
      </c>
    </row>
    <row r="38" spans="1:21" x14ac:dyDescent="0.25">
      <c r="A38" s="49"/>
      <c r="B38" s="33" t="str">
        <f t="shared" si="7"/>
        <v/>
      </c>
      <c r="C38" s="34"/>
      <c r="D38" s="34"/>
      <c r="E38" s="34"/>
      <c r="F38" s="34"/>
      <c r="G38" s="13"/>
      <c r="H38" s="35">
        <v>33</v>
      </c>
      <c r="I38" s="36" t="str">
        <f t="shared" si="5"/>
        <v/>
      </c>
      <c r="J38" s="36">
        <f t="shared" si="6"/>
        <v>-4</v>
      </c>
      <c r="K38" s="35">
        <f t="shared" si="2"/>
        <v>-40</v>
      </c>
      <c r="L38" s="35"/>
      <c r="M38" s="37">
        <f t="shared" si="3"/>
        <v>0</v>
      </c>
      <c r="N38" s="166" t="s">
        <v>59</v>
      </c>
      <c r="O38" s="166" t="s">
        <v>59</v>
      </c>
      <c r="P38" s="167" t="s">
        <v>59</v>
      </c>
      <c r="Q38" s="168" t="s">
        <v>59</v>
      </c>
      <c r="R38" s="168" t="s">
        <v>59</v>
      </c>
    </row>
    <row r="39" spans="1:21" x14ac:dyDescent="0.25">
      <c r="A39" s="48"/>
      <c r="B39" s="39" t="str">
        <f t="shared" si="7"/>
        <v/>
      </c>
      <c r="C39" s="40"/>
      <c r="D39" s="40"/>
      <c r="E39" s="40"/>
      <c r="F39" s="40"/>
      <c r="G39" s="13"/>
      <c r="H39" s="41">
        <v>34</v>
      </c>
      <c r="I39" s="42" t="str">
        <f t="shared" si="5"/>
        <v/>
      </c>
      <c r="J39" s="42">
        <f t="shared" si="6"/>
        <v>-4</v>
      </c>
      <c r="K39" s="41">
        <f t="shared" si="2"/>
        <v>-40</v>
      </c>
      <c r="L39" s="41"/>
      <c r="M39" s="43">
        <f t="shared" si="3"/>
        <v>0</v>
      </c>
      <c r="N39" s="166" t="s">
        <v>59</v>
      </c>
      <c r="O39" s="166" t="s">
        <v>59</v>
      </c>
      <c r="P39" s="167" t="s">
        <v>59</v>
      </c>
      <c r="Q39" s="168" t="s">
        <v>59</v>
      </c>
      <c r="R39" s="168" t="s">
        <v>59</v>
      </c>
    </row>
    <row r="40" spans="1:21" x14ac:dyDescent="0.25">
      <c r="A40" s="49"/>
      <c r="B40" s="33" t="str">
        <f t="shared" si="7"/>
        <v/>
      </c>
      <c r="C40" s="34"/>
      <c r="D40" s="34"/>
      <c r="E40" s="34"/>
      <c r="F40" s="34"/>
      <c r="G40" s="13"/>
      <c r="H40" s="35">
        <v>35</v>
      </c>
      <c r="I40" s="36" t="str">
        <f t="shared" si="5"/>
        <v/>
      </c>
      <c r="J40" s="36">
        <f t="shared" si="6"/>
        <v>-4</v>
      </c>
      <c r="K40" s="35">
        <f t="shared" si="2"/>
        <v>-40</v>
      </c>
      <c r="L40" s="35"/>
      <c r="M40" s="37">
        <f t="shared" si="3"/>
        <v>0</v>
      </c>
      <c r="N40" s="166" t="s">
        <v>59</v>
      </c>
      <c r="O40" s="166" t="s">
        <v>59</v>
      </c>
      <c r="P40" s="167" t="s">
        <v>59</v>
      </c>
      <c r="Q40" s="168" t="s">
        <v>59</v>
      </c>
      <c r="R40" s="168" t="s">
        <v>59</v>
      </c>
    </row>
    <row r="41" spans="1:21" x14ac:dyDescent="0.25">
      <c r="A41" s="48"/>
      <c r="B41" s="39" t="str">
        <f t="shared" si="7"/>
        <v/>
      </c>
      <c r="C41" s="40"/>
      <c r="D41" s="40"/>
      <c r="E41" s="40"/>
      <c r="F41" s="40"/>
      <c r="G41" s="13"/>
      <c r="H41" s="41">
        <v>36</v>
      </c>
      <c r="I41" s="42" t="str">
        <f t="shared" si="5"/>
        <v/>
      </c>
      <c r="J41" s="42">
        <f t="shared" si="6"/>
        <v>-4</v>
      </c>
      <c r="K41" s="41">
        <f t="shared" si="2"/>
        <v>-40</v>
      </c>
      <c r="L41" s="41"/>
      <c r="M41" s="43">
        <f t="shared" si="3"/>
        <v>0</v>
      </c>
      <c r="N41" s="166" t="s">
        <v>59</v>
      </c>
      <c r="O41" s="166" t="s">
        <v>59</v>
      </c>
      <c r="P41" s="167" t="s">
        <v>59</v>
      </c>
      <c r="Q41" s="168" t="s">
        <v>59</v>
      </c>
      <c r="R41" s="168" t="s">
        <v>59</v>
      </c>
      <c r="S41" s="55"/>
    </row>
    <row r="42" spans="1:21" x14ac:dyDescent="0.25">
      <c r="A42" s="49"/>
      <c r="B42" s="33" t="str">
        <f t="shared" si="7"/>
        <v/>
      </c>
      <c r="C42" s="34"/>
      <c r="D42" s="34"/>
      <c r="E42" s="34"/>
      <c r="F42" s="34"/>
      <c r="G42" s="13"/>
      <c r="H42" s="35">
        <v>37</v>
      </c>
      <c r="I42" s="36" t="str">
        <f t="shared" si="5"/>
        <v/>
      </c>
      <c r="J42" s="36">
        <f t="shared" si="6"/>
        <v>-4</v>
      </c>
      <c r="K42" s="35">
        <f t="shared" si="2"/>
        <v>-40</v>
      </c>
      <c r="L42" s="35"/>
      <c r="M42" s="37">
        <f t="shared" si="3"/>
        <v>0</v>
      </c>
      <c r="N42" s="166" t="s">
        <v>59</v>
      </c>
      <c r="O42" s="166" t="s">
        <v>59</v>
      </c>
      <c r="P42" s="167" t="s">
        <v>59</v>
      </c>
      <c r="Q42" s="168" t="s">
        <v>59</v>
      </c>
      <c r="R42" s="168" t="s">
        <v>59</v>
      </c>
    </row>
    <row r="43" spans="1:21" x14ac:dyDescent="0.25">
      <c r="A43" s="48"/>
      <c r="B43" s="39" t="str">
        <f t="shared" si="7"/>
        <v/>
      </c>
      <c r="C43" s="40"/>
      <c r="D43" s="40"/>
      <c r="E43" s="40"/>
      <c r="F43" s="40"/>
      <c r="G43" s="13"/>
      <c r="H43" s="41">
        <v>38</v>
      </c>
      <c r="I43" s="42" t="str">
        <f t="shared" si="5"/>
        <v/>
      </c>
      <c r="J43" s="42">
        <f t="shared" si="6"/>
        <v>-4</v>
      </c>
      <c r="K43" s="41">
        <f t="shared" si="2"/>
        <v>-40</v>
      </c>
      <c r="L43" s="41"/>
      <c r="M43" s="43">
        <f t="shared" si="3"/>
        <v>0</v>
      </c>
      <c r="N43" s="166" t="s">
        <v>59</v>
      </c>
      <c r="O43" s="166" t="s">
        <v>59</v>
      </c>
      <c r="P43" s="167" t="s">
        <v>59</v>
      </c>
      <c r="Q43" s="168" t="s">
        <v>59</v>
      </c>
      <c r="R43" s="168" t="s">
        <v>59</v>
      </c>
    </row>
    <row r="44" spans="1:21" x14ac:dyDescent="0.25">
      <c r="A44" s="49"/>
      <c r="B44" s="33" t="str">
        <f t="shared" si="7"/>
        <v/>
      </c>
      <c r="C44" s="34"/>
      <c r="D44" s="34"/>
      <c r="E44" s="34"/>
      <c r="F44" s="34"/>
      <c r="G44" s="13"/>
      <c r="H44" s="35">
        <v>39</v>
      </c>
      <c r="I44" s="36" t="str">
        <f t="shared" si="5"/>
        <v/>
      </c>
      <c r="J44" s="36">
        <f t="shared" si="6"/>
        <v>-4</v>
      </c>
      <c r="K44" s="35">
        <f t="shared" si="2"/>
        <v>-40</v>
      </c>
      <c r="L44" s="35"/>
      <c r="M44" s="37">
        <f t="shared" si="3"/>
        <v>0</v>
      </c>
      <c r="N44" s="166" t="s">
        <v>59</v>
      </c>
      <c r="O44" s="166" t="s">
        <v>59</v>
      </c>
      <c r="P44" s="167" t="s">
        <v>59</v>
      </c>
      <c r="Q44" s="168" t="s">
        <v>59</v>
      </c>
      <c r="R44" s="168" t="s">
        <v>59</v>
      </c>
    </row>
    <row r="45" spans="1:21" x14ac:dyDescent="0.25">
      <c r="A45" s="48"/>
      <c r="B45" s="39" t="str">
        <f t="shared" si="7"/>
        <v/>
      </c>
      <c r="C45" s="40"/>
      <c r="D45" s="40"/>
      <c r="E45" s="40"/>
      <c r="F45" s="40"/>
      <c r="G45" s="13"/>
      <c r="H45" s="41">
        <v>40</v>
      </c>
      <c r="I45" s="42" t="str">
        <f t="shared" si="5"/>
        <v/>
      </c>
      <c r="J45" s="42">
        <f t="shared" si="6"/>
        <v>-4</v>
      </c>
      <c r="K45" s="41">
        <f t="shared" si="2"/>
        <v>-40</v>
      </c>
      <c r="L45" s="41"/>
      <c r="M45" s="43">
        <f t="shared" si="3"/>
        <v>0</v>
      </c>
      <c r="N45" s="166" t="s">
        <v>59</v>
      </c>
      <c r="O45" s="166" t="s">
        <v>59</v>
      </c>
      <c r="P45" s="167" t="s">
        <v>59</v>
      </c>
      <c r="Q45" s="168" t="s">
        <v>59</v>
      </c>
      <c r="R45" s="168" t="s">
        <v>59</v>
      </c>
    </row>
    <row r="46" spans="1:21" x14ac:dyDescent="0.25">
      <c r="A46" s="49"/>
      <c r="B46" s="33" t="str">
        <f t="shared" si="7"/>
        <v/>
      </c>
      <c r="C46" s="34"/>
      <c r="D46" s="34"/>
      <c r="E46" s="34"/>
      <c r="F46" s="34"/>
      <c r="G46" s="13"/>
      <c r="H46" s="35">
        <v>41</v>
      </c>
      <c r="I46" s="36" t="str">
        <f t="shared" si="5"/>
        <v/>
      </c>
      <c r="J46" s="36">
        <f t="shared" si="6"/>
        <v>-4</v>
      </c>
      <c r="K46" s="35">
        <f t="shared" si="2"/>
        <v>-40</v>
      </c>
      <c r="L46" s="35"/>
      <c r="M46" s="37">
        <f t="shared" si="3"/>
        <v>0</v>
      </c>
      <c r="N46" s="166" t="s">
        <v>59</v>
      </c>
      <c r="O46" s="166" t="s">
        <v>59</v>
      </c>
      <c r="P46" s="167" t="s">
        <v>59</v>
      </c>
      <c r="Q46" s="173">
        <v>21186</v>
      </c>
      <c r="R46" s="168" t="s">
        <v>59</v>
      </c>
      <c r="T46" s="18">
        <f>LOG(H38,2)</f>
        <v>5.0443941193584534</v>
      </c>
      <c r="U46" s="18" t="e">
        <f>R46-T46</f>
        <v>#VALUE!</v>
      </c>
    </row>
    <row r="47" spans="1:21" x14ac:dyDescent="0.25">
      <c r="A47" s="48"/>
      <c r="B47" s="39" t="str">
        <f t="shared" si="7"/>
        <v/>
      </c>
      <c r="C47" s="40"/>
      <c r="D47" s="40"/>
      <c r="E47" s="40"/>
      <c r="F47" s="40"/>
      <c r="G47" s="13"/>
      <c r="H47" s="41">
        <v>42</v>
      </c>
      <c r="I47" s="42" t="str">
        <f t="shared" si="5"/>
        <v/>
      </c>
      <c r="J47" s="42">
        <f t="shared" si="6"/>
        <v>-4</v>
      </c>
      <c r="K47" s="41">
        <f t="shared" si="2"/>
        <v>-40</v>
      </c>
      <c r="L47" s="41"/>
      <c r="M47" s="43">
        <f t="shared" si="3"/>
        <v>0</v>
      </c>
      <c r="N47" s="166" t="s">
        <v>59</v>
      </c>
      <c r="O47" s="166" t="s">
        <v>59</v>
      </c>
      <c r="P47" s="167" t="s">
        <v>59</v>
      </c>
      <c r="Q47" s="168" t="s">
        <v>59</v>
      </c>
      <c r="R47" s="168" t="s">
        <v>59</v>
      </c>
    </row>
    <row r="48" spans="1:21" x14ac:dyDescent="0.25">
      <c r="A48" s="49"/>
      <c r="B48" s="33" t="str">
        <f t="shared" si="7"/>
        <v/>
      </c>
      <c r="C48" s="34"/>
      <c r="D48" s="34"/>
      <c r="E48" s="34"/>
      <c r="F48" s="34"/>
      <c r="G48" s="13"/>
      <c r="H48" s="35">
        <v>43</v>
      </c>
      <c r="I48" s="36" t="str">
        <f t="shared" si="5"/>
        <v/>
      </c>
      <c r="J48" s="36">
        <f t="shared" si="6"/>
        <v>-4</v>
      </c>
      <c r="K48" s="35">
        <f t="shared" si="2"/>
        <v>-40</v>
      </c>
      <c r="L48" s="35"/>
      <c r="M48" s="37">
        <f t="shared" si="3"/>
        <v>0</v>
      </c>
      <c r="N48" s="166" t="s">
        <v>59</v>
      </c>
      <c r="O48" s="166" t="s">
        <v>59</v>
      </c>
      <c r="P48" s="167" t="s">
        <v>59</v>
      </c>
      <c r="Q48" s="168" t="s">
        <v>59</v>
      </c>
      <c r="R48" s="168" t="s">
        <v>59</v>
      </c>
    </row>
    <row r="49" spans="1:18" x14ac:dyDescent="0.25">
      <c r="A49" s="48"/>
      <c r="B49" s="39" t="str">
        <f t="shared" si="7"/>
        <v/>
      </c>
      <c r="C49" s="40"/>
      <c r="D49" s="40"/>
      <c r="E49" s="40"/>
      <c r="F49" s="40"/>
      <c r="G49" s="13"/>
      <c r="H49" s="41">
        <v>44</v>
      </c>
      <c r="I49" s="42" t="str">
        <f t="shared" si="5"/>
        <v/>
      </c>
      <c r="J49" s="42">
        <f t="shared" si="6"/>
        <v>-4</v>
      </c>
      <c r="K49" s="41">
        <f t="shared" si="2"/>
        <v>-40</v>
      </c>
      <c r="L49" s="41"/>
      <c r="M49" s="43">
        <f t="shared" si="3"/>
        <v>0</v>
      </c>
      <c r="N49" s="166" t="s">
        <v>59</v>
      </c>
      <c r="O49" s="166" t="s">
        <v>59</v>
      </c>
      <c r="P49" s="167" t="s">
        <v>59</v>
      </c>
      <c r="Q49" s="168" t="s">
        <v>59</v>
      </c>
      <c r="R49" s="168" t="s">
        <v>59</v>
      </c>
    </row>
    <row r="50" spans="1:18" x14ac:dyDescent="0.25">
      <c r="A50" s="49"/>
      <c r="B50" s="33" t="str">
        <f t="shared" si="7"/>
        <v/>
      </c>
      <c r="C50" s="34"/>
      <c r="D50" s="34"/>
      <c r="E50" s="34"/>
      <c r="F50" s="34"/>
      <c r="G50" s="13"/>
      <c r="H50" s="35">
        <v>45</v>
      </c>
      <c r="I50" s="36" t="str">
        <f t="shared" si="5"/>
        <v/>
      </c>
      <c r="J50" s="36">
        <f t="shared" si="6"/>
        <v>-4</v>
      </c>
      <c r="K50" s="35">
        <f t="shared" si="2"/>
        <v>-40</v>
      </c>
      <c r="L50" s="35"/>
      <c r="M50" s="37">
        <f t="shared" si="3"/>
        <v>0</v>
      </c>
      <c r="N50" s="166" t="s">
        <v>59</v>
      </c>
      <c r="O50" s="166" t="s">
        <v>59</v>
      </c>
      <c r="P50" s="167" t="s">
        <v>59</v>
      </c>
      <c r="Q50" s="168" t="s">
        <v>59</v>
      </c>
      <c r="R50" s="168" t="s">
        <v>59</v>
      </c>
    </row>
    <row r="51" spans="1:18" x14ac:dyDescent="0.25">
      <c r="A51" s="48"/>
      <c r="B51" s="39" t="str">
        <f t="shared" si="7"/>
        <v/>
      </c>
      <c r="C51" s="40"/>
      <c r="D51" s="40"/>
      <c r="E51" s="40"/>
      <c r="F51" s="40"/>
      <c r="G51" s="13"/>
      <c r="H51" s="41">
        <v>46</v>
      </c>
      <c r="I51" s="42" t="str">
        <f t="shared" si="5"/>
        <v/>
      </c>
      <c r="J51" s="42">
        <f t="shared" si="6"/>
        <v>-4</v>
      </c>
      <c r="K51" s="41">
        <f t="shared" si="2"/>
        <v>-40</v>
      </c>
      <c r="L51" s="41"/>
      <c r="M51" s="43">
        <f t="shared" si="3"/>
        <v>0</v>
      </c>
      <c r="N51" s="166" t="s">
        <v>59</v>
      </c>
      <c r="O51" s="166" t="s">
        <v>59</v>
      </c>
      <c r="P51" s="167" t="s">
        <v>59</v>
      </c>
      <c r="Q51" s="168" t="s">
        <v>59</v>
      </c>
      <c r="R51" s="168" t="s">
        <v>59</v>
      </c>
    </row>
    <row r="52" spans="1:18" x14ac:dyDescent="0.25">
      <c r="A52" s="49"/>
      <c r="B52" s="33" t="str">
        <f t="shared" si="7"/>
        <v/>
      </c>
      <c r="C52" s="34"/>
      <c r="D52" s="34"/>
      <c r="E52" s="34"/>
      <c r="F52" s="34"/>
      <c r="G52" s="13"/>
      <c r="H52" s="35">
        <v>47</v>
      </c>
      <c r="I52" s="36" t="str">
        <f t="shared" si="5"/>
        <v/>
      </c>
      <c r="J52" s="36">
        <f t="shared" si="6"/>
        <v>-4</v>
      </c>
      <c r="K52" s="35">
        <f t="shared" si="2"/>
        <v>-40</v>
      </c>
      <c r="L52" s="35"/>
      <c r="M52" s="37">
        <f t="shared" si="3"/>
        <v>0</v>
      </c>
      <c r="N52" s="166" t="s">
        <v>59</v>
      </c>
      <c r="O52" s="166" t="s">
        <v>59</v>
      </c>
      <c r="P52" s="167" t="s">
        <v>59</v>
      </c>
      <c r="Q52" s="168" t="s">
        <v>59</v>
      </c>
      <c r="R52" s="168" t="s">
        <v>59</v>
      </c>
    </row>
    <row r="53" spans="1:18" x14ac:dyDescent="0.25">
      <c r="A53" s="48"/>
      <c r="B53" s="39" t="str">
        <f t="shared" si="7"/>
        <v/>
      </c>
      <c r="C53" s="40"/>
      <c r="D53" s="40"/>
      <c r="E53" s="40"/>
      <c r="F53" s="40"/>
      <c r="G53" s="13"/>
      <c r="H53" s="41">
        <v>48</v>
      </c>
      <c r="I53" s="42" t="str">
        <f t="shared" si="5"/>
        <v/>
      </c>
      <c r="J53" s="42">
        <f t="shared" si="6"/>
        <v>-4</v>
      </c>
      <c r="K53" s="41">
        <f t="shared" si="2"/>
        <v>-40</v>
      </c>
      <c r="L53" s="41"/>
      <c r="M53" s="43">
        <f t="shared" si="3"/>
        <v>0</v>
      </c>
      <c r="N53" s="166" t="s">
        <v>59</v>
      </c>
      <c r="O53" s="166" t="s">
        <v>59</v>
      </c>
      <c r="P53" s="167" t="s">
        <v>59</v>
      </c>
      <c r="Q53" s="168" t="s">
        <v>59</v>
      </c>
      <c r="R53" s="168" t="s">
        <v>59</v>
      </c>
    </row>
    <row r="54" spans="1:18" x14ac:dyDescent="0.25">
      <c r="A54" s="49"/>
      <c r="B54" s="33" t="str">
        <f t="shared" si="7"/>
        <v/>
      </c>
      <c r="C54" s="34"/>
      <c r="D54" s="34"/>
      <c r="E54" s="34"/>
      <c r="F54" s="34"/>
      <c r="G54" s="13"/>
      <c r="H54" s="35">
        <v>49</v>
      </c>
      <c r="I54" s="36" t="str">
        <f t="shared" si="5"/>
        <v/>
      </c>
      <c r="J54" s="36">
        <f t="shared" si="6"/>
        <v>-4</v>
      </c>
      <c r="K54" s="35">
        <f t="shared" si="2"/>
        <v>-40</v>
      </c>
      <c r="L54" s="35"/>
      <c r="M54" s="37">
        <f t="shared" si="3"/>
        <v>0</v>
      </c>
      <c r="N54" s="166" t="s">
        <v>59</v>
      </c>
      <c r="O54" s="166" t="s">
        <v>59</v>
      </c>
      <c r="P54" s="167" t="s">
        <v>59</v>
      </c>
      <c r="Q54" s="168" t="s">
        <v>59</v>
      </c>
      <c r="R54" s="168" t="s">
        <v>59</v>
      </c>
    </row>
    <row r="55" spans="1:18" x14ac:dyDescent="0.25">
      <c r="A55" s="48"/>
      <c r="B55" s="39" t="str">
        <f t="shared" si="7"/>
        <v/>
      </c>
      <c r="C55" s="40"/>
      <c r="D55" s="40"/>
      <c r="E55" s="40"/>
      <c r="F55" s="40"/>
      <c r="G55" s="13"/>
      <c r="H55" s="41">
        <v>50</v>
      </c>
      <c r="I55" s="42" t="str">
        <f t="shared" si="5"/>
        <v/>
      </c>
      <c r="J55" s="42">
        <f t="shared" si="6"/>
        <v>-4</v>
      </c>
      <c r="K55" s="41">
        <f t="shared" si="2"/>
        <v>-40</v>
      </c>
      <c r="L55" s="41"/>
      <c r="M55" s="43">
        <f t="shared" si="3"/>
        <v>0</v>
      </c>
      <c r="N55" s="166" t="s">
        <v>59</v>
      </c>
      <c r="O55" s="166" t="s">
        <v>59</v>
      </c>
      <c r="P55" s="167" t="s">
        <v>59</v>
      </c>
      <c r="Q55" s="168" t="s">
        <v>59</v>
      </c>
      <c r="R55" s="168" t="s">
        <v>59</v>
      </c>
    </row>
    <row r="56" spans="1:18" x14ac:dyDescent="0.25">
      <c r="A56" s="49"/>
      <c r="B56" s="33" t="str">
        <f t="shared" si="7"/>
        <v/>
      </c>
      <c r="C56" s="34"/>
      <c r="D56" s="34"/>
      <c r="E56" s="34"/>
      <c r="F56" s="34"/>
      <c r="G56" s="13"/>
      <c r="H56" s="35">
        <v>51</v>
      </c>
      <c r="I56" s="36" t="str">
        <f t="shared" si="5"/>
        <v/>
      </c>
      <c r="J56" s="36">
        <f t="shared" si="6"/>
        <v>-4</v>
      </c>
      <c r="K56" s="35">
        <f t="shared" si="2"/>
        <v>-40</v>
      </c>
      <c r="L56" s="35"/>
      <c r="M56" s="37">
        <f t="shared" si="3"/>
        <v>0</v>
      </c>
      <c r="N56" s="166" t="s">
        <v>59</v>
      </c>
      <c r="O56" s="166" t="s">
        <v>59</v>
      </c>
      <c r="P56" s="167" t="s">
        <v>59</v>
      </c>
      <c r="Q56" s="168" t="s">
        <v>59</v>
      </c>
      <c r="R56" s="168" t="s">
        <v>59</v>
      </c>
    </row>
    <row r="57" spans="1:18" x14ac:dyDescent="0.25">
      <c r="A57" s="48"/>
      <c r="B57" s="39" t="str">
        <f t="shared" si="7"/>
        <v/>
      </c>
      <c r="C57" s="40"/>
      <c r="D57" s="40"/>
      <c r="E57" s="40"/>
      <c r="F57" s="40"/>
      <c r="G57" s="13"/>
      <c r="H57" s="41">
        <v>52</v>
      </c>
      <c r="I57" s="42" t="str">
        <f t="shared" si="5"/>
        <v/>
      </c>
      <c r="J57" s="42">
        <f t="shared" si="6"/>
        <v>-4</v>
      </c>
      <c r="K57" s="41">
        <f t="shared" si="2"/>
        <v>-40</v>
      </c>
      <c r="L57" s="41"/>
      <c r="M57" s="43">
        <f t="shared" si="3"/>
        <v>0</v>
      </c>
      <c r="N57" s="166" t="s">
        <v>59</v>
      </c>
      <c r="O57" s="166" t="s">
        <v>59</v>
      </c>
      <c r="P57" s="167" t="s">
        <v>59</v>
      </c>
      <c r="Q57" s="168" t="s">
        <v>59</v>
      </c>
      <c r="R57" s="168" t="s">
        <v>59</v>
      </c>
    </row>
    <row r="58" spans="1:18" x14ac:dyDescent="0.25">
      <c r="A58" s="49"/>
      <c r="B58" s="33" t="str">
        <f t="shared" si="7"/>
        <v/>
      </c>
      <c r="C58" s="34"/>
      <c r="D58" s="34"/>
      <c r="E58" s="34"/>
      <c r="F58" s="34"/>
      <c r="G58" s="13"/>
      <c r="H58" s="35">
        <v>53</v>
      </c>
      <c r="I58" s="36" t="str">
        <f t="shared" si="5"/>
        <v/>
      </c>
      <c r="J58" s="36">
        <f t="shared" si="6"/>
        <v>-4</v>
      </c>
      <c r="K58" s="35">
        <f t="shared" si="2"/>
        <v>-40</v>
      </c>
      <c r="L58" s="35"/>
      <c r="M58" s="37">
        <f t="shared" si="3"/>
        <v>0</v>
      </c>
      <c r="N58" s="166" t="s">
        <v>59</v>
      </c>
      <c r="O58" s="166" t="s">
        <v>59</v>
      </c>
      <c r="P58" s="167" t="s">
        <v>59</v>
      </c>
      <c r="Q58" s="168" t="s">
        <v>59</v>
      </c>
      <c r="R58" s="168" t="s">
        <v>59</v>
      </c>
    </row>
    <row r="59" spans="1:18" x14ac:dyDescent="0.25">
      <c r="A59" s="48"/>
      <c r="B59" s="39" t="str">
        <f t="shared" si="7"/>
        <v/>
      </c>
      <c r="C59" s="40"/>
      <c r="D59" s="40"/>
      <c r="E59" s="40"/>
      <c r="F59" s="40"/>
      <c r="G59" s="13"/>
      <c r="H59" s="41">
        <v>54</v>
      </c>
      <c r="I59" s="42" t="str">
        <f t="shared" si="5"/>
        <v/>
      </c>
      <c r="J59" s="42">
        <f t="shared" si="6"/>
        <v>-4</v>
      </c>
      <c r="K59" s="41">
        <f t="shared" si="2"/>
        <v>-40</v>
      </c>
      <c r="L59" s="41"/>
      <c r="M59" s="43">
        <f t="shared" si="3"/>
        <v>0</v>
      </c>
      <c r="N59" s="166" t="s">
        <v>59</v>
      </c>
      <c r="O59" s="166" t="s">
        <v>59</v>
      </c>
      <c r="P59" s="167" t="s">
        <v>59</v>
      </c>
      <c r="Q59" s="168" t="s">
        <v>59</v>
      </c>
      <c r="R59" s="168" t="s">
        <v>59</v>
      </c>
    </row>
    <row r="60" spans="1:18" x14ac:dyDescent="0.25">
      <c r="A60" s="49"/>
      <c r="B60" s="33" t="str">
        <f t="shared" si="7"/>
        <v/>
      </c>
      <c r="C60" s="34"/>
      <c r="D60" s="34"/>
      <c r="E60" s="34"/>
      <c r="F60" s="34"/>
      <c r="G60" s="13"/>
      <c r="H60" s="35">
        <v>55</v>
      </c>
      <c r="I60" s="36" t="str">
        <f t="shared" si="5"/>
        <v/>
      </c>
      <c r="J60" s="36">
        <f t="shared" si="6"/>
        <v>-4</v>
      </c>
      <c r="K60" s="35">
        <f t="shared" si="2"/>
        <v>-40</v>
      </c>
      <c r="L60" s="35"/>
      <c r="M60" s="37">
        <f t="shared" si="3"/>
        <v>0</v>
      </c>
      <c r="N60" s="166" t="s">
        <v>59</v>
      </c>
      <c r="O60" s="166" t="s">
        <v>59</v>
      </c>
      <c r="P60" s="167" t="s">
        <v>59</v>
      </c>
      <c r="Q60" s="168" t="s">
        <v>59</v>
      </c>
      <c r="R60" s="168" t="s">
        <v>59</v>
      </c>
    </row>
    <row r="61" spans="1:18" x14ac:dyDescent="0.25">
      <c r="A61" s="48"/>
      <c r="B61" s="39" t="str">
        <f t="shared" si="7"/>
        <v/>
      </c>
      <c r="C61" s="40"/>
      <c r="D61" s="40"/>
      <c r="E61" s="40"/>
      <c r="F61" s="40"/>
      <c r="G61" s="13"/>
      <c r="H61" s="41">
        <v>56</v>
      </c>
      <c r="I61" s="42" t="str">
        <f t="shared" si="5"/>
        <v/>
      </c>
      <c r="J61" s="42">
        <f t="shared" si="6"/>
        <v>-4</v>
      </c>
      <c r="K61" s="41">
        <f t="shared" si="2"/>
        <v>-40</v>
      </c>
      <c r="L61" s="41"/>
      <c r="M61" s="43">
        <f t="shared" si="3"/>
        <v>0</v>
      </c>
      <c r="N61" s="166" t="s">
        <v>59</v>
      </c>
      <c r="O61" s="166" t="s">
        <v>59</v>
      </c>
      <c r="P61" s="167" t="s">
        <v>59</v>
      </c>
      <c r="Q61" s="168" t="s">
        <v>59</v>
      </c>
      <c r="R61" s="168" t="s">
        <v>59</v>
      </c>
    </row>
    <row r="62" spans="1:18" x14ac:dyDescent="0.25">
      <c r="A62" s="49"/>
      <c r="B62" s="33" t="str">
        <f t="shared" si="7"/>
        <v/>
      </c>
      <c r="C62" s="34"/>
      <c r="D62" s="34"/>
      <c r="E62" s="34"/>
      <c r="F62" s="34"/>
      <c r="G62" s="13"/>
      <c r="H62" s="35">
        <v>57</v>
      </c>
      <c r="I62" s="36" t="str">
        <f t="shared" si="5"/>
        <v/>
      </c>
      <c r="J62" s="36">
        <f t="shared" si="6"/>
        <v>-4</v>
      </c>
      <c r="K62" s="35">
        <f t="shared" si="2"/>
        <v>-40</v>
      </c>
      <c r="L62" s="35"/>
      <c r="M62" s="37">
        <f t="shared" si="3"/>
        <v>0</v>
      </c>
      <c r="N62" s="166" t="s">
        <v>59</v>
      </c>
      <c r="O62" s="166" t="s">
        <v>59</v>
      </c>
      <c r="P62" s="167" t="s">
        <v>59</v>
      </c>
      <c r="Q62" s="168" t="s">
        <v>59</v>
      </c>
      <c r="R62" s="168" t="s">
        <v>59</v>
      </c>
    </row>
    <row r="63" spans="1:18" x14ac:dyDescent="0.25">
      <c r="A63" s="48"/>
      <c r="B63" s="39" t="str">
        <f t="shared" si="7"/>
        <v/>
      </c>
      <c r="C63" s="40"/>
      <c r="D63" s="40"/>
      <c r="E63" s="40"/>
      <c r="F63" s="40"/>
      <c r="G63" s="13"/>
      <c r="H63" s="41">
        <v>58</v>
      </c>
      <c r="I63" s="42" t="str">
        <f t="shared" si="5"/>
        <v/>
      </c>
      <c r="J63" s="42">
        <f t="shared" si="6"/>
        <v>-4</v>
      </c>
      <c r="K63" s="41">
        <f t="shared" si="2"/>
        <v>-40</v>
      </c>
      <c r="L63" s="41"/>
      <c r="M63" s="43">
        <f t="shared" si="3"/>
        <v>0</v>
      </c>
      <c r="N63" s="166" t="s">
        <v>59</v>
      </c>
      <c r="O63" s="166" t="s">
        <v>59</v>
      </c>
      <c r="P63" s="167" t="s">
        <v>59</v>
      </c>
      <c r="Q63" s="168" t="s">
        <v>59</v>
      </c>
      <c r="R63" s="168" t="s">
        <v>59</v>
      </c>
    </row>
    <row r="64" spans="1:18" x14ac:dyDescent="0.25">
      <c r="A64" s="49"/>
      <c r="B64" s="33" t="str">
        <f t="shared" si="7"/>
        <v/>
      </c>
      <c r="C64" s="34"/>
      <c r="D64" s="34"/>
      <c r="E64" s="34"/>
      <c r="F64" s="34"/>
      <c r="G64" s="13"/>
      <c r="H64" s="35">
        <v>59</v>
      </c>
      <c r="I64" s="36" t="str">
        <f t="shared" si="5"/>
        <v/>
      </c>
      <c r="J64" s="36">
        <f t="shared" si="6"/>
        <v>-4</v>
      </c>
      <c r="K64" s="35">
        <f t="shared" si="2"/>
        <v>-40</v>
      </c>
      <c r="L64" s="35"/>
      <c r="M64" s="37">
        <f t="shared" si="3"/>
        <v>0</v>
      </c>
      <c r="N64" s="166" t="s">
        <v>59</v>
      </c>
      <c r="O64" s="166" t="s">
        <v>59</v>
      </c>
      <c r="P64" s="167" t="s">
        <v>59</v>
      </c>
      <c r="Q64" s="168" t="s">
        <v>59</v>
      </c>
      <c r="R64" s="168" t="s">
        <v>59</v>
      </c>
    </row>
    <row r="65" spans="1:18" x14ac:dyDescent="0.25">
      <c r="A65" s="48"/>
      <c r="B65" s="39" t="str">
        <f t="shared" si="7"/>
        <v/>
      </c>
      <c r="C65" s="40"/>
      <c r="D65" s="40"/>
      <c r="E65" s="40"/>
      <c r="F65" s="40"/>
      <c r="G65" s="13"/>
      <c r="H65" s="41">
        <v>60</v>
      </c>
      <c r="I65" s="42" t="str">
        <f t="shared" si="5"/>
        <v/>
      </c>
      <c r="J65" s="42">
        <f t="shared" si="6"/>
        <v>-4</v>
      </c>
      <c r="K65" s="41">
        <f t="shared" si="2"/>
        <v>-40</v>
      </c>
      <c r="L65" s="41"/>
      <c r="M65" s="43">
        <f t="shared" si="3"/>
        <v>0</v>
      </c>
      <c r="N65" s="166" t="s">
        <v>59</v>
      </c>
      <c r="O65" s="166" t="s">
        <v>59</v>
      </c>
      <c r="P65" s="167" t="s">
        <v>59</v>
      </c>
      <c r="Q65" s="168" t="s">
        <v>59</v>
      </c>
      <c r="R65" s="168" t="s">
        <v>59</v>
      </c>
    </row>
    <row r="66" spans="1:18" x14ac:dyDescent="0.25">
      <c r="A66" s="56"/>
      <c r="B66" s="33"/>
      <c r="G66" s="13"/>
      <c r="H66" s="35">
        <v>61</v>
      </c>
      <c r="I66" s="36" t="str">
        <f t="shared" si="5"/>
        <v/>
      </c>
      <c r="J66" s="36">
        <f t="shared" si="6"/>
        <v>-4</v>
      </c>
      <c r="K66" s="35">
        <f t="shared" si="2"/>
        <v>-40</v>
      </c>
      <c r="L66" s="35"/>
      <c r="M66" s="37">
        <f t="shared" si="3"/>
        <v>0</v>
      </c>
      <c r="N66" s="166" t="s">
        <v>59</v>
      </c>
      <c r="O66" s="166" t="s">
        <v>59</v>
      </c>
      <c r="P66" s="167" t="s">
        <v>59</v>
      </c>
      <c r="Q66" s="168" t="s">
        <v>59</v>
      </c>
      <c r="R66" s="168" t="s">
        <v>59</v>
      </c>
    </row>
    <row r="67" spans="1:18" x14ac:dyDescent="0.25">
      <c r="A67" s="56"/>
      <c r="B67" s="39"/>
      <c r="G67" s="13"/>
      <c r="H67" s="35">
        <v>62</v>
      </c>
      <c r="I67" s="36" t="str">
        <f t="shared" si="5"/>
        <v/>
      </c>
      <c r="J67" s="36">
        <f t="shared" si="6"/>
        <v>-4</v>
      </c>
      <c r="K67" s="35">
        <f t="shared" si="2"/>
        <v>-40</v>
      </c>
      <c r="L67" s="35"/>
      <c r="M67" s="37">
        <f t="shared" si="3"/>
        <v>0</v>
      </c>
      <c r="N67" s="166" t="s">
        <v>59</v>
      </c>
      <c r="O67" s="166" t="s">
        <v>59</v>
      </c>
      <c r="P67" s="167" t="s">
        <v>59</v>
      </c>
      <c r="Q67" s="168" t="s">
        <v>59</v>
      </c>
      <c r="R67" s="168" t="s">
        <v>59</v>
      </c>
    </row>
    <row r="68" spans="1:18" x14ac:dyDescent="0.25">
      <c r="A68" s="56"/>
      <c r="B68" s="33"/>
      <c r="G68" s="13"/>
      <c r="H68" s="35">
        <v>63</v>
      </c>
      <c r="I68" s="36" t="str">
        <f t="shared" si="5"/>
        <v/>
      </c>
      <c r="J68" s="36">
        <f t="shared" si="6"/>
        <v>-4</v>
      </c>
      <c r="K68" s="35">
        <f t="shared" si="2"/>
        <v>-40</v>
      </c>
      <c r="L68" s="35"/>
      <c r="M68" s="37">
        <f t="shared" si="3"/>
        <v>0</v>
      </c>
      <c r="N68" s="166" t="s">
        <v>59</v>
      </c>
      <c r="O68" s="166" t="s">
        <v>59</v>
      </c>
      <c r="P68" s="167" t="s">
        <v>59</v>
      </c>
      <c r="Q68" s="168" t="s">
        <v>59</v>
      </c>
      <c r="R68" s="168" t="s">
        <v>59</v>
      </c>
    </row>
    <row r="69" spans="1:18" x14ac:dyDescent="0.25">
      <c r="A69" s="56"/>
      <c r="B69" s="39"/>
      <c r="G69" s="13"/>
      <c r="H69" s="35">
        <v>64</v>
      </c>
      <c r="I69" s="36" t="str">
        <f t="shared" si="5"/>
        <v/>
      </c>
      <c r="J69" s="36">
        <f t="shared" si="6"/>
        <v>-4</v>
      </c>
      <c r="K69" s="35">
        <f t="shared" si="2"/>
        <v>-40</v>
      </c>
      <c r="L69" s="35"/>
      <c r="M69" s="37">
        <f t="shared" si="3"/>
        <v>0</v>
      </c>
      <c r="N69" s="166" t="s">
        <v>59</v>
      </c>
      <c r="O69" s="166" t="s">
        <v>59</v>
      </c>
      <c r="P69" s="167" t="s">
        <v>59</v>
      </c>
      <c r="Q69" s="168" t="s">
        <v>59</v>
      </c>
      <c r="R69" s="168" t="s">
        <v>59</v>
      </c>
    </row>
    <row r="70" spans="1:18" x14ac:dyDescent="0.25">
      <c r="A70" s="56"/>
      <c r="G70" s="13"/>
      <c r="H70" s="35">
        <v>65</v>
      </c>
      <c r="I70" s="36" t="str">
        <f t="shared" ref="I70:I133" si="8">IF(H70&lt;$H$2+1,($I$2-($I$2-1)*(LOG(H70)/LOG($H$2))),"")</f>
        <v/>
      </c>
      <c r="J70" s="36">
        <f t="shared" si="6"/>
        <v>-5</v>
      </c>
      <c r="K70" s="35">
        <f t="shared" ref="K70:K133" si="9">J70*$J$2</f>
        <v>-50</v>
      </c>
      <c r="L70" s="35"/>
      <c r="M70" s="37">
        <f t="shared" ref="M70:M133" si="10">IF(I70&lt;&gt;"",K70+I70+L70,0)</f>
        <v>0</v>
      </c>
      <c r="N70" s="166" t="s">
        <v>59</v>
      </c>
      <c r="O70" s="166" t="s">
        <v>59</v>
      </c>
      <c r="P70" s="167" t="s">
        <v>59</v>
      </c>
      <c r="Q70" s="168" t="s">
        <v>59</v>
      </c>
      <c r="R70" s="168" t="s">
        <v>59</v>
      </c>
    </row>
    <row r="71" spans="1:18" x14ac:dyDescent="0.25">
      <c r="A71" s="56"/>
      <c r="G71" s="13"/>
      <c r="H71" s="35">
        <v>66</v>
      </c>
      <c r="I71" s="36" t="str">
        <f t="shared" si="8"/>
        <v/>
      </c>
      <c r="J71" s="36">
        <f t="shared" ref="J71:J134" si="11">INT(LOG($H$2,2))-ROUNDUP(LOG(H71,2),0)+IF(OR($H$2=1,$H$2=2,$H$2=4,$H$2=8,$H$2=16,$H$2=32,$H$2=64,$H$2=128,$H$2=256),0,1)</f>
        <v>-5</v>
      </c>
      <c r="K71" s="35">
        <f t="shared" si="9"/>
        <v>-50</v>
      </c>
      <c r="L71" s="35"/>
      <c r="M71" s="37">
        <f t="shared" si="10"/>
        <v>0</v>
      </c>
      <c r="N71" s="166" t="s">
        <v>59</v>
      </c>
      <c r="O71" s="166" t="s">
        <v>59</v>
      </c>
      <c r="P71" s="167" t="s">
        <v>59</v>
      </c>
      <c r="Q71" s="168" t="s">
        <v>59</v>
      </c>
      <c r="R71" s="168" t="s">
        <v>59</v>
      </c>
    </row>
    <row r="72" spans="1:18" x14ac:dyDescent="0.25">
      <c r="A72" s="56"/>
      <c r="G72" s="13"/>
      <c r="H72" s="35">
        <v>67</v>
      </c>
      <c r="I72" s="36" t="str">
        <f t="shared" si="8"/>
        <v/>
      </c>
      <c r="J72" s="36">
        <f t="shared" si="11"/>
        <v>-5</v>
      </c>
      <c r="K72" s="35">
        <f t="shared" si="9"/>
        <v>-50</v>
      </c>
      <c r="L72" s="35"/>
      <c r="M72" s="37">
        <f t="shared" si="10"/>
        <v>0</v>
      </c>
      <c r="N72" s="166" t="s">
        <v>59</v>
      </c>
      <c r="O72" s="166" t="s">
        <v>59</v>
      </c>
      <c r="P72" s="167" t="s">
        <v>59</v>
      </c>
      <c r="Q72" s="168" t="s">
        <v>59</v>
      </c>
      <c r="R72" s="168" t="s">
        <v>59</v>
      </c>
    </row>
    <row r="73" spans="1:18" x14ac:dyDescent="0.25">
      <c r="A73" s="56"/>
      <c r="G73" s="13"/>
      <c r="H73" s="35">
        <v>68</v>
      </c>
      <c r="I73" s="36" t="str">
        <f t="shared" si="8"/>
        <v/>
      </c>
      <c r="J73" s="36">
        <f t="shared" si="11"/>
        <v>-5</v>
      </c>
      <c r="K73" s="35">
        <f t="shared" si="9"/>
        <v>-50</v>
      </c>
      <c r="L73" s="35"/>
      <c r="M73" s="37">
        <f t="shared" si="10"/>
        <v>0</v>
      </c>
      <c r="N73" s="166" t="s">
        <v>59</v>
      </c>
      <c r="O73" s="166" t="s">
        <v>59</v>
      </c>
      <c r="P73" s="167" t="s">
        <v>59</v>
      </c>
      <c r="Q73" s="168" t="s">
        <v>59</v>
      </c>
      <c r="R73" s="168" t="s">
        <v>59</v>
      </c>
    </row>
    <row r="74" spans="1:18" x14ac:dyDescent="0.25">
      <c r="A74" s="56"/>
      <c r="G74" s="13"/>
      <c r="H74" s="35">
        <v>69</v>
      </c>
      <c r="I74" s="36" t="str">
        <f t="shared" si="8"/>
        <v/>
      </c>
      <c r="J74" s="36">
        <f t="shared" si="11"/>
        <v>-5</v>
      </c>
      <c r="K74" s="35">
        <f t="shared" si="9"/>
        <v>-50</v>
      </c>
      <c r="L74" s="35"/>
      <c r="M74" s="37">
        <f t="shared" si="10"/>
        <v>0</v>
      </c>
      <c r="N74" s="166" t="s">
        <v>59</v>
      </c>
      <c r="O74" s="166" t="s">
        <v>59</v>
      </c>
      <c r="P74" s="167" t="s">
        <v>59</v>
      </c>
      <c r="Q74" s="168" t="s">
        <v>59</v>
      </c>
      <c r="R74" s="168" t="s">
        <v>59</v>
      </c>
    </row>
    <row r="75" spans="1:18" x14ac:dyDescent="0.25">
      <c r="A75" s="56"/>
      <c r="G75" s="13"/>
      <c r="H75" s="35">
        <v>70</v>
      </c>
      <c r="I75" s="36" t="str">
        <f t="shared" si="8"/>
        <v/>
      </c>
      <c r="J75" s="36">
        <f t="shared" si="11"/>
        <v>-5</v>
      </c>
      <c r="K75" s="35">
        <f t="shared" si="9"/>
        <v>-50</v>
      </c>
      <c r="L75" s="35"/>
      <c r="M75" s="37">
        <f t="shared" si="10"/>
        <v>0</v>
      </c>
      <c r="N75" s="166" t="s">
        <v>59</v>
      </c>
      <c r="O75" s="166" t="s">
        <v>59</v>
      </c>
      <c r="P75" s="167" t="s">
        <v>59</v>
      </c>
      <c r="Q75" s="168" t="s">
        <v>59</v>
      </c>
      <c r="R75" s="168" t="s">
        <v>59</v>
      </c>
    </row>
    <row r="76" spans="1:18" x14ac:dyDescent="0.25">
      <c r="A76" s="56"/>
      <c r="G76" s="13"/>
      <c r="H76" s="35">
        <v>71</v>
      </c>
      <c r="I76" s="36" t="str">
        <f t="shared" si="8"/>
        <v/>
      </c>
      <c r="J76" s="36">
        <f t="shared" si="11"/>
        <v>-5</v>
      </c>
      <c r="K76" s="35">
        <f t="shared" si="9"/>
        <v>-50</v>
      </c>
      <c r="L76" s="35"/>
      <c r="M76" s="37">
        <f t="shared" si="10"/>
        <v>0</v>
      </c>
      <c r="N76" s="166" t="s">
        <v>59</v>
      </c>
      <c r="O76" s="166" t="s">
        <v>59</v>
      </c>
      <c r="P76" s="167" t="s">
        <v>59</v>
      </c>
      <c r="Q76" s="168" t="s">
        <v>59</v>
      </c>
      <c r="R76" s="168" t="s">
        <v>59</v>
      </c>
    </row>
    <row r="77" spans="1:18" x14ac:dyDescent="0.25">
      <c r="A77" s="56"/>
      <c r="G77" s="13"/>
      <c r="H77" s="35">
        <v>72</v>
      </c>
      <c r="I77" s="36" t="str">
        <f t="shared" si="8"/>
        <v/>
      </c>
      <c r="J77" s="36">
        <f t="shared" si="11"/>
        <v>-5</v>
      </c>
      <c r="K77" s="35">
        <f t="shared" si="9"/>
        <v>-50</v>
      </c>
      <c r="L77" s="35"/>
      <c r="M77" s="37">
        <f t="shared" si="10"/>
        <v>0</v>
      </c>
      <c r="N77" s="166" t="s">
        <v>59</v>
      </c>
      <c r="O77" s="166" t="s">
        <v>59</v>
      </c>
      <c r="P77" s="167" t="s">
        <v>59</v>
      </c>
      <c r="Q77" s="168" t="s">
        <v>59</v>
      </c>
      <c r="R77" s="168" t="s">
        <v>59</v>
      </c>
    </row>
    <row r="78" spans="1:18" x14ac:dyDescent="0.25">
      <c r="A78" s="56"/>
      <c r="G78" s="13"/>
      <c r="H78" s="35">
        <v>73</v>
      </c>
      <c r="I78" s="36" t="str">
        <f t="shared" si="8"/>
        <v/>
      </c>
      <c r="J78" s="36">
        <f t="shared" si="11"/>
        <v>-5</v>
      </c>
      <c r="K78" s="35">
        <f t="shared" si="9"/>
        <v>-50</v>
      </c>
      <c r="L78" s="35"/>
      <c r="M78" s="37">
        <f t="shared" si="10"/>
        <v>0</v>
      </c>
      <c r="N78" s="166" t="s">
        <v>59</v>
      </c>
      <c r="O78" s="166" t="s">
        <v>59</v>
      </c>
      <c r="P78" s="167" t="s">
        <v>59</v>
      </c>
      <c r="Q78" s="168" t="s">
        <v>59</v>
      </c>
      <c r="R78" s="168" t="s">
        <v>59</v>
      </c>
    </row>
    <row r="79" spans="1:18" x14ac:dyDescent="0.25">
      <c r="A79" s="56"/>
      <c r="G79" s="13"/>
      <c r="H79" s="35">
        <v>74</v>
      </c>
      <c r="I79" s="36" t="str">
        <f t="shared" si="8"/>
        <v/>
      </c>
      <c r="J79" s="36">
        <f t="shared" si="11"/>
        <v>-5</v>
      </c>
      <c r="K79" s="35">
        <f t="shared" si="9"/>
        <v>-50</v>
      </c>
      <c r="L79" s="35"/>
      <c r="M79" s="37">
        <f t="shared" si="10"/>
        <v>0</v>
      </c>
      <c r="N79" s="166" t="s">
        <v>59</v>
      </c>
      <c r="O79" s="166" t="s">
        <v>59</v>
      </c>
      <c r="P79" s="167" t="s">
        <v>59</v>
      </c>
      <c r="Q79" s="168" t="s">
        <v>59</v>
      </c>
      <c r="R79" s="168" t="s">
        <v>59</v>
      </c>
    </row>
    <row r="80" spans="1:18" x14ac:dyDescent="0.25">
      <c r="A80" s="56"/>
      <c r="G80" s="13"/>
      <c r="H80" s="35">
        <v>75</v>
      </c>
      <c r="I80" s="36" t="str">
        <f t="shared" si="8"/>
        <v/>
      </c>
      <c r="J80" s="36">
        <f t="shared" si="11"/>
        <v>-5</v>
      </c>
      <c r="K80" s="35">
        <f t="shared" si="9"/>
        <v>-50</v>
      </c>
      <c r="L80" s="35"/>
      <c r="M80" s="37">
        <f t="shared" si="10"/>
        <v>0</v>
      </c>
      <c r="N80" s="166" t="s">
        <v>59</v>
      </c>
      <c r="O80" s="166" t="s">
        <v>59</v>
      </c>
      <c r="P80" s="167" t="s">
        <v>59</v>
      </c>
      <c r="Q80" s="168" t="s">
        <v>59</v>
      </c>
      <c r="R80" s="168" t="s">
        <v>59</v>
      </c>
    </row>
    <row r="81" spans="1:18" x14ac:dyDescent="0.25">
      <c r="A81" s="56"/>
      <c r="G81" s="13"/>
      <c r="H81" s="35">
        <v>76</v>
      </c>
      <c r="I81" s="36" t="str">
        <f t="shared" si="8"/>
        <v/>
      </c>
      <c r="J81" s="36">
        <f t="shared" si="11"/>
        <v>-5</v>
      </c>
      <c r="K81" s="35">
        <f t="shared" si="9"/>
        <v>-50</v>
      </c>
      <c r="L81" s="35"/>
      <c r="M81" s="37">
        <f t="shared" si="10"/>
        <v>0</v>
      </c>
      <c r="N81" s="166" t="s">
        <v>59</v>
      </c>
      <c r="O81" s="166" t="s">
        <v>59</v>
      </c>
      <c r="P81" s="167" t="s">
        <v>59</v>
      </c>
      <c r="Q81" s="168" t="s">
        <v>59</v>
      </c>
      <c r="R81" s="168" t="s">
        <v>59</v>
      </c>
    </row>
    <row r="82" spans="1:18" x14ac:dyDescent="0.25">
      <c r="A82" s="56"/>
      <c r="G82" s="13"/>
      <c r="H82" s="35">
        <v>77</v>
      </c>
      <c r="I82" s="36" t="str">
        <f t="shared" si="8"/>
        <v/>
      </c>
      <c r="J82" s="36">
        <f t="shared" si="11"/>
        <v>-5</v>
      </c>
      <c r="K82" s="35">
        <f t="shared" si="9"/>
        <v>-50</v>
      </c>
      <c r="L82" s="35"/>
      <c r="M82" s="37">
        <f t="shared" si="10"/>
        <v>0</v>
      </c>
      <c r="N82" s="166" t="s">
        <v>59</v>
      </c>
      <c r="O82" s="166" t="s">
        <v>59</v>
      </c>
      <c r="P82" s="167" t="s">
        <v>59</v>
      </c>
      <c r="Q82" s="168" t="s">
        <v>59</v>
      </c>
      <c r="R82" s="168" t="s">
        <v>59</v>
      </c>
    </row>
    <row r="83" spans="1:18" x14ac:dyDescent="0.25">
      <c r="A83" s="56"/>
      <c r="G83" s="13"/>
      <c r="H83" s="35">
        <v>78</v>
      </c>
      <c r="I83" s="36" t="str">
        <f t="shared" si="8"/>
        <v/>
      </c>
      <c r="J83" s="36">
        <f t="shared" si="11"/>
        <v>-5</v>
      </c>
      <c r="K83" s="35">
        <f t="shared" si="9"/>
        <v>-50</v>
      </c>
      <c r="L83" s="35"/>
      <c r="M83" s="37">
        <f t="shared" si="10"/>
        <v>0</v>
      </c>
      <c r="N83" s="166" t="s">
        <v>59</v>
      </c>
      <c r="O83" s="166" t="s">
        <v>59</v>
      </c>
      <c r="P83" s="167" t="s">
        <v>59</v>
      </c>
      <c r="Q83" s="168" t="s">
        <v>59</v>
      </c>
      <c r="R83" s="168" t="s">
        <v>59</v>
      </c>
    </row>
    <row r="84" spans="1:18" x14ac:dyDescent="0.25">
      <c r="A84" s="56"/>
      <c r="G84" s="13"/>
      <c r="H84" s="35">
        <v>79</v>
      </c>
      <c r="I84" s="36" t="str">
        <f t="shared" si="8"/>
        <v/>
      </c>
      <c r="J84" s="36">
        <f t="shared" si="11"/>
        <v>-5</v>
      </c>
      <c r="K84" s="35">
        <f t="shared" si="9"/>
        <v>-50</v>
      </c>
      <c r="L84" s="35"/>
      <c r="M84" s="37">
        <f t="shared" si="10"/>
        <v>0</v>
      </c>
      <c r="N84" s="166" t="s">
        <v>59</v>
      </c>
      <c r="O84" s="166" t="s">
        <v>59</v>
      </c>
      <c r="P84" s="167" t="s">
        <v>59</v>
      </c>
      <c r="Q84" s="168" t="s">
        <v>59</v>
      </c>
      <c r="R84" s="168" t="s">
        <v>59</v>
      </c>
    </row>
    <row r="85" spans="1:18" x14ac:dyDescent="0.25">
      <c r="A85" s="56"/>
      <c r="G85" s="13"/>
      <c r="H85" s="35">
        <v>80</v>
      </c>
      <c r="I85" s="36" t="str">
        <f t="shared" si="8"/>
        <v/>
      </c>
      <c r="J85" s="36">
        <f t="shared" si="11"/>
        <v>-5</v>
      </c>
      <c r="K85" s="35">
        <f t="shared" si="9"/>
        <v>-50</v>
      </c>
      <c r="L85" s="35"/>
      <c r="M85" s="37">
        <f t="shared" si="10"/>
        <v>0</v>
      </c>
      <c r="N85" s="166" t="s">
        <v>59</v>
      </c>
      <c r="O85" s="166" t="s">
        <v>59</v>
      </c>
      <c r="P85" s="167" t="s">
        <v>59</v>
      </c>
      <c r="Q85" s="168" t="s">
        <v>59</v>
      </c>
      <c r="R85" s="168" t="s">
        <v>59</v>
      </c>
    </row>
    <row r="86" spans="1:18" x14ac:dyDescent="0.25">
      <c r="A86" s="56"/>
      <c r="G86" s="13"/>
      <c r="H86" s="35">
        <v>81</v>
      </c>
      <c r="I86" s="36" t="str">
        <f t="shared" si="8"/>
        <v/>
      </c>
      <c r="J86" s="36">
        <f t="shared" si="11"/>
        <v>-5</v>
      </c>
      <c r="K86" s="35">
        <f t="shared" si="9"/>
        <v>-50</v>
      </c>
      <c r="L86" s="35"/>
      <c r="M86" s="37">
        <f t="shared" si="10"/>
        <v>0</v>
      </c>
      <c r="N86" s="166" t="s">
        <v>59</v>
      </c>
      <c r="O86" s="166" t="s">
        <v>59</v>
      </c>
      <c r="P86" s="167" t="s">
        <v>59</v>
      </c>
      <c r="Q86" s="168" t="s">
        <v>59</v>
      </c>
      <c r="R86" s="168" t="s">
        <v>59</v>
      </c>
    </row>
    <row r="87" spans="1:18" x14ac:dyDescent="0.25">
      <c r="A87" s="56"/>
      <c r="G87" s="13"/>
      <c r="H87" s="35">
        <v>82</v>
      </c>
      <c r="I87" s="36" t="str">
        <f t="shared" si="8"/>
        <v/>
      </c>
      <c r="J87" s="36">
        <f t="shared" si="11"/>
        <v>-5</v>
      </c>
      <c r="K87" s="35">
        <f t="shared" si="9"/>
        <v>-50</v>
      </c>
      <c r="L87" s="35"/>
      <c r="M87" s="37">
        <f t="shared" si="10"/>
        <v>0</v>
      </c>
      <c r="N87" s="166" t="s">
        <v>59</v>
      </c>
      <c r="O87" s="166" t="s">
        <v>59</v>
      </c>
      <c r="P87" s="167" t="s">
        <v>59</v>
      </c>
      <c r="Q87" s="168" t="s">
        <v>59</v>
      </c>
      <c r="R87" s="168" t="s">
        <v>59</v>
      </c>
    </row>
    <row r="88" spans="1:18" x14ac:dyDescent="0.25">
      <c r="A88" s="56"/>
      <c r="G88" s="13"/>
      <c r="H88" s="35">
        <v>83</v>
      </c>
      <c r="I88" s="36" t="str">
        <f t="shared" si="8"/>
        <v/>
      </c>
      <c r="J88" s="36">
        <f t="shared" si="11"/>
        <v>-5</v>
      </c>
      <c r="K88" s="35">
        <f t="shared" si="9"/>
        <v>-50</v>
      </c>
      <c r="L88" s="35"/>
      <c r="M88" s="37">
        <f t="shared" si="10"/>
        <v>0</v>
      </c>
      <c r="N88" s="166" t="s">
        <v>59</v>
      </c>
      <c r="O88" s="166" t="s">
        <v>59</v>
      </c>
      <c r="P88" s="167" t="s">
        <v>59</v>
      </c>
      <c r="Q88" s="168" t="s">
        <v>59</v>
      </c>
      <c r="R88" s="168" t="s">
        <v>59</v>
      </c>
    </row>
    <row r="89" spans="1:18" x14ac:dyDescent="0.25">
      <c r="A89" s="56"/>
      <c r="G89" s="13"/>
      <c r="H89" s="35">
        <v>84</v>
      </c>
      <c r="I89" s="36" t="str">
        <f t="shared" si="8"/>
        <v/>
      </c>
      <c r="J89" s="36">
        <f t="shared" si="11"/>
        <v>-5</v>
      </c>
      <c r="K89" s="35">
        <f t="shared" si="9"/>
        <v>-50</v>
      </c>
      <c r="L89" s="35"/>
      <c r="M89" s="37">
        <f t="shared" si="10"/>
        <v>0</v>
      </c>
      <c r="N89" s="166" t="s">
        <v>59</v>
      </c>
      <c r="O89" s="166" t="s">
        <v>59</v>
      </c>
      <c r="P89" s="167" t="s">
        <v>59</v>
      </c>
      <c r="Q89" s="168" t="s">
        <v>59</v>
      </c>
      <c r="R89" s="168" t="s">
        <v>59</v>
      </c>
    </row>
    <row r="90" spans="1:18" x14ac:dyDescent="0.25">
      <c r="A90" s="56"/>
      <c r="G90" s="13"/>
      <c r="H90" s="35">
        <v>85</v>
      </c>
      <c r="I90" s="36" t="str">
        <f t="shared" si="8"/>
        <v/>
      </c>
      <c r="J90" s="36">
        <f t="shared" si="11"/>
        <v>-5</v>
      </c>
      <c r="K90" s="35">
        <f t="shared" si="9"/>
        <v>-50</v>
      </c>
      <c r="L90" s="35"/>
      <c r="M90" s="37">
        <f t="shared" si="10"/>
        <v>0</v>
      </c>
      <c r="N90" s="166" t="s">
        <v>59</v>
      </c>
      <c r="O90" s="166" t="s">
        <v>59</v>
      </c>
      <c r="P90" s="167" t="s">
        <v>59</v>
      </c>
      <c r="Q90" s="168" t="s">
        <v>59</v>
      </c>
      <c r="R90" s="168" t="s">
        <v>59</v>
      </c>
    </row>
    <row r="91" spans="1:18" x14ac:dyDescent="0.25">
      <c r="A91" s="56"/>
      <c r="G91" s="13"/>
      <c r="H91" s="35">
        <v>86</v>
      </c>
      <c r="I91" s="36" t="str">
        <f t="shared" si="8"/>
        <v/>
      </c>
      <c r="J91" s="36">
        <f t="shared" si="11"/>
        <v>-5</v>
      </c>
      <c r="K91" s="35">
        <f t="shared" si="9"/>
        <v>-50</v>
      </c>
      <c r="L91" s="35"/>
      <c r="M91" s="37">
        <f t="shared" si="10"/>
        <v>0</v>
      </c>
      <c r="N91" s="166" t="s">
        <v>59</v>
      </c>
      <c r="O91" s="166" t="s">
        <v>59</v>
      </c>
      <c r="P91" s="167" t="s">
        <v>59</v>
      </c>
      <c r="Q91" s="168" t="s">
        <v>59</v>
      </c>
      <c r="R91" s="168" t="s">
        <v>59</v>
      </c>
    </row>
    <row r="92" spans="1:18" x14ac:dyDescent="0.25">
      <c r="A92" s="56"/>
      <c r="G92" s="13"/>
      <c r="H92" s="35">
        <v>87</v>
      </c>
      <c r="I92" s="36" t="str">
        <f t="shared" si="8"/>
        <v/>
      </c>
      <c r="J92" s="36">
        <f t="shared" si="11"/>
        <v>-5</v>
      </c>
      <c r="K92" s="35">
        <f t="shared" si="9"/>
        <v>-50</v>
      </c>
      <c r="L92" s="35"/>
      <c r="M92" s="37">
        <f t="shared" si="10"/>
        <v>0</v>
      </c>
      <c r="N92" s="166" t="s">
        <v>59</v>
      </c>
      <c r="O92" s="166" t="s">
        <v>59</v>
      </c>
      <c r="P92" s="167" t="s">
        <v>59</v>
      </c>
      <c r="Q92" s="168" t="s">
        <v>59</v>
      </c>
      <c r="R92" s="168" t="s">
        <v>59</v>
      </c>
    </row>
    <row r="93" spans="1:18" x14ac:dyDescent="0.25">
      <c r="A93" s="56"/>
      <c r="G93" s="13"/>
      <c r="H93" s="35">
        <v>88</v>
      </c>
      <c r="I93" s="36" t="str">
        <f t="shared" si="8"/>
        <v/>
      </c>
      <c r="J93" s="36">
        <f t="shared" si="11"/>
        <v>-5</v>
      </c>
      <c r="K93" s="35">
        <f t="shared" si="9"/>
        <v>-50</v>
      </c>
      <c r="L93" s="35"/>
      <c r="M93" s="37">
        <f t="shared" si="10"/>
        <v>0</v>
      </c>
      <c r="N93" s="166" t="s">
        <v>59</v>
      </c>
      <c r="O93" s="166" t="s">
        <v>59</v>
      </c>
      <c r="P93" s="167" t="s">
        <v>59</v>
      </c>
      <c r="Q93" s="168" t="s">
        <v>59</v>
      </c>
      <c r="R93" s="168" t="s">
        <v>59</v>
      </c>
    </row>
    <row r="94" spans="1:18" x14ac:dyDescent="0.25">
      <c r="A94" s="56"/>
      <c r="G94" s="13"/>
      <c r="H94" s="35">
        <v>89</v>
      </c>
      <c r="I94" s="36" t="str">
        <f t="shared" si="8"/>
        <v/>
      </c>
      <c r="J94" s="36">
        <f t="shared" si="11"/>
        <v>-5</v>
      </c>
      <c r="K94" s="35">
        <f t="shared" si="9"/>
        <v>-50</v>
      </c>
      <c r="L94" s="35"/>
      <c r="M94" s="37">
        <f t="shared" si="10"/>
        <v>0</v>
      </c>
      <c r="N94" s="166" t="s">
        <v>59</v>
      </c>
      <c r="O94" s="166" t="s">
        <v>59</v>
      </c>
      <c r="P94" s="167" t="s">
        <v>59</v>
      </c>
      <c r="Q94" s="168" t="s">
        <v>59</v>
      </c>
      <c r="R94" s="168" t="s">
        <v>59</v>
      </c>
    </row>
    <row r="95" spans="1:18" x14ac:dyDescent="0.25">
      <c r="A95" s="56"/>
      <c r="G95" s="13"/>
      <c r="H95" s="35">
        <v>90</v>
      </c>
      <c r="I95" s="36" t="str">
        <f t="shared" si="8"/>
        <v/>
      </c>
      <c r="J95" s="36">
        <f t="shared" si="11"/>
        <v>-5</v>
      </c>
      <c r="K95" s="35">
        <f t="shared" si="9"/>
        <v>-50</v>
      </c>
      <c r="L95" s="35"/>
      <c r="M95" s="37">
        <f t="shared" si="10"/>
        <v>0</v>
      </c>
      <c r="N95" s="166" t="s">
        <v>59</v>
      </c>
      <c r="O95" s="166" t="s">
        <v>59</v>
      </c>
      <c r="P95" s="167" t="s">
        <v>59</v>
      </c>
      <c r="Q95" s="168" t="s">
        <v>59</v>
      </c>
      <c r="R95" s="168" t="s">
        <v>59</v>
      </c>
    </row>
    <row r="96" spans="1:18" x14ac:dyDescent="0.25">
      <c r="A96" s="56"/>
      <c r="G96" s="13"/>
      <c r="H96" s="35">
        <v>91</v>
      </c>
      <c r="I96" s="36" t="str">
        <f t="shared" si="8"/>
        <v/>
      </c>
      <c r="J96" s="36">
        <f t="shared" si="11"/>
        <v>-5</v>
      </c>
      <c r="K96" s="35">
        <f t="shared" si="9"/>
        <v>-50</v>
      </c>
      <c r="L96" s="35"/>
      <c r="M96" s="37">
        <f t="shared" si="10"/>
        <v>0</v>
      </c>
      <c r="N96" s="166" t="s">
        <v>59</v>
      </c>
      <c r="O96" s="166" t="s">
        <v>59</v>
      </c>
      <c r="P96" s="167" t="s">
        <v>59</v>
      </c>
      <c r="Q96" s="168" t="s">
        <v>59</v>
      </c>
      <c r="R96" s="168" t="s">
        <v>59</v>
      </c>
    </row>
    <row r="97" spans="1:18" x14ac:dyDescent="0.25">
      <c r="A97" s="56"/>
      <c r="G97" s="13"/>
      <c r="H97" s="35">
        <v>92</v>
      </c>
      <c r="I97" s="36" t="str">
        <f t="shared" si="8"/>
        <v/>
      </c>
      <c r="J97" s="36">
        <f t="shared" si="11"/>
        <v>-5</v>
      </c>
      <c r="K97" s="35">
        <f t="shared" si="9"/>
        <v>-50</v>
      </c>
      <c r="L97" s="35"/>
      <c r="M97" s="37">
        <f t="shared" si="10"/>
        <v>0</v>
      </c>
      <c r="N97" s="166" t="s">
        <v>59</v>
      </c>
      <c r="O97" s="166" t="s">
        <v>59</v>
      </c>
      <c r="P97" s="167" t="s">
        <v>59</v>
      </c>
      <c r="Q97" s="168" t="s">
        <v>59</v>
      </c>
      <c r="R97" s="168" t="s">
        <v>59</v>
      </c>
    </row>
    <row r="98" spans="1:18" x14ac:dyDescent="0.25">
      <c r="A98" s="56"/>
      <c r="G98" s="13"/>
      <c r="H98" s="35">
        <v>93</v>
      </c>
      <c r="I98" s="36" t="str">
        <f t="shared" si="8"/>
        <v/>
      </c>
      <c r="J98" s="36">
        <f t="shared" si="11"/>
        <v>-5</v>
      </c>
      <c r="K98" s="35">
        <f t="shared" si="9"/>
        <v>-50</v>
      </c>
      <c r="L98" s="35"/>
      <c r="M98" s="37">
        <f t="shared" si="10"/>
        <v>0</v>
      </c>
      <c r="N98" s="166" t="s">
        <v>59</v>
      </c>
      <c r="O98" s="166" t="s">
        <v>59</v>
      </c>
      <c r="P98" s="167" t="s">
        <v>59</v>
      </c>
      <c r="Q98" s="168" t="s">
        <v>59</v>
      </c>
      <c r="R98" s="168" t="s">
        <v>59</v>
      </c>
    </row>
    <row r="99" spans="1:18" x14ac:dyDescent="0.25">
      <c r="A99" s="56"/>
      <c r="G99" s="13"/>
      <c r="H99" s="35">
        <v>94</v>
      </c>
      <c r="I99" s="36" t="str">
        <f t="shared" si="8"/>
        <v/>
      </c>
      <c r="J99" s="36">
        <f t="shared" si="11"/>
        <v>-5</v>
      </c>
      <c r="K99" s="35">
        <f t="shared" si="9"/>
        <v>-50</v>
      </c>
      <c r="L99" s="35"/>
      <c r="M99" s="37">
        <f t="shared" si="10"/>
        <v>0</v>
      </c>
      <c r="N99" s="166" t="s">
        <v>59</v>
      </c>
      <c r="O99" s="166" t="s">
        <v>59</v>
      </c>
      <c r="P99" s="167" t="s">
        <v>59</v>
      </c>
      <c r="Q99" s="168" t="s">
        <v>59</v>
      </c>
      <c r="R99" s="168" t="s">
        <v>59</v>
      </c>
    </row>
    <row r="100" spans="1:18" x14ac:dyDescent="0.25">
      <c r="A100" s="56"/>
      <c r="G100" s="13"/>
      <c r="H100" s="35">
        <v>95</v>
      </c>
      <c r="I100" s="36" t="str">
        <f t="shared" si="8"/>
        <v/>
      </c>
      <c r="J100" s="36">
        <f t="shared" si="11"/>
        <v>-5</v>
      </c>
      <c r="K100" s="35">
        <f t="shared" si="9"/>
        <v>-50</v>
      </c>
      <c r="L100" s="35"/>
      <c r="M100" s="37">
        <f t="shared" si="10"/>
        <v>0</v>
      </c>
      <c r="N100" s="166" t="s">
        <v>59</v>
      </c>
      <c r="O100" s="166" t="s">
        <v>59</v>
      </c>
      <c r="P100" s="167" t="s">
        <v>59</v>
      </c>
      <c r="Q100" s="168" t="s">
        <v>59</v>
      </c>
      <c r="R100" s="168" t="s">
        <v>59</v>
      </c>
    </row>
    <row r="101" spans="1:18" x14ac:dyDescent="0.25">
      <c r="A101" s="56"/>
      <c r="G101" s="13"/>
      <c r="H101" s="35">
        <v>96</v>
      </c>
      <c r="I101" s="36" t="str">
        <f t="shared" si="8"/>
        <v/>
      </c>
      <c r="J101" s="36">
        <f t="shared" si="11"/>
        <v>-5</v>
      </c>
      <c r="K101" s="35">
        <f t="shared" si="9"/>
        <v>-50</v>
      </c>
      <c r="L101" s="35"/>
      <c r="M101" s="37">
        <f t="shared" si="10"/>
        <v>0</v>
      </c>
      <c r="N101" s="166" t="s">
        <v>59</v>
      </c>
      <c r="O101" s="166" t="s">
        <v>59</v>
      </c>
      <c r="P101" s="167" t="s">
        <v>59</v>
      </c>
      <c r="Q101" s="168" t="s">
        <v>59</v>
      </c>
      <c r="R101" s="168" t="s">
        <v>59</v>
      </c>
    </row>
    <row r="102" spans="1:18" x14ac:dyDescent="0.25">
      <c r="A102" s="56"/>
      <c r="G102" s="13"/>
      <c r="H102" s="35">
        <v>97</v>
      </c>
      <c r="I102" s="36" t="str">
        <f t="shared" si="8"/>
        <v/>
      </c>
      <c r="J102" s="36">
        <f t="shared" si="11"/>
        <v>-5</v>
      </c>
      <c r="K102" s="35">
        <f t="shared" si="9"/>
        <v>-50</v>
      </c>
      <c r="L102" s="35"/>
      <c r="M102" s="37">
        <f t="shared" si="10"/>
        <v>0</v>
      </c>
      <c r="N102" s="166" t="s">
        <v>59</v>
      </c>
      <c r="O102" s="166" t="s">
        <v>59</v>
      </c>
      <c r="P102" s="167" t="s">
        <v>59</v>
      </c>
      <c r="Q102" s="168" t="s">
        <v>59</v>
      </c>
      <c r="R102" s="168" t="s">
        <v>59</v>
      </c>
    </row>
    <row r="103" spans="1:18" x14ac:dyDescent="0.25">
      <c r="A103" s="56"/>
      <c r="G103" s="13"/>
      <c r="H103" s="35">
        <v>98</v>
      </c>
      <c r="I103" s="36" t="str">
        <f t="shared" si="8"/>
        <v/>
      </c>
      <c r="J103" s="36">
        <f t="shared" si="11"/>
        <v>-5</v>
      </c>
      <c r="K103" s="35">
        <f t="shared" si="9"/>
        <v>-50</v>
      </c>
      <c r="L103" s="35"/>
      <c r="M103" s="37">
        <f t="shared" si="10"/>
        <v>0</v>
      </c>
      <c r="N103" s="166" t="s">
        <v>59</v>
      </c>
      <c r="O103" s="166" t="s">
        <v>59</v>
      </c>
      <c r="P103" s="167" t="s">
        <v>59</v>
      </c>
      <c r="Q103" s="168" t="s">
        <v>59</v>
      </c>
      <c r="R103" s="168" t="s">
        <v>59</v>
      </c>
    </row>
    <row r="104" spans="1:18" x14ac:dyDescent="0.25">
      <c r="A104" s="56"/>
      <c r="G104" s="13"/>
      <c r="H104" s="35">
        <v>99</v>
      </c>
      <c r="I104" s="36" t="str">
        <f t="shared" si="8"/>
        <v/>
      </c>
      <c r="J104" s="36">
        <f t="shared" si="11"/>
        <v>-5</v>
      </c>
      <c r="K104" s="35">
        <f t="shared" si="9"/>
        <v>-50</v>
      </c>
      <c r="L104" s="35"/>
      <c r="M104" s="37">
        <f t="shared" si="10"/>
        <v>0</v>
      </c>
      <c r="N104" s="166" t="s">
        <v>59</v>
      </c>
      <c r="O104" s="166" t="s">
        <v>59</v>
      </c>
      <c r="P104" s="167" t="s">
        <v>59</v>
      </c>
      <c r="Q104" s="168" t="s">
        <v>59</v>
      </c>
      <c r="R104" s="168" t="s">
        <v>59</v>
      </c>
    </row>
    <row r="105" spans="1:18" x14ac:dyDescent="0.25">
      <c r="A105" s="56"/>
      <c r="G105" s="13"/>
      <c r="H105" s="35">
        <v>100</v>
      </c>
      <c r="I105" s="36" t="str">
        <f t="shared" si="8"/>
        <v/>
      </c>
      <c r="J105" s="36">
        <f t="shared" si="11"/>
        <v>-5</v>
      </c>
      <c r="K105" s="35">
        <f t="shared" si="9"/>
        <v>-50</v>
      </c>
      <c r="L105" s="35"/>
      <c r="M105" s="37">
        <f t="shared" si="10"/>
        <v>0</v>
      </c>
      <c r="N105" s="166" t="s">
        <v>59</v>
      </c>
      <c r="O105" s="166" t="s">
        <v>59</v>
      </c>
      <c r="P105" s="167" t="s">
        <v>59</v>
      </c>
      <c r="Q105" s="168" t="s">
        <v>59</v>
      </c>
      <c r="R105" s="168" t="s">
        <v>59</v>
      </c>
    </row>
    <row r="106" spans="1:18" x14ac:dyDescent="0.25">
      <c r="A106" s="56"/>
      <c r="G106" s="13"/>
      <c r="H106" s="35">
        <v>101</v>
      </c>
      <c r="I106" s="36" t="str">
        <f t="shared" si="8"/>
        <v/>
      </c>
      <c r="J106" s="36">
        <f t="shared" si="11"/>
        <v>-5</v>
      </c>
      <c r="K106" s="35">
        <f t="shared" si="9"/>
        <v>-50</v>
      </c>
      <c r="L106" s="35"/>
      <c r="M106" s="37">
        <f t="shared" si="10"/>
        <v>0</v>
      </c>
      <c r="N106" s="166" t="s">
        <v>59</v>
      </c>
      <c r="O106" s="166" t="s">
        <v>59</v>
      </c>
      <c r="P106" s="167" t="s">
        <v>59</v>
      </c>
      <c r="Q106" s="168" t="s">
        <v>59</v>
      </c>
      <c r="R106" s="168" t="s">
        <v>59</v>
      </c>
    </row>
    <row r="107" spans="1:18" x14ac:dyDescent="0.25">
      <c r="A107" s="56"/>
      <c r="G107" s="13"/>
      <c r="H107" s="35">
        <v>102</v>
      </c>
      <c r="I107" s="36" t="str">
        <f t="shared" si="8"/>
        <v/>
      </c>
      <c r="J107" s="36">
        <f t="shared" si="11"/>
        <v>-5</v>
      </c>
      <c r="K107" s="35">
        <f t="shared" si="9"/>
        <v>-50</v>
      </c>
      <c r="L107" s="35"/>
      <c r="M107" s="37">
        <f t="shared" si="10"/>
        <v>0</v>
      </c>
      <c r="N107" s="166" t="s">
        <v>59</v>
      </c>
      <c r="O107" s="166" t="s">
        <v>59</v>
      </c>
      <c r="P107" s="167" t="s">
        <v>59</v>
      </c>
      <c r="Q107" s="168" t="s">
        <v>59</v>
      </c>
      <c r="R107" s="168" t="s">
        <v>59</v>
      </c>
    </row>
    <row r="108" spans="1:18" x14ac:dyDescent="0.25">
      <c r="A108" s="56"/>
      <c r="G108" s="13"/>
      <c r="H108" s="35">
        <v>103</v>
      </c>
      <c r="I108" s="36" t="str">
        <f t="shared" si="8"/>
        <v/>
      </c>
      <c r="J108" s="36">
        <f t="shared" si="11"/>
        <v>-5</v>
      </c>
      <c r="K108" s="35">
        <f t="shared" si="9"/>
        <v>-50</v>
      </c>
      <c r="L108" s="35"/>
      <c r="M108" s="37">
        <f t="shared" si="10"/>
        <v>0</v>
      </c>
      <c r="N108" s="166" t="s">
        <v>59</v>
      </c>
      <c r="O108" s="166" t="s">
        <v>59</v>
      </c>
      <c r="P108" s="167" t="s">
        <v>59</v>
      </c>
      <c r="Q108" s="168" t="s">
        <v>59</v>
      </c>
      <c r="R108" s="168" t="s">
        <v>59</v>
      </c>
    </row>
    <row r="109" spans="1:18" x14ac:dyDescent="0.25">
      <c r="A109" s="56"/>
      <c r="G109" s="13"/>
      <c r="H109" s="35">
        <v>104</v>
      </c>
      <c r="I109" s="36" t="str">
        <f t="shared" si="8"/>
        <v/>
      </c>
      <c r="J109" s="36">
        <f t="shared" si="11"/>
        <v>-5</v>
      </c>
      <c r="K109" s="35">
        <f t="shared" si="9"/>
        <v>-50</v>
      </c>
      <c r="L109" s="35"/>
      <c r="M109" s="37">
        <f t="shared" si="10"/>
        <v>0</v>
      </c>
      <c r="N109" s="166" t="s">
        <v>59</v>
      </c>
      <c r="O109" s="166" t="s">
        <v>59</v>
      </c>
      <c r="P109" s="167" t="s">
        <v>59</v>
      </c>
      <c r="Q109" s="168" t="s">
        <v>59</v>
      </c>
      <c r="R109" s="168" t="s">
        <v>59</v>
      </c>
    </row>
    <row r="110" spans="1:18" x14ac:dyDescent="0.25">
      <c r="A110" s="56"/>
      <c r="G110" s="13"/>
      <c r="H110" s="35">
        <v>105</v>
      </c>
      <c r="I110" s="36" t="str">
        <f t="shared" si="8"/>
        <v/>
      </c>
      <c r="J110" s="36">
        <f t="shared" si="11"/>
        <v>-5</v>
      </c>
      <c r="K110" s="35">
        <f t="shared" si="9"/>
        <v>-50</v>
      </c>
      <c r="L110" s="35"/>
      <c r="M110" s="37">
        <f t="shared" si="10"/>
        <v>0</v>
      </c>
      <c r="N110" s="166" t="s">
        <v>59</v>
      </c>
      <c r="O110" s="166" t="s">
        <v>59</v>
      </c>
      <c r="P110" s="167" t="s">
        <v>59</v>
      </c>
      <c r="Q110" s="168" t="s">
        <v>59</v>
      </c>
      <c r="R110" s="168" t="s">
        <v>59</v>
      </c>
    </row>
    <row r="111" spans="1:18" x14ac:dyDescent="0.25">
      <c r="A111" s="56"/>
      <c r="G111" s="13"/>
      <c r="H111" s="35">
        <v>106</v>
      </c>
      <c r="I111" s="36" t="str">
        <f t="shared" si="8"/>
        <v/>
      </c>
      <c r="J111" s="36">
        <f t="shared" si="11"/>
        <v>-5</v>
      </c>
      <c r="K111" s="35">
        <f t="shared" si="9"/>
        <v>-50</v>
      </c>
      <c r="L111" s="35"/>
      <c r="M111" s="37">
        <f t="shared" si="10"/>
        <v>0</v>
      </c>
      <c r="N111" s="166" t="s">
        <v>59</v>
      </c>
      <c r="O111" s="166" t="s">
        <v>59</v>
      </c>
      <c r="P111" s="167" t="s">
        <v>59</v>
      </c>
      <c r="Q111" s="168" t="s">
        <v>59</v>
      </c>
      <c r="R111" s="168" t="s">
        <v>59</v>
      </c>
    </row>
    <row r="112" spans="1:18" x14ac:dyDescent="0.25">
      <c r="A112" s="56"/>
      <c r="G112" s="13"/>
      <c r="H112" s="35">
        <v>107</v>
      </c>
      <c r="I112" s="36" t="str">
        <f t="shared" si="8"/>
        <v/>
      </c>
      <c r="J112" s="36">
        <f t="shared" si="11"/>
        <v>-5</v>
      </c>
      <c r="K112" s="35">
        <f t="shared" si="9"/>
        <v>-50</v>
      </c>
      <c r="L112" s="35"/>
      <c r="M112" s="37">
        <f t="shared" si="10"/>
        <v>0</v>
      </c>
      <c r="N112" s="166" t="s">
        <v>59</v>
      </c>
      <c r="O112" s="166" t="s">
        <v>59</v>
      </c>
      <c r="P112" s="167" t="s">
        <v>59</v>
      </c>
      <c r="Q112" s="168" t="s">
        <v>59</v>
      </c>
      <c r="R112" s="168" t="s">
        <v>59</v>
      </c>
    </row>
    <row r="113" spans="1:18" x14ac:dyDescent="0.25">
      <c r="A113" s="56"/>
      <c r="G113" s="13"/>
      <c r="H113" s="35">
        <v>108</v>
      </c>
      <c r="I113" s="36" t="str">
        <f t="shared" si="8"/>
        <v/>
      </c>
      <c r="J113" s="36">
        <f t="shared" si="11"/>
        <v>-5</v>
      </c>
      <c r="K113" s="35">
        <f t="shared" si="9"/>
        <v>-50</v>
      </c>
      <c r="L113" s="35"/>
      <c r="M113" s="37">
        <f t="shared" si="10"/>
        <v>0</v>
      </c>
      <c r="N113" s="166" t="s">
        <v>59</v>
      </c>
      <c r="O113" s="166" t="s">
        <v>59</v>
      </c>
      <c r="P113" s="167" t="s">
        <v>59</v>
      </c>
      <c r="Q113" s="168" t="s">
        <v>59</v>
      </c>
      <c r="R113" s="168" t="s">
        <v>59</v>
      </c>
    </row>
    <row r="114" spans="1:18" x14ac:dyDescent="0.25">
      <c r="A114" s="56"/>
      <c r="G114" s="13"/>
      <c r="H114" s="35">
        <v>109</v>
      </c>
      <c r="I114" s="36" t="str">
        <f t="shared" si="8"/>
        <v/>
      </c>
      <c r="J114" s="36">
        <f t="shared" si="11"/>
        <v>-5</v>
      </c>
      <c r="K114" s="35">
        <f t="shared" si="9"/>
        <v>-50</v>
      </c>
      <c r="L114" s="35"/>
      <c r="M114" s="37">
        <f t="shared" si="10"/>
        <v>0</v>
      </c>
      <c r="N114" s="166" t="s">
        <v>59</v>
      </c>
      <c r="O114" s="166" t="s">
        <v>59</v>
      </c>
      <c r="P114" s="167" t="s">
        <v>59</v>
      </c>
      <c r="Q114" s="168" t="s">
        <v>59</v>
      </c>
      <c r="R114" s="168" t="s">
        <v>59</v>
      </c>
    </row>
    <row r="115" spans="1:18" x14ac:dyDescent="0.25">
      <c r="A115" s="56"/>
      <c r="G115" s="13"/>
      <c r="H115" s="35">
        <v>110</v>
      </c>
      <c r="I115" s="36" t="str">
        <f t="shared" si="8"/>
        <v/>
      </c>
      <c r="J115" s="36">
        <f t="shared" si="11"/>
        <v>-5</v>
      </c>
      <c r="K115" s="35">
        <f t="shared" si="9"/>
        <v>-50</v>
      </c>
      <c r="L115" s="35"/>
      <c r="M115" s="37">
        <f t="shared" si="10"/>
        <v>0</v>
      </c>
      <c r="N115" s="166" t="s">
        <v>59</v>
      </c>
      <c r="O115" s="166" t="s">
        <v>59</v>
      </c>
      <c r="P115" s="167" t="s">
        <v>59</v>
      </c>
      <c r="Q115" s="168" t="s">
        <v>59</v>
      </c>
      <c r="R115" s="168" t="s">
        <v>59</v>
      </c>
    </row>
    <row r="116" spans="1:18" x14ac:dyDescent="0.25">
      <c r="A116" s="56"/>
      <c r="G116" s="13"/>
      <c r="H116" s="35">
        <v>111</v>
      </c>
      <c r="I116" s="36" t="str">
        <f t="shared" si="8"/>
        <v/>
      </c>
      <c r="J116" s="36">
        <f t="shared" si="11"/>
        <v>-5</v>
      </c>
      <c r="K116" s="35">
        <f t="shared" si="9"/>
        <v>-50</v>
      </c>
      <c r="L116" s="35"/>
      <c r="M116" s="37">
        <f t="shared" si="10"/>
        <v>0</v>
      </c>
      <c r="N116" s="166" t="s">
        <v>59</v>
      </c>
      <c r="O116" s="166" t="s">
        <v>59</v>
      </c>
      <c r="P116" s="167" t="s">
        <v>59</v>
      </c>
      <c r="Q116" s="168" t="s">
        <v>59</v>
      </c>
      <c r="R116" s="168" t="s">
        <v>59</v>
      </c>
    </row>
    <row r="117" spans="1:18" x14ac:dyDescent="0.25">
      <c r="A117" s="56"/>
      <c r="G117" s="13"/>
      <c r="H117" s="35">
        <v>112</v>
      </c>
      <c r="I117" s="36" t="str">
        <f t="shared" si="8"/>
        <v/>
      </c>
      <c r="J117" s="36">
        <f t="shared" si="11"/>
        <v>-5</v>
      </c>
      <c r="K117" s="35">
        <f t="shared" si="9"/>
        <v>-50</v>
      </c>
      <c r="L117" s="35"/>
      <c r="M117" s="37">
        <f t="shared" si="10"/>
        <v>0</v>
      </c>
      <c r="N117" s="166" t="s">
        <v>59</v>
      </c>
      <c r="O117" s="166" t="s">
        <v>59</v>
      </c>
      <c r="P117" s="167" t="s">
        <v>59</v>
      </c>
      <c r="Q117" s="168" t="s">
        <v>59</v>
      </c>
      <c r="R117" s="168" t="s">
        <v>59</v>
      </c>
    </row>
    <row r="118" spans="1:18" x14ac:dyDescent="0.25">
      <c r="A118" s="56"/>
      <c r="G118" s="13"/>
      <c r="H118" s="35">
        <v>113</v>
      </c>
      <c r="I118" s="36" t="str">
        <f t="shared" si="8"/>
        <v/>
      </c>
      <c r="J118" s="36">
        <f t="shared" si="11"/>
        <v>-5</v>
      </c>
      <c r="K118" s="35">
        <f t="shared" si="9"/>
        <v>-50</v>
      </c>
      <c r="L118" s="35"/>
      <c r="M118" s="37">
        <f t="shared" si="10"/>
        <v>0</v>
      </c>
      <c r="N118" s="166" t="s">
        <v>59</v>
      </c>
      <c r="O118" s="166" t="s">
        <v>59</v>
      </c>
      <c r="P118" s="167" t="s">
        <v>59</v>
      </c>
      <c r="Q118" s="168" t="s">
        <v>59</v>
      </c>
      <c r="R118" s="168" t="s">
        <v>59</v>
      </c>
    </row>
    <row r="119" spans="1:18" x14ac:dyDescent="0.25">
      <c r="A119" s="56"/>
      <c r="G119" s="13"/>
      <c r="H119" s="35">
        <v>114</v>
      </c>
      <c r="I119" s="36" t="str">
        <f t="shared" si="8"/>
        <v/>
      </c>
      <c r="J119" s="36">
        <f t="shared" si="11"/>
        <v>-5</v>
      </c>
      <c r="K119" s="35">
        <f t="shared" si="9"/>
        <v>-50</v>
      </c>
      <c r="L119" s="35"/>
      <c r="M119" s="37">
        <f t="shared" si="10"/>
        <v>0</v>
      </c>
      <c r="N119" s="166" t="s">
        <v>59</v>
      </c>
      <c r="O119" s="166" t="s">
        <v>59</v>
      </c>
      <c r="P119" s="167" t="s">
        <v>59</v>
      </c>
      <c r="Q119" s="168" t="s">
        <v>59</v>
      </c>
      <c r="R119" s="168" t="s">
        <v>59</v>
      </c>
    </row>
    <row r="120" spans="1:18" x14ac:dyDescent="0.25">
      <c r="A120" s="56"/>
      <c r="G120" s="13"/>
      <c r="H120" s="35">
        <v>115</v>
      </c>
      <c r="I120" s="36" t="str">
        <f t="shared" si="8"/>
        <v/>
      </c>
      <c r="J120" s="36">
        <f t="shared" si="11"/>
        <v>-5</v>
      </c>
      <c r="K120" s="35">
        <f t="shared" si="9"/>
        <v>-50</v>
      </c>
      <c r="L120" s="35"/>
      <c r="M120" s="37">
        <f t="shared" si="10"/>
        <v>0</v>
      </c>
      <c r="N120" s="166" t="s">
        <v>59</v>
      </c>
      <c r="O120" s="166" t="s">
        <v>59</v>
      </c>
      <c r="P120" s="167" t="s">
        <v>59</v>
      </c>
      <c r="Q120" s="168" t="s">
        <v>59</v>
      </c>
      <c r="R120" s="168" t="s">
        <v>59</v>
      </c>
    </row>
    <row r="121" spans="1:18" x14ac:dyDescent="0.25">
      <c r="A121" s="56"/>
      <c r="G121" s="13"/>
      <c r="H121" s="35">
        <v>116</v>
      </c>
      <c r="I121" s="36" t="str">
        <f t="shared" si="8"/>
        <v/>
      </c>
      <c r="J121" s="36">
        <f t="shared" si="11"/>
        <v>-5</v>
      </c>
      <c r="K121" s="35">
        <f t="shared" si="9"/>
        <v>-50</v>
      </c>
      <c r="L121" s="35"/>
      <c r="M121" s="37">
        <f t="shared" si="10"/>
        <v>0</v>
      </c>
      <c r="N121" s="166" t="s">
        <v>59</v>
      </c>
      <c r="O121" s="166" t="s">
        <v>59</v>
      </c>
      <c r="P121" s="167" t="s">
        <v>59</v>
      </c>
      <c r="Q121" s="168" t="s">
        <v>59</v>
      </c>
      <c r="R121" s="168" t="s">
        <v>59</v>
      </c>
    </row>
    <row r="122" spans="1:18" x14ac:dyDescent="0.25">
      <c r="A122" s="56"/>
      <c r="G122" s="13"/>
      <c r="H122" s="35">
        <v>117</v>
      </c>
      <c r="I122" s="36" t="str">
        <f t="shared" si="8"/>
        <v/>
      </c>
      <c r="J122" s="36">
        <f t="shared" si="11"/>
        <v>-5</v>
      </c>
      <c r="K122" s="35">
        <f t="shared" si="9"/>
        <v>-50</v>
      </c>
      <c r="L122" s="35"/>
      <c r="M122" s="37">
        <f t="shared" si="10"/>
        <v>0</v>
      </c>
      <c r="N122" s="166" t="s">
        <v>59</v>
      </c>
      <c r="O122" s="166" t="s">
        <v>59</v>
      </c>
      <c r="P122" s="167" t="s">
        <v>59</v>
      </c>
      <c r="Q122" s="168" t="s">
        <v>59</v>
      </c>
      <c r="R122" s="168" t="s">
        <v>59</v>
      </c>
    </row>
    <row r="123" spans="1:18" x14ac:dyDescent="0.25">
      <c r="A123" s="56"/>
      <c r="G123" s="13"/>
      <c r="H123" s="35">
        <v>118</v>
      </c>
      <c r="I123" s="36" t="str">
        <f t="shared" si="8"/>
        <v/>
      </c>
      <c r="J123" s="36">
        <f t="shared" si="11"/>
        <v>-5</v>
      </c>
      <c r="K123" s="35">
        <f t="shared" si="9"/>
        <v>-50</v>
      </c>
      <c r="L123" s="35"/>
      <c r="M123" s="37">
        <f t="shared" si="10"/>
        <v>0</v>
      </c>
      <c r="N123" s="166" t="s">
        <v>59</v>
      </c>
      <c r="O123" s="166" t="s">
        <v>59</v>
      </c>
      <c r="P123" s="167" t="s">
        <v>59</v>
      </c>
      <c r="Q123" s="168" t="s">
        <v>59</v>
      </c>
      <c r="R123" s="168" t="s">
        <v>59</v>
      </c>
    </row>
    <row r="124" spans="1:18" x14ac:dyDescent="0.25">
      <c r="A124" s="56"/>
      <c r="G124" s="13"/>
      <c r="H124" s="35">
        <v>119</v>
      </c>
      <c r="I124" s="36" t="str">
        <f t="shared" si="8"/>
        <v/>
      </c>
      <c r="J124" s="36">
        <f t="shared" si="11"/>
        <v>-5</v>
      </c>
      <c r="K124" s="35">
        <f t="shared" si="9"/>
        <v>-50</v>
      </c>
      <c r="L124" s="35"/>
      <c r="M124" s="37">
        <f t="shared" si="10"/>
        <v>0</v>
      </c>
      <c r="N124" s="166" t="s">
        <v>59</v>
      </c>
      <c r="O124" s="166" t="s">
        <v>59</v>
      </c>
      <c r="P124" s="167" t="s">
        <v>59</v>
      </c>
      <c r="Q124" s="168" t="s">
        <v>59</v>
      </c>
      <c r="R124" s="168" t="s">
        <v>59</v>
      </c>
    </row>
    <row r="125" spans="1:18" x14ac:dyDescent="0.25">
      <c r="A125" s="56"/>
      <c r="G125" s="13"/>
      <c r="H125" s="35">
        <v>120</v>
      </c>
      <c r="I125" s="36" t="str">
        <f t="shared" si="8"/>
        <v/>
      </c>
      <c r="J125" s="36">
        <f t="shared" si="11"/>
        <v>-5</v>
      </c>
      <c r="K125" s="35">
        <f t="shared" si="9"/>
        <v>-50</v>
      </c>
      <c r="L125" s="35"/>
      <c r="M125" s="37">
        <f t="shared" si="10"/>
        <v>0</v>
      </c>
      <c r="N125" s="166" t="s">
        <v>59</v>
      </c>
      <c r="O125" s="166" t="s">
        <v>59</v>
      </c>
      <c r="P125" s="167" t="s">
        <v>59</v>
      </c>
      <c r="Q125" s="168" t="s">
        <v>59</v>
      </c>
      <c r="R125" s="168" t="s">
        <v>59</v>
      </c>
    </row>
    <row r="126" spans="1:18" x14ac:dyDescent="0.25">
      <c r="A126" s="56"/>
      <c r="G126" s="13"/>
      <c r="H126" s="35">
        <v>121</v>
      </c>
      <c r="I126" s="36" t="str">
        <f t="shared" si="8"/>
        <v/>
      </c>
      <c r="J126" s="36">
        <f t="shared" si="11"/>
        <v>-5</v>
      </c>
      <c r="K126" s="35">
        <f t="shared" si="9"/>
        <v>-50</v>
      </c>
      <c r="L126" s="35"/>
      <c r="M126" s="37">
        <f t="shared" si="10"/>
        <v>0</v>
      </c>
      <c r="N126" s="166" t="s">
        <v>59</v>
      </c>
      <c r="O126" s="166" t="s">
        <v>59</v>
      </c>
      <c r="P126" s="167" t="s">
        <v>59</v>
      </c>
      <c r="Q126" s="168" t="s">
        <v>59</v>
      </c>
      <c r="R126" s="168" t="s">
        <v>59</v>
      </c>
    </row>
    <row r="127" spans="1:18" x14ac:dyDescent="0.25">
      <c r="A127" s="56"/>
      <c r="G127" s="13"/>
      <c r="H127" s="35">
        <v>122</v>
      </c>
      <c r="I127" s="36" t="str">
        <f t="shared" si="8"/>
        <v/>
      </c>
      <c r="J127" s="36">
        <f t="shared" si="11"/>
        <v>-5</v>
      </c>
      <c r="K127" s="35">
        <f t="shared" si="9"/>
        <v>-50</v>
      </c>
      <c r="L127" s="35"/>
      <c r="M127" s="37">
        <f t="shared" si="10"/>
        <v>0</v>
      </c>
      <c r="N127" s="166" t="s">
        <v>59</v>
      </c>
      <c r="O127" s="166" t="s">
        <v>59</v>
      </c>
      <c r="P127" s="167" t="s">
        <v>59</v>
      </c>
      <c r="Q127" s="168" t="s">
        <v>59</v>
      </c>
      <c r="R127" s="168" t="s">
        <v>59</v>
      </c>
    </row>
    <row r="128" spans="1:18" x14ac:dyDescent="0.25">
      <c r="A128" s="56"/>
      <c r="G128" s="13"/>
      <c r="H128" s="35">
        <v>123</v>
      </c>
      <c r="I128" s="36" t="str">
        <f t="shared" si="8"/>
        <v/>
      </c>
      <c r="J128" s="36">
        <f t="shared" si="11"/>
        <v>-5</v>
      </c>
      <c r="K128" s="35">
        <f t="shared" si="9"/>
        <v>-50</v>
      </c>
      <c r="L128" s="35"/>
      <c r="M128" s="37">
        <f t="shared" si="10"/>
        <v>0</v>
      </c>
      <c r="N128" s="166" t="s">
        <v>59</v>
      </c>
      <c r="O128" s="166" t="s">
        <v>59</v>
      </c>
      <c r="P128" s="167" t="s">
        <v>59</v>
      </c>
      <c r="Q128" s="168" t="s">
        <v>59</v>
      </c>
      <c r="R128" s="168" t="s">
        <v>59</v>
      </c>
    </row>
    <row r="129" spans="1:18" x14ac:dyDescent="0.25">
      <c r="A129" s="56"/>
      <c r="G129" s="13"/>
      <c r="H129" s="35">
        <v>124</v>
      </c>
      <c r="I129" s="36" t="str">
        <f t="shared" si="8"/>
        <v/>
      </c>
      <c r="J129" s="36">
        <f t="shared" si="11"/>
        <v>-5</v>
      </c>
      <c r="K129" s="35">
        <f t="shared" si="9"/>
        <v>-50</v>
      </c>
      <c r="L129" s="35"/>
      <c r="M129" s="37">
        <f t="shared" si="10"/>
        <v>0</v>
      </c>
      <c r="N129" s="166" t="s">
        <v>59</v>
      </c>
      <c r="O129" s="166" t="s">
        <v>59</v>
      </c>
      <c r="P129" s="167" t="s">
        <v>59</v>
      </c>
      <c r="Q129" s="168" t="s">
        <v>59</v>
      </c>
      <c r="R129" s="168" t="s">
        <v>59</v>
      </c>
    </row>
    <row r="130" spans="1:18" x14ac:dyDescent="0.25">
      <c r="A130" s="56"/>
      <c r="G130" s="13"/>
      <c r="H130" s="35">
        <v>125</v>
      </c>
      <c r="I130" s="36" t="str">
        <f t="shared" si="8"/>
        <v/>
      </c>
      <c r="J130" s="36">
        <f t="shared" si="11"/>
        <v>-5</v>
      </c>
      <c r="K130" s="35">
        <f t="shared" si="9"/>
        <v>-50</v>
      </c>
      <c r="L130" s="35"/>
      <c r="M130" s="37">
        <f t="shared" si="10"/>
        <v>0</v>
      </c>
      <c r="N130" s="166" t="s">
        <v>59</v>
      </c>
      <c r="O130" s="166" t="s">
        <v>59</v>
      </c>
      <c r="P130" s="167" t="s">
        <v>59</v>
      </c>
      <c r="Q130" s="168" t="s">
        <v>59</v>
      </c>
      <c r="R130" s="168" t="s">
        <v>59</v>
      </c>
    </row>
    <row r="131" spans="1:18" x14ac:dyDescent="0.25">
      <c r="A131" s="56"/>
      <c r="G131" s="13"/>
      <c r="H131" s="35">
        <v>126</v>
      </c>
      <c r="I131" s="36" t="str">
        <f t="shared" si="8"/>
        <v/>
      </c>
      <c r="J131" s="36">
        <f t="shared" si="11"/>
        <v>-5</v>
      </c>
      <c r="K131" s="35">
        <f t="shared" si="9"/>
        <v>-50</v>
      </c>
      <c r="L131" s="35"/>
      <c r="M131" s="37">
        <f t="shared" si="10"/>
        <v>0</v>
      </c>
      <c r="N131" s="166" t="s">
        <v>59</v>
      </c>
      <c r="O131" s="166" t="s">
        <v>59</v>
      </c>
      <c r="P131" s="167" t="s">
        <v>59</v>
      </c>
      <c r="Q131" s="168" t="s">
        <v>59</v>
      </c>
      <c r="R131" s="168" t="s">
        <v>59</v>
      </c>
    </row>
    <row r="132" spans="1:18" x14ac:dyDescent="0.25">
      <c r="A132" s="56"/>
      <c r="G132" s="13"/>
      <c r="H132" s="35">
        <v>127</v>
      </c>
      <c r="I132" s="36" t="str">
        <f t="shared" si="8"/>
        <v/>
      </c>
      <c r="J132" s="36">
        <f t="shared" si="11"/>
        <v>-5</v>
      </c>
      <c r="K132" s="35">
        <f t="shared" si="9"/>
        <v>-50</v>
      </c>
      <c r="L132" s="35"/>
      <c r="M132" s="37">
        <f t="shared" si="10"/>
        <v>0</v>
      </c>
      <c r="N132" s="166" t="s">
        <v>59</v>
      </c>
      <c r="O132" s="166" t="s">
        <v>59</v>
      </c>
      <c r="P132" s="167" t="s">
        <v>59</v>
      </c>
      <c r="Q132" s="168" t="s">
        <v>59</v>
      </c>
      <c r="R132" s="168" t="s">
        <v>59</v>
      </c>
    </row>
    <row r="133" spans="1:18" x14ac:dyDescent="0.25">
      <c r="A133" s="56"/>
      <c r="G133" s="13"/>
      <c r="H133" s="35">
        <v>128</v>
      </c>
      <c r="I133" s="36" t="str">
        <f t="shared" si="8"/>
        <v/>
      </c>
      <c r="J133" s="36">
        <f t="shared" si="11"/>
        <v>-5</v>
      </c>
      <c r="K133" s="35">
        <f t="shared" si="9"/>
        <v>-50</v>
      </c>
      <c r="L133" s="35"/>
      <c r="M133" s="37">
        <f t="shared" si="10"/>
        <v>0</v>
      </c>
      <c r="N133" s="166" t="s">
        <v>59</v>
      </c>
      <c r="O133" s="166" t="s">
        <v>59</v>
      </c>
      <c r="P133" s="167" t="s">
        <v>59</v>
      </c>
      <c r="Q133" s="168" t="s">
        <v>59</v>
      </c>
      <c r="R133" s="168" t="s">
        <v>59</v>
      </c>
    </row>
    <row r="134" spans="1:18" x14ac:dyDescent="0.25">
      <c r="A134" s="56"/>
      <c r="G134" s="13"/>
      <c r="H134" s="35">
        <v>129</v>
      </c>
      <c r="I134" s="36" t="str">
        <f t="shared" ref="I134:I197" si="12">IF(H134&lt;$H$2+1,($I$2-($I$2-1)*(LOG(H134)/LOG($H$2))),"")</f>
        <v/>
      </c>
      <c r="J134" s="36">
        <f t="shared" si="11"/>
        <v>-6</v>
      </c>
      <c r="K134" s="35">
        <f t="shared" ref="K134:K197" si="13">J134*$J$2</f>
        <v>-60</v>
      </c>
      <c r="L134" s="35"/>
      <c r="M134" s="37">
        <f t="shared" ref="M134:M197" si="14">IF(I134&lt;&gt;"",K134+I134+L134,0)</f>
        <v>0</v>
      </c>
      <c r="N134" s="166" t="s">
        <v>59</v>
      </c>
      <c r="O134" s="166" t="s">
        <v>59</v>
      </c>
      <c r="P134" s="167" t="s">
        <v>59</v>
      </c>
      <c r="Q134" s="168" t="s">
        <v>59</v>
      </c>
      <c r="R134" s="168" t="s">
        <v>59</v>
      </c>
    </row>
    <row r="135" spans="1:18" x14ac:dyDescent="0.25">
      <c r="A135" s="56"/>
      <c r="G135" s="13"/>
      <c r="H135" s="35">
        <v>130</v>
      </c>
      <c r="I135" s="36" t="str">
        <f t="shared" si="12"/>
        <v/>
      </c>
      <c r="J135" s="36">
        <f t="shared" ref="J135:J198" si="15">INT(LOG($H$2,2))-ROUNDUP(LOG(H135,2),0)+IF(OR($H$2=1,$H$2=2,$H$2=4,$H$2=8,$H$2=16,$H$2=32,$H$2=64,$H$2=128,$H$2=256),0,1)</f>
        <v>-6</v>
      </c>
      <c r="K135" s="35">
        <f t="shared" si="13"/>
        <v>-60</v>
      </c>
      <c r="L135" s="35"/>
      <c r="M135" s="37">
        <f t="shared" si="14"/>
        <v>0</v>
      </c>
      <c r="N135" s="166" t="s">
        <v>59</v>
      </c>
      <c r="O135" s="166" t="s">
        <v>59</v>
      </c>
      <c r="P135" s="167" t="s">
        <v>59</v>
      </c>
      <c r="Q135" s="168" t="s">
        <v>59</v>
      </c>
      <c r="R135" s="168" t="s">
        <v>59</v>
      </c>
    </row>
    <row r="136" spans="1:18" x14ac:dyDescent="0.25">
      <c r="A136" s="56"/>
      <c r="G136" s="13"/>
      <c r="H136" s="35">
        <v>131</v>
      </c>
      <c r="I136" s="36" t="str">
        <f t="shared" si="12"/>
        <v/>
      </c>
      <c r="J136" s="36">
        <f t="shared" si="15"/>
        <v>-6</v>
      </c>
      <c r="K136" s="35">
        <f t="shared" si="13"/>
        <v>-60</v>
      </c>
      <c r="L136" s="35"/>
      <c r="M136" s="37">
        <f t="shared" si="14"/>
        <v>0</v>
      </c>
      <c r="N136" s="166" t="s">
        <v>59</v>
      </c>
      <c r="O136" s="166" t="s">
        <v>59</v>
      </c>
      <c r="P136" s="167" t="s">
        <v>59</v>
      </c>
      <c r="Q136" s="168" t="s">
        <v>59</v>
      </c>
      <c r="R136" s="168" t="s">
        <v>59</v>
      </c>
    </row>
    <row r="137" spans="1:18" x14ac:dyDescent="0.25">
      <c r="A137" s="56"/>
      <c r="G137" s="13"/>
      <c r="H137" s="35">
        <v>132</v>
      </c>
      <c r="I137" s="36" t="str">
        <f t="shared" si="12"/>
        <v/>
      </c>
      <c r="J137" s="36">
        <f t="shared" si="15"/>
        <v>-6</v>
      </c>
      <c r="K137" s="35">
        <f t="shared" si="13"/>
        <v>-60</v>
      </c>
      <c r="L137" s="35"/>
      <c r="M137" s="37">
        <f t="shared" si="14"/>
        <v>0</v>
      </c>
      <c r="N137" s="166" t="s">
        <v>59</v>
      </c>
      <c r="O137" s="166" t="s">
        <v>59</v>
      </c>
      <c r="P137" s="167" t="s">
        <v>59</v>
      </c>
      <c r="Q137" s="168" t="s">
        <v>59</v>
      </c>
      <c r="R137" s="168" t="s">
        <v>59</v>
      </c>
    </row>
    <row r="138" spans="1:18" x14ac:dyDescent="0.25">
      <c r="A138" s="56"/>
      <c r="G138" s="13"/>
      <c r="H138" s="35">
        <v>133</v>
      </c>
      <c r="I138" s="36" t="str">
        <f t="shared" si="12"/>
        <v/>
      </c>
      <c r="J138" s="36">
        <f t="shared" si="15"/>
        <v>-6</v>
      </c>
      <c r="K138" s="35">
        <f t="shared" si="13"/>
        <v>-60</v>
      </c>
      <c r="L138" s="35"/>
      <c r="M138" s="37">
        <f t="shared" si="14"/>
        <v>0</v>
      </c>
      <c r="N138" s="166" t="s">
        <v>59</v>
      </c>
      <c r="O138" s="166" t="s">
        <v>59</v>
      </c>
      <c r="P138" s="167" t="s">
        <v>59</v>
      </c>
      <c r="Q138" s="168" t="s">
        <v>59</v>
      </c>
      <c r="R138" s="168" t="s">
        <v>59</v>
      </c>
    </row>
    <row r="139" spans="1:18" x14ac:dyDescent="0.25">
      <c r="A139" s="56"/>
      <c r="G139" s="13"/>
      <c r="H139" s="35">
        <v>134</v>
      </c>
      <c r="I139" s="36" t="str">
        <f t="shared" si="12"/>
        <v/>
      </c>
      <c r="J139" s="36">
        <f t="shared" si="15"/>
        <v>-6</v>
      </c>
      <c r="K139" s="35">
        <f t="shared" si="13"/>
        <v>-60</v>
      </c>
      <c r="L139" s="35"/>
      <c r="M139" s="37">
        <f t="shared" si="14"/>
        <v>0</v>
      </c>
      <c r="N139" s="166" t="s">
        <v>59</v>
      </c>
      <c r="O139" s="166" t="s">
        <v>59</v>
      </c>
      <c r="P139" s="167" t="s">
        <v>59</v>
      </c>
      <c r="Q139" s="168" t="s">
        <v>59</v>
      </c>
      <c r="R139" s="168" t="s">
        <v>59</v>
      </c>
    </row>
    <row r="140" spans="1:18" x14ac:dyDescent="0.25">
      <c r="A140" s="56"/>
      <c r="G140" s="13"/>
      <c r="H140" s="35">
        <v>135</v>
      </c>
      <c r="I140" s="36" t="str">
        <f t="shared" si="12"/>
        <v/>
      </c>
      <c r="J140" s="36">
        <f t="shared" si="15"/>
        <v>-6</v>
      </c>
      <c r="K140" s="35">
        <f t="shared" si="13"/>
        <v>-60</v>
      </c>
      <c r="L140" s="35"/>
      <c r="M140" s="37">
        <f t="shared" si="14"/>
        <v>0</v>
      </c>
      <c r="N140" s="166" t="s">
        <v>59</v>
      </c>
      <c r="O140" s="166" t="s">
        <v>59</v>
      </c>
      <c r="P140" s="167" t="s">
        <v>59</v>
      </c>
      <c r="Q140" s="168" t="s">
        <v>59</v>
      </c>
      <c r="R140" s="168" t="s">
        <v>59</v>
      </c>
    </row>
    <row r="141" spans="1:18" x14ac:dyDescent="0.25">
      <c r="A141" s="56"/>
      <c r="G141" s="13"/>
      <c r="H141" s="35">
        <v>136</v>
      </c>
      <c r="I141" s="36" t="str">
        <f t="shared" si="12"/>
        <v/>
      </c>
      <c r="J141" s="36">
        <f t="shared" si="15"/>
        <v>-6</v>
      </c>
      <c r="K141" s="35">
        <f t="shared" si="13"/>
        <v>-60</v>
      </c>
      <c r="L141" s="35"/>
      <c r="M141" s="37">
        <f t="shared" si="14"/>
        <v>0</v>
      </c>
      <c r="N141" s="166" t="s">
        <v>59</v>
      </c>
      <c r="O141" s="166" t="s">
        <v>59</v>
      </c>
      <c r="P141" s="167" t="s">
        <v>59</v>
      </c>
      <c r="Q141" s="168" t="s">
        <v>59</v>
      </c>
      <c r="R141" s="168" t="s">
        <v>59</v>
      </c>
    </row>
    <row r="142" spans="1:18" x14ac:dyDescent="0.25">
      <c r="A142" s="56"/>
      <c r="G142" s="13"/>
      <c r="H142" s="35">
        <v>137</v>
      </c>
      <c r="I142" s="36" t="str">
        <f t="shared" si="12"/>
        <v/>
      </c>
      <c r="J142" s="36">
        <f t="shared" si="15"/>
        <v>-6</v>
      </c>
      <c r="K142" s="35">
        <f t="shared" si="13"/>
        <v>-60</v>
      </c>
      <c r="L142" s="35"/>
      <c r="M142" s="37">
        <f t="shared" si="14"/>
        <v>0</v>
      </c>
      <c r="N142" s="166" t="s">
        <v>59</v>
      </c>
      <c r="O142" s="166" t="s">
        <v>59</v>
      </c>
      <c r="P142" s="167" t="s">
        <v>59</v>
      </c>
      <c r="Q142" s="168" t="s">
        <v>59</v>
      </c>
      <c r="R142" s="168" t="s">
        <v>59</v>
      </c>
    </row>
    <row r="143" spans="1:18" x14ac:dyDescent="0.25">
      <c r="A143" s="56"/>
      <c r="G143" s="13"/>
      <c r="H143" s="35">
        <v>138</v>
      </c>
      <c r="I143" s="36" t="str">
        <f t="shared" si="12"/>
        <v/>
      </c>
      <c r="J143" s="36">
        <f t="shared" si="15"/>
        <v>-6</v>
      </c>
      <c r="K143" s="35">
        <f t="shared" si="13"/>
        <v>-60</v>
      </c>
      <c r="L143" s="35"/>
      <c r="M143" s="37">
        <f t="shared" si="14"/>
        <v>0</v>
      </c>
      <c r="N143" s="166" t="s">
        <v>59</v>
      </c>
      <c r="O143" s="166" t="s">
        <v>59</v>
      </c>
      <c r="P143" s="167" t="s">
        <v>59</v>
      </c>
      <c r="Q143" s="168" t="s">
        <v>59</v>
      </c>
      <c r="R143" s="168" t="s">
        <v>59</v>
      </c>
    </row>
    <row r="144" spans="1:18" x14ac:dyDescent="0.25">
      <c r="A144" s="56"/>
      <c r="G144" s="13"/>
      <c r="H144" s="35">
        <v>139</v>
      </c>
      <c r="I144" s="36" t="str">
        <f t="shared" si="12"/>
        <v/>
      </c>
      <c r="J144" s="36">
        <f t="shared" si="15"/>
        <v>-6</v>
      </c>
      <c r="K144" s="35">
        <f t="shared" si="13"/>
        <v>-60</v>
      </c>
      <c r="L144" s="35"/>
      <c r="M144" s="37">
        <f t="shared" si="14"/>
        <v>0</v>
      </c>
      <c r="N144" s="166" t="s">
        <v>59</v>
      </c>
      <c r="O144" s="166" t="s">
        <v>59</v>
      </c>
      <c r="P144" s="167" t="s">
        <v>59</v>
      </c>
      <c r="Q144" s="168" t="s">
        <v>59</v>
      </c>
      <c r="R144" s="168" t="s">
        <v>59</v>
      </c>
    </row>
    <row r="145" spans="1:18" x14ac:dyDescent="0.25">
      <c r="A145" s="56"/>
      <c r="G145" s="13"/>
      <c r="H145" s="35">
        <v>140</v>
      </c>
      <c r="I145" s="36" t="str">
        <f t="shared" si="12"/>
        <v/>
      </c>
      <c r="J145" s="36">
        <f t="shared" si="15"/>
        <v>-6</v>
      </c>
      <c r="K145" s="35">
        <f t="shared" si="13"/>
        <v>-60</v>
      </c>
      <c r="L145" s="35"/>
      <c r="M145" s="37">
        <f t="shared" si="14"/>
        <v>0</v>
      </c>
      <c r="N145" s="166" t="s">
        <v>59</v>
      </c>
      <c r="O145" s="166" t="s">
        <v>59</v>
      </c>
      <c r="P145" s="167" t="s">
        <v>59</v>
      </c>
      <c r="Q145" s="168" t="s">
        <v>59</v>
      </c>
      <c r="R145" s="168" t="s">
        <v>59</v>
      </c>
    </row>
    <row r="146" spans="1:18" x14ac:dyDescent="0.25">
      <c r="A146" s="56"/>
      <c r="G146" s="13"/>
      <c r="H146" s="35">
        <v>141</v>
      </c>
      <c r="I146" s="36" t="str">
        <f t="shared" si="12"/>
        <v/>
      </c>
      <c r="J146" s="36">
        <f t="shared" si="15"/>
        <v>-6</v>
      </c>
      <c r="K146" s="35">
        <f t="shared" si="13"/>
        <v>-60</v>
      </c>
      <c r="L146" s="35"/>
      <c r="M146" s="37">
        <f t="shared" si="14"/>
        <v>0</v>
      </c>
      <c r="N146" s="166" t="s">
        <v>59</v>
      </c>
      <c r="O146" s="166" t="s">
        <v>59</v>
      </c>
      <c r="P146" s="167" t="s">
        <v>59</v>
      </c>
      <c r="Q146" s="168" t="s">
        <v>59</v>
      </c>
      <c r="R146" s="168" t="s">
        <v>59</v>
      </c>
    </row>
    <row r="147" spans="1:18" x14ac:dyDescent="0.25">
      <c r="A147" s="56"/>
      <c r="G147" s="13"/>
      <c r="H147" s="35">
        <v>142</v>
      </c>
      <c r="I147" s="36" t="str">
        <f t="shared" si="12"/>
        <v/>
      </c>
      <c r="J147" s="36">
        <f t="shared" si="15"/>
        <v>-6</v>
      </c>
      <c r="K147" s="35">
        <f t="shared" si="13"/>
        <v>-60</v>
      </c>
      <c r="L147" s="35"/>
      <c r="M147" s="37">
        <f t="shared" si="14"/>
        <v>0</v>
      </c>
      <c r="N147" s="166" t="s">
        <v>59</v>
      </c>
      <c r="O147" s="166" t="s">
        <v>59</v>
      </c>
      <c r="P147" s="167" t="s">
        <v>59</v>
      </c>
      <c r="Q147" s="168" t="s">
        <v>59</v>
      </c>
      <c r="R147" s="168" t="s">
        <v>59</v>
      </c>
    </row>
    <row r="148" spans="1:18" x14ac:dyDescent="0.25">
      <c r="A148" s="56"/>
      <c r="G148" s="13"/>
      <c r="H148" s="35">
        <v>143</v>
      </c>
      <c r="I148" s="36" t="str">
        <f t="shared" si="12"/>
        <v/>
      </c>
      <c r="J148" s="36">
        <f t="shared" si="15"/>
        <v>-6</v>
      </c>
      <c r="K148" s="35">
        <f t="shared" si="13"/>
        <v>-60</v>
      </c>
      <c r="L148" s="35"/>
      <c r="M148" s="37">
        <f t="shared" si="14"/>
        <v>0</v>
      </c>
      <c r="N148" s="166" t="s">
        <v>59</v>
      </c>
      <c r="O148" s="166" t="s">
        <v>59</v>
      </c>
      <c r="P148" s="167" t="s">
        <v>59</v>
      </c>
      <c r="Q148" s="168" t="s">
        <v>59</v>
      </c>
      <c r="R148" s="168" t="s">
        <v>59</v>
      </c>
    </row>
    <row r="149" spans="1:18" x14ac:dyDescent="0.25">
      <c r="A149" s="56"/>
      <c r="G149" s="13"/>
      <c r="H149" s="35">
        <v>144</v>
      </c>
      <c r="I149" s="36" t="str">
        <f t="shared" si="12"/>
        <v/>
      </c>
      <c r="J149" s="36">
        <f t="shared" si="15"/>
        <v>-6</v>
      </c>
      <c r="K149" s="35">
        <f t="shared" si="13"/>
        <v>-60</v>
      </c>
      <c r="L149" s="35"/>
      <c r="M149" s="37">
        <f t="shared" si="14"/>
        <v>0</v>
      </c>
      <c r="N149" s="166" t="s">
        <v>59</v>
      </c>
      <c r="O149" s="166" t="s">
        <v>59</v>
      </c>
      <c r="P149" s="167" t="s">
        <v>59</v>
      </c>
      <c r="Q149" s="168" t="s">
        <v>59</v>
      </c>
      <c r="R149" s="168" t="s">
        <v>59</v>
      </c>
    </row>
    <row r="150" spans="1:18" x14ac:dyDescent="0.25">
      <c r="A150" s="56"/>
      <c r="G150" s="13"/>
      <c r="H150" s="35">
        <v>145</v>
      </c>
      <c r="I150" s="36" t="str">
        <f t="shared" si="12"/>
        <v/>
      </c>
      <c r="J150" s="36">
        <f t="shared" si="15"/>
        <v>-6</v>
      </c>
      <c r="K150" s="35">
        <f t="shared" si="13"/>
        <v>-60</v>
      </c>
      <c r="L150" s="35"/>
      <c r="M150" s="37">
        <f t="shared" si="14"/>
        <v>0</v>
      </c>
      <c r="N150" s="166" t="s">
        <v>59</v>
      </c>
      <c r="O150" s="166" t="s">
        <v>59</v>
      </c>
      <c r="P150" s="167" t="s">
        <v>59</v>
      </c>
      <c r="Q150" s="168" t="s">
        <v>59</v>
      </c>
      <c r="R150" s="168" t="s">
        <v>59</v>
      </c>
    </row>
    <row r="151" spans="1:18" x14ac:dyDescent="0.25">
      <c r="A151" s="56"/>
      <c r="G151" s="13"/>
      <c r="H151" s="35">
        <v>146</v>
      </c>
      <c r="I151" s="36" t="str">
        <f t="shared" si="12"/>
        <v/>
      </c>
      <c r="J151" s="36">
        <f t="shared" si="15"/>
        <v>-6</v>
      </c>
      <c r="K151" s="35">
        <f t="shared" si="13"/>
        <v>-60</v>
      </c>
      <c r="L151" s="35"/>
      <c r="M151" s="37">
        <f t="shared" si="14"/>
        <v>0</v>
      </c>
      <c r="N151" s="166" t="s">
        <v>59</v>
      </c>
      <c r="O151" s="166" t="s">
        <v>59</v>
      </c>
      <c r="P151" s="167" t="s">
        <v>59</v>
      </c>
      <c r="Q151" s="168" t="s">
        <v>59</v>
      </c>
      <c r="R151" s="168" t="s">
        <v>59</v>
      </c>
    </row>
    <row r="152" spans="1:18" x14ac:dyDescent="0.25">
      <c r="A152" s="56"/>
      <c r="G152" s="13"/>
      <c r="H152" s="35">
        <v>147</v>
      </c>
      <c r="I152" s="36" t="str">
        <f t="shared" si="12"/>
        <v/>
      </c>
      <c r="J152" s="36">
        <f t="shared" si="15"/>
        <v>-6</v>
      </c>
      <c r="K152" s="35">
        <f t="shared" si="13"/>
        <v>-60</v>
      </c>
      <c r="L152" s="35"/>
      <c r="M152" s="37">
        <f t="shared" si="14"/>
        <v>0</v>
      </c>
      <c r="N152" s="166" t="s">
        <v>59</v>
      </c>
      <c r="O152" s="166" t="s">
        <v>59</v>
      </c>
      <c r="P152" s="167" t="s">
        <v>59</v>
      </c>
      <c r="Q152" s="168" t="s">
        <v>59</v>
      </c>
      <c r="R152" s="168" t="s">
        <v>59</v>
      </c>
    </row>
    <row r="153" spans="1:18" x14ac:dyDescent="0.25">
      <c r="A153" s="56"/>
      <c r="G153" s="13"/>
      <c r="H153" s="35">
        <v>148</v>
      </c>
      <c r="I153" s="36" t="str">
        <f t="shared" si="12"/>
        <v/>
      </c>
      <c r="J153" s="36">
        <f t="shared" si="15"/>
        <v>-6</v>
      </c>
      <c r="K153" s="35">
        <f t="shared" si="13"/>
        <v>-60</v>
      </c>
      <c r="L153" s="35"/>
      <c r="M153" s="37">
        <f t="shared" si="14"/>
        <v>0</v>
      </c>
      <c r="N153" s="166" t="s">
        <v>59</v>
      </c>
      <c r="O153" s="166" t="s">
        <v>59</v>
      </c>
      <c r="P153" s="167" t="s">
        <v>59</v>
      </c>
      <c r="Q153" s="168" t="s">
        <v>59</v>
      </c>
      <c r="R153" s="168" t="s">
        <v>59</v>
      </c>
    </row>
    <row r="154" spans="1:18" x14ac:dyDescent="0.25">
      <c r="A154" s="56"/>
      <c r="G154" s="13"/>
      <c r="H154" s="35">
        <v>149</v>
      </c>
      <c r="I154" s="36" t="str">
        <f t="shared" si="12"/>
        <v/>
      </c>
      <c r="J154" s="36">
        <f t="shared" si="15"/>
        <v>-6</v>
      </c>
      <c r="K154" s="35">
        <f t="shared" si="13"/>
        <v>-60</v>
      </c>
      <c r="L154" s="35"/>
      <c r="M154" s="37">
        <f t="shared" si="14"/>
        <v>0</v>
      </c>
      <c r="N154" s="166" t="s">
        <v>59</v>
      </c>
      <c r="O154" s="166" t="s">
        <v>59</v>
      </c>
      <c r="P154" s="167" t="s">
        <v>59</v>
      </c>
      <c r="Q154" s="168" t="s">
        <v>59</v>
      </c>
      <c r="R154" s="168" t="s">
        <v>59</v>
      </c>
    </row>
    <row r="155" spans="1:18" x14ac:dyDescent="0.25">
      <c r="A155" s="56"/>
      <c r="G155" s="13"/>
      <c r="H155" s="35">
        <v>150</v>
      </c>
      <c r="I155" s="36" t="str">
        <f t="shared" si="12"/>
        <v/>
      </c>
      <c r="J155" s="36">
        <f t="shared" si="15"/>
        <v>-6</v>
      </c>
      <c r="K155" s="35">
        <f t="shared" si="13"/>
        <v>-60</v>
      </c>
      <c r="L155" s="35"/>
      <c r="M155" s="37">
        <f t="shared" si="14"/>
        <v>0</v>
      </c>
      <c r="N155" s="166" t="s">
        <v>59</v>
      </c>
      <c r="O155" s="166" t="s">
        <v>59</v>
      </c>
      <c r="P155" s="167" t="s">
        <v>59</v>
      </c>
      <c r="Q155" s="168" t="s">
        <v>59</v>
      </c>
      <c r="R155" s="168" t="s">
        <v>59</v>
      </c>
    </row>
    <row r="156" spans="1:18" x14ac:dyDescent="0.25">
      <c r="A156" s="56"/>
      <c r="G156" s="13"/>
      <c r="H156" s="35">
        <v>151</v>
      </c>
      <c r="I156" s="36" t="str">
        <f t="shared" si="12"/>
        <v/>
      </c>
      <c r="J156" s="36">
        <f t="shared" si="15"/>
        <v>-6</v>
      </c>
      <c r="K156" s="35">
        <f t="shared" si="13"/>
        <v>-60</v>
      </c>
      <c r="L156" s="35"/>
      <c r="M156" s="37">
        <f t="shared" si="14"/>
        <v>0</v>
      </c>
      <c r="N156" s="166" t="s">
        <v>59</v>
      </c>
      <c r="O156" s="166" t="s">
        <v>59</v>
      </c>
      <c r="P156" s="167" t="s">
        <v>59</v>
      </c>
      <c r="Q156" s="168" t="s">
        <v>59</v>
      </c>
      <c r="R156" s="168" t="s">
        <v>59</v>
      </c>
    </row>
    <row r="157" spans="1:18" x14ac:dyDescent="0.25">
      <c r="A157" s="56"/>
      <c r="G157" s="13"/>
      <c r="H157" s="35">
        <v>152</v>
      </c>
      <c r="I157" s="36" t="str">
        <f t="shared" si="12"/>
        <v/>
      </c>
      <c r="J157" s="36">
        <f t="shared" si="15"/>
        <v>-6</v>
      </c>
      <c r="K157" s="35">
        <f t="shared" si="13"/>
        <v>-60</v>
      </c>
      <c r="L157" s="35"/>
      <c r="M157" s="37">
        <f t="shared" si="14"/>
        <v>0</v>
      </c>
      <c r="N157" s="166" t="s">
        <v>59</v>
      </c>
      <c r="O157" s="166" t="s">
        <v>59</v>
      </c>
      <c r="P157" s="167" t="s">
        <v>59</v>
      </c>
      <c r="Q157" s="168" t="s">
        <v>59</v>
      </c>
      <c r="R157" s="168" t="s">
        <v>59</v>
      </c>
    </row>
    <row r="158" spans="1:18" x14ac:dyDescent="0.25">
      <c r="A158" s="56"/>
      <c r="G158" s="13"/>
      <c r="H158" s="35">
        <v>153</v>
      </c>
      <c r="I158" s="36" t="str">
        <f t="shared" si="12"/>
        <v/>
      </c>
      <c r="J158" s="36">
        <f t="shared" si="15"/>
        <v>-6</v>
      </c>
      <c r="K158" s="35">
        <f t="shared" si="13"/>
        <v>-60</v>
      </c>
      <c r="L158" s="35"/>
      <c r="M158" s="37">
        <f t="shared" si="14"/>
        <v>0</v>
      </c>
      <c r="N158" s="166" t="s">
        <v>59</v>
      </c>
      <c r="O158" s="166" t="s">
        <v>59</v>
      </c>
      <c r="P158" s="167" t="s">
        <v>59</v>
      </c>
      <c r="Q158" s="168" t="s">
        <v>59</v>
      </c>
      <c r="R158" s="168" t="s">
        <v>59</v>
      </c>
    </row>
    <row r="159" spans="1:18" x14ac:dyDescent="0.25">
      <c r="A159" s="56"/>
      <c r="G159" s="13"/>
      <c r="H159" s="35">
        <v>154</v>
      </c>
      <c r="I159" s="36" t="str">
        <f t="shared" si="12"/>
        <v/>
      </c>
      <c r="J159" s="36">
        <f t="shared" si="15"/>
        <v>-6</v>
      </c>
      <c r="K159" s="35">
        <f t="shared" si="13"/>
        <v>-60</v>
      </c>
      <c r="L159" s="35"/>
      <c r="M159" s="37">
        <f t="shared" si="14"/>
        <v>0</v>
      </c>
      <c r="N159" s="166" t="s">
        <v>59</v>
      </c>
      <c r="O159" s="166" t="s">
        <v>59</v>
      </c>
      <c r="P159" s="167" t="s">
        <v>59</v>
      </c>
      <c r="Q159" s="168" t="s">
        <v>59</v>
      </c>
      <c r="R159" s="168" t="s">
        <v>59</v>
      </c>
    </row>
    <row r="160" spans="1:18" x14ac:dyDescent="0.25">
      <c r="A160" s="56"/>
      <c r="G160" s="13"/>
      <c r="H160" s="35">
        <v>155</v>
      </c>
      <c r="I160" s="36" t="str">
        <f t="shared" si="12"/>
        <v/>
      </c>
      <c r="J160" s="36">
        <f t="shared" si="15"/>
        <v>-6</v>
      </c>
      <c r="K160" s="35">
        <f t="shared" si="13"/>
        <v>-60</v>
      </c>
      <c r="L160" s="35"/>
      <c r="M160" s="37">
        <f t="shared" si="14"/>
        <v>0</v>
      </c>
      <c r="N160" s="166" t="s">
        <v>59</v>
      </c>
      <c r="O160" s="166" t="s">
        <v>59</v>
      </c>
      <c r="P160" s="167" t="s">
        <v>59</v>
      </c>
      <c r="Q160" s="168" t="s">
        <v>59</v>
      </c>
      <c r="R160" s="168" t="s">
        <v>59</v>
      </c>
    </row>
    <row r="161" spans="1:18" x14ac:dyDescent="0.25">
      <c r="A161" s="56"/>
      <c r="G161" s="13"/>
      <c r="H161" s="35">
        <v>156</v>
      </c>
      <c r="I161" s="36" t="str">
        <f t="shared" si="12"/>
        <v/>
      </c>
      <c r="J161" s="36">
        <f t="shared" si="15"/>
        <v>-6</v>
      </c>
      <c r="K161" s="35">
        <f t="shared" si="13"/>
        <v>-60</v>
      </c>
      <c r="L161" s="35"/>
      <c r="M161" s="37">
        <f t="shared" si="14"/>
        <v>0</v>
      </c>
      <c r="N161" s="166" t="s">
        <v>59</v>
      </c>
      <c r="O161" s="166" t="s">
        <v>59</v>
      </c>
      <c r="P161" s="167" t="s">
        <v>59</v>
      </c>
      <c r="Q161" s="168" t="s">
        <v>59</v>
      </c>
      <c r="R161" s="168" t="s">
        <v>59</v>
      </c>
    </row>
    <row r="162" spans="1:18" x14ac:dyDescent="0.25">
      <c r="A162" s="56"/>
      <c r="G162" s="13"/>
      <c r="H162" s="35">
        <v>157</v>
      </c>
      <c r="I162" s="36" t="str">
        <f t="shared" si="12"/>
        <v/>
      </c>
      <c r="J162" s="36">
        <f t="shared" si="15"/>
        <v>-6</v>
      </c>
      <c r="K162" s="35">
        <f t="shared" si="13"/>
        <v>-60</v>
      </c>
      <c r="L162" s="35"/>
      <c r="M162" s="37">
        <f t="shared" si="14"/>
        <v>0</v>
      </c>
      <c r="N162" s="166" t="s">
        <v>59</v>
      </c>
      <c r="O162" s="166" t="s">
        <v>59</v>
      </c>
      <c r="P162" s="167" t="s">
        <v>59</v>
      </c>
      <c r="Q162" s="168" t="s">
        <v>59</v>
      </c>
      <c r="R162" s="168" t="s">
        <v>59</v>
      </c>
    </row>
    <row r="163" spans="1:18" x14ac:dyDescent="0.25">
      <c r="A163" s="56"/>
      <c r="G163" s="13"/>
      <c r="H163" s="35">
        <v>158</v>
      </c>
      <c r="I163" s="36" t="str">
        <f t="shared" si="12"/>
        <v/>
      </c>
      <c r="J163" s="36">
        <f t="shared" si="15"/>
        <v>-6</v>
      </c>
      <c r="K163" s="35">
        <f t="shared" si="13"/>
        <v>-60</v>
      </c>
      <c r="L163" s="35"/>
      <c r="M163" s="37">
        <f t="shared" si="14"/>
        <v>0</v>
      </c>
      <c r="N163" s="166" t="s">
        <v>59</v>
      </c>
      <c r="O163" s="166" t="s">
        <v>59</v>
      </c>
      <c r="P163" s="167" t="s">
        <v>59</v>
      </c>
      <c r="Q163" s="168" t="s">
        <v>59</v>
      </c>
      <c r="R163" s="168" t="s">
        <v>59</v>
      </c>
    </row>
    <row r="164" spans="1:18" x14ac:dyDescent="0.25">
      <c r="A164" s="56"/>
      <c r="G164" s="13"/>
      <c r="H164" s="35">
        <v>159</v>
      </c>
      <c r="I164" s="36" t="str">
        <f t="shared" si="12"/>
        <v/>
      </c>
      <c r="J164" s="36">
        <f t="shared" si="15"/>
        <v>-6</v>
      </c>
      <c r="K164" s="35">
        <f t="shared" si="13"/>
        <v>-60</v>
      </c>
      <c r="L164" s="35"/>
      <c r="M164" s="37">
        <f t="shared" si="14"/>
        <v>0</v>
      </c>
      <c r="N164" s="166" t="s">
        <v>59</v>
      </c>
      <c r="O164" s="166" t="s">
        <v>59</v>
      </c>
      <c r="P164" s="167" t="s">
        <v>59</v>
      </c>
      <c r="Q164" s="168" t="s">
        <v>59</v>
      </c>
      <c r="R164" s="168" t="s">
        <v>59</v>
      </c>
    </row>
    <row r="165" spans="1:18" x14ac:dyDescent="0.25">
      <c r="A165" s="56"/>
      <c r="G165" s="13"/>
      <c r="H165" s="35">
        <v>160</v>
      </c>
      <c r="I165" s="36" t="str">
        <f t="shared" si="12"/>
        <v/>
      </c>
      <c r="J165" s="36">
        <f t="shared" si="15"/>
        <v>-6</v>
      </c>
      <c r="K165" s="35">
        <f t="shared" si="13"/>
        <v>-60</v>
      </c>
      <c r="L165" s="35"/>
      <c r="M165" s="37">
        <f t="shared" si="14"/>
        <v>0</v>
      </c>
      <c r="N165" s="166" t="s">
        <v>59</v>
      </c>
      <c r="O165" s="166" t="s">
        <v>59</v>
      </c>
      <c r="P165" s="167" t="s">
        <v>59</v>
      </c>
      <c r="Q165" s="168" t="s">
        <v>59</v>
      </c>
      <c r="R165" s="168" t="s">
        <v>59</v>
      </c>
    </row>
    <row r="166" spans="1:18" x14ac:dyDescent="0.25">
      <c r="A166" s="56"/>
      <c r="G166" s="13"/>
      <c r="H166" s="35">
        <v>161</v>
      </c>
      <c r="I166" s="36" t="str">
        <f t="shared" si="12"/>
        <v/>
      </c>
      <c r="J166" s="36">
        <f t="shared" si="15"/>
        <v>-6</v>
      </c>
      <c r="K166" s="35">
        <f t="shared" si="13"/>
        <v>-60</v>
      </c>
      <c r="L166" s="35"/>
      <c r="M166" s="37">
        <f t="shared" si="14"/>
        <v>0</v>
      </c>
      <c r="N166" s="166" t="s">
        <v>59</v>
      </c>
      <c r="O166" s="166" t="s">
        <v>59</v>
      </c>
      <c r="P166" s="167" t="s">
        <v>59</v>
      </c>
      <c r="Q166" s="168" t="s">
        <v>59</v>
      </c>
      <c r="R166" s="168" t="s">
        <v>59</v>
      </c>
    </row>
    <row r="167" spans="1:18" x14ac:dyDescent="0.25">
      <c r="A167" s="56"/>
      <c r="G167" s="13"/>
      <c r="H167" s="35">
        <v>162</v>
      </c>
      <c r="I167" s="36" t="str">
        <f t="shared" si="12"/>
        <v/>
      </c>
      <c r="J167" s="36">
        <f t="shared" si="15"/>
        <v>-6</v>
      </c>
      <c r="K167" s="35">
        <f t="shared" si="13"/>
        <v>-60</v>
      </c>
      <c r="L167" s="35"/>
      <c r="M167" s="37">
        <f t="shared" si="14"/>
        <v>0</v>
      </c>
      <c r="N167" s="166" t="s">
        <v>59</v>
      </c>
      <c r="O167" s="166" t="s">
        <v>59</v>
      </c>
      <c r="P167" s="167" t="s">
        <v>59</v>
      </c>
      <c r="Q167" s="168" t="s">
        <v>59</v>
      </c>
      <c r="R167" s="168" t="s">
        <v>59</v>
      </c>
    </row>
    <row r="168" spans="1:18" x14ac:dyDescent="0.25">
      <c r="A168" s="56"/>
      <c r="G168" s="13"/>
      <c r="H168" s="35">
        <v>163</v>
      </c>
      <c r="I168" s="36" t="str">
        <f t="shared" si="12"/>
        <v/>
      </c>
      <c r="J168" s="36">
        <f t="shared" si="15"/>
        <v>-6</v>
      </c>
      <c r="K168" s="35">
        <f t="shared" si="13"/>
        <v>-60</v>
      </c>
      <c r="L168" s="35"/>
      <c r="M168" s="37">
        <f t="shared" si="14"/>
        <v>0</v>
      </c>
      <c r="N168" s="166" t="s">
        <v>59</v>
      </c>
      <c r="O168" s="166" t="s">
        <v>59</v>
      </c>
      <c r="P168" s="167" t="s">
        <v>59</v>
      </c>
      <c r="Q168" s="168" t="s">
        <v>59</v>
      </c>
      <c r="R168" s="168" t="s">
        <v>59</v>
      </c>
    </row>
    <row r="169" spans="1:18" x14ac:dyDescent="0.25">
      <c r="A169" s="56"/>
      <c r="G169" s="13"/>
      <c r="H169" s="35">
        <v>164</v>
      </c>
      <c r="I169" s="36" t="str">
        <f t="shared" si="12"/>
        <v/>
      </c>
      <c r="J169" s="36">
        <f t="shared" si="15"/>
        <v>-6</v>
      </c>
      <c r="K169" s="35">
        <f t="shared" si="13"/>
        <v>-60</v>
      </c>
      <c r="L169" s="35"/>
      <c r="M169" s="37">
        <f t="shared" si="14"/>
        <v>0</v>
      </c>
      <c r="N169" s="166" t="s">
        <v>59</v>
      </c>
      <c r="O169" s="166" t="s">
        <v>59</v>
      </c>
      <c r="P169" s="167" t="s">
        <v>59</v>
      </c>
      <c r="Q169" s="168" t="s">
        <v>59</v>
      </c>
      <c r="R169" s="168" t="s">
        <v>59</v>
      </c>
    </row>
    <row r="170" spans="1:18" x14ac:dyDescent="0.25">
      <c r="A170" s="56"/>
      <c r="G170" s="13"/>
      <c r="H170" s="35">
        <v>165</v>
      </c>
      <c r="I170" s="36" t="str">
        <f t="shared" si="12"/>
        <v/>
      </c>
      <c r="J170" s="36">
        <f t="shared" si="15"/>
        <v>-6</v>
      </c>
      <c r="K170" s="35">
        <f t="shared" si="13"/>
        <v>-60</v>
      </c>
      <c r="L170" s="35"/>
      <c r="M170" s="37">
        <f t="shared" si="14"/>
        <v>0</v>
      </c>
      <c r="N170" s="166" t="s">
        <v>59</v>
      </c>
      <c r="O170" s="166" t="s">
        <v>59</v>
      </c>
      <c r="P170" s="167" t="s">
        <v>59</v>
      </c>
      <c r="Q170" s="168" t="s">
        <v>59</v>
      </c>
      <c r="R170" s="168" t="s">
        <v>59</v>
      </c>
    </row>
    <row r="171" spans="1:18" x14ac:dyDescent="0.25">
      <c r="A171" s="56"/>
      <c r="G171" s="13"/>
      <c r="H171" s="35">
        <v>166</v>
      </c>
      <c r="I171" s="36" t="str">
        <f t="shared" si="12"/>
        <v/>
      </c>
      <c r="J171" s="36">
        <f t="shared" si="15"/>
        <v>-6</v>
      </c>
      <c r="K171" s="35">
        <f t="shared" si="13"/>
        <v>-60</v>
      </c>
      <c r="L171" s="35"/>
      <c r="M171" s="37">
        <f t="shared" si="14"/>
        <v>0</v>
      </c>
      <c r="N171" s="166" t="s">
        <v>59</v>
      </c>
      <c r="O171" s="166" t="s">
        <v>59</v>
      </c>
      <c r="P171" s="167" t="s">
        <v>59</v>
      </c>
      <c r="Q171" s="168" t="s">
        <v>59</v>
      </c>
      <c r="R171" s="168" t="s">
        <v>59</v>
      </c>
    </row>
    <row r="172" spans="1:18" x14ac:dyDescent="0.25">
      <c r="A172" s="56"/>
      <c r="G172" s="13"/>
      <c r="H172" s="35">
        <v>167</v>
      </c>
      <c r="I172" s="36" t="str">
        <f t="shared" si="12"/>
        <v/>
      </c>
      <c r="J172" s="36">
        <f t="shared" si="15"/>
        <v>-6</v>
      </c>
      <c r="K172" s="35">
        <f t="shared" si="13"/>
        <v>-60</v>
      </c>
      <c r="L172" s="35"/>
      <c r="M172" s="37">
        <f t="shared" si="14"/>
        <v>0</v>
      </c>
      <c r="N172" s="166" t="s">
        <v>59</v>
      </c>
      <c r="O172" s="166" t="s">
        <v>59</v>
      </c>
      <c r="P172" s="167" t="s">
        <v>59</v>
      </c>
      <c r="Q172" s="168" t="s">
        <v>59</v>
      </c>
      <c r="R172" s="168" t="s">
        <v>59</v>
      </c>
    </row>
    <row r="173" spans="1:18" x14ac:dyDescent="0.25">
      <c r="A173" s="56"/>
      <c r="G173" s="13"/>
      <c r="H173" s="35">
        <v>168</v>
      </c>
      <c r="I173" s="36" t="str">
        <f t="shared" si="12"/>
        <v/>
      </c>
      <c r="J173" s="36">
        <f t="shared" si="15"/>
        <v>-6</v>
      </c>
      <c r="K173" s="35">
        <f t="shared" si="13"/>
        <v>-60</v>
      </c>
      <c r="L173" s="35"/>
      <c r="M173" s="37">
        <f t="shared" si="14"/>
        <v>0</v>
      </c>
      <c r="N173" s="166" t="s">
        <v>59</v>
      </c>
      <c r="O173" s="166" t="s">
        <v>59</v>
      </c>
      <c r="P173" s="167" t="s">
        <v>59</v>
      </c>
      <c r="Q173" s="168" t="s">
        <v>59</v>
      </c>
      <c r="R173" s="168" t="s">
        <v>59</v>
      </c>
    </row>
    <row r="174" spans="1:18" x14ac:dyDescent="0.25">
      <c r="A174" s="56"/>
      <c r="G174" s="13"/>
      <c r="H174" s="35">
        <v>169</v>
      </c>
      <c r="I174" s="36" t="str">
        <f t="shared" si="12"/>
        <v/>
      </c>
      <c r="J174" s="36">
        <f t="shared" si="15"/>
        <v>-6</v>
      </c>
      <c r="K174" s="35">
        <f t="shared" si="13"/>
        <v>-60</v>
      </c>
      <c r="L174" s="35"/>
      <c r="M174" s="37">
        <f t="shared" si="14"/>
        <v>0</v>
      </c>
      <c r="N174" s="166" t="s">
        <v>59</v>
      </c>
      <c r="O174" s="166" t="s">
        <v>59</v>
      </c>
      <c r="P174" s="167" t="s">
        <v>59</v>
      </c>
      <c r="Q174" s="168" t="s">
        <v>59</v>
      </c>
      <c r="R174" s="168" t="s">
        <v>59</v>
      </c>
    </row>
    <row r="175" spans="1:18" x14ac:dyDescent="0.25">
      <c r="A175" s="56"/>
      <c r="G175" s="13"/>
      <c r="H175" s="35">
        <v>170</v>
      </c>
      <c r="I175" s="36" t="str">
        <f t="shared" si="12"/>
        <v/>
      </c>
      <c r="J175" s="36">
        <f t="shared" si="15"/>
        <v>-6</v>
      </c>
      <c r="K175" s="35">
        <f t="shared" si="13"/>
        <v>-60</v>
      </c>
      <c r="L175" s="35"/>
      <c r="M175" s="37">
        <f t="shared" si="14"/>
        <v>0</v>
      </c>
      <c r="N175" s="166" t="s">
        <v>59</v>
      </c>
      <c r="O175" s="166" t="s">
        <v>59</v>
      </c>
      <c r="P175" s="167" t="s">
        <v>59</v>
      </c>
      <c r="Q175" s="168" t="s">
        <v>59</v>
      </c>
      <c r="R175" s="168" t="s">
        <v>59</v>
      </c>
    </row>
    <row r="176" spans="1:18" x14ac:dyDescent="0.25">
      <c r="A176" s="56"/>
      <c r="G176" s="13"/>
      <c r="H176" s="35">
        <v>171</v>
      </c>
      <c r="I176" s="36" t="str">
        <f t="shared" si="12"/>
        <v/>
      </c>
      <c r="J176" s="36">
        <f t="shared" si="15"/>
        <v>-6</v>
      </c>
      <c r="K176" s="35">
        <f t="shared" si="13"/>
        <v>-60</v>
      </c>
      <c r="L176" s="35"/>
      <c r="M176" s="37">
        <f t="shared" si="14"/>
        <v>0</v>
      </c>
      <c r="N176" s="166" t="s">
        <v>59</v>
      </c>
      <c r="O176" s="166" t="s">
        <v>59</v>
      </c>
      <c r="P176" s="167" t="s">
        <v>59</v>
      </c>
      <c r="Q176" s="168" t="s">
        <v>59</v>
      </c>
      <c r="R176" s="168" t="s">
        <v>59</v>
      </c>
    </row>
    <row r="177" spans="1:18" x14ac:dyDescent="0.25">
      <c r="A177" s="56"/>
      <c r="G177" s="13"/>
      <c r="H177" s="35">
        <v>172</v>
      </c>
      <c r="I177" s="36" t="str">
        <f t="shared" si="12"/>
        <v/>
      </c>
      <c r="J177" s="36">
        <f t="shared" si="15"/>
        <v>-6</v>
      </c>
      <c r="K177" s="35">
        <f t="shared" si="13"/>
        <v>-60</v>
      </c>
      <c r="L177" s="35"/>
      <c r="M177" s="37">
        <f t="shared" si="14"/>
        <v>0</v>
      </c>
      <c r="N177" s="166" t="s">
        <v>59</v>
      </c>
      <c r="O177" s="166" t="s">
        <v>59</v>
      </c>
      <c r="P177" s="167" t="s">
        <v>59</v>
      </c>
      <c r="Q177" s="168" t="s">
        <v>59</v>
      </c>
      <c r="R177" s="168" t="s">
        <v>59</v>
      </c>
    </row>
    <row r="178" spans="1:18" x14ac:dyDescent="0.25">
      <c r="A178" s="56"/>
      <c r="G178" s="13"/>
      <c r="H178" s="35">
        <v>173</v>
      </c>
      <c r="I178" s="36" t="str">
        <f t="shared" si="12"/>
        <v/>
      </c>
      <c r="J178" s="36">
        <f t="shared" si="15"/>
        <v>-6</v>
      </c>
      <c r="K178" s="35">
        <f t="shared" si="13"/>
        <v>-60</v>
      </c>
      <c r="L178" s="35"/>
      <c r="M178" s="37">
        <f t="shared" si="14"/>
        <v>0</v>
      </c>
      <c r="N178" s="166" t="s">
        <v>59</v>
      </c>
      <c r="O178" s="166" t="s">
        <v>59</v>
      </c>
      <c r="P178" s="167" t="s">
        <v>59</v>
      </c>
      <c r="Q178" s="168" t="s">
        <v>59</v>
      </c>
      <c r="R178" s="168" t="s">
        <v>59</v>
      </c>
    </row>
    <row r="179" spans="1:18" x14ac:dyDescent="0.25">
      <c r="A179" s="56"/>
      <c r="G179" s="13"/>
      <c r="H179" s="35">
        <v>174</v>
      </c>
      <c r="I179" s="36" t="str">
        <f t="shared" si="12"/>
        <v/>
      </c>
      <c r="J179" s="36">
        <f t="shared" si="15"/>
        <v>-6</v>
      </c>
      <c r="K179" s="35">
        <f t="shared" si="13"/>
        <v>-60</v>
      </c>
      <c r="L179" s="35"/>
      <c r="M179" s="37">
        <f t="shared" si="14"/>
        <v>0</v>
      </c>
      <c r="N179" s="166" t="s">
        <v>59</v>
      </c>
      <c r="O179" s="166" t="s">
        <v>59</v>
      </c>
      <c r="P179" s="167" t="s">
        <v>59</v>
      </c>
      <c r="Q179" s="168" t="s">
        <v>59</v>
      </c>
      <c r="R179" s="168" t="s">
        <v>59</v>
      </c>
    </row>
    <row r="180" spans="1:18" x14ac:dyDescent="0.25">
      <c r="A180" s="56"/>
      <c r="G180" s="13"/>
      <c r="H180" s="35">
        <v>175</v>
      </c>
      <c r="I180" s="36" t="str">
        <f t="shared" si="12"/>
        <v/>
      </c>
      <c r="J180" s="36">
        <f t="shared" si="15"/>
        <v>-6</v>
      </c>
      <c r="K180" s="35">
        <f t="shared" si="13"/>
        <v>-60</v>
      </c>
      <c r="L180" s="35"/>
      <c r="M180" s="37">
        <f t="shared" si="14"/>
        <v>0</v>
      </c>
      <c r="N180" s="166" t="s">
        <v>59</v>
      </c>
      <c r="O180" s="166" t="s">
        <v>59</v>
      </c>
      <c r="P180" s="167" t="s">
        <v>59</v>
      </c>
      <c r="Q180" s="168" t="s">
        <v>59</v>
      </c>
      <c r="R180" s="168" t="s">
        <v>59</v>
      </c>
    </row>
    <row r="181" spans="1:18" x14ac:dyDescent="0.25">
      <c r="A181" s="56"/>
      <c r="G181" s="13"/>
      <c r="H181" s="35">
        <v>176</v>
      </c>
      <c r="I181" s="36" t="str">
        <f t="shared" si="12"/>
        <v/>
      </c>
      <c r="J181" s="36">
        <f t="shared" si="15"/>
        <v>-6</v>
      </c>
      <c r="K181" s="35">
        <f t="shared" si="13"/>
        <v>-60</v>
      </c>
      <c r="L181" s="35"/>
      <c r="M181" s="37">
        <f t="shared" si="14"/>
        <v>0</v>
      </c>
      <c r="N181" s="166" t="s">
        <v>59</v>
      </c>
      <c r="O181" s="166" t="s">
        <v>59</v>
      </c>
      <c r="P181" s="167" t="s">
        <v>59</v>
      </c>
      <c r="Q181" s="168" t="s">
        <v>59</v>
      </c>
      <c r="R181" s="168" t="s">
        <v>59</v>
      </c>
    </row>
    <row r="182" spans="1:18" x14ac:dyDescent="0.25">
      <c r="A182" s="56"/>
      <c r="G182" s="13"/>
      <c r="H182" s="35">
        <v>177</v>
      </c>
      <c r="I182" s="36" t="str">
        <f t="shared" si="12"/>
        <v/>
      </c>
      <c r="J182" s="36">
        <f t="shared" si="15"/>
        <v>-6</v>
      </c>
      <c r="K182" s="35">
        <f t="shared" si="13"/>
        <v>-60</v>
      </c>
      <c r="L182" s="35"/>
      <c r="M182" s="37">
        <f t="shared" si="14"/>
        <v>0</v>
      </c>
      <c r="N182" s="166" t="s">
        <v>59</v>
      </c>
      <c r="O182" s="166" t="s">
        <v>59</v>
      </c>
      <c r="P182" s="167" t="s">
        <v>59</v>
      </c>
      <c r="Q182" s="168" t="s">
        <v>59</v>
      </c>
      <c r="R182" s="168" t="s">
        <v>59</v>
      </c>
    </row>
    <row r="183" spans="1:18" x14ac:dyDescent="0.25">
      <c r="A183" s="56"/>
      <c r="G183" s="13"/>
      <c r="H183" s="35">
        <v>178</v>
      </c>
      <c r="I183" s="36" t="str">
        <f t="shared" si="12"/>
        <v/>
      </c>
      <c r="J183" s="36">
        <f t="shared" si="15"/>
        <v>-6</v>
      </c>
      <c r="K183" s="35">
        <f t="shared" si="13"/>
        <v>-60</v>
      </c>
      <c r="L183" s="35"/>
      <c r="M183" s="37">
        <f t="shared" si="14"/>
        <v>0</v>
      </c>
      <c r="N183" s="166" t="s">
        <v>59</v>
      </c>
      <c r="O183" s="166" t="s">
        <v>59</v>
      </c>
      <c r="P183" s="167" t="s">
        <v>59</v>
      </c>
      <c r="Q183" s="168" t="s">
        <v>59</v>
      </c>
      <c r="R183" s="168" t="s">
        <v>59</v>
      </c>
    </row>
    <row r="184" spans="1:18" x14ac:dyDescent="0.25">
      <c r="A184" s="56"/>
      <c r="G184" s="13"/>
      <c r="H184" s="35">
        <v>179</v>
      </c>
      <c r="I184" s="36" t="str">
        <f t="shared" si="12"/>
        <v/>
      </c>
      <c r="J184" s="36">
        <f t="shared" si="15"/>
        <v>-6</v>
      </c>
      <c r="K184" s="35">
        <f t="shared" si="13"/>
        <v>-60</v>
      </c>
      <c r="L184" s="35"/>
      <c r="M184" s="37">
        <f t="shared" si="14"/>
        <v>0</v>
      </c>
      <c r="N184" s="166" t="s">
        <v>59</v>
      </c>
      <c r="O184" s="166" t="s">
        <v>59</v>
      </c>
      <c r="P184" s="167" t="s">
        <v>59</v>
      </c>
      <c r="Q184" s="168" t="s">
        <v>59</v>
      </c>
      <c r="R184" s="168" t="s">
        <v>59</v>
      </c>
    </row>
    <row r="185" spans="1:18" x14ac:dyDescent="0.25">
      <c r="A185" s="56"/>
      <c r="G185" s="13"/>
      <c r="H185" s="35">
        <v>180</v>
      </c>
      <c r="I185" s="36" t="str">
        <f t="shared" si="12"/>
        <v/>
      </c>
      <c r="J185" s="36">
        <f t="shared" si="15"/>
        <v>-6</v>
      </c>
      <c r="K185" s="35">
        <f t="shared" si="13"/>
        <v>-60</v>
      </c>
      <c r="L185" s="35"/>
      <c r="M185" s="37">
        <f t="shared" si="14"/>
        <v>0</v>
      </c>
      <c r="N185" s="166" t="s">
        <v>59</v>
      </c>
      <c r="O185" s="166" t="s">
        <v>59</v>
      </c>
      <c r="P185" s="167" t="s">
        <v>59</v>
      </c>
      <c r="Q185" s="168" t="s">
        <v>59</v>
      </c>
      <c r="R185" s="168" t="s">
        <v>59</v>
      </c>
    </row>
    <row r="186" spans="1:18" x14ac:dyDescent="0.25">
      <c r="A186" s="56"/>
      <c r="G186" s="13"/>
      <c r="H186" s="35">
        <v>181</v>
      </c>
      <c r="I186" s="36" t="str">
        <f t="shared" si="12"/>
        <v/>
      </c>
      <c r="J186" s="36">
        <f t="shared" si="15"/>
        <v>-6</v>
      </c>
      <c r="K186" s="35">
        <f t="shared" si="13"/>
        <v>-60</v>
      </c>
      <c r="L186" s="35"/>
      <c r="M186" s="37">
        <f t="shared" si="14"/>
        <v>0</v>
      </c>
      <c r="N186" s="166" t="s">
        <v>59</v>
      </c>
      <c r="O186" s="166" t="s">
        <v>59</v>
      </c>
      <c r="P186" s="167" t="s">
        <v>59</v>
      </c>
      <c r="Q186" s="168" t="s">
        <v>59</v>
      </c>
      <c r="R186" s="168" t="s">
        <v>59</v>
      </c>
    </row>
    <row r="187" spans="1:18" x14ac:dyDescent="0.25">
      <c r="A187" s="56"/>
      <c r="G187" s="13"/>
      <c r="H187" s="35">
        <v>182</v>
      </c>
      <c r="I187" s="36" t="str">
        <f t="shared" si="12"/>
        <v/>
      </c>
      <c r="J187" s="36">
        <f t="shared" si="15"/>
        <v>-6</v>
      </c>
      <c r="K187" s="35">
        <f t="shared" si="13"/>
        <v>-60</v>
      </c>
      <c r="L187" s="35"/>
      <c r="M187" s="37">
        <f t="shared" si="14"/>
        <v>0</v>
      </c>
      <c r="N187" s="166" t="s">
        <v>59</v>
      </c>
      <c r="O187" s="166" t="s">
        <v>59</v>
      </c>
      <c r="P187" s="167" t="s">
        <v>59</v>
      </c>
      <c r="Q187" s="168" t="s">
        <v>59</v>
      </c>
      <c r="R187" s="168" t="s">
        <v>59</v>
      </c>
    </row>
    <row r="188" spans="1:18" x14ac:dyDescent="0.25">
      <c r="A188" s="56"/>
      <c r="G188" s="13"/>
      <c r="H188" s="35">
        <v>183</v>
      </c>
      <c r="I188" s="36" t="str">
        <f t="shared" si="12"/>
        <v/>
      </c>
      <c r="J188" s="36">
        <f t="shared" si="15"/>
        <v>-6</v>
      </c>
      <c r="K188" s="35">
        <f t="shared" si="13"/>
        <v>-60</v>
      </c>
      <c r="L188" s="35"/>
      <c r="M188" s="37">
        <f t="shared" si="14"/>
        <v>0</v>
      </c>
      <c r="N188" s="166" t="s">
        <v>59</v>
      </c>
      <c r="O188" s="166" t="s">
        <v>59</v>
      </c>
      <c r="P188" s="167" t="s">
        <v>59</v>
      </c>
      <c r="Q188" s="168" t="s">
        <v>59</v>
      </c>
      <c r="R188" s="168" t="s">
        <v>59</v>
      </c>
    </row>
    <row r="189" spans="1:18" x14ac:dyDescent="0.25">
      <c r="A189" s="56"/>
      <c r="G189" s="13"/>
      <c r="H189" s="35">
        <v>184</v>
      </c>
      <c r="I189" s="36" t="str">
        <f t="shared" si="12"/>
        <v/>
      </c>
      <c r="J189" s="36">
        <f t="shared" si="15"/>
        <v>-6</v>
      </c>
      <c r="K189" s="35">
        <f t="shared" si="13"/>
        <v>-60</v>
      </c>
      <c r="L189" s="35"/>
      <c r="M189" s="37">
        <f t="shared" si="14"/>
        <v>0</v>
      </c>
      <c r="N189" s="166" t="s">
        <v>59</v>
      </c>
      <c r="O189" s="166" t="s">
        <v>59</v>
      </c>
      <c r="P189" s="167" t="s">
        <v>59</v>
      </c>
      <c r="Q189" s="168" t="s">
        <v>59</v>
      </c>
      <c r="R189" s="168" t="s">
        <v>59</v>
      </c>
    </row>
    <row r="190" spans="1:18" x14ac:dyDescent="0.25">
      <c r="A190" s="56"/>
      <c r="G190" s="13"/>
      <c r="H190" s="35">
        <v>185</v>
      </c>
      <c r="I190" s="36" t="str">
        <f t="shared" si="12"/>
        <v/>
      </c>
      <c r="J190" s="36">
        <f t="shared" si="15"/>
        <v>-6</v>
      </c>
      <c r="K190" s="35">
        <f t="shared" si="13"/>
        <v>-60</v>
      </c>
      <c r="L190" s="35"/>
      <c r="M190" s="37">
        <f t="shared" si="14"/>
        <v>0</v>
      </c>
      <c r="N190" s="166" t="s">
        <v>59</v>
      </c>
      <c r="O190" s="166" t="s">
        <v>59</v>
      </c>
      <c r="P190" s="167" t="s">
        <v>59</v>
      </c>
      <c r="Q190" s="168" t="s">
        <v>59</v>
      </c>
      <c r="R190" s="168" t="s">
        <v>59</v>
      </c>
    </row>
    <row r="191" spans="1:18" x14ac:dyDescent="0.25">
      <c r="A191" s="56"/>
      <c r="G191" s="13"/>
      <c r="H191" s="35">
        <v>186</v>
      </c>
      <c r="I191" s="36" t="str">
        <f t="shared" si="12"/>
        <v/>
      </c>
      <c r="J191" s="36">
        <f t="shared" si="15"/>
        <v>-6</v>
      </c>
      <c r="K191" s="35">
        <f t="shared" si="13"/>
        <v>-60</v>
      </c>
      <c r="L191" s="35"/>
      <c r="M191" s="37">
        <f t="shared" si="14"/>
        <v>0</v>
      </c>
      <c r="N191" s="166" t="s">
        <v>59</v>
      </c>
      <c r="O191" s="166" t="s">
        <v>59</v>
      </c>
      <c r="P191" s="167" t="s">
        <v>59</v>
      </c>
      <c r="Q191" s="168" t="s">
        <v>59</v>
      </c>
      <c r="R191" s="168" t="s">
        <v>59</v>
      </c>
    </row>
    <row r="192" spans="1:18" x14ac:dyDescent="0.25">
      <c r="A192" s="56"/>
      <c r="G192" s="13"/>
      <c r="H192" s="35">
        <v>187</v>
      </c>
      <c r="I192" s="36" t="str">
        <f t="shared" si="12"/>
        <v/>
      </c>
      <c r="J192" s="36">
        <f t="shared" si="15"/>
        <v>-6</v>
      </c>
      <c r="K192" s="35">
        <f t="shared" si="13"/>
        <v>-60</v>
      </c>
      <c r="L192" s="35"/>
      <c r="M192" s="37">
        <f t="shared" si="14"/>
        <v>0</v>
      </c>
      <c r="N192" s="166" t="s">
        <v>59</v>
      </c>
      <c r="O192" s="166" t="s">
        <v>59</v>
      </c>
      <c r="P192" s="167" t="s">
        <v>59</v>
      </c>
      <c r="Q192" s="168" t="s">
        <v>59</v>
      </c>
      <c r="R192" s="168" t="s">
        <v>59</v>
      </c>
    </row>
    <row r="193" spans="1:18" x14ac:dyDescent="0.25">
      <c r="A193" s="56"/>
      <c r="G193" s="13"/>
      <c r="H193" s="35">
        <v>188</v>
      </c>
      <c r="I193" s="36" t="str">
        <f t="shared" si="12"/>
        <v/>
      </c>
      <c r="J193" s="36">
        <f t="shared" si="15"/>
        <v>-6</v>
      </c>
      <c r="K193" s="35">
        <f t="shared" si="13"/>
        <v>-60</v>
      </c>
      <c r="L193" s="35"/>
      <c r="M193" s="37">
        <f t="shared" si="14"/>
        <v>0</v>
      </c>
      <c r="N193" s="166" t="s">
        <v>59</v>
      </c>
      <c r="O193" s="166" t="s">
        <v>59</v>
      </c>
      <c r="P193" s="167" t="s">
        <v>59</v>
      </c>
      <c r="Q193" s="168" t="s">
        <v>59</v>
      </c>
      <c r="R193" s="168" t="s">
        <v>59</v>
      </c>
    </row>
    <row r="194" spans="1:18" x14ac:dyDescent="0.25">
      <c r="A194" s="56"/>
      <c r="G194" s="13"/>
      <c r="H194" s="35">
        <v>189</v>
      </c>
      <c r="I194" s="36" t="str">
        <f t="shared" si="12"/>
        <v/>
      </c>
      <c r="J194" s="36">
        <f t="shared" si="15"/>
        <v>-6</v>
      </c>
      <c r="K194" s="35">
        <f t="shared" si="13"/>
        <v>-60</v>
      </c>
      <c r="L194" s="35"/>
      <c r="M194" s="37">
        <f t="shared" si="14"/>
        <v>0</v>
      </c>
      <c r="N194" s="166" t="s">
        <v>59</v>
      </c>
      <c r="O194" s="166" t="s">
        <v>59</v>
      </c>
      <c r="P194" s="167" t="s">
        <v>59</v>
      </c>
      <c r="Q194" s="168" t="s">
        <v>59</v>
      </c>
      <c r="R194" s="168" t="s">
        <v>59</v>
      </c>
    </row>
    <row r="195" spans="1:18" x14ac:dyDescent="0.25">
      <c r="A195" s="56"/>
      <c r="G195" s="13"/>
      <c r="H195" s="35">
        <v>190</v>
      </c>
      <c r="I195" s="36" t="str">
        <f t="shared" si="12"/>
        <v/>
      </c>
      <c r="J195" s="36">
        <f t="shared" si="15"/>
        <v>-6</v>
      </c>
      <c r="K195" s="35">
        <f t="shared" si="13"/>
        <v>-60</v>
      </c>
      <c r="L195" s="35"/>
      <c r="M195" s="37">
        <f t="shared" si="14"/>
        <v>0</v>
      </c>
      <c r="N195" s="166" t="s">
        <v>59</v>
      </c>
      <c r="O195" s="166" t="s">
        <v>59</v>
      </c>
      <c r="P195" s="167" t="s">
        <v>59</v>
      </c>
      <c r="Q195" s="168" t="s">
        <v>59</v>
      </c>
      <c r="R195" s="168" t="s">
        <v>59</v>
      </c>
    </row>
    <row r="196" spans="1:18" x14ac:dyDescent="0.25">
      <c r="A196" s="56"/>
      <c r="G196" s="13"/>
      <c r="H196" s="35">
        <v>191</v>
      </c>
      <c r="I196" s="36" t="str">
        <f t="shared" si="12"/>
        <v/>
      </c>
      <c r="J196" s="36">
        <f t="shared" si="15"/>
        <v>-6</v>
      </c>
      <c r="K196" s="35">
        <f t="shared" si="13"/>
        <v>-60</v>
      </c>
      <c r="L196" s="35"/>
      <c r="M196" s="37">
        <f t="shared" si="14"/>
        <v>0</v>
      </c>
      <c r="N196" s="166" t="s">
        <v>59</v>
      </c>
      <c r="O196" s="166" t="s">
        <v>59</v>
      </c>
      <c r="P196" s="167" t="s">
        <v>59</v>
      </c>
      <c r="Q196" s="168" t="s">
        <v>59</v>
      </c>
      <c r="R196" s="168" t="s">
        <v>59</v>
      </c>
    </row>
    <row r="197" spans="1:18" x14ac:dyDescent="0.25">
      <c r="A197" s="56"/>
      <c r="G197" s="13"/>
      <c r="H197" s="35">
        <v>192</v>
      </c>
      <c r="I197" s="36" t="str">
        <f t="shared" si="12"/>
        <v/>
      </c>
      <c r="J197" s="36">
        <f t="shared" si="15"/>
        <v>-6</v>
      </c>
      <c r="K197" s="35">
        <f t="shared" si="13"/>
        <v>-60</v>
      </c>
      <c r="L197" s="35"/>
      <c r="M197" s="37">
        <f t="shared" si="14"/>
        <v>0</v>
      </c>
      <c r="N197" s="166" t="s">
        <v>59</v>
      </c>
      <c r="O197" s="166" t="s">
        <v>59</v>
      </c>
      <c r="P197" s="167" t="s">
        <v>59</v>
      </c>
      <c r="Q197" s="168" t="s">
        <v>59</v>
      </c>
      <c r="R197" s="168" t="s">
        <v>59</v>
      </c>
    </row>
    <row r="198" spans="1:18" x14ac:dyDescent="0.25">
      <c r="A198" s="56"/>
      <c r="G198" s="13"/>
      <c r="H198" s="35">
        <v>193</v>
      </c>
      <c r="I198" s="36" t="str">
        <f t="shared" ref="I198:I261" si="16">IF(H198&lt;$H$2+1,($I$2-($I$2-1)*(LOG(H198)/LOG($H$2))),"")</f>
        <v/>
      </c>
      <c r="J198" s="36">
        <f t="shared" si="15"/>
        <v>-6</v>
      </c>
      <c r="K198" s="35">
        <f t="shared" ref="K198:K261" si="17">J198*$J$2</f>
        <v>-60</v>
      </c>
      <c r="L198" s="35"/>
      <c r="M198" s="37">
        <f t="shared" ref="M198:M261" si="18">IF(I198&lt;&gt;"",K198+I198+L198,0)</f>
        <v>0</v>
      </c>
      <c r="N198" s="166" t="s">
        <v>59</v>
      </c>
      <c r="O198" s="166" t="s">
        <v>59</v>
      </c>
      <c r="P198" s="167" t="s">
        <v>59</v>
      </c>
      <c r="Q198" s="168" t="s">
        <v>59</v>
      </c>
      <c r="R198" s="168" t="s">
        <v>59</v>
      </c>
    </row>
    <row r="199" spans="1:18" x14ac:dyDescent="0.25">
      <c r="A199" s="56"/>
      <c r="G199" s="13"/>
      <c r="H199" s="35">
        <v>194</v>
      </c>
      <c r="I199" s="36" t="str">
        <f t="shared" si="16"/>
        <v/>
      </c>
      <c r="J199" s="36">
        <f t="shared" ref="J199:J262" si="19">INT(LOG($H$2,2))-ROUNDUP(LOG(H199,2),0)+IF(OR($H$2=1,$H$2=2,$H$2=4,$H$2=8,$H$2=16,$H$2=32,$H$2=64,$H$2=128,$H$2=256),0,1)</f>
        <v>-6</v>
      </c>
      <c r="K199" s="35">
        <f t="shared" si="17"/>
        <v>-60</v>
      </c>
      <c r="L199" s="35"/>
      <c r="M199" s="37">
        <f t="shared" si="18"/>
        <v>0</v>
      </c>
      <c r="N199" s="166" t="s">
        <v>59</v>
      </c>
      <c r="O199" s="166" t="s">
        <v>59</v>
      </c>
      <c r="P199" s="167" t="s">
        <v>59</v>
      </c>
      <c r="Q199" s="168" t="s">
        <v>59</v>
      </c>
      <c r="R199" s="168" t="s">
        <v>59</v>
      </c>
    </row>
    <row r="200" spans="1:18" x14ac:dyDescent="0.25">
      <c r="A200" s="56"/>
      <c r="G200" s="13"/>
      <c r="H200" s="35">
        <v>195</v>
      </c>
      <c r="I200" s="36" t="str">
        <f t="shared" si="16"/>
        <v/>
      </c>
      <c r="J200" s="36">
        <f t="shared" si="19"/>
        <v>-6</v>
      </c>
      <c r="K200" s="35">
        <f t="shared" si="17"/>
        <v>-60</v>
      </c>
      <c r="L200" s="35"/>
      <c r="M200" s="37">
        <f t="shared" si="18"/>
        <v>0</v>
      </c>
      <c r="N200" s="166" t="s">
        <v>59</v>
      </c>
      <c r="O200" s="166" t="s">
        <v>59</v>
      </c>
      <c r="P200" s="167" t="s">
        <v>59</v>
      </c>
      <c r="Q200" s="168" t="s">
        <v>59</v>
      </c>
      <c r="R200" s="168" t="s">
        <v>59</v>
      </c>
    </row>
    <row r="201" spans="1:18" x14ac:dyDescent="0.25">
      <c r="A201" s="56"/>
      <c r="G201" s="13"/>
      <c r="H201" s="35">
        <v>196</v>
      </c>
      <c r="I201" s="36" t="str">
        <f t="shared" si="16"/>
        <v/>
      </c>
      <c r="J201" s="36">
        <f t="shared" si="19"/>
        <v>-6</v>
      </c>
      <c r="K201" s="35">
        <f t="shared" si="17"/>
        <v>-60</v>
      </c>
      <c r="L201" s="35"/>
      <c r="M201" s="37">
        <f t="shared" si="18"/>
        <v>0</v>
      </c>
      <c r="N201" s="166" t="s">
        <v>59</v>
      </c>
      <c r="O201" s="166" t="s">
        <v>59</v>
      </c>
      <c r="P201" s="167" t="s">
        <v>59</v>
      </c>
      <c r="Q201" s="168" t="s">
        <v>59</v>
      </c>
      <c r="R201" s="168" t="s">
        <v>59</v>
      </c>
    </row>
    <row r="202" spans="1:18" x14ac:dyDescent="0.25">
      <c r="A202" s="56"/>
      <c r="G202" s="13"/>
      <c r="H202" s="35">
        <v>197</v>
      </c>
      <c r="I202" s="36" t="str">
        <f t="shared" si="16"/>
        <v/>
      </c>
      <c r="J202" s="36">
        <f t="shared" si="19"/>
        <v>-6</v>
      </c>
      <c r="K202" s="35">
        <f t="shared" si="17"/>
        <v>-60</v>
      </c>
      <c r="L202" s="35"/>
      <c r="M202" s="37">
        <f t="shared" si="18"/>
        <v>0</v>
      </c>
      <c r="N202" s="166" t="s">
        <v>59</v>
      </c>
      <c r="O202" s="166" t="s">
        <v>59</v>
      </c>
      <c r="P202" s="167" t="s">
        <v>59</v>
      </c>
      <c r="Q202" s="168" t="s">
        <v>59</v>
      </c>
      <c r="R202" s="168" t="s">
        <v>59</v>
      </c>
    </row>
    <row r="203" spans="1:18" x14ac:dyDescent="0.25">
      <c r="A203" s="56"/>
      <c r="G203" s="13"/>
      <c r="H203" s="35">
        <v>198</v>
      </c>
      <c r="I203" s="36" t="str">
        <f t="shared" si="16"/>
        <v/>
      </c>
      <c r="J203" s="36">
        <f t="shared" si="19"/>
        <v>-6</v>
      </c>
      <c r="K203" s="35">
        <f t="shared" si="17"/>
        <v>-60</v>
      </c>
      <c r="L203" s="35"/>
      <c r="M203" s="37">
        <f t="shared" si="18"/>
        <v>0</v>
      </c>
      <c r="N203" s="166" t="s">
        <v>59</v>
      </c>
      <c r="O203" s="166" t="s">
        <v>59</v>
      </c>
      <c r="P203" s="167" t="s">
        <v>59</v>
      </c>
      <c r="Q203" s="168" t="s">
        <v>59</v>
      </c>
      <c r="R203" s="168" t="s">
        <v>59</v>
      </c>
    </row>
    <row r="204" spans="1:18" x14ac:dyDescent="0.25">
      <c r="A204" s="56"/>
      <c r="G204" s="13"/>
      <c r="H204" s="35">
        <v>199</v>
      </c>
      <c r="I204" s="36" t="str">
        <f t="shared" si="16"/>
        <v/>
      </c>
      <c r="J204" s="36">
        <f t="shared" si="19"/>
        <v>-6</v>
      </c>
      <c r="K204" s="35">
        <f t="shared" si="17"/>
        <v>-60</v>
      </c>
      <c r="L204" s="35"/>
      <c r="M204" s="37">
        <f t="shared" si="18"/>
        <v>0</v>
      </c>
      <c r="N204" s="166" t="s">
        <v>59</v>
      </c>
      <c r="O204" s="166" t="s">
        <v>59</v>
      </c>
      <c r="P204" s="167" t="s">
        <v>59</v>
      </c>
      <c r="Q204" s="168" t="s">
        <v>59</v>
      </c>
      <c r="R204" s="168" t="s">
        <v>59</v>
      </c>
    </row>
    <row r="205" spans="1:18" x14ac:dyDescent="0.25">
      <c r="A205" s="56"/>
      <c r="G205" s="13"/>
      <c r="H205" s="35">
        <v>200</v>
      </c>
      <c r="I205" s="36" t="str">
        <f t="shared" si="16"/>
        <v/>
      </c>
      <c r="J205" s="36">
        <f t="shared" si="19"/>
        <v>-6</v>
      </c>
      <c r="K205" s="35">
        <f t="shared" si="17"/>
        <v>-60</v>
      </c>
      <c r="L205" s="35"/>
      <c r="M205" s="37">
        <f t="shared" si="18"/>
        <v>0</v>
      </c>
      <c r="N205" s="166" t="s">
        <v>59</v>
      </c>
      <c r="O205" s="166" t="s">
        <v>59</v>
      </c>
      <c r="P205" s="167" t="s">
        <v>59</v>
      </c>
      <c r="Q205" s="168" t="s">
        <v>59</v>
      </c>
      <c r="R205" s="168" t="s">
        <v>59</v>
      </c>
    </row>
    <row r="206" spans="1:18" x14ac:dyDescent="0.25">
      <c r="A206" s="56"/>
      <c r="G206" s="13"/>
      <c r="H206" s="35">
        <v>201</v>
      </c>
      <c r="I206" s="36" t="str">
        <f t="shared" si="16"/>
        <v/>
      </c>
      <c r="J206" s="36">
        <f t="shared" si="19"/>
        <v>-6</v>
      </c>
      <c r="K206" s="35">
        <f t="shared" si="17"/>
        <v>-60</v>
      </c>
      <c r="L206" s="35"/>
      <c r="M206" s="37">
        <f t="shared" si="18"/>
        <v>0</v>
      </c>
      <c r="N206" s="166" t="s">
        <v>59</v>
      </c>
      <c r="O206" s="166" t="s">
        <v>59</v>
      </c>
      <c r="P206" s="167" t="s">
        <v>59</v>
      </c>
      <c r="Q206" s="168" t="s">
        <v>59</v>
      </c>
      <c r="R206" s="168" t="s">
        <v>59</v>
      </c>
    </row>
    <row r="207" spans="1:18" x14ac:dyDescent="0.25">
      <c r="A207" s="56"/>
      <c r="G207" s="13"/>
      <c r="H207" s="35">
        <v>202</v>
      </c>
      <c r="I207" s="36" t="str">
        <f t="shared" si="16"/>
        <v/>
      </c>
      <c r="J207" s="36">
        <f t="shared" si="19"/>
        <v>-6</v>
      </c>
      <c r="K207" s="35">
        <f t="shared" si="17"/>
        <v>-60</v>
      </c>
      <c r="L207" s="35"/>
      <c r="M207" s="37">
        <f t="shared" si="18"/>
        <v>0</v>
      </c>
      <c r="N207" s="166" t="s">
        <v>59</v>
      </c>
      <c r="O207" s="166" t="s">
        <v>59</v>
      </c>
      <c r="P207" s="167" t="s">
        <v>59</v>
      </c>
      <c r="Q207" s="168" t="s">
        <v>59</v>
      </c>
      <c r="R207" s="168" t="s">
        <v>59</v>
      </c>
    </row>
    <row r="208" spans="1:18" x14ac:dyDescent="0.25">
      <c r="A208" s="56"/>
      <c r="G208" s="13"/>
      <c r="H208" s="35">
        <v>203</v>
      </c>
      <c r="I208" s="36" t="str">
        <f t="shared" si="16"/>
        <v/>
      </c>
      <c r="J208" s="36">
        <f t="shared" si="19"/>
        <v>-6</v>
      </c>
      <c r="K208" s="35">
        <f t="shared" si="17"/>
        <v>-60</v>
      </c>
      <c r="L208" s="35"/>
      <c r="M208" s="37">
        <f t="shared" si="18"/>
        <v>0</v>
      </c>
      <c r="N208" s="166" t="s">
        <v>59</v>
      </c>
      <c r="O208" s="166" t="s">
        <v>59</v>
      </c>
      <c r="P208" s="167" t="s">
        <v>59</v>
      </c>
      <c r="Q208" s="168" t="s">
        <v>59</v>
      </c>
      <c r="R208" s="168" t="s">
        <v>59</v>
      </c>
    </row>
    <row r="209" spans="1:18" x14ac:dyDescent="0.25">
      <c r="A209" s="56"/>
      <c r="G209" s="13"/>
      <c r="H209" s="35">
        <v>204</v>
      </c>
      <c r="I209" s="36" t="str">
        <f t="shared" si="16"/>
        <v/>
      </c>
      <c r="J209" s="36">
        <f t="shared" si="19"/>
        <v>-6</v>
      </c>
      <c r="K209" s="35">
        <f t="shared" si="17"/>
        <v>-60</v>
      </c>
      <c r="L209" s="35"/>
      <c r="M209" s="37">
        <f t="shared" si="18"/>
        <v>0</v>
      </c>
      <c r="N209" s="166" t="s">
        <v>59</v>
      </c>
      <c r="O209" s="166" t="s">
        <v>59</v>
      </c>
      <c r="P209" s="167" t="s">
        <v>59</v>
      </c>
      <c r="Q209" s="168" t="s">
        <v>59</v>
      </c>
      <c r="R209" s="168" t="s">
        <v>59</v>
      </c>
    </row>
    <row r="210" spans="1:18" x14ac:dyDescent="0.25">
      <c r="A210" s="56"/>
      <c r="G210" s="13"/>
      <c r="H210" s="35">
        <v>205</v>
      </c>
      <c r="I210" s="36" t="str">
        <f t="shared" si="16"/>
        <v/>
      </c>
      <c r="J210" s="36">
        <f t="shared" si="19"/>
        <v>-6</v>
      </c>
      <c r="K210" s="35">
        <f t="shared" si="17"/>
        <v>-60</v>
      </c>
      <c r="L210" s="35"/>
      <c r="M210" s="37">
        <f t="shared" si="18"/>
        <v>0</v>
      </c>
      <c r="N210" s="166" t="s">
        <v>59</v>
      </c>
      <c r="O210" s="166" t="s">
        <v>59</v>
      </c>
      <c r="P210" s="167" t="s">
        <v>59</v>
      </c>
      <c r="Q210" s="168" t="s">
        <v>59</v>
      </c>
      <c r="R210" s="168" t="s">
        <v>59</v>
      </c>
    </row>
    <row r="211" spans="1:18" x14ac:dyDescent="0.25">
      <c r="A211" s="56"/>
      <c r="G211" s="13"/>
      <c r="H211" s="35">
        <v>206</v>
      </c>
      <c r="I211" s="36" t="str">
        <f t="shared" si="16"/>
        <v/>
      </c>
      <c r="J211" s="36">
        <f t="shared" si="19"/>
        <v>-6</v>
      </c>
      <c r="K211" s="35">
        <f t="shared" si="17"/>
        <v>-60</v>
      </c>
      <c r="L211" s="35"/>
      <c r="M211" s="37">
        <f t="shared" si="18"/>
        <v>0</v>
      </c>
      <c r="N211" s="166" t="s">
        <v>59</v>
      </c>
      <c r="O211" s="166" t="s">
        <v>59</v>
      </c>
      <c r="P211" s="167" t="s">
        <v>59</v>
      </c>
      <c r="Q211" s="168" t="s">
        <v>59</v>
      </c>
      <c r="R211" s="168" t="s">
        <v>59</v>
      </c>
    </row>
    <row r="212" spans="1:18" x14ac:dyDescent="0.25">
      <c r="A212" s="56"/>
      <c r="G212" s="13"/>
      <c r="H212" s="35">
        <v>207</v>
      </c>
      <c r="I212" s="36" t="str">
        <f t="shared" si="16"/>
        <v/>
      </c>
      <c r="J212" s="36">
        <f t="shared" si="19"/>
        <v>-6</v>
      </c>
      <c r="K212" s="35">
        <f t="shared" si="17"/>
        <v>-60</v>
      </c>
      <c r="L212" s="35"/>
      <c r="M212" s="37">
        <f t="shared" si="18"/>
        <v>0</v>
      </c>
      <c r="N212" s="166" t="s">
        <v>59</v>
      </c>
      <c r="O212" s="166" t="s">
        <v>59</v>
      </c>
      <c r="P212" s="167" t="s">
        <v>59</v>
      </c>
      <c r="Q212" s="168" t="s">
        <v>59</v>
      </c>
      <c r="R212" s="168" t="s">
        <v>59</v>
      </c>
    </row>
    <row r="213" spans="1:18" x14ac:dyDescent="0.25">
      <c r="A213" s="56"/>
      <c r="G213" s="13"/>
      <c r="H213" s="35">
        <v>208</v>
      </c>
      <c r="I213" s="36" t="str">
        <f t="shared" si="16"/>
        <v/>
      </c>
      <c r="J213" s="36">
        <f t="shared" si="19"/>
        <v>-6</v>
      </c>
      <c r="K213" s="35">
        <f t="shared" si="17"/>
        <v>-60</v>
      </c>
      <c r="L213" s="35"/>
      <c r="M213" s="37">
        <f t="shared" si="18"/>
        <v>0</v>
      </c>
      <c r="N213" s="166" t="s">
        <v>59</v>
      </c>
      <c r="O213" s="166" t="s">
        <v>59</v>
      </c>
      <c r="P213" s="167" t="s">
        <v>59</v>
      </c>
      <c r="Q213" s="168" t="s">
        <v>59</v>
      </c>
      <c r="R213" s="168" t="s">
        <v>59</v>
      </c>
    </row>
    <row r="214" spans="1:18" x14ac:dyDescent="0.25">
      <c r="A214" s="56"/>
      <c r="G214" s="13"/>
      <c r="H214" s="35">
        <v>209</v>
      </c>
      <c r="I214" s="36" t="str">
        <f t="shared" si="16"/>
        <v/>
      </c>
      <c r="J214" s="36">
        <f t="shared" si="19"/>
        <v>-6</v>
      </c>
      <c r="K214" s="35">
        <f t="shared" si="17"/>
        <v>-60</v>
      </c>
      <c r="L214" s="35"/>
      <c r="M214" s="37">
        <f t="shared" si="18"/>
        <v>0</v>
      </c>
      <c r="N214" s="166" t="s">
        <v>59</v>
      </c>
      <c r="O214" s="166" t="s">
        <v>59</v>
      </c>
      <c r="P214" s="167" t="s">
        <v>59</v>
      </c>
      <c r="Q214" s="168" t="s">
        <v>59</v>
      </c>
      <c r="R214" s="168" t="s">
        <v>59</v>
      </c>
    </row>
    <row r="215" spans="1:18" x14ac:dyDescent="0.25">
      <c r="A215" s="56"/>
      <c r="G215" s="13"/>
      <c r="H215" s="35">
        <v>210</v>
      </c>
      <c r="I215" s="36" t="str">
        <f t="shared" si="16"/>
        <v/>
      </c>
      <c r="J215" s="36">
        <f t="shared" si="19"/>
        <v>-6</v>
      </c>
      <c r="K215" s="35">
        <f t="shared" si="17"/>
        <v>-60</v>
      </c>
      <c r="L215" s="35"/>
      <c r="M215" s="37">
        <f t="shared" si="18"/>
        <v>0</v>
      </c>
      <c r="N215" s="166" t="s">
        <v>59</v>
      </c>
      <c r="O215" s="166" t="s">
        <v>59</v>
      </c>
      <c r="P215" s="167" t="s">
        <v>59</v>
      </c>
      <c r="Q215" s="168" t="s">
        <v>59</v>
      </c>
      <c r="R215" s="168" t="s">
        <v>59</v>
      </c>
    </row>
    <row r="216" spans="1:18" x14ac:dyDescent="0.25">
      <c r="A216" s="56"/>
      <c r="G216" s="13"/>
      <c r="H216" s="35">
        <v>211</v>
      </c>
      <c r="I216" s="36" t="str">
        <f t="shared" si="16"/>
        <v/>
      </c>
      <c r="J216" s="36">
        <f t="shared" si="19"/>
        <v>-6</v>
      </c>
      <c r="K216" s="35">
        <f t="shared" si="17"/>
        <v>-60</v>
      </c>
      <c r="L216" s="35"/>
      <c r="M216" s="37">
        <f t="shared" si="18"/>
        <v>0</v>
      </c>
      <c r="N216" s="166" t="s">
        <v>59</v>
      </c>
      <c r="O216" s="166" t="s">
        <v>59</v>
      </c>
      <c r="P216" s="167" t="s">
        <v>59</v>
      </c>
      <c r="Q216" s="168" t="s">
        <v>59</v>
      </c>
      <c r="R216" s="168" t="s">
        <v>59</v>
      </c>
    </row>
    <row r="217" spans="1:18" x14ac:dyDescent="0.25">
      <c r="A217" s="56"/>
      <c r="G217" s="13"/>
      <c r="H217" s="35">
        <v>212</v>
      </c>
      <c r="I217" s="36" t="str">
        <f t="shared" si="16"/>
        <v/>
      </c>
      <c r="J217" s="36">
        <f t="shared" si="19"/>
        <v>-6</v>
      </c>
      <c r="K217" s="35">
        <f t="shared" si="17"/>
        <v>-60</v>
      </c>
      <c r="L217" s="35"/>
      <c r="M217" s="37">
        <f t="shared" si="18"/>
        <v>0</v>
      </c>
      <c r="N217" s="166" t="s">
        <v>59</v>
      </c>
      <c r="O217" s="166" t="s">
        <v>59</v>
      </c>
      <c r="P217" s="167" t="s">
        <v>59</v>
      </c>
      <c r="Q217" s="168" t="s">
        <v>59</v>
      </c>
      <c r="R217" s="168" t="s">
        <v>59</v>
      </c>
    </row>
    <row r="218" spans="1:18" x14ac:dyDescent="0.25">
      <c r="A218" s="56"/>
      <c r="G218" s="13"/>
      <c r="H218" s="35">
        <v>213</v>
      </c>
      <c r="I218" s="36" t="str">
        <f t="shared" si="16"/>
        <v/>
      </c>
      <c r="J218" s="36">
        <f t="shared" si="19"/>
        <v>-6</v>
      </c>
      <c r="K218" s="35">
        <f t="shared" si="17"/>
        <v>-60</v>
      </c>
      <c r="L218" s="35"/>
      <c r="M218" s="37">
        <f t="shared" si="18"/>
        <v>0</v>
      </c>
      <c r="N218" s="166" t="s">
        <v>59</v>
      </c>
      <c r="O218" s="166" t="s">
        <v>59</v>
      </c>
      <c r="P218" s="167" t="s">
        <v>59</v>
      </c>
      <c r="Q218" s="168" t="s">
        <v>59</v>
      </c>
      <c r="R218" s="168" t="s">
        <v>59</v>
      </c>
    </row>
    <row r="219" spans="1:18" x14ac:dyDescent="0.25">
      <c r="A219" s="56"/>
      <c r="G219" s="13"/>
      <c r="H219" s="35">
        <v>214</v>
      </c>
      <c r="I219" s="36" t="str">
        <f t="shared" si="16"/>
        <v/>
      </c>
      <c r="J219" s="36">
        <f t="shared" si="19"/>
        <v>-6</v>
      </c>
      <c r="K219" s="35">
        <f t="shared" si="17"/>
        <v>-60</v>
      </c>
      <c r="L219" s="35"/>
      <c r="M219" s="37">
        <f t="shared" si="18"/>
        <v>0</v>
      </c>
      <c r="N219" s="166" t="s">
        <v>59</v>
      </c>
      <c r="O219" s="166" t="s">
        <v>59</v>
      </c>
      <c r="P219" s="167" t="s">
        <v>59</v>
      </c>
      <c r="Q219" s="168" t="s">
        <v>59</v>
      </c>
      <c r="R219" s="168" t="s">
        <v>59</v>
      </c>
    </row>
    <row r="220" spans="1:18" x14ac:dyDescent="0.25">
      <c r="A220" s="56"/>
      <c r="G220" s="13"/>
      <c r="H220" s="35">
        <v>215</v>
      </c>
      <c r="I220" s="36" t="str">
        <f t="shared" si="16"/>
        <v/>
      </c>
      <c r="J220" s="36">
        <f t="shared" si="19"/>
        <v>-6</v>
      </c>
      <c r="K220" s="35">
        <f t="shared" si="17"/>
        <v>-60</v>
      </c>
      <c r="L220" s="35"/>
      <c r="M220" s="37">
        <f t="shared" si="18"/>
        <v>0</v>
      </c>
      <c r="N220" s="166" t="s">
        <v>59</v>
      </c>
      <c r="O220" s="166" t="s">
        <v>59</v>
      </c>
      <c r="P220" s="167" t="s">
        <v>59</v>
      </c>
      <c r="Q220" s="168" t="s">
        <v>59</v>
      </c>
      <c r="R220" s="168" t="s">
        <v>59</v>
      </c>
    </row>
    <row r="221" spans="1:18" x14ac:dyDescent="0.25">
      <c r="A221" s="56"/>
      <c r="G221" s="13"/>
      <c r="H221" s="35">
        <v>216</v>
      </c>
      <c r="I221" s="36" t="str">
        <f t="shared" si="16"/>
        <v/>
      </c>
      <c r="J221" s="36">
        <f t="shared" si="19"/>
        <v>-6</v>
      </c>
      <c r="K221" s="35">
        <f t="shared" si="17"/>
        <v>-60</v>
      </c>
      <c r="L221" s="35"/>
      <c r="M221" s="37">
        <f t="shared" si="18"/>
        <v>0</v>
      </c>
      <c r="N221" s="166" t="s">
        <v>59</v>
      </c>
      <c r="O221" s="166" t="s">
        <v>59</v>
      </c>
      <c r="P221" s="167" t="s">
        <v>59</v>
      </c>
      <c r="Q221" s="168" t="s">
        <v>59</v>
      </c>
      <c r="R221" s="168" t="s">
        <v>59</v>
      </c>
    </row>
    <row r="222" spans="1:18" x14ac:dyDescent="0.25">
      <c r="A222" s="56"/>
      <c r="G222" s="13"/>
      <c r="H222" s="35">
        <v>217</v>
      </c>
      <c r="I222" s="36" t="str">
        <f t="shared" si="16"/>
        <v/>
      </c>
      <c r="J222" s="36">
        <f t="shared" si="19"/>
        <v>-6</v>
      </c>
      <c r="K222" s="35">
        <f t="shared" si="17"/>
        <v>-60</v>
      </c>
      <c r="L222" s="35"/>
      <c r="M222" s="37">
        <f t="shared" si="18"/>
        <v>0</v>
      </c>
      <c r="N222" s="166" t="s">
        <v>59</v>
      </c>
      <c r="O222" s="166" t="s">
        <v>59</v>
      </c>
      <c r="P222" s="167" t="s">
        <v>59</v>
      </c>
      <c r="Q222" s="168" t="s">
        <v>59</v>
      </c>
      <c r="R222" s="168" t="s">
        <v>59</v>
      </c>
    </row>
    <row r="223" spans="1:18" x14ac:dyDescent="0.25">
      <c r="A223" s="56"/>
      <c r="G223" s="13"/>
      <c r="H223" s="35">
        <v>218</v>
      </c>
      <c r="I223" s="36" t="str">
        <f t="shared" si="16"/>
        <v/>
      </c>
      <c r="J223" s="36">
        <f t="shared" si="19"/>
        <v>-6</v>
      </c>
      <c r="K223" s="35">
        <f t="shared" si="17"/>
        <v>-60</v>
      </c>
      <c r="L223" s="35"/>
      <c r="M223" s="37">
        <f t="shared" si="18"/>
        <v>0</v>
      </c>
      <c r="N223" s="166" t="s">
        <v>59</v>
      </c>
      <c r="O223" s="166" t="s">
        <v>59</v>
      </c>
      <c r="P223" s="167" t="s">
        <v>59</v>
      </c>
      <c r="Q223" s="168" t="s">
        <v>59</v>
      </c>
      <c r="R223" s="168" t="s">
        <v>59</v>
      </c>
    </row>
    <row r="224" spans="1:18" x14ac:dyDescent="0.25">
      <c r="A224" s="56"/>
      <c r="G224" s="13"/>
      <c r="H224" s="35">
        <v>219</v>
      </c>
      <c r="I224" s="36" t="str">
        <f t="shared" si="16"/>
        <v/>
      </c>
      <c r="J224" s="36">
        <f t="shared" si="19"/>
        <v>-6</v>
      </c>
      <c r="K224" s="35">
        <f t="shared" si="17"/>
        <v>-60</v>
      </c>
      <c r="L224" s="35"/>
      <c r="M224" s="37">
        <f t="shared" si="18"/>
        <v>0</v>
      </c>
      <c r="N224" s="166" t="s">
        <v>59</v>
      </c>
      <c r="O224" s="166" t="s">
        <v>59</v>
      </c>
      <c r="P224" s="167" t="s">
        <v>59</v>
      </c>
      <c r="Q224" s="168" t="s">
        <v>59</v>
      </c>
      <c r="R224" s="168" t="s">
        <v>59</v>
      </c>
    </row>
    <row r="225" spans="1:18" x14ac:dyDescent="0.25">
      <c r="A225" s="56"/>
      <c r="G225" s="13"/>
      <c r="H225" s="35">
        <v>220</v>
      </c>
      <c r="I225" s="36" t="str">
        <f t="shared" si="16"/>
        <v/>
      </c>
      <c r="J225" s="36">
        <f t="shared" si="19"/>
        <v>-6</v>
      </c>
      <c r="K225" s="35">
        <f t="shared" si="17"/>
        <v>-60</v>
      </c>
      <c r="L225" s="35"/>
      <c r="M225" s="37">
        <f t="shared" si="18"/>
        <v>0</v>
      </c>
      <c r="N225" s="166" t="s">
        <v>59</v>
      </c>
      <c r="O225" s="166" t="s">
        <v>59</v>
      </c>
      <c r="P225" s="167" t="s">
        <v>59</v>
      </c>
      <c r="Q225" s="168" t="s">
        <v>59</v>
      </c>
      <c r="R225" s="168" t="s">
        <v>59</v>
      </c>
    </row>
    <row r="226" spans="1:18" x14ac:dyDescent="0.25">
      <c r="A226" s="56"/>
      <c r="G226" s="13"/>
      <c r="H226" s="35">
        <v>221</v>
      </c>
      <c r="I226" s="36" t="str">
        <f t="shared" si="16"/>
        <v/>
      </c>
      <c r="J226" s="36">
        <f t="shared" si="19"/>
        <v>-6</v>
      </c>
      <c r="K226" s="35">
        <f t="shared" si="17"/>
        <v>-60</v>
      </c>
      <c r="L226" s="35"/>
      <c r="M226" s="37">
        <f t="shared" si="18"/>
        <v>0</v>
      </c>
      <c r="N226" s="166" t="s">
        <v>59</v>
      </c>
      <c r="O226" s="166" t="s">
        <v>59</v>
      </c>
      <c r="P226" s="167" t="s">
        <v>59</v>
      </c>
      <c r="Q226" s="168" t="s">
        <v>59</v>
      </c>
      <c r="R226" s="168" t="s">
        <v>59</v>
      </c>
    </row>
    <row r="227" spans="1:18" x14ac:dyDescent="0.25">
      <c r="A227" s="56"/>
      <c r="G227" s="13"/>
      <c r="H227" s="35">
        <v>222</v>
      </c>
      <c r="I227" s="36" t="str">
        <f t="shared" si="16"/>
        <v/>
      </c>
      <c r="J227" s="36">
        <f t="shared" si="19"/>
        <v>-6</v>
      </c>
      <c r="K227" s="35">
        <f t="shared" si="17"/>
        <v>-60</v>
      </c>
      <c r="L227" s="35"/>
      <c r="M227" s="37">
        <f t="shared" si="18"/>
        <v>0</v>
      </c>
      <c r="N227" s="166" t="s">
        <v>59</v>
      </c>
      <c r="O227" s="166" t="s">
        <v>59</v>
      </c>
      <c r="P227" s="167" t="s">
        <v>59</v>
      </c>
      <c r="Q227" s="168" t="s">
        <v>59</v>
      </c>
      <c r="R227" s="168" t="s">
        <v>59</v>
      </c>
    </row>
    <row r="228" spans="1:18" x14ac:dyDescent="0.25">
      <c r="A228" s="56"/>
      <c r="G228" s="13"/>
      <c r="H228" s="35">
        <v>223</v>
      </c>
      <c r="I228" s="36" t="str">
        <f t="shared" si="16"/>
        <v/>
      </c>
      <c r="J228" s="36">
        <f t="shared" si="19"/>
        <v>-6</v>
      </c>
      <c r="K228" s="35">
        <f t="shared" si="17"/>
        <v>-60</v>
      </c>
      <c r="L228" s="35"/>
      <c r="M228" s="37">
        <f t="shared" si="18"/>
        <v>0</v>
      </c>
      <c r="N228" s="166" t="s">
        <v>59</v>
      </c>
      <c r="O228" s="166" t="s">
        <v>59</v>
      </c>
      <c r="P228" s="167" t="s">
        <v>59</v>
      </c>
      <c r="Q228" s="168" t="s">
        <v>59</v>
      </c>
      <c r="R228" s="168" t="s">
        <v>59</v>
      </c>
    </row>
    <row r="229" spans="1:18" x14ac:dyDescent="0.25">
      <c r="A229" s="56"/>
      <c r="G229" s="13"/>
      <c r="H229" s="35">
        <v>224</v>
      </c>
      <c r="I229" s="36" t="str">
        <f t="shared" si="16"/>
        <v/>
      </c>
      <c r="J229" s="36">
        <f t="shared" si="19"/>
        <v>-6</v>
      </c>
      <c r="K229" s="35">
        <f t="shared" si="17"/>
        <v>-60</v>
      </c>
      <c r="L229" s="35"/>
      <c r="M229" s="37">
        <f t="shared" si="18"/>
        <v>0</v>
      </c>
      <c r="N229" s="166" t="s">
        <v>59</v>
      </c>
      <c r="O229" s="166" t="s">
        <v>59</v>
      </c>
      <c r="P229" s="167" t="s">
        <v>59</v>
      </c>
      <c r="Q229" s="168" t="s">
        <v>59</v>
      </c>
      <c r="R229" s="168" t="s">
        <v>59</v>
      </c>
    </row>
    <row r="230" spans="1:18" x14ac:dyDescent="0.25">
      <c r="A230" s="56"/>
      <c r="G230" s="13"/>
      <c r="H230" s="35">
        <v>225</v>
      </c>
      <c r="I230" s="36" t="str">
        <f t="shared" si="16"/>
        <v/>
      </c>
      <c r="J230" s="36">
        <f t="shared" si="19"/>
        <v>-6</v>
      </c>
      <c r="K230" s="35">
        <f t="shared" si="17"/>
        <v>-60</v>
      </c>
      <c r="L230" s="35"/>
      <c r="M230" s="37">
        <f t="shared" si="18"/>
        <v>0</v>
      </c>
      <c r="N230" s="166" t="s">
        <v>59</v>
      </c>
      <c r="O230" s="166" t="s">
        <v>59</v>
      </c>
      <c r="P230" s="167" t="s">
        <v>59</v>
      </c>
      <c r="Q230" s="168" t="s">
        <v>59</v>
      </c>
      <c r="R230" s="168" t="s">
        <v>59</v>
      </c>
    </row>
    <row r="231" spans="1:18" x14ac:dyDescent="0.25">
      <c r="A231" s="56"/>
      <c r="G231" s="13"/>
      <c r="H231" s="35">
        <v>226</v>
      </c>
      <c r="I231" s="36" t="str">
        <f t="shared" si="16"/>
        <v/>
      </c>
      <c r="J231" s="36">
        <f t="shared" si="19"/>
        <v>-6</v>
      </c>
      <c r="K231" s="35">
        <f t="shared" si="17"/>
        <v>-60</v>
      </c>
      <c r="L231" s="35"/>
      <c r="M231" s="37">
        <f t="shared" si="18"/>
        <v>0</v>
      </c>
      <c r="N231" s="166" t="s">
        <v>59</v>
      </c>
      <c r="O231" s="166" t="s">
        <v>59</v>
      </c>
      <c r="P231" s="167" t="s">
        <v>59</v>
      </c>
      <c r="Q231" s="168" t="s">
        <v>59</v>
      </c>
      <c r="R231" s="168" t="s">
        <v>59</v>
      </c>
    </row>
    <row r="232" spans="1:18" x14ac:dyDescent="0.25">
      <c r="A232" s="56"/>
      <c r="G232" s="13"/>
      <c r="H232" s="35">
        <v>227</v>
      </c>
      <c r="I232" s="36" t="str">
        <f t="shared" si="16"/>
        <v/>
      </c>
      <c r="J232" s="36">
        <f t="shared" si="19"/>
        <v>-6</v>
      </c>
      <c r="K232" s="35">
        <f t="shared" si="17"/>
        <v>-60</v>
      </c>
      <c r="L232" s="35"/>
      <c r="M232" s="37">
        <f t="shared" si="18"/>
        <v>0</v>
      </c>
      <c r="N232" s="166" t="s">
        <v>59</v>
      </c>
      <c r="O232" s="166" t="s">
        <v>59</v>
      </c>
      <c r="P232" s="167" t="s">
        <v>59</v>
      </c>
      <c r="Q232" s="168" t="s">
        <v>59</v>
      </c>
      <c r="R232" s="168" t="s">
        <v>59</v>
      </c>
    </row>
    <row r="233" spans="1:18" x14ac:dyDescent="0.25">
      <c r="A233" s="56"/>
      <c r="G233" s="13"/>
      <c r="H233" s="35">
        <v>228</v>
      </c>
      <c r="I233" s="36" t="str">
        <f t="shared" si="16"/>
        <v/>
      </c>
      <c r="J233" s="36">
        <f t="shared" si="19"/>
        <v>-6</v>
      </c>
      <c r="K233" s="35">
        <f t="shared" si="17"/>
        <v>-60</v>
      </c>
      <c r="L233" s="35"/>
      <c r="M233" s="37">
        <f t="shared" si="18"/>
        <v>0</v>
      </c>
      <c r="N233" s="166" t="s">
        <v>59</v>
      </c>
      <c r="O233" s="166" t="s">
        <v>59</v>
      </c>
      <c r="P233" s="167" t="s">
        <v>59</v>
      </c>
      <c r="Q233" s="168" t="s">
        <v>59</v>
      </c>
      <c r="R233" s="168" t="s">
        <v>59</v>
      </c>
    </row>
    <row r="234" spans="1:18" x14ac:dyDescent="0.25">
      <c r="A234" s="56"/>
      <c r="G234" s="13"/>
      <c r="H234" s="35">
        <v>229</v>
      </c>
      <c r="I234" s="36" t="str">
        <f t="shared" si="16"/>
        <v/>
      </c>
      <c r="J234" s="36">
        <f t="shared" si="19"/>
        <v>-6</v>
      </c>
      <c r="K234" s="35">
        <f t="shared" si="17"/>
        <v>-60</v>
      </c>
      <c r="L234" s="35"/>
      <c r="M234" s="37">
        <f t="shared" si="18"/>
        <v>0</v>
      </c>
      <c r="N234" s="166" t="s">
        <v>59</v>
      </c>
      <c r="O234" s="166" t="s">
        <v>59</v>
      </c>
      <c r="P234" s="167" t="s">
        <v>59</v>
      </c>
      <c r="Q234" s="168" t="s">
        <v>59</v>
      </c>
      <c r="R234" s="168" t="s">
        <v>59</v>
      </c>
    </row>
    <row r="235" spans="1:18" x14ac:dyDescent="0.25">
      <c r="A235" s="56"/>
      <c r="G235" s="13"/>
      <c r="H235" s="35">
        <v>230</v>
      </c>
      <c r="I235" s="36" t="str">
        <f t="shared" si="16"/>
        <v/>
      </c>
      <c r="J235" s="36">
        <f t="shared" si="19"/>
        <v>-6</v>
      </c>
      <c r="K235" s="35">
        <f t="shared" si="17"/>
        <v>-60</v>
      </c>
      <c r="L235" s="35"/>
      <c r="M235" s="37">
        <f t="shared" si="18"/>
        <v>0</v>
      </c>
      <c r="N235" s="166" t="s">
        <v>59</v>
      </c>
      <c r="O235" s="166" t="s">
        <v>59</v>
      </c>
      <c r="P235" s="167" t="s">
        <v>59</v>
      </c>
      <c r="Q235" s="168" t="s">
        <v>59</v>
      </c>
      <c r="R235" s="168" t="s">
        <v>59</v>
      </c>
    </row>
    <row r="236" spans="1:18" x14ac:dyDescent="0.25">
      <c r="A236" s="56"/>
      <c r="G236" s="13"/>
      <c r="H236" s="35">
        <v>231</v>
      </c>
      <c r="I236" s="36" t="str">
        <f t="shared" si="16"/>
        <v/>
      </c>
      <c r="J236" s="36">
        <f t="shared" si="19"/>
        <v>-6</v>
      </c>
      <c r="K236" s="35">
        <f t="shared" si="17"/>
        <v>-60</v>
      </c>
      <c r="L236" s="35"/>
      <c r="M236" s="37">
        <f t="shared" si="18"/>
        <v>0</v>
      </c>
      <c r="N236" s="166" t="s">
        <v>59</v>
      </c>
      <c r="O236" s="166" t="s">
        <v>59</v>
      </c>
      <c r="P236" s="167" t="s">
        <v>59</v>
      </c>
      <c r="Q236" s="168" t="s">
        <v>59</v>
      </c>
      <c r="R236" s="168" t="s">
        <v>59</v>
      </c>
    </row>
    <row r="237" spans="1:18" x14ac:dyDescent="0.25">
      <c r="A237" s="56"/>
      <c r="G237" s="13"/>
      <c r="H237" s="35">
        <v>232</v>
      </c>
      <c r="I237" s="36" t="str">
        <f t="shared" si="16"/>
        <v/>
      </c>
      <c r="J237" s="36">
        <f t="shared" si="19"/>
        <v>-6</v>
      </c>
      <c r="K237" s="35">
        <f t="shared" si="17"/>
        <v>-60</v>
      </c>
      <c r="L237" s="35"/>
      <c r="M237" s="37">
        <f t="shared" si="18"/>
        <v>0</v>
      </c>
      <c r="N237" s="166" t="s">
        <v>59</v>
      </c>
      <c r="O237" s="166" t="s">
        <v>59</v>
      </c>
      <c r="P237" s="167" t="s">
        <v>59</v>
      </c>
      <c r="Q237" s="168" t="s">
        <v>59</v>
      </c>
      <c r="R237" s="168" t="s">
        <v>59</v>
      </c>
    </row>
    <row r="238" spans="1:18" x14ac:dyDescent="0.25">
      <c r="A238" s="56"/>
      <c r="G238" s="13"/>
      <c r="H238" s="35">
        <v>233</v>
      </c>
      <c r="I238" s="36" t="str">
        <f t="shared" si="16"/>
        <v/>
      </c>
      <c r="J238" s="36">
        <f t="shared" si="19"/>
        <v>-6</v>
      </c>
      <c r="K238" s="35">
        <f t="shared" si="17"/>
        <v>-60</v>
      </c>
      <c r="L238" s="35"/>
      <c r="M238" s="37">
        <f t="shared" si="18"/>
        <v>0</v>
      </c>
      <c r="N238" s="166" t="s">
        <v>59</v>
      </c>
      <c r="O238" s="166" t="s">
        <v>59</v>
      </c>
      <c r="P238" s="167" t="s">
        <v>59</v>
      </c>
      <c r="Q238" s="168" t="s">
        <v>59</v>
      </c>
      <c r="R238" s="168" t="s">
        <v>59</v>
      </c>
    </row>
    <row r="239" spans="1:18" x14ac:dyDescent="0.25">
      <c r="A239" s="56"/>
      <c r="G239" s="13"/>
      <c r="H239" s="35">
        <v>234</v>
      </c>
      <c r="I239" s="36" t="str">
        <f t="shared" si="16"/>
        <v/>
      </c>
      <c r="J239" s="36">
        <f t="shared" si="19"/>
        <v>-6</v>
      </c>
      <c r="K239" s="35">
        <f t="shared" si="17"/>
        <v>-60</v>
      </c>
      <c r="L239" s="35"/>
      <c r="M239" s="37">
        <f t="shared" si="18"/>
        <v>0</v>
      </c>
      <c r="N239" s="166" t="s">
        <v>59</v>
      </c>
      <c r="O239" s="166" t="s">
        <v>59</v>
      </c>
      <c r="P239" s="167" t="s">
        <v>59</v>
      </c>
      <c r="Q239" s="168" t="s">
        <v>59</v>
      </c>
      <c r="R239" s="168" t="s">
        <v>59</v>
      </c>
    </row>
    <row r="240" spans="1:18" x14ac:dyDescent="0.25">
      <c r="A240" s="56"/>
      <c r="G240" s="13"/>
      <c r="H240" s="35">
        <v>235</v>
      </c>
      <c r="I240" s="36" t="str">
        <f t="shared" si="16"/>
        <v/>
      </c>
      <c r="J240" s="36">
        <f t="shared" si="19"/>
        <v>-6</v>
      </c>
      <c r="K240" s="35">
        <f t="shared" si="17"/>
        <v>-60</v>
      </c>
      <c r="L240" s="35"/>
      <c r="M240" s="37">
        <f t="shared" si="18"/>
        <v>0</v>
      </c>
      <c r="N240" s="166" t="s">
        <v>59</v>
      </c>
      <c r="O240" s="166" t="s">
        <v>59</v>
      </c>
      <c r="P240" s="167" t="s">
        <v>59</v>
      </c>
      <c r="Q240" s="168" t="s">
        <v>59</v>
      </c>
      <c r="R240" s="168" t="s">
        <v>59</v>
      </c>
    </row>
    <row r="241" spans="1:18" x14ac:dyDescent="0.25">
      <c r="A241" s="56"/>
      <c r="G241" s="13"/>
      <c r="H241" s="35">
        <v>236</v>
      </c>
      <c r="I241" s="36" t="str">
        <f t="shared" si="16"/>
        <v/>
      </c>
      <c r="J241" s="36">
        <f t="shared" si="19"/>
        <v>-6</v>
      </c>
      <c r="K241" s="35">
        <f t="shared" si="17"/>
        <v>-60</v>
      </c>
      <c r="L241" s="35"/>
      <c r="M241" s="37">
        <f t="shared" si="18"/>
        <v>0</v>
      </c>
      <c r="N241" s="166" t="s">
        <v>59</v>
      </c>
      <c r="O241" s="166" t="s">
        <v>59</v>
      </c>
      <c r="P241" s="167" t="s">
        <v>59</v>
      </c>
      <c r="Q241" s="168" t="s">
        <v>59</v>
      </c>
      <c r="R241" s="168" t="s">
        <v>59</v>
      </c>
    </row>
    <row r="242" spans="1:18" x14ac:dyDescent="0.25">
      <c r="A242" s="56"/>
      <c r="G242" s="13"/>
      <c r="H242" s="35">
        <v>237</v>
      </c>
      <c r="I242" s="36" t="str">
        <f t="shared" si="16"/>
        <v/>
      </c>
      <c r="J242" s="36">
        <f t="shared" si="19"/>
        <v>-6</v>
      </c>
      <c r="K242" s="35">
        <f t="shared" si="17"/>
        <v>-60</v>
      </c>
      <c r="L242" s="35"/>
      <c r="M242" s="37">
        <f t="shared" si="18"/>
        <v>0</v>
      </c>
      <c r="N242" s="166" t="s">
        <v>59</v>
      </c>
      <c r="O242" s="166" t="s">
        <v>59</v>
      </c>
      <c r="P242" s="167" t="s">
        <v>59</v>
      </c>
      <c r="Q242" s="168" t="s">
        <v>59</v>
      </c>
      <c r="R242" s="168" t="s">
        <v>59</v>
      </c>
    </row>
    <row r="243" spans="1:18" x14ac:dyDescent="0.25">
      <c r="A243" s="56"/>
      <c r="G243" s="13"/>
      <c r="H243" s="35">
        <v>238</v>
      </c>
      <c r="I243" s="36" t="str">
        <f t="shared" si="16"/>
        <v/>
      </c>
      <c r="J243" s="36">
        <f t="shared" si="19"/>
        <v>-6</v>
      </c>
      <c r="K243" s="35">
        <f t="shared" si="17"/>
        <v>-60</v>
      </c>
      <c r="L243" s="35"/>
      <c r="M243" s="37">
        <f t="shared" si="18"/>
        <v>0</v>
      </c>
      <c r="N243" s="166" t="s">
        <v>59</v>
      </c>
      <c r="O243" s="166" t="s">
        <v>59</v>
      </c>
      <c r="P243" s="167" t="s">
        <v>59</v>
      </c>
      <c r="Q243" s="168" t="s">
        <v>59</v>
      </c>
      <c r="R243" s="168" t="s">
        <v>59</v>
      </c>
    </row>
    <row r="244" spans="1:18" x14ac:dyDescent="0.25">
      <c r="A244" s="56"/>
      <c r="G244" s="13"/>
      <c r="H244" s="35">
        <v>239</v>
      </c>
      <c r="I244" s="36" t="str">
        <f t="shared" si="16"/>
        <v/>
      </c>
      <c r="J244" s="36">
        <f t="shared" si="19"/>
        <v>-6</v>
      </c>
      <c r="K244" s="35">
        <f t="shared" si="17"/>
        <v>-60</v>
      </c>
      <c r="L244" s="35"/>
      <c r="M244" s="37">
        <f t="shared" si="18"/>
        <v>0</v>
      </c>
      <c r="N244" s="166" t="s">
        <v>59</v>
      </c>
      <c r="O244" s="166" t="s">
        <v>59</v>
      </c>
      <c r="P244" s="167" t="s">
        <v>59</v>
      </c>
      <c r="Q244" s="168" t="s">
        <v>59</v>
      </c>
      <c r="R244" s="168" t="s">
        <v>59</v>
      </c>
    </row>
    <row r="245" spans="1:18" x14ac:dyDescent="0.25">
      <c r="A245" s="56"/>
      <c r="G245" s="13"/>
      <c r="H245" s="35">
        <v>240</v>
      </c>
      <c r="I245" s="36" t="str">
        <f t="shared" si="16"/>
        <v/>
      </c>
      <c r="J245" s="36">
        <f t="shared" si="19"/>
        <v>-6</v>
      </c>
      <c r="K245" s="35">
        <f t="shared" si="17"/>
        <v>-60</v>
      </c>
      <c r="L245" s="35"/>
      <c r="M245" s="37">
        <f t="shared" si="18"/>
        <v>0</v>
      </c>
      <c r="N245" s="166" t="s">
        <v>59</v>
      </c>
      <c r="O245" s="166" t="s">
        <v>59</v>
      </c>
      <c r="P245" s="167" t="s">
        <v>59</v>
      </c>
      <c r="Q245" s="168" t="s">
        <v>59</v>
      </c>
      <c r="R245" s="168" t="s">
        <v>59</v>
      </c>
    </row>
    <row r="246" spans="1:18" x14ac:dyDescent="0.25">
      <c r="A246" s="56"/>
      <c r="G246" s="13"/>
      <c r="H246" s="35">
        <v>241</v>
      </c>
      <c r="I246" s="36" t="str">
        <f t="shared" si="16"/>
        <v/>
      </c>
      <c r="J246" s="36">
        <f t="shared" si="19"/>
        <v>-6</v>
      </c>
      <c r="K246" s="35">
        <f t="shared" si="17"/>
        <v>-60</v>
      </c>
      <c r="L246" s="35"/>
      <c r="M246" s="37">
        <f t="shared" si="18"/>
        <v>0</v>
      </c>
      <c r="N246" s="166" t="s">
        <v>59</v>
      </c>
      <c r="O246" s="166" t="s">
        <v>59</v>
      </c>
      <c r="P246" s="167" t="s">
        <v>59</v>
      </c>
      <c r="Q246" s="168" t="s">
        <v>59</v>
      </c>
      <c r="R246" s="168" t="s">
        <v>59</v>
      </c>
    </row>
    <row r="247" spans="1:18" x14ac:dyDescent="0.25">
      <c r="A247" s="56"/>
      <c r="G247" s="13"/>
      <c r="H247" s="35">
        <v>242</v>
      </c>
      <c r="I247" s="36" t="str">
        <f t="shared" si="16"/>
        <v/>
      </c>
      <c r="J247" s="36">
        <f t="shared" si="19"/>
        <v>-6</v>
      </c>
      <c r="K247" s="35">
        <f t="shared" si="17"/>
        <v>-60</v>
      </c>
      <c r="L247" s="35"/>
      <c r="M247" s="37">
        <f t="shared" si="18"/>
        <v>0</v>
      </c>
      <c r="N247" s="166" t="s">
        <v>59</v>
      </c>
      <c r="O247" s="166" t="s">
        <v>59</v>
      </c>
      <c r="P247" s="167" t="s">
        <v>59</v>
      </c>
      <c r="Q247" s="168" t="s">
        <v>59</v>
      </c>
      <c r="R247" s="168" t="s">
        <v>59</v>
      </c>
    </row>
    <row r="248" spans="1:18" x14ac:dyDescent="0.25">
      <c r="A248" s="56"/>
      <c r="G248" s="13"/>
      <c r="H248" s="35">
        <v>243</v>
      </c>
      <c r="I248" s="36" t="str">
        <f t="shared" si="16"/>
        <v/>
      </c>
      <c r="J248" s="36">
        <f t="shared" si="19"/>
        <v>-6</v>
      </c>
      <c r="K248" s="35">
        <f t="shared" si="17"/>
        <v>-60</v>
      </c>
      <c r="L248" s="35"/>
      <c r="M248" s="37">
        <f t="shared" si="18"/>
        <v>0</v>
      </c>
      <c r="N248" s="166" t="s">
        <v>59</v>
      </c>
      <c r="O248" s="166" t="s">
        <v>59</v>
      </c>
      <c r="P248" s="167" t="s">
        <v>59</v>
      </c>
      <c r="Q248" s="168" t="s">
        <v>59</v>
      </c>
      <c r="R248" s="168" t="s">
        <v>59</v>
      </c>
    </row>
    <row r="249" spans="1:18" x14ac:dyDescent="0.25">
      <c r="A249" s="56"/>
      <c r="G249" s="13"/>
      <c r="H249" s="35">
        <v>244</v>
      </c>
      <c r="I249" s="36" t="str">
        <f t="shared" si="16"/>
        <v/>
      </c>
      <c r="J249" s="36">
        <f t="shared" si="19"/>
        <v>-6</v>
      </c>
      <c r="K249" s="35">
        <f t="shared" si="17"/>
        <v>-60</v>
      </c>
      <c r="L249" s="35"/>
      <c r="M249" s="37">
        <f t="shared" si="18"/>
        <v>0</v>
      </c>
      <c r="N249" s="166" t="s">
        <v>59</v>
      </c>
      <c r="O249" s="166" t="s">
        <v>59</v>
      </c>
      <c r="P249" s="167" t="s">
        <v>59</v>
      </c>
      <c r="Q249" s="168" t="s">
        <v>59</v>
      </c>
      <c r="R249" s="168" t="s">
        <v>59</v>
      </c>
    </row>
    <row r="250" spans="1:18" x14ac:dyDescent="0.25">
      <c r="A250" s="56"/>
      <c r="G250" s="13"/>
      <c r="H250" s="35">
        <v>245</v>
      </c>
      <c r="I250" s="36" t="str">
        <f t="shared" si="16"/>
        <v/>
      </c>
      <c r="J250" s="36">
        <f t="shared" si="19"/>
        <v>-6</v>
      </c>
      <c r="K250" s="35">
        <f t="shared" si="17"/>
        <v>-60</v>
      </c>
      <c r="L250" s="35"/>
      <c r="M250" s="37">
        <f t="shared" si="18"/>
        <v>0</v>
      </c>
      <c r="N250" s="166" t="s">
        <v>59</v>
      </c>
      <c r="O250" s="166" t="s">
        <v>59</v>
      </c>
      <c r="P250" s="167" t="s">
        <v>59</v>
      </c>
      <c r="Q250" s="168" t="s">
        <v>59</v>
      </c>
      <c r="R250" s="168" t="s">
        <v>59</v>
      </c>
    </row>
    <row r="251" spans="1:18" x14ac:dyDescent="0.25">
      <c r="A251" s="56"/>
      <c r="G251" s="13"/>
      <c r="H251" s="35">
        <v>246</v>
      </c>
      <c r="I251" s="36" t="str">
        <f t="shared" si="16"/>
        <v/>
      </c>
      <c r="J251" s="36">
        <f t="shared" si="19"/>
        <v>-6</v>
      </c>
      <c r="K251" s="35">
        <f t="shared" si="17"/>
        <v>-60</v>
      </c>
      <c r="L251" s="35"/>
      <c r="M251" s="37">
        <f t="shared" si="18"/>
        <v>0</v>
      </c>
      <c r="N251" s="166" t="s">
        <v>59</v>
      </c>
      <c r="O251" s="166" t="s">
        <v>59</v>
      </c>
      <c r="P251" s="167" t="s">
        <v>59</v>
      </c>
      <c r="Q251" s="168" t="s">
        <v>59</v>
      </c>
      <c r="R251" s="168" t="s">
        <v>59</v>
      </c>
    </row>
    <row r="252" spans="1:18" x14ac:dyDescent="0.25">
      <c r="A252" s="56"/>
      <c r="G252" s="13"/>
      <c r="H252" s="35">
        <v>247</v>
      </c>
      <c r="I252" s="36" t="str">
        <f t="shared" si="16"/>
        <v/>
      </c>
      <c r="J252" s="36">
        <f t="shared" si="19"/>
        <v>-6</v>
      </c>
      <c r="K252" s="35">
        <f t="shared" si="17"/>
        <v>-60</v>
      </c>
      <c r="L252" s="35"/>
      <c r="M252" s="37">
        <f t="shared" si="18"/>
        <v>0</v>
      </c>
      <c r="N252" s="166" t="s">
        <v>59</v>
      </c>
      <c r="O252" s="166" t="s">
        <v>59</v>
      </c>
      <c r="P252" s="167" t="s">
        <v>59</v>
      </c>
      <c r="Q252" s="168" t="s">
        <v>59</v>
      </c>
      <c r="R252" s="168" t="s">
        <v>59</v>
      </c>
    </row>
    <row r="253" spans="1:18" x14ac:dyDescent="0.25">
      <c r="A253" s="56"/>
      <c r="G253" s="13"/>
      <c r="H253" s="35">
        <v>248</v>
      </c>
      <c r="I253" s="36" t="str">
        <f t="shared" si="16"/>
        <v/>
      </c>
      <c r="J253" s="36">
        <f t="shared" si="19"/>
        <v>-6</v>
      </c>
      <c r="K253" s="35">
        <f t="shared" si="17"/>
        <v>-60</v>
      </c>
      <c r="L253" s="35"/>
      <c r="M253" s="37">
        <f t="shared" si="18"/>
        <v>0</v>
      </c>
      <c r="N253" s="166" t="s">
        <v>59</v>
      </c>
      <c r="O253" s="166" t="s">
        <v>59</v>
      </c>
      <c r="P253" s="167" t="s">
        <v>59</v>
      </c>
      <c r="Q253" s="168" t="s">
        <v>59</v>
      </c>
      <c r="R253" s="168" t="s">
        <v>59</v>
      </c>
    </row>
    <row r="254" spans="1:18" x14ac:dyDescent="0.25">
      <c r="A254" s="56"/>
      <c r="G254" s="13"/>
      <c r="H254" s="35">
        <v>249</v>
      </c>
      <c r="I254" s="36" t="str">
        <f t="shared" si="16"/>
        <v/>
      </c>
      <c r="J254" s="36">
        <f t="shared" si="19"/>
        <v>-6</v>
      </c>
      <c r="K254" s="35">
        <f t="shared" si="17"/>
        <v>-60</v>
      </c>
      <c r="L254" s="35"/>
      <c r="M254" s="37">
        <f t="shared" si="18"/>
        <v>0</v>
      </c>
      <c r="N254" s="166" t="s">
        <v>59</v>
      </c>
      <c r="O254" s="166" t="s">
        <v>59</v>
      </c>
      <c r="P254" s="167" t="s">
        <v>59</v>
      </c>
      <c r="Q254" s="168" t="s">
        <v>59</v>
      </c>
      <c r="R254" s="168" t="s">
        <v>59</v>
      </c>
    </row>
    <row r="255" spans="1:18" x14ac:dyDescent="0.25">
      <c r="A255" s="56"/>
      <c r="G255" s="13"/>
      <c r="H255" s="35">
        <v>250</v>
      </c>
      <c r="I255" s="36" t="str">
        <f t="shared" si="16"/>
        <v/>
      </c>
      <c r="J255" s="36">
        <f t="shared" si="19"/>
        <v>-6</v>
      </c>
      <c r="K255" s="35">
        <f t="shared" si="17"/>
        <v>-60</v>
      </c>
      <c r="L255" s="35"/>
      <c r="M255" s="37">
        <f t="shared" si="18"/>
        <v>0</v>
      </c>
      <c r="N255" s="166" t="s">
        <v>59</v>
      </c>
      <c r="O255" s="166" t="s">
        <v>59</v>
      </c>
      <c r="P255" s="167" t="s">
        <v>59</v>
      </c>
      <c r="Q255" s="168" t="s">
        <v>59</v>
      </c>
      <c r="R255" s="168" t="s">
        <v>59</v>
      </c>
    </row>
    <row r="256" spans="1:18" x14ac:dyDescent="0.25">
      <c r="A256" s="56"/>
      <c r="G256" s="13"/>
      <c r="H256" s="35">
        <v>251</v>
      </c>
      <c r="I256" s="36" t="str">
        <f t="shared" si="16"/>
        <v/>
      </c>
      <c r="J256" s="36">
        <f t="shared" si="19"/>
        <v>-6</v>
      </c>
      <c r="K256" s="35">
        <f t="shared" si="17"/>
        <v>-60</v>
      </c>
      <c r="L256" s="35"/>
      <c r="M256" s="37">
        <f t="shared" si="18"/>
        <v>0</v>
      </c>
      <c r="N256" s="166" t="s">
        <v>59</v>
      </c>
      <c r="O256" s="166" t="s">
        <v>59</v>
      </c>
      <c r="P256" s="167" t="s">
        <v>59</v>
      </c>
      <c r="Q256" s="168" t="s">
        <v>59</v>
      </c>
      <c r="R256" s="168" t="s">
        <v>59</v>
      </c>
    </row>
    <row r="257" spans="1:18" x14ac:dyDescent="0.25">
      <c r="A257" s="56"/>
      <c r="G257" s="13"/>
      <c r="H257" s="35">
        <v>252</v>
      </c>
      <c r="I257" s="36" t="str">
        <f t="shared" si="16"/>
        <v/>
      </c>
      <c r="J257" s="36">
        <f t="shared" si="19"/>
        <v>-6</v>
      </c>
      <c r="K257" s="35">
        <f t="shared" si="17"/>
        <v>-60</v>
      </c>
      <c r="L257" s="35"/>
      <c r="M257" s="37">
        <f t="shared" si="18"/>
        <v>0</v>
      </c>
      <c r="N257" s="166" t="s">
        <v>59</v>
      </c>
      <c r="O257" s="166" t="s">
        <v>59</v>
      </c>
      <c r="P257" s="167" t="s">
        <v>59</v>
      </c>
      <c r="Q257" s="168" t="s">
        <v>59</v>
      </c>
      <c r="R257" s="168" t="s">
        <v>59</v>
      </c>
    </row>
    <row r="258" spans="1:18" x14ac:dyDescent="0.25">
      <c r="A258" s="56"/>
      <c r="G258" s="13"/>
      <c r="H258" s="35">
        <v>253</v>
      </c>
      <c r="I258" s="36" t="str">
        <f t="shared" si="16"/>
        <v/>
      </c>
      <c r="J258" s="36">
        <f t="shared" si="19"/>
        <v>-6</v>
      </c>
      <c r="K258" s="35">
        <f t="shared" si="17"/>
        <v>-60</v>
      </c>
      <c r="L258" s="35"/>
      <c r="M258" s="37">
        <f t="shared" si="18"/>
        <v>0</v>
      </c>
      <c r="N258" s="166" t="s">
        <v>59</v>
      </c>
      <c r="O258" s="166" t="s">
        <v>59</v>
      </c>
      <c r="P258" s="167" t="s">
        <v>59</v>
      </c>
      <c r="Q258" s="168" t="s">
        <v>59</v>
      </c>
      <c r="R258" s="168" t="s">
        <v>59</v>
      </c>
    </row>
    <row r="259" spans="1:18" x14ac:dyDescent="0.25">
      <c r="A259" s="56"/>
      <c r="G259" s="13"/>
      <c r="H259" s="35">
        <v>254</v>
      </c>
      <c r="I259" s="36" t="str">
        <f t="shared" si="16"/>
        <v/>
      </c>
      <c r="J259" s="36">
        <f t="shared" si="19"/>
        <v>-6</v>
      </c>
      <c r="K259" s="35">
        <f t="shared" si="17"/>
        <v>-60</v>
      </c>
      <c r="L259" s="35"/>
      <c r="M259" s="37">
        <f t="shared" si="18"/>
        <v>0</v>
      </c>
      <c r="N259" s="166" t="s">
        <v>59</v>
      </c>
      <c r="O259" s="166" t="s">
        <v>59</v>
      </c>
      <c r="P259" s="167" t="s">
        <v>59</v>
      </c>
      <c r="Q259" s="168" t="s">
        <v>59</v>
      </c>
      <c r="R259" s="168" t="s">
        <v>59</v>
      </c>
    </row>
    <row r="260" spans="1:18" x14ac:dyDescent="0.25">
      <c r="A260" s="56"/>
      <c r="G260" s="13"/>
      <c r="H260" s="35">
        <v>255</v>
      </c>
      <c r="I260" s="36" t="str">
        <f t="shared" si="16"/>
        <v/>
      </c>
      <c r="J260" s="36">
        <f t="shared" si="19"/>
        <v>-6</v>
      </c>
      <c r="K260" s="35">
        <f t="shared" si="17"/>
        <v>-60</v>
      </c>
      <c r="L260" s="35"/>
      <c r="M260" s="37">
        <f t="shared" si="18"/>
        <v>0</v>
      </c>
      <c r="N260" s="166" t="s">
        <v>59</v>
      </c>
      <c r="O260" s="166" t="s">
        <v>59</v>
      </c>
      <c r="P260" s="167" t="s">
        <v>59</v>
      </c>
      <c r="Q260" s="168" t="s">
        <v>59</v>
      </c>
      <c r="R260" s="168" t="s">
        <v>59</v>
      </c>
    </row>
    <row r="261" spans="1:18" x14ac:dyDescent="0.25">
      <c r="A261" s="56"/>
      <c r="G261" s="13"/>
      <c r="H261" s="35">
        <v>256</v>
      </c>
      <c r="I261" s="36" t="str">
        <f t="shared" si="16"/>
        <v/>
      </c>
      <c r="J261" s="36">
        <f t="shared" si="19"/>
        <v>-6</v>
      </c>
      <c r="K261" s="35">
        <f t="shared" si="17"/>
        <v>-60</v>
      </c>
      <c r="L261" s="35"/>
      <c r="M261" s="37">
        <f t="shared" si="18"/>
        <v>0</v>
      </c>
      <c r="N261" s="166" t="s">
        <v>59</v>
      </c>
      <c r="O261" s="166" t="s">
        <v>59</v>
      </c>
      <c r="P261" s="167" t="s">
        <v>59</v>
      </c>
      <c r="Q261" s="168" t="s">
        <v>59</v>
      </c>
      <c r="R261" s="168" t="s">
        <v>59</v>
      </c>
    </row>
    <row r="262" spans="1:18" x14ac:dyDescent="0.25">
      <c r="A262" s="56"/>
      <c r="G262" s="13"/>
      <c r="H262" s="35">
        <v>257</v>
      </c>
      <c r="I262" s="36" t="str">
        <f t="shared" ref="I262:I305" si="20">IF(H262&lt;$H$2+1,($I$2-($I$2-1)*(LOG(H262)/LOG($H$2))),"")</f>
        <v/>
      </c>
      <c r="J262" s="36">
        <f t="shared" si="19"/>
        <v>-7</v>
      </c>
      <c r="K262" s="35">
        <f t="shared" ref="K262:K305" si="21">J262*$J$2</f>
        <v>-70</v>
      </c>
      <c r="L262" s="35"/>
      <c r="M262" s="37">
        <f t="shared" ref="M262:M305" si="22">IF(I262&lt;&gt;"",K262+I262+L262,0)</f>
        <v>0</v>
      </c>
      <c r="N262" s="166" t="s">
        <v>59</v>
      </c>
      <c r="O262" s="166" t="s">
        <v>59</v>
      </c>
      <c r="P262" s="167" t="s">
        <v>59</v>
      </c>
      <c r="Q262" s="168" t="s">
        <v>59</v>
      </c>
      <c r="R262" s="168" t="s">
        <v>59</v>
      </c>
    </row>
    <row r="263" spans="1:18" x14ac:dyDescent="0.25">
      <c r="A263" s="56"/>
      <c r="G263" s="13"/>
      <c r="H263" s="35">
        <v>258</v>
      </c>
      <c r="I263" s="36" t="str">
        <f t="shared" si="20"/>
        <v/>
      </c>
      <c r="J263" s="36">
        <f t="shared" ref="J263:J305" si="23">INT(LOG($H$2,2))-ROUNDUP(LOG(H263,2),0)+IF(OR($H$2=1,$H$2=2,$H$2=4,$H$2=8,$H$2=16,$H$2=32,$H$2=64,$H$2=128,$H$2=256),0,1)</f>
        <v>-7</v>
      </c>
      <c r="K263" s="35">
        <f t="shared" si="21"/>
        <v>-70</v>
      </c>
      <c r="L263" s="35"/>
      <c r="M263" s="37">
        <f t="shared" si="22"/>
        <v>0</v>
      </c>
      <c r="N263" s="166" t="s">
        <v>59</v>
      </c>
      <c r="O263" s="166" t="s">
        <v>59</v>
      </c>
      <c r="P263" s="167" t="s">
        <v>59</v>
      </c>
      <c r="Q263" s="168" t="s">
        <v>59</v>
      </c>
      <c r="R263" s="168" t="s">
        <v>59</v>
      </c>
    </row>
    <row r="264" spans="1:18" x14ac:dyDescent="0.25">
      <c r="A264" s="56"/>
      <c r="G264" s="13"/>
      <c r="H264" s="35">
        <v>259</v>
      </c>
      <c r="I264" s="36" t="str">
        <f t="shared" si="20"/>
        <v/>
      </c>
      <c r="J264" s="36">
        <f t="shared" si="23"/>
        <v>-7</v>
      </c>
      <c r="K264" s="35">
        <f t="shared" si="21"/>
        <v>-70</v>
      </c>
      <c r="L264" s="35"/>
      <c r="M264" s="37">
        <f t="shared" si="22"/>
        <v>0</v>
      </c>
      <c r="N264" s="166" t="s">
        <v>59</v>
      </c>
      <c r="O264" s="166" t="s">
        <v>59</v>
      </c>
      <c r="P264" s="167" t="s">
        <v>59</v>
      </c>
      <c r="Q264" s="168" t="s">
        <v>59</v>
      </c>
      <c r="R264" s="168" t="s">
        <v>59</v>
      </c>
    </row>
    <row r="265" spans="1:18" x14ac:dyDescent="0.25">
      <c r="A265" s="56"/>
      <c r="G265" s="13"/>
      <c r="H265" s="35">
        <v>260</v>
      </c>
      <c r="I265" s="36" t="str">
        <f t="shared" si="20"/>
        <v/>
      </c>
      <c r="J265" s="36">
        <f t="shared" si="23"/>
        <v>-7</v>
      </c>
      <c r="K265" s="35">
        <f t="shared" si="21"/>
        <v>-70</v>
      </c>
      <c r="L265" s="35"/>
      <c r="M265" s="37">
        <f t="shared" si="22"/>
        <v>0</v>
      </c>
      <c r="N265" s="166" t="s">
        <v>59</v>
      </c>
      <c r="O265" s="166" t="s">
        <v>59</v>
      </c>
      <c r="P265" s="167" t="s">
        <v>59</v>
      </c>
      <c r="Q265" s="168" t="s">
        <v>59</v>
      </c>
      <c r="R265" s="168" t="s">
        <v>59</v>
      </c>
    </row>
    <row r="266" spans="1:18" x14ac:dyDescent="0.25">
      <c r="A266" s="56"/>
      <c r="G266" s="13"/>
      <c r="H266" s="35">
        <v>261</v>
      </c>
      <c r="I266" s="36" t="str">
        <f t="shared" si="20"/>
        <v/>
      </c>
      <c r="J266" s="36">
        <f t="shared" si="23"/>
        <v>-7</v>
      </c>
      <c r="K266" s="35">
        <f t="shared" si="21"/>
        <v>-70</v>
      </c>
      <c r="L266" s="35"/>
      <c r="M266" s="37">
        <f t="shared" si="22"/>
        <v>0</v>
      </c>
      <c r="N266" s="166" t="s">
        <v>59</v>
      </c>
      <c r="O266" s="166" t="s">
        <v>59</v>
      </c>
      <c r="P266" s="167" t="s">
        <v>59</v>
      </c>
      <c r="Q266" s="168" t="s">
        <v>59</v>
      </c>
      <c r="R266" s="168" t="s">
        <v>59</v>
      </c>
    </row>
    <row r="267" spans="1:18" x14ac:dyDescent="0.25">
      <c r="A267" s="56"/>
      <c r="G267" s="13"/>
      <c r="H267" s="35">
        <v>262</v>
      </c>
      <c r="I267" s="36" t="str">
        <f t="shared" si="20"/>
        <v/>
      </c>
      <c r="J267" s="36">
        <f t="shared" si="23"/>
        <v>-7</v>
      </c>
      <c r="K267" s="35">
        <f t="shared" si="21"/>
        <v>-70</v>
      </c>
      <c r="L267" s="35"/>
      <c r="M267" s="37">
        <f t="shared" si="22"/>
        <v>0</v>
      </c>
      <c r="N267" s="166" t="s">
        <v>59</v>
      </c>
      <c r="O267" s="166" t="s">
        <v>59</v>
      </c>
      <c r="P267" s="167" t="s">
        <v>59</v>
      </c>
      <c r="Q267" s="168" t="s">
        <v>59</v>
      </c>
      <c r="R267" s="168" t="s">
        <v>59</v>
      </c>
    </row>
    <row r="268" spans="1:18" x14ac:dyDescent="0.25">
      <c r="A268" s="56"/>
      <c r="G268" s="13"/>
      <c r="H268" s="35">
        <v>263</v>
      </c>
      <c r="I268" s="36" t="str">
        <f t="shared" si="20"/>
        <v/>
      </c>
      <c r="J268" s="36">
        <f t="shared" si="23"/>
        <v>-7</v>
      </c>
      <c r="K268" s="35">
        <f t="shared" si="21"/>
        <v>-70</v>
      </c>
      <c r="L268" s="35"/>
      <c r="M268" s="37">
        <f t="shared" si="22"/>
        <v>0</v>
      </c>
      <c r="N268" s="166" t="s">
        <v>59</v>
      </c>
      <c r="O268" s="166" t="s">
        <v>59</v>
      </c>
      <c r="P268" s="167" t="s">
        <v>59</v>
      </c>
      <c r="Q268" s="168" t="s">
        <v>59</v>
      </c>
      <c r="R268" s="168" t="s">
        <v>59</v>
      </c>
    </row>
    <row r="269" spans="1:18" x14ac:dyDescent="0.25">
      <c r="A269" s="56"/>
      <c r="G269" s="13"/>
      <c r="H269" s="35">
        <v>264</v>
      </c>
      <c r="I269" s="36" t="str">
        <f t="shared" si="20"/>
        <v/>
      </c>
      <c r="J269" s="36">
        <f t="shared" si="23"/>
        <v>-7</v>
      </c>
      <c r="K269" s="35">
        <f t="shared" si="21"/>
        <v>-70</v>
      </c>
      <c r="L269" s="35"/>
      <c r="M269" s="37">
        <f t="shared" si="22"/>
        <v>0</v>
      </c>
      <c r="N269" s="166" t="s">
        <v>59</v>
      </c>
      <c r="O269" s="166" t="s">
        <v>59</v>
      </c>
      <c r="P269" s="167" t="s">
        <v>59</v>
      </c>
      <c r="Q269" s="168" t="s">
        <v>59</v>
      </c>
      <c r="R269" s="168" t="s">
        <v>59</v>
      </c>
    </row>
    <row r="270" spans="1:18" x14ac:dyDescent="0.25">
      <c r="A270" s="56"/>
      <c r="G270" s="13"/>
      <c r="H270" s="35">
        <v>265</v>
      </c>
      <c r="I270" s="36" t="str">
        <f t="shared" si="20"/>
        <v/>
      </c>
      <c r="J270" s="36">
        <f t="shared" si="23"/>
        <v>-7</v>
      </c>
      <c r="K270" s="35">
        <f t="shared" si="21"/>
        <v>-70</v>
      </c>
      <c r="L270" s="35"/>
      <c r="M270" s="37">
        <f t="shared" si="22"/>
        <v>0</v>
      </c>
      <c r="N270" s="166" t="s">
        <v>59</v>
      </c>
      <c r="O270" s="166" t="s">
        <v>59</v>
      </c>
      <c r="P270" s="167" t="s">
        <v>59</v>
      </c>
      <c r="Q270" s="168" t="s">
        <v>59</v>
      </c>
      <c r="R270" s="168" t="s">
        <v>59</v>
      </c>
    </row>
    <row r="271" spans="1:18" x14ac:dyDescent="0.25">
      <c r="A271" s="56"/>
      <c r="G271" s="13"/>
      <c r="H271" s="35">
        <v>266</v>
      </c>
      <c r="I271" s="36" t="str">
        <f t="shared" si="20"/>
        <v/>
      </c>
      <c r="J271" s="36">
        <f t="shared" si="23"/>
        <v>-7</v>
      </c>
      <c r="K271" s="35">
        <f t="shared" si="21"/>
        <v>-70</v>
      </c>
      <c r="L271" s="35"/>
      <c r="M271" s="37">
        <f t="shared" si="22"/>
        <v>0</v>
      </c>
      <c r="N271" s="166" t="s">
        <v>59</v>
      </c>
      <c r="O271" s="166" t="s">
        <v>59</v>
      </c>
      <c r="P271" s="167" t="s">
        <v>59</v>
      </c>
      <c r="Q271" s="168" t="s">
        <v>59</v>
      </c>
      <c r="R271" s="168" t="s">
        <v>59</v>
      </c>
    </row>
    <row r="272" spans="1:18" x14ac:dyDescent="0.25">
      <c r="A272" s="56"/>
      <c r="G272" s="13"/>
      <c r="H272" s="35">
        <v>267</v>
      </c>
      <c r="I272" s="36" t="str">
        <f t="shared" si="20"/>
        <v/>
      </c>
      <c r="J272" s="36">
        <f t="shared" si="23"/>
        <v>-7</v>
      </c>
      <c r="K272" s="35">
        <f t="shared" si="21"/>
        <v>-70</v>
      </c>
      <c r="L272" s="35"/>
      <c r="M272" s="37">
        <f t="shared" si="22"/>
        <v>0</v>
      </c>
      <c r="N272" s="166" t="s">
        <v>59</v>
      </c>
      <c r="O272" s="166" t="s">
        <v>59</v>
      </c>
      <c r="P272" s="167" t="s">
        <v>59</v>
      </c>
      <c r="Q272" s="168" t="s">
        <v>59</v>
      </c>
      <c r="R272" s="168" t="s">
        <v>59</v>
      </c>
    </row>
    <row r="273" spans="1:18" x14ac:dyDescent="0.25">
      <c r="A273" s="56"/>
      <c r="G273" s="13"/>
      <c r="H273" s="35">
        <v>268</v>
      </c>
      <c r="I273" s="36" t="str">
        <f t="shared" si="20"/>
        <v/>
      </c>
      <c r="J273" s="36">
        <f t="shared" si="23"/>
        <v>-7</v>
      </c>
      <c r="K273" s="35">
        <f t="shared" si="21"/>
        <v>-70</v>
      </c>
      <c r="L273" s="35"/>
      <c r="M273" s="37">
        <f t="shared" si="22"/>
        <v>0</v>
      </c>
      <c r="N273" s="166" t="s">
        <v>59</v>
      </c>
      <c r="O273" s="166" t="s">
        <v>59</v>
      </c>
      <c r="P273" s="167" t="s">
        <v>59</v>
      </c>
      <c r="Q273" s="168" t="s">
        <v>59</v>
      </c>
      <c r="R273" s="168" t="s">
        <v>59</v>
      </c>
    </row>
    <row r="274" spans="1:18" x14ac:dyDescent="0.25">
      <c r="A274" s="56"/>
      <c r="G274" s="13"/>
      <c r="H274" s="35">
        <v>269</v>
      </c>
      <c r="I274" s="36" t="str">
        <f t="shared" si="20"/>
        <v/>
      </c>
      <c r="J274" s="36">
        <f t="shared" si="23"/>
        <v>-7</v>
      </c>
      <c r="K274" s="35">
        <f t="shared" si="21"/>
        <v>-70</v>
      </c>
      <c r="L274" s="35"/>
      <c r="M274" s="37">
        <f t="shared" si="22"/>
        <v>0</v>
      </c>
      <c r="N274" s="166" t="s">
        <v>59</v>
      </c>
      <c r="O274" s="166" t="s">
        <v>59</v>
      </c>
      <c r="P274" s="167" t="s">
        <v>59</v>
      </c>
      <c r="Q274" s="168" t="s">
        <v>59</v>
      </c>
      <c r="R274" s="168" t="s">
        <v>59</v>
      </c>
    </row>
    <row r="275" spans="1:18" x14ac:dyDescent="0.25">
      <c r="A275" s="56"/>
      <c r="G275" s="13"/>
      <c r="H275" s="35">
        <v>270</v>
      </c>
      <c r="I275" s="36" t="str">
        <f t="shared" si="20"/>
        <v/>
      </c>
      <c r="J275" s="36">
        <f t="shared" si="23"/>
        <v>-7</v>
      </c>
      <c r="K275" s="35">
        <f t="shared" si="21"/>
        <v>-70</v>
      </c>
      <c r="L275" s="35"/>
      <c r="M275" s="37">
        <f t="shared" si="22"/>
        <v>0</v>
      </c>
      <c r="N275" s="166" t="s">
        <v>59</v>
      </c>
      <c r="O275" s="166" t="s">
        <v>59</v>
      </c>
      <c r="P275" s="167" t="s">
        <v>59</v>
      </c>
      <c r="Q275" s="168" t="s">
        <v>59</v>
      </c>
      <c r="R275" s="168" t="s">
        <v>59</v>
      </c>
    </row>
    <row r="276" spans="1:18" x14ac:dyDescent="0.25">
      <c r="A276" s="56"/>
      <c r="G276" s="13"/>
      <c r="H276" s="35">
        <v>271</v>
      </c>
      <c r="I276" s="36" t="str">
        <f t="shared" si="20"/>
        <v/>
      </c>
      <c r="J276" s="36">
        <f t="shared" si="23"/>
        <v>-7</v>
      </c>
      <c r="K276" s="35">
        <f t="shared" si="21"/>
        <v>-70</v>
      </c>
      <c r="L276" s="35"/>
      <c r="M276" s="37">
        <f t="shared" si="22"/>
        <v>0</v>
      </c>
      <c r="N276" s="166" t="s">
        <v>59</v>
      </c>
      <c r="O276" s="166" t="s">
        <v>59</v>
      </c>
      <c r="P276" s="167" t="s">
        <v>59</v>
      </c>
      <c r="Q276" s="168" t="s">
        <v>59</v>
      </c>
      <c r="R276" s="168" t="s">
        <v>59</v>
      </c>
    </row>
    <row r="277" spans="1:18" x14ac:dyDescent="0.25">
      <c r="A277" s="56"/>
      <c r="G277" s="13"/>
      <c r="H277" s="35">
        <v>272</v>
      </c>
      <c r="I277" s="36" t="str">
        <f t="shared" si="20"/>
        <v/>
      </c>
      <c r="J277" s="36">
        <f t="shared" si="23"/>
        <v>-7</v>
      </c>
      <c r="K277" s="35">
        <f t="shared" si="21"/>
        <v>-70</v>
      </c>
      <c r="L277" s="35"/>
      <c r="M277" s="37">
        <f t="shared" si="22"/>
        <v>0</v>
      </c>
      <c r="N277" s="166" t="s">
        <v>59</v>
      </c>
      <c r="O277" s="166" t="s">
        <v>59</v>
      </c>
      <c r="P277" s="167" t="s">
        <v>59</v>
      </c>
      <c r="Q277" s="168" t="s">
        <v>59</v>
      </c>
      <c r="R277" s="168" t="s">
        <v>59</v>
      </c>
    </row>
    <row r="278" spans="1:18" x14ac:dyDescent="0.25">
      <c r="A278" s="56"/>
      <c r="G278" s="13"/>
      <c r="H278" s="35">
        <v>273</v>
      </c>
      <c r="I278" s="36" t="str">
        <f t="shared" si="20"/>
        <v/>
      </c>
      <c r="J278" s="36">
        <f t="shared" si="23"/>
        <v>-7</v>
      </c>
      <c r="K278" s="35">
        <f t="shared" si="21"/>
        <v>-70</v>
      </c>
      <c r="L278" s="35"/>
      <c r="M278" s="37">
        <f t="shared" si="22"/>
        <v>0</v>
      </c>
      <c r="N278" s="166" t="s">
        <v>59</v>
      </c>
      <c r="O278" s="166" t="s">
        <v>59</v>
      </c>
      <c r="P278" s="167" t="s">
        <v>59</v>
      </c>
      <c r="Q278" s="168" t="s">
        <v>59</v>
      </c>
      <c r="R278" s="168" t="s">
        <v>59</v>
      </c>
    </row>
    <row r="279" spans="1:18" x14ac:dyDescent="0.25">
      <c r="A279" s="56"/>
      <c r="G279" s="13"/>
      <c r="H279" s="35">
        <v>274</v>
      </c>
      <c r="I279" s="36" t="str">
        <f t="shared" si="20"/>
        <v/>
      </c>
      <c r="J279" s="36">
        <f t="shared" si="23"/>
        <v>-7</v>
      </c>
      <c r="K279" s="35">
        <f t="shared" si="21"/>
        <v>-70</v>
      </c>
      <c r="L279" s="35"/>
      <c r="M279" s="37">
        <f t="shared" si="22"/>
        <v>0</v>
      </c>
      <c r="N279" s="166" t="s">
        <v>59</v>
      </c>
      <c r="O279" s="166" t="s">
        <v>59</v>
      </c>
      <c r="P279" s="167" t="s">
        <v>59</v>
      </c>
      <c r="Q279" s="168" t="s">
        <v>59</v>
      </c>
      <c r="R279" s="168" t="s">
        <v>59</v>
      </c>
    </row>
    <row r="280" spans="1:18" x14ac:dyDescent="0.25">
      <c r="A280" s="56"/>
      <c r="G280" s="13"/>
      <c r="H280" s="35">
        <v>275</v>
      </c>
      <c r="I280" s="36" t="str">
        <f t="shared" si="20"/>
        <v/>
      </c>
      <c r="J280" s="36">
        <f t="shared" si="23"/>
        <v>-7</v>
      </c>
      <c r="K280" s="35">
        <f t="shared" si="21"/>
        <v>-70</v>
      </c>
      <c r="L280" s="35"/>
      <c r="M280" s="37">
        <f t="shared" si="22"/>
        <v>0</v>
      </c>
      <c r="N280" s="166" t="s">
        <v>59</v>
      </c>
      <c r="O280" s="166" t="s">
        <v>59</v>
      </c>
      <c r="P280" s="167" t="s">
        <v>59</v>
      </c>
      <c r="Q280" s="168" t="s">
        <v>59</v>
      </c>
      <c r="R280" s="168" t="s">
        <v>59</v>
      </c>
    </row>
    <row r="281" spans="1:18" x14ac:dyDescent="0.25">
      <c r="A281" s="56"/>
      <c r="G281" s="13"/>
      <c r="H281" s="35">
        <v>276</v>
      </c>
      <c r="I281" s="36" t="str">
        <f t="shared" si="20"/>
        <v/>
      </c>
      <c r="J281" s="36">
        <f t="shared" si="23"/>
        <v>-7</v>
      </c>
      <c r="K281" s="35">
        <f t="shared" si="21"/>
        <v>-70</v>
      </c>
      <c r="L281" s="35"/>
      <c r="M281" s="37">
        <f t="shared" si="22"/>
        <v>0</v>
      </c>
      <c r="N281" s="166" t="s">
        <v>59</v>
      </c>
      <c r="O281" s="166" t="s">
        <v>59</v>
      </c>
      <c r="P281" s="167" t="s">
        <v>59</v>
      </c>
      <c r="Q281" s="168" t="s">
        <v>59</v>
      </c>
      <c r="R281" s="168" t="s">
        <v>59</v>
      </c>
    </row>
    <row r="282" spans="1:18" x14ac:dyDescent="0.25">
      <c r="A282" s="56"/>
      <c r="G282" s="13"/>
      <c r="H282" s="35">
        <v>277</v>
      </c>
      <c r="I282" s="36" t="str">
        <f t="shared" si="20"/>
        <v/>
      </c>
      <c r="J282" s="36">
        <f t="shared" si="23"/>
        <v>-7</v>
      </c>
      <c r="K282" s="35">
        <f t="shared" si="21"/>
        <v>-70</v>
      </c>
      <c r="L282" s="35"/>
      <c r="M282" s="37">
        <f t="shared" si="22"/>
        <v>0</v>
      </c>
      <c r="N282" s="166" t="s">
        <v>59</v>
      </c>
      <c r="O282" s="166" t="s">
        <v>59</v>
      </c>
      <c r="P282" s="167" t="s">
        <v>59</v>
      </c>
      <c r="Q282" s="168" t="s">
        <v>59</v>
      </c>
      <c r="R282" s="168" t="s">
        <v>59</v>
      </c>
    </row>
    <row r="283" spans="1:18" x14ac:dyDescent="0.25">
      <c r="A283" s="56"/>
      <c r="G283" s="13"/>
      <c r="H283" s="35">
        <v>278</v>
      </c>
      <c r="I283" s="36" t="str">
        <f t="shared" si="20"/>
        <v/>
      </c>
      <c r="J283" s="36">
        <f t="shared" si="23"/>
        <v>-7</v>
      </c>
      <c r="K283" s="35">
        <f t="shared" si="21"/>
        <v>-70</v>
      </c>
      <c r="L283" s="35"/>
      <c r="M283" s="37">
        <f t="shared" si="22"/>
        <v>0</v>
      </c>
      <c r="N283" s="166" t="s">
        <v>59</v>
      </c>
      <c r="O283" s="166" t="s">
        <v>59</v>
      </c>
      <c r="P283" s="167" t="s">
        <v>59</v>
      </c>
      <c r="Q283" s="168" t="s">
        <v>59</v>
      </c>
      <c r="R283" s="168" t="s">
        <v>59</v>
      </c>
    </row>
    <row r="284" spans="1:18" x14ac:dyDescent="0.25">
      <c r="A284" s="56"/>
      <c r="G284" s="13"/>
      <c r="H284" s="35">
        <v>279</v>
      </c>
      <c r="I284" s="36" t="str">
        <f t="shared" si="20"/>
        <v/>
      </c>
      <c r="J284" s="36">
        <f t="shared" si="23"/>
        <v>-7</v>
      </c>
      <c r="K284" s="35">
        <f t="shared" si="21"/>
        <v>-70</v>
      </c>
      <c r="L284" s="35"/>
      <c r="M284" s="37">
        <f t="shared" si="22"/>
        <v>0</v>
      </c>
      <c r="N284" s="166" t="s">
        <v>59</v>
      </c>
      <c r="O284" s="166" t="s">
        <v>59</v>
      </c>
      <c r="P284" s="167" t="s">
        <v>59</v>
      </c>
      <c r="Q284" s="168" t="s">
        <v>59</v>
      </c>
      <c r="R284" s="168" t="s">
        <v>59</v>
      </c>
    </row>
    <row r="285" spans="1:18" x14ac:dyDescent="0.25">
      <c r="A285" s="56"/>
      <c r="G285" s="13"/>
      <c r="H285" s="35">
        <v>280</v>
      </c>
      <c r="I285" s="36" t="str">
        <f t="shared" si="20"/>
        <v/>
      </c>
      <c r="J285" s="36">
        <f t="shared" si="23"/>
        <v>-7</v>
      </c>
      <c r="K285" s="35">
        <f t="shared" si="21"/>
        <v>-70</v>
      </c>
      <c r="L285" s="35"/>
      <c r="M285" s="37">
        <f t="shared" si="22"/>
        <v>0</v>
      </c>
      <c r="N285" s="166" t="s">
        <v>59</v>
      </c>
      <c r="O285" s="166" t="s">
        <v>59</v>
      </c>
      <c r="P285" s="167" t="s">
        <v>59</v>
      </c>
      <c r="Q285" s="168" t="s">
        <v>59</v>
      </c>
      <c r="R285" s="168" t="s">
        <v>59</v>
      </c>
    </row>
    <row r="286" spans="1:18" x14ac:dyDescent="0.25">
      <c r="A286" s="56"/>
      <c r="G286" s="13"/>
      <c r="H286" s="35">
        <v>281</v>
      </c>
      <c r="I286" s="36" t="str">
        <f t="shared" si="20"/>
        <v/>
      </c>
      <c r="J286" s="36">
        <f t="shared" si="23"/>
        <v>-7</v>
      </c>
      <c r="K286" s="35">
        <f t="shared" si="21"/>
        <v>-70</v>
      </c>
      <c r="L286" s="35"/>
      <c r="M286" s="37">
        <f t="shared" si="22"/>
        <v>0</v>
      </c>
      <c r="N286" s="166" t="s">
        <v>59</v>
      </c>
      <c r="O286" s="166" t="s">
        <v>59</v>
      </c>
      <c r="P286" s="167" t="s">
        <v>59</v>
      </c>
      <c r="Q286" s="168" t="s">
        <v>59</v>
      </c>
      <c r="R286" s="168" t="s">
        <v>59</v>
      </c>
    </row>
    <row r="287" spans="1:18" x14ac:dyDescent="0.25">
      <c r="A287" s="56"/>
      <c r="G287" s="13"/>
      <c r="H287" s="35">
        <v>282</v>
      </c>
      <c r="I287" s="36" t="str">
        <f t="shared" si="20"/>
        <v/>
      </c>
      <c r="J287" s="36">
        <f t="shared" si="23"/>
        <v>-7</v>
      </c>
      <c r="K287" s="35">
        <f t="shared" si="21"/>
        <v>-70</v>
      </c>
      <c r="L287" s="35"/>
      <c r="M287" s="37">
        <f t="shared" si="22"/>
        <v>0</v>
      </c>
      <c r="N287" s="166" t="s">
        <v>59</v>
      </c>
      <c r="O287" s="166" t="s">
        <v>59</v>
      </c>
      <c r="P287" s="167" t="s">
        <v>59</v>
      </c>
      <c r="Q287" s="168" t="s">
        <v>59</v>
      </c>
      <c r="R287" s="168" t="s">
        <v>59</v>
      </c>
    </row>
    <row r="288" spans="1:18" x14ac:dyDescent="0.25">
      <c r="A288" s="56"/>
      <c r="G288" s="13"/>
      <c r="H288" s="35">
        <v>283</v>
      </c>
      <c r="I288" s="36" t="str">
        <f t="shared" si="20"/>
        <v/>
      </c>
      <c r="J288" s="36">
        <f t="shared" si="23"/>
        <v>-7</v>
      </c>
      <c r="K288" s="35">
        <f t="shared" si="21"/>
        <v>-70</v>
      </c>
      <c r="L288" s="35"/>
      <c r="M288" s="37">
        <f t="shared" si="22"/>
        <v>0</v>
      </c>
      <c r="N288" s="166" t="s">
        <v>59</v>
      </c>
      <c r="O288" s="166" t="s">
        <v>59</v>
      </c>
      <c r="P288" s="167" t="s">
        <v>59</v>
      </c>
      <c r="Q288" s="168" t="s">
        <v>59</v>
      </c>
      <c r="R288" s="168" t="s">
        <v>59</v>
      </c>
    </row>
    <row r="289" spans="1:18" x14ac:dyDescent="0.25">
      <c r="A289" s="56"/>
      <c r="G289" s="13"/>
      <c r="H289" s="35">
        <v>284</v>
      </c>
      <c r="I289" s="36" t="str">
        <f t="shared" si="20"/>
        <v/>
      </c>
      <c r="J289" s="36">
        <f t="shared" si="23"/>
        <v>-7</v>
      </c>
      <c r="K289" s="35">
        <f t="shared" si="21"/>
        <v>-70</v>
      </c>
      <c r="L289" s="35"/>
      <c r="M289" s="37">
        <f t="shared" si="22"/>
        <v>0</v>
      </c>
      <c r="N289" s="166" t="s">
        <v>59</v>
      </c>
      <c r="O289" s="166" t="s">
        <v>59</v>
      </c>
      <c r="P289" s="167" t="s">
        <v>59</v>
      </c>
      <c r="Q289" s="168" t="s">
        <v>59</v>
      </c>
      <c r="R289" s="168" t="s">
        <v>59</v>
      </c>
    </row>
    <row r="290" spans="1:18" x14ac:dyDescent="0.25">
      <c r="A290" s="56"/>
      <c r="G290" s="13"/>
      <c r="H290" s="35">
        <v>285</v>
      </c>
      <c r="I290" s="36" t="str">
        <f t="shared" si="20"/>
        <v/>
      </c>
      <c r="J290" s="36">
        <f t="shared" si="23"/>
        <v>-7</v>
      </c>
      <c r="K290" s="35">
        <f t="shared" si="21"/>
        <v>-70</v>
      </c>
      <c r="L290" s="35"/>
      <c r="M290" s="37">
        <f t="shared" si="22"/>
        <v>0</v>
      </c>
      <c r="N290" s="166" t="s">
        <v>59</v>
      </c>
      <c r="O290" s="166" t="s">
        <v>59</v>
      </c>
      <c r="P290" s="167" t="s">
        <v>59</v>
      </c>
      <c r="Q290" s="168" t="s">
        <v>59</v>
      </c>
      <c r="R290" s="168" t="s">
        <v>59</v>
      </c>
    </row>
    <row r="291" spans="1:18" x14ac:dyDescent="0.25">
      <c r="A291" s="56"/>
      <c r="G291" s="13"/>
      <c r="H291" s="35">
        <v>286</v>
      </c>
      <c r="I291" s="36" t="str">
        <f t="shared" si="20"/>
        <v/>
      </c>
      <c r="J291" s="36">
        <f t="shared" si="23"/>
        <v>-7</v>
      </c>
      <c r="K291" s="35">
        <f t="shared" si="21"/>
        <v>-70</v>
      </c>
      <c r="L291" s="35"/>
      <c r="M291" s="37">
        <f t="shared" si="22"/>
        <v>0</v>
      </c>
      <c r="N291" s="166" t="s">
        <v>59</v>
      </c>
      <c r="O291" s="166" t="s">
        <v>59</v>
      </c>
      <c r="P291" s="167" t="s">
        <v>59</v>
      </c>
      <c r="Q291" s="168" t="s">
        <v>59</v>
      </c>
      <c r="R291" s="168" t="s">
        <v>59</v>
      </c>
    </row>
    <row r="292" spans="1:18" x14ac:dyDescent="0.25">
      <c r="A292" s="56"/>
      <c r="G292" s="13"/>
      <c r="H292" s="35">
        <v>287</v>
      </c>
      <c r="I292" s="36" t="str">
        <f t="shared" si="20"/>
        <v/>
      </c>
      <c r="J292" s="36">
        <f t="shared" si="23"/>
        <v>-7</v>
      </c>
      <c r="K292" s="35">
        <f t="shared" si="21"/>
        <v>-70</v>
      </c>
      <c r="L292" s="35"/>
      <c r="M292" s="37">
        <f t="shared" si="22"/>
        <v>0</v>
      </c>
      <c r="N292" s="166" t="s">
        <v>59</v>
      </c>
      <c r="O292" s="166" t="s">
        <v>59</v>
      </c>
      <c r="P292" s="167" t="s">
        <v>59</v>
      </c>
      <c r="Q292" s="168" t="s">
        <v>59</v>
      </c>
      <c r="R292" s="168" t="s">
        <v>59</v>
      </c>
    </row>
    <row r="293" spans="1:18" x14ac:dyDescent="0.25">
      <c r="A293" s="56"/>
      <c r="G293" s="13"/>
      <c r="H293" s="35">
        <v>288</v>
      </c>
      <c r="I293" s="36" t="str">
        <f t="shared" si="20"/>
        <v/>
      </c>
      <c r="J293" s="36">
        <f t="shared" si="23"/>
        <v>-7</v>
      </c>
      <c r="K293" s="35">
        <f t="shared" si="21"/>
        <v>-70</v>
      </c>
      <c r="L293" s="35"/>
      <c r="M293" s="37">
        <f t="shared" si="22"/>
        <v>0</v>
      </c>
      <c r="N293" s="166" t="s">
        <v>59</v>
      </c>
      <c r="O293" s="166" t="s">
        <v>59</v>
      </c>
      <c r="P293" s="167" t="s">
        <v>59</v>
      </c>
      <c r="Q293" s="168" t="s">
        <v>59</v>
      </c>
      <c r="R293" s="168" t="s">
        <v>59</v>
      </c>
    </row>
    <row r="294" spans="1:18" x14ac:dyDescent="0.25">
      <c r="A294" s="56"/>
      <c r="G294" s="13"/>
      <c r="H294" s="35">
        <v>289</v>
      </c>
      <c r="I294" s="36" t="str">
        <f t="shared" si="20"/>
        <v/>
      </c>
      <c r="J294" s="36">
        <f t="shared" si="23"/>
        <v>-7</v>
      </c>
      <c r="K294" s="35">
        <f t="shared" si="21"/>
        <v>-70</v>
      </c>
      <c r="L294" s="35"/>
      <c r="M294" s="37">
        <f t="shared" si="22"/>
        <v>0</v>
      </c>
      <c r="N294" s="166" t="s">
        <v>59</v>
      </c>
      <c r="O294" s="166" t="s">
        <v>59</v>
      </c>
      <c r="P294" s="167" t="s">
        <v>59</v>
      </c>
      <c r="Q294" s="168" t="s">
        <v>59</v>
      </c>
      <c r="R294" s="168" t="s">
        <v>59</v>
      </c>
    </row>
    <row r="295" spans="1:18" x14ac:dyDescent="0.25">
      <c r="A295" s="56"/>
      <c r="G295" s="13"/>
      <c r="H295" s="35">
        <v>290</v>
      </c>
      <c r="I295" s="36" t="str">
        <f t="shared" si="20"/>
        <v/>
      </c>
      <c r="J295" s="36">
        <f t="shared" si="23"/>
        <v>-7</v>
      </c>
      <c r="K295" s="35">
        <f t="shared" si="21"/>
        <v>-70</v>
      </c>
      <c r="L295" s="35"/>
      <c r="M295" s="37">
        <f t="shared" si="22"/>
        <v>0</v>
      </c>
      <c r="N295" s="166" t="s">
        <v>59</v>
      </c>
      <c r="O295" s="166" t="s">
        <v>59</v>
      </c>
      <c r="P295" s="167" t="s">
        <v>59</v>
      </c>
      <c r="Q295" s="168" t="s">
        <v>59</v>
      </c>
      <c r="R295" s="168" t="s">
        <v>59</v>
      </c>
    </row>
    <row r="296" spans="1:18" x14ac:dyDescent="0.25">
      <c r="A296" s="56"/>
      <c r="G296" s="13"/>
      <c r="H296" s="35">
        <v>291</v>
      </c>
      <c r="I296" s="36" t="str">
        <f t="shared" si="20"/>
        <v/>
      </c>
      <c r="J296" s="36">
        <f t="shared" si="23"/>
        <v>-7</v>
      </c>
      <c r="K296" s="35">
        <f t="shared" si="21"/>
        <v>-70</v>
      </c>
      <c r="L296" s="35"/>
      <c r="M296" s="37">
        <f t="shared" si="22"/>
        <v>0</v>
      </c>
      <c r="N296" s="166" t="s">
        <v>59</v>
      </c>
      <c r="O296" s="166" t="s">
        <v>59</v>
      </c>
      <c r="P296" s="167" t="s">
        <v>59</v>
      </c>
      <c r="Q296" s="168" t="s">
        <v>59</v>
      </c>
      <c r="R296" s="168" t="s">
        <v>59</v>
      </c>
    </row>
    <row r="297" spans="1:18" x14ac:dyDescent="0.25">
      <c r="A297" s="56"/>
      <c r="G297" s="13"/>
      <c r="H297" s="35">
        <v>292</v>
      </c>
      <c r="I297" s="36" t="str">
        <f t="shared" si="20"/>
        <v/>
      </c>
      <c r="J297" s="36">
        <f t="shared" si="23"/>
        <v>-7</v>
      </c>
      <c r="K297" s="35">
        <f t="shared" si="21"/>
        <v>-70</v>
      </c>
      <c r="L297" s="35"/>
      <c r="M297" s="37">
        <f t="shared" si="22"/>
        <v>0</v>
      </c>
      <c r="N297" s="166" t="s">
        <v>59</v>
      </c>
      <c r="O297" s="166" t="s">
        <v>59</v>
      </c>
      <c r="P297" s="167" t="s">
        <v>59</v>
      </c>
      <c r="Q297" s="168" t="s">
        <v>59</v>
      </c>
      <c r="R297" s="168" t="s">
        <v>59</v>
      </c>
    </row>
    <row r="298" spans="1:18" x14ac:dyDescent="0.25">
      <c r="A298" s="56"/>
      <c r="G298" s="13"/>
      <c r="H298" s="35">
        <v>293</v>
      </c>
      <c r="I298" s="36" t="str">
        <f t="shared" si="20"/>
        <v/>
      </c>
      <c r="J298" s="36">
        <f t="shared" si="23"/>
        <v>-7</v>
      </c>
      <c r="K298" s="35">
        <f t="shared" si="21"/>
        <v>-70</v>
      </c>
      <c r="L298" s="35"/>
      <c r="M298" s="37">
        <f t="shared" si="22"/>
        <v>0</v>
      </c>
      <c r="N298" s="166" t="s">
        <v>59</v>
      </c>
      <c r="O298" s="166" t="s">
        <v>59</v>
      </c>
      <c r="P298" s="167" t="s">
        <v>59</v>
      </c>
      <c r="Q298" s="168" t="s">
        <v>59</v>
      </c>
      <c r="R298" s="168" t="s">
        <v>59</v>
      </c>
    </row>
    <row r="299" spans="1:18" x14ac:dyDescent="0.25">
      <c r="A299" s="56"/>
      <c r="G299" s="13"/>
      <c r="H299" s="35">
        <v>294</v>
      </c>
      <c r="I299" s="36" t="str">
        <f t="shared" si="20"/>
        <v/>
      </c>
      <c r="J299" s="36">
        <f t="shared" si="23"/>
        <v>-7</v>
      </c>
      <c r="K299" s="35">
        <f t="shared" si="21"/>
        <v>-70</v>
      </c>
      <c r="L299" s="35"/>
      <c r="M299" s="37">
        <f t="shared" si="22"/>
        <v>0</v>
      </c>
      <c r="N299" s="166" t="s">
        <v>59</v>
      </c>
      <c r="O299" s="166" t="s">
        <v>59</v>
      </c>
      <c r="P299" s="167" t="s">
        <v>59</v>
      </c>
      <c r="Q299" s="168" t="s">
        <v>59</v>
      </c>
      <c r="R299" s="168" t="s">
        <v>59</v>
      </c>
    </row>
    <row r="300" spans="1:18" x14ac:dyDescent="0.25">
      <c r="A300" s="56"/>
      <c r="G300" s="13"/>
      <c r="H300" s="35">
        <v>295</v>
      </c>
      <c r="I300" s="36" t="str">
        <f t="shared" si="20"/>
        <v/>
      </c>
      <c r="J300" s="36">
        <f t="shared" si="23"/>
        <v>-7</v>
      </c>
      <c r="K300" s="35">
        <f t="shared" si="21"/>
        <v>-70</v>
      </c>
      <c r="L300" s="35"/>
      <c r="M300" s="37">
        <f t="shared" si="22"/>
        <v>0</v>
      </c>
      <c r="N300" s="166" t="s">
        <v>59</v>
      </c>
      <c r="O300" s="166" t="s">
        <v>59</v>
      </c>
      <c r="P300" s="167" t="s">
        <v>59</v>
      </c>
      <c r="Q300" s="168" t="s">
        <v>59</v>
      </c>
      <c r="R300" s="168" t="s">
        <v>59</v>
      </c>
    </row>
    <row r="301" spans="1:18" x14ac:dyDescent="0.25">
      <c r="A301" s="56"/>
      <c r="G301" s="13"/>
      <c r="H301" s="35">
        <v>296</v>
      </c>
      <c r="I301" s="36" t="str">
        <f t="shared" si="20"/>
        <v/>
      </c>
      <c r="J301" s="36">
        <f t="shared" si="23"/>
        <v>-7</v>
      </c>
      <c r="K301" s="35">
        <f t="shared" si="21"/>
        <v>-70</v>
      </c>
      <c r="L301" s="35"/>
      <c r="M301" s="37">
        <f t="shared" si="22"/>
        <v>0</v>
      </c>
      <c r="N301" s="166" t="s">
        <v>59</v>
      </c>
      <c r="O301" s="166" t="s">
        <v>59</v>
      </c>
      <c r="P301" s="167" t="s">
        <v>59</v>
      </c>
      <c r="Q301" s="168" t="s">
        <v>59</v>
      </c>
      <c r="R301" s="168" t="s">
        <v>59</v>
      </c>
    </row>
    <row r="302" spans="1:18" x14ac:dyDescent="0.25">
      <c r="A302" s="56"/>
      <c r="G302" s="13"/>
      <c r="H302" s="35">
        <v>297</v>
      </c>
      <c r="I302" s="36" t="str">
        <f t="shared" si="20"/>
        <v/>
      </c>
      <c r="J302" s="36">
        <f t="shared" si="23"/>
        <v>-7</v>
      </c>
      <c r="K302" s="35">
        <f t="shared" si="21"/>
        <v>-70</v>
      </c>
      <c r="L302" s="35"/>
      <c r="M302" s="37">
        <f t="shared" si="22"/>
        <v>0</v>
      </c>
      <c r="N302" s="166" t="s">
        <v>59</v>
      </c>
      <c r="O302" s="166" t="s">
        <v>59</v>
      </c>
      <c r="P302" s="167" t="s">
        <v>59</v>
      </c>
      <c r="Q302" s="168" t="s">
        <v>59</v>
      </c>
      <c r="R302" s="168" t="s">
        <v>59</v>
      </c>
    </row>
    <row r="303" spans="1:18" x14ac:dyDescent="0.25">
      <c r="A303" s="56"/>
      <c r="G303" s="13"/>
      <c r="H303" s="35">
        <v>298</v>
      </c>
      <c r="I303" s="36" t="str">
        <f t="shared" si="20"/>
        <v/>
      </c>
      <c r="J303" s="36">
        <f t="shared" si="23"/>
        <v>-7</v>
      </c>
      <c r="K303" s="35">
        <f t="shared" si="21"/>
        <v>-70</v>
      </c>
      <c r="L303" s="35"/>
      <c r="M303" s="37">
        <f t="shared" si="22"/>
        <v>0</v>
      </c>
      <c r="N303" s="166" t="s">
        <v>59</v>
      </c>
      <c r="O303" s="166" t="s">
        <v>59</v>
      </c>
      <c r="P303" s="167" t="s">
        <v>59</v>
      </c>
      <c r="Q303" s="168" t="s">
        <v>59</v>
      </c>
      <c r="R303" s="168" t="s">
        <v>59</v>
      </c>
    </row>
    <row r="304" spans="1:18" x14ac:dyDescent="0.25">
      <c r="A304" s="56"/>
      <c r="G304" s="13"/>
      <c r="H304" s="35">
        <v>299</v>
      </c>
      <c r="I304" s="36" t="str">
        <f t="shared" si="20"/>
        <v/>
      </c>
      <c r="J304" s="36">
        <f t="shared" si="23"/>
        <v>-7</v>
      </c>
      <c r="K304" s="35">
        <f t="shared" si="21"/>
        <v>-70</v>
      </c>
      <c r="L304" s="35"/>
      <c r="M304" s="37">
        <f t="shared" si="22"/>
        <v>0</v>
      </c>
      <c r="N304" s="166" t="s">
        <v>59</v>
      </c>
      <c r="O304" s="166" t="s">
        <v>59</v>
      </c>
      <c r="P304" s="167" t="s">
        <v>59</v>
      </c>
      <c r="Q304" s="168" t="s">
        <v>59</v>
      </c>
      <c r="R304" s="168" t="s">
        <v>59</v>
      </c>
    </row>
    <row r="305" spans="1:18" x14ac:dyDescent="0.25">
      <c r="A305" s="56"/>
      <c r="G305" s="13"/>
      <c r="H305" s="35">
        <v>300</v>
      </c>
      <c r="I305" s="36" t="str">
        <f t="shared" si="20"/>
        <v/>
      </c>
      <c r="J305" s="36">
        <f t="shared" si="23"/>
        <v>-7</v>
      </c>
      <c r="K305" s="35">
        <f t="shared" si="21"/>
        <v>-70</v>
      </c>
      <c r="L305" s="35"/>
      <c r="M305" s="37">
        <f t="shared" si="22"/>
        <v>0</v>
      </c>
      <c r="N305" s="166" t="s">
        <v>59</v>
      </c>
      <c r="O305" s="166" t="s">
        <v>59</v>
      </c>
      <c r="P305" s="167" t="s">
        <v>59</v>
      </c>
      <c r="Q305" s="168" t="s">
        <v>59</v>
      </c>
      <c r="R305" s="168" t="s">
        <v>59</v>
      </c>
    </row>
    <row r="306" spans="1:18" x14ac:dyDescent="0.25">
      <c r="A306" s="58"/>
      <c r="N306" s="166" t="s">
        <v>59</v>
      </c>
      <c r="O306" s="166" t="s">
        <v>59</v>
      </c>
      <c r="P306" s="167" t="s">
        <v>59</v>
      </c>
      <c r="Q306" s="168" t="s">
        <v>59</v>
      </c>
      <c r="R306" s="168" t="s">
        <v>59</v>
      </c>
    </row>
    <row r="307" spans="1:18" x14ac:dyDescent="0.25">
      <c r="N307" s="166" t="s">
        <v>59</v>
      </c>
      <c r="O307" s="166" t="s">
        <v>59</v>
      </c>
      <c r="P307" s="167" t="s">
        <v>59</v>
      </c>
      <c r="Q307" s="168" t="s">
        <v>59</v>
      </c>
      <c r="R307" s="168" t="s">
        <v>59</v>
      </c>
    </row>
    <row r="308" spans="1:18" x14ac:dyDescent="0.25">
      <c r="N308" s="166" t="s">
        <v>59</v>
      </c>
      <c r="O308" s="166" t="s">
        <v>59</v>
      </c>
      <c r="P308" s="167" t="s">
        <v>59</v>
      </c>
      <c r="Q308" s="168" t="s">
        <v>59</v>
      </c>
      <c r="R308" s="168" t="s">
        <v>59</v>
      </c>
    </row>
    <row r="309" spans="1:18" x14ac:dyDescent="0.25">
      <c r="N309" s="166" t="s">
        <v>59</v>
      </c>
      <c r="O309" s="166" t="s">
        <v>59</v>
      </c>
      <c r="P309" s="167" t="s">
        <v>59</v>
      </c>
      <c r="Q309" s="168" t="s">
        <v>59</v>
      </c>
      <c r="R309" s="168" t="s">
        <v>59</v>
      </c>
    </row>
    <row r="310" spans="1:18" x14ac:dyDescent="0.25">
      <c r="N310" s="166" t="s">
        <v>59</v>
      </c>
      <c r="O310" s="166" t="s">
        <v>59</v>
      </c>
      <c r="P310" s="167" t="s">
        <v>59</v>
      </c>
      <c r="Q310" s="168" t="s">
        <v>59</v>
      </c>
      <c r="R310" s="168" t="s">
        <v>59</v>
      </c>
    </row>
    <row r="311" spans="1:18" x14ac:dyDescent="0.25">
      <c r="N311" s="166" t="s">
        <v>59</v>
      </c>
      <c r="O311" s="166" t="s">
        <v>59</v>
      </c>
      <c r="P311" s="167" t="s">
        <v>59</v>
      </c>
      <c r="Q311" s="168" t="s">
        <v>59</v>
      </c>
      <c r="R311" s="168" t="s">
        <v>59</v>
      </c>
    </row>
    <row r="312" spans="1:18" x14ac:dyDescent="0.25">
      <c r="N312" s="166" t="s">
        <v>59</v>
      </c>
      <c r="O312" s="166" t="s">
        <v>59</v>
      </c>
      <c r="P312" s="167" t="s">
        <v>59</v>
      </c>
      <c r="Q312" s="168" t="s">
        <v>59</v>
      </c>
      <c r="R312" s="168" t="s">
        <v>59</v>
      </c>
    </row>
    <row r="313" spans="1:18" x14ac:dyDescent="0.25">
      <c r="N313" s="166" t="s">
        <v>59</v>
      </c>
      <c r="O313" s="166" t="s">
        <v>59</v>
      </c>
      <c r="P313" s="167" t="s">
        <v>59</v>
      </c>
      <c r="Q313" s="168" t="s">
        <v>59</v>
      </c>
      <c r="R313" s="168" t="s">
        <v>59</v>
      </c>
    </row>
    <row r="314" spans="1:18" x14ac:dyDescent="0.25">
      <c r="L314" s="61"/>
      <c r="N314" s="166" t="s">
        <v>59</v>
      </c>
      <c r="O314" s="166" t="s">
        <v>59</v>
      </c>
      <c r="P314" s="167" t="s">
        <v>59</v>
      </c>
      <c r="Q314" s="168" t="s">
        <v>59</v>
      </c>
      <c r="R314" s="168" t="s">
        <v>59</v>
      </c>
    </row>
    <row r="315" spans="1:18" x14ac:dyDescent="0.25">
      <c r="L315" s="61"/>
      <c r="N315" s="166" t="s">
        <v>59</v>
      </c>
      <c r="O315" s="166" t="s">
        <v>59</v>
      </c>
      <c r="P315" s="167" t="s">
        <v>59</v>
      </c>
      <c r="Q315" s="168" t="s">
        <v>59</v>
      </c>
      <c r="R315" s="168" t="s">
        <v>59</v>
      </c>
    </row>
    <row r="316" spans="1:18" x14ac:dyDescent="0.25">
      <c r="L316" s="61"/>
      <c r="N316" s="166" t="s">
        <v>59</v>
      </c>
      <c r="O316" s="166" t="s">
        <v>59</v>
      </c>
      <c r="P316" s="167" t="s">
        <v>59</v>
      </c>
      <c r="Q316" s="168" t="s">
        <v>59</v>
      </c>
      <c r="R316" s="168" t="s">
        <v>59</v>
      </c>
    </row>
    <row r="317" spans="1:18" x14ac:dyDescent="0.25">
      <c r="L317" s="61"/>
      <c r="N317" s="166" t="s">
        <v>59</v>
      </c>
      <c r="O317" s="166" t="s">
        <v>59</v>
      </c>
      <c r="P317" s="167" t="s">
        <v>59</v>
      </c>
      <c r="Q317" s="168" t="s">
        <v>59</v>
      </c>
      <c r="R317" s="168" t="s">
        <v>59</v>
      </c>
    </row>
    <row r="318" spans="1:18" x14ac:dyDescent="0.25">
      <c r="N318" s="166" t="s">
        <v>59</v>
      </c>
      <c r="O318" s="166" t="s">
        <v>59</v>
      </c>
      <c r="P318" s="167" t="s">
        <v>59</v>
      </c>
      <c r="Q318" s="168" t="s">
        <v>59</v>
      </c>
      <c r="R318" s="168" t="s">
        <v>59</v>
      </c>
    </row>
  </sheetData>
  <mergeCells count="2">
    <mergeCell ref="C2:D2"/>
    <mergeCell ref="C3:D3"/>
  </mergeCells>
  <conditionalFormatting sqref="K6:K305">
    <cfRule type="cellIs" dxfId="20" priority="1" operator="lessThanOrEqual">
      <formula>0</formula>
    </cfRule>
  </conditionalFormatting>
  <dataValidations disablePrompts="1" count="1">
    <dataValidation type="list" allowBlank="1" showInputMessage="1" showErrorMessage="1" sqref="C38:C69" xr:uid="{1BF49238-D8DD-407F-A19D-4F3AADCCFA3E}">
      <formula1>#REF!</formula1>
    </dataValidation>
  </dataValidations>
  <hyperlinks>
    <hyperlink ref="C2:D2" r:id="rId1" display="GDAŃSK" xr:uid="{7104DC20-B584-4748-8B37-1E6919571E7D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BDC0-DC98-45C5-B613-8EEDB85B5639}">
  <sheetPr>
    <tabColor rgb="FF92D050"/>
  </sheetPr>
  <dimension ref="A1:AL317"/>
  <sheetViews>
    <sheetView workbookViewId="0">
      <selection activeCell="C11" sqref="C11"/>
    </sheetView>
  </sheetViews>
  <sheetFormatPr defaultColWidth="8.875" defaultRowHeight="14.3" x14ac:dyDescent="0.25"/>
  <cols>
    <col min="1" max="1" width="8" style="121" customWidth="1"/>
    <col min="2" max="2" width="8.25" style="121" customWidth="1"/>
    <col min="3" max="3" width="34.75" style="121" customWidth="1"/>
    <col min="4" max="4" width="11.25" style="121" customWidth="1"/>
    <col min="5" max="6" width="8.875" style="121"/>
    <col min="7" max="7" width="0.875" style="121" customWidth="1"/>
    <col min="8" max="8" width="8.875" style="123"/>
    <col min="9" max="9" width="11" style="123" customWidth="1"/>
    <col min="10" max="10" width="15.25" style="123" customWidth="1"/>
    <col min="11" max="11" width="8.75" style="123" customWidth="1"/>
    <col min="12" max="12" width="11" style="123" customWidth="1"/>
    <col min="13" max="13" width="11.75" style="124" customWidth="1"/>
    <col min="14" max="15" width="13.875" style="90" customWidth="1"/>
    <col min="16" max="18" width="8.875" style="90"/>
    <col min="19" max="20" width="8.875" style="95"/>
    <col min="21" max="21" width="12.125" style="95" customWidth="1"/>
    <col min="22" max="22" width="27.375" style="95" customWidth="1"/>
    <col min="23" max="38" width="8.875" style="95"/>
    <col min="39" max="16384" width="8.875" style="121"/>
  </cols>
  <sheetData>
    <row r="1" spans="1:36" x14ac:dyDescent="0.25">
      <c r="A1" s="90"/>
      <c r="B1" s="90"/>
      <c r="C1" s="90"/>
      <c r="D1" s="90"/>
      <c r="E1" s="90"/>
      <c r="F1" s="90"/>
      <c r="G1" s="90"/>
      <c r="H1" s="91" t="s">
        <v>25</v>
      </c>
      <c r="I1" s="92" t="s">
        <v>26</v>
      </c>
      <c r="J1" s="92" t="s">
        <v>27</v>
      </c>
      <c r="K1" s="93" t="s">
        <v>65</v>
      </c>
      <c r="L1" s="94"/>
      <c r="M1" s="94"/>
    </row>
    <row r="2" spans="1:36" ht="14.45" customHeight="1" x14ac:dyDescent="0.25">
      <c r="A2" s="90"/>
      <c r="B2" s="19" t="s">
        <v>29</v>
      </c>
      <c r="C2" s="209" t="s">
        <v>66</v>
      </c>
      <c r="D2" s="209"/>
      <c r="E2" s="20"/>
      <c r="F2" s="20"/>
      <c r="G2" s="20"/>
      <c r="H2" s="96">
        <v>5</v>
      </c>
      <c r="I2" s="97">
        <v>50</v>
      </c>
      <c r="J2" s="97">
        <v>10</v>
      </c>
      <c r="K2" s="98">
        <f>3*H2^(1/3)</f>
        <v>5.1299278400300903</v>
      </c>
      <c r="L2" s="94"/>
      <c r="M2" s="94"/>
    </row>
    <row r="3" spans="1:36" ht="14.45" customHeight="1" x14ac:dyDescent="0.25">
      <c r="A3" s="90"/>
      <c r="B3" s="99" t="s">
        <v>31</v>
      </c>
      <c r="C3" s="210" t="s">
        <v>67</v>
      </c>
      <c r="D3" s="210"/>
      <c r="E3" s="25"/>
      <c r="F3" s="25"/>
      <c r="G3" s="25"/>
      <c r="H3" s="94"/>
      <c r="I3" s="94"/>
      <c r="J3" s="100"/>
      <c r="K3" s="94"/>
      <c r="L3" s="94"/>
      <c r="M3" s="94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94"/>
      <c r="I4" s="94"/>
      <c r="J4" s="100"/>
      <c r="K4" s="94"/>
      <c r="L4" s="94"/>
      <c r="M4" s="94"/>
    </row>
    <row r="5" spans="1:36" ht="34.65" x14ac:dyDescent="0.25">
      <c r="A5" s="1" t="s">
        <v>33</v>
      </c>
      <c r="B5" s="28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7"/>
      <c r="H5" s="101" t="s">
        <v>39</v>
      </c>
      <c r="I5" s="102" t="s">
        <v>40</v>
      </c>
      <c r="J5" s="103" t="s">
        <v>41</v>
      </c>
      <c r="K5" s="102" t="s">
        <v>42</v>
      </c>
      <c r="L5" s="102" t="s">
        <v>43</v>
      </c>
      <c r="M5" s="101" t="s">
        <v>44</v>
      </c>
    </row>
    <row r="6" spans="1:36" ht="14.45" customHeight="1" x14ac:dyDescent="0.25">
      <c r="A6" s="32">
        <f>M6</f>
        <v>95.389783520090276</v>
      </c>
      <c r="B6" s="33">
        <f t="shared" ref="B6:B13" si="0">IF(H6&gt;$H$2,"",(ROW()-5))</f>
        <v>1</v>
      </c>
      <c r="C6" s="34" t="s">
        <v>19</v>
      </c>
      <c r="D6" s="34" t="s">
        <v>68</v>
      </c>
      <c r="E6" s="34" t="s">
        <v>46</v>
      </c>
      <c r="F6" s="34"/>
      <c r="G6" s="27"/>
      <c r="H6" s="104">
        <v>1</v>
      </c>
      <c r="I6" s="105">
        <f>IF(H2=1,50,IF(H6&lt;$H$2+1,($I$2-($I$2-1)*(LOG(H6)/LOG($H$2))),""))</f>
        <v>50</v>
      </c>
      <c r="J6" s="104">
        <f>INT(LOG($H$2,2))-ROUNDUP(LOG(H6,2),0)+IF(OR($H$2=1,$H$2=2,$H$2=4,$H$2=8,$H$2=16,$H$2=32,$H$2=64,$H$2=128,$H$2=256),0,1)</f>
        <v>3</v>
      </c>
      <c r="K6" s="104">
        <f t="shared" ref="K6:K69" si="1">J6*$J$2</f>
        <v>30</v>
      </c>
      <c r="L6" s="106">
        <f>3*K2</f>
        <v>15.389783520090271</v>
      </c>
      <c r="M6" s="106">
        <f t="shared" ref="M6:M69" si="2">IF(I6&lt;&gt;"",K6+I6+L6,0)</f>
        <v>95.389783520090276</v>
      </c>
    </row>
    <row r="7" spans="1:36" ht="14.45" customHeight="1" x14ac:dyDescent="0.25">
      <c r="A7" s="38">
        <f t="shared" ref="A7:A37" si="3">M7</f>
        <v>59.156704334463925</v>
      </c>
      <c r="B7" s="39">
        <f t="shared" si="0"/>
        <v>2</v>
      </c>
      <c r="C7" s="40" t="s">
        <v>17</v>
      </c>
      <c r="D7" s="40" t="s">
        <v>69</v>
      </c>
      <c r="E7" s="40" t="s">
        <v>46</v>
      </c>
      <c r="F7" s="40"/>
      <c r="G7" s="27"/>
      <c r="H7" s="107">
        <v>2</v>
      </c>
      <c r="I7" s="108">
        <f t="shared" ref="I7:I70" si="4">IF(H7&lt;$H$2+1,($I$2-($I$2-1)*(LOG(H7)/LOG($H$2))),"")</f>
        <v>28.896848654403744</v>
      </c>
      <c r="J7" s="107">
        <f t="shared" ref="J7:J70" si="5">INT(LOG($H$2,2))-ROUNDUP(LOG(H7,2),0)+IF(OR($H$2=1,$H$2=2,$H$2=4,$H$2=8,$H$2=16,$H$2=32,$H$2=64,$H$2=128,$H$2=256),0,1)</f>
        <v>2</v>
      </c>
      <c r="K7" s="107">
        <f t="shared" si="1"/>
        <v>20</v>
      </c>
      <c r="L7" s="109">
        <f>2*K2</f>
        <v>10.259855680060181</v>
      </c>
      <c r="M7" s="109">
        <f t="shared" si="2"/>
        <v>59.156704334463925</v>
      </c>
    </row>
    <row r="8" spans="1:36" ht="14.45" customHeight="1" x14ac:dyDescent="0.25">
      <c r="A8" s="32">
        <f t="shared" si="3"/>
        <v>31.682224310216817</v>
      </c>
      <c r="B8" s="33">
        <f t="shared" si="0"/>
        <v>3</v>
      </c>
      <c r="C8" s="34" t="s">
        <v>20</v>
      </c>
      <c r="D8" s="34" t="s">
        <v>70</v>
      </c>
      <c r="E8" s="34" t="s">
        <v>46</v>
      </c>
      <c r="F8" s="34"/>
      <c r="G8" s="27"/>
      <c r="H8" s="104">
        <v>3</v>
      </c>
      <c r="I8" s="105">
        <f t="shared" si="4"/>
        <v>16.552296470186725</v>
      </c>
      <c r="J8" s="104">
        <f t="shared" si="5"/>
        <v>1</v>
      </c>
      <c r="K8" s="104">
        <f t="shared" si="1"/>
        <v>10</v>
      </c>
      <c r="L8" s="106">
        <f>K2</f>
        <v>5.1299278400300903</v>
      </c>
      <c r="M8" s="106">
        <f t="shared" si="2"/>
        <v>31.682224310216817</v>
      </c>
    </row>
    <row r="9" spans="1:36" ht="14.45" customHeight="1" x14ac:dyDescent="0.25">
      <c r="A9" s="38">
        <f t="shared" si="3"/>
        <v>17.793697308807488</v>
      </c>
      <c r="B9" s="39">
        <f t="shared" si="0"/>
        <v>4</v>
      </c>
      <c r="C9" s="40" t="s">
        <v>16</v>
      </c>
      <c r="D9" s="40" t="s">
        <v>62</v>
      </c>
      <c r="E9" s="40" t="s">
        <v>46</v>
      </c>
      <c r="F9" s="40"/>
      <c r="G9" s="27"/>
      <c r="H9" s="107">
        <v>4</v>
      </c>
      <c r="I9" s="108">
        <f t="shared" si="4"/>
        <v>7.7936973088074879</v>
      </c>
      <c r="J9" s="107">
        <f t="shared" si="5"/>
        <v>1</v>
      </c>
      <c r="K9" s="107">
        <f t="shared" si="1"/>
        <v>10</v>
      </c>
      <c r="L9" s="109"/>
      <c r="M9" s="109">
        <f t="shared" si="2"/>
        <v>17.793697308807488</v>
      </c>
      <c r="V9" s="110"/>
      <c r="Z9" s="111"/>
      <c r="AA9" s="111"/>
      <c r="AG9" s="112"/>
      <c r="AH9" s="95" t="s">
        <v>50</v>
      </c>
      <c r="AI9" s="95">
        <v>23</v>
      </c>
    </row>
    <row r="10" spans="1:36" ht="14.45" customHeight="1" x14ac:dyDescent="0.25">
      <c r="A10" s="32">
        <f>M10</f>
        <v>1</v>
      </c>
      <c r="B10" s="33">
        <f t="shared" si="0"/>
        <v>5</v>
      </c>
      <c r="C10" s="34" t="s">
        <v>18</v>
      </c>
      <c r="D10" s="34" t="s">
        <v>71</v>
      </c>
      <c r="E10" s="34" t="s">
        <v>46</v>
      </c>
      <c r="F10" s="34"/>
      <c r="G10" s="27"/>
      <c r="H10" s="104">
        <v>5</v>
      </c>
      <c r="I10" s="105">
        <f t="shared" si="4"/>
        <v>1</v>
      </c>
      <c r="J10" s="104">
        <f t="shared" si="5"/>
        <v>0</v>
      </c>
      <c r="K10" s="104">
        <f t="shared" si="1"/>
        <v>0</v>
      </c>
      <c r="L10" s="104"/>
      <c r="M10" s="106">
        <f t="shared" si="2"/>
        <v>1</v>
      </c>
      <c r="V10" s="110"/>
      <c r="Z10" s="111"/>
      <c r="AA10" s="111"/>
      <c r="AG10" s="112"/>
      <c r="AH10" s="95" t="s">
        <v>52</v>
      </c>
      <c r="AI10" s="95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07">
        <v>6</v>
      </c>
      <c r="I11" s="108" t="str">
        <f t="shared" si="4"/>
        <v/>
      </c>
      <c r="J11" s="107">
        <f t="shared" si="5"/>
        <v>0</v>
      </c>
      <c r="K11" s="107">
        <f t="shared" si="1"/>
        <v>0</v>
      </c>
      <c r="L11" s="107"/>
      <c r="M11" s="109">
        <f t="shared" si="2"/>
        <v>0</v>
      </c>
      <c r="V11" s="113"/>
      <c r="Z11" s="111"/>
      <c r="AA11" s="111"/>
      <c r="AG11" s="112"/>
      <c r="AH11" s="95" t="s">
        <v>53</v>
      </c>
      <c r="AI11" s="95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04">
        <v>7</v>
      </c>
      <c r="I12" s="105" t="str">
        <f t="shared" si="4"/>
        <v/>
      </c>
      <c r="J12" s="104">
        <f t="shared" si="5"/>
        <v>0</v>
      </c>
      <c r="K12" s="104">
        <f t="shared" si="1"/>
        <v>0</v>
      </c>
      <c r="L12" s="104"/>
      <c r="M12" s="106">
        <f t="shared" si="2"/>
        <v>0</v>
      </c>
      <c r="Z12" s="111"/>
      <c r="AA12" s="111"/>
      <c r="AG12" s="112"/>
      <c r="AH12" s="95" t="s">
        <v>54</v>
      </c>
      <c r="AI12" s="95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07">
        <v>8</v>
      </c>
      <c r="I13" s="108" t="str">
        <f t="shared" si="4"/>
        <v/>
      </c>
      <c r="J13" s="107">
        <f t="shared" si="5"/>
        <v>0</v>
      </c>
      <c r="K13" s="107">
        <f t="shared" si="1"/>
        <v>0</v>
      </c>
      <c r="L13" s="107"/>
      <c r="M13" s="109">
        <f t="shared" si="2"/>
        <v>0</v>
      </c>
      <c r="X13" s="110"/>
      <c r="AG13" s="112"/>
      <c r="AH13" s="95" t="s">
        <v>55</v>
      </c>
      <c r="AI13" s="95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04">
        <v>9</v>
      </c>
      <c r="I14" s="105" t="str">
        <f t="shared" si="4"/>
        <v/>
      </c>
      <c r="J14" s="104">
        <f t="shared" si="5"/>
        <v>-1</v>
      </c>
      <c r="K14" s="104">
        <f t="shared" si="1"/>
        <v>-10</v>
      </c>
      <c r="L14" s="104"/>
      <c r="M14" s="106">
        <f t="shared" si="2"/>
        <v>0</v>
      </c>
      <c r="X14" s="114"/>
      <c r="Z14" s="111"/>
      <c r="AA14" s="111"/>
      <c r="AG14" s="112"/>
      <c r="AH14" s="95" t="s">
        <v>56</v>
      </c>
      <c r="AI14" s="95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07">
        <v>10</v>
      </c>
      <c r="I15" s="108" t="str">
        <f t="shared" si="4"/>
        <v/>
      </c>
      <c r="J15" s="107">
        <f t="shared" si="5"/>
        <v>-1</v>
      </c>
      <c r="K15" s="107">
        <f t="shared" si="1"/>
        <v>-10</v>
      </c>
      <c r="L15" s="107"/>
      <c r="M15" s="109">
        <f t="shared" si="2"/>
        <v>0</v>
      </c>
      <c r="X15" s="110"/>
      <c r="Z15" s="111"/>
      <c r="AA15" s="111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04">
        <v>11</v>
      </c>
      <c r="I16" s="105" t="str">
        <f t="shared" si="4"/>
        <v/>
      </c>
      <c r="J16" s="104">
        <f t="shared" si="5"/>
        <v>-1</v>
      </c>
      <c r="K16" s="104">
        <f t="shared" si="1"/>
        <v>-10</v>
      </c>
      <c r="L16" s="104"/>
      <c r="M16" s="106">
        <f t="shared" si="2"/>
        <v>0</v>
      </c>
      <c r="R16" s="115"/>
      <c r="Z16" s="111"/>
      <c r="AA16" s="111"/>
      <c r="AH16" s="116" t="s">
        <v>57</v>
      </c>
      <c r="AI16" s="95">
        <f>AI11-AI12*AI13/AI14</f>
        <v>9.6393909380186855</v>
      </c>
      <c r="AJ16" s="95" t="s">
        <v>58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07">
        <v>12</v>
      </c>
      <c r="I17" s="108" t="str">
        <f t="shared" si="4"/>
        <v/>
      </c>
      <c r="J17" s="107">
        <f t="shared" si="5"/>
        <v>-1</v>
      </c>
      <c r="K17" s="107">
        <f t="shared" si="1"/>
        <v>-10</v>
      </c>
      <c r="L17" s="107"/>
      <c r="M17" s="109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04">
        <v>13</v>
      </c>
      <c r="I18" s="105" t="str">
        <f t="shared" si="4"/>
        <v/>
      </c>
      <c r="J18" s="104">
        <f t="shared" si="5"/>
        <v>-1</v>
      </c>
      <c r="K18" s="104">
        <f t="shared" si="1"/>
        <v>-10</v>
      </c>
      <c r="L18" s="104"/>
      <c r="M18" s="106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07">
        <v>14</v>
      </c>
      <c r="I19" s="108" t="str">
        <f t="shared" si="4"/>
        <v/>
      </c>
      <c r="J19" s="107">
        <f t="shared" si="5"/>
        <v>-1</v>
      </c>
      <c r="K19" s="107">
        <f t="shared" si="1"/>
        <v>-10</v>
      </c>
      <c r="L19" s="107"/>
      <c r="M19" s="109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04">
        <v>15</v>
      </c>
      <c r="I20" s="105" t="str">
        <f t="shared" si="4"/>
        <v/>
      </c>
      <c r="J20" s="104">
        <f t="shared" si="5"/>
        <v>-1</v>
      </c>
      <c r="K20" s="104">
        <f t="shared" si="1"/>
        <v>-10</v>
      </c>
      <c r="L20" s="104"/>
      <c r="M20" s="106">
        <f t="shared" si="2"/>
        <v>0</v>
      </c>
      <c r="R20" s="117"/>
      <c r="S20" s="118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07">
        <v>16</v>
      </c>
      <c r="I21" s="108" t="str">
        <f t="shared" si="4"/>
        <v/>
      </c>
      <c r="J21" s="107">
        <f t="shared" si="5"/>
        <v>-1</v>
      </c>
      <c r="K21" s="107">
        <f t="shared" si="1"/>
        <v>-10</v>
      </c>
      <c r="L21" s="107"/>
      <c r="M21" s="109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04">
        <v>17</v>
      </c>
      <c r="I22" s="105" t="str">
        <f t="shared" si="4"/>
        <v/>
      </c>
      <c r="J22" s="104">
        <f t="shared" si="5"/>
        <v>-2</v>
      </c>
      <c r="K22" s="104">
        <f t="shared" si="1"/>
        <v>-20</v>
      </c>
      <c r="L22" s="104"/>
      <c r="M22" s="106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07">
        <v>18</v>
      </c>
      <c r="I23" s="108" t="str">
        <f t="shared" si="4"/>
        <v/>
      </c>
      <c r="J23" s="107">
        <f t="shared" si="5"/>
        <v>-2</v>
      </c>
      <c r="K23" s="107">
        <f t="shared" si="1"/>
        <v>-20</v>
      </c>
      <c r="L23" s="107"/>
      <c r="M23" s="109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04">
        <v>19</v>
      </c>
      <c r="I24" s="105" t="str">
        <f t="shared" si="4"/>
        <v/>
      </c>
      <c r="J24" s="104">
        <f t="shared" si="5"/>
        <v>-2</v>
      </c>
      <c r="K24" s="104">
        <f t="shared" si="1"/>
        <v>-20</v>
      </c>
      <c r="L24" s="104"/>
      <c r="M24" s="106">
        <f t="shared" si="2"/>
        <v>0</v>
      </c>
      <c r="R24" s="117"/>
      <c r="S24" s="118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07">
        <v>20</v>
      </c>
      <c r="I25" s="108" t="str">
        <f t="shared" si="4"/>
        <v/>
      </c>
      <c r="J25" s="107">
        <f t="shared" si="5"/>
        <v>-2</v>
      </c>
      <c r="K25" s="107">
        <f t="shared" si="1"/>
        <v>-20</v>
      </c>
      <c r="L25" s="107"/>
      <c r="M25" s="109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04">
        <v>21</v>
      </c>
      <c r="I26" s="105" t="str">
        <f t="shared" si="4"/>
        <v/>
      </c>
      <c r="J26" s="104">
        <f t="shared" si="5"/>
        <v>-2</v>
      </c>
      <c r="K26" s="104">
        <f t="shared" si="1"/>
        <v>-20</v>
      </c>
      <c r="L26" s="104"/>
      <c r="M26" s="106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07">
        <v>22</v>
      </c>
      <c r="I27" s="108" t="str">
        <f t="shared" si="4"/>
        <v/>
      </c>
      <c r="J27" s="107">
        <f t="shared" si="5"/>
        <v>-2</v>
      </c>
      <c r="K27" s="107">
        <f t="shared" si="1"/>
        <v>-20</v>
      </c>
      <c r="L27" s="107"/>
      <c r="M27" s="109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04">
        <v>23</v>
      </c>
      <c r="I28" s="105" t="str">
        <f t="shared" si="4"/>
        <v/>
      </c>
      <c r="J28" s="104">
        <f t="shared" si="5"/>
        <v>-2</v>
      </c>
      <c r="K28" s="104">
        <f t="shared" si="1"/>
        <v>-20</v>
      </c>
      <c r="L28" s="104"/>
      <c r="M28" s="106">
        <f t="shared" si="2"/>
        <v>0</v>
      </c>
      <c r="R28" s="117"/>
      <c r="S28" s="118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90"/>
      <c r="H29" s="107">
        <v>24</v>
      </c>
      <c r="I29" s="108" t="str">
        <f t="shared" si="4"/>
        <v/>
      </c>
      <c r="J29" s="107">
        <f t="shared" si="5"/>
        <v>-2</v>
      </c>
      <c r="K29" s="107">
        <f t="shared" si="1"/>
        <v>-20</v>
      </c>
      <c r="L29" s="107"/>
      <c r="M29" s="109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90"/>
      <c r="H30" s="104">
        <v>25</v>
      </c>
      <c r="I30" s="105" t="str">
        <f t="shared" si="4"/>
        <v/>
      </c>
      <c r="J30" s="104">
        <f t="shared" si="5"/>
        <v>-2</v>
      </c>
      <c r="K30" s="104">
        <f t="shared" si="1"/>
        <v>-20</v>
      </c>
      <c r="L30" s="104"/>
      <c r="M30" s="106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90"/>
      <c r="H31" s="107">
        <v>26</v>
      </c>
      <c r="I31" s="108" t="str">
        <f t="shared" si="4"/>
        <v/>
      </c>
      <c r="J31" s="107">
        <f t="shared" si="5"/>
        <v>-2</v>
      </c>
      <c r="K31" s="107">
        <f t="shared" si="1"/>
        <v>-20</v>
      </c>
      <c r="L31" s="107"/>
      <c r="M31" s="109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90"/>
      <c r="H32" s="104">
        <v>27</v>
      </c>
      <c r="I32" s="105" t="str">
        <f t="shared" si="4"/>
        <v/>
      </c>
      <c r="J32" s="104">
        <f t="shared" si="5"/>
        <v>-2</v>
      </c>
      <c r="K32" s="104">
        <f t="shared" si="1"/>
        <v>-20</v>
      </c>
      <c r="L32" s="104"/>
      <c r="M32" s="106">
        <f t="shared" si="2"/>
        <v>0</v>
      </c>
      <c r="R32" s="117"/>
      <c r="S32" s="118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90"/>
      <c r="H33" s="107">
        <v>28</v>
      </c>
      <c r="I33" s="108" t="str">
        <f t="shared" si="4"/>
        <v/>
      </c>
      <c r="J33" s="107">
        <f t="shared" si="5"/>
        <v>-2</v>
      </c>
      <c r="K33" s="107">
        <f t="shared" si="1"/>
        <v>-20</v>
      </c>
      <c r="L33" s="107"/>
      <c r="M33" s="109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90"/>
      <c r="H34" s="104">
        <v>29</v>
      </c>
      <c r="I34" s="105" t="str">
        <f t="shared" si="4"/>
        <v/>
      </c>
      <c r="J34" s="104">
        <f t="shared" si="5"/>
        <v>-2</v>
      </c>
      <c r="K34" s="104">
        <f t="shared" si="1"/>
        <v>-20</v>
      </c>
      <c r="L34" s="104"/>
      <c r="M34" s="106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90"/>
      <c r="H35" s="107">
        <v>30</v>
      </c>
      <c r="I35" s="108" t="str">
        <f t="shared" si="4"/>
        <v/>
      </c>
      <c r="J35" s="107">
        <f t="shared" si="5"/>
        <v>-2</v>
      </c>
      <c r="K35" s="107">
        <f t="shared" si="1"/>
        <v>-20</v>
      </c>
      <c r="L35" s="107"/>
      <c r="M35" s="109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90"/>
      <c r="H36" s="104">
        <v>31</v>
      </c>
      <c r="I36" s="105" t="str">
        <f t="shared" si="4"/>
        <v/>
      </c>
      <c r="J36" s="104">
        <f t="shared" si="5"/>
        <v>-2</v>
      </c>
      <c r="K36" s="104">
        <f t="shared" si="1"/>
        <v>-20</v>
      </c>
      <c r="L36" s="104"/>
      <c r="M36" s="106">
        <f t="shared" si="2"/>
        <v>0</v>
      </c>
      <c r="R36" s="117"/>
      <c r="S36" s="118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90"/>
      <c r="H37" s="107">
        <v>32</v>
      </c>
      <c r="I37" s="108" t="str">
        <f t="shared" si="4"/>
        <v/>
      </c>
      <c r="J37" s="107">
        <f t="shared" si="5"/>
        <v>-2</v>
      </c>
      <c r="K37" s="107">
        <f t="shared" si="1"/>
        <v>-20</v>
      </c>
      <c r="L37" s="107"/>
      <c r="M37" s="109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90"/>
      <c r="H38" s="104">
        <v>33</v>
      </c>
      <c r="I38" s="105" t="str">
        <f t="shared" si="4"/>
        <v/>
      </c>
      <c r="J38" s="104">
        <f t="shared" si="5"/>
        <v>-3</v>
      </c>
      <c r="K38" s="104">
        <f t="shared" si="1"/>
        <v>-30</v>
      </c>
      <c r="L38" s="104"/>
      <c r="M38" s="106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90"/>
      <c r="H39" s="107">
        <v>34</v>
      </c>
      <c r="I39" s="108" t="str">
        <f t="shared" si="4"/>
        <v/>
      </c>
      <c r="J39" s="107">
        <f t="shared" si="5"/>
        <v>-3</v>
      </c>
      <c r="K39" s="107">
        <f t="shared" si="1"/>
        <v>-30</v>
      </c>
      <c r="L39" s="107"/>
      <c r="M39" s="109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90"/>
      <c r="H40" s="104">
        <v>35</v>
      </c>
      <c r="I40" s="105" t="str">
        <f t="shared" si="4"/>
        <v/>
      </c>
      <c r="J40" s="104">
        <f t="shared" si="5"/>
        <v>-3</v>
      </c>
      <c r="K40" s="104">
        <f t="shared" si="1"/>
        <v>-30</v>
      </c>
      <c r="L40" s="104"/>
      <c r="M40" s="106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90"/>
      <c r="H41" s="107">
        <v>36</v>
      </c>
      <c r="I41" s="108" t="str">
        <f t="shared" si="4"/>
        <v/>
      </c>
      <c r="J41" s="107">
        <f t="shared" si="5"/>
        <v>-3</v>
      </c>
      <c r="K41" s="107">
        <f t="shared" si="1"/>
        <v>-30</v>
      </c>
      <c r="L41" s="107"/>
      <c r="M41" s="109">
        <f t="shared" si="2"/>
        <v>0</v>
      </c>
      <c r="S41" s="119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90"/>
      <c r="H42" s="104">
        <v>37</v>
      </c>
      <c r="I42" s="105" t="str">
        <f t="shared" si="4"/>
        <v/>
      </c>
      <c r="J42" s="104">
        <f t="shared" si="5"/>
        <v>-3</v>
      </c>
      <c r="K42" s="104">
        <f t="shared" si="1"/>
        <v>-30</v>
      </c>
      <c r="L42" s="104"/>
      <c r="M42" s="106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90"/>
      <c r="H43" s="107">
        <v>38</v>
      </c>
      <c r="I43" s="108" t="str">
        <f t="shared" si="4"/>
        <v/>
      </c>
      <c r="J43" s="107">
        <f t="shared" si="5"/>
        <v>-3</v>
      </c>
      <c r="K43" s="107">
        <f t="shared" si="1"/>
        <v>-30</v>
      </c>
      <c r="L43" s="107"/>
      <c r="M43" s="109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90"/>
      <c r="H44" s="104">
        <v>39</v>
      </c>
      <c r="I44" s="105" t="str">
        <f t="shared" si="4"/>
        <v/>
      </c>
      <c r="J44" s="104">
        <f t="shared" si="5"/>
        <v>-3</v>
      </c>
      <c r="K44" s="104">
        <f t="shared" si="1"/>
        <v>-30</v>
      </c>
      <c r="L44" s="104"/>
      <c r="M44" s="106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90"/>
      <c r="H45" s="107">
        <v>40</v>
      </c>
      <c r="I45" s="108" t="str">
        <f t="shared" si="4"/>
        <v/>
      </c>
      <c r="J45" s="107">
        <f t="shared" si="5"/>
        <v>-3</v>
      </c>
      <c r="K45" s="107">
        <f t="shared" si="1"/>
        <v>-30</v>
      </c>
      <c r="L45" s="107"/>
      <c r="M45" s="109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90"/>
      <c r="H46" s="104">
        <v>41</v>
      </c>
      <c r="I46" s="105" t="str">
        <f t="shared" si="4"/>
        <v/>
      </c>
      <c r="J46" s="104">
        <f t="shared" si="5"/>
        <v>-3</v>
      </c>
      <c r="K46" s="104">
        <f t="shared" si="1"/>
        <v>-30</v>
      </c>
      <c r="L46" s="104"/>
      <c r="M46" s="106">
        <f t="shared" si="2"/>
        <v>0</v>
      </c>
      <c r="R46" s="90">
        <f>LOG($H$2,2)</f>
        <v>2.3219280948873622</v>
      </c>
      <c r="T46" s="95">
        <f>LOG(H38,2)</f>
        <v>5.0443941193584534</v>
      </c>
      <c r="U46" s="95">
        <f>R46-T46</f>
        <v>-2.7224660244710912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90"/>
      <c r="H47" s="107">
        <v>42</v>
      </c>
      <c r="I47" s="108" t="str">
        <f t="shared" si="4"/>
        <v/>
      </c>
      <c r="J47" s="107">
        <f t="shared" si="5"/>
        <v>-3</v>
      </c>
      <c r="K47" s="107">
        <f t="shared" si="1"/>
        <v>-30</v>
      </c>
      <c r="L47" s="107"/>
      <c r="M47" s="109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90"/>
      <c r="H48" s="104">
        <v>43</v>
      </c>
      <c r="I48" s="105" t="str">
        <f t="shared" si="4"/>
        <v/>
      </c>
      <c r="J48" s="104">
        <f t="shared" si="5"/>
        <v>-3</v>
      </c>
      <c r="K48" s="104">
        <f t="shared" si="1"/>
        <v>-30</v>
      </c>
      <c r="L48" s="104"/>
      <c r="M48" s="106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90"/>
      <c r="H49" s="107">
        <v>44</v>
      </c>
      <c r="I49" s="108" t="str">
        <f t="shared" si="4"/>
        <v/>
      </c>
      <c r="J49" s="107">
        <f t="shared" si="5"/>
        <v>-3</v>
      </c>
      <c r="K49" s="107">
        <f t="shared" si="1"/>
        <v>-30</v>
      </c>
      <c r="L49" s="107"/>
      <c r="M49" s="109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90"/>
      <c r="H50" s="104">
        <v>45</v>
      </c>
      <c r="I50" s="105" t="str">
        <f t="shared" si="4"/>
        <v/>
      </c>
      <c r="J50" s="104">
        <f t="shared" si="5"/>
        <v>-3</v>
      </c>
      <c r="K50" s="104">
        <f t="shared" si="1"/>
        <v>-30</v>
      </c>
      <c r="L50" s="104"/>
      <c r="M50" s="106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90"/>
      <c r="H51" s="107">
        <v>46</v>
      </c>
      <c r="I51" s="108" t="str">
        <f t="shared" si="4"/>
        <v/>
      </c>
      <c r="J51" s="107">
        <f t="shared" si="5"/>
        <v>-3</v>
      </c>
      <c r="K51" s="107">
        <f t="shared" si="1"/>
        <v>-30</v>
      </c>
      <c r="L51" s="107"/>
      <c r="M51" s="109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90"/>
      <c r="H52" s="104">
        <v>47</v>
      </c>
      <c r="I52" s="105" t="str">
        <f t="shared" si="4"/>
        <v/>
      </c>
      <c r="J52" s="104">
        <f t="shared" si="5"/>
        <v>-3</v>
      </c>
      <c r="K52" s="104">
        <f t="shared" si="1"/>
        <v>-30</v>
      </c>
      <c r="L52" s="104"/>
      <c r="M52" s="106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90"/>
      <c r="H53" s="107">
        <v>48</v>
      </c>
      <c r="I53" s="108" t="str">
        <f t="shared" si="4"/>
        <v/>
      </c>
      <c r="J53" s="107">
        <f t="shared" si="5"/>
        <v>-3</v>
      </c>
      <c r="K53" s="107">
        <f t="shared" si="1"/>
        <v>-30</v>
      </c>
      <c r="L53" s="107"/>
      <c r="M53" s="109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90"/>
      <c r="H54" s="104">
        <v>49</v>
      </c>
      <c r="I54" s="105" t="str">
        <f t="shared" si="4"/>
        <v/>
      </c>
      <c r="J54" s="104">
        <f t="shared" si="5"/>
        <v>-3</v>
      </c>
      <c r="K54" s="104">
        <f t="shared" si="1"/>
        <v>-30</v>
      </c>
      <c r="L54" s="104"/>
      <c r="M54" s="106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90"/>
      <c r="H55" s="107">
        <v>50</v>
      </c>
      <c r="I55" s="108" t="str">
        <f t="shared" si="4"/>
        <v/>
      </c>
      <c r="J55" s="107">
        <f t="shared" si="5"/>
        <v>-3</v>
      </c>
      <c r="K55" s="107">
        <f t="shared" si="1"/>
        <v>-30</v>
      </c>
      <c r="L55" s="107"/>
      <c r="M55" s="109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90"/>
      <c r="H56" s="104">
        <v>51</v>
      </c>
      <c r="I56" s="105" t="str">
        <f t="shared" si="4"/>
        <v/>
      </c>
      <c r="J56" s="104">
        <f t="shared" si="5"/>
        <v>-3</v>
      </c>
      <c r="K56" s="104">
        <f t="shared" si="1"/>
        <v>-30</v>
      </c>
      <c r="L56" s="104"/>
      <c r="M56" s="106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90"/>
      <c r="H57" s="107">
        <v>52</v>
      </c>
      <c r="I57" s="108" t="str">
        <f t="shared" si="4"/>
        <v/>
      </c>
      <c r="J57" s="107">
        <f t="shared" si="5"/>
        <v>-3</v>
      </c>
      <c r="K57" s="107">
        <f t="shared" si="1"/>
        <v>-30</v>
      </c>
      <c r="L57" s="107"/>
      <c r="M57" s="109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90"/>
      <c r="H58" s="104">
        <v>53</v>
      </c>
      <c r="I58" s="105" t="str">
        <f t="shared" si="4"/>
        <v/>
      </c>
      <c r="J58" s="104">
        <f t="shared" si="5"/>
        <v>-3</v>
      </c>
      <c r="K58" s="104">
        <f t="shared" si="1"/>
        <v>-30</v>
      </c>
      <c r="L58" s="104"/>
      <c r="M58" s="106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90"/>
      <c r="H59" s="107">
        <v>54</v>
      </c>
      <c r="I59" s="108" t="str">
        <f t="shared" si="4"/>
        <v/>
      </c>
      <c r="J59" s="107">
        <f t="shared" si="5"/>
        <v>-3</v>
      </c>
      <c r="K59" s="107">
        <f t="shared" si="1"/>
        <v>-30</v>
      </c>
      <c r="L59" s="107"/>
      <c r="M59" s="109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90"/>
      <c r="H60" s="104">
        <v>55</v>
      </c>
      <c r="I60" s="105" t="str">
        <f t="shared" si="4"/>
        <v/>
      </c>
      <c r="J60" s="104">
        <f t="shared" si="5"/>
        <v>-3</v>
      </c>
      <c r="K60" s="104">
        <f t="shared" si="1"/>
        <v>-30</v>
      </c>
      <c r="L60" s="104"/>
      <c r="M60" s="106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90"/>
      <c r="H61" s="107">
        <v>56</v>
      </c>
      <c r="I61" s="108" t="str">
        <f t="shared" si="4"/>
        <v/>
      </c>
      <c r="J61" s="107">
        <f t="shared" si="5"/>
        <v>-3</v>
      </c>
      <c r="K61" s="107">
        <f t="shared" si="1"/>
        <v>-30</v>
      </c>
      <c r="L61" s="107"/>
      <c r="M61" s="109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90"/>
      <c r="H62" s="104">
        <v>57</v>
      </c>
      <c r="I62" s="105" t="str">
        <f t="shared" si="4"/>
        <v/>
      </c>
      <c r="J62" s="104">
        <f t="shared" si="5"/>
        <v>-3</v>
      </c>
      <c r="K62" s="104">
        <f t="shared" si="1"/>
        <v>-30</v>
      </c>
      <c r="L62" s="104"/>
      <c r="M62" s="106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90"/>
      <c r="H63" s="107">
        <v>58</v>
      </c>
      <c r="I63" s="108" t="str">
        <f t="shared" si="4"/>
        <v/>
      </c>
      <c r="J63" s="107">
        <f t="shared" si="5"/>
        <v>-3</v>
      </c>
      <c r="K63" s="107">
        <f t="shared" si="1"/>
        <v>-30</v>
      </c>
      <c r="L63" s="107"/>
      <c r="M63" s="109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90"/>
      <c r="H64" s="104">
        <v>59</v>
      </c>
      <c r="I64" s="105" t="str">
        <f t="shared" si="4"/>
        <v/>
      </c>
      <c r="J64" s="104">
        <f t="shared" si="5"/>
        <v>-3</v>
      </c>
      <c r="K64" s="104">
        <f t="shared" si="1"/>
        <v>-30</v>
      </c>
      <c r="L64" s="104"/>
      <c r="M64" s="106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90"/>
      <c r="H65" s="107">
        <v>60</v>
      </c>
      <c r="I65" s="108" t="str">
        <f t="shared" si="4"/>
        <v/>
      </c>
      <c r="J65" s="107">
        <f t="shared" si="5"/>
        <v>-3</v>
      </c>
      <c r="K65" s="107">
        <f t="shared" si="1"/>
        <v>-30</v>
      </c>
      <c r="L65" s="107"/>
      <c r="M65" s="109">
        <f t="shared" si="2"/>
        <v>0</v>
      </c>
    </row>
    <row r="66" spans="1:13" x14ac:dyDescent="0.25">
      <c r="A66" s="120"/>
      <c r="B66" s="33"/>
      <c r="G66" s="90"/>
      <c r="H66" s="104">
        <v>61</v>
      </c>
      <c r="I66" s="105" t="str">
        <f t="shared" si="4"/>
        <v/>
      </c>
      <c r="J66" s="104">
        <f t="shared" si="5"/>
        <v>-3</v>
      </c>
      <c r="K66" s="104">
        <f t="shared" si="1"/>
        <v>-30</v>
      </c>
      <c r="L66" s="104"/>
      <c r="M66" s="106">
        <f t="shared" si="2"/>
        <v>0</v>
      </c>
    </row>
    <row r="67" spans="1:13" x14ac:dyDescent="0.25">
      <c r="A67" s="120"/>
      <c r="B67" s="39"/>
      <c r="G67" s="90"/>
      <c r="H67" s="104">
        <v>62</v>
      </c>
      <c r="I67" s="105" t="str">
        <f t="shared" si="4"/>
        <v/>
      </c>
      <c r="J67" s="104">
        <f t="shared" si="5"/>
        <v>-3</v>
      </c>
      <c r="K67" s="104">
        <f t="shared" si="1"/>
        <v>-30</v>
      </c>
      <c r="L67" s="104"/>
      <c r="M67" s="106">
        <f t="shared" si="2"/>
        <v>0</v>
      </c>
    </row>
    <row r="68" spans="1:13" x14ac:dyDescent="0.25">
      <c r="A68" s="120"/>
      <c r="B68" s="33"/>
      <c r="G68" s="90"/>
      <c r="H68" s="104">
        <v>63</v>
      </c>
      <c r="I68" s="105" t="str">
        <f t="shared" si="4"/>
        <v/>
      </c>
      <c r="J68" s="104">
        <f t="shared" si="5"/>
        <v>-3</v>
      </c>
      <c r="K68" s="104">
        <f t="shared" si="1"/>
        <v>-30</v>
      </c>
      <c r="L68" s="104"/>
      <c r="M68" s="106">
        <f t="shared" si="2"/>
        <v>0</v>
      </c>
    </row>
    <row r="69" spans="1:13" x14ac:dyDescent="0.25">
      <c r="A69" s="120"/>
      <c r="B69" s="39"/>
      <c r="G69" s="90"/>
      <c r="H69" s="104">
        <v>64</v>
      </c>
      <c r="I69" s="105" t="str">
        <f t="shared" si="4"/>
        <v/>
      </c>
      <c r="J69" s="104">
        <f t="shared" si="5"/>
        <v>-3</v>
      </c>
      <c r="K69" s="104">
        <f t="shared" si="1"/>
        <v>-30</v>
      </c>
      <c r="L69" s="104"/>
      <c r="M69" s="106">
        <f t="shared" si="2"/>
        <v>0</v>
      </c>
    </row>
    <row r="70" spans="1:13" x14ac:dyDescent="0.25">
      <c r="A70" s="120"/>
      <c r="G70" s="90"/>
      <c r="H70" s="104">
        <v>65</v>
      </c>
      <c r="I70" s="105" t="str">
        <f t="shared" si="4"/>
        <v/>
      </c>
      <c r="J70" s="104">
        <f t="shared" si="5"/>
        <v>-4</v>
      </c>
      <c r="K70" s="104">
        <f t="shared" ref="K70:K133" si="7">J70*$J$2</f>
        <v>-40</v>
      </c>
      <c r="L70" s="104"/>
      <c r="M70" s="106">
        <f t="shared" ref="M70:M133" si="8">IF(I70&lt;&gt;"",K70+I70+L70,0)</f>
        <v>0</v>
      </c>
    </row>
    <row r="71" spans="1:13" x14ac:dyDescent="0.25">
      <c r="A71" s="120"/>
      <c r="G71" s="90"/>
      <c r="H71" s="104">
        <v>66</v>
      </c>
      <c r="I71" s="105" t="str">
        <f t="shared" ref="I71:I134" si="9">IF(H71&lt;$H$2+1,($I$2-($I$2-1)*(LOG(H71)/LOG($H$2))),"")</f>
        <v/>
      </c>
      <c r="J71" s="104">
        <f t="shared" ref="J71:J134" si="10">INT(LOG($H$2,2))-ROUNDUP(LOG(H71,2),0)+IF(OR($H$2=1,$H$2=2,$H$2=4,$H$2=8,$H$2=16,$H$2=32,$H$2=64,$H$2=128,$H$2=256),0,1)</f>
        <v>-4</v>
      </c>
      <c r="K71" s="104">
        <f t="shared" si="7"/>
        <v>-40</v>
      </c>
      <c r="L71" s="104"/>
      <c r="M71" s="106">
        <f t="shared" si="8"/>
        <v>0</v>
      </c>
    </row>
    <row r="72" spans="1:13" x14ac:dyDescent="0.25">
      <c r="A72" s="120"/>
      <c r="G72" s="90"/>
      <c r="H72" s="104">
        <v>67</v>
      </c>
      <c r="I72" s="105" t="str">
        <f t="shared" si="9"/>
        <v/>
      </c>
      <c r="J72" s="104">
        <f t="shared" si="10"/>
        <v>-4</v>
      </c>
      <c r="K72" s="104">
        <f t="shared" si="7"/>
        <v>-40</v>
      </c>
      <c r="L72" s="104"/>
      <c r="M72" s="106">
        <f t="shared" si="8"/>
        <v>0</v>
      </c>
    </row>
    <row r="73" spans="1:13" x14ac:dyDescent="0.25">
      <c r="A73" s="120"/>
      <c r="G73" s="90"/>
      <c r="H73" s="104">
        <v>68</v>
      </c>
      <c r="I73" s="105" t="str">
        <f t="shared" si="9"/>
        <v/>
      </c>
      <c r="J73" s="104">
        <f t="shared" si="10"/>
        <v>-4</v>
      </c>
      <c r="K73" s="104">
        <f t="shared" si="7"/>
        <v>-40</v>
      </c>
      <c r="L73" s="104"/>
      <c r="M73" s="106">
        <f t="shared" si="8"/>
        <v>0</v>
      </c>
    </row>
    <row r="74" spans="1:13" x14ac:dyDescent="0.25">
      <c r="A74" s="120"/>
      <c r="G74" s="90"/>
      <c r="H74" s="104">
        <v>69</v>
      </c>
      <c r="I74" s="105" t="str">
        <f t="shared" si="9"/>
        <v/>
      </c>
      <c r="J74" s="104">
        <f t="shared" si="10"/>
        <v>-4</v>
      </c>
      <c r="K74" s="104">
        <f t="shared" si="7"/>
        <v>-40</v>
      </c>
      <c r="L74" s="104"/>
      <c r="M74" s="106">
        <f t="shared" si="8"/>
        <v>0</v>
      </c>
    </row>
    <row r="75" spans="1:13" x14ac:dyDescent="0.25">
      <c r="A75" s="120"/>
      <c r="G75" s="90"/>
      <c r="H75" s="104">
        <v>70</v>
      </c>
      <c r="I75" s="105" t="str">
        <f t="shared" si="9"/>
        <v/>
      </c>
      <c r="J75" s="104">
        <f t="shared" si="10"/>
        <v>-4</v>
      </c>
      <c r="K75" s="104">
        <f t="shared" si="7"/>
        <v>-40</v>
      </c>
      <c r="L75" s="104"/>
      <c r="M75" s="106">
        <f t="shared" si="8"/>
        <v>0</v>
      </c>
    </row>
    <row r="76" spans="1:13" x14ac:dyDescent="0.25">
      <c r="A76" s="120"/>
      <c r="G76" s="90"/>
      <c r="H76" s="104">
        <v>71</v>
      </c>
      <c r="I76" s="105" t="str">
        <f t="shared" si="9"/>
        <v/>
      </c>
      <c r="J76" s="104">
        <f t="shared" si="10"/>
        <v>-4</v>
      </c>
      <c r="K76" s="104">
        <f t="shared" si="7"/>
        <v>-40</v>
      </c>
      <c r="L76" s="104"/>
      <c r="M76" s="106">
        <f t="shared" si="8"/>
        <v>0</v>
      </c>
    </row>
    <row r="77" spans="1:13" x14ac:dyDescent="0.25">
      <c r="A77" s="120"/>
      <c r="G77" s="90"/>
      <c r="H77" s="104">
        <v>72</v>
      </c>
      <c r="I77" s="105" t="str">
        <f t="shared" si="9"/>
        <v/>
      </c>
      <c r="J77" s="104">
        <f t="shared" si="10"/>
        <v>-4</v>
      </c>
      <c r="K77" s="104">
        <f t="shared" si="7"/>
        <v>-40</v>
      </c>
      <c r="L77" s="104"/>
      <c r="M77" s="106">
        <f t="shared" si="8"/>
        <v>0</v>
      </c>
    </row>
    <row r="78" spans="1:13" x14ac:dyDescent="0.25">
      <c r="A78" s="120"/>
      <c r="G78" s="90"/>
      <c r="H78" s="104">
        <v>73</v>
      </c>
      <c r="I78" s="105" t="str">
        <f t="shared" si="9"/>
        <v/>
      </c>
      <c r="J78" s="104">
        <f t="shared" si="10"/>
        <v>-4</v>
      </c>
      <c r="K78" s="104">
        <f t="shared" si="7"/>
        <v>-40</v>
      </c>
      <c r="L78" s="104"/>
      <c r="M78" s="106">
        <f t="shared" si="8"/>
        <v>0</v>
      </c>
    </row>
    <row r="79" spans="1:13" x14ac:dyDescent="0.25">
      <c r="A79" s="120"/>
      <c r="G79" s="90"/>
      <c r="H79" s="104">
        <v>74</v>
      </c>
      <c r="I79" s="105" t="str">
        <f t="shared" si="9"/>
        <v/>
      </c>
      <c r="J79" s="104">
        <f t="shared" si="10"/>
        <v>-4</v>
      </c>
      <c r="K79" s="104">
        <f t="shared" si="7"/>
        <v>-40</v>
      </c>
      <c r="L79" s="104"/>
      <c r="M79" s="106">
        <f t="shared" si="8"/>
        <v>0</v>
      </c>
    </row>
    <row r="80" spans="1:13" x14ac:dyDescent="0.25">
      <c r="A80" s="120"/>
      <c r="G80" s="90"/>
      <c r="H80" s="104">
        <v>75</v>
      </c>
      <c r="I80" s="105" t="str">
        <f t="shared" si="9"/>
        <v/>
      </c>
      <c r="J80" s="104">
        <f t="shared" si="10"/>
        <v>-4</v>
      </c>
      <c r="K80" s="104">
        <f t="shared" si="7"/>
        <v>-40</v>
      </c>
      <c r="L80" s="104"/>
      <c r="M80" s="106">
        <f t="shared" si="8"/>
        <v>0</v>
      </c>
    </row>
    <row r="81" spans="1:13" x14ac:dyDescent="0.25">
      <c r="A81" s="120"/>
      <c r="G81" s="90"/>
      <c r="H81" s="104">
        <v>76</v>
      </c>
      <c r="I81" s="105" t="str">
        <f t="shared" si="9"/>
        <v/>
      </c>
      <c r="J81" s="104">
        <f t="shared" si="10"/>
        <v>-4</v>
      </c>
      <c r="K81" s="104">
        <f t="shared" si="7"/>
        <v>-40</v>
      </c>
      <c r="L81" s="104"/>
      <c r="M81" s="106">
        <f t="shared" si="8"/>
        <v>0</v>
      </c>
    </row>
    <row r="82" spans="1:13" x14ac:dyDescent="0.25">
      <c r="A82" s="120"/>
      <c r="G82" s="90"/>
      <c r="H82" s="104">
        <v>77</v>
      </c>
      <c r="I82" s="105" t="str">
        <f t="shared" si="9"/>
        <v/>
      </c>
      <c r="J82" s="104">
        <f t="shared" si="10"/>
        <v>-4</v>
      </c>
      <c r="K82" s="104">
        <f t="shared" si="7"/>
        <v>-40</v>
      </c>
      <c r="L82" s="104"/>
      <c r="M82" s="106">
        <f t="shared" si="8"/>
        <v>0</v>
      </c>
    </row>
    <row r="83" spans="1:13" x14ac:dyDescent="0.25">
      <c r="A83" s="120"/>
      <c r="G83" s="90"/>
      <c r="H83" s="104">
        <v>78</v>
      </c>
      <c r="I83" s="105" t="str">
        <f t="shared" si="9"/>
        <v/>
      </c>
      <c r="J83" s="104">
        <f t="shared" si="10"/>
        <v>-4</v>
      </c>
      <c r="K83" s="104">
        <f t="shared" si="7"/>
        <v>-40</v>
      </c>
      <c r="L83" s="104"/>
      <c r="M83" s="106">
        <f t="shared" si="8"/>
        <v>0</v>
      </c>
    </row>
    <row r="84" spans="1:13" x14ac:dyDescent="0.25">
      <c r="A84" s="120"/>
      <c r="G84" s="90"/>
      <c r="H84" s="104">
        <v>79</v>
      </c>
      <c r="I84" s="105" t="str">
        <f t="shared" si="9"/>
        <v/>
      </c>
      <c r="J84" s="104">
        <f t="shared" si="10"/>
        <v>-4</v>
      </c>
      <c r="K84" s="104">
        <f t="shared" si="7"/>
        <v>-40</v>
      </c>
      <c r="L84" s="104"/>
      <c r="M84" s="106">
        <f t="shared" si="8"/>
        <v>0</v>
      </c>
    </row>
    <row r="85" spans="1:13" x14ac:dyDescent="0.25">
      <c r="A85" s="120"/>
      <c r="G85" s="90"/>
      <c r="H85" s="104">
        <v>80</v>
      </c>
      <c r="I85" s="105" t="str">
        <f t="shared" si="9"/>
        <v/>
      </c>
      <c r="J85" s="104">
        <f t="shared" si="10"/>
        <v>-4</v>
      </c>
      <c r="K85" s="104">
        <f t="shared" si="7"/>
        <v>-40</v>
      </c>
      <c r="L85" s="104"/>
      <c r="M85" s="106">
        <f t="shared" si="8"/>
        <v>0</v>
      </c>
    </row>
    <row r="86" spans="1:13" x14ac:dyDescent="0.25">
      <c r="A86" s="120"/>
      <c r="G86" s="90"/>
      <c r="H86" s="104">
        <v>81</v>
      </c>
      <c r="I86" s="105" t="str">
        <f t="shared" si="9"/>
        <v/>
      </c>
      <c r="J86" s="104">
        <f t="shared" si="10"/>
        <v>-4</v>
      </c>
      <c r="K86" s="104">
        <f t="shared" si="7"/>
        <v>-40</v>
      </c>
      <c r="L86" s="104"/>
      <c r="M86" s="106">
        <f t="shared" si="8"/>
        <v>0</v>
      </c>
    </row>
    <row r="87" spans="1:13" x14ac:dyDescent="0.25">
      <c r="A87" s="120"/>
      <c r="G87" s="90"/>
      <c r="H87" s="104">
        <v>82</v>
      </c>
      <c r="I87" s="105" t="str">
        <f t="shared" si="9"/>
        <v/>
      </c>
      <c r="J87" s="104">
        <f t="shared" si="10"/>
        <v>-4</v>
      </c>
      <c r="K87" s="104">
        <f t="shared" si="7"/>
        <v>-40</v>
      </c>
      <c r="L87" s="104"/>
      <c r="M87" s="106">
        <f t="shared" si="8"/>
        <v>0</v>
      </c>
    </row>
    <row r="88" spans="1:13" x14ac:dyDescent="0.25">
      <c r="A88" s="120"/>
      <c r="G88" s="90"/>
      <c r="H88" s="104">
        <v>83</v>
      </c>
      <c r="I88" s="105" t="str">
        <f t="shared" si="9"/>
        <v/>
      </c>
      <c r="J88" s="104">
        <f t="shared" si="10"/>
        <v>-4</v>
      </c>
      <c r="K88" s="104">
        <f t="shared" si="7"/>
        <v>-40</v>
      </c>
      <c r="L88" s="104"/>
      <c r="M88" s="106">
        <f t="shared" si="8"/>
        <v>0</v>
      </c>
    </row>
    <row r="89" spans="1:13" x14ac:dyDescent="0.25">
      <c r="A89" s="120"/>
      <c r="G89" s="90"/>
      <c r="H89" s="104">
        <v>84</v>
      </c>
      <c r="I89" s="105" t="str">
        <f t="shared" si="9"/>
        <v/>
      </c>
      <c r="J89" s="104">
        <f t="shared" si="10"/>
        <v>-4</v>
      </c>
      <c r="K89" s="104">
        <f t="shared" si="7"/>
        <v>-40</v>
      </c>
      <c r="L89" s="104"/>
      <c r="M89" s="106">
        <f t="shared" si="8"/>
        <v>0</v>
      </c>
    </row>
    <row r="90" spans="1:13" x14ac:dyDescent="0.25">
      <c r="A90" s="120"/>
      <c r="G90" s="90"/>
      <c r="H90" s="104">
        <v>85</v>
      </c>
      <c r="I90" s="105" t="str">
        <f t="shared" si="9"/>
        <v/>
      </c>
      <c r="J90" s="104">
        <f t="shared" si="10"/>
        <v>-4</v>
      </c>
      <c r="K90" s="104">
        <f t="shared" si="7"/>
        <v>-40</v>
      </c>
      <c r="L90" s="104"/>
      <c r="M90" s="106">
        <f t="shared" si="8"/>
        <v>0</v>
      </c>
    </row>
    <row r="91" spans="1:13" x14ac:dyDescent="0.25">
      <c r="A91" s="120"/>
      <c r="G91" s="90"/>
      <c r="H91" s="104">
        <v>86</v>
      </c>
      <c r="I91" s="105" t="str">
        <f t="shared" si="9"/>
        <v/>
      </c>
      <c r="J91" s="104">
        <f t="shared" si="10"/>
        <v>-4</v>
      </c>
      <c r="K91" s="104">
        <f t="shared" si="7"/>
        <v>-40</v>
      </c>
      <c r="L91" s="104"/>
      <c r="M91" s="106">
        <f t="shared" si="8"/>
        <v>0</v>
      </c>
    </row>
    <row r="92" spans="1:13" x14ac:dyDescent="0.25">
      <c r="A92" s="120"/>
      <c r="G92" s="90"/>
      <c r="H92" s="104">
        <v>87</v>
      </c>
      <c r="I92" s="105" t="str">
        <f t="shared" si="9"/>
        <v/>
      </c>
      <c r="J92" s="104">
        <f t="shared" si="10"/>
        <v>-4</v>
      </c>
      <c r="K92" s="104">
        <f t="shared" si="7"/>
        <v>-40</v>
      </c>
      <c r="L92" s="104"/>
      <c r="M92" s="106">
        <f t="shared" si="8"/>
        <v>0</v>
      </c>
    </row>
    <row r="93" spans="1:13" x14ac:dyDescent="0.25">
      <c r="A93" s="120"/>
      <c r="G93" s="90"/>
      <c r="H93" s="104">
        <v>88</v>
      </c>
      <c r="I93" s="105" t="str">
        <f t="shared" si="9"/>
        <v/>
      </c>
      <c r="J93" s="104">
        <f t="shared" si="10"/>
        <v>-4</v>
      </c>
      <c r="K93" s="104">
        <f t="shared" si="7"/>
        <v>-40</v>
      </c>
      <c r="L93" s="104"/>
      <c r="M93" s="106">
        <f t="shared" si="8"/>
        <v>0</v>
      </c>
    </row>
    <row r="94" spans="1:13" x14ac:dyDescent="0.25">
      <c r="A94" s="120"/>
      <c r="G94" s="90"/>
      <c r="H94" s="104">
        <v>89</v>
      </c>
      <c r="I94" s="105" t="str">
        <f t="shared" si="9"/>
        <v/>
      </c>
      <c r="J94" s="104">
        <f t="shared" si="10"/>
        <v>-4</v>
      </c>
      <c r="K94" s="104">
        <f t="shared" si="7"/>
        <v>-40</v>
      </c>
      <c r="L94" s="104"/>
      <c r="M94" s="106">
        <f t="shared" si="8"/>
        <v>0</v>
      </c>
    </row>
    <row r="95" spans="1:13" x14ac:dyDescent="0.25">
      <c r="A95" s="120"/>
      <c r="G95" s="90"/>
      <c r="H95" s="104">
        <v>90</v>
      </c>
      <c r="I95" s="105" t="str">
        <f t="shared" si="9"/>
        <v/>
      </c>
      <c r="J95" s="104">
        <f t="shared" si="10"/>
        <v>-4</v>
      </c>
      <c r="K95" s="104">
        <f t="shared" si="7"/>
        <v>-40</v>
      </c>
      <c r="L95" s="104"/>
      <c r="M95" s="106">
        <f t="shared" si="8"/>
        <v>0</v>
      </c>
    </row>
    <row r="96" spans="1:13" x14ac:dyDescent="0.25">
      <c r="A96" s="120"/>
      <c r="G96" s="90"/>
      <c r="H96" s="104">
        <v>91</v>
      </c>
      <c r="I96" s="105" t="str">
        <f t="shared" si="9"/>
        <v/>
      </c>
      <c r="J96" s="104">
        <f t="shared" si="10"/>
        <v>-4</v>
      </c>
      <c r="K96" s="104">
        <f t="shared" si="7"/>
        <v>-40</v>
      </c>
      <c r="L96" s="104"/>
      <c r="M96" s="106">
        <f t="shared" si="8"/>
        <v>0</v>
      </c>
    </row>
    <row r="97" spans="1:13" x14ac:dyDescent="0.25">
      <c r="A97" s="120"/>
      <c r="G97" s="90"/>
      <c r="H97" s="104">
        <v>92</v>
      </c>
      <c r="I97" s="105" t="str">
        <f t="shared" si="9"/>
        <v/>
      </c>
      <c r="J97" s="104">
        <f t="shared" si="10"/>
        <v>-4</v>
      </c>
      <c r="K97" s="104">
        <f t="shared" si="7"/>
        <v>-40</v>
      </c>
      <c r="L97" s="104"/>
      <c r="M97" s="106">
        <f t="shared" si="8"/>
        <v>0</v>
      </c>
    </row>
    <row r="98" spans="1:13" x14ac:dyDescent="0.25">
      <c r="A98" s="120"/>
      <c r="G98" s="90"/>
      <c r="H98" s="104">
        <v>93</v>
      </c>
      <c r="I98" s="105" t="str">
        <f t="shared" si="9"/>
        <v/>
      </c>
      <c r="J98" s="104">
        <f t="shared" si="10"/>
        <v>-4</v>
      </c>
      <c r="K98" s="104">
        <f t="shared" si="7"/>
        <v>-40</v>
      </c>
      <c r="L98" s="104"/>
      <c r="M98" s="106">
        <f t="shared" si="8"/>
        <v>0</v>
      </c>
    </row>
    <row r="99" spans="1:13" x14ac:dyDescent="0.25">
      <c r="A99" s="120"/>
      <c r="G99" s="90"/>
      <c r="H99" s="104">
        <v>94</v>
      </c>
      <c r="I99" s="105" t="str">
        <f t="shared" si="9"/>
        <v/>
      </c>
      <c r="J99" s="104">
        <f t="shared" si="10"/>
        <v>-4</v>
      </c>
      <c r="K99" s="104">
        <f t="shared" si="7"/>
        <v>-40</v>
      </c>
      <c r="L99" s="104"/>
      <c r="M99" s="106">
        <f t="shared" si="8"/>
        <v>0</v>
      </c>
    </row>
    <row r="100" spans="1:13" x14ac:dyDescent="0.25">
      <c r="A100" s="120"/>
      <c r="G100" s="90"/>
      <c r="H100" s="104">
        <v>95</v>
      </c>
      <c r="I100" s="105" t="str">
        <f t="shared" si="9"/>
        <v/>
      </c>
      <c r="J100" s="104">
        <f t="shared" si="10"/>
        <v>-4</v>
      </c>
      <c r="K100" s="104">
        <f t="shared" si="7"/>
        <v>-40</v>
      </c>
      <c r="L100" s="104"/>
      <c r="M100" s="106">
        <f t="shared" si="8"/>
        <v>0</v>
      </c>
    </row>
    <row r="101" spans="1:13" x14ac:dyDescent="0.25">
      <c r="A101" s="120"/>
      <c r="G101" s="90"/>
      <c r="H101" s="104">
        <v>96</v>
      </c>
      <c r="I101" s="105" t="str">
        <f t="shared" si="9"/>
        <v/>
      </c>
      <c r="J101" s="104">
        <f t="shared" si="10"/>
        <v>-4</v>
      </c>
      <c r="K101" s="104">
        <f t="shared" si="7"/>
        <v>-40</v>
      </c>
      <c r="L101" s="104"/>
      <c r="M101" s="106">
        <f t="shared" si="8"/>
        <v>0</v>
      </c>
    </row>
    <row r="102" spans="1:13" x14ac:dyDescent="0.25">
      <c r="A102" s="120"/>
      <c r="G102" s="90"/>
      <c r="H102" s="104">
        <v>97</v>
      </c>
      <c r="I102" s="105" t="str">
        <f t="shared" si="9"/>
        <v/>
      </c>
      <c r="J102" s="104">
        <f t="shared" si="10"/>
        <v>-4</v>
      </c>
      <c r="K102" s="104">
        <f t="shared" si="7"/>
        <v>-40</v>
      </c>
      <c r="L102" s="104"/>
      <c r="M102" s="106">
        <f t="shared" si="8"/>
        <v>0</v>
      </c>
    </row>
    <row r="103" spans="1:13" x14ac:dyDescent="0.25">
      <c r="A103" s="120"/>
      <c r="G103" s="90"/>
      <c r="H103" s="104">
        <v>98</v>
      </c>
      <c r="I103" s="105" t="str">
        <f t="shared" si="9"/>
        <v/>
      </c>
      <c r="J103" s="104">
        <f t="shared" si="10"/>
        <v>-4</v>
      </c>
      <c r="K103" s="104">
        <f t="shared" si="7"/>
        <v>-40</v>
      </c>
      <c r="L103" s="104"/>
      <c r="M103" s="106">
        <f t="shared" si="8"/>
        <v>0</v>
      </c>
    </row>
    <row r="104" spans="1:13" x14ac:dyDescent="0.25">
      <c r="A104" s="120"/>
      <c r="G104" s="90"/>
      <c r="H104" s="104">
        <v>99</v>
      </c>
      <c r="I104" s="105" t="str">
        <f t="shared" si="9"/>
        <v/>
      </c>
      <c r="J104" s="104">
        <f t="shared" si="10"/>
        <v>-4</v>
      </c>
      <c r="K104" s="104">
        <f t="shared" si="7"/>
        <v>-40</v>
      </c>
      <c r="L104" s="104"/>
      <c r="M104" s="106">
        <f t="shared" si="8"/>
        <v>0</v>
      </c>
    </row>
    <row r="105" spans="1:13" x14ac:dyDescent="0.25">
      <c r="A105" s="120"/>
      <c r="G105" s="90"/>
      <c r="H105" s="104">
        <v>100</v>
      </c>
      <c r="I105" s="105" t="str">
        <f t="shared" si="9"/>
        <v/>
      </c>
      <c r="J105" s="104">
        <f t="shared" si="10"/>
        <v>-4</v>
      </c>
      <c r="K105" s="104">
        <f t="shared" si="7"/>
        <v>-40</v>
      </c>
      <c r="L105" s="104"/>
      <c r="M105" s="106">
        <f t="shared" si="8"/>
        <v>0</v>
      </c>
    </row>
    <row r="106" spans="1:13" x14ac:dyDescent="0.25">
      <c r="A106" s="120"/>
      <c r="G106" s="90"/>
      <c r="H106" s="104">
        <v>101</v>
      </c>
      <c r="I106" s="105" t="str">
        <f t="shared" si="9"/>
        <v/>
      </c>
      <c r="J106" s="104">
        <f t="shared" si="10"/>
        <v>-4</v>
      </c>
      <c r="K106" s="104">
        <f t="shared" si="7"/>
        <v>-40</v>
      </c>
      <c r="L106" s="104"/>
      <c r="M106" s="106">
        <f t="shared" si="8"/>
        <v>0</v>
      </c>
    </row>
    <row r="107" spans="1:13" x14ac:dyDescent="0.25">
      <c r="A107" s="120"/>
      <c r="G107" s="90"/>
      <c r="H107" s="104">
        <v>102</v>
      </c>
      <c r="I107" s="105" t="str">
        <f t="shared" si="9"/>
        <v/>
      </c>
      <c r="J107" s="104">
        <f t="shared" si="10"/>
        <v>-4</v>
      </c>
      <c r="K107" s="104">
        <f t="shared" si="7"/>
        <v>-40</v>
      </c>
      <c r="L107" s="104"/>
      <c r="M107" s="106">
        <f t="shared" si="8"/>
        <v>0</v>
      </c>
    </row>
    <row r="108" spans="1:13" x14ac:dyDescent="0.25">
      <c r="A108" s="120"/>
      <c r="G108" s="90"/>
      <c r="H108" s="104">
        <v>103</v>
      </c>
      <c r="I108" s="105" t="str">
        <f t="shared" si="9"/>
        <v/>
      </c>
      <c r="J108" s="104">
        <f t="shared" si="10"/>
        <v>-4</v>
      </c>
      <c r="K108" s="104">
        <f t="shared" si="7"/>
        <v>-40</v>
      </c>
      <c r="L108" s="104"/>
      <c r="M108" s="106">
        <f t="shared" si="8"/>
        <v>0</v>
      </c>
    </row>
    <row r="109" spans="1:13" x14ac:dyDescent="0.25">
      <c r="A109" s="120"/>
      <c r="G109" s="90"/>
      <c r="H109" s="104">
        <v>104</v>
      </c>
      <c r="I109" s="105" t="str">
        <f t="shared" si="9"/>
        <v/>
      </c>
      <c r="J109" s="104">
        <f t="shared" si="10"/>
        <v>-4</v>
      </c>
      <c r="K109" s="104">
        <f t="shared" si="7"/>
        <v>-40</v>
      </c>
      <c r="L109" s="104"/>
      <c r="M109" s="106">
        <f t="shared" si="8"/>
        <v>0</v>
      </c>
    </row>
    <row r="110" spans="1:13" x14ac:dyDescent="0.25">
      <c r="A110" s="120"/>
      <c r="G110" s="90"/>
      <c r="H110" s="104">
        <v>105</v>
      </c>
      <c r="I110" s="105" t="str">
        <f t="shared" si="9"/>
        <v/>
      </c>
      <c r="J110" s="104">
        <f t="shared" si="10"/>
        <v>-4</v>
      </c>
      <c r="K110" s="104">
        <f t="shared" si="7"/>
        <v>-40</v>
      </c>
      <c r="L110" s="104"/>
      <c r="M110" s="106">
        <f t="shared" si="8"/>
        <v>0</v>
      </c>
    </row>
    <row r="111" spans="1:13" x14ac:dyDescent="0.25">
      <c r="A111" s="120"/>
      <c r="G111" s="90"/>
      <c r="H111" s="104">
        <v>106</v>
      </c>
      <c r="I111" s="105" t="str">
        <f t="shared" si="9"/>
        <v/>
      </c>
      <c r="J111" s="104">
        <f t="shared" si="10"/>
        <v>-4</v>
      </c>
      <c r="K111" s="104">
        <f t="shared" si="7"/>
        <v>-40</v>
      </c>
      <c r="L111" s="104"/>
      <c r="M111" s="106">
        <f t="shared" si="8"/>
        <v>0</v>
      </c>
    </row>
    <row r="112" spans="1:13" x14ac:dyDescent="0.25">
      <c r="A112" s="120"/>
      <c r="G112" s="90"/>
      <c r="H112" s="104">
        <v>107</v>
      </c>
      <c r="I112" s="105" t="str">
        <f t="shared" si="9"/>
        <v/>
      </c>
      <c r="J112" s="104">
        <f t="shared" si="10"/>
        <v>-4</v>
      </c>
      <c r="K112" s="104">
        <f t="shared" si="7"/>
        <v>-40</v>
      </c>
      <c r="L112" s="104"/>
      <c r="M112" s="106">
        <f t="shared" si="8"/>
        <v>0</v>
      </c>
    </row>
    <row r="113" spans="1:13" x14ac:dyDescent="0.25">
      <c r="A113" s="120"/>
      <c r="G113" s="90"/>
      <c r="H113" s="104">
        <v>108</v>
      </c>
      <c r="I113" s="105" t="str">
        <f t="shared" si="9"/>
        <v/>
      </c>
      <c r="J113" s="104">
        <f t="shared" si="10"/>
        <v>-4</v>
      </c>
      <c r="K113" s="104">
        <f t="shared" si="7"/>
        <v>-40</v>
      </c>
      <c r="L113" s="104"/>
      <c r="M113" s="106">
        <f t="shared" si="8"/>
        <v>0</v>
      </c>
    </row>
    <row r="114" spans="1:13" x14ac:dyDescent="0.25">
      <c r="A114" s="120"/>
      <c r="G114" s="90"/>
      <c r="H114" s="104">
        <v>109</v>
      </c>
      <c r="I114" s="105" t="str">
        <f t="shared" si="9"/>
        <v/>
      </c>
      <c r="J114" s="104">
        <f t="shared" si="10"/>
        <v>-4</v>
      </c>
      <c r="K114" s="104">
        <f t="shared" si="7"/>
        <v>-40</v>
      </c>
      <c r="L114" s="104"/>
      <c r="M114" s="106">
        <f t="shared" si="8"/>
        <v>0</v>
      </c>
    </row>
    <row r="115" spans="1:13" x14ac:dyDescent="0.25">
      <c r="A115" s="120"/>
      <c r="G115" s="90"/>
      <c r="H115" s="104">
        <v>110</v>
      </c>
      <c r="I115" s="105" t="str">
        <f t="shared" si="9"/>
        <v/>
      </c>
      <c r="J115" s="104">
        <f t="shared" si="10"/>
        <v>-4</v>
      </c>
      <c r="K115" s="104">
        <f t="shared" si="7"/>
        <v>-40</v>
      </c>
      <c r="L115" s="104"/>
      <c r="M115" s="106">
        <f t="shared" si="8"/>
        <v>0</v>
      </c>
    </row>
    <row r="116" spans="1:13" x14ac:dyDescent="0.25">
      <c r="A116" s="120"/>
      <c r="G116" s="90"/>
      <c r="H116" s="104">
        <v>111</v>
      </c>
      <c r="I116" s="105" t="str">
        <f t="shared" si="9"/>
        <v/>
      </c>
      <c r="J116" s="104">
        <f t="shared" si="10"/>
        <v>-4</v>
      </c>
      <c r="K116" s="104">
        <f t="shared" si="7"/>
        <v>-40</v>
      </c>
      <c r="L116" s="104"/>
      <c r="M116" s="106">
        <f t="shared" si="8"/>
        <v>0</v>
      </c>
    </row>
    <row r="117" spans="1:13" x14ac:dyDescent="0.25">
      <c r="A117" s="120"/>
      <c r="G117" s="90"/>
      <c r="H117" s="104">
        <v>112</v>
      </c>
      <c r="I117" s="105" t="str">
        <f t="shared" si="9"/>
        <v/>
      </c>
      <c r="J117" s="104">
        <f t="shared" si="10"/>
        <v>-4</v>
      </c>
      <c r="K117" s="104">
        <f t="shared" si="7"/>
        <v>-40</v>
      </c>
      <c r="L117" s="104"/>
      <c r="M117" s="106">
        <f t="shared" si="8"/>
        <v>0</v>
      </c>
    </row>
    <row r="118" spans="1:13" x14ac:dyDescent="0.25">
      <c r="A118" s="120"/>
      <c r="G118" s="90"/>
      <c r="H118" s="104">
        <v>113</v>
      </c>
      <c r="I118" s="105" t="str">
        <f t="shared" si="9"/>
        <v/>
      </c>
      <c r="J118" s="104">
        <f t="shared" si="10"/>
        <v>-4</v>
      </c>
      <c r="K118" s="104">
        <f t="shared" si="7"/>
        <v>-40</v>
      </c>
      <c r="L118" s="104"/>
      <c r="M118" s="106">
        <f t="shared" si="8"/>
        <v>0</v>
      </c>
    </row>
    <row r="119" spans="1:13" x14ac:dyDescent="0.25">
      <c r="A119" s="120"/>
      <c r="G119" s="90"/>
      <c r="H119" s="104">
        <v>114</v>
      </c>
      <c r="I119" s="105" t="str">
        <f t="shared" si="9"/>
        <v/>
      </c>
      <c r="J119" s="104">
        <f t="shared" si="10"/>
        <v>-4</v>
      </c>
      <c r="K119" s="104">
        <f t="shared" si="7"/>
        <v>-40</v>
      </c>
      <c r="L119" s="104"/>
      <c r="M119" s="106">
        <f t="shared" si="8"/>
        <v>0</v>
      </c>
    </row>
    <row r="120" spans="1:13" x14ac:dyDescent="0.25">
      <c r="A120" s="120"/>
      <c r="G120" s="90"/>
      <c r="H120" s="104">
        <v>115</v>
      </c>
      <c r="I120" s="105" t="str">
        <f t="shared" si="9"/>
        <v/>
      </c>
      <c r="J120" s="104">
        <f t="shared" si="10"/>
        <v>-4</v>
      </c>
      <c r="K120" s="104">
        <f t="shared" si="7"/>
        <v>-40</v>
      </c>
      <c r="L120" s="104"/>
      <c r="M120" s="106">
        <f t="shared" si="8"/>
        <v>0</v>
      </c>
    </row>
    <row r="121" spans="1:13" x14ac:dyDescent="0.25">
      <c r="A121" s="120"/>
      <c r="G121" s="90"/>
      <c r="H121" s="104">
        <v>116</v>
      </c>
      <c r="I121" s="105" t="str">
        <f t="shared" si="9"/>
        <v/>
      </c>
      <c r="J121" s="104">
        <f t="shared" si="10"/>
        <v>-4</v>
      </c>
      <c r="K121" s="104">
        <f t="shared" si="7"/>
        <v>-40</v>
      </c>
      <c r="L121" s="104"/>
      <c r="M121" s="106">
        <f t="shared" si="8"/>
        <v>0</v>
      </c>
    </row>
    <row r="122" spans="1:13" x14ac:dyDescent="0.25">
      <c r="A122" s="120"/>
      <c r="G122" s="90"/>
      <c r="H122" s="104">
        <v>117</v>
      </c>
      <c r="I122" s="105" t="str">
        <f t="shared" si="9"/>
        <v/>
      </c>
      <c r="J122" s="104">
        <f t="shared" si="10"/>
        <v>-4</v>
      </c>
      <c r="K122" s="104">
        <f t="shared" si="7"/>
        <v>-40</v>
      </c>
      <c r="L122" s="104"/>
      <c r="M122" s="106">
        <f t="shared" si="8"/>
        <v>0</v>
      </c>
    </row>
    <row r="123" spans="1:13" x14ac:dyDescent="0.25">
      <c r="A123" s="120"/>
      <c r="G123" s="90"/>
      <c r="H123" s="104">
        <v>118</v>
      </c>
      <c r="I123" s="105" t="str">
        <f t="shared" si="9"/>
        <v/>
      </c>
      <c r="J123" s="104">
        <f t="shared" si="10"/>
        <v>-4</v>
      </c>
      <c r="K123" s="104">
        <f t="shared" si="7"/>
        <v>-40</v>
      </c>
      <c r="L123" s="104"/>
      <c r="M123" s="106">
        <f t="shared" si="8"/>
        <v>0</v>
      </c>
    </row>
    <row r="124" spans="1:13" x14ac:dyDescent="0.25">
      <c r="A124" s="120"/>
      <c r="G124" s="90"/>
      <c r="H124" s="104">
        <v>119</v>
      </c>
      <c r="I124" s="105" t="str">
        <f t="shared" si="9"/>
        <v/>
      </c>
      <c r="J124" s="104">
        <f t="shared" si="10"/>
        <v>-4</v>
      </c>
      <c r="K124" s="104">
        <f t="shared" si="7"/>
        <v>-40</v>
      </c>
      <c r="L124" s="104"/>
      <c r="M124" s="106">
        <f t="shared" si="8"/>
        <v>0</v>
      </c>
    </row>
    <row r="125" spans="1:13" x14ac:dyDescent="0.25">
      <c r="A125" s="120"/>
      <c r="G125" s="90"/>
      <c r="H125" s="104">
        <v>120</v>
      </c>
      <c r="I125" s="105" t="str">
        <f t="shared" si="9"/>
        <v/>
      </c>
      <c r="J125" s="104">
        <f t="shared" si="10"/>
        <v>-4</v>
      </c>
      <c r="K125" s="104">
        <f t="shared" si="7"/>
        <v>-40</v>
      </c>
      <c r="L125" s="104"/>
      <c r="M125" s="106">
        <f t="shared" si="8"/>
        <v>0</v>
      </c>
    </row>
    <row r="126" spans="1:13" x14ac:dyDescent="0.25">
      <c r="A126" s="120"/>
      <c r="G126" s="90"/>
      <c r="H126" s="104">
        <v>121</v>
      </c>
      <c r="I126" s="105" t="str">
        <f t="shared" si="9"/>
        <v/>
      </c>
      <c r="J126" s="104">
        <f t="shared" si="10"/>
        <v>-4</v>
      </c>
      <c r="K126" s="104">
        <f t="shared" si="7"/>
        <v>-40</v>
      </c>
      <c r="L126" s="104"/>
      <c r="M126" s="106">
        <f t="shared" si="8"/>
        <v>0</v>
      </c>
    </row>
    <row r="127" spans="1:13" x14ac:dyDescent="0.25">
      <c r="A127" s="120"/>
      <c r="G127" s="90"/>
      <c r="H127" s="104">
        <v>122</v>
      </c>
      <c r="I127" s="105" t="str">
        <f t="shared" si="9"/>
        <v/>
      </c>
      <c r="J127" s="104">
        <f t="shared" si="10"/>
        <v>-4</v>
      </c>
      <c r="K127" s="104">
        <f t="shared" si="7"/>
        <v>-40</v>
      </c>
      <c r="L127" s="104"/>
      <c r="M127" s="106">
        <f t="shared" si="8"/>
        <v>0</v>
      </c>
    </row>
    <row r="128" spans="1:13" x14ac:dyDescent="0.25">
      <c r="A128" s="120"/>
      <c r="G128" s="90"/>
      <c r="H128" s="104">
        <v>123</v>
      </c>
      <c r="I128" s="105" t="str">
        <f t="shared" si="9"/>
        <v/>
      </c>
      <c r="J128" s="104">
        <f t="shared" si="10"/>
        <v>-4</v>
      </c>
      <c r="K128" s="104">
        <f t="shared" si="7"/>
        <v>-40</v>
      </c>
      <c r="L128" s="104"/>
      <c r="M128" s="106">
        <f t="shared" si="8"/>
        <v>0</v>
      </c>
    </row>
    <row r="129" spans="1:13" x14ac:dyDescent="0.25">
      <c r="A129" s="120"/>
      <c r="G129" s="90"/>
      <c r="H129" s="104">
        <v>124</v>
      </c>
      <c r="I129" s="105" t="str">
        <f t="shared" si="9"/>
        <v/>
      </c>
      <c r="J129" s="104">
        <f t="shared" si="10"/>
        <v>-4</v>
      </c>
      <c r="K129" s="104">
        <f t="shared" si="7"/>
        <v>-40</v>
      </c>
      <c r="L129" s="104"/>
      <c r="M129" s="106">
        <f t="shared" si="8"/>
        <v>0</v>
      </c>
    </row>
    <row r="130" spans="1:13" x14ac:dyDescent="0.25">
      <c r="A130" s="120"/>
      <c r="G130" s="90"/>
      <c r="H130" s="104">
        <v>125</v>
      </c>
      <c r="I130" s="105" t="str">
        <f t="shared" si="9"/>
        <v/>
      </c>
      <c r="J130" s="104">
        <f t="shared" si="10"/>
        <v>-4</v>
      </c>
      <c r="K130" s="104">
        <f t="shared" si="7"/>
        <v>-40</v>
      </c>
      <c r="L130" s="104"/>
      <c r="M130" s="106">
        <f t="shared" si="8"/>
        <v>0</v>
      </c>
    </row>
    <row r="131" spans="1:13" x14ac:dyDescent="0.25">
      <c r="A131" s="120"/>
      <c r="G131" s="90"/>
      <c r="H131" s="104">
        <v>126</v>
      </c>
      <c r="I131" s="105" t="str">
        <f t="shared" si="9"/>
        <v/>
      </c>
      <c r="J131" s="104">
        <f t="shared" si="10"/>
        <v>-4</v>
      </c>
      <c r="K131" s="104">
        <f t="shared" si="7"/>
        <v>-40</v>
      </c>
      <c r="L131" s="104"/>
      <c r="M131" s="106">
        <f t="shared" si="8"/>
        <v>0</v>
      </c>
    </row>
    <row r="132" spans="1:13" x14ac:dyDescent="0.25">
      <c r="A132" s="120"/>
      <c r="G132" s="90"/>
      <c r="H132" s="104">
        <v>127</v>
      </c>
      <c r="I132" s="105" t="str">
        <f t="shared" si="9"/>
        <v/>
      </c>
      <c r="J132" s="104">
        <f t="shared" si="10"/>
        <v>-4</v>
      </c>
      <c r="K132" s="104">
        <f t="shared" si="7"/>
        <v>-40</v>
      </c>
      <c r="L132" s="104"/>
      <c r="M132" s="106">
        <f t="shared" si="8"/>
        <v>0</v>
      </c>
    </row>
    <row r="133" spans="1:13" x14ac:dyDescent="0.25">
      <c r="A133" s="120"/>
      <c r="G133" s="90"/>
      <c r="H133" s="104">
        <v>128</v>
      </c>
      <c r="I133" s="105" t="str">
        <f t="shared" si="9"/>
        <v/>
      </c>
      <c r="J133" s="104">
        <f t="shared" si="10"/>
        <v>-4</v>
      </c>
      <c r="K133" s="104">
        <f t="shared" si="7"/>
        <v>-40</v>
      </c>
      <c r="L133" s="104"/>
      <c r="M133" s="106">
        <f t="shared" si="8"/>
        <v>0</v>
      </c>
    </row>
    <row r="134" spans="1:13" x14ac:dyDescent="0.25">
      <c r="A134" s="120"/>
      <c r="G134" s="90"/>
      <c r="H134" s="104">
        <v>129</v>
      </c>
      <c r="I134" s="105" t="str">
        <f t="shared" si="9"/>
        <v/>
      </c>
      <c r="J134" s="104">
        <f t="shared" si="10"/>
        <v>-5</v>
      </c>
      <c r="K134" s="104">
        <f t="shared" ref="K134:K197" si="11">J134*$J$2</f>
        <v>-50</v>
      </c>
      <c r="L134" s="104"/>
      <c r="M134" s="106">
        <f t="shared" ref="M134:M197" si="12">IF(I134&lt;&gt;"",K134+I134+L134,0)</f>
        <v>0</v>
      </c>
    </row>
    <row r="135" spans="1:13" x14ac:dyDescent="0.25">
      <c r="A135" s="120"/>
      <c r="G135" s="90"/>
      <c r="H135" s="104">
        <v>130</v>
      </c>
      <c r="I135" s="105" t="str">
        <f t="shared" ref="I135:I198" si="13">IF(H135&lt;$H$2+1,($I$2-($I$2-1)*(LOG(H135)/LOG($H$2))),"")</f>
        <v/>
      </c>
      <c r="J135" s="104">
        <f t="shared" ref="J135:J198" si="14">INT(LOG($H$2,2))-ROUNDUP(LOG(H135,2),0)+IF(OR($H$2=1,$H$2=2,$H$2=4,$H$2=8,$H$2=16,$H$2=32,$H$2=64,$H$2=128,$H$2=256),0,1)</f>
        <v>-5</v>
      </c>
      <c r="K135" s="104">
        <f t="shared" si="11"/>
        <v>-50</v>
      </c>
      <c r="L135" s="104"/>
      <c r="M135" s="106">
        <f t="shared" si="12"/>
        <v>0</v>
      </c>
    </row>
    <row r="136" spans="1:13" x14ac:dyDescent="0.25">
      <c r="A136" s="120"/>
      <c r="G136" s="90"/>
      <c r="H136" s="104">
        <v>131</v>
      </c>
      <c r="I136" s="105" t="str">
        <f t="shared" si="13"/>
        <v/>
      </c>
      <c r="J136" s="104">
        <f t="shared" si="14"/>
        <v>-5</v>
      </c>
      <c r="K136" s="104">
        <f t="shared" si="11"/>
        <v>-50</v>
      </c>
      <c r="L136" s="104"/>
      <c r="M136" s="106">
        <f t="shared" si="12"/>
        <v>0</v>
      </c>
    </row>
    <row r="137" spans="1:13" x14ac:dyDescent="0.25">
      <c r="A137" s="120"/>
      <c r="G137" s="90"/>
      <c r="H137" s="104">
        <v>132</v>
      </c>
      <c r="I137" s="105" t="str">
        <f t="shared" si="13"/>
        <v/>
      </c>
      <c r="J137" s="104">
        <f t="shared" si="14"/>
        <v>-5</v>
      </c>
      <c r="K137" s="104">
        <f t="shared" si="11"/>
        <v>-50</v>
      </c>
      <c r="L137" s="104"/>
      <c r="M137" s="106">
        <f t="shared" si="12"/>
        <v>0</v>
      </c>
    </row>
    <row r="138" spans="1:13" x14ac:dyDescent="0.25">
      <c r="A138" s="120"/>
      <c r="G138" s="90"/>
      <c r="H138" s="104">
        <v>133</v>
      </c>
      <c r="I138" s="105" t="str">
        <f t="shared" si="13"/>
        <v/>
      </c>
      <c r="J138" s="104">
        <f t="shared" si="14"/>
        <v>-5</v>
      </c>
      <c r="K138" s="104">
        <f t="shared" si="11"/>
        <v>-50</v>
      </c>
      <c r="L138" s="104"/>
      <c r="M138" s="106">
        <f t="shared" si="12"/>
        <v>0</v>
      </c>
    </row>
    <row r="139" spans="1:13" x14ac:dyDescent="0.25">
      <c r="A139" s="120"/>
      <c r="G139" s="90"/>
      <c r="H139" s="104">
        <v>134</v>
      </c>
      <c r="I139" s="105" t="str">
        <f t="shared" si="13"/>
        <v/>
      </c>
      <c r="J139" s="104">
        <f t="shared" si="14"/>
        <v>-5</v>
      </c>
      <c r="K139" s="104">
        <f t="shared" si="11"/>
        <v>-50</v>
      </c>
      <c r="L139" s="104"/>
      <c r="M139" s="106">
        <f t="shared" si="12"/>
        <v>0</v>
      </c>
    </row>
    <row r="140" spans="1:13" x14ac:dyDescent="0.25">
      <c r="A140" s="120"/>
      <c r="G140" s="90"/>
      <c r="H140" s="104">
        <v>135</v>
      </c>
      <c r="I140" s="105" t="str">
        <f t="shared" si="13"/>
        <v/>
      </c>
      <c r="J140" s="104">
        <f t="shared" si="14"/>
        <v>-5</v>
      </c>
      <c r="K140" s="104">
        <f t="shared" si="11"/>
        <v>-50</v>
      </c>
      <c r="L140" s="104"/>
      <c r="M140" s="106">
        <f t="shared" si="12"/>
        <v>0</v>
      </c>
    </row>
    <row r="141" spans="1:13" x14ac:dyDescent="0.25">
      <c r="A141" s="120"/>
      <c r="G141" s="90"/>
      <c r="H141" s="104">
        <v>136</v>
      </c>
      <c r="I141" s="105" t="str">
        <f t="shared" si="13"/>
        <v/>
      </c>
      <c r="J141" s="104">
        <f t="shared" si="14"/>
        <v>-5</v>
      </c>
      <c r="K141" s="104">
        <f t="shared" si="11"/>
        <v>-50</v>
      </c>
      <c r="L141" s="104"/>
      <c r="M141" s="106">
        <f t="shared" si="12"/>
        <v>0</v>
      </c>
    </row>
    <row r="142" spans="1:13" x14ac:dyDescent="0.25">
      <c r="A142" s="120"/>
      <c r="G142" s="90"/>
      <c r="H142" s="104">
        <v>137</v>
      </c>
      <c r="I142" s="105" t="str">
        <f t="shared" si="13"/>
        <v/>
      </c>
      <c r="J142" s="104">
        <f t="shared" si="14"/>
        <v>-5</v>
      </c>
      <c r="K142" s="104">
        <f t="shared" si="11"/>
        <v>-50</v>
      </c>
      <c r="L142" s="104"/>
      <c r="M142" s="106">
        <f t="shared" si="12"/>
        <v>0</v>
      </c>
    </row>
    <row r="143" spans="1:13" x14ac:dyDescent="0.25">
      <c r="A143" s="120"/>
      <c r="G143" s="90"/>
      <c r="H143" s="104">
        <v>138</v>
      </c>
      <c r="I143" s="105" t="str">
        <f t="shared" si="13"/>
        <v/>
      </c>
      <c r="J143" s="104">
        <f t="shared" si="14"/>
        <v>-5</v>
      </c>
      <c r="K143" s="104">
        <f t="shared" si="11"/>
        <v>-50</v>
      </c>
      <c r="L143" s="104"/>
      <c r="M143" s="106">
        <f t="shared" si="12"/>
        <v>0</v>
      </c>
    </row>
    <row r="144" spans="1:13" x14ac:dyDescent="0.25">
      <c r="A144" s="120"/>
      <c r="G144" s="90"/>
      <c r="H144" s="104">
        <v>139</v>
      </c>
      <c r="I144" s="105" t="str">
        <f t="shared" si="13"/>
        <v/>
      </c>
      <c r="J144" s="104">
        <f t="shared" si="14"/>
        <v>-5</v>
      </c>
      <c r="K144" s="104">
        <f t="shared" si="11"/>
        <v>-50</v>
      </c>
      <c r="L144" s="104"/>
      <c r="M144" s="106">
        <f t="shared" si="12"/>
        <v>0</v>
      </c>
    </row>
    <row r="145" spans="1:13" x14ac:dyDescent="0.25">
      <c r="A145" s="120"/>
      <c r="G145" s="90"/>
      <c r="H145" s="104">
        <v>140</v>
      </c>
      <c r="I145" s="105" t="str">
        <f t="shared" si="13"/>
        <v/>
      </c>
      <c r="J145" s="104">
        <f t="shared" si="14"/>
        <v>-5</v>
      </c>
      <c r="K145" s="104">
        <f t="shared" si="11"/>
        <v>-50</v>
      </c>
      <c r="L145" s="104"/>
      <c r="M145" s="106">
        <f t="shared" si="12"/>
        <v>0</v>
      </c>
    </row>
    <row r="146" spans="1:13" x14ac:dyDescent="0.25">
      <c r="A146" s="120"/>
      <c r="G146" s="90"/>
      <c r="H146" s="104">
        <v>141</v>
      </c>
      <c r="I146" s="105" t="str">
        <f t="shared" si="13"/>
        <v/>
      </c>
      <c r="J146" s="104">
        <f t="shared" si="14"/>
        <v>-5</v>
      </c>
      <c r="K146" s="104">
        <f t="shared" si="11"/>
        <v>-50</v>
      </c>
      <c r="L146" s="104"/>
      <c r="M146" s="106">
        <f t="shared" si="12"/>
        <v>0</v>
      </c>
    </row>
    <row r="147" spans="1:13" x14ac:dyDescent="0.25">
      <c r="A147" s="120"/>
      <c r="G147" s="90"/>
      <c r="H147" s="104">
        <v>142</v>
      </c>
      <c r="I147" s="105" t="str">
        <f t="shared" si="13"/>
        <v/>
      </c>
      <c r="J147" s="104">
        <f t="shared" si="14"/>
        <v>-5</v>
      </c>
      <c r="K147" s="104">
        <f t="shared" si="11"/>
        <v>-50</v>
      </c>
      <c r="L147" s="104"/>
      <c r="M147" s="106">
        <f t="shared" si="12"/>
        <v>0</v>
      </c>
    </row>
    <row r="148" spans="1:13" x14ac:dyDescent="0.25">
      <c r="A148" s="120"/>
      <c r="G148" s="90"/>
      <c r="H148" s="104">
        <v>143</v>
      </c>
      <c r="I148" s="105" t="str">
        <f t="shared" si="13"/>
        <v/>
      </c>
      <c r="J148" s="104">
        <f t="shared" si="14"/>
        <v>-5</v>
      </c>
      <c r="K148" s="104">
        <f t="shared" si="11"/>
        <v>-50</v>
      </c>
      <c r="L148" s="104"/>
      <c r="M148" s="106">
        <f t="shared" si="12"/>
        <v>0</v>
      </c>
    </row>
    <row r="149" spans="1:13" x14ac:dyDescent="0.25">
      <c r="A149" s="120"/>
      <c r="G149" s="90"/>
      <c r="H149" s="104">
        <v>144</v>
      </c>
      <c r="I149" s="105" t="str">
        <f t="shared" si="13"/>
        <v/>
      </c>
      <c r="J149" s="104">
        <f t="shared" si="14"/>
        <v>-5</v>
      </c>
      <c r="K149" s="104">
        <f t="shared" si="11"/>
        <v>-50</v>
      </c>
      <c r="L149" s="104"/>
      <c r="M149" s="106">
        <f t="shared" si="12"/>
        <v>0</v>
      </c>
    </row>
    <row r="150" spans="1:13" x14ac:dyDescent="0.25">
      <c r="A150" s="120"/>
      <c r="G150" s="90"/>
      <c r="H150" s="104">
        <v>145</v>
      </c>
      <c r="I150" s="105" t="str">
        <f t="shared" si="13"/>
        <v/>
      </c>
      <c r="J150" s="104">
        <f t="shared" si="14"/>
        <v>-5</v>
      </c>
      <c r="K150" s="104">
        <f t="shared" si="11"/>
        <v>-50</v>
      </c>
      <c r="L150" s="104"/>
      <c r="M150" s="106">
        <f t="shared" si="12"/>
        <v>0</v>
      </c>
    </row>
    <row r="151" spans="1:13" x14ac:dyDescent="0.25">
      <c r="A151" s="120"/>
      <c r="G151" s="90"/>
      <c r="H151" s="104">
        <v>146</v>
      </c>
      <c r="I151" s="105" t="str">
        <f t="shared" si="13"/>
        <v/>
      </c>
      <c r="J151" s="104">
        <f t="shared" si="14"/>
        <v>-5</v>
      </c>
      <c r="K151" s="104">
        <f t="shared" si="11"/>
        <v>-50</v>
      </c>
      <c r="L151" s="104"/>
      <c r="M151" s="106">
        <f t="shared" si="12"/>
        <v>0</v>
      </c>
    </row>
    <row r="152" spans="1:13" x14ac:dyDescent="0.25">
      <c r="A152" s="120"/>
      <c r="G152" s="90"/>
      <c r="H152" s="104">
        <v>147</v>
      </c>
      <c r="I152" s="105" t="str">
        <f t="shared" si="13"/>
        <v/>
      </c>
      <c r="J152" s="104">
        <f t="shared" si="14"/>
        <v>-5</v>
      </c>
      <c r="K152" s="104">
        <f t="shared" si="11"/>
        <v>-50</v>
      </c>
      <c r="L152" s="104"/>
      <c r="M152" s="106">
        <f t="shared" si="12"/>
        <v>0</v>
      </c>
    </row>
    <row r="153" spans="1:13" x14ac:dyDescent="0.25">
      <c r="A153" s="120"/>
      <c r="G153" s="90"/>
      <c r="H153" s="104">
        <v>148</v>
      </c>
      <c r="I153" s="105" t="str">
        <f t="shared" si="13"/>
        <v/>
      </c>
      <c r="J153" s="104">
        <f t="shared" si="14"/>
        <v>-5</v>
      </c>
      <c r="K153" s="104">
        <f t="shared" si="11"/>
        <v>-50</v>
      </c>
      <c r="L153" s="104"/>
      <c r="M153" s="106">
        <f t="shared" si="12"/>
        <v>0</v>
      </c>
    </row>
    <row r="154" spans="1:13" x14ac:dyDescent="0.25">
      <c r="A154" s="120"/>
      <c r="G154" s="90"/>
      <c r="H154" s="104">
        <v>149</v>
      </c>
      <c r="I154" s="105" t="str">
        <f t="shared" si="13"/>
        <v/>
      </c>
      <c r="J154" s="104">
        <f t="shared" si="14"/>
        <v>-5</v>
      </c>
      <c r="K154" s="104">
        <f t="shared" si="11"/>
        <v>-50</v>
      </c>
      <c r="L154" s="104"/>
      <c r="M154" s="106">
        <f t="shared" si="12"/>
        <v>0</v>
      </c>
    </row>
    <row r="155" spans="1:13" x14ac:dyDescent="0.25">
      <c r="A155" s="120"/>
      <c r="G155" s="90"/>
      <c r="H155" s="104">
        <v>150</v>
      </c>
      <c r="I155" s="105" t="str">
        <f t="shared" si="13"/>
        <v/>
      </c>
      <c r="J155" s="104">
        <f t="shared" si="14"/>
        <v>-5</v>
      </c>
      <c r="K155" s="104">
        <f t="shared" si="11"/>
        <v>-50</v>
      </c>
      <c r="L155" s="104"/>
      <c r="M155" s="106">
        <f t="shared" si="12"/>
        <v>0</v>
      </c>
    </row>
    <row r="156" spans="1:13" x14ac:dyDescent="0.25">
      <c r="A156" s="120"/>
      <c r="G156" s="90"/>
      <c r="H156" s="104">
        <v>151</v>
      </c>
      <c r="I156" s="105" t="str">
        <f t="shared" si="13"/>
        <v/>
      </c>
      <c r="J156" s="104">
        <f t="shared" si="14"/>
        <v>-5</v>
      </c>
      <c r="K156" s="104">
        <f t="shared" si="11"/>
        <v>-50</v>
      </c>
      <c r="L156" s="104"/>
      <c r="M156" s="106">
        <f t="shared" si="12"/>
        <v>0</v>
      </c>
    </row>
    <row r="157" spans="1:13" x14ac:dyDescent="0.25">
      <c r="A157" s="120"/>
      <c r="G157" s="90"/>
      <c r="H157" s="104">
        <v>152</v>
      </c>
      <c r="I157" s="105" t="str">
        <f t="shared" si="13"/>
        <v/>
      </c>
      <c r="J157" s="104">
        <f t="shared" si="14"/>
        <v>-5</v>
      </c>
      <c r="K157" s="104">
        <f t="shared" si="11"/>
        <v>-50</v>
      </c>
      <c r="L157" s="104"/>
      <c r="M157" s="106">
        <f t="shared" si="12"/>
        <v>0</v>
      </c>
    </row>
    <row r="158" spans="1:13" x14ac:dyDescent="0.25">
      <c r="A158" s="120"/>
      <c r="G158" s="90"/>
      <c r="H158" s="104">
        <v>153</v>
      </c>
      <c r="I158" s="105" t="str">
        <f t="shared" si="13"/>
        <v/>
      </c>
      <c r="J158" s="104">
        <f t="shared" si="14"/>
        <v>-5</v>
      </c>
      <c r="K158" s="104">
        <f t="shared" si="11"/>
        <v>-50</v>
      </c>
      <c r="L158" s="104"/>
      <c r="M158" s="106">
        <f t="shared" si="12"/>
        <v>0</v>
      </c>
    </row>
    <row r="159" spans="1:13" x14ac:dyDescent="0.25">
      <c r="A159" s="120"/>
      <c r="G159" s="90"/>
      <c r="H159" s="104">
        <v>154</v>
      </c>
      <c r="I159" s="105" t="str">
        <f t="shared" si="13"/>
        <v/>
      </c>
      <c r="J159" s="104">
        <f t="shared" si="14"/>
        <v>-5</v>
      </c>
      <c r="K159" s="104">
        <f t="shared" si="11"/>
        <v>-50</v>
      </c>
      <c r="L159" s="104"/>
      <c r="M159" s="106">
        <f t="shared" si="12"/>
        <v>0</v>
      </c>
    </row>
    <row r="160" spans="1:13" x14ac:dyDescent="0.25">
      <c r="A160" s="120"/>
      <c r="G160" s="90"/>
      <c r="H160" s="104">
        <v>155</v>
      </c>
      <c r="I160" s="105" t="str">
        <f t="shared" si="13"/>
        <v/>
      </c>
      <c r="J160" s="104">
        <f t="shared" si="14"/>
        <v>-5</v>
      </c>
      <c r="K160" s="104">
        <f t="shared" si="11"/>
        <v>-50</v>
      </c>
      <c r="L160" s="104"/>
      <c r="M160" s="106">
        <f t="shared" si="12"/>
        <v>0</v>
      </c>
    </row>
    <row r="161" spans="1:13" x14ac:dyDescent="0.25">
      <c r="A161" s="120"/>
      <c r="G161" s="90"/>
      <c r="H161" s="104">
        <v>156</v>
      </c>
      <c r="I161" s="105" t="str">
        <f t="shared" si="13"/>
        <v/>
      </c>
      <c r="J161" s="104">
        <f t="shared" si="14"/>
        <v>-5</v>
      </c>
      <c r="K161" s="104">
        <f t="shared" si="11"/>
        <v>-50</v>
      </c>
      <c r="L161" s="104"/>
      <c r="M161" s="106">
        <f t="shared" si="12"/>
        <v>0</v>
      </c>
    </row>
    <row r="162" spans="1:13" x14ac:dyDescent="0.25">
      <c r="A162" s="120"/>
      <c r="G162" s="90"/>
      <c r="H162" s="104">
        <v>157</v>
      </c>
      <c r="I162" s="105" t="str">
        <f t="shared" si="13"/>
        <v/>
      </c>
      <c r="J162" s="104">
        <f t="shared" si="14"/>
        <v>-5</v>
      </c>
      <c r="K162" s="104">
        <f t="shared" si="11"/>
        <v>-50</v>
      </c>
      <c r="L162" s="104"/>
      <c r="M162" s="106">
        <f t="shared" si="12"/>
        <v>0</v>
      </c>
    </row>
    <row r="163" spans="1:13" x14ac:dyDescent="0.25">
      <c r="A163" s="120"/>
      <c r="G163" s="90"/>
      <c r="H163" s="104">
        <v>158</v>
      </c>
      <c r="I163" s="105" t="str">
        <f t="shared" si="13"/>
        <v/>
      </c>
      <c r="J163" s="104">
        <f t="shared" si="14"/>
        <v>-5</v>
      </c>
      <c r="K163" s="104">
        <f t="shared" si="11"/>
        <v>-50</v>
      </c>
      <c r="L163" s="104"/>
      <c r="M163" s="106">
        <f t="shared" si="12"/>
        <v>0</v>
      </c>
    </row>
    <row r="164" spans="1:13" x14ac:dyDescent="0.25">
      <c r="A164" s="120"/>
      <c r="G164" s="90"/>
      <c r="H164" s="104">
        <v>159</v>
      </c>
      <c r="I164" s="105" t="str">
        <f t="shared" si="13"/>
        <v/>
      </c>
      <c r="J164" s="104">
        <f t="shared" si="14"/>
        <v>-5</v>
      </c>
      <c r="K164" s="104">
        <f t="shared" si="11"/>
        <v>-50</v>
      </c>
      <c r="L164" s="104"/>
      <c r="M164" s="106">
        <f t="shared" si="12"/>
        <v>0</v>
      </c>
    </row>
    <row r="165" spans="1:13" x14ac:dyDescent="0.25">
      <c r="A165" s="120"/>
      <c r="G165" s="90"/>
      <c r="H165" s="104">
        <v>160</v>
      </c>
      <c r="I165" s="105" t="str">
        <f t="shared" si="13"/>
        <v/>
      </c>
      <c r="J165" s="104">
        <f t="shared" si="14"/>
        <v>-5</v>
      </c>
      <c r="K165" s="104">
        <f t="shared" si="11"/>
        <v>-50</v>
      </c>
      <c r="L165" s="104"/>
      <c r="M165" s="106">
        <f t="shared" si="12"/>
        <v>0</v>
      </c>
    </row>
    <row r="166" spans="1:13" x14ac:dyDescent="0.25">
      <c r="A166" s="120"/>
      <c r="G166" s="90"/>
      <c r="H166" s="104">
        <v>161</v>
      </c>
      <c r="I166" s="105" t="str">
        <f t="shared" si="13"/>
        <v/>
      </c>
      <c r="J166" s="104">
        <f t="shared" si="14"/>
        <v>-5</v>
      </c>
      <c r="K166" s="104">
        <f t="shared" si="11"/>
        <v>-50</v>
      </c>
      <c r="L166" s="104"/>
      <c r="M166" s="106">
        <f t="shared" si="12"/>
        <v>0</v>
      </c>
    </row>
    <row r="167" spans="1:13" x14ac:dyDescent="0.25">
      <c r="A167" s="120"/>
      <c r="G167" s="90"/>
      <c r="H167" s="104">
        <v>162</v>
      </c>
      <c r="I167" s="105" t="str">
        <f t="shared" si="13"/>
        <v/>
      </c>
      <c r="J167" s="104">
        <f t="shared" si="14"/>
        <v>-5</v>
      </c>
      <c r="K167" s="104">
        <f t="shared" si="11"/>
        <v>-50</v>
      </c>
      <c r="L167" s="104"/>
      <c r="M167" s="106">
        <f t="shared" si="12"/>
        <v>0</v>
      </c>
    </row>
    <row r="168" spans="1:13" x14ac:dyDescent="0.25">
      <c r="A168" s="120"/>
      <c r="G168" s="90"/>
      <c r="H168" s="104">
        <v>163</v>
      </c>
      <c r="I168" s="105" t="str">
        <f t="shared" si="13"/>
        <v/>
      </c>
      <c r="J168" s="104">
        <f t="shared" si="14"/>
        <v>-5</v>
      </c>
      <c r="K168" s="104">
        <f t="shared" si="11"/>
        <v>-50</v>
      </c>
      <c r="L168" s="104"/>
      <c r="M168" s="106">
        <f t="shared" si="12"/>
        <v>0</v>
      </c>
    </row>
    <row r="169" spans="1:13" x14ac:dyDescent="0.25">
      <c r="A169" s="120"/>
      <c r="G169" s="90"/>
      <c r="H169" s="104">
        <v>164</v>
      </c>
      <c r="I169" s="105" t="str">
        <f t="shared" si="13"/>
        <v/>
      </c>
      <c r="J169" s="104">
        <f t="shared" si="14"/>
        <v>-5</v>
      </c>
      <c r="K169" s="104">
        <f t="shared" si="11"/>
        <v>-50</v>
      </c>
      <c r="L169" s="104"/>
      <c r="M169" s="106">
        <f t="shared" si="12"/>
        <v>0</v>
      </c>
    </row>
    <row r="170" spans="1:13" x14ac:dyDescent="0.25">
      <c r="A170" s="120"/>
      <c r="G170" s="90"/>
      <c r="H170" s="104">
        <v>165</v>
      </c>
      <c r="I170" s="105" t="str">
        <f t="shared" si="13"/>
        <v/>
      </c>
      <c r="J170" s="104">
        <f t="shared" si="14"/>
        <v>-5</v>
      </c>
      <c r="K170" s="104">
        <f t="shared" si="11"/>
        <v>-50</v>
      </c>
      <c r="L170" s="104"/>
      <c r="M170" s="106">
        <f t="shared" si="12"/>
        <v>0</v>
      </c>
    </row>
    <row r="171" spans="1:13" x14ac:dyDescent="0.25">
      <c r="A171" s="120"/>
      <c r="G171" s="90"/>
      <c r="H171" s="104">
        <v>166</v>
      </c>
      <c r="I171" s="105" t="str">
        <f t="shared" si="13"/>
        <v/>
      </c>
      <c r="J171" s="104">
        <f t="shared" si="14"/>
        <v>-5</v>
      </c>
      <c r="K171" s="104">
        <f t="shared" si="11"/>
        <v>-50</v>
      </c>
      <c r="L171" s="104"/>
      <c r="M171" s="106">
        <f t="shared" si="12"/>
        <v>0</v>
      </c>
    </row>
    <row r="172" spans="1:13" x14ac:dyDescent="0.25">
      <c r="A172" s="120"/>
      <c r="G172" s="90"/>
      <c r="H172" s="104">
        <v>167</v>
      </c>
      <c r="I172" s="105" t="str">
        <f t="shared" si="13"/>
        <v/>
      </c>
      <c r="J172" s="104">
        <f t="shared" si="14"/>
        <v>-5</v>
      </c>
      <c r="K172" s="104">
        <f t="shared" si="11"/>
        <v>-50</v>
      </c>
      <c r="L172" s="104"/>
      <c r="M172" s="106">
        <f t="shared" si="12"/>
        <v>0</v>
      </c>
    </row>
    <row r="173" spans="1:13" x14ac:dyDescent="0.25">
      <c r="A173" s="120"/>
      <c r="G173" s="90"/>
      <c r="H173" s="104">
        <v>168</v>
      </c>
      <c r="I173" s="105" t="str">
        <f t="shared" si="13"/>
        <v/>
      </c>
      <c r="J173" s="104">
        <f t="shared" si="14"/>
        <v>-5</v>
      </c>
      <c r="K173" s="104">
        <f t="shared" si="11"/>
        <v>-50</v>
      </c>
      <c r="L173" s="104"/>
      <c r="M173" s="106">
        <f t="shared" si="12"/>
        <v>0</v>
      </c>
    </row>
    <row r="174" spans="1:13" x14ac:dyDescent="0.25">
      <c r="A174" s="120"/>
      <c r="G174" s="90"/>
      <c r="H174" s="104">
        <v>169</v>
      </c>
      <c r="I174" s="105" t="str">
        <f t="shared" si="13"/>
        <v/>
      </c>
      <c r="J174" s="104">
        <f t="shared" si="14"/>
        <v>-5</v>
      </c>
      <c r="K174" s="104">
        <f t="shared" si="11"/>
        <v>-50</v>
      </c>
      <c r="L174" s="104"/>
      <c r="M174" s="106">
        <f t="shared" si="12"/>
        <v>0</v>
      </c>
    </row>
    <row r="175" spans="1:13" x14ac:dyDescent="0.25">
      <c r="A175" s="120"/>
      <c r="G175" s="90"/>
      <c r="H175" s="104">
        <v>170</v>
      </c>
      <c r="I175" s="105" t="str">
        <f t="shared" si="13"/>
        <v/>
      </c>
      <c r="J175" s="104">
        <f t="shared" si="14"/>
        <v>-5</v>
      </c>
      <c r="K175" s="104">
        <f t="shared" si="11"/>
        <v>-50</v>
      </c>
      <c r="L175" s="104"/>
      <c r="M175" s="106">
        <f t="shared" si="12"/>
        <v>0</v>
      </c>
    </row>
    <row r="176" spans="1:13" x14ac:dyDescent="0.25">
      <c r="A176" s="120"/>
      <c r="G176" s="90"/>
      <c r="H176" s="104">
        <v>171</v>
      </c>
      <c r="I176" s="105" t="str">
        <f t="shared" si="13"/>
        <v/>
      </c>
      <c r="J176" s="104">
        <f t="shared" si="14"/>
        <v>-5</v>
      </c>
      <c r="K176" s="104">
        <f t="shared" si="11"/>
        <v>-50</v>
      </c>
      <c r="L176" s="104"/>
      <c r="M176" s="106">
        <f t="shared" si="12"/>
        <v>0</v>
      </c>
    </row>
    <row r="177" spans="1:13" x14ac:dyDescent="0.25">
      <c r="A177" s="120"/>
      <c r="G177" s="90"/>
      <c r="H177" s="104">
        <v>172</v>
      </c>
      <c r="I177" s="105" t="str">
        <f t="shared" si="13"/>
        <v/>
      </c>
      <c r="J177" s="104">
        <f t="shared" si="14"/>
        <v>-5</v>
      </c>
      <c r="K177" s="104">
        <f t="shared" si="11"/>
        <v>-50</v>
      </c>
      <c r="L177" s="104"/>
      <c r="M177" s="106">
        <f t="shared" si="12"/>
        <v>0</v>
      </c>
    </row>
    <row r="178" spans="1:13" x14ac:dyDescent="0.25">
      <c r="A178" s="120"/>
      <c r="G178" s="90"/>
      <c r="H178" s="104">
        <v>173</v>
      </c>
      <c r="I178" s="105" t="str">
        <f t="shared" si="13"/>
        <v/>
      </c>
      <c r="J178" s="104">
        <f t="shared" si="14"/>
        <v>-5</v>
      </c>
      <c r="K178" s="104">
        <f t="shared" si="11"/>
        <v>-50</v>
      </c>
      <c r="L178" s="104"/>
      <c r="M178" s="106">
        <f t="shared" si="12"/>
        <v>0</v>
      </c>
    </row>
    <row r="179" spans="1:13" x14ac:dyDescent="0.25">
      <c r="A179" s="120"/>
      <c r="G179" s="90"/>
      <c r="H179" s="104">
        <v>174</v>
      </c>
      <c r="I179" s="105" t="str">
        <f t="shared" si="13"/>
        <v/>
      </c>
      <c r="J179" s="104">
        <f t="shared" si="14"/>
        <v>-5</v>
      </c>
      <c r="K179" s="104">
        <f t="shared" si="11"/>
        <v>-50</v>
      </c>
      <c r="L179" s="104"/>
      <c r="M179" s="106">
        <f t="shared" si="12"/>
        <v>0</v>
      </c>
    </row>
    <row r="180" spans="1:13" x14ac:dyDescent="0.25">
      <c r="A180" s="120"/>
      <c r="G180" s="90"/>
      <c r="H180" s="104">
        <v>175</v>
      </c>
      <c r="I180" s="105" t="str">
        <f t="shared" si="13"/>
        <v/>
      </c>
      <c r="J180" s="104">
        <f t="shared" si="14"/>
        <v>-5</v>
      </c>
      <c r="K180" s="104">
        <f t="shared" si="11"/>
        <v>-50</v>
      </c>
      <c r="L180" s="104"/>
      <c r="M180" s="106">
        <f t="shared" si="12"/>
        <v>0</v>
      </c>
    </row>
    <row r="181" spans="1:13" x14ac:dyDescent="0.25">
      <c r="A181" s="120"/>
      <c r="G181" s="90"/>
      <c r="H181" s="104">
        <v>176</v>
      </c>
      <c r="I181" s="105" t="str">
        <f t="shared" si="13"/>
        <v/>
      </c>
      <c r="J181" s="104">
        <f t="shared" si="14"/>
        <v>-5</v>
      </c>
      <c r="K181" s="104">
        <f t="shared" si="11"/>
        <v>-50</v>
      </c>
      <c r="L181" s="104"/>
      <c r="M181" s="106">
        <f t="shared" si="12"/>
        <v>0</v>
      </c>
    </row>
    <row r="182" spans="1:13" x14ac:dyDescent="0.25">
      <c r="A182" s="120"/>
      <c r="G182" s="90"/>
      <c r="H182" s="104">
        <v>177</v>
      </c>
      <c r="I182" s="105" t="str">
        <f t="shared" si="13"/>
        <v/>
      </c>
      <c r="J182" s="104">
        <f t="shared" si="14"/>
        <v>-5</v>
      </c>
      <c r="K182" s="104">
        <f t="shared" si="11"/>
        <v>-50</v>
      </c>
      <c r="L182" s="104"/>
      <c r="M182" s="106">
        <f t="shared" si="12"/>
        <v>0</v>
      </c>
    </row>
    <row r="183" spans="1:13" x14ac:dyDescent="0.25">
      <c r="A183" s="120"/>
      <c r="G183" s="90"/>
      <c r="H183" s="104">
        <v>178</v>
      </c>
      <c r="I183" s="105" t="str">
        <f t="shared" si="13"/>
        <v/>
      </c>
      <c r="J183" s="104">
        <f t="shared" si="14"/>
        <v>-5</v>
      </c>
      <c r="K183" s="104">
        <f t="shared" si="11"/>
        <v>-50</v>
      </c>
      <c r="L183" s="104"/>
      <c r="M183" s="106">
        <f t="shared" si="12"/>
        <v>0</v>
      </c>
    </row>
    <row r="184" spans="1:13" x14ac:dyDescent="0.25">
      <c r="A184" s="120"/>
      <c r="G184" s="90"/>
      <c r="H184" s="104">
        <v>179</v>
      </c>
      <c r="I184" s="105" t="str">
        <f t="shared" si="13"/>
        <v/>
      </c>
      <c r="J184" s="104">
        <f t="shared" si="14"/>
        <v>-5</v>
      </c>
      <c r="K184" s="104">
        <f t="shared" si="11"/>
        <v>-50</v>
      </c>
      <c r="L184" s="104"/>
      <c r="M184" s="106">
        <f t="shared" si="12"/>
        <v>0</v>
      </c>
    </row>
    <row r="185" spans="1:13" x14ac:dyDescent="0.25">
      <c r="A185" s="120"/>
      <c r="G185" s="90"/>
      <c r="H185" s="104">
        <v>180</v>
      </c>
      <c r="I185" s="105" t="str">
        <f t="shared" si="13"/>
        <v/>
      </c>
      <c r="J185" s="104">
        <f t="shared" si="14"/>
        <v>-5</v>
      </c>
      <c r="K185" s="104">
        <f t="shared" si="11"/>
        <v>-50</v>
      </c>
      <c r="L185" s="104"/>
      <c r="M185" s="106">
        <f t="shared" si="12"/>
        <v>0</v>
      </c>
    </row>
    <row r="186" spans="1:13" x14ac:dyDescent="0.25">
      <c r="A186" s="120"/>
      <c r="G186" s="90"/>
      <c r="H186" s="104">
        <v>181</v>
      </c>
      <c r="I186" s="105" t="str">
        <f t="shared" si="13"/>
        <v/>
      </c>
      <c r="J186" s="104">
        <f t="shared" si="14"/>
        <v>-5</v>
      </c>
      <c r="K186" s="104">
        <f t="shared" si="11"/>
        <v>-50</v>
      </c>
      <c r="L186" s="104"/>
      <c r="M186" s="106">
        <f t="shared" si="12"/>
        <v>0</v>
      </c>
    </row>
    <row r="187" spans="1:13" x14ac:dyDescent="0.25">
      <c r="A187" s="120"/>
      <c r="G187" s="90"/>
      <c r="H187" s="104">
        <v>182</v>
      </c>
      <c r="I187" s="105" t="str">
        <f t="shared" si="13"/>
        <v/>
      </c>
      <c r="J187" s="104">
        <f t="shared" si="14"/>
        <v>-5</v>
      </c>
      <c r="K187" s="104">
        <f t="shared" si="11"/>
        <v>-50</v>
      </c>
      <c r="L187" s="104"/>
      <c r="M187" s="106">
        <f t="shared" si="12"/>
        <v>0</v>
      </c>
    </row>
    <row r="188" spans="1:13" x14ac:dyDescent="0.25">
      <c r="A188" s="120"/>
      <c r="G188" s="90"/>
      <c r="H188" s="104">
        <v>183</v>
      </c>
      <c r="I188" s="105" t="str">
        <f t="shared" si="13"/>
        <v/>
      </c>
      <c r="J188" s="104">
        <f t="shared" si="14"/>
        <v>-5</v>
      </c>
      <c r="K188" s="104">
        <f t="shared" si="11"/>
        <v>-50</v>
      </c>
      <c r="L188" s="104"/>
      <c r="M188" s="106">
        <f t="shared" si="12"/>
        <v>0</v>
      </c>
    </row>
    <row r="189" spans="1:13" x14ac:dyDescent="0.25">
      <c r="A189" s="120"/>
      <c r="G189" s="90"/>
      <c r="H189" s="104">
        <v>184</v>
      </c>
      <c r="I189" s="105" t="str">
        <f t="shared" si="13"/>
        <v/>
      </c>
      <c r="J189" s="104">
        <f t="shared" si="14"/>
        <v>-5</v>
      </c>
      <c r="K189" s="104">
        <f t="shared" si="11"/>
        <v>-50</v>
      </c>
      <c r="L189" s="104"/>
      <c r="M189" s="106">
        <f t="shared" si="12"/>
        <v>0</v>
      </c>
    </row>
    <row r="190" spans="1:13" x14ac:dyDescent="0.25">
      <c r="A190" s="120"/>
      <c r="G190" s="90"/>
      <c r="H190" s="104">
        <v>185</v>
      </c>
      <c r="I190" s="105" t="str">
        <f t="shared" si="13"/>
        <v/>
      </c>
      <c r="J190" s="104">
        <f t="shared" si="14"/>
        <v>-5</v>
      </c>
      <c r="K190" s="104">
        <f t="shared" si="11"/>
        <v>-50</v>
      </c>
      <c r="L190" s="104"/>
      <c r="M190" s="106">
        <f t="shared" si="12"/>
        <v>0</v>
      </c>
    </row>
    <row r="191" spans="1:13" x14ac:dyDescent="0.25">
      <c r="A191" s="120"/>
      <c r="G191" s="90"/>
      <c r="H191" s="104">
        <v>186</v>
      </c>
      <c r="I191" s="105" t="str">
        <f t="shared" si="13"/>
        <v/>
      </c>
      <c r="J191" s="104">
        <f t="shared" si="14"/>
        <v>-5</v>
      </c>
      <c r="K191" s="104">
        <f t="shared" si="11"/>
        <v>-50</v>
      </c>
      <c r="L191" s="104"/>
      <c r="M191" s="106">
        <f t="shared" si="12"/>
        <v>0</v>
      </c>
    </row>
    <row r="192" spans="1:13" x14ac:dyDescent="0.25">
      <c r="A192" s="120"/>
      <c r="G192" s="90"/>
      <c r="H192" s="104">
        <v>187</v>
      </c>
      <c r="I192" s="105" t="str">
        <f t="shared" si="13"/>
        <v/>
      </c>
      <c r="J192" s="104">
        <f t="shared" si="14"/>
        <v>-5</v>
      </c>
      <c r="K192" s="104">
        <f t="shared" si="11"/>
        <v>-50</v>
      </c>
      <c r="L192" s="104"/>
      <c r="M192" s="106">
        <f t="shared" si="12"/>
        <v>0</v>
      </c>
    </row>
    <row r="193" spans="1:13" x14ac:dyDescent="0.25">
      <c r="A193" s="120"/>
      <c r="G193" s="90"/>
      <c r="H193" s="104">
        <v>188</v>
      </c>
      <c r="I193" s="105" t="str">
        <f t="shared" si="13"/>
        <v/>
      </c>
      <c r="J193" s="104">
        <f t="shared" si="14"/>
        <v>-5</v>
      </c>
      <c r="K193" s="104">
        <f t="shared" si="11"/>
        <v>-50</v>
      </c>
      <c r="L193" s="104"/>
      <c r="M193" s="106">
        <f t="shared" si="12"/>
        <v>0</v>
      </c>
    </row>
    <row r="194" spans="1:13" x14ac:dyDescent="0.25">
      <c r="A194" s="120"/>
      <c r="G194" s="90"/>
      <c r="H194" s="104">
        <v>189</v>
      </c>
      <c r="I194" s="105" t="str">
        <f t="shared" si="13"/>
        <v/>
      </c>
      <c r="J194" s="104">
        <f t="shared" si="14"/>
        <v>-5</v>
      </c>
      <c r="K194" s="104">
        <f t="shared" si="11"/>
        <v>-50</v>
      </c>
      <c r="L194" s="104"/>
      <c r="M194" s="106">
        <f t="shared" si="12"/>
        <v>0</v>
      </c>
    </row>
    <row r="195" spans="1:13" x14ac:dyDescent="0.25">
      <c r="A195" s="120"/>
      <c r="G195" s="90"/>
      <c r="H195" s="104">
        <v>190</v>
      </c>
      <c r="I195" s="105" t="str">
        <f t="shared" si="13"/>
        <v/>
      </c>
      <c r="J195" s="104">
        <f t="shared" si="14"/>
        <v>-5</v>
      </c>
      <c r="K195" s="104">
        <f t="shared" si="11"/>
        <v>-50</v>
      </c>
      <c r="L195" s="104"/>
      <c r="M195" s="106">
        <f t="shared" si="12"/>
        <v>0</v>
      </c>
    </row>
    <row r="196" spans="1:13" x14ac:dyDescent="0.25">
      <c r="A196" s="120"/>
      <c r="G196" s="90"/>
      <c r="H196" s="104">
        <v>191</v>
      </c>
      <c r="I196" s="105" t="str">
        <f t="shared" si="13"/>
        <v/>
      </c>
      <c r="J196" s="104">
        <f t="shared" si="14"/>
        <v>-5</v>
      </c>
      <c r="K196" s="104">
        <f t="shared" si="11"/>
        <v>-50</v>
      </c>
      <c r="L196" s="104"/>
      <c r="M196" s="106">
        <f t="shared" si="12"/>
        <v>0</v>
      </c>
    </row>
    <row r="197" spans="1:13" x14ac:dyDescent="0.25">
      <c r="A197" s="120"/>
      <c r="G197" s="90"/>
      <c r="H197" s="104">
        <v>192</v>
      </c>
      <c r="I197" s="105" t="str">
        <f t="shared" si="13"/>
        <v/>
      </c>
      <c r="J197" s="104">
        <f t="shared" si="14"/>
        <v>-5</v>
      </c>
      <c r="K197" s="104">
        <f t="shared" si="11"/>
        <v>-50</v>
      </c>
      <c r="L197" s="104"/>
      <c r="M197" s="106">
        <f t="shared" si="12"/>
        <v>0</v>
      </c>
    </row>
    <row r="198" spans="1:13" x14ac:dyDescent="0.25">
      <c r="A198" s="120"/>
      <c r="G198" s="90"/>
      <c r="H198" s="104">
        <v>193</v>
      </c>
      <c r="I198" s="105" t="str">
        <f t="shared" si="13"/>
        <v/>
      </c>
      <c r="J198" s="104">
        <f t="shared" si="14"/>
        <v>-5</v>
      </c>
      <c r="K198" s="104">
        <f t="shared" ref="K198:K261" si="15">J198*$J$2</f>
        <v>-50</v>
      </c>
      <c r="L198" s="104"/>
      <c r="M198" s="106">
        <f t="shared" ref="M198:M261" si="16">IF(I198&lt;&gt;"",K198+I198+L198,0)</f>
        <v>0</v>
      </c>
    </row>
    <row r="199" spans="1:13" x14ac:dyDescent="0.25">
      <c r="A199" s="120"/>
      <c r="G199" s="90"/>
      <c r="H199" s="104">
        <v>194</v>
      </c>
      <c r="I199" s="105" t="str">
        <f t="shared" ref="I199:I262" si="17">IF(H199&lt;$H$2+1,($I$2-($I$2-1)*(LOG(H199)/LOG($H$2))),"")</f>
        <v/>
      </c>
      <c r="J199" s="104">
        <f t="shared" ref="J199:J262" si="18">INT(LOG($H$2,2))-ROUNDUP(LOG(H199,2),0)+IF(OR($H$2=1,$H$2=2,$H$2=4,$H$2=8,$H$2=16,$H$2=32,$H$2=64,$H$2=128,$H$2=256),0,1)</f>
        <v>-5</v>
      </c>
      <c r="K199" s="104">
        <f t="shared" si="15"/>
        <v>-50</v>
      </c>
      <c r="L199" s="104"/>
      <c r="M199" s="106">
        <f t="shared" si="16"/>
        <v>0</v>
      </c>
    </row>
    <row r="200" spans="1:13" x14ac:dyDescent="0.25">
      <c r="A200" s="120"/>
      <c r="G200" s="90"/>
      <c r="H200" s="104">
        <v>195</v>
      </c>
      <c r="I200" s="105" t="str">
        <f t="shared" si="17"/>
        <v/>
      </c>
      <c r="J200" s="104">
        <f t="shared" si="18"/>
        <v>-5</v>
      </c>
      <c r="K200" s="104">
        <f t="shared" si="15"/>
        <v>-50</v>
      </c>
      <c r="L200" s="104"/>
      <c r="M200" s="106">
        <f t="shared" si="16"/>
        <v>0</v>
      </c>
    </row>
    <row r="201" spans="1:13" x14ac:dyDescent="0.25">
      <c r="A201" s="120"/>
      <c r="G201" s="90"/>
      <c r="H201" s="104">
        <v>196</v>
      </c>
      <c r="I201" s="105" t="str">
        <f t="shared" si="17"/>
        <v/>
      </c>
      <c r="J201" s="104">
        <f t="shared" si="18"/>
        <v>-5</v>
      </c>
      <c r="K201" s="104">
        <f t="shared" si="15"/>
        <v>-50</v>
      </c>
      <c r="L201" s="104"/>
      <c r="M201" s="106">
        <f t="shared" si="16"/>
        <v>0</v>
      </c>
    </row>
    <row r="202" spans="1:13" x14ac:dyDescent="0.25">
      <c r="A202" s="120"/>
      <c r="G202" s="90"/>
      <c r="H202" s="104">
        <v>197</v>
      </c>
      <c r="I202" s="105" t="str">
        <f t="shared" si="17"/>
        <v/>
      </c>
      <c r="J202" s="104">
        <f t="shared" si="18"/>
        <v>-5</v>
      </c>
      <c r="K202" s="104">
        <f t="shared" si="15"/>
        <v>-50</v>
      </c>
      <c r="L202" s="104"/>
      <c r="M202" s="106">
        <f t="shared" si="16"/>
        <v>0</v>
      </c>
    </row>
    <row r="203" spans="1:13" x14ac:dyDescent="0.25">
      <c r="A203" s="120"/>
      <c r="G203" s="90"/>
      <c r="H203" s="104">
        <v>198</v>
      </c>
      <c r="I203" s="105" t="str">
        <f t="shared" si="17"/>
        <v/>
      </c>
      <c r="J203" s="104">
        <f t="shared" si="18"/>
        <v>-5</v>
      </c>
      <c r="K203" s="104">
        <f t="shared" si="15"/>
        <v>-50</v>
      </c>
      <c r="L203" s="104"/>
      <c r="M203" s="106">
        <f t="shared" si="16"/>
        <v>0</v>
      </c>
    </row>
    <row r="204" spans="1:13" x14ac:dyDescent="0.25">
      <c r="A204" s="120"/>
      <c r="G204" s="90"/>
      <c r="H204" s="104">
        <v>199</v>
      </c>
      <c r="I204" s="105" t="str">
        <f t="shared" si="17"/>
        <v/>
      </c>
      <c r="J204" s="104">
        <f t="shared" si="18"/>
        <v>-5</v>
      </c>
      <c r="K204" s="104">
        <f t="shared" si="15"/>
        <v>-50</v>
      </c>
      <c r="L204" s="104"/>
      <c r="M204" s="106">
        <f t="shared" si="16"/>
        <v>0</v>
      </c>
    </row>
    <row r="205" spans="1:13" x14ac:dyDescent="0.25">
      <c r="A205" s="120"/>
      <c r="G205" s="90"/>
      <c r="H205" s="104">
        <v>200</v>
      </c>
      <c r="I205" s="105" t="str">
        <f t="shared" si="17"/>
        <v/>
      </c>
      <c r="J205" s="104">
        <f t="shared" si="18"/>
        <v>-5</v>
      </c>
      <c r="K205" s="104">
        <f t="shared" si="15"/>
        <v>-50</v>
      </c>
      <c r="L205" s="104"/>
      <c r="M205" s="106">
        <f t="shared" si="16"/>
        <v>0</v>
      </c>
    </row>
    <row r="206" spans="1:13" x14ac:dyDescent="0.25">
      <c r="A206" s="120"/>
      <c r="G206" s="90"/>
      <c r="H206" s="104">
        <v>201</v>
      </c>
      <c r="I206" s="105" t="str">
        <f t="shared" si="17"/>
        <v/>
      </c>
      <c r="J206" s="104">
        <f t="shared" si="18"/>
        <v>-5</v>
      </c>
      <c r="K206" s="104">
        <f t="shared" si="15"/>
        <v>-50</v>
      </c>
      <c r="L206" s="104"/>
      <c r="M206" s="106">
        <f t="shared" si="16"/>
        <v>0</v>
      </c>
    </row>
    <row r="207" spans="1:13" x14ac:dyDescent="0.25">
      <c r="A207" s="120"/>
      <c r="G207" s="90"/>
      <c r="H207" s="104">
        <v>202</v>
      </c>
      <c r="I207" s="105" t="str">
        <f t="shared" si="17"/>
        <v/>
      </c>
      <c r="J207" s="104">
        <f t="shared" si="18"/>
        <v>-5</v>
      </c>
      <c r="K207" s="104">
        <f t="shared" si="15"/>
        <v>-50</v>
      </c>
      <c r="L207" s="104"/>
      <c r="M207" s="106">
        <f t="shared" si="16"/>
        <v>0</v>
      </c>
    </row>
    <row r="208" spans="1:13" x14ac:dyDescent="0.25">
      <c r="A208" s="120"/>
      <c r="G208" s="90"/>
      <c r="H208" s="104">
        <v>203</v>
      </c>
      <c r="I208" s="105" t="str">
        <f t="shared" si="17"/>
        <v/>
      </c>
      <c r="J208" s="104">
        <f t="shared" si="18"/>
        <v>-5</v>
      </c>
      <c r="K208" s="104">
        <f t="shared" si="15"/>
        <v>-50</v>
      </c>
      <c r="L208" s="104"/>
      <c r="M208" s="106">
        <f t="shared" si="16"/>
        <v>0</v>
      </c>
    </row>
    <row r="209" spans="1:13" x14ac:dyDescent="0.25">
      <c r="A209" s="120"/>
      <c r="G209" s="90"/>
      <c r="H209" s="104">
        <v>204</v>
      </c>
      <c r="I209" s="105" t="str">
        <f t="shared" si="17"/>
        <v/>
      </c>
      <c r="J209" s="104">
        <f t="shared" si="18"/>
        <v>-5</v>
      </c>
      <c r="K209" s="104">
        <f t="shared" si="15"/>
        <v>-50</v>
      </c>
      <c r="L209" s="104"/>
      <c r="M209" s="106">
        <f t="shared" si="16"/>
        <v>0</v>
      </c>
    </row>
    <row r="210" spans="1:13" x14ac:dyDescent="0.25">
      <c r="A210" s="120"/>
      <c r="G210" s="90"/>
      <c r="H210" s="104">
        <v>205</v>
      </c>
      <c r="I210" s="105" t="str">
        <f t="shared" si="17"/>
        <v/>
      </c>
      <c r="J210" s="104">
        <f t="shared" si="18"/>
        <v>-5</v>
      </c>
      <c r="K210" s="104">
        <f t="shared" si="15"/>
        <v>-50</v>
      </c>
      <c r="L210" s="104"/>
      <c r="M210" s="106">
        <f t="shared" si="16"/>
        <v>0</v>
      </c>
    </row>
    <row r="211" spans="1:13" x14ac:dyDescent="0.25">
      <c r="A211" s="120"/>
      <c r="G211" s="90"/>
      <c r="H211" s="104">
        <v>206</v>
      </c>
      <c r="I211" s="105" t="str">
        <f t="shared" si="17"/>
        <v/>
      </c>
      <c r="J211" s="104">
        <f t="shared" si="18"/>
        <v>-5</v>
      </c>
      <c r="K211" s="104">
        <f t="shared" si="15"/>
        <v>-50</v>
      </c>
      <c r="L211" s="104"/>
      <c r="M211" s="106">
        <f t="shared" si="16"/>
        <v>0</v>
      </c>
    </row>
    <row r="212" spans="1:13" x14ac:dyDescent="0.25">
      <c r="A212" s="120"/>
      <c r="G212" s="90"/>
      <c r="H212" s="104">
        <v>207</v>
      </c>
      <c r="I212" s="105" t="str">
        <f t="shared" si="17"/>
        <v/>
      </c>
      <c r="J212" s="104">
        <f t="shared" si="18"/>
        <v>-5</v>
      </c>
      <c r="K212" s="104">
        <f t="shared" si="15"/>
        <v>-50</v>
      </c>
      <c r="L212" s="104"/>
      <c r="M212" s="106">
        <f t="shared" si="16"/>
        <v>0</v>
      </c>
    </row>
    <row r="213" spans="1:13" x14ac:dyDescent="0.25">
      <c r="A213" s="120"/>
      <c r="G213" s="90"/>
      <c r="H213" s="104">
        <v>208</v>
      </c>
      <c r="I213" s="105" t="str">
        <f t="shared" si="17"/>
        <v/>
      </c>
      <c r="J213" s="104">
        <f t="shared" si="18"/>
        <v>-5</v>
      </c>
      <c r="K213" s="104">
        <f t="shared" si="15"/>
        <v>-50</v>
      </c>
      <c r="L213" s="104"/>
      <c r="M213" s="106">
        <f t="shared" si="16"/>
        <v>0</v>
      </c>
    </row>
    <row r="214" spans="1:13" x14ac:dyDescent="0.25">
      <c r="A214" s="120"/>
      <c r="G214" s="90"/>
      <c r="H214" s="104">
        <v>209</v>
      </c>
      <c r="I214" s="105" t="str">
        <f t="shared" si="17"/>
        <v/>
      </c>
      <c r="J214" s="104">
        <f t="shared" si="18"/>
        <v>-5</v>
      </c>
      <c r="K214" s="104">
        <f t="shared" si="15"/>
        <v>-50</v>
      </c>
      <c r="L214" s="104"/>
      <c r="M214" s="106">
        <f t="shared" si="16"/>
        <v>0</v>
      </c>
    </row>
    <row r="215" spans="1:13" x14ac:dyDescent="0.25">
      <c r="A215" s="120"/>
      <c r="G215" s="90"/>
      <c r="H215" s="104">
        <v>210</v>
      </c>
      <c r="I215" s="105" t="str">
        <f t="shared" si="17"/>
        <v/>
      </c>
      <c r="J215" s="104">
        <f t="shared" si="18"/>
        <v>-5</v>
      </c>
      <c r="K215" s="104">
        <f t="shared" si="15"/>
        <v>-50</v>
      </c>
      <c r="L215" s="104"/>
      <c r="M215" s="106">
        <f t="shared" si="16"/>
        <v>0</v>
      </c>
    </row>
    <row r="216" spans="1:13" x14ac:dyDescent="0.25">
      <c r="A216" s="120"/>
      <c r="G216" s="90"/>
      <c r="H216" s="104">
        <v>211</v>
      </c>
      <c r="I216" s="105" t="str">
        <f t="shared" si="17"/>
        <v/>
      </c>
      <c r="J216" s="104">
        <f t="shared" si="18"/>
        <v>-5</v>
      </c>
      <c r="K216" s="104">
        <f t="shared" si="15"/>
        <v>-50</v>
      </c>
      <c r="L216" s="104"/>
      <c r="M216" s="106">
        <f t="shared" si="16"/>
        <v>0</v>
      </c>
    </row>
    <row r="217" spans="1:13" x14ac:dyDescent="0.25">
      <c r="A217" s="120"/>
      <c r="G217" s="90"/>
      <c r="H217" s="104">
        <v>212</v>
      </c>
      <c r="I217" s="105" t="str">
        <f t="shared" si="17"/>
        <v/>
      </c>
      <c r="J217" s="104">
        <f t="shared" si="18"/>
        <v>-5</v>
      </c>
      <c r="K217" s="104">
        <f t="shared" si="15"/>
        <v>-50</v>
      </c>
      <c r="L217" s="104"/>
      <c r="M217" s="106">
        <f t="shared" si="16"/>
        <v>0</v>
      </c>
    </row>
    <row r="218" spans="1:13" x14ac:dyDescent="0.25">
      <c r="A218" s="120"/>
      <c r="G218" s="90"/>
      <c r="H218" s="104">
        <v>213</v>
      </c>
      <c r="I218" s="105" t="str">
        <f t="shared" si="17"/>
        <v/>
      </c>
      <c r="J218" s="104">
        <f t="shared" si="18"/>
        <v>-5</v>
      </c>
      <c r="K218" s="104">
        <f t="shared" si="15"/>
        <v>-50</v>
      </c>
      <c r="L218" s="104"/>
      <c r="M218" s="106">
        <f t="shared" si="16"/>
        <v>0</v>
      </c>
    </row>
    <row r="219" spans="1:13" x14ac:dyDescent="0.25">
      <c r="A219" s="120"/>
      <c r="G219" s="90"/>
      <c r="H219" s="104">
        <v>214</v>
      </c>
      <c r="I219" s="105" t="str">
        <f t="shared" si="17"/>
        <v/>
      </c>
      <c r="J219" s="104">
        <f t="shared" si="18"/>
        <v>-5</v>
      </c>
      <c r="K219" s="104">
        <f t="shared" si="15"/>
        <v>-50</v>
      </c>
      <c r="L219" s="104"/>
      <c r="M219" s="106">
        <f t="shared" si="16"/>
        <v>0</v>
      </c>
    </row>
    <row r="220" spans="1:13" x14ac:dyDescent="0.25">
      <c r="A220" s="120"/>
      <c r="G220" s="90"/>
      <c r="H220" s="104">
        <v>215</v>
      </c>
      <c r="I220" s="105" t="str">
        <f t="shared" si="17"/>
        <v/>
      </c>
      <c r="J220" s="104">
        <f t="shared" si="18"/>
        <v>-5</v>
      </c>
      <c r="K220" s="104">
        <f t="shared" si="15"/>
        <v>-50</v>
      </c>
      <c r="L220" s="104"/>
      <c r="M220" s="106">
        <f t="shared" si="16"/>
        <v>0</v>
      </c>
    </row>
    <row r="221" spans="1:13" x14ac:dyDescent="0.25">
      <c r="A221" s="120"/>
      <c r="G221" s="90"/>
      <c r="H221" s="104">
        <v>216</v>
      </c>
      <c r="I221" s="105" t="str">
        <f t="shared" si="17"/>
        <v/>
      </c>
      <c r="J221" s="104">
        <f t="shared" si="18"/>
        <v>-5</v>
      </c>
      <c r="K221" s="104">
        <f t="shared" si="15"/>
        <v>-50</v>
      </c>
      <c r="L221" s="104"/>
      <c r="M221" s="106">
        <f t="shared" si="16"/>
        <v>0</v>
      </c>
    </row>
    <row r="222" spans="1:13" x14ac:dyDescent="0.25">
      <c r="A222" s="120"/>
      <c r="G222" s="90"/>
      <c r="H222" s="104">
        <v>217</v>
      </c>
      <c r="I222" s="105" t="str">
        <f t="shared" si="17"/>
        <v/>
      </c>
      <c r="J222" s="104">
        <f t="shared" si="18"/>
        <v>-5</v>
      </c>
      <c r="K222" s="104">
        <f t="shared" si="15"/>
        <v>-50</v>
      </c>
      <c r="L222" s="104"/>
      <c r="M222" s="106">
        <f t="shared" si="16"/>
        <v>0</v>
      </c>
    </row>
    <row r="223" spans="1:13" x14ac:dyDescent="0.25">
      <c r="A223" s="120"/>
      <c r="G223" s="90"/>
      <c r="H223" s="104">
        <v>218</v>
      </c>
      <c r="I223" s="105" t="str">
        <f t="shared" si="17"/>
        <v/>
      </c>
      <c r="J223" s="104">
        <f t="shared" si="18"/>
        <v>-5</v>
      </c>
      <c r="K223" s="104">
        <f t="shared" si="15"/>
        <v>-50</v>
      </c>
      <c r="L223" s="104"/>
      <c r="M223" s="106">
        <f t="shared" si="16"/>
        <v>0</v>
      </c>
    </row>
    <row r="224" spans="1:13" x14ac:dyDescent="0.25">
      <c r="A224" s="120"/>
      <c r="G224" s="90"/>
      <c r="H224" s="104">
        <v>219</v>
      </c>
      <c r="I224" s="105" t="str">
        <f t="shared" si="17"/>
        <v/>
      </c>
      <c r="J224" s="104">
        <f t="shared" si="18"/>
        <v>-5</v>
      </c>
      <c r="K224" s="104">
        <f t="shared" si="15"/>
        <v>-50</v>
      </c>
      <c r="L224" s="104"/>
      <c r="M224" s="106">
        <f t="shared" si="16"/>
        <v>0</v>
      </c>
    </row>
    <row r="225" spans="1:13" x14ac:dyDescent="0.25">
      <c r="A225" s="120"/>
      <c r="G225" s="90"/>
      <c r="H225" s="104">
        <v>220</v>
      </c>
      <c r="I225" s="105" t="str">
        <f t="shared" si="17"/>
        <v/>
      </c>
      <c r="J225" s="104">
        <f t="shared" si="18"/>
        <v>-5</v>
      </c>
      <c r="K225" s="104">
        <f t="shared" si="15"/>
        <v>-50</v>
      </c>
      <c r="L225" s="104"/>
      <c r="M225" s="106">
        <f t="shared" si="16"/>
        <v>0</v>
      </c>
    </row>
    <row r="226" spans="1:13" x14ac:dyDescent="0.25">
      <c r="A226" s="120"/>
      <c r="G226" s="90"/>
      <c r="H226" s="104">
        <v>221</v>
      </c>
      <c r="I226" s="105" t="str">
        <f t="shared" si="17"/>
        <v/>
      </c>
      <c r="J226" s="104">
        <f t="shared" si="18"/>
        <v>-5</v>
      </c>
      <c r="K226" s="104">
        <f t="shared" si="15"/>
        <v>-50</v>
      </c>
      <c r="L226" s="104"/>
      <c r="M226" s="106">
        <f t="shared" si="16"/>
        <v>0</v>
      </c>
    </row>
    <row r="227" spans="1:13" x14ac:dyDescent="0.25">
      <c r="A227" s="120"/>
      <c r="G227" s="90"/>
      <c r="H227" s="104">
        <v>222</v>
      </c>
      <c r="I227" s="105" t="str">
        <f t="shared" si="17"/>
        <v/>
      </c>
      <c r="J227" s="104">
        <f t="shared" si="18"/>
        <v>-5</v>
      </c>
      <c r="K227" s="104">
        <f t="shared" si="15"/>
        <v>-50</v>
      </c>
      <c r="L227" s="104"/>
      <c r="M227" s="106">
        <f t="shared" si="16"/>
        <v>0</v>
      </c>
    </row>
    <row r="228" spans="1:13" x14ac:dyDescent="0.25">
      <c r="A228" s="120"/>
      <c r="G228" s="90"/>
      <c r="H228" s="104">
        <v>223</v>
      </c>
      <c r="I228" s="105" t="str">
        <f t="shared" si="17"/>
        <v/>
      </c>
      <c r="J228" s="104">
        <f t="shared" si="18"/>
        <v>-5</v>
      </c>
      <c r="K228" s="104">
        <f t="shared" si="15"/>
        <v>-50</v>
      </c>
      <c r="L228" s="104"/>
      <c r="M228" s="106">
        <f t="shared" si="16"/>
        <v>0</v>
      </c>
    </row>
    <row r="229" spans="1:13" x14ac:dyDescent="0.25">
      <c r="A229" s="120"/>
      <c r="G229" s="90"/>
      <c r="H229" s="104">
        <v>224</v>
      </c>
      <c r="I229" s="105" t="str">
        <f t="shared" si="17"/>
        <v/>
      </c>
      <c r="J229" s="104">
        <f t="shared" si="18"/>
        <v>-5</v>
      </c>
      <c r="K229" s="104">
        <f t="shared" si="15"/>
        <v>-50</v>
      </c>
      <c r="L229" s="104"/>
      <c r="M229" s="106">
        <f t="shared" si="16"/>
        <v>0</v>
      </c>
    </row>
    <row r="230" spans="1:13" x14ac:dyDescent="0.25">
      <c r="A230" s="120"/>
      <c r="G230" s="90"/>
      <c r="H230" s="104">
        <v>225</v>
      </c>
      <c r="I230" s="105" t="str">
        <f t="shared" si="17"/>
        <v/>
      </c>
      <c r="J230" s="104">
        <f t="shared" si="18"/>
        <v>-5</v>
      </c>
      <c r="K230" s="104">
        <f t="shared" si="15"/>
        <v>-50</v>
      </c>
      <c r="L230" s="104"/>
      <c r="M230" s="106">
        <f t="shared" si="16"/>
        <v>0</v>
      </c>
    </row>
    <row r="231" spans="1:13" x14ac:dyDescent="0.25">
      <c r="A231" s="120"/>
      <c r="G231" s="90"/>
      <c r="H231" s="104">
        <v>226</v>
      </c>
      <c r="I231" s="105" t="str">
        <f t="shared" si="17"/>
        <v/>
      </c>
      <c r="J231" s="104">
        <f t="shared" si="18"/>
        <v>-5</v>
      </c>
      <c r="K231" s="104">
        <f t="shared" si="15"/>
        <v>-50</v>
      </c>
      <c r="L231" s="104"/>
      <c r="M231" s="106">
        <f t="shared" si="16"/>
        <v>0</v>
      </c>
    </row>
    <row r="232" spans="1:13" x14ac:dyDescent="0.25">
      <c r="A232" s="120"/>
      <c r="G232" s="90"/>
      <c r="H232" s="104">
        <v>227</v>
      </c>
      <c r="I232" s="105" t="str">
        <f t="shared" si="17"/>
        <v/>
      </c>
      <c r="J232" s="104">
        <f t="shared" si="18"/>
        <v>-5</v>
      </c>
      <c r="K232" s="104">
        <f t="shared" si="15"/>
        <v>-50</v>
      </c>
      <c r="L232" s="104"/>
      <c r="M232" s="106">
        <f t="shared" si="16"/>
        <v>0</v>
      </c>
    </row>
    <row r="233" spans="1:13" x14ac:dyDescent="0.25">
      <c r="A233" s="120"/>
      <c r="G233" s="90"/>
      <c r="H233" s="104">
        <v>228</v>
      </c>
      <c r="I233" s="105" t="str">
        <f t="shared" si="17"/>
        <v/>
      </c>
      <c r="J233" s="104">
        <f t="shared" si="18"/>
        <v>-5</v>
      </c>
      <c r="K233" s="104">
        <f t="shared" si="15"/>
        <v>-50</v>
      </c>
      <c r="L233" s="104"/>
      <c r="M233" s="106">
        <f t="shared" si="16"/>
        <v>0</v>
      </c>
    </row>
    <row r="234" spans="1:13" x14ac:dyDescent="0.25">
      <c r="A234" s="120"/>
      <c r="G234" s="90"/>
      <c r="H234" s="104">
        <v>229</v>
      </c>
      <c r="I234" s="105" t="str">
        <f t="shared" si="17"/>
        <v/>
      </c>
      <c r="J234" s="104">
        <f t="shared" si="18"/>
        <v>-5</v>
      </c>
      <c r="K234" s="104">
        <f t="shared" si="15"/>
        <v>-50</v>
      </c>
      <c r="L234" s="104"/>
      <c r="M234" s="106">
        <f t="shared" si="16"/>
        <v>0</v>
      </c>
    </row>
    <row r="235" spans="1:13" x14ac:dyDescent="0.25">
      <c r="A235" s="120"/>
      <c r="G235" s="90"/>
      <c r="H235" s="104">
        <v>230</v>
      </c>
      <c r="I235" s="105" t="str">
        <f t="shared" si="17"/>
        <v/>
      </c>
      <c r="J235" s="104">
        <f t="shared" si="18"/>
        <v>-5</v>
      </c>
      <c r="K235" s="104">
        <f t="shared" si="15"/>
        <v>-50</v>
      </c>
      <c r="L235" s="104"/>
      <c r="M235" s="106">
        <f t="shared" si="16"/>
        <v>0</v>
      </c>
    </row>
    <row r="236" spans="1:13" x14ac:dyDescent="0.25">
      <c r="A236" s="120"/>
      <c r="G236" s="90"/>
      <c r="H236" s="104">
        <v>231</v>
      </c>
      <c r="I236" s="105" t="str">
        <f t="shared" si="17"/>
        <v/>
      </c>
      <c r="J236" s="104">
        <f t="shared" si="18"/>
        <v>-5</v>
      </c>
      <c r="K236" s="104">
        <f t="shared" si="15"/>
        <v>-50</v>
      </c>
      <c r="L236" s="104"/>
      <c r="M236" s="106">
        <f t="shared" si="16"/>
        <v>0</v>
      </c>
    </row>
    <row r="237" spans="1:13" x14ac:dyDescent="0.25">
      <c r="A237" s="120"/>
      <c r="G237" s="90"/>
      <c r="H237" s="104">
        <v>232</v>
      </c>
      <c r="I237" s="105" t="str">
        <f t="shared" si="17"/>
        <v/>
      </c>
      <c r="J237" s="104">
        <f t="shared" si="18"/>
        <v>-5</v>
      </c>
      <c r="K237" s="104">
        <f t="shared" si="15"/>
        <v>-50</v>
      </c>
      <c r="L237" s="104"/>
      <c r="M237" s="106">
        <f t="shared" si="16"/>
        <v>0</v>
      </c>
    </row>
    <row r="238" spans="1:13" x14ac:dyDescent="0.25">
      <c r="A238" s="120"/>
      <c r="G238" s="90"/>
      <c r="H238" s="104">
        <v>233</v>
      </c>
      <c r="I238" s="105" t="str">
        <f t="shared" si="17"/>
        <v/>
      </c>
      <c r="J238" s="104">
        <f t="shared" si="18"/>
        <v>-5</v>
      </c>
      <c r="K238" s="104">
        <f t="shared" si="15"/>
        <v>-50</v>
      </c>
      <c r="L238" s="104"/>
      <c r="M238" s="106">
        <f t="shared" si="16"/>
        <v>0</v>
      </c>
    </row>
    <row r="239" spans="1:13" x14ac:dyDescent="0.25">
      <c r="A239" s="120"/>
      <c r="G239" s="90"/>
      <c r="H239" s="104">
        <v>234</v>
      </c>
      <c r="I239" s="105" t="str">
        <f t="shared" si="17"/>
        <v/>
      </c>
      <c r="J239" s="104">
        <f t="shared" si="18"/>
        <v>-5</v>
      </c>
      <c r="K239" s="104">
        <f t="shared" si="15"/>
        <v>-50</v>
      </c>
      <c r="L239" s="104"/>
      <c r="M239" s="106">
        <f t="shared" si="16"/>
        <v>0</v>
      </c>
    </row>
    <row r="240" spans="1:13" x14ac:dyDescent="0.25">
      <c r="A240" s="120"/>
      <c r="G240" s="90"/>
      <c r="H240" s="104">
        <v>235</v>
      </c>
      <c r="I240" s="105" t="str">
        <f t="shared" si="17"/>
        <v/>
      </c>
      <c r="J240" s="104">
        <f t="shared" si="18"/>
        <v>-5</v>
      </c>
      <c r="K240" s="104">
        <f t="shared" si="15"/>
        <v>-50</v>
      </c>
      <c r="L240" s="104"/>
      <c r="M240" s="106">
        <f t="shared" si="16"/>
        <v>0</v>
      </c>
    </row>
    <row r="241" spans="1:13" x14ac:dyDescent="0.25">
      <c r="A241" s="120"/>
      <c r="G241" s="90"/>
      <c r="H241" s="104">
        <v>236</v>
      </c>
      <c r="I241" s="105" t="str">
        <f t="shared" si="17"/>
        <v/>
      </c>
      <c r="J241" s="104">
        <f t="shared" si="18"/>
        <v>-5</v>
      </c>
      <c r="K241" s="104">
        <f t="shared" si="15"/>
        <v>-50</v>
      </c>
      <c r="L241" s="104"/>
      <c r="M241" s="106">
        <f t="shared" si="16"/>
        <v>0</v>
      </c>
    </row>
    <row r="242" spans="1:13" x14ac:dyDescent="0.25">
      <c r="A242" s="120"/>
      <c r="G242" s="90"/>
      <c r="H242" s="104">
        <v>237</v>
      </c>
      <c r="I242" s="105" t="str">
        <f t="shared" si="17"/>
        <v/>
      </c>
      <c r="J242" s="104">
        <f t="shared" si="18"/>
        <v>-5</v>
      </c>
      <c r="K242" s="104">
        <f t="shared" si="15"/>
        <v>-50</v>
      </c>
      <c r="L242" s="104"/>
      <c r="M242" s="106">
        <f t="shared" si="16"/>
        <v>0</v>
      </c>
    </row>
    <row r="243" spans="1:13" x14ac:dyDescent="0.25">
      <c r="A243" s="120"/>
      <c r="G243" s="90"/>
      <c r="H243" s="104">
        <v>238</v>
      </c>
      <c r="I243" s="105" t="str">
        <f t="shared" si="17"/>
        <v/>
      </c>
      <c r="J243" s="104">
        <f t="shared" si="18"/>
        <v>-5</v>
      </c>
      <c r="K243" s="104">
        <f t="shared" si="15"/>
        <v>-50</v>
      </c>
      <c r="L243" s="104"/>
      <c r="M243" s="106">
        <f t="shared" si="16"/>
        <v>0</v>
      </c>
    </row>
    <row r="244" spans="1:13" x14ac:dyDescent="0.25">
      <c r="A244" s="120"/>
      <c r="G244" s="90"/>
      <c r="H244" s="104">
        <v>239</v>
      </c>
      <c r="I244" s="105" t="str">
        <f t="shared" si="17"/>
        <v/>
      </c>
      <c r="J244" s="104">
        <f t="shared" si="18"/>
        <v>-5</v>
      </c>
      <c r="K244" s="104">
        <f t="shared" si="15"/>
        <v>-50</v>
      </c>
      <c r="L244" s="104"/>
      <c r="M244" s="106">
        <f t="shared" si="16"/>
        <v>0</v>
      </c>
    </row>
    <row r="245" spans="1:13" x14ac:dyDescent="0.25">
      <c r="A245" s="120"/>
      <c r="G245" s="90"/>
      <c r="H245" s="104">
        <v>240</v>
      </c>
      <c r="I245" s="105" t="str">
        <f t="shared" si="17"/>
        <v/>
      </c>
      <c r="J245" s="104">
        <f t="shared" si="18"/>
        <v>-5</v>
      </c>
      <c r="K245" s="104">
        <f t="shared" si="15"/>
        <v>-50</v>
      </c>
      <c r="L245" s="104"/>
      <c r="M245" s="106">
        <f t="shared" si="16"/>
        <v>0</v>
      </c>
    </row>
    <row r="246" spans="1:13" x14ac:dyDescent="0.25">
      <c r="A246" s="120"/>
      <c r="G246" s="90"/>
      <c r="H246" s="104">
        <v>241</v>
      </c>
      <c r="I246" s="105" t="str">
        <f t="shared" si="17"/>
        <v/>
      </c>
      <c r="J246" s="104">
        <f t="shared" si="18"/>
        <v>-5</v>
      </c>
      <c r="K246" s="104">
        <f t="shared" si="15"/>
        <v>-50</v>
      </c>
      <c r="L246" s="104"/>
      <c r="M246" s="106">
        <f t="shared" si="16"/>
        <v>0</v>
      </c>
    </row>
    <row r="247" spans="1:13" x14ac:dyDescent="0.25">
      <c r="A247" s="120"/>
      <c r="G247" s="90"/>
      <c r="H247" s="104">
        <v>242</v>
      </c>
      <c r="I247" s="105" t="str">
        <f t="shared" si="17"/>
        <v/>
      </c>
      <c r="J247" s="104">
        <f t="shared" si="18"/>
        <v>-5</v>
      </c>
      <c r="K247" s="104">
        <f t="shared" si="15"/>
        <v>-50</v>
      </c>
      <c r="L247" s="104"/>
      <c r="M247" s="106">
        <f t="shared" si="16"/>
        <v>0</v>
      </c>
    </row>
    <row r="248" spans="1:13" x14ac:dyDescent="0.25">
      <c r="A248" s="120"/>
      <c r="G248" s="90"/>
      <c r="H248" s="104">
        <v>243</v>
      </c>
      <c r="I248" s="105" t="str">
        <f t="shared" si="17"/>
        <v/>
      </c>
      <c r="J248" s="104">
        <f t="shared" si="18"/>
        <v>-5</v>
      </c>
      <c r="K248" s="104">
        <f t="shared" si="15"/>
        <v>-50</v>
      </c>
      <c r="L248" s="104"/>
      <c r="M248" s="106">
        <f t="shared" si="16"/>
        <v>0</v>
      </c>
    </row>
    <row r="249" spans="1:13" x14ac:dyDescent="0.25">
      <c r="A249" s="120"/>
      <c r="G249" s="90"/>
      <c r="H249" s="104">
        <v>244</v>
      </c>
      <c r="I249" s="105" t="str">
        <f t="shared" si="17"/>
        <v/>
      </c>
      <c r="J249" s="104">
        <f t="shared" si="18"/>
        <v>-5</v>
      </c>
      <c r="K249" s="104">
        <f t="shared" si="15"/>
        <v>-50</v>
      </c>
      <c r="L249" s="104"/>
      <c r="M249" s="106">
        <f t="shared" si="16"/>
        <v>0</v>
      </c>
    </row>
    <row r="250" spans="1:13" x14ac:dyDescent="0.25">
      <c r="A250" s="120"/>
      <c r="G250" s="90"/>
      <c r="H250" s="104">
        <v>245</v>
      </c>
      <c r="I250" s="105" t="str">
        <f t="shared" si="17"/>
        <v/>
      </c>
      <c r="J250" s="104">
        <f t="shared" si="18"/>
        <v>-5</v>
      </c>
      <c r="K250" s="104">
        <f t="shared" si="15"/>
        <v>-50</v>
      </c>
      <c r="L250" s="104"/>
      <c r="M250" s="106">
        <f t="shared" si="16"/>
        <v>0</v>
      </c>
    </row>
    <row r="251" spans="1:13" x14ac:dyDescent="0.25">
      <c r="A251" s="120"/>
      <c r="G251" s="90"/>
      <c r="H251" s="104">
        <v>246</v>
      </c>
      <c r="I251" s="105" t="str">
        <f t="shared" si="17"/>
        <v/>
      </c>
      <c r="J251" s="104">
        <f t="shared" si="18"/>
        <v>-5</v>
      </c>
      <c r="K251" s="104">
        <f t="shared" si="15"/>
        <v>-50</v>
      </c>
      <c r="L251" s="104"/>
      <c r="M251" s="106">
        <f t="shared" si="16"/>
        <v>0</v>
      </c>
    </row>
    <row r="252" spans="1:13" x14ac:dyDescent="0.25">
      <c r="A252" s="120"/>
      <c r="G252" s="90"/>
      <c r="H252" s="104">
        <v>247</v>
      </c>
      <c r="I252" s="105" t="str">
        <f t="shared" si="17"/>
        <v/>
      </c>
      <c r="J252" s="104">
        <f t="shared" si="18"/>
        <v>-5</v>
      </c>
      <c r="K252" s="104">
        <f t="shared" si="15"/>
        <v>-50</v>
      </c>
      <c r="L252" s="104"/>
      <c r="M252" s="106">
        <f t="shared" si="16"/>
        <v>0</v>
      </c>
    </row>
    <row r="253" spans="1:13" x14ac:dyDescent="0.25">
      <c r="A253" s="120"/>
      <c r="G253" s="90"/>
      <c r="H253" s="104">
        <v>248</v>
      </c>
      <c r="I253" s="105" t="str">
        <f t="shared" si="17"/>
        <v/>
      </c>
      <c r="J253" s="104">
        <f t="shared" si="18"/>
        <v>-5</v>
      </c>
      <c r="K253" s="104">
        <f t="shared" si="15"/>
        <v>-50</v>
      </c>
      <c r="L253" s="104"/>
      <c r="M253" s="106">
        <f t="shared" si="16"/>
        <v>0</v>
      </c>
    </row>
    <row r="254" spans="1:13" x14ac:dyDescent="0.25">
      <c r="A254" s="120"/>
      <c r="G254" s="90"/>
      <c r="H254" s="104">
        <v>249</v>
      </c>
      <c r="I254" s="105" t="str">
        <f t="shared" si="17"/>
        <v/>
      </c>
      <c r="J254" s="104">
        <f t="shared" si="18"/>
        <v>-5</v>
      </c>
      <c r="K254" s="104">
        <f t="shared" si="15"/>
        <v>-50</v>
      </c>
      <c r="L254" s="104"/>
      <c r="M254" s="106">
        <f t="shared" si="16"/>
        <v>0</v>
      </c>
    </row>
    <row r="255" spans="1:13" x14ac:dyDescent="0.25">
      <c r="A255" s="120"/>
      <c r="G255" s="90"/>
      <c r="H255" s="104">
        <v>250</v>
      </c>
      <c r="I255" s="105" t="str">
        <f t="shared" si="17"/>
        <v/>
      </c>
      <c r="J255" s="104">
        <f t="shared" si="18"/>
        <v>-5</v>
      </c>
      <c r="K255" s="104">
        <f t="shared" si="15"/>
        <v>-50</v>
      </c>
      <c r="L255" s="104"/>
      <c r="M255" s="106">
        <f t="shared" si="16"/>
        <v>0</v>
      </c>
    </row>
    <row r="256" spans="1:13" x14ac:dyDescent="0.25">
      <c r="A256" s="120"/>
      <c r="G256" s="90"/>
      <c r="H256" s="104">
        <v>251</v>
      </c>
      <c r="I256" s="105" t="str">
        <f t="shared" si="17"/>
        <v/>
      </c>
      <c r="J256" s="104">
        <f t="shared" si="18"/>
        <v>-5</v>
      </c>
      <c r="K256" s="104">
        <f t="shared" si="15"/>
        <v>-50</v>
      </c>
      <c r="L256" s="104"/>
      <c r="M256" s="106">
        <f t="shared" si="16"/>
        <v>0</v>
      </c>
    </row>
    <row r="257" spans="1:13" x14ac:dyDescent="0.25">
      <c r="A257" s="120"/>
      <c r="G257" s="90"/>
      <c r="H257" s="104">
        <v>252</v>
      </c>
      <c r="I257" s="105" t="str">
        <f t="shared" si="17"/>
        <v/>
      </c>
      <c r="J257" s="104">
        <f t="shared" si="18"/>
        <v>-5</v>
      </c>
      <c r="K257" s="104">
        <f t="shared" si="15"/>
        <v>-50</v>
      </c>
      <c r="L257" s="104"/>
      <c r="M257" s="106">
        <f t="shared" si="16"/>
        <v>0</v>
      </c>
    </row>
    <row r="258" spans="1:13" x14ac:dyDescent="0.25">
      <c r="A258" s="120"/>
      <c r="G258" s="90"/>
      <c r="H258" s="104">
        <v>253</v>
      </c>
      <c r="I258" s="105" t="str">
        <f t="shared" si="17"/>
        <v/>
      </c>
      <c r="J258" s="104">
        <f t="shared" si="18"/>
        <v>-5</v>
      </c>
      <c r="K258" s="104">
        <f t="shared" si="15"/>
        <v>-50</v>
      </c>
      <c r="L258" s="104"/>
      <c r="M258" s="106">
        <f t="shared" si="16"/>
        <v>0</v>
      </c>
    </row>
    <row r="259" spans="1:13" x14ac:dyDescent="0.25">
      <c r="A259" s="120"/>
      <c r="G259" s="90"/>
      <c r="H259" s="104">
        <v>254</v>
      </c>
      <c r="I259" s="105" t="str">
        <f t="shared" si="17"/>
        <v/>
      </c>
      <c r="J259" s="104">
        <f t="shared" si="18"/>
        <v>-5</v>
      </c>
      <c r="K259" s="104">
        <f t="shared" si="15"/>
        <v>-50</v>
      </c>
      <c r="L259" s="104"/>
      <c r="M259" s="106">
        <f t="shared" si="16"/>
        <v>0</v>
      </c>
    </row>
    <row r="260" spans="1:13" x14ac:dyDescent="0.25">
      <c r="A260" s="120"/>
      <c r="G260" s="90"/>
      <c r="H260" s="104">
        <v>255</v>
      </c>
      <c r="I260" s="105" t="str">
        <f t="shared" si="17"/>
        <v/>
      </c>
      <c r="J260" s="104">
        <f t="shared" si="18"/>
        <v>-5</v>
      </c>
      <c r="K260" s="104">
        <f t="shared" si="15"/>
        <v>-50</v>
      </c>
      <c r="L260" s="104"/>
      <c r="M260" s="106">
        <f t="shared" si="16"/>
        <v>0</v>
      </c>
    </row>
    <row r="261" spans="1:13" x14ac:dyDescent="0.25">
      <c r="A261" s="120"/>
      <c r="G261" s="90"/>
      <c r="H261" s="104">
        <v>256</v>
      </c>
      <c r="I261" s="105" t="str">
        <f t="shared" si="17"/>
        <v/>
      </c>
      <c r="J261" s="104">
        <f t="shared" si="18"/>
        <v>-5</v>
      </c>
      <c r="K261" s="104">
        <f t="shared" si="15"/>
        <v>-50</v>
      </c>
      <c r="L261" s="104"/>
      <c r="M261" s="106">
        <f t="shared" si="16"/>
        <v>0</v>
      </c>
    </row>
    <row r="262" spans="1:13" x14ac:dyDescent="0.25">
      <c r="A262" s="120"/>
      <c r="G262" s="90"/>
      <c r="H262" s="104">
        <v>257</v>
      </c>
      <c r="I262" s="105" t="str">
        <f t="shared" si="17"/>
        <v/>
      </c>
      <c r="J262" s="104">
        <f t="shared" si="18"/>
        <v>-6</v>
      </c>
      <c r="K262" s="104">
        <f t="shared" ref="K262:K305" si="19">J262*$J$2</f>
        <v>-60</v>
      </c>
      <c r="L262" s="104"/>
      <c r="M262" s="106">
        <f t="shared" ref="M262:M305" si="20">IF(I262&lt;&gt;"",K262+I262+L262,0)</f>
        <v>0</v>
      </c>
    </row>
    <row r="263" spans="1:13" x14ac:dyDescent="0.25">
      <c r="A263" s="120"/>
      <c r="G263" s="90"/>
      <c r="H263" s="104">
        <v>258</v>
      </c>
      <c r="I263" s="105" t="str">
        <f t="shared" ref="I263:I305" si="21">IF(H263&lt;$H$2+1,($I$2-($I$2-1)*(LOG(H263)/LOG($H$2))),"")</f>
        <v/>
      </c>
      <c r="J263" s="104">
        <f t="shared" ref="J263:J305" si="22">INT(LOG($H$2,2))-ROUNDUP(LOG(H263,2),0)+IF(OR($H$2=1,$H$2=2,$H$2=4,$H$2=8,$H$2=16,$H$2=32,$H$2=64,$H$2=128,$H$2=256),0,1)</f>
        <v>-6</v>
      </c>
      <c r="K263" s="104">
        <f t="shared" si="19"/>
        <v>-60</v>
      </c>
      <c r="L263" s="104"/>
      <c r="M263" s="106">
        <f t="shared" si="20"/>
        <v>0</v>
      </c>
    </row>
    <row r="264" spans="1:13" x14ac:dyDescent="0.25">
      <c r="A264" s="120"/>
      <c r="G264" s="90"/>
      <c r="H264" s="104">
        <v>259</v>
      </c>
      <c r="I264" s="105" t="str">
        <f t="shared" si="21"/>
        <v/>
      </c>
      <c r="J264" s="104">
        <f t="shared" si="22"/>
        <v>-6</v>
      </c>
      <c r="K264" s="104">
        <f t="shared" si="19"/>
        <v>-60</v>
      </c>
      <c r="L264" s="104"/>
      <c r="M264" s="106">
        <f t="shared" si="20"/>
        <v>0</v>
      </c>
    </row>
    <row r="265" spans="1:13" x14ac:dyDescent="0.25">
      <c r="A265" s="120"/>
      <c r="G265" s="90"/>
      <c r="H265" s="104">
        <v>260</v>
      </c>
      <c r="I265" s="105" t="str">
        <f t="shared" si="21"/>
        <v/>
      </c>
      <c r="J265" s="104">
        <f t="shared" si="22"/>
        <v>-6</v>
      </c>
      <c r="K265" s="104">
        <f t="shared" si="19"/>
        <v>-60</v>
      </c>
      <c r="L265" s="104"/>
      <c r="M265" s="106">
        <f t="shared" si="20"/>
        <v>0</v>
      </c>
    </row>
    <row r="266" spans="1:13" x14ac:dyDescent="0.25">
      <c r="A266" s="120"/>
      <c r="G266" s="90"/>
      <c r="H266" s="104">
        <v>261</v>
      </c>
      <c r="I266" s="105" t="str">
        <f t="shared" si="21"/>
        <v/>
      </c>
      <c r="J266" s="104">
        <f t="shared" si="22"/>
        <v>-6</v>
      </c>
      <c r="K266" s="104">
        <f t="shared" si="19"/>
        <v>-60</v>
      </c>
      <c r="L266" s="104"/>
      <c r="M266" s="106">
        <f t="shared" si="20"/>
        <v>0</v>
      </c>
    </row>
    <row r="267" spans="1:13" x14ac:dyDescent="0.25">
      <c r="A267" s="120"/>
      <c r="G267" s="90"/>
      <c r="H267" s="104">
        <v>262</v>
      </c>
      <c r="I267" s="105" t="str">
        <f t="shared" si="21"/>
        <v/>
      </c>
      <c r="J267" s="104">
        <f t="shared" si="22"/>
        <v>-6</v>
      </c>
      <c r="K267" s="104">
        <f t="shared" si="19"/>
        <v>-60</v>
      </c>
      <c r="L267" s="104"/>
      <c r="M267" s="106">
        <f t="shared" si="20"/>
        <v>0</v>
      </c>
    </row>
    <row r="268" spans="1:13" x14ac:dyDescent="0.25">
      <c r="A268" s="120"/>
      <c r="G268" s="90"/>
      <c r="H268" s="104">
        <v>263</v>
      </c>
      <c r="I268" s="105" t="str">
        <f t="shared" si="21"/>
        <v/>
      </c>
      <c r="J268" s="104">
        <f t="shared" si="22"/>
        <v>-6</v>
      </c>
      <c r="K268" s="104">
        <f t="shared" si="19"/>
        <v>-60</v>
      </c>
      <c r="L268" s="104"/>
      <c r="M268" s="106">
        <f t="shared" si="20"/>
        <v>0</v>
      </c>
    </row>
    <row r="269" spans="1:13" x14ac:dyDescent="0.25">
      <c r="A269" s="120"/>
      <c r="G269" s="90"/>
      <c r="H269" s="104">
        <v>264</v>
      </c>
      <c r="I269" s="105" t="str">
        <f t="shared" si="21"/>
        <v/>
      </c>
      <c r="J269" s="104">
        <f t="shared" si="22"/>
        <v>-6</v>
      </c>
      <c r="K269" s="104">
        <f t="shared" si="19"/>
        <v>-60</v>
      </c>
      <c r="L269" s="104"/>
      <c r="M269" s="106">
        <f t="shared" si="20"/>
        <v>0</v>
      </c>
    </row>
    <row r="270" spans="1:13" x14ac:dyDescent="0.25">
      <c r="A270" s="120"/>
      <c r="G270" s="90"/>
      <c r="H270" s="104">
        <v>265</v>
      </c>
      <c r="I270" s="105" t="str">
        <f t="shared" si="21"/>
        <v/>
      </c>
      <c r="J270" s="104">
        <f t="shared" si="22"/>
        <v>-6</v>
      </c>
      <c r="K270" s="104">
        <f t="shared" si="19"/>
        <v>-60</v>
      </c>
      <c r="L270" s="104"/>
      <c r="M270" s="106">
        <f t="shared" si="20"/>
        <v>0</v>
      </c>
    </row>
    <row r="271" spans="1:13" x14ac:dyDescent="0.25">
      <c r="A271" s="120"/>
      <c r="G271" s="90"/>
      <c r="H271" s="104">
        <v>266</v>
      </c>
      <c r="I271" s="105" t="str">
        <f t="shared" si="21"/>
        <v/>
      </c>
      <c r="J271" s="104">
        <f t="shared" si="22"/>
        <v>-6</v>
      </c>
      <c r="K271" s="104">
        <f t="shared" si="19"/>
        <v>-60</v>
      </c>
      <c r="L271" s="104"/>
      <c r="M271" s="106">
        <f t="shared" si="20"/>
        <v>0</v>
      </c>
    </row>
    <row r="272" spans="1:13" x14ac:dyDescent="0.25">
      <c r="A272" s="120"/>
      <c r="G272" s="90"/>
      <c r="H272" s="104">
        <v>267</v>
      </c>
      <c r="I272" s="105" t="str">
        <f t="shared" si="21"/>
        <v/>
      </c>
      <c r="J272" s="104">
        <f t="shared" si="22"/>
        <v>-6</v>
      </c>
      <c r="K272" s="104">
        <f t="shared" si="19"/>
        <v>-60</v>
      </c>
      <c r="L272" s="104"/>
      <c r="M272" s="106">
        <f t="shared" si="20"/>
        <v>0</v>
      </c>
    </row>
    <row r="273" spans="1:13" x14ac:dyDescent="0.25">
      <c r="A273" s="120"/>
      <c r="G273" s="90"/>
      <c r="H273" s="104">
        <v>268</v>
      </c>
      <c r="I273" s="105" t="str">
        <f t="shared" si="21"/>
        <v/>
      </c>
      <c r="J273" s="104">
        <f t="shared" si="22"/>
        <v>-6</v>
      </c>
      <c r="K273" s="104">
        <f t="shared" si="19"/>
        <v>-60</v>
      </c>
      <c r="L273" s="104"/>
      <c r="M273" s="106">
        <f t="shared" si="20"/>
        <v>0</v>
      </c>
    </row>
    <row r="274" spans="1:13" x14ac:dyDescent="0.25">
      <c r="A274" s="120"/>
      <c r="G274" s="90"/>
      <c r="H274" s="104">
        <v>269</v>
      </c>
      <c r="I274" s="105" t="str">
        <f t="shared" si="21"/>
        <v/>
      </c>
      <c r="J274" s="104">
        <f t="shared" si="22"/>
        <v>-6</v>
      </c>
      <c r="K274" s="104">
        <f t="shared" si="19"/>
        <v>-60</v>
      </c>
      <c r="L274" s="104"/>
      <c r="M274" s="106">
        <f t="shared" si="20"/>
        <v>0</v>
      </c>
    </row>
    <row r="275" spans="1:13" x14ac:dyDescent="0.25">
      <c r="A275" s="120"/>
      <c r="G275" s="90"/>
      <c r="H275" s="104">
        <v>270</v>
      </c>
      <c r="I275" s="105" t="str">
        <f t="shared" si="21"/>
        <v/>
      </c>
      <c r="J275" s="104">
        <f t="shared" si="22"/>
        <v>-6</v>
      </c>
      <c r="K275" s="104">
        <f t="shared" si="19"/>
        <v>-60</v>
      </c>
      <c r="L275" s="104"/>
      <c r="M275" s="106">
        <f t="shared" si="20"/>
        <v>0</v>
      </c>
    </row>
    <row r="276" spans="1:13" x14ac:dyDescent="0.25">
      <c r="A276" s="120"/>
      <c r="G276" s="90"/>
      <c r="H276" s="104">
        <v>271</v>
      </c>
      <c r="I276" s="105" t="str">
        <f t="shared" si="21"/>
        <v/>
      </c>
      <c r="J276" s="104">
        <f t="shared" si="22"/>
        <v>-6</v>
      </c>
      <c r="K276" s="104">
        <f t="shared" si="19"/>
        <v>-60</v>
      </c>
      <c r="L276" s="104"/>
      <c r="M276" s="106">
        <f t="shared" si="20"/>
        <v>0</v>
      </c>
    </row>
    <row r="277" spans="1:13" x14ac:dyDescent="0.25">
      <c r="A277" s="120"/>
      <c r="G277" s="90"/>
      <c r="H277" s="104">
        <v>272</v>
      </c>
      <c r="I277" s="105" t="str">
        <f t="shared" si="21"/>
        <v/>
      </c>
      <c r="J277" s="104">
        <f t="shared" si="22"/>
        <v>-6</v>
      </c>
      <c r="K277" s="104">
        <f t="shared" si="19"/>
        <v>-60</v>
      </c>
      <c r="L277" s="104"/>
      <c r="M277" s="106">
        <f t="shared" si="20"/>
        <v>0</v>
      </c>
    </row>
    <row r="278" spans="1:13" x14ac:dyDescent="0.25">
      <c r="A278" s="120"/>
      <c r="G278" s="90"/>
      <c r="H278" s="104">
        <v>273</v>
      </c>
      <c r="I278" s="105" t="str">
        <f t="shared" si="21"/>
        <v/>
      </c>
      <c r="J278" s="104">
        <f t="shared" si="22"/>
        <v>-6</v>
      </c>
      <c r="K278" s="104">
        <f t="shared" si="19"/>
        <v>-60</v>
      </c>
      <c r="L278" s="104"/>
      <c r="M278" s="106">
        <f t="shared" si="20"/>
        <v>0</v>
      </c>
    </row>
    <row r="279" spans="1:13" x14ac:dyDescent="0.25">
      <c r="A279" s="120"/>
      <c r="G279" s="90"/>
      <c r="H279" s="104">
        <v>274</v>
      </c>
      <c r="I279" s="105" t="str">
        <f t="shared" si="21"/>
        <v/>
      </c>
      <c r="J279" s="104">
        <f t="shared" si="22"/>
        <v>-6</v>
      </c>
      <c r="K279" s="104">
        <f t="shared" si="19"/>
        <v>-60</v>
      </c>
      <c r="L279" s="104"/>
      <c r="M279" s="106">
        <f t="shared" si="20"/>
        <v>0</v>
      </c>
    </row>
    <row r="280" spans="1:13" x14ac:dyDescent="0.25">
      <c r="A280" s="120"/>
      <c r="G280" s="90"/>
      <c r="H280" s="104">
        <v>275</v>
      </c>
      <c r="I280" s="105" t="str">
        <f t="shared" si="21"/>
        <v/>
      </c>
      <c r="J280" s="104">
        <f t="shared" si="22"/>
        <v>-6</v>
      </c>
      <c r="K280" s="104">
        <f t="shared" si="19"/>
        <v>-60</v>
      </c>
      <c r="L280" s="104"/>
      <c r="M280" s="106">
        <f t="shared" si="20"/>
        <v>0</v>
      </c>
    </row>
    <row r="281" spans="1:13" x14ac:dyDescent="0.25">
      <c r="A281" s="120"/>
      <c r="G281" s="90"/>
      <c r="H281" s="104">
        <v>276</v>
      </c>
      <c r="I281" s="105" t="str">
        <f t="shared" si="21"/>
        <v/>
      </c>
      <c r="J281" s="104">
        <f t="shared" si="22"/>
        <v>-6</v>
      </c>
      <c r="K281" s="104">
        <f t="shared" si="19"/>
        <v>-60</v>
      </c>
      <c r="L281" s="104"/>
      <c r="M281" s="106">
        <f t="shared" si="20"/>
        <v>0</v>
      </c>
    </row>
    <row r="282" spans="1:13" x14ac:dyDescent="0.25">
      <c r="A282" s="120"/>
      <c r="G282" s="90"/>
      <c r="H282" s="104">
        <v>277</v>
      </c>
      <c r="I282" s="105" t="str">
        <f t="shared" si="21"/>
        <v/>
      </c>
      <c r="J282" s="104">
        <f t="shared" si="22"/>
        <v>-6</v>
      </c>
      <c r="K282" s="104">
        <f t="shared" si="19"/>
        <v>-60</v>
      </c>
      <c r="L282" s="104"/>
      <c r="M282" s="106">
        <f t="shared" si="20"/>
        <v>0</v>
      </c>
    </row>
    <row r="283" spans="1:13" x14ac:dyDescent="0.25">
      <c r="A283" s="120"/>
      <c r="G283" s="90"/>
      <c r="H283" s="104">
        <v>278</v>
      </c>
      <c r="I283" s="105" t="str">
        <f t="shared" si="21"/>
        <v/>
      </c>
      <c r="J283" s="104">
        <f t="shared" si="22"/>
        <v>-6</v>
      </c>
      <c r="K283" s="104">
        <f t="shared" si="19"/>
        <v>-60</v>
      </c>
      <c r="L283" s="104"/>
      <c r="M283" s="106">
        <f t="shared" si="20"/>
        <v>0</v>
      </c>
    </row>
    <row r="284" spans="1:13" x14ac:dyDescent="0.25">
      <c r="A284" s="120"/>
      <c r="G284" s="90"/>
      <c r="H284" s="104">
        <v>279</v>
      </c>
      <c r="I284" s="105" t="str">
        <f t="shared" si="21"/>
        <v/>
      </c>
      <c r="J284" s="104">
        <f t="shared" si="22"/>
        <v>-6</v>
      </c>
      <c r="K284" s="104">
        <f t="shared" si="19"/>
        <v>-60</v>
      </c>
      <c r="L284" s="104"/>
      <c r="M284" s="106">
        <f t="shared" si="20"/>
        <v>0</v>
      </c>
    </row>
    <row r="285" spans="1:13" x14ac:dyDescent="0.25">
      <c r="A285" s="120"/>
      <c r="G285" s="90"/>
      <c r="H285" s="104">
        <v>280</v>
      </c>
      <c r="I285" s="105" t="str">
        <f t="shared" si="21"/>
        <v/>
      </c>
      <c r="J285" s="104">
        <f t="shared" si="22"/>
        <v>-6</v>
      </c>
      <c r="K285" s="104">
        <f t="shared" si="19"/>
        <v>-60</v>
      </c>
      <c r="L285" s="104"/>
      <c r="M285" s="106">
        <f t="shared" si="20"/>
        <v>0</v>
      </c>
    </row>
    <row r="286" spans="1:13" x14ac:dyDescent="0.25">
      <c r="A286" s="120"/>
      <c r="G286" s="90"/>
      <c r="H286" s="104">
        <v>281</v>
      </c>
      <c r="I286" s="105" t="str">
        <f t="shared" si="21"/>
        <v/>
      </c>
      <c r="J286" s="104">
        <f t="shared" si="22"/>
        <v>-6</v>
      </c>
      <c r="K286" s="104">
        <f t="shared" si="19"/>
        <v>-60</v>
      </c>
      <c r="L286" s="104"/>
      <c r="M286" s="106">
        <f t="shared" si="20"/>
        <v>0</v>
      </c>
    </row>
    <row r="287" spans="1:13" x14ac:dyDescent="0.25">
      <c r="A287" s="120"/>
      <c r="G287" s="90"/>
      <c r="H287" s="104">
        <v>282</v>
      </c>
      <c r="I287" s="105" t="str">
        <f t="shared" si="21"/>
        <v/>
      </c>
      <c r="J287" s="104">
        <f t="shared" si="22"/>
        <v>-6</v>
      </c>
      <c r="K287" s="104">
        <f t="shared" si="19"/>
        <v>-60</v>
      </c>
      <c r="L287" s="104"/>
      <c r="M287" s="106">
        <f t="shared" si="20"/>
        <v>0</v>
      </c>
    </row>
    <row r="288" spans="1:13" x14ac:dyDescent="0.25">
      <c r="A288" s="120"/>
      <c r="G288" s="90"/>
      <c r="H288" s="104">
        <v>283</v>
      </c>
      <c r="I288" s="105" t="str">
        <f t="shared" si="21"/>
        <v/>
      </c>
      <c r="J288" s="104">
        <f t="shared" si="22"/>
        <v>-6</v>
      </c>
      <c r="K288" s="104">
        <f t="shared" si="19"/>
        <v>-60</v>
      </c>
      <c r="L288" s="104"/>
      <c r="M288" s="106">
        <f t="shared" si="20"/>
        <v>0</v>
      </c>
    </row>
    <row r="289" spans="1:13" x14ac:dyDescent="0.25">
      <c r="A289" s="120"/>
      <c r="G289" s="90"/>
      <c r="H289" s="104">
        <v>284</v>
      </c>
      <c r="I289" s="105" t="str">
        <f t="shared" si="21"/>
        <v/>
      </c>
      <c r="J289" s="104">
        <f t="shared" si="22"/>
        <v>-6</v>
      </c>
      <c r="K289" s="104">
        <f t="shared" si="19"/>
        <v>-60</v>
      </c>
      <c r="L289" s="104"/>
      <c r="M289" s="106">
        <f t="shared" si="20"/>
        <v>0</v>
      </c>
    </row>
    <row r="290" spans="1:13" x14ac:dyDescent="0.25">
      <c r="A290" s="120"/>
      <c r="G290" s="90"/>
      <c r="H290" s="104">
        <v>285</v>
      </c>
      <c r="I290" s="105" t="str">
        <f t="shared" si="21"/>
        <v/>
      </c>
      <c r="J290" s="104">
        <f t="shared" si="22"/>
        <v>-6</v>
      </c>
      <c r="K290" s="104">
        <f t="shared" si="19"/>
        <v>-60</v>
      </c>
      <c r="L290" s="104"/>
      <c r="M290" s="106">
        <f t="shared" si="20"/>
        <v>0</v>
      </c>
    </row>
    <row r="291" spans="1:13" x14ac:dyDescent="0.25">
      <c r="A291" s="120"/>
      <c r="G291" s="90"/>
      <c r="H291" s="104">
        <v>286</v>
      </c>
      <c r="I291" s="105" t="str">
        <f t="shared" si="21"/>
        <v/>
      </c>
      <c r="J291" s="104">
        <f t="shared" si="22"/>
        <v>-6</v>
      </c>
      <c r="K291" s="104">
        <f t="shared" si="19"/>
        <v>-60</v>
      </c>
      <c r="L291" s="104"/>
      <c r="M291" s="106">
        <f t="shared" si="20"/>
        <v>0</v>
      </c>
    </row>
    <row r="292" spans="1:13" x14ac:dyDescent="0.25">
      <c r="A292" s="120"/>
      <c r="G292" s="90"/>
      <c r="H292" s="104">
        <v>287</v>
      </c>
      <c r="I292" s="105" t="str">
        <f t="shared" si="21"/>
        <v/>
      </c>
      <c r="J292" s="104">
        <f t="shared" si="22"/>
        <v>-6</v>
      </c>
      <c r="K292" s="104">
        <f t="shared" si="19"/>
        <v>-60</v>
      </c>
      <c r="L292" s="104"/>
      <c r="M292" s="106">
        <f t="shared" si="20"/>
        <v>0</v>
      </c>
    </row>
    <row r="293" spans="1:13" x14ac:dyDescent="0.25">
      <c r="A293" s="120"/>
      <c r="G293" s="90"/>
      <c r="H293" s="104">
        <v>288</v>
      </c>
      <c r="I293" s="105" t="str">
        <f t="shared" si="21"/>
        <v/>
      </c>
      <c r="J293" s="104">
        <f t="shared" si="22"/>
        <v>-6</v>
      </c>
      <c r="K293" s="104">
        <f t="shared" si="19"/>
        <v>-60</v>
      </c>
      <c r="L293" s="104"/>
      <c r="M293" s="106">
        <f t="shared" si="20"/>
        <v>0</v>
      </c>
    </row>
    <row r="294" spans="1:13" x14ac:dyDescent="0.25">
      <c r="A294" s="120"/>
      <c r="G294" s="90"/>
      <c r="H294" s="104">
        <v>289</v>
      </c>
      <c r="I294" s="105" t="str">
        <f t="shared" si="21"/>
        <v/>
      </c>
      <c r="J294" s="104">
        <f t="shared" si="22"/>
        <v>-6</v>
      </c>
      <c r="K294" s="104">
        <f t="shared" si="19"/>
        <v>-60</v>
      </c>
      <c r="L294" s="104"/>
      <c r="M294" s="106">
        <f t="shared" si="20"/>
        <v>0</v>
      </c>
    </row>
    <row r="295" spans="1:13" x14ac:dyDescent="0.25">
      <c r="A295" s="120"/>
      <c r="G295" s="90"/>
      <c r="H295" s="104">
        <v>290</v>
      </c>
      <c r="I295" s="105" t="str">
        <f t="shared" si="21"/>
        <v/>
      </c>
      <c r="J295" s="104">
        <f t="shared" si="22"/>
        <v>-6</v>
      </c>
      <c r="K295" s="104">
        <f t="shared" si="19"/>
        <v>-60</v>
      </c>
      <c r="L295" s="104"/>
      <c r="M295" s="106">
        <f t="shared" si="20"/>
        <v>0</v>
      </c>
    </row>
    <row r="296" spans="1:13" x14ac:dyDescent="0.25">
      <c r="A296" s="120"/>
      <c r="G296" s="90"/>
      <c r="H296" s="104">
        <v>291</v>
      </c>
      <c r="I296" s="105" t="str">
        <f t="shared" si="21"/>
        <v/>
      </c>
      <c r="J296" s="104">
        <f t="shared" si="22"/>
        <v>-6</v>
      </c>
      <c r="K296" s="104">
        <f t="shared" si="19"/>
        <v>-60</v>
      </c>
      <c r="L296" s="104"/>
      <c r="M296" s="106">
        <f t="shared" si="20"/>
        <v>0</v>
      </c>
    </row>
    <row r="297" spans="1:13" x14ac:dyDescent="0.25">
      <c r="A297" s="120"/>
      <c r="G297" s="90"/>
      <c r="H297" s="104">
        <v>292</v>
      </c>
      <c r="I297" s="105" t="str">
        <f t="shared" si="21"/>
        <v/>
      </c>
      <c r="J297" s="104">
        <f t="shared" si="22"/>
        <v>-6</v>
      </c>
      <c r="K297" s="104">
        <f t="shared" si="19"/>
        <v>-60</v>
      </c>
      <c r="L297" s="104"/>
      <c r="M297" s="106">
        <f t="shared" si="20"/>
        <v>0</v>
      </c>
    </row>
    <row r="298" spans="1:13" x14ac:dyDescent="0.25">
      <c r="A298" s="120"/>
      <c r="G298" s="90"/>
      <c r="H298" s="104">
        <v>293</v>
      </c>
      <c r="I298" s="105" t="str">
        <f t="shared" si="21"/>
        <v/>
      </c>
      <c r="J298" s="104">
        <f t="shared" si="22"/>
        <v>-6</v>
      </c>
      <c r="K298" s="104">
        <f t="shared" si="19"/>
        <v>-60</v>
      </c>
      <c r="L298" s="104"/>
      <c r="M298" s="106">
        <f t="shared" si="20"/>
        <v>0</v>
      </c>
    </row>
    <row r="299" spans="1:13" x14ac:dyDescent="0.25">
      <c r="A299" s="120"/>
      <c r="G299" s="90"/>
      <c r="H299" s="104">
        <v>294</v>
      </c>
      <c r="I299" s="105" t="str">
        <f t="shared" si="21"/>
        <v/>
      </c>
      <c r="J299" s="104">
        <f t="shared" si="22"/>
        <v>-6</v>
      </c>
      <c r="K299" s="104">
        <f t="shared" si="19"/>
        <v>-60</v>
      </c>
      <c r="L299" s="104"/>
      <c r="M299" s="106">
        <f t="shared" si="20"/>
        <v>0</v>
      </c>
    </row>
    <row r="300" spans="1:13" x14ac:dyDescent="0.25">
      <c r="A300" s="120"/>
      <c r="G300" s="90"/>
      <c r="H300" s="104">
        <v>295</v>
      </c>
      <c r="I300" s="105" t="str">
        <f t="shared" si="21"/>
        <v/>
      </c>
      <c r="J300" s="104">
        <f t="shared" si="22"/>
        <v>-6</v>
      </c>
      <c r="K300" s="104">
        <f t="shared" si="19"/>
        <v>-60</v>
      </c>
      <c r="L300" s="104"/>
      <c r="M300" s="106">
        <f t="shared" si="20"/>
        <v>0</v>
      </c>
    </row>
    <row r="301" spans="1:13" x14ac:dyDescent="0.25">
      <c r="A301" s="120"/>
      <c r="G301" s="90"/>
      <c r="H301" s="104">
        <v>296</v>
      </c>
      <c r="I301" s="105" t="str">
        <f t="shared" si="21"/>
        <v/>
      </c>
      <c r="J301" s="104">
        <f t="shared" si="22"/>
        <v>-6</v>
      </c>
      <c r="K301" s="104">
        <f t="shared" si="19"/>
        <v>-60</v>
      </c>
      <c r="L301" s="104"/>
      <c r="M301" s="106">
        <f t="shared" si="20"/>
        <v>0</v>
      </c>
    </row>
    <row r="302" spans="1:13" x14ac:dyDescent="0.25">
      <c r="A302" s="120"/>
      <c r="G302" s="90"/>
      <c r="H302" s="104">
        <v>297</v>
      </c>
      <c r="I302" s="105" t="str">
        <f t="shared" si="21"/>
        <v/>
      </c>
      <c r="J302" s="104">
        <f t="shared" si="22"/>
        <v>-6</v>
      </c>
      <c r="K302" s="104">
        <f t="shared" si="19"/>
        <v>-60</v>
      </c>
      <c r="L302" s="104"/>
      <c r="M302" s="106">
        <f t="shared" si="20"/>
        <v>0</v>
      </c>
    </row>
    <row r="303" spans="1:13" x14ac:dyDescent="0.25">
      <c r="A303" s="120"/>
      <c r="G303" s="90"/>
      <c r="H303" s="104">
        <v>298</v>
      </c>
      <c r="I303" s="105" t="str">
        <f t="shared" si="21"/>
        <v/>
      </c>
      <c r="J303" s="104">
        <f t="shared" si="22"/>
        <v>-6</v>
      </c>
      <c r="K303" s="104">
        <f t="shared" si="19"/>
        <v>-60</v>
      </c>
      <c r="L303" s="104"/>
      <c r="M303" s="106">
        <f t="shared" si="20"/>
        <v>0</v>
      </c>
    </row>
    <row r="304" spans="1:13" x14ac:dyDescent="0.25">
      <c r="A304" s="120"/>
      <c r="G304" s="90"/>
      <c r="H304" s="104">
        <v>299</v>
      </c>
      <c r="I304" s="105" t="str">
        <f t="shared" si="21"/>
        <v/>
      </c>
      <c r="J304" s="104">
        <f t="shared" si="22"/>
        <v>-6</v>
      </c>
      <c r="K304" s="104">
        <f t="shared" si="19"/>
        <v>-60</v>
      </c>
      <c r="L304" s="104"/>
      <c r="M304" s="106">
        <f t="shared" si="20"/>
        <v>0</v>
      </c>
    </row>
    <row r="305" spans="1:16" x14ac:dyDescent="0.25">
      <c r="A305" s="120"/>
      <c r="G305" s="90"/>
      <c r="H305" s="104">
        <v>300</v>
      </c>
      <c r="I305" s="105" t="str">
        <f t="shared" si="21"/>
        <v/>
      </c>
      <c r="J305" s="104">
        <f t="shared" si="22"/>
        <v>-6</v>
      </c>
      <c r="K305" s="104">
        <f t="shared" si="19"/>
        <v>-60</v>
      </c>
      <c r="L305" s="104"/>
      <c r="M305" s="106">
        <f t="shared" si="20"/>
        <v>0</v>
      </c>
    </row>
    <row r="306" spans="1:16" x14ac:dyDescent="0.25">
      <c r="A306" s="122"/>
    </row>
    <row r="314" spans="1:16" x14ac:dyDescent="0.25">
      <c r="L314" s="125"/>
      <c r="P314" s="115"/>
    </row>
    <row r="315" spans="1:16" x14ac:dyDescent="0.25">
      <c r="L315" s="125"/>
      <c r="P315" s="115"/>
    </row>
    <row r="316" spans="1:16" x14ac:dyDescent="0.25">
      <c r="L316" s="125"/>
      <c r="P316" s="115"/>
    </row>
    <row r="317" spans="1:16" x14ac:dyDescent="0.25">
      <c r="L317" s="125"/>
      <c r="P317" s="115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E5BEA107-07E9-465D-B27C-C968ECB4200A}">
      <formula1>#REF!</formula1>
    </dataValidation>
  </dataValidations>
  <hyperlinks>
    <hyperlink ref="C2:D2" r:id="rId1" display="KRAKÓW" xr:uid="{FC6CCA64-0311-4EAA-9CC2-11749CE0E7CA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5EC2-29DE-48A9-B9BC-1BFF4B54DEA8}">
  <sheetPr>
    <tabColor rgb="FF92D050"/>
  </sheetPr>
  <dimension ref="A1:AL317"/>
  <sheetViews>
    <sheetView workbookViewId="0">
      <selection activeCell="C6" sqref="C6"/>
    </sheetView>
  </sheetViews>
  <sheetFormatPr defaultColWidth="8.875" defaultRowHeight="14.3" x14ac:dyDescent="0.25"/>
  <cols>
    <col min="1" max="1" width="8" style="121" customWidth="1"/>
    <col min="2" max="2" width="8.25" style="121" customWidth="1"/>
    <col min="3" max="3" width="34.75" style="121" customWidth="1"/>
    <col min="4" max="4" width="11.25" style="121" customWidth="1"/>
    <col min="5" max="6" width="8.875" style="121"/>
    <col min="7" max="7" width="0.875" style="121" customWidth="1"/>
    <col min="8" max="8" width="8.875" style="123"/>
    <col min="9" max="9" width="11" style="123" customWidth="1"/>
    <col min="10" max="10" width="15.25" style="123" customWidth="1"/>
    <col min="11" max="11" width="8.75" style="123" customWidth="1"/>
    <col min="12" max="12" width="11" style="123" customWidth="1"/>
    <col min="13" max="13" width="11.75" style="124" customWidth="1"/>
    <col min="14" max="14" width="13.875" style="90" customWidth="1"/>
    <col min="15" max="15" width="21.625" style="90" bestFit="1" customWidth="1"/>
    <col min="16" max="18" width="8.875" style="90"/>
    <col min="19" max="20" width="8.875" style="95"/>
    <col min="21" max="21" width="12.125" style="95" customWidth="1"/>
    <col min="22" max="22" width="27.375" style="95" customWidth="1"/>
    <col min="23" max="38" width="8.875" style="95"/>
    <col min="39" max="16384" width="8.875" style="121"/>
  </cols>
  <sheetData>
    <row r="1" spans="1:36" x14ac:dyDescent="0.25">
      <c r="A1" s="90"/>
      <c r="B1" s="90"/>
      <c r="C1" s="90"/>
      <c r="D1" s="90"/>
      <c r="E1" s="90"/>
      <c r="F1" s="90"/>
      <c r="G1" s="90"/>
      <c r="H1" s="91" t="s">
        <v>25</v>
      </c>
      <c r="I1" s="92" t="s">
        <v>26</v>
      </c>
      <c r="J1" s="92" t="s">
        <v>27</v>
      </c>
      <c r="K1" s="93" t="s">
        <v>65</v>
      </c>
      <c r="L1" s="94"/>
      <c r="M1" s="94"/>
    </row>
    <row r="2" spans="1:36" ht="14.45" customHeight="1" x14ac:dyDescent="0.25">
      <c r="A2" s="90"/>
      <c r="B2" s="19" t="s">
        <v>29</v>
      </c>
      <c r="C2" s="209" t="s">
        <v>72</v>
      </c>
      <c r="D2" s="209"/>
      <c r="E2" s="20"/>
      <c r="F2" s="20"/>
      <c r="G2" s="20"/>
      <c r="H2" s="96">
        <v>2</v>
      </c>
      <c r="I2" s="97">
        <v>50</v>
      </c>
      <c r="J2" s="97">
        <v>10</v>
      </c>
      <c r="K2" s="98">
        <f>3*H2^(1/3)</f>
        <v>3.7797631496846193</v>
      </c>
      <c r="L2" s="94"/>
      <c r="M2" s="94"/>
    </row>
    <row r="3" spans="1:36" ht="14.45" customHeight="1" x14ac:dyDescent="0.25">
      <c r="A3" s="90"/>
      <c r="B3" s="99" t="s">
        <v>31</v>
      </c>
      <c r="C3" s="210" t="s">
        <v>73</v>
      </c>
      <c r="D3" s="210"/>
      <c r="E3" s="25"/>
      <c r="F3" s="25"/>
      <c r="G3" s="25"/>
      <c r="H3" s="94"/>
      <c r="I3" s="94"/>
      <c r="J3" s="100"/>
      <c r="K3" s="94"/>
      <c r="L3" s="94"/>
      <c r="M3" s="94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94"/>
      <c r="I4" s="94"/>
      <c r="J4" s="100"/>
      <c r="K4" s="94"/>
      <c r="L4" s="94"/>
      <c r="M4" s="94"/>
    </row>
    <row r="5" spans="1:36" ht="34.65" x14ac:dyDescent="0.25">
      <c r="A5" s="1" t="s">
        <v>33</v>
      </c>
      <c r="B5" s="28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7"/>
      <c r="H5" s="101" t="s">
        <v>39</v>
      </c>
      <c r="I5" s="102" t="s">
        <v>40</v>
      </c>
      <c r="J5" s="103" t="s">
        <v>41</v>
      </c>
      <c r="K5" s="102" t="s">
        <v>42</v>
      </c>
      <c r="L5" s="102" t="s">
        <v>43</v>
      </c>
      <c r="M5" s="101" t="s">
        <v>44</v>
      </c>
      <c r="O5" s="188" t="s">
        <v>74</v>
      </c>
      <c r="P5" s="188" t="s">
        <v>75</v>
      </c>
      <c r="Q5" s="188" t="s">
        <v>76</v>
      </c>
    </row>
    <row r="6" spans="1:36" ht="14.45" customHeight="1" x14ac:dyDescent="0.25">
      <c r="A6" s="32">
        <f t="shared" ref="A6:A11" si="0">M6</f>
        <v>91.339289449053865</v>
      </c>
      <c r="B6" s="33">
        <f t="shared" ref="B6:B11" si="1">IF(H6&gt;$H$2,"",(ROW()-5))</f>
        <v>1</v>
      </c>
      <c r="C6" s="34" t="s">
        <v>16</v>
      </c>
      <c r="D6" s="34" t="s">
        <v>62</v>
      </c>
      <c r="E6" s="34" t="s">
        <v>46</v>
      </c>
      <c r="F6" s="34"/>
      <c r="G6" s="27"/>
      <c r="H6" s="104">
        <v>1</v>
      </c>
      <c r="I6" s="105">
        <f>IF(H2=1,50,IF(H6&lt;$H$2+1,($I$2-($I$2-1)*(LOG(H6)/LOG($H$2))),""))</f>
        <v>50</v>
      </c>
      <c r="J6" s="189">
        <v>3</v>
      </c>
      <c r="K6" s="104">
        <f t="shared" ref="K6:K69" si="2">J6*$J$2</f>
        <v>30</v>
      </c>
      <c r="L6" s="106">
        <f>3*K2</f>
        <v>11.339289449053858</v>
      </c>
      <c r="M6" s="106">
        <f t="shared" ref="M6:M69" si="3">IF(I6&lt;&gt;"",K6+I6+L6,0)</f>
        <v>91.339289449053865</v>
      </c>
      <c r="O6" s="188" t="s">
        <v>77</v>
      </c>
      <c r="P6" s="188">
        <v>3</v>
      </c>
      <c r="Q6" s="188">
        <v>30</v>
      </c>
    </row>
    <row r="7" spans="1:36" ht="14.45" customHeight="1" x14ac:dyDescent="0.25">
      <c r="A7" s="38">
        <f t="shared" si="0"/>
        <v>18.559526299369239</v>
      </c>
      <c r="B7" s="39">
        <f t="shared" si="1"/>
        <v>2</v>
      </c>
      <c r="C7" s="40" t="s">
        <v>17</v>
      </c>
      <c r="D7" s="40" t="s">
        <v>69</v>
      </c>
      <c r="E7" s="40" t="s">
        <v>46</v>
      </c>
      <c r="F7" s="40"/>
      <c r="G7" s="27"/>
      <c r="H7" s="107">
        <v>2</v>
      </c>
      <c r="I7" s="108">
        <f t="shared" ref="I7:I70" si="4">IF(H7&lt;$H$2+1,($I$2-($I$2-1)*(LOG(H7)/LOG($H$2))),"")</f>
        <v>1</v>
      </c>
      <c r="J7" s="190">
        <v>1</v>
      </c>
      <c r="K7" s="107">
        <f t="shared" si="2"/>
        <v>10</v>
      </c>
      <c r="L7" s="109">
        <f>2*K2</f>
        <v>7.5595262993692387</v>
      </c>
      <c r="M7" s="109">
        <f t="shared" si="3"/>
        <v>18.559526299369239</v>
      </c>
      <c r="O7" s="188" t="s">
        <v>78</v>
      </c>
      <c r="P7" s="188">
        <v>2</v>
      </c>
      <c r="Q7" s="188">
        <v>20</v>
      </c>
    </row>
    <row r="8" spans="1:36" ht="14.45" customHeight="1" x14ac:dyDescent="0.25">
      <c r="A8" s="32">
        <f t="shared" si="0"/>
        <v>0</v>
      </c>
      <c r="B8" s="33" t="str">
        <f t="shared" si="1"/>
        <v/>
      </c>
      <c r="C8" s="34"/>
      <c r="D8" s="34"/>
      <c r="E8" s="34"/>
      <c r="F8" s="34"/>
      <c r="G8" s="27"/>
      <c r="H8" s="104">
        <v>3</v>
      </c>
      <c r="I8" s="105" t="str">
        <f t="shared" si="4"/>
        <v/>
      </c>
      <c r="J8" s="104">
        <f t="shared" ref="J8:J70" si="5">INT(LOG($H$2,2))-ROUNDUP(LOG(H8,2),0)+IF(OR($H$2=1,$H$2=2,$H$2=4,$H$2=8,$H$2=16,$H$2=32,$H$2=64,$H$2=128,$H$2=256),0,1)</f>
        <v>-1</v>
      </c>
      <c r="K8" s="104">
        <f t="shared" si="2"/>
        <v>-10</v>
      </c>
      <c r="L8" s="106">
        <f>K2</f>
        <v>3.7797631496846193</v>
      </c>
      <c r="M8" s="106">
        <f t="shared" si="3"/>
        <v>0</v>
      </c>
      <c r="O8" s="188" t="s">
        <v>79</v>
      </c>
      <c r="P8" s="188">
        <v>1</v>
      </c>
      <c r="Q8" s="188">
        <v>10</v>
      </c>
    </row>
    <row r="9" spans="1:36" ht="14.45" customHeight="1" x14ac:dyDescent="0.25">
      <c r="A9" s="38">
        <f t="shared" si="0"/>
        <v>0</v>
      </c>
      <c r="B9" s="39" t="str">
        <f t="shared" si="1"/>
        <v/>
      </c>
      <c r="C9" s="40"/>
      <c r="D9" s="40"/>
      <c r="E9" s="40"/>
      <c r="F9" s="40"/>
      <c r="G9" s="27"/>
      <c r="H9" s="107">
        <v>4</v>
      </c>
      <c r="I9" s="108" t="str">
        <f t="shared" si="4"/>
        <v/>
      </c>
      <c r="J9" s="107">
        <f t="shared" si="5"/>
        <v>-1</v>
      </c>
      <c r="K9" s="107">
        <f t="shared" si="2"/>
        <v>-10</v>
      </c>
      <c r="L9" s="109"/>
      <c r="M9" s="109">
        <f t="shared" si="3"/>
        <v>0</v>
      </c>
      <c r="O9" s="188" t="s">
        <v>80</v>
      </c>
      <c r="P9" s="188">
        <v>1</v>
      </c>
      <c r="Q9" s="188">
        <v>10</v>
      </c>
      <c r="V9" s="110"/>
      <c r="Z9" s="111"/>
      <c r="AA9" s="111"/>
      <c r="AG9" s="112"/>
      <c r="AH9" s="95" t="s">
        <v>50</v>
      </c>
      <c r="AI9" s="95">
        <v>23</v>
      </c>
    </row>
    <row r="10" spans="1:36" ht="14.45" customHeight="1" x14ac:dyDescent="0.25">
      <c r="A10" s="32">
        <f t="shared" si="0"/>
        <v>0</v>
      </c>
      <c r="B10" s="33" t="str">
        <f t="shared" si="1"/>
        <v/>
      </c>
      <c r="C10" s="34"/>
      <c r="D10" s="34"/>
      <c r="E10" s="34"/>
      <c r="F10" s="34"/>
      <c r="G10" s="27"/>
      <c r="H10" s="104">
        <v>5</v>
      </c>
      <c r="I10" s="105" t="str">
        <f t="shared" si="4"/>
        <v/>
      </c>
      <c r="J10" s="104">
        <f t="shared" si="5"/>
        <v>-2</v>
      </c>
      <c r="K10" s="104">
        <f t="shared" si="2"/>
        <v>-20</v>
      </c>
      <c r="L10" s="104"/>
      <c r="M10" s="106">
        <f t="shared" si="3"/>
        <v>0</v>
      </c>
      <c r="O10" s="188" t="s">
        <v>81</v>
      </c>
      <c r="P10" s="188">
        <v>0</v>
      </c>
      <c r="Q10" s="188">
        <v>0</v>
      </c>
      <c r="V10" s="110"/>
      <c r="Z10" s="111"/>
      <c r="AA10" s="111"/>
      <c r="AG10" s="112"/>
      <c r="AH10" s="95" t="s">
        <v>52</v>
      </c>
      <c r="AI10" s="95">
        <v>45</v>
      </c>
    </row>
    <row r="11" spans="1:36" ht="14.45" customHeight="1" x14ac:dyDescent="0.25">
      <c r="A11" s="38">
        <f t="shared" si="0"/>
        <v>0</v>
      </c>
      <c r="B11" s="39" t="str">
        <f t="shared" si="1"/>
        <v/>
      </c>
      <c r="C11" s="40"/>
      <c r="D11" s="40"/>
      <c r="E11" s="40"/>
      <c r="F11" s="40"/>
      <c r="G11" s="27"/>
      <c r="H11" s="107">
        <v>6</v>
      </c>
      <c r="I11" s="108" t="str">
        <f t="shared" si="4"/>
        <v/>
      </c>
      <c r="J11" s="107">
        <f t="shared" si="5"/>
        <v>-2</v>
      </c>
      <c r="K11" s="107">
        <f t="shared" si="2"/>
        <v>-20</v>
      </c>
      <c r="L11" s="107"/>
      <c r="M11" s="109">
        <f t="shared" si="3"/>
        <v>0</v>
      </c>
      <c r="V11" s="113"/>
      <c r="Z11" s="111"/>
      <c r="AA11" s="111"/>
      <c r="AG11" s="112"/>
      <c r="AH11" s="95" t="s">
        <v>53</v>
      </c>
      <c r="AI11" s="95">
        <v>50</v>
      </c>
    </row>
    <row r="12" spans="1:36" ht="14.45" customHeight="1" x14ac:dyDescent="0.25">
      <c r="A12" s="32">
        <f t="shared" ref="A12:A37" si="6">M12</f>
        <v>0</v>
      </c>
      <c r="B12" s="33" t="str">
        <f t="shared" ref="B12:B13" si="7">IF(H12&gt;$H$2,"",(ROW()-5))</f>
        <v/>
      </c>
      <c r="C12" s="34"/>
      <c r="D12" s="34"/>
      <c r="E12" s="34"/>
      <c r="F12" s="34"/>
      <c r="G12" s="27"/>
      <c r="H12" s="104">
        <v>7</v>
      </c>
      <c r="I12" s="105" t="str">
        <f t="shared" si="4"/>
        <v/>
      </c>
      <c r="J12" s="104">
        <f t="shared" si="5"/>
        <v>-2</v>
      </c>
      <c r="K12" s="104">
        <f t="shared" si="2"/>
        <v>-20</v>
      </c>
      <c r="L12" s="104"/>
      <c r="M12" s="106">
        <f t="shared" si="3"/>
        <v>0</v>
      </c>
      <c r="Z12" s="111"/>
      <c r="AA12" s="111"/>
      <c r="AG12" s="112"/>
      <c r="AH12" s="95" t="s">
        <v>54</v>
      </c>
      <c r="AI12" s="95">
        <f>AI11-1</f>
        <v>49</v>
      </c>
    </row>
    <row r="13" spans="1:36" ht="14.45" customHeight="1" x14ac:dyDescent="0.25">
      <c r="A13" s="48">
        <f t="shared" si="6"/>
        <v>0</v>
      </c>
      <c r="B13" s="39" t="str">
        <f t="shared" si="7"/>
        <v/>
      </c>
      <c r="C13" s="40"/>
      <c r="D13" s="40"/>
      <c r="E13" s="40"/>
      <c r="F13" s="40"/>
      <c r="G13" s="27"/>
      <c r="H13" s="107">
        <v>8</v>
      </c>
      <c r="I13" s="108" t="str">
        <f t="shared" si="4"/>
        <v/>
      </c>
      <c r="J13" s="107">
        <f t="shared" si="5"/>
        <v>-2</v>
      </c>
      <c r="K13" s="107">
        <f t="shared" si="2"/>
        <v>-20</v>
      </c>
      <c r="L13" s="107"/>
      <c r="M13" s="109">
        <f t="shared" si="3"/>
        <v>0</v>
      </c>
      <c r="X13" s="110"/>
      <c r="AG13" s="112"/>
      <c r="AH13" s="95" t="s">
        <v>55</v>
      </c>
      <c r="AI13" s="95">
        <f>LOG(AI9)</f>
        <v>1.3617278360175928</v>
      </c>
    </row>
    <row r="14" spans="1:36" x14ac:dyDescent="0.25">
      <c r="A14" s="49">
        <f t="shared" si="6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04">
        <v>9</v>
      </c>
      <c r="I14" s="105" t="str">
        <f t="shared" si="4"/>
        <v/>
      </c>
      <c r="J14" s="104">
        <f t="shared" si="5"/>
        <v>-3</v>
      </c>
      <c r="K14" s="104">
        <f t="shared" si="2"/>
        <v>-30</v>
      </c>
      <c r="L14" s="104"/>
      <c r="M14" s="106">
        <f t="shared" si="3"/>
        <v>0</v>
      </c>
      <c r="X14" s="114"/>
      <c r="Z14" s="111"/>
      <c r="AA14" s="111"/>
      <c r="AG14" s="112"/>
      <c r="AH14" s="95" t="s">
        <v>56</v>
      </c>
      <c r="AI14" s="95">
        <f>LOG(AI10)</f>
        <v>1.6532125137753437</v>
      </c>
    </row>
    <row r="15" spans="1:36" x14ac:dyDescent="0.25">
      <c r="A15" s="48">
        <f t="shared" si="6"/>
        <v>0</v>
      </c>
      <c r="B15" s="39" t="str">
        <f t="shared" ref="B15:B65" si="8">IF(H15&gt;$H$2,"",(ROW()-5))</f>
        <v/>
      </c>
      <c r="C15" s="40"/>
      <c r="D15" s="40"/>
      <c r="E15" s="40"/>
      <c r="F15" s="40"/>
      <c r="G15" s="27"/>
      <c r="H15" s="107">
        <v>10</v>
      </c>
      <c r="I15" s="108" t="str">
        <f t="shared" si="4"/>
        <v/>
      </c>
      <c r="J15" s="107">
        <f t="shared" si="5"/>
        <v>-3</v>
      </c>
      <c r="K15" s="107">
        <f t="shared" si="2"/>
        <v>-30</v>
      </c>
      <c r="L15" s="107"/>
      <c r="M15" s="109">
        <f t="shared" si="3"/>
        <v>0</v>
      </c>
      <c r="X15" s="110"/>
      <c r="Z15" s="111"/>
      <c r="AA15" s="111"/>
    </row>
    <row r="16" spans="1:36" x14ac:dyDescent="0.25">
      <c r="A16" s="49">
        <f t="shared" si="6"/>
        <v>0</v>
      </c>
      <c r="B16" s="33" t="str">
        <f t="shared" si="8"/>
        <v/>
      </c>
      <c r="C16" s="34"/>
      <c r="D16" s="34"/>
      <c r="E16" s="34"/>
      <c r="F16" s="34"/>
      <c r="G16" s="27"/>
      <c r="H16" s="104">
        <v>11</v>
      </c>
      <c r="I16" s="105" t="str">
        <f t="shared" si="4"/>
        <v/>
      </c>
      <c r="J16" s="104">
        <f t="shared" si="5"/>
        <v>-3</v>
      </c>
      <c r="K16" s="104">
        <f t="shared" si="2"/>
        <v>-30</v>
      </c>
      <c r="L16" s="104"/>
      <c r="M16" s="106">
        <f t="shared" si="3"/>
        <v>0</v>
      </c>
      <c r="R16" s="115"/>
      <c r="Z16" s="111"/>
      <c r="AA16" s="111"/>
      <c r="AH16" s="116" t="s">
        <v>57</v>
      </c>
      <c r="AI16" s="95">
        <f>AI11-AI12*AI13/AI14</f>
        <v>9.6393909380186855</v>
      </c>
      <c r="AJ16" s="95" t="s">
        <v>58</v>
      </c>
    </row>
    <row r="17" spans="1:19" x14ac:dyDescent="0.25">
      <c r="A17" s="48">
        <f t="shared" si="6"/>
        <v>0</v>
      </c>
      <c r="B17" s="39" t="str">
        <f t="shared" si="8"/>
        <v/>
      </c>
      <c r="C17" s="40"/>
      <c r="D17" s="40"/>
      <c r="E17" s="40"/>
      <c r="F17" s="40"/>
      <c r="G17" s="27"/>
      <c r="H17" s="107">
        <v>12</v>
      </c>
      <c r="I17" s="108" t="str">
        <f t="shared" si="4"/>
        <v/>
      </c>
      <c r="J17" s="107">
        <f t="shared" si="5"/>
        <v>-3</v>
      </c>
      <c r="K17" s="107">
        <f t="shared" si="2"/>
        <v>-30</v>
      </c>
      <c r="L17" s="107"/>
      <c r="M17" s="109">
        <f t="shared" si="3"/>
        <v>0</v>
      </c>
    </row>
    <row r="18" spans="1:19" x14ac:dyDescent="0.25">
      <c r="A18" s="49">
        <f t="shared" si="6"/>
        <v>0</v>
      </c>
      <c r="B18" s="33" t="str">
        <f t="shared" si="8"/>
        <v/>
      </c>
      <c r="C18" s="34"/>
      <c r="D18" s="34"/>
      <c r="E18" s="34"/>
      <c r="F18" s="34"/>
      <c r="G18" s="27"/>
      <c r="H18" s="104">
        <v>13</v>
      </c>
      <c r="I18" s="105" t="str">
        <f t="shared" si="4"/>
        <v/>
      </c>
      <c r="J18" s="104">
        <f t="shared" si="5"/>
        <v>-3</v>
      </c>
      <c r="K18" s="104">
        <f t="shared" si="2"/>
        <v>-30</v>
      </c>
      <c r="L18" s="104"/>
      <c r="M18" s="106">
        <f t="shared" si="3"/>
        <v>0</v>
      </c>
    </row>
    <row r="19" spans="1:19" x14ac:dyDescent="0.25">
      <c r="A19" s="48">
        <f t="shared" si="6"/>
        <v>0</v>
      </c>
      <c r="B19" s="39" t="str">
        <f t="shared" si="8"/>
        <v/>
      </c>
      <c r="C19" s="40"/>
      <c r="D19" s="40"/>
      <c r="E19" s="40"/>
      <c r="F19" s="40"/>
      <c r="G19" s="27"/>
      <c r="H19" s="107">
        <v>14</v>
      </c>
      <c r="I19" s="108" t="str">
        <f t="shared" si="4"/>
        <v/>
      </c>
      <c r="J19" s="107">
        <f t="shared" si="5"/>
        <v>-3</v>
      </c>
      <c r="K19" s="107">
        <f t="shared" si="2"/>
        <v>-30</v>
      </c>
      <c r="L19" s="107"/>
      <c r="M19" s="109">
        <f t="shared" si="3"/>
        <v>0</v>
      </c>
    </row>
    <row r="20" spans="1:19" x14ac:dyDescent="0.25">
      <c r="A20" s="49">
        <f t="shared" si="6"/>
        <v>0</v>
      </c>
      <c r="B20" s="33" t="str">
        <f t="shared" si="8"/>
        <v/>
      </c>
      <c r="C20" s="34"/>
      <c r="D20" s="34"/>
      <c r="E20" s="34"/>
      <c r="F20" s="34"/>
      <c r="G20" s="27"/>
      <c r="H20" s="104">
        <v>15</v>
      </c>
      <c r="I20" s="105" t="str">
        <f t="shared" si="4"/>
        <v/>
      </c>
      <c r="J20" s="104">
        <f t="shared" si="5"/>
        <v>-3</v>
      </c>
      <c r="K20" s="104">
        <f t="shared" si="2"/>
        <v>-30</v>
      </c>
      <c r="L20" s="104"/>
      <c r="M20" s="106">
        <f t="shared" si="3"/>
        <v>0</v>
      </c>
      <c r="R20" s="117"/>
      <c r="S20" s="118"/>
    </row>
    <row r="21" spans="1:19" x14ac:dyDescent="0.25">
      <c r="A21" s="48">
        <f t="shared" si="6"/>
        <v>0</v>
      </c>
      <c r="B21" s="39" t="str">
        <f t="shared" si="8"/>
        <v/>
      </c>
      <c r="C21" s="40"/>
      <c r="D21" s="40"/>
      <c r="E21" s="40"/>
      <c r="F21" s="40"/>
      <c r="G21" s="27"/>
      <c r="H21" s="107">
        <v>16</v>
      </c>
      <c r="I21" s="108" t="str">
        <f t="shared" si="4"/>
        <v/>
      </c>
      <c r="J21" s="107">
        <f t="shared" si="5"/>
        <v>-3</v>
      </c>
      <c r="K21" s="107">
        <f t="shared" si="2"/>
        <v>-30</v>
      </c>
      <c r="L21" s="107"/>
      <c r="M21" s="109">
        <f t="shared" si="3"/>
        <v>0</v>
      </c>
    </row>
    <row r="22" spans="1:19" x14ac:dyDescent="0.25">
      <c r="A22" s="49">
        <f t="shared" si="6"/>
        <v>0</v>
      </c>
      <c r="B22" s="33" t="str">
        <f t="shared" si="8"/>
        <v/>
      </c>
      <c r="C22" s="34"/>
      <c r="D22" s="34"/>
      <c r="E22" s="34"/>
      <c r="F22" s="34"/>
      <c r="G22" s="27"/>
      <c r="H22" s="104">
        <v>17</v>
      </c>
      <c r="I22" s="105" t="str">
        <f t="shared" si="4"/>
        <v/>
      </c>
      <c r="J22" s="104">
        <f t="shared" si="5"/>
        <v>-4</v>
      </c>
      <c r="K22" s="104">
        <f t="shared" si="2"/>
        <v>-40</v>
      </c>
      <c r="L22" s="104"/>
      <c r="M22" s="106">
        <f t="shared" si="3"/>
        <v>0</v>
      </c>
    </row>
    <row r="23" spans="1:19" x14ac:dyDescent="0.25">
      <c r="A23" s="48">
        <f t="shared" si="6"/>
        <v>0</v>
      </c>
      <c r="B23" s="39" t="str">
        <f t="shared" si="8"/>
        <v/>
      </c>
      <c r="C23" s="40"/>
      <c r="D23" s="40"/>
      <c r="E23" s="40"/>
      <c r="F23" s="40"/>
      <c r="G23" s="27"/>
      <c r="H23" s="107">
        <v>18</v>
      </c>
      <c r="I23" s="108" t="str">
        <f t="shared" si="4"/>
        <v/>
      </c>
      <c r="J23" s="107">
        <f t="shared" si="5"/>
        <v>-4</v>
      </c>
      <c r="K23" s="107">
        <f t="shared" si="2"/>
        <v>-40</v>
      </c>
      <c r="L23" s="107"/>
      <c r="M23" s="109">
        <f t="shared" si="3"/>
        <v>0</v>
      </c>
    </row>
    <row r="24" spans="1:19" x14ac:dyDescent="0.25">
      <c r="A24" s="49">
        <f t="shared" si="6"/>
        <v>0</v>
      </c>
      <c r="B24" s="33" t="str">
        <f t="shared" si="8"/>
        <v/>
      </c>
      <c r="C24" s="34"/>
      <c r="D24" s="34"/>
      <c r="E24" s="34"/>
      <c r="F24" s="34"/>
      <c r="G24" s="27"/>
      <c r="H24" s="104">
        <v>19</v>
      </c>
      <c r="I24" s="105" t="str">
        <f t="shared" si="4"/>
        <v/>
      </c>
      <c r="J24" s="104">
        <f t="shared" si="5"/>
        <v>-4</v>
      </c>
      <c r="K24" s="104">
        <f t="shared" si="2"/>
        <v>-40</v>
      </c>
      <c r="L24" s="104"/>
      <c r="M24" s="106">
        <f t="shared" si="3"/>
        <v>0</v>
      </c>
      <c r="R24" s="117"/>
      <c r="S24" s="118"/>
    </row>
    <row r="25" spans="1:19" x14ac:dyDescent="0.25">
      <c r="A25" s="48">
        <f t="shared" si="6"/>
        <v>0</v>
      </c>
      <c r="B25" s="39" t="str">
        <f t="shared" si="8"/>
        <v/>
      </c>
      <c r="C25" s="40"/>
      <c r="D25" s="40"/>
      <c r="E25" s="40"/>
      <c r="F25" s="40"/>
      <c r="G25" s="27"/>
      <c r="H25" s="107">
        <v>20</v>
      </c>
      <c r="I25" s="108" t="str">
        <f t="shared" si="4"/>
        <v/>
      </c>
      <c r="J25" s="107">
        <f t="shared" si="5"/>
        <v>-4</v>
      </c>
      <c r="K25" s="107">
        <f t="shared" si="2"/>
        <v>-40</v>
      </c>
      <c r="L25" s="107"/>
      <c r="M25" s="109">
        <f t="shared" si="3"/>
        <v>0</v>
      </c>
    </row>
    <row r="26" spans="1:19" x14ac:dyDescent="0.25">
      <c r="A26" s="49">
        <f t="shared" si="6"/>
        <v>0</v>
      </c>
      <c r="B26" s="33" t="str">
        <f t="shared" si="8"/>
        <v/>
      </c>
      <c r="C26" s="34"/>
      <c r="D26" s="34"/>
      <c r="E26" s="34"/>
      <c r="F26" s="34"/>
      <c r="G26" s="27"/>
      <c r="H26" s="104">
        <v>21</v>
      </c>
      <c r="I26" s="105" t="str">
        <f t="shared" si="4"/>
        <v/>
      </c>
      <c r="J26" s="104">
        <f t="shared" si="5"/>
        <v>-4</v>
      </c>
      <c r="K26" s="104">
        <f t="shared" si="2"/>
        <v>-40</v>
      </c>
      <c r="L26" s="104"/>
      <c r="M26" s="106">
        <f t="shared" si="3"/>
        <v>0</v>
      </c>
    </row>
    <row r="27" spans="1:19" x14ac:dyDescent="0.25">
      <c r="A27" s="48">
        <f t="shared" si="6"/>
        <v>0</v>
      </c>
      <c r="B27" s="39" t="str">
        <f t="shared" si="8"/>
        <v/>
      </c>
      <c r="C27" s="40"/>
      <c r="D27" s="40"/>
      <c r="E27" s="40"/>
      <c r="F27" s="40"/>
      <c r="G27" s="27"/>
      <c r="H27" s="107">
        <v>22</v>
      </c>
      <c r="I27" s="108" t="str">
        <f t="shared" si="4"/>
        <v/>
      </c>
      <c r="J27" s="107">
        <f t="shared" si="5"/>
        <v>-4</v>
      </c>
      <c r="K27" s="107">
        <f t="shared" si="2"/>
        <v>-40</v>
      </c>
      <c r="L27" s="107"/>
      <c r="M27" s="109">
        <f t="shared" si="3"/>
        <v>0</v>
      </c>
    </row>
    <row r="28" spans="1:19" x14ac:dyDescent="0.25">
      <c r="A28" s="49">
        <f t="shared" si="6"/>
        <v>0</v>
      </c>
      <c r="B28" s="33" t="str">
        <f t="shared" si="8"/>
        <v/>
      </c>
      <c r="C28" s="34"/>
      <c r="D28" s="34"/>
      <c r="E28" s="34"/>
      <c r="F28" s="34"/>
      <c r="G28" s="27"/>
      <c r="H28" s="104">
        <v>23</v>
      </c>
      <c r="I28" s="105" t="str">
        <f t="shared" si="4"/>
        <v/>
      </c>
      <c r="J28" s="104">
        <f t="shared" si="5"/>
        <v>-4</v>
      </c>
      <c r="K28" s="104">
        <f t="shared" si="2"/>
        <v>-40</v>
      </c>
      <c r="L28" s="104"/>
      <c r="M28" s="106">
        <f t="shared" si="3"/>
        <v>0</v>
      </c>
      <c r="R28" s="117"/>
      <c r="S28" s="118"/>
    </row>
    <row r="29" spans="1:19" x14ac:dyDescent="0.25">
      <c r="A29" s="48">
        <f t="shared" si="6"/>
        <v>0</v>
      </c>
      <c r="B29" s="39" t="str">
        <f t="shared" si="8"/>
        <v/>
      </c>
      <c r="C29" s="40"/>
      <c r="D29" s="40"/>
      <c r="E29" s="40"/>
      <c r="F29" s="40"/>
      <c r="G29" s="90"/>
      <c r="H29" s="107">
        <v>24</v>
      </c>
      <c r="I29" s="108" t="str">
        <f t="shared" si="4"/>
        <v/>
      </c>
      <c r="J29" s="107">
        <f t="shared" si="5"/>
        <v>-4</v>
      </c>
      <c r="K29" s="107">
        <f t="shared" si="2"/>
        <v>-40</v>
      </c>
      <c r="L29" s="107"/>
      <c r="M29" s="109">
        <f t="shared" si="3"/>
        <v>0</v>
      </c>
    </row>
    <row r="30" spans="1:19" x14ac:dyDescent="0.25">
      <c r="A30" s="49">
        <f t="shared" si="6"/>
        <v>0</v>
      </c>
      <c r="B30" s="33" t="str">
        <f t="shared" si="8"/>
        <v/>
      </c>
      <c r="C30" s="34"/>
      <c r="D30" s="34"/>
      <c r="E30" s="34"/>
      <c r="F30" s="34"/>
      <c r="G30" s="90"/>
      <c r="H30" s="104">
        <v>25</v>
      </c>
      <c r="I30" s="105" t="str">
        <f t="shared" si="4"/>
        <v/>
      </c>
      <c r="J30" s="104">
        <f t="shared" si="5"/>
        <v>-4</v>
      </c>
      <c r="K30" s="104">
        <f t="shared" si="2"/>
        <v>-40</v>
      </c>
      <c r="L30" s="104"/>
      <c r="M30" s="106">
        <f t="shared" si="3"/>
        <v>0</v>
      </c>
    </row>
    <row r="31" spans="1:19" x14ac:dyDescent="0.25">
      <c r="A31" s="48">
        <f t="shared" si="6"/>
        <v>0</v>
      </c>
      <c r="B31" s="39" t="str">
        <f t="shared" si="8"/>
        <v/>
      </c>
      <c r="C31" s="40"/>
      <c r="D31" s="40"/>
      <c r="E31" s="40"/>
      <c r="F31" s="40"/>
      <c r="G31" s="90"/>
      <c r="H31" s="107">
        <v>26</v>
      </c>
      <c r="I31" s="108" t="str">
        <f t="shared" si="4"/>
        <v/>
      </c>
      <c r="J31" s="107">
        <f t="shared" si="5"/>
        <v>-4</v>
      </c>
      <c r="K31" s="107">
        <f t="shared" si="2"/>
        <v>-40</v>
      </c>
      <c r="L31" s="107"/>
      <c r="M31" s="109">
        <f t="shared" si="3"/>
        <v>0</v>
      </c>
    </row>
    <row r="32" spans="1:19" x14ac:dyDescent="0.25">
      <c r="A32" s="49">
        <f t="shared" si="6"/>
        <v>0</v>
      </c>
      <c r="B32" s="33" t="str">
        <f t="shared" si="8"/>
        <v/>
      </c>
      <c r="C32" s="34"/>
      <c r="D32" s="34"/>
      <c r="E32" s="34"/>
      <c r="F32" s="34"/>
      <c r="G32" s="90"/>
      <c r="H32" s="104">
        <v>27</v>
      </c>
      <c r="I32" s="105" t="str">
        <f t="shared" si="4"/>
        <v/>
      </c>
      <c r="J32" s="104">
        <f t="shared" si="5"/>
        <v>-4</v>
      </c>
      <c r="K32" s="104">
        <f t="shared" si="2"/>
        <v>-40</v>
      </c>
      <c r="L32" s="104"/>
      <c r="M32" s="106">
        <f t="shared" si="3"/>
        <v>0</v>
      </c>
      <c r="R32" s="117"/>
      <c r="S32" s="118"/>
    </row>
    <row r="33" spans="1:21" x14ac:dyDescent="0.25">
      <c r="A33" s="48">
        <f t="shared" si="6"/>
        <v>0</v>
      </c>
      <c r="B33" s="39" t="str">
        <f t="shared" si="8"/>
        <v/>
      </c>
      <c r="C33" s="40"/>
      <c r="D33" s="40"/>
      <c r="E33" s="40"/>
      <c r="F33" s="40"/>
      <c r="G33" s="90"/>
      <c r="H33" s="107">
        <v>28</v>
      </c>
      <c r="I33" s="108" t="str">
        <f t="shared" si="4"/>
        <v/>
      </c>
      <c r="J33" s="107">
        <f t="shared" si="5"/>
        <v>-4</v>
      </c>
      <c r="K33" s="107">
        <f t="shared" si="2"/>
        <v>-40</v>
      </c>
      <c r="L33" s="107"/>
      <c r="M33" s="109">
        <f t="shared" si="3"/>
        <v>0</v>
      </c>
    </row>
    <row r="34" spans="1:21" x14ac:dyDescent="0.25">
      <c r="A34" s="49">
        <f t="shared" si="6"/>
        <v>0</v>
      </c>
      <c r="B34" s="33" t="str">
        <f t="shared" si="8"/>
        <v/>
      </c>
      <c r="C34" s="34"/>
      <c r="D34" s="34"/>
      <c r="E34" s="34"/>
      <c r="F34" s="34"/>
      <c r="G34" s="90"/>
      <c r="H34" s="104">
        <v>29</v>
      </c>
      <c r="I34" s="105" t="str">
        <f t="shared" si="4"/>
        <v/>
      </c>
      <c r="J34" s="104">
        <f t="shared" si="5"/>
        <v>-4</v>
      </c>
      <c r="K34" s="104">
        <f t="shared" si="2"/>
        <v>-40</v>
      </c>
      <c r="L34" s="104"/>
      <c r="M34" s="106">
        <f t="shared" si="3"/>
        <v>0</v>
      </c>
    </row>
    <row r="35" spans="1:21" x14ac:dyDescent="0.25">
      <c r="A35" s="48">
        <f t="shared" si="6"/>
        <v>0</v>
      </c>
      <c r="B35" s="39" t="str">
        <f t="shared" si="8"/>
        <v/>
      </c>
      <c r="C35" s="40"/>
      <c r="D35" s="40"/>
      <c r="E35" s="40"/>
      <c r="F35" s="40"/>
      <c r="G35" s="90"/>
      <c r="H35" s="107">
        <v>30</v>
      </c>
      <c r="I35" s="108" t="str">
        <f t="shared" si="4"/>
        <v/>
      </c>
      <c r="J35" s="107">
        <f t="shared" si="5"/>
        <v>-4</v>
      </c>
      <c r="K35" s="107">
        <f t="shared" si="2"/>
        <v>-40</v>
      </c>
      <c r="L35" s="107"/>
      <c r="M35" s="109">
        <f t="shared" si="3"/>
        <v>0</v>
      </c>
    </row>
    <row r="36" spans="1:21" x14ac:dyDescent="0.25">
      <c r="A36" s="49">
        <f t="shared" si="6"/>
        <v>0</v>
      </c>
      <c r="B36" s="33" t="str">
        <f t="shared" si="8"/>
        <v/>
      </c>
      <c r="C36" s="34"/>
      <c r="D36" s="34"/>
      <c r="E36" s="34"/>
      <c r="F36" s="34"/>
      <c r="G36" s="90"/>
      <c r="H36" s="104">
        <v>31</v>
      </c>
      <c r="I36" s="105" t="str">
        <f t="shared" si="4"/>
        <v/>
      </c>
      <c r="J36" s="104">
        <f t="shared" si="5"/>
        <v>-4</v>
      </c>
      <c r="K36" s="104">
        <f t="shared" si="2"/>
        <v>-40</v>
      </c>
      <c r="L36" s="104"/>
      <c r="M36" s="106">
        <f t="shared" si="3"/>
        <v>0</v>
      </c>
      <c r="R36" s="117"/>
      <c r="S36" s="118"/>
    </row>
    <row r="37" spans="1:21" x14ac:dyDescent="0.25">
      <c r="A37" s="48">
        <f t="shared" si="6"/>
        <v>0</v>
      </c>
      <c r="B37" s="39" t="str">
        <f t="shared" si="8"/>
        <v/>
      </c>
      <c r="C37" s="40"/>
      <c r="D37" s="40"/>
      <c r="E37" s="40"/>
      <c r="F37" s="40"/>
      <c r="G37" s="90"/>
      <c r="H37" s="107">
        <v>32</v>
      </c>
      <c r="I37" s="108" t="str">
        <f t="shared" si="4"/>
        <v/>
      </c>
      <c r="J37" s="107">
        <f t="shared" si="5"/>
        <v>-4</v>
      </c>
      <c r="K37" s="107">
        <f t="shared" si="2"/>
        <v>-40</v>
      </c>
      <c r="L37" s="107"/>
      <c r="M37" s="109">
        <f t="shared" si="3"/>
        <v>0</v>
      </c>
    </row>
    <row r="38" spans="1:21" x14ac:dyDescent="0.25">
      <c r="A38" s="49"/>
      <c r="B38" s="33" t="str">
        <f t="shared" si="8"/>
        <v/>
      </c>
      <c r="C38" s="34"/>
      <c r="D38" s="34"/>
      <c r="E38" s="34"/>
      <c r="F38" s="34"/>
      <c r="G38" s="90"/>
      <c r="H38" s="104">
        <v>33</v>
      </c>
      <c r="I38" s="105" t="str">
        <f t="shared" si="4"/>
        <v/>
      </c>
      <c r="J38" s="104">
        <f t="shared" si="5"/>
        <v>-5</v>
      </c>
      <c r="K38" s="104">
        <f t="shared" si="2"/>
        <v>-50</v>
      </c>
      <c r="L38" s="104"/>
      <c r="M38" s="106">
        <f t="shared" si="3"/>
        <v>0</v>
      </c>
    </row>
    <row r="39" spans="1:21" x14ac:dyDescent="0.25">
      <c r="A39" s="48"/>
      <c r="B39" s="39" t="str">
        <f t="shared" si="8"/>
        <v/>
      </c>
      <c r="C39" s="40"/>
      <c r="D39" s="40"/>
      <c r="E39" s="40"/>
      <c r="F39" s="40"/>
      <c r="G39" s="90"/>
      <c r="H39" s="107">
        <v>34</v>
      </c>
      <c r="I39" s="108" t="str">
        <f t="shared" si="4"/>
        <v/>
      </c>
      <c r="J39" s="107">
        <f t="shared" si="5"/>
        <v>-5</v>
      </c>
      <c r="K39" s="107">
        <f t="shared" si="2"/>
        <v>-50</v>
      </c>
      <c r="L39" s="107"/>
      <c r="M39" s="109">
        <f t="shared" si="3"/>
        <v>0</v>
      </c>
    </row>
    <row r="40" spans="1:21" x14ac:dyDescent="0.25">
      <c r="A40" s="49"/>
      <c r="B40" s="33" t="str">
        <f t="shared" si="8"/>
        <v/>
      </c>
      <c r="C40" s="34"/>
      <c r="D40" s="34"/>
      <c r="E40" s="34"/>
      <c r="F40" s="34"/>
      <c r="G40" s="90"/>
      <c r="H40" s="104">
        <v>35</v>
      </c>
      <c r="I40" s="105" t="str">
        <f t="shared" si="4"/>
        <v/>
      </c>
      <c r="J40" s="104">
        <f t="shared" si="5"/>
        <v>-5</v>
      </c>
      <c r="K40" s="104">
        <f t="shared" si="2"/>
        <v>-50</v>
      </c>
      <c r="L40" s="104"/>
      <c r="M40" s="106">
        <f t="shared" si="3"/>
        <v>0</v>
      </c>
    </row>
    <row r="41" spans="1:21" x14ac:dyDescent="0.25">
      <c r="A41" s="48"/>
      <c r="B41" s="39" t="str">
        <f t="shared" si="8"/>
        <v/>
      </c>
      <c r="C41" s="40"/>
      <c r="D41" s="40"/>
      <c r="E41" s="40"/>
      <c r="F41" s="40"/>
      <c r="G41" s="90"/>
      <c r="H41" s="107">
        <v>36</v>
      </c>
      <c r="I41" s="108" t="str">
        <f t="shared" si="4"/>
        <v/>
      </c>
      <c r="J41" s="107">
        <f t="shared" si="5"/>
        <v>-5</v>
      </c>
      <c r="K41" s="107">
        <f t="shared" si="2"/>
        <v>-50</v>
      </c>
      <c r="L41" s="107"/>
      <c r="M41" s="109">
        <f t="shared" si="3"/>
        <v>0</v>
      </c>
      <c r="S41" s="119"/>
    </row>
    <row r="42" spans="1:21" x14ac:dyDescent="0.25">
      <c r="A42" s="49"/>
      <c r="B42" s="33" t="str">
        <f t="shared" si="8"/>
        <v/>
      </c>
      <c r="C42" s="34"/>
      <c r="D42" s="34"/>
      <c r="E42" s="34"/>
      <c r="F42" s="34"/>
      <c r="G42" s="90"/>
      <c r="H42" s="104">
        <v>37</v>
      </c>
      <c r="I42" s="105" t="str">
        <f t="shared" si="4"/>
        <v/>
      </c>
      <c r="J42" s="104">
        <f t="shared" si="5"/>
        <v>-5</v>
      </c>
      <c r="K42" s="104">
        <f t="shared" si="2"/>
        <v>-50</v>
      </c>
      <c r="L42" s="104"/>
      <c r="M42" s="106">
        <f t="shared" si="3"/>
        <v>0</v>
      </c>
    </row>
    <row r="43" spans="1:21" x14ac:dyDescent="0.25">
      <c r="A43" s="48"/>
      <c r="B43" s="39" t="str">
        <f t="shared" si="8"/>
        <v/>
      </c>
      <c r="C43" s="40"/>
      <c r="D43" s="40"/>
      <c r="E43" s="40"/>
      <c r="F43" s="40"/>
      <c r="G43" s="90"/>
      <c r="H43" s="107">
        <v>38</v>
      </c>
      <c r="I43" s="108" t="str">
        <f t="shared" si="4"/>
        <v/>
      </c>
      <c r="J43" s="107">
        <f t="shared" si="5"/>
        <v>-5</v>
      </c>
      <c r="K43" s="107">
        <f t="shared" si="2"/>
        <v>-50</v>
      </c>
      <c r="L43" s="107"/>
      <c r="M43" s="109">
        <f t="shared" si="3"/>
        <v>0</v>
      </c>
    </row>
    <row r="44" spans="1:21" x14ac:dyDescent="0.25">
      <c r="A44" s="49"/>
      <c r="B44" s="33" t="str">
        <f t="shared" si="8"/>
        <v/>
      </c>
      <c r="C44" s="34"/>
      <c r="D44" s="34"/>
      <c r="E44" s="34"/>
      <c r="F44" s="34"/>
      <c r="G44" s="90"/>
      <c r="H44" s="104">
        <v>39</v>
      </c>
      <c r="I44" s="105" t="str">
        <f t="shared" si="4"/>
        <v/>
      </c>
      <c r="J44" s="104">
        <f t="shared" si="5"/>
        <v>-5</v>
      </c>
      <c r="K44" s="104">
        <f t="shared" si="2"/>
        <v>-50</v>
      </c>
      <c r="L44" s="104"/>
      <c r="M44" s="106">
        <f t="shared" si="3"/>
        <v>0</v>
      </c>
    </row>
    <row r="45" spans="1:21" x14ac:dyDescent="0.25">
      <c r="A45" s="48"/>
      <c r="B45" s="39" t="str">
        <f t="shared" si="8"/>
        <v/>
      </c>
      <c r="C45" s="40"/>
      <c r="D45" s="40"/>
      <c r="E45" s="40"/>
      <c r="F45" s="40"/>
      <c r="G45" s="90"/>
      <c r="H45" s="107">
        <v>40</v>
      </c>
      <c r="I45" s="108" t="str">
        <f t="shared" si="4"/>
        <v/>
      </c>
      <c r="J45" s="107">
        <f t="shared" si="5"/>
        <v>-5</v>
      </c>
      <c r="K45" s="107">
        <f t="shared" si="2"/>
        <v>-50</v>
      </c>
      <c r="L45" s="107"/>
      <c r="M45" s="109">
        <f t="shared" si="3"/>
        <v>0</v>
      </c>
    </row>
    <row r="46" spans="1:21" x14ac:dyDescent="0.25">
      <c r="A46" s="49"/>
      <c r="B46" s="33" t="str">
        <f t="shared" si="8"/>
        <v/>
      </c>
      <c r="C46" s="34"/>
      <c r="D46" s="34"/>
      <c r="E46" s="34"/>
      <c r="F46" s="34"/>
      <c r="G46" s="90"/>
      <c r="H46" s="104">
        <v>41</v>
      </c>
      <c r="I46" s="105" t="str">
        <f t="shared" si="4"/>
        <v/>
      </c>
      <c r="J46" s="104">
        <f t="shared" si="5"/>
        <v>-5</v>
      </c>
      <c r="K46" s="104">
        <f t="shared" si="2"/>
        <v>-50</v>
      </c>
      <c r="L46" s="104"/>
      <c r="M46" s="106">
        <f t="shared" si="3"/>
        <v>0</v>
      </c>
      <c r="R46" s="90">
        <f>LOG($H$2,2)</f>
        <v>1</v>
      </c>
      <c r="T46" s="95">
        <f>LOG(H38,2)</f>
        <v>5.0443941193584534</v>
      </c>
      <c r="U46" s="95">
        <f>R46-T46</f>
        <v>-4.0443941193584534</v>
      </c>
    </row>
    <row r="47" spans="1:21" x14ac:dyDescent="0.25">
      <c r="A47" s="48"/>
      <c r="B47" s="39" t="str">
        <f t="shared" si="8"/>
        <v/>
      </c>
      <c r="C47" s="40"/>
      <c r="D47" s="40"/>
      <c r="E47" s="40"/>
      <c r="F47" s="40"/>
      <c r="G47" s="90"/>
      <c r="H47" s="107">
        <v>42</v>
      </c>
      <c r="I47" s="108" t="str">
        <f t="shared" si="4"/>
        <v/>
      </c>
      <c r="J47" s="107">
        <f t="shared" si="5"/>
        <v>-5</v>
      </c>
      <c r="K47" s="107">
        <f t="shared" si="2"/>
        <v>-50</v>
      </c>
      <c r="L47" s="107"/>
      <c r="M47" s="109">
        <f t="shared" si="3"/>
        <v>0</v>
      </c>
    </row>
    <row r="48" spans="1:21" x14ac:dyDescent="0.25">
      <c r="A48" s="49"/>
      <c r="B48" s="33" t="str">
        <f t="shared" si="8"/>
        <v/>
      </c>
      <c r="C48" s="34"/>
      <c r="D48" s="34"/>
      <c r="E48" s="34"/>
      <c r="F48" s="34"/>
      <c r="G48" s="90"/>
      <c r="H48" s="104">
        <v>43</v>
      </c>
      <c r="I48" s="105" t="str">
        <f t="shared" si="4"/>
        <v/>
      </c>
      <c r="J48" s="104">
        <f t="shared" si="5"/>
        <v>-5</v>
      </c>
      <c r="K48" s="104">
        <f t="shared" si="2"/>
        <v>-50</v>
      </c>
      <c r="L48" s="104"/>
      <c r="M48" s="106">
        <f t="shared" si="3"/>
        <v>0</v>
      </c>
    </row>
    <row r="49" spans="1:13" x14ac:dyDescent="0.25">
      <c r="A49" s="48"/>
      <c r="B49" s="39" t="str">
        <f t="shared" si="8"/>
        <v/>
      </c>
      <c r="C49" s="40"/>
      <c r="D49" s="40"/>
      <c r="E49" s="40"/>
      <c r="F49" s="40"/>
      <c r="G49" s="90"/>
      <c r="H49" s="107">
        <v>44</v>
      </c>
      <c r="I49" s="108" t="str">
        <f t="shared" si="4"/>
        <v/>
      </c>
      <c r="J49" s="107">
        <f t="shared" si="5"/>
        <v>-5</v>
      </c>
      <c r="K49" s="107">
        <f t="shared" si="2"/>
        <v>-50</v>
      </c>
      <c r="L49" s="107"/>
      <c r="M49" s="109">
        <f t="shared" si="3"/>
        <v>0</v>
      </c>
    </row>
    <row r="50" spans="1:13" x14ac:dyDescent="0.25">
      <c r="A50" s="49"/>
      <c r="B50" s="33" t="str">
        <f t="shared" si="8"/>
        <v/>
      </c>
      <c r="C50" s="34"/>
      <c r="D50" s="34"/>
      <c r="E50" s="34"/>
      <c r="F50" s="34"/>
      <c r="G50" s="90"/>
      <c r="H50" s="104">
        <v>45</v>
      </c>
      <c r="I50" s="105" t="str">
        <f t="shared" si="4"/>
        <v/>
      </c>
      <c r="J50" s="104">
        <f t="shared" si="5"/>
        <v>-5</v>
      </c>
      <c r="K50" s="104">
        <f t="shared" si="2"/>
        <v>-50</v>
      </c>
      <c r="L50" s="104"/>
      <c r="M50" s="106">
        <f t="shared" si="3"/>
        <v>0</v>
      </c>
    </row>
    <row r="51" spans="1:13" x14ac:dyDescent="0.25">
      <c r="A51" s="48"/>
      <c r="B51" s="39" t="str">
        <f t="shared" si="8"/>
        <v/>
      </c>
      <c r="C51" s="40"/>
      <c r="D51" s="40"/>
      <c r="E51" s="40"/>
      <c r="F51" s="40"/>
      <c r="G51" s="90"/>
      <c r="H51" s="107">
        <v>46</v>
      </c>
      <c r="I51" s="108" t="str">
        <f t="shared" si="4"/>
        <v/>
      </c>
      <c r="J51" s="107">
        <f t="shared" si="5"/>
        <v>-5</v>
      </c>
      <c r="K51" s="107">
        <f t="shared" si="2"/>
        <v>-50</v>
      </c>
      <c r="L51" s="107"/>
      <c r="M51" s="109">
        <f t="shared" si="3"/>
        <v>0</v>
      </c>
    </row>
    <row r="52" spans="1:13" x14ac:dyDescent="0.25">
      <c r="A52" s="49"/>
      <c r="B52" s="33" t="str">
        <f t="shared" si="8"/>
        <v/>
      </c>
      <c r="C52" s="34"/>
      <c r="D52" s="34"/>
      <c r="E52" s="34"/>
      <c r="F52" s="34"/>
      <c r="G52" s="90"/>
      <c r="H52" s="104">
        <v>47</v>
      </c>
      <c r="I52" s="105" t="str">
        <f t="shared" si="4"/>
        <v/>
      </c>
      <c r="J52" s="104">
        <f t="shared" si="5"/>
        <v>-5</v>
      </c>
      <c r="K52" s="104">
        <f t="shared" si="2"/>
        <v>-50</v>
      </c>
      <c r="L52" s="104"/>
      <c r="M52" s="106">
        <f t="shared" si="3"/>
        <v>0</v>
      </c>
    </row>
    <row r="53" spans="1:13" x14ac:dyDescent="0.25">
      <c r="A53" s="48"/>
      <c r="B53" s="39" t="str">
        <f t="shared" si="8"/>
        <v/>
      </c>
      <c r="C53" s="40"/>
      <c r="D53" s="40"/>
      <c r="E53" s="40"/>
      <c r="F53" s="40"/>
      <c r="G53" s="90"/>
      <c r="H53" s="107">
        <v>48</v>
      </c>
      <c r="I53" s="108" t="str">
        <f t="shared" si="4"/>
        <v/>
      </c>
      <c r="J53" s="107">
        <f t="shared" si="5"/>
        <v>-5</v>
      </c>
      <c r="K53" s="107">
        <f t="shared" si="2"/>
        <v>-50</v>
      </c>
      <c r="L53" s="107"/>
      <c r="M53" s="109">
        <f t="shared" si="3"/>
        <v>0</v>
      </c>
    </row>
    <row r="54" spans="1:13" x14ac:dyDescent="0.25">
      <c r="A54" s="49"/>
      <c r="B54" s="33" t="str">
        <f t="shared" si="8"/>
        <v/>
      </c>
      <c r="C54" s="34"/>
      <c r="D54" s="34"/>
      <c r="E54" s="34"/>
      <c r="F54" s="34"/>
      <c r="G54" s="90"/>
      <c r="H54" s="104">
        <v>49</v>
      </c>
      <c r="I54" s="105" t="str">
        <f t="shared" si="4"/>
        <v/>
      </c>
      <c r="J54" s="104">
        <f t="shared" si="5"/>
        <v>-5</v>
      </c>
      <c r="K54" s="104">
        <f t="shared" si="2"/>
        <v>-50</v>
      </c>
      <c r="L54" s="104"/>
      <c r="M54" s="106">
        <f t="shared" si="3"/>
        <v>0</v>
      </c>
    </row>
    <row r="55" spans="1:13" x14ac:dyDescent="0.25">
      <c r="A55" s="48"/>
      <c r="B55" s="39" t="str">
        <f t="shared" si="8"/>
        <v/>
      </c>
      <c r="C55" s="40"/>
      <c r="D55" s="40"/>
      <c r="E55" s="40"/>
      <c r="F55" s="40"/>
      <c r="G55" s="90"/>
      <c r="H55" s="107">
        <v>50</v>
      </c>
      <c r="I55" s="108" t="str">
        <f t="shared" si="4"/>
        <v/>
      </c>
      <c r="J55" s="107">
        <f t="shared" si="5"/>
        <v>-5</v>
      </c>
      <c r="K55" s="107">
        <f t="shared" si="2"/>
        <v>-50</v>
      </c>
      <c r="L55" s="107"/>
      <c r="M55" s="109">
        <f t="shared" si="3"/>
        <v>0</v>
      </c>
    </row>
    <row r="56" spans="1:13" x14ac:dyDescent="0.25">
      <c r="A56" s="49"/>
      <c r="B56" s="33" t="str">
        <f t="shared" si="8"/>
        <v/>
      </c>
      <c r="C56" s="34"/>
      <c r="D56" s="34"/>
      <c r="E56" s="34"/>
      <c r="F56" s="34"/>
      <c r="G56" s="90"/>
      <c r="H56" s="104">
        <v>51</v>
      </c>
      <c r="I56" s="105" t="str">
        <f t="shared" si="4"/>
        <v/>
      </c>
      <c r="J56" s="104">
        <f t="shared" si="5"/>
        <v>-5</v>
      </c>
      <c r="K56" s="104">
        <f t="shared" si="2"/>
        <v>-50</v>
      </c>
      <c r="L56" s="104"/>
      <c r="M56" s="106">
        <f t="shared" si="3"/>
        <v>0</v>
      </c>
    </row>
    <row r="57" spans="1:13" x14ac:dyDescent="0.25">
      <c r="A57" s="48"/>
      <c r="B57" s="39" t="str">
        <f t="shared" si="8"/>
        <v/>
      </c>
      <c r="C57" s="40"/>
      <c r="D57" s="40"/>
      <c r="E57" s="40"/>
      <c r="F57" s="40"/>
      <c r="G57" s="90"/>
      <c r="H57" s="107">
        <v>52</v>
      </c>
      <c r="I57" s="108" t="str">
        <f t="shared" si="4"/>
        <v/>
      </c>
      <c r="J57" s="107">
        <f t="shared" si="5"/>
        <v>-5</v>
      </c>
      <c r="K57" s="107">
        <f t="shared" si="2"/>
        <v>-50</v>
      </c>
      <c r="L57" s="107"/>
      <c r="M57" s="109">
        <f t="shared" si="3"/>
        <v>0</v>
      </c>
    </row>
    <row r="58" spans="1:13" x14ac:dyDescent="0.25">
      <c r="A58" s="49"/>
      <c r="B58" s="33" t="str">
        <f t="shared" si="8"/>
        <v/>
      </c>
      <c r="C58" s="34"/>
      <c r="D58" s="34"/>
      <c r="E58" s="34"/>
      <c r="F58" s="34"/>
      <c r="G58" s="90"/>
      <c r="H58" s="104">
        <v>53</v>
      </c>
      <c r="I58" s="105" t="str">
        <f t="shared" si="4"/>
        <v/>
      </c>
      <c r="J58" s="104">
        <f t="shared" si="5"/>
        <v>-5</v>
      </c>
      <c r="K58" s="104">
        <f t="shared" si="2"/>
        <v>-50</v>
      </c>
      <c r="L58" s="104"/>
      <c r="M58" s="106">
        <f t="shared" si="3"/>
        <v>0</v>
      </c>
    </row>
    <row r="59" spans="1:13" x14ac:dyDescent="0.25">
      <c r="A59" s="48"/>
      <c r="B59" s="39" t="str">
        <f t="shared" si="8"/>
        <v/>
      </c>
      <c r="C59" s="40"/>
      <c r="D59" s="40"/>
      <c r="E59" s="40"/>
      <c r="F59" s="40"/>
      <c r="G59" s="90"/>
      <c r="H59" s="107">
        <v>54</v>
      </c>
      <c r="I59" s="108" t="str">
        <f t="shared" si="4"/>
        <v/>
      </c>
      <c r="J59" s="107">
        <f t="shared" si="5"/>
        <v>-5</v>
      </c>
      <c r="K59" s="107">
        <f t="shared" si="2"/>
        <v>-50</v>
      </c>
      <c r="L59" s="107"/>
      <c r="M59" s="109">
        <f t="shared" si="3"/>
        <v>0</v>
      </c>
    </row>
    <row r="60" spans="1:13" x14ac:dyDescent="0.25">
      <c r="A60" s="49"/>
      <c r="B60" s="33" t="str">
        <f t="shared" si="8"/>
        <v/>
      </c>
      <c r="C60" s="34"/>
      <c r="D60" s="34"/>
      <c r="E60" s="34"/>
      <c r="F60" s="34"/>
      <c r="G60" s="90"/>
      <c r="H60" s="104">
        <v>55</v>
      </c>
      <c r="I60" s="105" t="str">
        <f t="shared" si="4"/>
        <v/>
      </c>
      <c r="J60" s="104">
        <f t="shared" si="5"/>
        <v>-5</v>
      </c>
      <c r="K60" s="104">
        <f t="shared" si="2"/>
        <v>-50</v>
      </c>
      <c r="L60" s="104"/>
      <c r="M60" s="106">
        <f t="shared" si="3"/>
        <v>0</v>
      </c>
    </row>
    <row r="61" spans="1:13" x14ac:dyDescent="0.25">
      <c r="A61" s="48"/>
      <c r="B61" s="39" t="str">
        <f t="shared" si="8"/>
        <v/>
      </c>
      <c r="C61" s="40"/>
      <c r="D61" s="40"/>
      <c r="E61" s="40"/>
      <c r="F61" s="40"/>
      <c r="G61" s="90"/>
      <c r="H61" s="107">
        <v>56</v>
      </c>
      <c r="I61" s="108" t="str">
        <f t="shared" si="4"/>
        <v/>
      </c>
      <c r="J61" s="107">
        <f t="shared" si="5"/>
        <v>-5</v>
      </c>
      <c r="K61" s="107">
        <f t="shared" si="2"/>
        <v>-50</v>
      </c>
      <c r="L61" s="107"/>
      <c r="M61" s="109">
        <f t="shared" si="3"/>
        <v>0</v>
      </c>
    </row>
    <row r="62" spans="1:13" x14ac:dyDescent="0.25">
      <c r="A62" s="49"/>
      <c r="B62" s="33" t="str">
        <f t="shared" si="8"/>
        <v/>
      </c>
      <c r="C62" s="34"/>
      <c r="D62" s="34"/>
      <c r="E62" s="34"/>
      <c r="F62" s="34"/>
      <c r="G62" s="90"/>
      <c r="H62" s="104">
        <v>57</v>
      </c>
      <c r="I62" s="105" t="str">
        <f t="shared" si="4"/>
        <v/>
      </c>
      <c r="J62" s="104">
        <f t="shared" si="5"/>
        <v>-5</v>
      </c>
      <c r="K62" s="104">
        <f t="shared" si="2"/>
        <v>-50</v>
      </c>
      <c r="L62" s="104"/>
      <c r="M62" s="106">
        <f t="shared" si="3"/>
        <v>0</v>
      </c>
    </row>
    <row r="63" spans="1:13" x14ac:dyDescent="0.25">
      <c r="A63" s="48"/>
      <c r="B63" s="39" t="str">
        <f t="shared" si="8"/>
        <v/>
      </c>
      <c r="C63" s="40"/>
      <c r="D63" s="40"/>
      <c r="E63" s="40"/>
      <c r="F63" s="40"/>
      <c r="G63" s="90"/>
      <c r="H63" s="107">
        <v>58</v>
      </c>
      <c r="I63" s="108" t="str">
        <f t="shared" si="4"/>
        <v/>
      </c>
      <c r="J63" s="107">
        <f t="shared" si="5"/>
        <v>-5</v>
      </c>
      <c r="K63" s="107">
        <f t="shared" si="2"/>
        <v>-50</v>
      </c>
      <c r="L63" s="107"/>
      <c r="M63" s="109">
        <f t="shared" si="3"/>
        <v>0</v>
      </c>
    </row>
    <row r="64" spans="1:13" x14ac:dyDescent="0.25">
      <c r="A64" s="49"/>
      <c r="B64" s="33" t="str">
        <f t="shared" si="8"/>
        <v/>
      </c>
      <c r="C64" s="34"/>
      <c r="D64" s="34"/>
      <c r="E64" s="34"/>
      <c r="F64" s="34"/>
      <c r="G64" s="90"/>
      <c r="H64" s="104">
        <v>59</v>
      </c>
      <c r="I64" s="105" t="str">
        <f t="shared" si="4"/>
        <v/>
      </c>
      <c r="J64" s="104">
        <f t="shared" si="5"/>
        <v>-5</v>
      </c>
      <c r="K64" s="104">
        <f t="shared" si="2"/>
        <v>-50</v>
      </c>
      <c r="L64" s="104"/>
      <c r="M64" s="106">
        <f t="shared" si="3"/>
        <v>0</v>
      </c>
    </row>
    <row r="65" spans="1:13" x14ac:dyDescent="0.25">
      <c r="A65" s="48"/>
      <c r="B65" s="39" t="str">
        <f t="shared" si="8"/>
        <v/>
      </c>
      <c r="C65" s="40"/>
      <c r="D65" s="40"/>
      <c r="E65" s="40"/>
      <c r="F65" s="40"/>
      <c r="G65" s="90"/>
      <c r="H65" s="107">
        <v>60</v>
      </c>
      <c r="I65" s="108" t="str">
        <f t="shared" si="4"/>
        <v/>
      </c>
      <c r="J65" s="107">
        <f t="shared" si="5"/>
        <v>-5</v>
      </c>
      <c r="K65" s="107">
        <f t="shared" si="2"/>
        <v>-50</v>
      </c>
      <c r="L65" s="107"/>
      <c r="M65" s="109">
        <f t="shared" si="3"/>
        <v>0</v>
      </c>
    </row>
    <row r="66" spans="1:13" x14ac:dyDescent="0.25">
      <c r="A66" s="120"/>
      <c r="B66" s="33"/>
      <c r="G66" s="90"/>
      <c r="H66" s="104">
        <v>61</v>
      </c>
      <c r="I66" s="105" t="str">
        <f t="shared" si="4"/>
        <v/>
      </c>
      <c r="J66" s="104">
        <f t="shared" si="5"/>
        <v>-5</v>
      </c>
      <c r="K66" s="104">
        <f t="shared" si="2"/>
        <v>-50</v>
      </c>
      <c r="L66" s="104"/>
      <c r="M66" s="106">
        <f t="shared" si="3"/>
        <v>0</v>
      </c>
    </row>
    <row r="67" spans="1:13" x14ac:dyDescent="0.25">
      <c r="A67" s="120"/>
      <c r="B67" s="39"/>
      <c r="G67" s="90"/>
      <c r="H67" s="104">
        <v>62</v>
      </c>
      <c r="I67" s="105" t="str">
        <f t="shared" si="4"/>
        <v/>
      </c>
      <c r="J67" s="104">
        <f t="shared" si="5"/>
        <v>-5</v>
      </c>
      <c r="K67" s="104">
        <f t="shared" si="2"/>
        <v>-50</v>
      </c>
      <c r="L67" s="104"/>
      <c r="M67" s="106">
        <f t="shared" si="3"/>
        <v>0</v>
      </c>
    </row>
    <row r="68" spans="1:13" x14ac:dyDescent="0.25">
      <c r="A68" s="120"/>
      <c r="B68" s="33"/>
      <c r="G68" s="90"/>
      <c r="H68" s="104">
        <v>63</v>
      </c>
      <c r="I68" s="105" t="str">
        <f t="shared" si="4"/>
        <v/>
      </c>
      <c r="J68" s="104">
        <f t="shared" si="5"/>
        <v>-5</v>
      </c>
      <c r="K68" s="104">
        <f t="shared" si="2"/>
        <v>-50</v>
      </c>
      <c r="L68" s="104"/>
      <c r="M68" s="106">
        <f t="shared" si="3"/>
        <v>0</v>
      </c>
    </row>
    <row r="69" spans="1:13" x14ac:dyDescent="0.25">
      <c r="A69" s="120"/>
      <c r="B69" s="39"/>
      <c r="G69" s="90"/>
      <c r="H69" s="104">
        <v>64</v>
      </c>
      <c r="I69" s="105" t="str">
        <f t="shared" si="4"/>
        <v/>
      </c>
      <c r="J69" s="104">
        <f t="shared" si="5"/>
        <v>-5</v>
      </c>
      <c r="K69" s="104">
        <f t="shared" si="2"/>
        <v>-50</v>
      </c>
      <c r="L69" s="104"/>
      <c r="M69" s="106">
        <f t="shared" si="3"/>
        <v>0</v>
      </c>
    </row>
    <row r="70" spans="1:13" x14ac:dyDescent="0.25">
      <c r="A70" s="120"/>
      <c r="G70" s="90"/>
      <c r="H70" s="104">
        <v>65</v>
      </c>
      <c r="I70" s="105" t="str">
        <f t="shared" si="4"/>
        <v/>
      </c>
      <c r="J70" s="104">
        <f t="shared" si="5"/>
        <v>-6</v>
      </c>
      <c r="K70" s="104">
        <f t="shared" ref="K70:K133" si="9">J70*$J$2</f>
        <v>-60</v>
      </c>
      <c r="L70" s="104"/>
      <c r="M70" s="106">
        <f t="shared" ref="M70:M133" si="10">IF(I70&lt;&gt;"",K70+I70+L70,0)</f>
        <v>0</v>
      </c>
    </row>
    <row r="71" spans="1:13" x14ac:dyDescent="0.25">
      <c r="A71" s="120"/>
      <c r="G71" s="90"/>
      <c r="H71" s="104">
        <v>66</v>
      </c>
      <c r="I71" s="105" t="str">
        <f t="shared" ref="I71:I134" si="11">IF(H71&lt;$H$2+1,($I$2-($I$2-1)*(LOG(H71)/LOG($H$2))),"")</f>
        <v/>
      </c>
      <c r="J71" s="104">
        <f t="shared" ref="J71:J134" si="12">INT(LOG($H$2,2))-ROUNDUP(LOG(H71,2),0)+IF(OR($H$2=1,$H$2=2,$H$2=4,$H$2=8,$H$2=16,$H$2=32,$H$2=64,$H$2=128,$H$2=256),0,1)</f>
        <v>-6</v>
      </c>
      <c r="K71" s="104">
        <f t="shared" si="9"/>
        <v>-60</v>
      </c>
      <c r="L71" s="104"/>
      <c r="M71" s="106">
        <f t="shared" si="10"/>
        <v>0</v>
      </c>
    </row>
    <row r="72" spans="1:13" x14ac:dyDescent="0.25">
      <c r="A72" s="120"/>
      <c r="G72" s="90"/>
      <c r="H72" s="104">
        <v>67</v>
      </c>
      <c r="I72" s="105" t="str">
        <f t="shared" si="11"/>
        <v/>
      </c>
      <c r="J72" s="104">
        <f t="shared" si="12"/>
        <v>-6</v>
      </c>
      <c r="K72" s="104">
        <f t="shared" si="9"/>
        <v>-60</v>
      </c>
      <c r="L72" s="104"/>
      <c r="M72" s="106">
        <f t="shared" si="10"/>
        <v>0</v>
      </c>
    </row>
    <row r="73" spans="1:13" x14ac:dyDescent="0.25">
      <c r="A73" s="120"/>
      <c r="G73" s="90"/>
      <c r="H73" s="104">
        <v>68</v>
      </c>
      <c r="I73" s="105" t="str">
        <f t="shared" si="11"/>
        <v/>
      </c>
      <c r="J73" s="104">
        <f t="shared" si="12"/>
        <v>-6</v>
      </c>
      <c r="K73" s="104">
        <f t="shared" si="9"/>
        <v>-60</v>
      </c>
      <c r="L73" s="104"/>
      <c r="M73" s="106">
        <f t="shared" si="10"/>
        <v>0</v>
      </c>
    </row>
    <row r="74" spans="1:13" x14ac:dyDescent="0.25">
      <c r="A74" s="120"/>
      <c r="G74" s="90"/>
      <c r="H74" s="104">
        <v>69</v>
      </c>
      <c r="I74" s="105" t="str">
        <f t="shared" si="11"/>
        <v/>
      </c>
      <c r="J74" s="104">
        <f t="shared" si="12"/>
        <v>-6</v>
      </c>
      <c r="K74" s="104">
        <f t="shared" si="9"/>
        <v>-60</v>
      </c>
      <c r="L74" s="104"/>
      <c r="M74" s="106">
        <f t="shared" si="10"/>
        <v>0</v>
      </c>
    </row>
    <row r="75" spans="1:13" x14ac:dyDescent="0.25">
      <c r="A75" s="120"/>
      <c r="G75" s="90"/>
      <c r="H75" s="104">
        <v>70</v>
      </c>
      <c r="I75" s="105" t="str">
        <f t="shared" si="11"/>
        <v/>
      </c>
      <c r="J75" s="104">
        <f t="shared" si="12"/>
        <v>-6</v>
      </c>
      <c r="K75" s="104">
        <f t="shared" si="9"/>
        <v>-60</v>
      </c>
      <c r="L75" s="104"/>
      <c r="M75" s="106">
        <f t="shared" si="10"/>
        <v>0</v>
      </c>
    </row>
    <row r="76" spans="1:13" x14ac:dyDescent="0.25">
      <c r="A76" s="120"/>
      <c r="G76" s="90"/>
      <c r="H76" s="104">
        <v>71</v>
      </c>
      <c r="I76" s="105" t="str">
        <f t="shared" si="11"/>
        <v/>
      </c>
      <c r="J76" s="104">
        <f t="shared" si="12"/>
        <v>-6</v>
      </c>
      <c r="K76" s="104">
        <f t="shared" si="9"/>
        <v>-60</v>
      </c>
      <c r="L76" s="104"/>
      <c r="M76" s="106">
        <f t="shared" si="10"/>
        <v>0</v>
      </c>
    </row>
    <row r="77" spans="1:13" x14ac:dyDescent="0.25">
      <c r="A77" s="120"/>
      <c r="G77" s="90"/>
      <c r="H77" s="104">
        <v>72</v>
      </c>
      <c r="I77" s="105" t="str">
        <f t="shared" si="11"/>
        <v/>
      </c>
      <c r="J77" s="104">
        <f t="shared" si="12"/>
        <v>-6</v>
      </c>
      <c r="K77" s="104">
        <f t="shared" si="9"/>
        <v>-60</v>
      </c>
      <c r="L77" s="104"/>
      <c r="M77" s="106">
        <f t="shared" si="10"/>
        <v>0</v>
      </c>
    </row>
    <row r="78" spans="1:13" x14ac:dyDescent="0.25">
      <c r="A78" s="120"/>
      <c r="G78" s="90"/>
      <c r="H78" s="104">
        <v>73</v>
      </c>
      <c r="I78" s="105" t="str">
        <f t="shared" si="11"/>
        <v/>
      </c>
      <c r="J78" s="104">
        <f t="shared" si="12"/>
        <v>-6</v>
      </c>
      <c r="K78" s="104">
        <f t="shared" si="9"/>
        <v>-60</v>
      </c>
      <c r="L78" s="104"/>
      <c r="M78" s="106">
        <f t="shared" si="10"/>
        <v>0</v>
      </c>
    </row>
    <row r="79" spans="1:13" x14ac:dyDescent="0.25">
      <c r="A79" s="120"/>
      <c r="G79" s="90"/>
      <c r="H79" s="104">
        <v>74</v>
      </c>
      <c r="I79" s="105" t="str">
        <f t="shared" si="11"/>
        <v/>
      </c>
      <c r="J79" s="104">
        <f t="shared" si="12"/>
        <v>-6</v>
      </c>
      <c r="K79" s="104">
        <f t="shared" si="9"/>
        <v>-60</v>
      </c>
      <c r="L79" s="104"/>
      <c r="M79" s="106">
        <f t="shared" si="10"/>
        <v>0</v>
      </c>
    </row>
    <row r="80" spans="1:13" x14ac:dyDescent="0.25">
      <c r="A80" s="120"/>
      <c r="G80" s="90"/>
      <c r="H80" s="104">
        <v>75</v>
      </c>
      <c r="I80" s="105" t="str">
        <f t="shared" si="11"/>
        <v/>
      </c>
      <c r="J80" s="104">
        <f t="shared" si="12"/>
        <v>-6</v>
      </c>
      <c r="K80" s="104">
        <f t="shared" si="9"/>
        <v>-60</v>
      </c>
      <c r="L80" s="104"/>
      <c r="M80" s="106">
        <f t="shared" si="10"/>
        <v>0</v>
      </c>
    </row>
    <row r="81" spans="1:13" x14ac:dyDescent="0.25">
      <c r="A81" s="120"/>
      <c r="G81" s="90"/>
      <c r="H81" s="104">
        <v>76</v>
      </c>
      <c r="I81" s="105" t="str">
        <f t="shared" si="11"/>
        <v/>
      </c>
      <c r="J81" s="104">
        <f t="shared" si="12"/>
        <v>-6</v>
      </c>
      <c r="K81" s="104">
        <f t="shared" si="9"/>
        <v>-60</v>
      </c>
      <c r="L81" s="104"/>
      <c r="M81" s="106">
        <f t="shared" si="10"/>
        <v>0</v>
      </c>
    </row>
    <row r="82" spans="1:13" x14ac:dyDescent="0.25">
      <c r="A82" s="120"/>
      <c r="G82" s="90"/>
      <c r="H82" s="104">
        <v>77</v>
      </c>
      <c r="I82" s="105" t="str">
        <f t="shared" si="11"/>
        <v/>
      </c>
      <c r="J82" s="104">
        <f t="shared" si="12"/>
        <v>-6</v>
      </c>
      <c r="K82" s="104">
        <f t="shared" si="9"/>
        <v>-60</v>
      </c>
      <c r="L82" s="104"/>
      <c r="M82" s="106">
        <f t="shared" si="10"/>
        <v>0</v>
      </c>
    </row>
    <row r="83" spans="1:13" x14ac:dyDescent="0.25">
      <c r="A83" s="120"/>
      <c r="G83" s="90"/>
      <c r="H83" s="104">
        <v>78</v>
      </c>
      <c r="I83" s="105" t="str">
        <f t="shared" si="11"/>
        <v/>
      </c>
      <c r="J83" s="104">
        <f t="shared" si="12"/>
        <v>-6</v>
      </c>
      <c r="K83" s="104">
        <f t="shared" si="9"/>
        <v>-60</v>
      </c>
      <c r="L83" s="104"/>
      <c r="M83" s="106">
        <f t="shared" si="10"/>
        <v>0</v>
      </c>
    </row>
    <row r="84" spans="1:13" x14ac:dyDescent="0.25">
      <c r="A84" s="120"/>
      <c r="G84" s="90"/>
      <c r="H84" s="104">
        <v>79</v>
      </c>
      <c r="I84" s="105" t="str">
        <f t="shared" si="11"/>
        <v/>
      </c>
      <c r="J84" s="104">
        <f t="shared" si="12"/>
        <v>-6</v>
      </c>
      <c r="K84" s="104">
        <f t="shared" si="9"/>
        <v>-60</v>
      </c>
      <c r="L84" s="104"/>
      <c r="M84" s="106">
        <f t="shared" si="10"/>
        <v>0</v>
      </c>
    </row>
    <row r="85" spans="1:13" x14ac:dyDescent="0.25">
      <c r="A85" s="120"/>
      <c r="G85" s="90"/>
      <c r="H85" s="104">
        <v>80</v>
      </c>
      <c r="I85" s="105" t="str">
        <f t="shared" si="11"/>
        <v/>
      </c>
      <c r="J85" s="104">
        <f t="shared" si="12"/>
        <v>-6</v>
      </c>
      <c r="K85" s="104">
        <f t="shared" si="9"/>
        <v>-60</v>
      </c>
      <c r="L85" s="104"/>
      <c r="M85" s="106">
        <f t="shared" si="10"/>
        <v>0</v>
      </c>
    </row>
    <row r="86" spans="1:13" x14ac:dyDescent="0.25">
      <c r="A86" s="120"/>
      <c r="G86" s="90"/>
      <c r="H86" s="104">
        <v>81</v>
      </c>
      <c r="I86" s="105" t="str">
        <f t="shared" si="11"/>
        <v/>
      </c>
      <c r="J86" s="104">
        <f t="shared" si="12"/>
        <v>-6</v>
      </c>
      <c r="K86" s="104">
        <f t="shared" si="9"/>
        <v>-60</v>
      </c>
      <c r="L86" s="104"/>
      <c r="M86" s="106">
        <f t="shared" si="10"/>
        <v>0</v>
      </c>
    </row>
    <row r="87" spans="1:13" x14ac:dyDescent="0.25">
      <c r="A87" s="120"/>
      <c r="G87" s="90"/>
      <c r="H87" s="104">
        <v>82</v>
      </c>
      <c r="I87" s="105" t="str">
        <f t="shared" si="11"/>
        <v/>
      </c>
      <c r="J87" s="104">
        <f t="shared" si="12"/>
        <v>-6</v>
      </c>
      <c r="K87" s="104">
        <f t="shared" si="9"/>
        <v>-60</v>
      </c>
      <c r="L87" s="104"/>
      <c r="M87" s="106">
        <f t="shared" si="10"/>
        <v>0</v>
      </c>
    </row>
    <row r="88" spans="1:13" x14ac:dyDescent="0.25">
      <c r="A88" s="120"/>
      <c r="G88" s="90"/>
      <c r="H88" s="104">
        <v>83</v>
      </c>
      <c r="I88" s="105" t="str">
        <f t="shared" si="11"/>
        <v/>
      </c>
      <c r="J88" s="104">
        <f t="shared" si="12"/>
        <v>-6</v>
      </c>
      <c r="K88" s="104">
        <f t="shared" si="9"/>
        <v>-60</v>
      </c>
      <c r="L88" s="104"/>
      <c r="M88" s="106">
        <f t="shared" si="10"/>
        <v>0</v>
      </c>
    </row>
    <row r="89" spans="1:13" x14ac:dyDescent="0.25">
      <c r="A89" s="120"/>
      <c r="G89" s="90"/>
      <c r="H89" s="104">
        <v>84</v>
      </c>
      <c r="I89" s="105" t="str">
        <f t="shared" si="11"/>
        <v/>
      </c>
      <c r="J89" s="104">
        <f t="shared" si="12"/>
        <v>-6</v>
      </c>
      <c r="K89" s="104">
        <f t="shared" si="9"/>
        <v>-60</v>
      </c>
      <c r="L89" s="104"/>
      <c r="M89" s="106">
        <f t="shared" si="10"/>
        <v>0</v>
      </c>
    </row>
    <row r="90" spans="1:13" x14ac:dyDescent="0.25">
      <c r="A90" s="120"/>
      <c r="G90" s="90"/>
      <c r="H90" s="104">
        <v>85</v>
      </c>
      <c r="I90" s="105" t="str">
        <f t="shared" si="11"/>
        <v/>
      </c>
      <c r="J90" s="104">
        <f t="shared" si="12"/>
        <v>-6</v>
      </c>
      <c r="K90" s="104">
        <f t="shared" si="9"/>
        <v>-60</v>
      </c>
      <c r="L90" s="104"/>
      <c r="M90" s="106">
        <f t="shared" si="10"/>
        <v>0</v>
      </c>
    </row>
    <row r="91" spans="1:13" x14ac:dyDescent="0.25">
      <c r="A91" s="120"/>
      <c r="G91" s="90"/>
      <c r="H91" s="104">
        <v>86</v>
      </c>
      <c r="I91" s="105" t="str">
        <f t="shared" si="11"/>
        <v/>
      </c>
      <c r="J91" s="104">
        <f t="shared" si="12"/>
        <v>-6</v>
      </c>
      <c r="K91" s="104">
        <f t="shared" si="9"/>
        <v>-60</v>
      </c>
      <c r="L91" s="104"/>
      <c r="M91" s="106">
        <f t="shared" si="10"/>
        <v>0</v>
      </c>
    </row>
    <row r="92" spans="1:13" x14ac:dyDescent="0.25">
      <c r="A92" s="120"/>
      <c r="G92" s="90"/>
      <c r="H92" s="104">
        <v>87</v>
      </c>
      <c r="I92" s="105" t="str">
        <f t="shared" si="11"/>
        <v/>
      </c>
      <c r="J92" s="104">
        <f t="shared" si="12"/>
        <v>-6</v>
      </c>
      <c r="K92" s="104">
        <f t="shared" si="9"/>
        <v>-60</v>
      </c>
      <c r="L92" s="104"/>
      <c r="M92" s="106">
        <f t="shared" si="10"/>
        <v>0</v>
      </c>
    </row>
    <row r="93" spans="1:13" x14ac:dyDescent="0.25">
      <c r="A93" s="120"/>
      <c r="G93" s="90"/>
      <c r="H93" s="104">
        <v>88</v>
      </c>
      <c r="I93" s="105" t="str">
        <f t="shared" si="11"/>
        <v/>
      </c>
      <c r="J93" s="104">
        <f t="shared" si="12"/>
        <v>-6</v>
      </c>
      <c r="K93" s="104">
        <f t="shared" si="9"/>
        <v>-60</v>
      </c>
      <c r="L93" s="104"/>
      <c r="M93" s="106">
        <f t="shared" si="10"/>
        <v>0</v>
      </c>
    </row>
    <row r="94" spans="1:13" x14ac:dyDescent="0.25">
      <c r="A94" s="120"/>
      <c r="G94" s="90"/>
      <c r="H94" s="104">
        <v>89</v>
      </c>
      <c r="I94" s="105" t="str">
        <f t="shared" si="11"/>
        <v/>
      </c>
      <c r="J94" s="104">
        <f t="shared" si="12"/>
        <v>-6</v>
      </c>
      <c r="K94" s="104">
        <f t="shared" si="9"/>
        <v>-60</v>
      </c>
      <c r="L94" s="104"/>
      <c r="M94" s="106">
        <f t="shared" si="10"/>
        <v>0</v>
      </c>
    </row>
    <row r="95" spans="1:13" x14ac:dyDescent="0.25">
      <c r="A95" s="120"/>
      <c r="G95" s="90"/>
      <c r="H95" s="104">
        <v>90</v>
      </c>
      <c r="I95" s="105" t="str">
        <f t="shared" si="11"/>
        <v/>
      </c>
      <c r="J95" s="104">
        <f t="shared" si="12"/>
        <v>-6</v>
      </c>
      <c r="K95" s="104">
        <f t="shared" si="9"/>
        <v>-60</v>
      </c>
      <c r="L95" s="104"/>
      <c r="M95" s="106">
        <f t="shared" si="10"/>
        <v>0</v>
      </c>
    </row>
    <row r="96" spans="1:13" x14ac:dyDescent="0.25">
      <c r="A96" s="120"/>
      <c r="G96" s="90"/>
      <c r="H96" s="104">
        <v>91</v>
      </c>
      <c r="I96" s="105" t="str">
        <f t="shared" si="11"/>
        <v/>
      </c>
      <c r="J96" s="104">
        <f t="shared" si="12"/>
        <v>-6</v>
      </c>
      <c r="K96" s="104">
        <f t="shared" si="9"/>
        <v>-60</v>
      </c>
      <c r="L96" s="104"/>
      <c r="M96" s="106">
        <f t="shared" si="10"/>
        <v>0</v>
      </c>
    </row>
    <row r="97" spans="1:13" x14ac:dyDescent="0.25">
      <c r="A97" s="120"/>
      <c r="G97" s="90"/>
      <c r="H97" s="104">
        <v>92</v>
      </c>
      <c r="I97" s="105" t="str">
        <f t="shared" si="11"/>
        <v/>
      </c>
      <c r="J97" s="104">
        <f t="shared" si="12"/>
        <v>-6</v>
      </c>
      <c r="K97" s="104">
        <f t="shared" si="9"/>
        <v>-60</v>
      </c>
      <c r="L97" s="104"/>
      <c r="M97" s="106">
        <f t="shared" si="10"/>
        <v>0</v>
      </c>
    </row>
    <row r="98" spans="1:13" x14ac:dyDescent="0.25">
      <c r="A98" s="120"/>
      <c r="G98" s="90"/>
      <c r="H98" s="104">
        <v>93</v>
      </c>
      <c r="I98" s="105" t="str">
        <f t="shared" si="11"/>
        <v/>
      </c>
      <c r="J98" s="104">
        <f t="shared" si="12"/>
        <v>-6</v>
      </c>
      <c r="K98" s="104">
        <f t="shared" si="9"/>
        <v>-60</v>
      </c>
      <c r="L98" s="104"/>
      <c r="M98" s="106">
        <f t="shared" si="10"/>
        <v>0</v>
      </c>
    </row>
    <row r="99" spans="1:13" x14ac:dyDescent="0.25">
      <c r="A99" s="120"/>
      <c r="G99" s="90"/>
      <c r="H99" s="104">
        <v>94</v>
      </c>
      <c r="I99" s="105" t="str">
        <f t="shared" si="11"/>
        <v/>
      </c>
      <c r="J99" s="104">
        <f t="shared" si="12"/>
        <v>-6</v>
      </c>
      <c r="K99" s="104">
        <f t="shared" si="9"/>
        <v>-60</v>
      </c>
      <c r="L99" s="104"/>
      <c r="M99" s="106">
        <f t="shared" si="10"/>
        <v>0</v>
      </c>
    </row>
    <row r="100" spans="1:13" x14ac:dyDescent="0.25">
      <c r="A100" s="120"/>
      <c r="G100" s="90"/>
      <c r="H100" s="104">
        <v>95</v>
      </c>
      <c r="I100" s="105" t="str">
        <f t="shared" si="11"/>
        <v/>
      </c>
      <c r="J100" s="104">
        <f t="shared" si="12"/>
        <v>-6</v>
      </c>
      <c r="K100" s="104">
        <f t="shared" si="9"/>
        <v>-60</v>
      </c>
      <c r="L100" s="104"/>
      <c r="M100" s="106">
        <f t="shared" si="10"/>
        <v>0</v>
      </c>
    </row>
    <row r="101" spans="1:13" x14ac:dyDescent="0.25">
      <c r="A101" s="120"/>
      <c r="G101" s="90"/>
      <c r="H101" s="104">
        <v>96</v>
      </c>
      <c r="I101" s="105" t="str">
        <f t="shared" si="11"/>
        <v/>
      </c>
      <c r="J101" s="104">
        <f t="shared" si="12"/>
        <v>-6</v>
      </c>
      <c r="K101" s="104">
        <f t="shared" si="9"/>
        <v>-60</v>
      </c>
      <c r="L101" s="104"/>
      <c r="M101" s="106">
        <f t="shared" si="10"/>
        <v>0</v>
      </c>
    </row>
    <row r="102" spans="1:13" x14ac:dyDescent="0.25">
      <c r="A102" s="120"/>
      <c r="G102" s="90"/>
      <c r="H102" s="104">
        <v>97</v>
      </c>
      <c r="I102" s="105" t="str">
        <f t="shared" si="11"/>
        <v/>
      </c>
      <c r="J102" s="104">
        <f t="shared" si="12"/>
        <v>-6</v>
      </c>
      <c r="K102" s="104">
        <f t="shared" si="9"/>
        <v>-60</v>
      </c>
      <c r="L102" s="104"/>
      <c r="M102" s="106">
        <f t="shared" si="10"/>
        <v>0</v>
      </c>
    </row>
    <row r="103" spans="1:13" x14ac:dyDescent="0.25">
      <c r="A103" s="120"/>
      <c r="G103" s="90"/>
      <c r="H103" s="104">
        <v>98</v>
      </c>
      <c r="I103" s="105" t="str">
        <f t="shared" si="11"/>
        <v/>
      </c>
      <c r="J103" s="104">
        <f t="shared" si="12"/>
        <v>-6</v>
      </c>
      <c r="K103" s="104">
        <f t="shared" si="9"/>
        <v>-60</v>
      </c>
      <c r="L103" s="104"/>
      <c r="M103" s="106">
        <f t="shared" si="10"/>
        <v>0</v>
      </c>
    </row>
    <row r="104" spans="1:13" x14ac:dyDescent="0.25">
      <c r="A104" s="120"/>
      <c r="G104" s="90"/>
      <c r="H104" s="104">
        <v>99</v>
      </c>
      <c r="I104" s="105" t="str">
        <f t="shared" si="11"/>
        <v/>
      </c>
      <c r="J104" s="104">
        <f t="shared" si="12"/>
        <v>-6</v>
      </c>
      <c r="K104" s="104">
        <f t="shared" si="9"/>
        <v>-60</v>
      </c>
      <c r="L104" s="104"/>
      <c r="M104" s="106">
        <f t="shared" si="10"/>
        <v>0</v>
      </c>
    </row>
    <row r="105" spans="1:13" x14ac:dyDescent="0.25">
      <c r="A105" s="120"/>
      <c r="G105" s="90"/>
      <c r="H105" s="104">
        <v>100</v>
      </c>
      <c r="I105" s="105" t="str">
        <f t="shared" si="11"/>
        <v/>
      </c>
      <c r="J105" s="104">
        <f t="shared" si="12"/>
        <v>-6</v>
      </c>
      <c r="K105" s="104">
        <f t="shared" si="9"/>
        <v>-60</v>
      </c>
      <c r="L105" s="104"/>
      <c r="M105" s="106">
        <f t="shared" si="10"/>
        <v>0</v>
      </c>
    </row>
    <row r="106" spans="1:13" x14ac:dyDescent="0.25">
      <c r="A106" s="120"/>
      <c r="G106" s="90"/>
      <c r="H106" s="104">
        <v>101</v>
      </c>
      <c r="I106" s="105" t="str">
        <f t="shared" si="11"/>
        <v/>
      </c>
      <c r="J106" s="104">
        <f t="shared" si="12"/>
        <v>-6</v>
      </c>
      <c r="K106" s="104">
        <f t="shared" si="9"/>
        <v>-60</v>
      </c>
      <c r="L106" s="104"/>
      <c r="M106" s="106">
        <f t="shared" si="10"/>
        <v>0</v>
      </c>
    </row>
    <row r="107" spans="1:13" x14ac:dyDescent="0.25">
      <c r="A107" s="120"/>
      <c r="G107" s="90"/>
      <c r="H107" s="104">
        <v>102</v>
      </c>
      <c r="I107" s="105" t="str">
        <f t="shared" si="11"/>
        <v/>
      </c>
      <c r="J107" s="104">
        <f t="shared" si="12"/>
        <v>-6</v>
      </c>
      <c r="K107" s="104">
        <f t="shared" si="9"/>
        <v>-60</v>
      </c>
      <c r="L107" s="104"/>
      <c r="M107" s="106">
        <f t="shared" si="10"/>
        <v>0</v>
      </c>
    </row>
    <row r="108" spans="1:13" x14ac:dyDescent="0.25">
      <c r="A108" s="120"/>
      <c r="G108" s="90"/>
      <c r="H108" s="104">
        <v>103</v>
      </c>
      <c r="I108" s="105" t="str">
        <f t="shared" si="11"/>
        <v/>
      </c>
      <c r="J108" s="104">
        <f t="shared" si="12"/>
        <v>-6</v>
      </c>
      <c r="K108" s="104">
        <f t="shared" si="9"/>
        <v>-60</v>
      </c>
      <c r="L108" s="104"/>
      <c r="M108" s="106">
        <f t="shared" si="10"/>
        <v>0</v>
      </c>
    </row>
    <row r="109" spans="1:13" x14ac:dyDescent="0.25">
      <c r="A109" s="120"/>
      <c r="G109" s="90"/>
      <c r="H109" s="104">
        <v>104</v>
      </c>
      <c r="I109" s="105" t="str">
        <f t="shared" si="11"/>
        <v/>
      </c>
      <c r="J109" s="104">
        <f t="shared" si="12"/>
        <v>-6</v>
      </c>
      <c r="K109" s="104">
        <f t="shared" si="9"/>
        <v>-60</v>
      </c>
      <c r="L109" s="104"/>
      <c r="M109" s="106">
        <f t="shared" si="10"/>
        <v>0</v>
      </c>
    </row>
    <row r="110" spans="1:13" x14ac:dyDescent="0.25">
      <c r="A110" s="120"/>
      <c r="G110" s="90"/>
      <c r="H110" s="104">
        <v>105</v>
      </c>
      <c r="I110" s="105" t="str">
        <f t="shared" si="11"/>
        <v/>
      </c>
      <c r="J110" s="104">
        <f t="shared" si="12"/>
        <v>-6</v>
      </c>
      <c r="K110" s="104">
        <f t="shared" si="9"/>
        <v>-60</v>
      </c>
      <c r="L110" s="104"/>
      <c r="M110" s="106">
        <f t="shared" si="10"/>
        <v>0</v>
      </c>
    </row>
    <row r="111" spans="1:13" x14ac:dyDescent="0.25">
      <c r="A111" s="120"/>
      <c r="G111" s="90"/>
      <c r="H111" s="104">
        <v>106</v>
      </c>
      <c r="I111" s="105" t="str">
        <f t="shared" si="11"/>
        <v/>
      </c>
      <c r="J111" s="104">
        <f t="shared" si="12"/>
        <v>-6</v>
      </c>
      <c r="K111" s="104">
        <f t="shared" si="9"/>
        <v>-60</v>
      </c>
      <c r="L111" s="104"/>
      <c r="M111" s="106">
        <f t="shared" si="10"/>
        <v>0</v>
      </c>
    </row>
    <row r="112" spans="1:13" x14ac:dyDescent="0.25">
      <c r="A112" s="120"/>
      <c r="G112" s="90"/>
      <c r="H112" s="104">
        <v>107</v>
      </c>
      <c r="I112" s="105" t="str">
        <f t="shared" si="11"/>
        <v/>
      </c>
      <c r="J112" s="104">
        <f t="shared" si="12"/>
        <v>-6</v>
      </c>
      <c r="K112" s="104">
        <f t="shared" si="9"/>
        <v>-60</v>
      </c>
      <c r="L112" s="104"/>
      <c r="M112" s="106">
        <f t="shared" si="10"/>
        <v>0</v>
      </c>
    </row>
    <row r="113" spans="1:13" x14ac:dyDescent="0.25">
      <c r="A113" s="120"/>
      <c r="G113" s="90"/>
      <c r="H113" s="104">
        <v>108</v>
      </c>
      <c r="I113" s="105" t="str">
        <f t="shared" si="11"/>
        <v/>
      </c>
      <c r="J113" s="104">
        <f t="shared" si="12"/>
        <v>-6</v>
      </c>
      <c r="K113" s="104">
        <f t="shared" si="9"/>
        <v>-60</v>
      </c>
      <c r="L113" s="104"/>
      <c r="M113" s="106">
        <f t="shared" si="10"/>
        <v>0</v>
      </c>
    </row>
    <row r="114" spans="1:13" x14ac:dyDescent="0.25">
      <c r="A114" s="120"/>
      <c r="G114" s="90"/>
      <c r="H114" s="104">
        <v>109</v>
      </c>
      <c r="I114" s="105" t="str">
        <f t="shared" si="11"/>
        <v/>
      </c>
      <c r="J114" s="104">
        <f t="shared" si="12"/>
        <v>-6</v>
      </c>
      <c r="K114" s="104">
        <f t="shared" si="9"/>
        <v>-60</v>
      </c>
      <c r="L114" s="104"/>
      <c r="M114" s="106">
        <f t="shared" si="10"/>
        <v>0</v>
      </c>
    </row>
    <row r="115" spans="1:13" x14ac:dyDescent="0.25">
      <c r="A115" s="120"/>
      <c r="G115" s="90"/>
      <c r="H115" s="104">
        <v>110</v>
      </c>
      <c r="I115" s="105" t="str">
        <f t="shared" si="11"/>
        <v/>
      </c>
      <c r="J115" s="104">
        <f t="shared" si="12"/>
        <v>-6</v>
      </c>
      <c r="K115" s="104">
        <f t="shared" si="9"/>
        <v>-60</v>
      </c>
      <c r="L115" s="104"/>
      <c r="M115" s="106">
        <f t="shared" si="10"/>
        <v>0</v>
      </c>
    </row>
    <row r="116" spans="1:13" x14ac:dyDescent="0.25">
      <c r="A116" s="120"/>
      <c r="G116" s="90"/>
      <c r="H116" s="104">
        <v>111</v>
      </c>
      <c r="I116" s="105" t="str">
        <f t="shared" si="11"/>
        <v/>
      </c>
      <c r="J116" s="104">
        <f t="shared" si="12"/>
        <v>-6</v>
      </c>
      <c r="K116" s="104">
        <f t="shared" si="9"/>
        <v>-60</v>
      </c>
      <c r="L116" s="104"/>
      <c r="M116" s="106">
        <f t="shared" si="10"/>
        <v>0</v>
      </c>
    </row>
    <row r="117" spans="1:13" x14ac:dyDescent="0.25">
      <c r="A117" s="120"/>
      <c r="G117" s="90"/>
      <c r="H117" s="104">
        <v>112</v>
      </c>
      <c r="I117" s="105" t="str">
        <f t="shared" si="11"/>
        <v/>
      </c>
      <c r="J117" s="104">
        <f t="shared" si="12"/>
        <v>-6</v>
      </c>
      <c r="K117" s="104">
        <f t="shared" si="9"/>
        <v>-60</v>
      </c>
      <c r="L117" s="104"/>
      <c r="M117" s="106">
        <f t="shared" si="10"/>
        <v>0</v>
      </c>
    </row>
    <row r="118" spans="1:13" x14ac:dyDescent="0.25">
      <c r="A118" s="120"/>
      <c r="G118" s="90"/>
      <c r="H118" s="104">
        <v>113</v>
      </c>
      <c r="I118" s="105" t="str">
        <f t="shared" si="11"/>
        <v/>
      </c>
      <c r="J118" s="104">
        <f t="shared" si="12"/>
        <v>-6</v>
      </c>
      <c r="K118" s="104">
        <f t="shared" si="9"/>
        <v>-60</v>
      </c>
      <c r="L118" s="104"/>
      <c r="M118" s="106">
        <f t="shared" si="10"/>
        <v>0</v>
      </c>
    </row>
    <row r="119" spans="1:13" x14ac:dyDescent="0.25">
      <c r="A119" s="120"/>
      <c r="G119" s="90"/>
      <c r="H119" s="104">
        <v>114</v>
      </c>
      <c r="I119" s="105" t="str">
        <f t="shared" si="11"/>
        <v/>
      </c>
      <c r="J119" s="104">
        <f t="shared" si="12"/>
        <v>-6</v>
      </c>
      <c r="K119" s="104">
        <f t="shared" si="9"/>
        <v>-60</v>
      </c>
      <c r="L119" s="104"/>
      <c r="M119" s="106">
        <f t="shared" si="10"/>
        <v>0</v>
      </c>
    </row>
    <row r="120" spans="1:13" x14ac:dyDescent="0.25">
      <c r="A120" s="120"/>
      <c r="G120" s="90"/>
      <c r="H120" s="104">
        <v>115</v>
      </c>
      <c r="I120" s="105" t="str">
        <f t="shared" si="11"/>
        <v/>
      </c>
      <c r="J120" s="104">
        <f t="shared" si="12"/>
        <v>-6</v>
      </c>
      <c r="K120" s="104">
        <f t="shared" si="9"/>
        <v>-60</v>
      </c>
      <c r="L120" s="104"/>
      <c r="M120" s="106">
        <f t="shared" si="10"/>
        <v>0</v>
      </c>
    </row>
    <row r="121" spans="1:13" x14ac:dyDescent="0.25">
      <c r="A121" s="120"/>
      <c r="G121" s="90"/>
      <c r="H121" s="104">
        <v>116</v>
      </c>
      <c r="I121" s="105" t="str">
        <f t="shared" si="11"/>
        <v/>
      </c>
      <c r="J121" s="104">
        <f t="shared" si="12"/>
        <v>-6</v>
      </c>
      <c r="K121" s="104">
        <f t="shared" si="9"/>
        <v>-60</v>
      </c>
      <c r="L121" s="104"/>
      <c r="M121" s="106">
        <f t="shared" si="10"/>
        <v>0</v>
      </c>
    </row>
    <row r="122" spans="1:13" x14ac:dyDescent="0.25">
      <c r="A122" s="120"/>
      <c r="G122" s="90"/>
      <c r="H122" s="104">
        <v>117</v>
      </c>
      <c r="I122" s="105" t="str">
        <f t="shared" si="11"/>
        <v/>
      </c>
      <c r="J122" s="104">
        <f t="shared" si="12"/>
        <v>-6</v>
      </c>
      <c r="K122" s="104">
        <f t="shared" si="9"/>
        <v>-60</v>
      </c>
      <c r="L122" s="104"/>
      <c r="M122" s="106">
        <f t="shared" si="10"/>
        <v>0</v>
      </c>
    </row>
    <row r="123" spans="1:13" x14ac:dyDescent="0.25">
      <c r="A123" s="120"/>
      <c r="G123" s="90"/>
      <c r="H123" s="104">
        <v>118</v>
      </c>
      <c r="I123" s="105" t="str">
        <f t="shared" si="11"/>
        <v/>
      </c>
      <c r="J123" s="104">
        <f t="shared" si="12"/>
        <v>-6</v>
      </c>
      <c r="K123" s="104">
        <f t="shared" si="9"/>
        <v>-60</v>
      </c>
      <c r="L123" s="104"/>
      <c r="M123" s="106">
        <f t="shared" si="10"/>
        <v>0</v>
      </c>
    </row>
    <row r="124" spans="1:13" x14ac:dyDescent="0.25">
      <c r="A124" s="120"/>
      <c r="G124" s="90"/>
      <c r="H124" s="104">
        <v>119</v>
      </c>
      <c r="I124" s="105" t="str">
        <f t="shared" si="11"/>
        <v/>
      </c>
      <c r="J124" s="104">
        <f t="shared" si="12"/>
        <v>-6</v>
      </c>
      <c r="K124" s="104">
        <f t="shared" si="9"/>
        <v>-60</v>
      </c>
      <c r="L124" s="104"/>
      <c r="M124" s="106">
        <f t="shared" si="10"/>
        <v>0</v>
      </c>
    </row>
    <row r="125" spans="1:13" x14ac:dyDescent="0.25">
      <c r="A125" s="120"/>
      <c r="G125" s="90"/>
      <c r="H125" s="104">
        <v>120</v>
      </c>
      <c r="I125" s="105" t="str">
        <f t="shared" si="11"/>
        <v/>
      </c>
      <c r="J125" s="104">
        <f t="shared" si="12"/>
        <v>-6</v>
      </c>
      <c r="K125" s="104">
        <f t="shared" si="9"/>
        <v>-60</v>
      </c>
      <c r="L125" s="104"/>
      <c r="M125" s="106">
        <f t="shared" si="10"/>
        <v>0</v>
      </c>
    </row>
    <row r="126" spans="1:13" x14ac:dyDescent="0.25">
      <c r="A126" s="120"/>
      <c r="G126" s="90"/>
      <c r="H126" s="104">
        <v>121</v>
      </c>
      <c r="I126" s="105" t="str">
        <f t="shared" si="11"/>
        <v/>
      </c>
      <c r="J126" s="104">
        <f t="shared" si="12"/>
        <v>-6</v>
      </c>
      <c r="K126" s="104">
        <f t="shared" si="9"/>
        <v>-60</v>
      </c>
      <c r="L126" s="104"/>
      <c r="M126" s="106">
        <f t="shared" si="10"/>
        <v>0</v>
      </c>
    </row>
    <row r="127" spans="1:13" x14ac:dyDescent="0.25">
      <c r="A127" s="120"/>
      <c r="G127" s="90"/>
      <c r="H127" s="104">
        <v>122</v>
      </c>
      <c r="I127" s="105" t="str">
        <f t="shared" si="11"/>
        <v/>
      </c>
      <c r="J127" s="104">
        <f t="shared" si="12"/>
        <v>-6</v>
      </c>
      <c r="K127" s="104">
        <f t="shared" si="9"/>
        <v>-60</v>
      </c>
      <c r="L127" s="104"/>
      <c r="M127" s="106">
        <f t="shared" si="10"/>
        <v>0</v>
      </c>
    </row>
    <row r="128" spans="1:13" x14ac:dyDescent="0.25">
      <c r="A128" s="120"/>
      <c r="G128" s="90"/>
      <c r="H128" s="104">
        <v>123</v>
      </c>
      <c r="I128" s="105" t="str">
        <f t="shared" si="11"/>
        <v/>
      </c>
      <c r="J128" s="104">
        <f t="shared" si="12"/>
        <v>-6</v>
      </c>
      <c r="K128" s="104">
        <f t="shared" si="9"/>
        <v>-60</v>
      </c>
      <c r="L128" s="104"/>
      <c r="M128" s="106">
        <f t="shared" si="10"/>
        <v>0</v>
      </c>
    </row>
    <row r="129" spans="1:13" x14ac:dyDescent="0.25">
      <c r="A129" s="120"/>
      <c r="G129" s="90"/>
      <c r="H129" s="104">
        <v>124</v>
      </c>
      <c r="I129" s="105" t="str">
        <f t="shared" si="11"/>
        <v/>
      </c>
      <c r="J129" s="104">
        <f t="shared" si="12"/>
        <v>-6</v>
      </c>
      <c r="K129" s="104">
        <f t="shared" si="9"/>
        <v>-60</v>
      </c>
      <c r="L129" s="104"/>
      <c r="M129" s="106">
        <f t="shared" si="10"/>
        <v>0</v>
      </c>
    </row>
    <row r="130" spans="1:13" x14ac:dyDescent="0.25">
      <c r="A130" s="120"/>
      <c r="G130" s="90"/>
      <c r="H130" s="104">
        <v>125</v>
      </c>
      <c r="I130" s="105" t="str">
        <f t="shared" si="11"/>
        <v/>
      </c>
      <c r="J130" s="104">
        <f t="shared" si="12"/>
        <v>-6</v>
      </c>
      <c r="K130" s="104">
        <f t="shared" si="9"/>
        <v>-60</v>
      </c>
      <c r="L130" s="104"/>
      <c r="M130" s="106">
        <f t="shared" si="10"/>
        <v>0</v>
      </c>
    </row>
    <row r="131" spans="1:13" x14ac:dyDescent="0.25">
      <c r="A131" s="120"/>
      <c r="G131" s="90"/>
      <c r="H131" s="104">
        <v>126</v>
      </c>
      <c r="I131" s="105" t="str">
        <f t="shared" si="11"/>
        <v/>
      </c>
      <c r="J131" s="104">
        <f t="shared" si="12"/>
        <v>-6</v>
      </c>
      <c r="K131" s="104">
        <f t="shared" si="9"/>
        <v>-60</v>
      </c>
      <c r="L131" s="104"/>
      <c r="M131" s="106">
        <f t="shared" si="10"/>
        <v>0</v>
      </c>
    </row>
    <row r="132" spans="1:13" x14ac:dyDescent="0.25">
      <c r="A132" s="120"/>
      <c r="G132" s="90"/>
      <c r="H132" s="104">
        <v>127</v>
      </c>
      <c r="I132" s="105" t="str">
        <f t="shared" si="11"/>
        <v/>
      </c>
      <c r="J132" s="104">
        <f t="shared" si="12"/>
        <v>-6</v>
      </c>
      <c r="K132" s="104">
        <f t="shared" si="9"/>
        <v>-60</v>
      </c>
      <c r="L132" s="104"/>
      <c r="M132" s="106">
        <f t="shared" si="10"/>
        <v>0</v>
      </c>
    </row>
    <row r="133" spans="1:13" x14ac:dyDescent="0.25">
      <c r="A133" s="120"/>
      <c r="G133" s="90"/>
      <c r="H133" s="104">
        <v>128</v>
      </c>
      <c r="I133" s="105" t="str">
        <f t="shared" si="11"/>
        <v/>
      </c>
      <c r="J133" s="104">
        <f t="shared" si="12"/>
        <v>-6</v>
      </c>
      <c r="K133" s="104">
        <f t="shared" si="9"/>
        <v>-60</v>
      </c>
      <c r="L133" s="104"/>
      <c r="M133" s="106">
        <f t="shared" si="10"/>
        <v>0</v>
      </c>
    </row>
    <row r="134" spans="1:13" x14ac:dyDescent="0.25">
      <c r="A134" s="120"/>
      <c r="G134" s="90"/>
      <c r="H134" s="104">
        <v>129</v>
      </c>
      <c r="I134" s="105" t="str">
        <f t="shared" si="11"/>
        <v/>
      </c>
      <c r="J134" s="104">
        <f t="shared" si="12"/>
        <v>-7</v>
      </c>
      <c r="K134" s="104">
        <f t="shared" ref="K134:K197" si="13">J134*$J$2</f>
        <v>-70</v>
      </c>
      <c r="L134" s="104"/>
      <c r="M134" s="106">
        <f t="shared" ref="M134:M197" si="14">IF(I134&lt;&gt;"",K134+I134+L134,0)</f>
        <v>0</v>
      </c>
    </row>
    <row r="135" spans="1:13" x14ac:dyDescent="0.25">
      <c r="A135" s="120"/>
      <c r="G135" s="90"/>
      <c r="H135" s="104">
        <v>130</v>
      </c>
      <c r="I135" s="105" t="str">
        <f t="shared" ref="I135:I198" si="15">IF(H135&lt;$H$2+1,($I$2-($I$2-1)*(LOG(H135)/LOG($H$2))),"")</f>
        <v/>
      </c>
      <c r="J135" s="104">
        <f t="shared" ref="J135:J198" si="16">INT(LOG($H$2,2))-ROUNDUP(LOG(H135,2),0)+IF(OR($H$2=1,$H$2=2,$H$2=4,$H$2=8,$H$2=16,$H$2=32,$H$2=64,$H$2=128,$H$2=256),0,1)</f>
        <v>-7</v>
      </c>
      <c r="K135" s="104">
        <f t="shared" si="13"/>
        <v>-70</v>
      </c>
      <c r="L135" s="104"/>
      <c r="M135" s="106">
        <f t="shared" si="14"/>
        <v>0</v>
      </c>
    </row>
    <row r="136" spans="1:13" x14ac:dyDescent="0.25">
      <c r="A136" s="120"/>
      <c r="G136" s="90"/>
      <c r="H136" s="104">
        <v>131</v>
      </c>
      <c r="I136" s="105" t="str">
        <f t="shared" si="15"/>
        <v/>
      </c>
      <c r="J136" s="104">
        <f t="shared" si="16"/>
        <v>-7</v>
      </c>
      <c r="K136" s="104">
        <f t="shared" si="13"/>
        <v>-70</v>
      </c>
      <c r="L136" s="104"/>
      <c r="M136" s="106">
        <f t="shared" si="14"/>
        <v>0</v>
      </c>
    </row>
    <row r="137" spans="1:13" x14ac:dyDescent="0.25">
      <c r="A137" s="120"/>
      <c r="G137" s="90"/>
      <c r="H137" s="104">
        <v>132</v>
      </c>
      <c r="I137" s="105" t="str">
        <f t="shared" si="15"/>
        <v/>
      </c>
      <c r="J137" s="104">
        <f t="shared" si="16"/>
        <v>-7</v>
      </c>
      <c r="K137" s="104">
        <f t="shared" si="13"/>
        <v>-70</v>
      </c>
      <c r="L137" s="104"/>
      <c r="M137" s="106">
        <f t="shared" si="14"/>
        <v>0</v>
      </c>
    </row>
    <row r="138" spans="1:13" x14ac:dyDescent="0.25">
      <c r="A138" s="120"/>
      <c r="G138" s="90"/>
      <c r="H138" s="104">
        <v>133</v>
      </c>
      <c r="I138" s="105" t="str">
        <f t="shared" si="15"/>
        <v/>
      </c>
      <c r="J138" s="104">
        <f t="shared" si="16"/>
        <v>-7</v>
      </c>
      <c r="K138" s="104">
        <f t="shared" si="13"/>
        <v>-70</v>
      </c>
      <c r="L138" s="104"/>
      <c r="M138" s="106">
        <f t="shared" si="14"/>
        <v>0</v>
      </c>
    </row>
    <row r="139" spans="1:13" x14ac:dyDescent="0.25">
      <c r="A139" s="120"/>
      <c r="G139" s="90"/>
      <c r="H139" s="104">
        <v>134</v>
      </c>
      <c r="I139" s="105" t="str">
        <f t="shared" si="15"/>
        <v/>
      </c>
      <c r="J139" s="104">
        <f t="shared" si="16"/>
        <v>-7</v>
      </c>
      <c r="K139" s="104">
        <f t="shared" si="13"/>
        <v>-70</v>
      </c>
      <c r="L139" s="104"/>
      <c r="M139" s="106">
        <f t="shared" si="14"/>
        <v>0</v>
      </c>
    </row>
    <row r="140" spans="1:13" x14ac:dyDescent="0.25">
      <c r="A140" s="120"/>
      <c r="G140" s="90"/>
      <c r="H140" s="104">
        <v>135</v>
      </c>
      <c r="I140" s="105" t="str">
        <f t="shared" si="15"/>
        <v/>
      </c>
      <c r="J140" s="104">
        <f t="shared" si="16"/>
        <v>-7</v>
      </c>
      <c r="K140" s="104">
        <f t="shared" si="13"/>
        <v>-70</v>
      </c>
      <c r="L140" s="104"/>
      <c r="M140" s="106">
        <f t="shared" si="14"/>
        <v>0</v>
      </c>
    </row>
    <row r="141" spans="1:13" x14ac:dyDescent="0.25">
      <c r="A141" s="120"/>
      <c r="G141" s="90"/>
      <c r="H141" s="104">
        <v>136</v>
      </c>
      <c r="I141" s="105" t="str">
        <f t="shared" si="15"/>
        <v/>
      </c>
      <c r="J141" s="104">
        <f t="shared" si="16"/>
        <v>-7</v>
      </c>
      <c r="K141" s="104">
        <f t="shared" si="13"/>
        <v>-70</v>
      </c>
      <c r="L141" s="104"/>
      <c r="M141" s="106">
        <f t="shared" si="14"/>
        <v>0</v>
      </c>
    </row>
    <row r="142" spans="1:13" x14ac:dyDescent="0.25">
      <c r="A142" s="120"/>
      <c r="G142" s="90"/>
      <c r="H142" s="104">
        <v>137</v>
      </c>
      <c r="I142" s="105" t="str">
        <f t="shared" si="15"/>
        <v/>
      </c>
      <c r="J142" s="104">
        <f t="shared" si="16"/>
        <v>-7</v>
      </c>
      <c r="K142" s="104">
        <f t="shared" si="13"/>
        <v>-70</v>
      </c>
      <c r="L142" s="104"/>
      <c r="M142" s="106">
        <f t="shared" si="14"/>
        <v>0</v>
      </c>
    </row>
    <row r="143" spans="1:13" x14ac:dyDescent="0.25">
      <c r="A143" s="120"/>
      <c r="G143" s="90"/>
      <c r="H143" s="104">
        <v>138</v>
      </c>
      <c r="I143" s="105" t="str">
        <f t="shared" si="15"/>
        <v/>
      </c>
      <c r="J143" s="104">
        <f t="shared" si="16"/>
        <v>-7</v>
      </c>
      <c r="K143" s="104">
        <f t="shared" si="13"/>
        <v>-70</v>
      </c>
      <c r="L143" s="104"/>
      <c r="M143" s="106">
        <f t="shared" si="14"/>
        <v>0</v>
      </c>
    </row>
    <row r="144" spans="1:13" x14ac:dyDescent="0.25">
      <c r="A144" s="120"/>
      <c r="G144" s="90"/>
      <c r="H144" s="104">
        <v>139</v>
      </c>
      <c r="I144" s="105" t="str">
        <f t="shared" si="15"/>
        <v/>
      </c>
      <c r="J144" s="104">
        <f t="shared" si="16"/>
        <v>-7</v>
      </c>
      <c r="K144" s="104">
        <f t="shared" si="13"/>
        <v>-70</v>
      </c>
      <c r="L144" s="104"/>
      <c r="M144" s="106">
        <f t="shared" si="14"/>
        <v>0</v>
      </c>
    </row>
    <row r="145" spans="1:13" x14ac:dyDescent="0.25">
      <c r="A145" s="120"/>
      <c r="G145" s="90"/>
      <c r="H145" s="104">
        <v>140</v>
      </c>
      <c r="I145" s="105" t="str">
        <f t="shared" si="15"/>
        <v/>
      </c>
      <c r="J145" s="104">
        <f t="shared" si="16"/>
        <v>-7</v>
      </c>
      <c r="K145" s="104">
        <f t="shared" si="13"/>
        <v>-70</v>
      </c>
      <c r="L145" s="104"/>
      <c r="M145" s="106">
        <f t="shared" si="14"/>
        <v>0</v>
      </c>
    </row>
    <row r="146" spans="1:13" x14ac:dyDescent="0.25">
      <c r="A146" s="120"/>
      <c r="G146" s="90"/>
      <c r="H146" s="104">
        <v>141</v>
      </c>
      <c r="I146" s="105" t="str">
        <f t="shared" si="15"/>
        <v/>
      </c>
      <c r="J146" s="104">
        <f t="shared" si="16"/>
        <v>-7</v>
      </c>
      <c r="K146" s="104">
        <f t="shared" si="13"/>
        <v>-70</v>
      </c>
      <c r="L146" s="104"/>
      <c r="M146" s="106">
        <f t="shared" si="14"/>
        <v>0</v>
      </c>
    </row>
    <row r="147" spans="1:13" x14ac:dyDescent="0.25">
      <c r="A147" s="120"/>
      <c r="G147" s="90"/>
      <c r="H147" s="104">
        <v>142</v>
      </c>
      <c r="I147" s="105" t="str">
        <f t="shared" si="15"/>
        <v/>
      </c>
      <c r="J147" s="104">
        <f t="shared" si="16"/>
        <v>-7</v>
      </c>
      <c r="K147" s="104">
        <f t="shared" si="13"/>
        <v>-70</v>
      </c>
      <c r="L147" s="104"/>
      <c r="M147" s="106">
        <f t="shared" si="14"/>
        <v>0</v>
      </c>
    </row>
    <row r="148" spans="1:13" x14ac:dyDescent="0.25">
      <c r="A148" s="120"/>
      <c r="G148" s="90"/>
      <c r="H148" s="104">
        <v>143</v>
      </c>
      <c r="I148" s="105" t="str">
        <f t="shared" si="15"/>
        <v/>
      </c>
      <c r="J148" s="104">
        <f t="shared" si="16"/>
        <v>-7</v>
      </c>
      <c r="K148" s="104">
        <f t="shared" si="13"/>
        <v>-70</v>
      </c>
      <c r="L148" s="104"/>
      <c r="M148" s="106">
        <f t="shared" si="14"/>
        <v>0</v>
      </c>
    </row>
    <row r="149" spans="1:13" x14ac:dyDescent="0.25">
      <c r="A149" s="120"/>
      <c r="G149" s="90"/>
      <c r="H149" s="104">
        <v>144</v>
      </c>
      <c r="I149" s="105" t="str">
        <f t="shared" si="15"/>
        <v/>
      </c>
      <c r="J149" s="104">
        <f t="shared" si="16"/>
        <v>-7</v>
      </c>
      <c r="K149" s="104">
        <f t="shared" si="13"/>
        <v>-70</v>
      </c>
      <c r="L149" s="104"/>
      <c r="M149" s="106">
        <f t="shared" si="14"/>
        <v>0</v>
      </c>
    </row>
    <row r="150" spans="1:13" x14ac:dyDescent="0.25">
      <c r="A150" s="120"/>
      <c r="G150" s="90"/>
      <c r="H150" s="104">
        <v>145</v>
      </c>
      <c r="I150" s="105" t="str">
        <f t="shared" si="15"/>
        <v/>
      </c>
      <c r="J150" s="104">
        <f t="shared" si="16"/>
        <v>-7</v>
      </c>
      <c r="K150" s="104">
        <f t="shared" si="13"/>
        <v>-70</v>
      </c>
      <c r="L150" s="104"/>
      <c r="M150" s="106">
        <f t="shared" si="14"/>
        <v>0</v>
      </c>
    </row>
    <row r="151" spans="1:13" x14ac:dyDescent="0.25">
      <c r="A151" s="120"/>
      <c r="G151" s="90"/>
      <c r="H151" s="104">
        <v>146</v>
      </c>
      <c r="I151" s="105" t="str">
        <f t="shared" si="15"/>
        <v/>
      </c>
      <c r="J151" s="104">
        <f t="shared" si="16"/>
        <v>-7</v>
      </c>
      <c r="K151" s="104">
        <f t="shared" si="13"/>
        <v>-70</v>
      </c>
      <c r="L151" s="104"/>
      <c r="M151" s="106">
        <f t="shared" si="14"/>
        <v>0</v>
      </c>
    </row>
    <row r="152" spans="1:13" x14ac:dyDescent="0.25">
      <c r="A152" s="120"/>
      <c r="G152" s="90"/>
      <c r="H152" s="104">
        <v>147</v>
      </c>
      <c r="I152" s="105" t="str">
        <f t="shared" si="15"/>
        <v/>
      </c>
      <c r="J152" s="104">
        <f t="shared" si="16"/>
        <v>-7</v>
      </c>
      <c r="K152" s="104">
        <f t="shared" si="13"/>
        <v>-70</v>
      </c>
      <c r="L152" s="104"/>
      <c r="M152" s="106">
        <f t="shared" si="14"/>
        <v>0</v>
      </c>
    </row>
    <row r="153" spans="1:13" x14ac:dyDescent="0.25">
      <c r="A153" s="120"/>
      <c r="G153" s="90"/>
      <c r="H153" s="104">
        <v>148</v>
      </c>
      <c r="I153" s="105" t="str">
        <f t="shared" si="15"/>
        <v/>
      </c>
      <c r="J153" s="104">
        <f t="shared" si="16"/>
        <v>-7</v>
      </c>
      <c r="K153" s="104">
        <f t="shared" si="13"/>
        <v>-70</v>
      </c>
      <c r="L153" s="104"/>
      <c r="M153" s="106">
        <f t="shared" si="14"/>
        <v>0</v>
      </c>
    </row>
    <row r="154" spans="1:13" x14ac:dyDescent="0.25">
      <c r="A154" s="120"/>
      <c r="G154" s="90"/>
      <c r="H154" s="104">
        <v>149</v>
      </c>
      <c r="I154" s="105" t="str">
        <f t="shared" si="15"/>
        <v/>
      </c>
      <c r="J154" s="104">
        <f t="shared" si="16"/>
        <v>-7</v>
      </c>
      <c r="K154" s="104">
        <f t="shared" si="13"/>
        <v>-70</v>
      </c>
      <c r="L154" s="104"/>
      <c r="M154" s="106">
        <f t="shared" si="14"/>
        <v>0</v>
      </c>
    </row>
    <row r="155" spans="1:13" x14ac:dyDescent="0.25">
      <c r="A155" s="120"/>
      <c r="G155" s="90"/>
      <c r="H155" s="104">
        <v>150</v>
      </c>
      <c r="I155" s="105" t="str">
        <f t="shared" si="15"/>
        <v/>
      </c>
      <c r="J155" s="104">
        <f t="shared" si="16"/>
        <v>-7</v>
      </c>
      <c r="K155" s="104">
        <f t="shared" si="13"/>
        <v>-70</v>
      </c>
      <c r="L155" s="104"/>
      <c r="M155" s="106">
        <f t="shared" si="14"/>
        <v>0</v>
      </c>
    </row>
    <row r="156" spans="1:13" x14ac:dyDescent="0.25">
      <c r="A156" s="120"/>
      <c r="G156" s="90"/>
      <c r="H156" s="104">
        <v>151</v>
      </c>
      <c r="I156" s="105" t="str">
        <f t="shared" si="15"/>
        <v/>
      </c>
      <c r="J156" s="104">
        <f t="shared" si="16"/>
        <v>-7</v>
      </c>
      <c r="K156" s="104">
        <f t="shared" si="13"/>
        <v>-70</v>
      </c>
      <c r="L156" s="104"/>
      <c r="M156" s="106">
        <f t="shared" si="14"/>
        <v>0</v>
      </c>
    </row>
    <row r="157" spans="1:13" x14ac:dyDescent="0.25">
      <c r="A157" s="120"/>
      <c r="G157" s="90"/>
      <c r="H157" s="104">
        <v>152</v>
      </c>
      <c r="I157" s="105" t="str">
        <f t="shared" si="15"/>
        <v/>
      </c>
      <c r="J157" s="104">
        <f t="shared" si="16"/>
        <v>-7</v>
      </c>
      <c r="K157" s="104">
        <f t="shared" si="13"/>
        <v>-70</v>
      </c>
      <c r="L157" s="104"/>
      <c r="M157" s="106">
        <f t="shared" si="14"/>
        <v>0</v>
      </c>
    </row>
    <row r="158" spans="1:13" x14ac:dyDescent="0.25">
      <c r="A158" s="120"/>
      <c r="G158" s="90"/>
      <c r="H158" s="104">
        <v>153</v>
      </c>
      <c r="I158" s="105" t="str">
        <f t="shared" si="15"/>
        <v/>
      </c>
      <c r="J158" s="104">
        <f t="shared" si="16"/>
        <v>-7</v>
      </c>
      <c r="K158" s="104">
        <f t="shared" si="13"/>
        <v>-70</v>
      </c>
      <c r="L158" s="104"/>
      <c r="M158" s="106">
        <f t="shared" si="14"/>
        <v>0</v>
      </c>
    </row>
    <row r="159" spans="1:13" x14ac:dyDescent="0.25">
      <c r="A159" s="120"/>
      <c r="G159" s="90"/>
      <c r="H159" s="104">
        <v>154</v>
      </c>
      <c r="I159" s="105" t="str">
        <f t="shared" si="15"/>
        <v/>
      </c>
      <c r="J159" s="104">
        <f t="shared" si="16"/>
        <v>-7</v>
      </c>
      <c r="K159" s="104">
        <f t="shared" si="13"/>
        <v>-70</v>
      </c>
      <c r="L159" s="104"/>
      <c r="M159" s="106">
        <f t="shared" si="14"/>
        <v>0</v>
      </c>
    </row>
    <row r="160" spans="1:13" x14ac:dyDescent="0.25">
      <c r="A160" s="120"/>
      <c r="G160" s="90"/>
      <c r="H160" s="104">
        <v>155</v>
      </c>
      <c r="I160" s="105" t="str">
        <f t="shared" si="15"/>
        <v/>
      </c>
      <c r="J160" s="104">
        <f t="shared" si="16"/>
        <v>-7</v>
      </c>
      <c r="K160" s="104">
        <f t="shared" si="13"/>
        <v>-70</v>
      </c>
      <c r="L160" s="104"/>
      <c r="M160" s="106">
        <f t="shared" si="14"/>
        <v>0</v>
      </c>
    </row>
    <row r="161" spans="1:13" x14ac:dyDescent="0.25">
      <c r="A161" s="120"/>
      <c r="G161" s="90"/>
      <c r="H161" s="104">
        <v>156</v>
      </c>
      <c r="I161" s="105" t="str">
        <f t="shared" si="15"/>
        <v/>
      </c>
      <c r="J161" s="104">
        <f t="shared" si="16"/>
        <v>-7</v>
      </c>
      <c r="K161" s="104">
        <f t="shared" si="13"/>
        <v>-70</v>
      </c>
      <c r="L161" s="104"/>
      <c r="M161" s="106">
        <f t="shared" si="14"/>
        <v>0</v>
      </c>
    </row>
    <row r="162" spans="1:13" x14ac:dyDescent="0.25">
      <c r="A162" s="120"/>
      <c r="G162" s="90"/>
      <c r="H162" s="104">
        <v>157</v>
      </c>
      <c r="I162" s="105" t="str">
        <f t="shared" si="15"/>
        <v/>
      </c>
      <c r="J162" s="104">
        <f t="shared" si="16"/>
        <v>-7</v>
      </c>
      <c r="K162" s="104">
        <f t="shared" si="13"/>
        <v>-70</v>
      </c>
      <c r="L162" s="104"/>
      <c r="M162" s="106">
        <f t="shared" si="14"/>
        <v>0</v>
      </c>
    </row>
    <row r="163" spans="1:13" x14ac:dyDescent="0.25">
      <c r="A163" s="120"/>
      <c r="G163" s="90"/>
      <c r="H163" s="104">
        <v>158</v>
      </c>
      <c r="I163" s="105" t="str">
        <f t="shared" si="15"/>
        <v/>
      </c>
      <c r="J163" s="104">
        <f t="shared" si="16"/>
        <v>-7</v>
      </c>
      <c r="K163" s="104">
        <f t="shared" si="13"/>
        <v>-70</v>
      </c>
      <c r="L163" s="104"/>
      <c r="M163" s="106">
        <f t="shared" si="14"/>
        <v>0</v>
      </c>
    </row>
    <row r="164" spans="1:13" x14ac:dyDescent="0.25">
      <c r="A164" s="120"/>
      <c r="G164" s="90"/>
      <c r="H164" s="104">
        <v>159</v>
      </c>
      <c r="I164" s="105" t="str">
        <f t="shared" si="15"/>
        <v/>
      </c>
      <c r="J164" s="104">
        <f t="shared" si="16"/>
        <v>-7</v>
      </c>
      <c r="K164" s="104">
        <f t="shared" si="13"/>
        <v>-70</v>
      </c>
      <c r="L164" s="104"/>
      <c r="M164" s="106">
        <f t="shared" si="14"/>
        <v>0</v>
      </c>
    </row>
    <row r="165" spans="1:13" x14ac:dyDescent="0.25">
      <c r="A165" s="120"/>
      <c r="G165" s="90"/>
      <c r="H165" s="104">
        <v>160</v>
      </c>
      <c r="I165" s="105" t="str">
        <f t="shared" si="15"/>
        <v/>
      </c>
      <c r="J165" s="104">
        <f t="shared" si="16"/>
        <v>-7</v>
      </c>
      <c r="K165" s="104">
        <f t="shared" si="13"/>
        <v>-70</v>
      </c>
      <c r="L165" s="104"/>
      <c r="M165" s="106">
        <f t="shared" si="14"/>
        <v>0</v>
      </c>
    </row>
    <row r="166" spans="1:13" x14ac:dyDescent="0.25">
      <c r="A166" s="120"/>
      <c r="G166" s="90"/>
      <c r="H166" s="104">
        <v>161</v>
      </c>
      <c r="I166" s="105" t="str">
        <f t="shared" si="15"/>
        <v/>
      </c>
      <c r="J166" s="104">
        <f t="shared" si="16"/>
        <v>-7</v>
      </c>
      <c r="K166" s="104">
        <f t="shared" si="13"/>
        <v>-70</v>
      </c>
      <c r="L166" s="104"/>
      <c r="M166" s="106">
        <f t="shared" si="14"/>
        <v>0</v>
      </c>
    </row>
    <row r="167" spans="1:13" x14ac:dyDescent="0.25">
      <c r="A167" s="120"/>
      <c r="G167" s="90"/>
      <c r="H167" s="104">
        <v>162</v>
      </c>
      <c r="I167" s="105" t="str">
        <f t="shared" si="15"/>
        <v/>
      </c>
      <c r="J167" s="104">
        <f t="shared" si="16"/>
        <v>-7</v>
      </c>
      <c r="K167" s="104">
        <f t="shared" si="13"/>
        <v>-70</v>
      </c>
      <c r="L167" s="104"/>
      <c r="M167" s="106">
        <f t="shared" si="14"/>
        <v>0</v>
      </c>
    </row>
    <row r="168" spans="1:13" x14ac:dyDescent="0.25">
      <c r="A168" s="120"/>
      <c r="G168" s="90"/>
      <c r="H168" s="104">
        <v>163</v>
      </c>
      <c r="I168" s="105" t="str">
        <f t="shared" si="15"/>
        <v/>
      </c>
      <c r="J168" s="104">
        <f t="shared" si="16"/>
        <v>-7</v>
      </c>
      <c r="K168" s="104">
        <f t="shared" si="13"/>
        <v>-70</v>
      </c>
      <c r="L168" s="104"/>
      <c r="M168" s="106">
        <f t="shared" si="14"/>
        <v>0</v>
      </c>
    </row>
    <row r="169" spans="1:13" x14ac:dyDescent="0.25">
      <c r="A169" s="120"/>
      <c r="G169" s="90"/>
      <c r="H169" s="104">
        <v>164</v>
      </c>
      <c r="I169" s="105" t="str">
        <f t="shared" si="15"/>
        <v/>
      </c>
      <c r="J169" s="104">
        <f t="shared" si="16"/>
        <v>-7</v>
      </c>
      <c r="K169" s="104">
        <f t="shared" si="13"/>
        <v>-70</v>
      </c>
      <c r="L169" s="104"/>
      <c r="M169" s="106">
        <f t="shared" si="14"/>
        <v>0</v>
      </c>
    </row>
    <row r="170" spans="1:13" x14ac:dyDescent="0.25">
      <c r="A170" s="120"/>
      <c r="G170" s="90"/>
      <c r="H170" s="104">
        <v>165</v>
      </c>
      <c r="I170" s="105" t="str">
        <f t="shared" si="15"/>
        <v/>
      </c>
      <c r="J170" s="104">
        <f t="shared" si="16"/>
        <v>-7</v>
      </c>
      <c r="K170" s="104">
        <f t="shared" si="13"/>
        <v>-70</v>
      </c>
      <c r="L170" s="104"/>
      <c r="M170" s="106">
        <f t="shared" si="14"/>
        <v>0</v>
      </c>
    </row>
    <row r="171" spans="1:13" x14ac:dyDescent="0.25">
      <c r="A171" s="120"/>
      <c r="G171" s="90"/>
      <c r="H171" s="104">
        <v>166</v>
      </c>
      <c r="I171" s="105" t="str">
        <f t="shared" si="15"/>
        <v/>
      </c>
      <c r="J171" s="104">
        <f t="shared" si="16"/>
        <v>-7</v>
      </c>
      <c r="K171" s="104">
        <f t="shared" si="13"/>
        <v>-70</v>
      </c>
      <c r="L171" s="104"/>
      <c r="M171" s="106">
        <f t="shared" si="14"/>
        <v>0</v>
      </c>
    </row>
    <row r="172" spans="1:13" x14ac:dyDescent="0.25">
      <c r="A172" s="120"/>
      <c r="G172" s="90"/>
      <c r="H172" s="104">
        <v>167</v>
      </c>
      <c r="I172" s="105" t="str">
        <f t="shared" si="15"/>
        <v/>
      </c>
      <c r="J172" s="104">
        <f t="shared" si="16"/>
        <v>-7</v>
      </c>
      <c r="K172" s="104">
        <f t="shared" si="13"/>
        <v>-70</v>
      </c>
      <c r="L172" s="104"/>
      <c r="M172" s="106">
        <f t="shared" si="14"/>
        <v>0</v>
      </c>
    </row>
    <row r="173" spans="1:13" x14ac:dyDescent="0.25">
      <c r="A173" s="120"/>
      <c r="G173" s="90"/>
      <c r="H173" s="104">
        <v>168</v>
      </c>
      <c r="I173" s="105" t="str">
        <f t="shared" si="15"/>
        <v/>
      </c>
      <c r="J173" s="104">
        <f t="shared" si="16"/>
        <v>-7</v>
      </c>
      <c r="K173" s="104">
        <f t="shared" si="13"/>
        <v>-70</v>
      </c>
      <c r="L173" s="104"/>
      <c r="M173" s="106">
        <f t="shared" si="14"/>
        <v>0</v>
      </c>
    </row>
    <row r="174" spans="1:13" x14ac:dyDescent="0.25">
      <c r="A174" s="120"/>
      <c r="G174" s="90"/>
      <c r="H174" s="104">
        <v>169</v>
      </c>
      <c r="I174" s="105" t="str">
        <f t="shared" si="15"/>
        <v/>
      </c>
      <c r="J174" s="104">
        <f t="shared" si="16"/>
        <v>-7</v>
      </c>
      <c r="K174" s="104">
        <f t="shared" si="13"/>
        <v>-70</v>
      </c>
      <c r="L174" s="104"/>
      <c r="M174" s="106">
        <f t="shared" si="14"/>
        <v>0</v>
      </c>
    </row>
    <row r="175" spans="1:13" x14ac:dyDescent="0.25">
      <c r="A175" s="120"/>
      <c r="G175" s="90"/>
      <c r="H175" s="104">
        <v>170</v>
      </c>
      <c r="I175" s="105" t="str">
        <f t="shared" si="15"/>
        <v/>
      </c>
      <c r="J175" s="104">
        <f t="shared" si="16"/>
        <v>-7</v>
      </c>
      <c r="K175" s="104">
        <f t="shared" si="13"/>
        <v>-70</v>
      </c>
      <c r="L175" s="104"/>
      <c r="M175" s="106">
        <f t="shared" si="14"/>
        <v>0</v>
      </c>
    </row>
    <row r="176" spans="1:13" x14ac:dyDescent="0.25">
      <c r="A176" s="120"/>
      <c r="G176" s="90"/>
      <c r="H176" s="104">
        <v>171</v>
      </c>
      <c r="I176" s="105" t="str">
        <f t="shared" si="15"/>
        <v/>
      </c>
      <c r="J176" s="104">
        <f t="shared" si="16"/>
        <v>-7</v>
      </c>
      <c r="K176" s="104">
        <f t="shared" si="13"/>
        <v>-70</v>
      </c>
      <c r="L176" s="104"/>
      <c r="M176" s="106">
        <f t="shared" si="14"/>
        <v>0</v>
      </c>
    </row>
    <row r="177" spans="1:13" x14ac:dyDescent="0.25">
      <c r="A177" s="120"/>
      <c r="G177" s="90"/>
      <c r="H177" s="104">
        <v>172</v>
      </c>
      <c r="I177" s="105" t="str">
        <f t="shared" si="15"/>
        <v/>
      </c>
      <c r="J177" s="104">
        <f t="shared" si="16"/>
        <v>-7</v>
      </c>
      <c r="K177" s="104">
        <f t="shared" si="13"/>
        <v>-70</v>
      </c>
      <c r="L177" s="104"/>
      <c r="M177" s="106">
        <f t="shared" si="14"/>
        <v>0</v>
      </c>
    </row>
    <row r="178" spans="1:13" x14ac:dyDescent="0.25">
      <c r="A178" s="120"/>
      <c r="G178" s="90"/>
      <c r="H178" s="104">
        <v>173</v>
      </c>
      <c r="I178" s="105" t="str">
        <f t="shared" si="15"/>
        <v/>
      </c>
      <c r="J178" s="104">
        <f t="shared" si="16"/>
        <v>-7</v>
      </c>
      <c r="K178" s="104">
        <f t="shared" si="13"/>
        <v>-70</v>
      </c>
      <c r="L178" s="104"/>
      <c r="M178" s="106">
        <f t="shared" si="14"/>
        <v>0</v>
      </c>
    </row>
    <row r="179" spans="1:13" x14ac:dyDescent="0.25">
      <c r="A179" s="120"/>
      <c r="G179" s="90"/>
      <c r="H179" s="104">
        <v>174</v>
      </c>
      <c r="I179" s="105" t="str">
        <f t="shared" si="15"/>
        <v/>
      </c>
      <c r="J179" s="104">
        <f t="shared" si="16"/>
        <v>-7</v>
      </c>
      <c r="K179" s="104">
        <f t="shared" si="13"/>
        <v>-70</v>
      </c>
      <c r="L179" s="104"/>
      <c r="M179" s="106">
        <f t="shared" si="14"/>
        <v>0</v>
      </c>
    </row>
    <row r="180" spans="1:13" x14ac:dyDescent="0.25">
      <c r="A180" s="120"/>
      <c r="G180" s="90"/>
      <c r="H180" s="104">
        <v>175</v>
      </c>
      <c r="I180" s="105" t="str">
        <f t="shared" si="15"/>
        <v/>
      </c>
      <c r="J180" s="104">
        <f t="shared" si="16"/>
        <v>-7</v>
      </c>
      <c r="K180" s="104">
        <f t="shared" si="13"/>
        <v>-70</v>
      </c>
      <c r="L180" s="104"/>
      <c r="M180" s="106">
        <f t="shared" si="14"/>
        <v>0</v>
      </c>
    </row>
    <row r="181" spans="1:13" x14ac:dyDescent="0.25">
      <c r="A181" s="120"/>
      <c r="G181" s="90"/>
      <c r="H181" s="104">
        <v>176</v>
      </c>
      <c r="I181" s="105" t="str">
        <f t="shared" si="15"/>
        <v/>
      </c>
      <c r="J181" s="104">
        <f t="shared" si="16"/>
        <v>-7</v>
      </c>
      <c r="K181" s="104">
        <f t="shared" si="13"/>
        <v>-70</v>
      </c>
      <c r="L181" s="104"/>
      <c r="M181" s="106">
        <f t="shared" si="14"/>
        <v>0</v>
      </c>
    </row>
    <row r="182" spans="1:13" x14ac:dyDescent="0.25">
      <c r="A182" s="120"/>
      <c r="G182" s="90"/>
      <c r="H182" s="104">
        <v>177</v>
      </c>
      <c r="I182" s="105" t="str">
        <f t="shared" si="15"/>
        <v/>
      </c>
      <c r="J182" s="104">
        <f t="shared" si="16"/>
        <v>-7</v>
      </c>
      <c r="K182" s="104">
        <f t="shared" si="13"/>
        <v>-70</v>
      </c>
      <c r="L182" s="104"/>
      <c r="M182" s="106">
        <f t="shared" si="14"/>
        <v>0</v>
      </c>
    </row>
    <row r="183" spans="1:13" x14ac:dyDescent="0.25">
      <c r="A183" s="120"/>
      <c r="G183" s="90"/>
      <c r="H183" s="104">
        <v>178</v>
      </c>
      <c r="I183" s="105" t="str">
        <f t="shared" si="15"/>
        <v/>
      </c>
      <c r="J183" s="104">
        <f t="shared" si="16"/>
        <v>-7</v>
      </c>
      <c r="K183" s="104">
        <f t="shared" si="13"/>
        <v>-70</v>
      </c>
      <c r="L183" s="104"/>
      <c r="M183" s="106">
        <f t="shared" si="14"/>
        <v>0</v>
      </c>
    </row>
    <row r="184" spans="1:13" x14ac:dyDescent="0.25">
      <c r="A184" s="120"/>
      <c r="G184" s="90"/>
      <c r="H184" s="104">
        <v>179</v>
      </c>
      <c r="I184" s="105" t="str">
        <f t="shared" si="15"/>
        <v/>
      </c>
      <c r="J184" s="104">
        <f t="shared" si="16"/>
        <v>-7</v>
      </c>
      <c r="K184" s="104">
        <f t="shared" si="13"/>
        <v>-70</v>
      </c>
      <c r="L184" s="104"/>
      <c r="M184" s="106">
        <f t="shared" si="14"/>
        <v>0</v>
      </c>
    </row>
    <row r="185" spans="1:13" x14ac:dyDescent="0.25">
      <c r="A185" s="120"/>
      <c r="G185" s="90"/>
      <c r="H185" s="104">
        <v>180</v>
      </c>
      <c r="I185" s="105" t="str">
        <f t="shared" si="15"/>
        <v/>
      </c>
      <c r="J185" s="104">
        <f t="shared" si="16"/>
        <v>-7</v>
      </c>
      <c r="K185" s="104">
        <f t="shared" si="13"/>
        <v>-70</v>
      </c>
      <c r="L185" s="104"/>
      <c r="M185" s="106">
        <f t="shared" si="14"/>
        <v>0</v>
      </c>
    </row>
    <row r="186" spans="1:13" x14ac:dyDescent="0.25">
      <c r="A186" s="120"/>
      <c r="G186" s="90"/>
      <c r="H186" s="104">
        <v>181</v>
      </c>
      <c r="I186" s="105" t="str">
        <f t="shared" si="15"/>
        <v/>
      </c>
      <c r="J186" s="104">
        <f t="shared" si="16"/>
        <v>-7</v>
      </c>
      <c r="K186" s="104">
        <f t="shared" si="13"/>
        <v>-70</v>
      </c>
      <c r="L186" s="104"/>
      <c r="M186" s="106">
        <f t="shared" si="14"/>
        <v>0</v>
      </c>
    </row>
    <row r="187" spans="1:13" x14ac:dyDescent="0.25">
      <c r="A187" s="120"/>
      <c r="G187" s="90"/>
      <c r="H187" s="104">
        <v>182</v>
      </c>
      <c r="I187" s="105" t="str">
        <f t="shared" si="15"/>
        <v/>
      </c>
      <c r="J187" s="104">
        <f t="shared" si="16"/>
        <v>-7</v>
      </c>
      <c r="K187" s="104">
        <f t="shared" si="13"/>
        <v>-70</v>
      </c>
      <c r="L187" s="104"/>
      <c r="M187" s="106">
        <f t="shared" si="14"/>
        <v>0</v>
      </c>
    </row>
    <row r="188" spans="1:13" x14ac:dyDescent="0.25">
      <c r="A188" s="120"/>
      <c r="G188" s="90"/>
      <c r="H188" s="104">
        <v>183</v>
      </c>
      <c r="I188" s="105" t="str">
        <f t="shared" si="15"/>
        <v/>
      </c>
      <c r="J188" s="104">
        <f t="shared" si="16"/>
        <v>-7</v>
      </c>
      <c r="K188" s="104">
        <f t="shared" si="13"/>
        <v>-70</v>
      </c>
      <c r="L188" s="104"/>
      <c r="M188" s="106">
        <f t="shared" si="14"/>
        <v>0</v>
      </c>
    </row>
    <row r="189" spans="1:13" x14ac:dyDescent="0.25">
      <c r="A189" s="120"/>
      <c r="G189" s="90"/>
      <c r="H189" s="104">
        <v>184</v>
      </c>
      <c r="I189" s="105" t="str">
        <f t="shared" si="15"/>
        <v/>
      </c>
      <c r="J189" s="104">
        <f t="shared" si="16"/>
        <v>-7</v>
      </c>
      <c r="K189" s="104">
        <f t="shared" si="13"/>
        <v>-70</v>
      </c>
      <c r="L189" s="104"/>
      <c r="M189" s="106">
        <f t="shared" si="14"/>
        <v>0</v>
      </c>
    </row>
    <row r="190" spans="1:13" x14ac:dyDescent="0.25">
      <c r="A190" s="120"/>
      <c r="G190" s="90"/>
      <c r="H190" s="104">
        <v>185</v>
      </c>
      <c r="I190" s="105" t="str">
        <f t="shared" si="15"/>
        <v/>
      </c>
      <c r="J190" s="104">
        <f t="shared" si="16"/>
        <v>-7</v>
      </c>
      <c r="K190" s="104">
        <f t="shared" si="13"/>
        <v>-70</v>
      </c>
      <c r="L190" s="104"/>
      <c r="M190" s="106">
        <f t="shared" si="14"/>
        <v>0</v>
      </c>
    </row>
    <row r="191" spans="1:13" x14ac:dyDescent="0.25">
      <c r="A191" s="120"/>
      <c r="G191" s="90"/>
      <c r="H191" s="104">
        <v>186</v>
      </c>
      <c r="I191" s="105" t="str">
        <f t="shared" si="15"/>
        <v/>
      </c>
      <c r="J191" s="104">
        <f t="shared" si="16"/>
        <v>-7</v>
      </c>
      <c r="K191" s="104">
        <f t="shared" si="13"/>
        <v>-70</v>
      </c>
      <c r="L191" s="104"/>
      <c r="M191" s="106">
        <f t="shared" si="14"/>
        <v>0</v>
      </c>
    </row>
    <row r="192" spans="1:13" x14ac:dyDescent="0.25">
      <c r="A192" s="120"/>
      <c r="G192" s="90"/>
      <c r="H192" s="104">
        <v>187</v>
      </c>
      <c r="I192" s="105" t="str">
        <f t="shared" si="15"/>
        <v/>
      </c>
      <c r="J192" s="104">
        <f t="shared" si="16"/>
        <v>-7</v>
      </c>
      <c r="K192" s="104">
        <f t="shared" si="13"/>
        <v>-70</v>
      </c>
      <c r="L192" s="104"/>
      <c r="M192" s="106">
        <f t="shared" si="14"/>
        <v>0</v>
      </c>
    </row>
    <row r="193" spans="1:13" x14ac:dyDescent="0.25">
      <c r="A193" s="120"/>
      <c r="G193" s="90"/>
      <c r="H193" s="104">
        <v>188</v>
      </c>
      <c r="I193" s="105" t="str">
        <f t="shared" si="15"/>
        <v/>
      </c>
      <c r="J193" s="104">
        <f t="shared" si="16"/>
        <v>-7</v>
      </c>
      <c r="K193" s="104">
        <f t="shared" si="13"/>
        <v>-70</v>
      </c>
      <c r="L193" s="104"/>
      <c r="M193" s="106">
        <f t="shared" si="14"/>
        <v>0</v>
      </c>
    </row>
    <row r="194" spans="1:13" x14ac:dyDescent="0.25">
      <c r="A194" s="120"/>
      <c r="G194" s="90"/>
      <c r="H194" s="104">
        <v>189</v>
      </c>
      <c r="I194" s="105" t="str">
        <f t="shared" si="15"/>
        <v/>
      </c>
      <c r="J194" s="104">
        <f t="shared" si="16"/>
        <v>-7</v>
      </c>
      <c r="K194" s="104">
        <f t="shared" si="13"/>
        <v>-70</v>
      </c>
      <c r="L194" s="104"/>
      <c r="M194" s="106">
        <f t="shared" si="14"/>
        <v>0</v>
      </c>
    </row>
    <row r="195" spans="1:13" x14ac:dyDescent="0.25">
      <c r="A195" s="120"/>
      <c r="G195" s="90"/>
      <c r="H195" s="104">
        <v>190</v>
      </c>
      <c r="I195" s="105" t="str">
        <f t="shared" si="15"/>
        <v/>
      </c>
      <c r="J195" s="104">
        <f t="shared" si="16"/>
        <v>-7</v>
      </c>
      <c r="K195" s="104">
        <f t="shared" si="13"/>
        <v>-70</v>
      </c>
      <c r="L195" s="104"/>
      <c r="M195" s="106">
        <f t="shared" si="14"/>
        <v>0</v>
      </c>
    </row>
    <row r="196" spans="1:13" x14ac:dyDescent="0.25">
      <c r="A196" s="120"/>
      <c r="G196" s="90"/>
      <c r="H196" s="104">
        <v>191</v>
      </c>
      <c r="I196" s="105" t="str">
        <f t="shared" si="15"/>
        <v/>
      </c>
      <c r="J196" s="104">
        <f t="shared" si="16"/>
        <v>-7</v>
      </c>
      <c r="K196" s="104">
        <f t="shared" si="13"/>
        <v>-70</v>
      </c>
      <c r="L196" s="104"/>
      <c r="M196" s="106">
        <f t="shared" si="14"/>
        <v>0</v>
      </c>
    </row>
    <row r="197" spans="1:13" x14ac:dyDescent="0.25">
      <c r="A197" s="120"/>
      <c r="G197" s="90"/>
      <c r="H197" s="104">
        <v>192</v>
      </c>
      <c r="I197" s="105" t="str">
        <f t="shared" si="15"/>
        <v/>
      </c>
      <c r="J197" s="104">
        <f t="shared" si="16"/>
        <v>-7</v>
      </c>
      <c r="K197" s="104">
        <f t="shared" si="13"/>
        <v>-70</v>
      </c>
      <c r="L197" s="104"/>
      <c r="M197" s="106">
        <f t="shared" si="14"/>
        <v>0</v>
      </c>
    </row>
    <row r="198" spans="1:13" x14ac:dyDescent="0.25">
      <c r="A198" s="120"/>
      <c r="G198" s="90"/>
      <c r="H198" s="104">
        <v>193</v>
      </c>
      <c r="I198" s="105" t="str">
        <f t="shared" si="15"/>
        <v/>
      </c>
      <c r="J198" s="104">
        <f t="shared" si="16"/>
        <v>-7</v>
      </c>
      <c r="K198" s="104">
        <f t="shared" ref="K198:K261" si="17">J198*$J$2</f>
        <v>-70</v>
      </c>
      <c r="L198" s="104"/>
      <c r="M198" s="106">
        <f t="shared" ref="M198:M261" si="18">IF(I198&lt;&gt;"",K198+I198+L198,0)</f>
        <v>0</v>
      </c>
    </row>
    <row r="199" spans="1:13" x14ac:dyDescent="0.25">
      <c r="A199" s="120"/>
      <c r="G199" s="90"/>
      <c r="H199" s="104">
        <v>194</v>
      </c>
      <c r="I199" s="105" t="str">
        <f t="shared" ref="I199:I262" si="19">IF(H199&lt;$H$2+1,($I$2-($I$2-1)*(LOG(H199)/LOG($H$2))),"")</f>
        <v/>
      </c>
      <c r="J199" s="104">
        <f t="shared" ref="J199:J262" si="20">INT(LOG($H$2,2))-ROUNDUP(LOG(H199,2),0)+IF(OR($H$2=1,$H$2=2,$H$2=4,$H$2=8,$H$2=16,$H$2=32,$H$2=64,$H$2=128,$H$2=256),0,1)</f>
        <v>-7</v>
      </c>
      <c r="K199" s="104">
        <f t="shared" si="17"/>
        <v>-70</v>
      </c>
      <c r="L199" s="104"/>
      <c r="M199" s="106">
        <f t="shared" si="18"/>
        <v>0</v>
      </c>
    </row>
    <row r="200" spans="1:13" x14ac:dyDescent="0.25">
      <c r="A200" s="120"/>
      <c r="G200" s="90"/>
      <c r="H200" s="104">
        <v>195</v>
      </c>
      <c r="I200" s="105" t="str">
        <f t="shared" si="19"/>
        <v/>
      </c>
      <c r="J200" s="104">
        <f t="shared" si="20"/>
        <v>-7</v>
      </c>
      <c r="K200" s="104">
        <f t="shared" si="17"/>
        <v>-70</v>
      </c>
      <c r="L200" s="104"/>
      <c r="M200" s="106">
        <f t="shared" si="18"/>
        <v>0</v>
      </c>
    </row>
    <row r="201" spans="1:13" x14ac:dyDescent="0.25">
      <c r="A201" s="120"/>
      <c r="G201" s="90"/>
      <c r="H201" s="104">
        <v>196</v>
      </c>
      <c r="I201" s="105" t="str">
        <f t="shared" si="19"/>
        <v/>
      </c>
      <c r="J201" s="104">
        <f t="shared" si="20"/>
        <v>-7</v>
      </c>
      <c r="K201" s="104">
        <f t="shared" si="17"/>
        <v>-70</v>
      </c>
      <c r="L201" s="104"/>
      <c r="M201" s="106">
        <f t="shared" si="18"/>
        <v>0</v>
      </c>
    </row>
    <row r="202" spans="1:13" x14ac:dyDescent="0.25">
      <c r="A202" s="120"/>
      <c r="G202" s="90"/>
      <c r="H202" s="104">
        <v>197</v>
      </c>
      <c r="I202" s="105" t="str">
        <f t="shared" si="19"/>
        <v/>
      </c>
      <c r="J202" s="104">
        <f t="shared" si="20"/>
        <v>-7</v>
      </c>
      <c r="K202" s="104">
        <f t="shared" si="17"/>
        <v>-70</v>
      </c>
      <c r="L202" s="104"/>
      <c r="M202" s="106">
        <f t="shared" si="18"/>
        <v>0</v>
      </c>
    </row>
    <row r="203" spans="1:13" x14ac:dyDescent="0.25">
      <c r="A203" s="120"/>
      <c r="G203" s="90"/>
      <c r="H203" s="104">
        <v>198</v>
      </c>
      <c r="I203" s="105" t="str">
        <f t="shared" si="19"/>
        <v/>
      </c>
      <c r="J203" s="104">
        <f t="shared" si="20"/>
        <v>-7</v>
      </c>
      <c r="K203" s="104">
        <f t="shared" si="17"/>
        <v>-70</v>
      </c>
      <c r="L203" s="104"/>
      <c r="M203" s="106">
        <f t="shared" si="18"/>
        <v>0</v>
      </c>
    </row>
    <row r="204" spans="1:13" x14ac:dyDescent="0.25">
      <c r="A204" s="120"/>
      <c r="G204" s="90"/>
      <c r="H204" s="104">
        <v>199</v>
      </c>
      <c r="I204" s="105" t="str">
        <f t="shared" si="19"/>
        <v/>
      </c>
      <c r="J204" s="104">
        <f t="shared" si="20"/>
        <v>-7</v>
      </c>
      <c r="K204" s="104">
        <f t="shared" si="17"/>
        <v>-70</v>
      </c>
      <c r="L204" s="104"/>
      <c r="M204" s="106">
        <f t="shared" si="18"/>
        <v>0</v>
      </c>
    </row>
    <row r="205" spans="1:13" x14ac:dyDescent="0.25">
      <c r="A205" s="120"/>
      <c r="G205" s="90"/>
      <c r="H205" s="104">
        <v>200</v>
      </c>
      <c r="I205" s="105" t="str">
        <f t="shared" si="19"/>
        <v/>
      </c>
      <c r="J205" s="104">
        <f t="shared" si="20"/>
        <v>-7</v>
      </c>
      <c r="K205" s="104">
        <f t="shared" si="17"/>
        <v>-70</v>
      </c>
      <c r="L205" s="104"/>
      <c r="M205" s="106">
        <f t="shared" si="18"/>
        <v>0</v>
      </c>
    </row>
    <row r="206" spans="1:13" x14ac:dyDescent="0.25">
      <c r="A206" s="120"/>
      <c r="G206" s="90"/>
      <c r="H206" s="104">
        <v>201</v>
      </c>
      <c r="I206" s="105" t="str">
        <f t="shared" si="19"/>
        <v/>
      </c>
      <c r="J206" s="104">
        <f t="shared" si="20"/>
        <v>-7</v>
      </c>
      <c r="K206" s="104">
        <f t="shared" si="17"/>
        <v>-70</v>
      </c>
      <c r="L206" s="104"/>
      <c r="M206" s="106">
        <f t="shared" si="18"/>
        <v>0</v>
      </c>
    </row>
    <row r="207" spans="1:13" x14ac:dyDescent="0.25">
      <c r="A207" s="120"/>
      <c r="G207" s="90"/>
      <c r="H207" s="104">
        <v>202</v>
      </c>
      <c r="I207" s="105" t="str">
        <f t="shared" si="19"/>
        <v/>
      </c>
      <c r="J207" s="104">
        <f t="shared" si="20"/>
        <v>-7</v>
      </c>
      <c r="K207" s="104">
        <f t="shared" si="17"/>
        <v>-70</v>
      </c>
      <c r="L207" s="104"/>
      <c r="M207" s="106">
        <f t="shared" si="18"/>
        <v>0</v>
      </c>
    </row>
    <row r="208" spans="1:13" x14ac:dyDescent="0.25">
      <c r="A208" s="120"/>
      <c r="G208" s="90"/>
      <c r="H208" s="104">
        <v>203</v>
      </c>
      <c r="I208" s="105" t="str">
        <f t="shared" si="19"/>
        <v/>
      </c>
      <c r="J208" s="104">
        <f t="shared" si="20"/>
        <v>-7</v>
      </c>
      <c r="K208" s="104">
        <f t="shared" si="17"/>
        <v>-70</v>
      </c>
      <c r="L208" s="104"/>
      <c r="M208" s="106">
        <f t="shared" si="18"/>
        <v>0</v>
      </c>
    </row>
    <row r="209" spans="1:13" x14ac:dyDescent="0.25">
      <c r="A209" s="120"/>
      <c r="G209" s="90"/>
      <c r="H209" s="104">
        <v>204</v>
      </c>
      <c r="I209" s="105" t="str">
        <f t="shared" si="19"/>
        <v/>
      </c>
      <c r="J209" s="104">
        <f t="shared" si="20"/>
        <v>-7</v>
      </c>
      <c r="K209" s="104">
        <f t="shared" si="17"/>
        <v>-70</v>
      </c>
      <c r="L209" s="104"/>
      <c r="M209" s="106">
        <f t="shared" si="18"/>
        <v>0</v>
      </c>
    </row>
    <row r="210" spans="1:13" x14ac:dyDescent="0.25">
      <c r="A210" s="120"/>
      <c r="G210" s="90"/>
      <c r="H210" s="104">
        <v>205</v>
      </c>
      <c r="I210" s="105" t="str">
        <f t="shared" si="19"/>
        <v/>
      </c>
      <c r="J210" s="104">
        <f t="shared" si="20"/>
        <v>-7</v>
      </c>
      <c r="K210" s="104">
        <f t="shared" si="17"/>
        <v>-70</v>
      </c>
      <c r="L210" s="104"/>
      <c r="M210" s="106">
        <f t="shared" si="18"/>
        <v>0</v>
      </c>
    </row>
    <row r="211" spans="1:13" x14ac:dyDescent="0.25">
      <c r="A211" s="120"/>
      <c r="G211" s="90"/>
      <c r="H211" s="104">
        <v>206</v>
      </c>
      <c r="I211" s="105" t="str">
        <f t="shared" si="19"/>
        <v/>
      </c>
      <c r="J211" s="104">
        <f t="shared" si="20"/>
        <v>-7</v>
      </c>
      <c r="K211" s="104">
        <f t="shared" si="17"/>
        <v>-70</v>
      </c>
      <c r="L211" s="104"/>
      <c r="M211" s="106">
        <f t="shared" si="18"/>
        <v>0</v>
      </c>
    </row>
    <row r="212" spans="1:13" x14ac:dyDescent="0.25">
      <c r="A212" s="120"/>
      <c r="G212" s="90"/>
      <c r="H212" s="104">
        <v>207</v>
      </c>
      <c r="I212" s="105" t="str">
        <f t="shared" si="19"/>
        <v/>
      </c>
      <c r="J212" s="104">
        <f t="shared" si="20"/>
        <v>-7</v>
      </c>
      <c r="K212" s="104">
        <f t="shared" si="17"/>
        <v>-70</v>
      </c>
      <c r="L212" s="104"/>
      <c r="M212" s="106">
        <f t="shared" si="18"/>
        <v>0</v>
      </c>
    </row>
    <row r="213" spans="1:13" x14ac:dyDescent="0.25">
      <c r="A213" s="120"/>
      <c r="G213" s="90"/>
      <c r="H213" s="104">
        <v>208</v>
      </c>
      <c r="I213" s="105" t="str">
        <f t="shared" si="19"/>
        <v/>
      </c>
      <c r="J213" s="104">
        <f t="shared" si="20"/>
        <v>-7</v>
      </c>
      <c r="K213" s="104">
        <f t="shared" si="17"/>
        <v>-70</v>
      </c>
      <c r="L213" s="104"/>
      <c r="M213" s="106">
        <f t="shared" si="18"/>
        <v>0</v>
      </c>
    </row>
    <row r="214" spans="1:13" x14ac:dyDescent="0.25">
      <c r="A214" s="120"/>
      <c r="G214" s="90"/>
      <c r="H214" s="104">
        <v>209</v>
      </c>
      <c r="I214" s="105" t="str">
        <f t="shared" si="19"/>
        <v/>
      </c>
      <c r="J214" s="104">
        <f t="shared" si="20"/>
        <v>-7</v>
      </c>
      <c r="K214" s="104">
        <f t="shared" si="17"/>
        <v>-70</v>
      </c>
      <c r="L214" s="104"/>
      <c r="M214" s="106">
        <f t="shared" si="18"/>
        <v>0</v>
      </c>
    </row>
    <row r="215" spans="1:13" x14ac:dyDescent="0.25">
      <c r="A215" s="120"/>
      <c r="G215" s="90"/>
      <c r="H215" s="104">
        <v>210</v>
      </c>
      <c r="I215" s="105" t="str">
        <f t="shared" si="19"/>
        <v/>
      </c>
      <c r="J215" s="104">
        <f t="shared" si="20"/>
        <v>-7</v>
      </c>
      <c r="K215" s="104">
        <f t="shared" si="17"/>
        <v>-70</v>
      </c>
      <c r="L215" s="104"/>
      <c r="M215" s="106">
        <f t="shared" si="18"/>
        <v>0</v>
      </c>
    </row>
    <row r="216" spans="1:13" x14ac:dyDescent="0.25">
      <c r="A216" s="120"/>
      <c r="G216" s="90"/>
      <c r="H216" s="104">
        <v>211</v>
      </c>
      <c r="I216" s="105" t="str">
        <f t="shared" si="19"/>
        <v/>
      </c>
      <c r="J216" s="104">
        <f t="shared" si="20"/>
        <v>-7</v>
      </c>
      <c r="K216" s="104">
        <f t="shared" si="17"/>
        <v>-70</v>
      </c>
      <c r="L216" s="104"/>
      <c r="M216" s="106">
        <f t="shared" si="18"/>
        <v>0</v>
      </c>
    </row>
    <row r="217" spans="1:13" x14ac:dyDescent="0.25">
      <c r="A217" s="120"/>
      <c r="G217" s="90"/>
      <c r="H217" s="104">
        <v>212</v>
      </c>
      <c r="I217" s="105" t="str">
        <f t="shared" si="19"/>
        <v/>
      </c>
      <c r="J217" s="104">
        <f t="shared" si="20"/>
        <v>-7</v>
      </c>
      <c r="K217" s="104">
        <f t="shared" si="17"/>
        <v>-70</v>
      </c>
      <c r="L217" s="104"/>
      <c r="M217" s="106">
        <f t="shared" si="18"/>
        <v>0</v>
      </c>
    </row>
    <row r="218" spans="1:13" x14ac:dyDescent="0.25">
      <c r="A218" s="120"/>
      <c r="G218" s="90"/>
      <c r="H218" s="104">
        <v>213</v>
      </c>
      <c r="I218" s="105" t="str">
        <f t="shared" si="19"/>
        <v/>
      </c>
      <c r="J218" s="104">
        <f t="shared" si="20"/>
        <v>-7</v>
      </c>
      <c r="K218" s="104">
        <f t="shared" si="17"/>
        <v>-70</v>
      </c>
      <c r="L218" s="104"/>
      <c r="M218" s="106">
        <f t="shared" si="18"/>
        <v>0</v>
      </c>
    </row>
    <row r="219" spans="1:13" x14ac:dyDescent="0.25">
      <c r="A219" s="120"/>
      <c r="G219" s="90"/>
      <c r="H219" s="104">
        <v>214</v>
      </c>
      <c r="I219" s="105" t="str">
        <f t="shared" si="19"/>
        <v/>
      </c>
      <c r="J219" s="104">
        <f t="shared" si="20"/>
        <v>-7</v>
      </c>
      <c r="K219" s="104">
        <f t="shared" si="17"/>
        <v>-70</v>
      </c>
      <c r="L219" s="104"/>
      <c r="M219" s="106">
        <f t="shared" si="18"/>
        <v>0</v>
      </c>
    </row>
    <row r="220" spans="1:13" x14ac:dyDescent="0.25">
      <c r="A220" s="120"/>
      <c r="G220" s="90"/>
      <c r="H220" s="104">
        <v>215</v>
      </c>
      <c r="I220" s="105" t="str">
        <f t="shared" si="19"/>
        <v/>
      </c>
      <c r="J220" s="104">
        <f t="shared" si="20"/>
        <v>-7</v>
      </c>
      <c r="K220" s="104">
        <f t="shared" si="17"/>
        <v>-70</v>
      </c>
      <c r="L220" s="104"/>
      <c r="M220" s="106">
        <f t="shared" si="18"/>
        <v>0</v>
      </c>
    </row>
    <row r="221" spans="1:13" x14ac:dyDescent="0.25">
      <c r="A221" s="120"/>
      <c r="G221" s="90"/>
      <c r="H221" s="104">
        <v>216</v>
      </c>
      <c r="I221" s="105" t="str">
        <f t="shared" si="19"/>
        <v/>
      </c>
      <c r="J221" s="104">
        <f t="shared" si="20"/>
        <v>-7</v>
      </c>
      <c r="K221" s="104">
        <f t="shared" si="17"/>
        <v>-70</v>
      </c>
      <c r="L221" s="104"/>
      <c r="M221" s="106">
        <f t="shared" si="18"/>
        <v>0</v>
      </c>
    </row>
    <row r="222" spans="1:13" x14ac:dyDescent="0.25">
      <c r="A222" s="120"/>
      <c r="G222" s="90"/>
      <c r="H222" s="104">
        <v>217</v>
      </c>
      <c r="I222" s="105" t="str">
        <f t="shared" si="19"/>
        <v/>
      </c>
      <c r="J222" s="104">
        <f t="shared" si="20"/>
        <v>-7</v>
      </c>
      <c r="K222" s="104">
        <f t="shared" si="17"/>
        <v>-70</v>
      </c>
      <c r="L222" s="104"/>
      <c r="M222" s="106">
        <f t="shared" si="18"/>
        <v>0</v>
      </c>
    </row>
    <row r="223" spans="1:13" x14ac:dyDescent="0.25">
      <c r="A223" s="120"/>
      <c r="G223" s="90"/>
      <c r="H223" s="104">
        <v>218</v>
      </c>
      <c r="I223" s="105" t="str">
        <f t="shared" si="19"/>
        <v/>
      </c>
      <c r="J223" s="104">
        <f t="shared" si="20"/>
        <v>-7</v>
      </c>
      <c r="K223" s="104">
        <f t="shared" si="17"/>
        <v>-70</v>
      </c>
      <c r="L223" s="104"/>
      <c r="M223" s="106">
        <f t="shared" si="18"/>
        <v>0</v>
      </c>
    </row>
    <row r="224" spans="1:13" x14ac:dyDescent="0.25">
      <c r="A224" s="120"/>
      <c r="G224" s="90"/>
      <c r="H224" s="104">
        <v>219</v>
      </c>
      <c r="I224" s="105" t="str">
        <f t="shared" si="19"/>
        <v/>
      </c>
      <c r="J224" s="104">
        <f t="shared" si="20"/>
        <v>-7</v>
      </c>
      <c r="K224" s="104">
        <f t="shared" si="17"/>
        <v>-70</v>
      </c>
      <c r="L224" s="104"/>
      <c r="M224" s="106">
        <f t="shared" si="18"/>
        <v>0</v>
      </c>
    </row>
    <row r="225" spans="1:13" x14ac:dyDescent="0.25">
      <c r="A225" s="120"/>
      <c r="G225" s="90"/>
      <c r="H225" s="104">
        <v>220</v>
      </c>
      <c r="I225" s="105" t="str">
        <f t="shared" si="19"/>
        <v/>
      </c>
      <c r="J225" s="104">
        <f t="shared" si="20"/>
        <v>-7</v>
      </c>
      <c r="K225" s="104">
        <f t="shared" si="17"/>
        <v>-70</v>
      </c>
      <c r="L225" s="104"/>
      <c r="M225" s="106">
        <f t="shared" si="18"/>
        <v>0</v>
      </c>
    </row>
    <row r="226" spans="1:13" x14ac:dyDescent="0.25">
      <c r="A226" s="120"/>
      <c r="G226" s="90"/>
      <c r="H226" s="104">
        <v>221</v>
      </c>
      <c r="I226" s="105" t="str">
        <f t="shared" si="19"/>
        <v/>
      </c>
      <c r="J226" s="104">
        <f t="shared" si="20"/>
        <v>-7</v>
      </c>
      <c r="K226" s="104">
        <f t="shared" si="17"/>
        <v>-70</v>
      </c>
      <c r="L226" s="104"/>
      <c r="M226" s="106">
        <f t="shared" si="18"/>
        <v>0</v>
      </c>
    </row>
    <row r="227" spans="1:13" x14ac:dyDescent="0.25">
      <c r="A227" s="120"/>
      <c r="G227" s="90"/>
      <c r="H227" s="104">
        <v>222</v>
      </c>
      <c r="I227" s="105" t="str">
        <f t="shared" si="19"/>
        <v/>
      </c>
      <c r="J227" s="104">
        <f t="shared" si="20"/>
        <v>-7</v>
      </c>
      <c r="K227" s="104">
        <f t="shared" si="17"/>
        <v>-70</v>
      </c>
      <c r="L227" s="104"/>
      <c r="M227" s="106">
        <f t="shared" si="18"/>
        <v>0</v>
      </c>
    </row>
    <row r="228" spans="1:13" x14ac:dyDescent="0.25">
      <c r="A228" s="120"/>
      <c r="G228" s="90"/>
      <c r="H228" s="104">
        <v>223</v>
      </c>
      <c r="I228" s="105" t="str">
        <f t="shared" si="19"/>
        <v/>
      </c>
      <c r="J228" s="104">
        <f t="shared" si="20"/>
        <v>-7</v>
      </c>
      <c r="K228" s="104">
        <f t="shared" si="17"/>
        <v>-70</v>
      </c>
      <c r="L228" s="104"/>
      <c r="M228" s="106">
        <f t="shared" si="18"/>
        <v>0</v>
      </c>
    </row>
    <row r="229" spans="1:13" x14ac:dyDescent="0.25">
      <c r="A229" s="120"/>
      <c r="G229" s="90"/>
      <c r="H229" s="104">
        <v>224</v>
      </c>
      <c r="I229" s="105" t="str">
        <f t="shared" si="19"/>
        <v/>
      </c>
      <c r="J229" s="104">
        <f t="shared" si="20"/>
        <v>-7</v>
      </c>
      <c r="K229" s="104">
        <f t="shared" si="17"/>
        <v>-70</v>
      </c>
      <c r="L229" s="104"/>
      <c r="M229" s="106">
        <f t="shared" si="18"/>
        <v>0</v>
      </c>
    </row>
    <row r="230" spans="1:13" x14ac:dyDescent="0.25">
      <c r="A230" s="120"/>
      <c r="G230" s="90"/>
      <c r="H230" s="104">
        <v>225</v>
      </c>
      <c r="I230" s="105" t="str">
        <f t="shared" si="19"/>
        <v/>
      </c>
      <c r="J230" s="104">
        <f t="shared" si="20"/>
        <v>-7</v>
      </c>
      <c r="K230" s="104">
        <f t="shared" si="17"/>
        <v>-70</v>
      </c>
      <c r="L230" s="104"/>
      <c r="M230" s="106">
        <f t="shared" si="18"/>
        <v>0</v>
      </c>
    </row>
    <row r="231" spans="1:13" x14ac:dyDescent="0.25">
      <c r="A231" s="120"/>
      <c r="G231" s="90"/>
      <c r="H231" s="104">
        <v>226</v>
      </c>
      <c r="I231" s="105" t="str">
        <f t="shared" si="19"/>
        <v/>
      </c>
      <c r="J231" s="104">
        <f t="shared" si="20"/>
        <v>-7</v>
      </c>
      <c r="K231" s="104">
        <f t="shared" si="17"/>
        <v>-70</v>
      </c>
      <c r="L231" s="104"/>
      <c r="M231" s="106">
        <f t="shared" si="18"/>
        <v>0</v>
      </c>
    </row>
    <row r="232" spans="1:13" x14ac:dyDescent="0.25">
      <c r="A232" s="120"/>
      <c r="G232" s="90"/>
      <c r="H232" s="104">
        <v>227</v>
      </c>
      <c r="I232" s="105" t="str">
        <f t="shared" si="19"/>
        <v/>
      </c>
      <c r="J232" s="104">
        <f t="shared" si="20"/>
        <v>-7</v>
      </c>
      <c r="K232" s="104">
        <f t="shared" si="17"/>
        <v>-70</v>
      </c>
      <c r="L232" s="104"/>
      <c r="M232" s="106">
        <f t="shared" si="18"/>
        <v>0</v>
      </c>
    </row>
    <row r="233" spans="1:13" x14ac:dyDescent="0.25">
      <c r="A233" s="120"/>
      <c r="G233" s="90"/>
      <c r="H233" s="104">
        <v>228</v>
      </c>
      <c r="I233" s="105" t="str">
        <f t="shared" si="19"/>
        <v/>
      </c>
      <c r="J233" s="104">
        <f t="shared" si="20"/>
        <v>-7</v>
      </c>
      <c r="K233" s="104">
        <f t="shared" si="17"/>
        <v>-70</v>
      </c>
      <c r="L233" s="104"/>
      <c r="M233" s="106">
        <f t="shared" si="18"/>
        <v>0</v>
      </c>
    </row>
    <row r="234" spans="1:13" x14ac:dyDescent="0.25">
      <c r="A234" s="120"/>
      <c r="G234" s="90"/>
      <c r="H234" s="104">
        <v>229</v>
      </c>
      <c r="I234" s="105" t="str">
        <f t="shared" si="19"/>
        <v/>
      </c>
      <c r="J234" s="104">
        <f t="shared" si="20"/>
        <v>-7</v>
      </c>
      <c r="K234" s="104">
        <f t="shared" si="17"/>
        <v>-70</v>
      </c>
      <c r="L234" s="104"/>
      <c r="M234" s="106">
        <f t="shared" si="18"/>
        <v>0</v>
      </c>
    </row>
    <row r="235" spans="1:13" x14ac:dyDescent="0.25">
      <c r="A235" s="120"/>
      <c r="G235" s="90"/>
      <c r="H235" s="104">
        <v>230</v>
      </c>
      <c r="I235" s="105" t="str">
        <f t="shared" si="19"/>
        <v/>
      </c>
      <c r="J235" s="104">
        <f t="shared" si="20"/>
        <v>-7</v>
      </c>
      <c r="K235" s="104">
        <f t="shared" si="17"/>
        <v>-70</v>
      </c>
      <c r="L235" s="104"/>
      <c r="M235" s="106">
        <f t="shared" si="18"/>
        <v>0</v>
      </c>
    </row>
    <row r="236" spans="1:13" x14ac:dyDescent="0.25">
      <c r="A236" s="120"/>
      <c r="G236" s="90"/>
      <c r="H236" s="104">
        <v>231</v>
      </c>
      <c r="I236" s="105" t="str">
        <f t="shared" si="19"/>
        <v/>
      </c>
      <c r="J236" s="104">
        <f t="shared" si="20"/>
        <v>-7</v>
      </c>
      <c r="K236" s="104">
        <f t="shared" si="17"/>
        <v>-70</v>
      </c>
      <c r="L236" s="104"/>
      <c r="M236" s="106">
        <f t="shared" si="18"/>
        <v>0</v>
      </c>
    </row>
    <row r="237" spans="1:13" x14ac:dyDescent="0.25">
      <c r="A237" s="120"/>
      <c r="G237" s="90"/>
      <c r="H237" s="104">
        <v>232</v>
      </c>
      <c r="I237" s="105" t="str">
        <f t="shared" si="19"/>
        <v/>
      </c>
      <c r="J237" s="104">
        <f t="shared" si="20"/>
        <v>-7</v>
      </c>
      <c r="K237" s="104">
        <f t="shared" si="17"/>
        <v>-70</v>
      </c>
      <c r="L237" s="104"/>
      <c r="M237" s="106">
        <f t="shared" si="18"/>
        <v>0</v>
      </c>
    </row>
    <row r="238" spans="1:13" x14ac:dyDescent="0.25">
      <c r="A238" s="120"/>
      <c r="G238" s="90"/>
      <c r="H238" s="104">
        <v>233</v>
      </c>
      <c r="I238" s="105" t="str">
        <f t="shared" si="19"/>
        <v/>
      </c>
      <c r="J238" s="104">
        <f t="shared" si="20"/>
        <v>-7</v>
      </c>
      <c r="K238" s="104">
        <f t="shared" si="17"/>
        <v>-70</v>
      </c>
      <c r="L238" s="104"/>
      <c r="M238" s="106">
        <f t="shared" si="18"/>
        <v>0</v>
      </c>
    </row>
    <row r="239" spans="1:13" x14ac:dyDescent="0.25">
      <c r="A239" s="120"/>
      <c r="G239" s="90"/>
      <c r="H239" s="104">
        <v>234</v>
      </c>
      <c r="I239" s="105" t="str">
        <f t="shared" si="19"/>
        <v/>
      </c>
      <c r="J239" s="104">
        <f t="shared" si="20"/>
        <v>-7</v>
      </c>
      <c r="K239" s="104">
        <f t="shared" si="17"/>
        <v>-70</v>
      </c>
      <c r="L239" s="104"/>
      <c r="M239" s="106">
        <f t="shared" si="18"/>
        <v>0</v>
      </c>
    </row>
    <row r="240" spans="1:13" x14ac:dyDescent="0.25">
      <c r="A240" s="120"/>
      <c r="G240" s="90"/>
      <c r="H240" s="104">
        <v>235</v>
      </c>
      <c r="I240" s="105" t="str">
        <f t="shared" si="19"/>
        <v/>
      </c>
      <c r="J240" s="104">
        <f t="shared" si="20"/>
        <v>-7</v>
      </c>
      <c r="K240" s="104">
        <f t="shared" si="17"/>
        <v>-70</v>
      </c>
      <c r="L240" s="104"/>
      <c r="M240" s="106">
        <f t="shared" si="18"/>
        <v>0</v>
      </c>
    </row>
    <row r="241" spans="1:13" x14ac:dyDescent="0.25">
      <c r="A241" s="120"/>
      <c r="G241" s="90"/>
      <c r="H241" s="104">
        <v>236</v>
      </c>
      <c r="I241" s="105" t="str">
        <f t="shared" si="19"/>
        <v/>
      </c>
      <c r="J241" s="104">
        <f t="shared" si="20"/>
        <v>-7</v>
      </c>
      <c r="K241" s="104">
        <f t="shared" si="17"/>
        <v>-70</v>
      </c>
      <c r="L241" s="104"/>
      <c r="M241" s="106">
        <f t="shared" si="18"/>
        <v>0</v>
      </c>
    </row>
    <row r="242" spans="1:13" x14ac:dyDescent="0.25">
      <c r="A242" s="120"/>
      <c r="G242" s="90"/>
      <c r="H242" s="104">
        <v>237</v>
      </c>
      <c r="I242" s="105" t="str">
        <f t="shared" si="19"/>
        <v/>
      </c>
      <c r="J242" s="104">
        <f t="shared" si="20"/>
        <v>-7</v>
      </c>
      <c r="K242" s="104">
        <f t="shared" si="17"/>
        <v>-70</v>
      </c>
      <c r="L242" s="104"/>
      <c r="M242" s="106">
        <f t="shared" si="18"/>
        <v>0</v>
      </c>
    </row>
    <row r="243" spans="1:13" x14ac:dyDescent="0.25">
      <c r="A243" s="120"/>
      <c r="G243" s="90"/>
      <c r="H243" s="104">
        <v>238</v>
      </c>
      <c r="I243" s="105" t="str">
        <f t="shared" si="19"/>
        <v/>
      </c>
      <c r="J243" s="104">
        <f t="shared" si="20"/>
        <v>-7</v>
      </c>
      <c r="K243" s="104">
        <f t="shared" si="17"/>
        <v>-70</v>
      </c>
      <c r="L243" s="104"/>
      <c r="M243" s="106">
        <f t="shared" si="18"/>
        <v>0</v>
      </c>
    </row>
    <row r="244" spans="1:13" x14ac:dyDescent="0.25">
      <c r="A244" s="120"/>
      <c r="G244" s="90"/>
      <c r="H244" s="104">
        <v>239</v>
      </c>
      <c r="I244" s="105" t="str">
        <f t="shared" si="19"/>
        <v/>
      </c>
      <c r="J244" s="104">
        <f t="shared" si="20"/>
        <v>-7</v>
      </c>
      <c r="K244" s="104">
        <f t="shared" si="17"/>
        <v>-70</v>
      </c>
      <c r="L244" s="104"/>
      <c r="M244" s="106">
        <f t="shared" si="18"/>
        <v>0</v>
      </c>
    </row>
    <row r="245" spans="1:13" x14ac:dyDescent="0.25">
      <c r="A245" s="120"/>
      <c r="G245" s="90"/>
      <c r="H245" s="104">
        <v>240</v>
      </c>
      <c r="I245" s="105" t="str">
        <f t="shared" si="19"/>
        <v/>
      </c>
      <c r="J245" s="104">
        <f t="shared" si="20"/>
        <v>-7</v>
      </c>
      <c r="K245" s="104">
        <f t="shared" si="17"/>
        <v>-70</v>
      </c>
      <c r="L245" s="104"/>
      <c r="M245" s="106">
        <f t="shared" si="18"/>
        <v>0</v>
      </c>
    </row>
    <row r="246" spans="1:13" x14ac:dyDescent="0.25">
      <c r="A246" s="120"/>
      <c r="G246" s="90"/>
      <c r="H246" s="104">
        <v>241</v>
      </c>
      <c r="I246" s="105" t="str">
        <f t="shared" si="19"/>
        <v/>
      </c>
      <c r="J246" s="104">
        <f t="shared" si="20"/>
        <v>-7</v>
      </c>
      <c r="K246" s="104">
        <f t="shared" si="17"/>
        <v>-70</v>
      </c>
      <c r="L246" s="104"/>
      <c r="M246" s="106">
        <f t="shared" si="18"/>
        <v>0</v>
      </c>
    </row>
    <row r="247" spans="1:13" x14ac:dyDescent="0.25">
      <c r="A247" s="120"/>
      <c r="G247" s="90"/>
      <c r="H247" s="104">
        <v>242</v>
      </c>
      <c r="I247" s="105" t="str">
        <f t="shared" si="19"/>
        <v/>
      </c>
      <c r="J247" s="104">
        <f t="shared" si="20"/>
        <v>-7</v>
      </c>
      <c r="K247" s="104">
        <f t="shared" si="17"/>
        <v>-70</v>
      </c>
      <c r="L247" s="104"/>
      <c r="M247" s="106">
        <f t="shared" si="18"/>
        <v>0</v>
      </c>
    </row>
    <row r="248" spans="1:13" x14ac:dyDescent="0.25">
      <c r="A248" s="120"/>
      <c r="G248" s="90"/>
      <c r="H248" s="104">
        <v>243</v>
      </c>
      <c r="I248" s="105" t="str">
        <f t="shared" si="19"/>
        <v/>
      </c>
      <c r="J248" s="104">
        <f t="shared" si="20"/>
        <v>-7</v>
      </c>
      <c r="K248" s="104">
        <f t="shared" si="17"/>
        <v>-70</v>
      </c>
      <c r="L248" s="104"/>
      <c r="M248" s="106">
        <f t="shared" si="18"/>
        <v>0</v>
      </c>
    </row>
    <row r="249" spans="1:13" x14ac:dyDescent="0.25">
      <c r="A249" s="120"/>
      <c r="G249" s="90"/>
      <c r="H249" s="104">
        <v>244</v>
      </c>
      <c r="I249" s="105" t="str">
        <f t="shared" si="19"/>
        <v/>
      </c>
      <c r="J249" s="104">
        <f t="shared" si="20"/>
        <v>-7</v>
      </c>
      <c r="K249" s="104">
        <f t="shared" si="17"/>
        <v>-70</v>
      </c>
      <c r="L249" s="104"/>
      <c r="M249" s="106">
        <f t="shared" si="18"/>
        <v>0</v>
      </c>
    </row>
    <row r="250" spans="1:13" x14ac:dyDescent="0.25">
      <c r="A250" s="120"/>
      <c r="G250" s="90"/>
      <c r="H250" s="104">
        <v>245</v>
      </c>
      <c r="I250" s="105" t="str">
        <f t="shared" si="19"/>
        <v/>
      </c>
      <c r="J250" s="104">
        <f t="shared" si="20"/>
        <v>-7</v>
      </c>
      <c r="K250" s="104">
        <f t="shared" si="17"/>
        <v>-70</v>
      </c>
      <c r="L250" s="104"/>
      <c r="M250" s="106">
        <f t="shared" si="18"/>
        <v>0</v>
      </c>
    </row>
    <row r="251" spans="1:13" x14ac:dyDescent="0.25">
      <c r="A251" s="120"/>
      <c r="G251" s="90"/>
      <c r="H251" s="104">
        <v>246</v>
      </c>
      <c r="I251" s="105" t="str">
        <f t="shared" si="19"/>
        <v/>
      </c>
      <c r="J251" s="104">
        <f t="shared" si="20"/>
        <v>-7</v>
      </c>
      <c r="K251" s="104">
        <f t="shared" si="17"/>
        <v>-70</v>
      </c>
      <c r="L251" s="104"/>
      <c r="M251" s="106">
        <f t="shared" si="18"/>
        <v>0</v>
      </c>
    </row>
    <row r="252" spans="1:13" x14ac:dyDescent="0.25">
      <c r="A252" s="120"/>
      <c r="G252" s="90"/>
      <c r="H252" s="104">
        <v>247</v>
      </c>
      <c r="I252" s="105" t="str">
        <f t="shared" si="19"/>
        <v/>
      </c>
      <c r="J252" s="104">
        <f t="shared" si="20"/>
        <v>-7</v>
      </c>
      <c r="K252" s="104">
        <f t="shared" si="17"/>
        <v>-70</v>
      </c>
      <c r="L252" s="104"/>
      <c r="M252" s="106">
        <f t="shared" si="18"/>
        <v>0</v>
      </c>
    </row>
    <row r="253" spans="1:13" x14ac:dyDescent="0.25">
      <c r="A253" s="120"/>
      <c r="G253" s="90"/>
      <c r="H253" s="104">
        <v>248</v>
      </c>
      <c r="I253" s="105" t="str">
        <f t="shared" si="19"/>
        <v/>
      </c>
      <c r="J253" s="104">
        <f t="shared" si="20"/>
        <v>-7</v>
      </c>
      <c r="K253" s="104">
        <f t="shared" si="17"/>
        <v>-70</v>
      </c>
      <c r="L253" s="104"/>
      <c r="M253" s="106">
        <f t="shared" si="18"/>
        <v>0</v>
      </c>
    </row>
    <row r="254" spans="1:13" x14ac:dyDescent="0.25">
      <c r="A254" s="120"/>
      <c r="G254" s="90"/>
      <c r="H254" s="104">
        <v>249</v>
      </c>
      <c r="I254" s="105" t="str">
        <f t="shared" si="19"/>
        <v/>
      </c>
      <c r="J254" s="104">
        <f t="shared" si="20"/>
        <v>-7</v>
      </c>
      <c r="K254" s="104">
        <f t="shared" si="17"/>
        <v>-70</v>
      </c>
      <c r="L254" s="104"/>
      <c r="M254" s="106">
        <f t="shared" si="18"/>
        <v>0</v>
      </c>
    </row>
    <row r="255" spans="1:13" x14ac:dyDescent="0.25">
      <c r="A255" s="120"/>
      <c r="G255" s="90"/>
      <c r="H255" s="104">
        <v>250</v>
      </c>
      <c r="I255" s="105" t="str">
        <f t="shared" si="19"/>
        <v/>
      </c>
      <c r="J255" s="104">
        <f t="shared" si="20"/>
        <v>-7</v>
      </c>
      <c r="K255" s="104">
        <f t="shared" si="17"/>
        <v>-70</v>
      </c>
      <c r="L255" s="104"/>
      <c r="M255" s="106">
        <f t="shared" si="18"/>
        <v>0</v>
      </c>
    </row>
    <row r="256" spans="1:13" x14ac:dyDescent="0.25">
      <c r="A256" s="120"/>
      <c r="G256" s="90"/>
      <c r="H256" s="104">
        <v>251</v>
      </c>
      <c r="I256" s="105" t="str">
        <f t="shared" si="19"/>
        <v/>
      </c>
      <c r="J256" s="104">
        <f t="shared" si="20"/>
        <v>-7</v>
      </c>
      <c r="K256" s="104">
        <f t="shared" si="17"/>
        <v>-70</v>
      </c>
      <c r="L256" s="104"/>
      <c r="M256" s="106">
        <f t="shared" si="18"/>
        <v>0</v>
      </c>
    </row>
    <row r="257" spans="1:13" x14ac:dyDescent="0.25">
      <c r="A257" s="120"/>
      <c r="G257" s="90"/>
      <c r="H257" s="104">
        <v>252</v>
      </c>
      <c r="I257" s="105" t="str">
        <f t="shared" si="19"/>
        <v/>
      </c>
      <c r="J257" s="104">
        <f t="shared" si="20"/>
        <v>-7</v>
      </c>
      <c r="K257" s="104">
        <f t="shared" si="17"/>
        <v>-70</v>
      </c>
      <c r="L257" s="104"/>
      <c r="M257" s="106">
        <f t="shared" si="18"/>
        <v>0</v>
      </c>
    </row>
    <row r="258" spans="1:13" x14ac:dyDescent="0.25">
      <c r="A258" s="120"/>
      <c r="G258" s="90"/>
      <c r="H258" s="104">
        <v>253</v>
      </c>
      <c r="I258" s="105" t="str">
        <f t="shared" si="19"/>
        <v/>
      </c>
      <c r="J258" s="104">
        <f t="shared" si="20"/>
        <v>-7</v>
      </c>
      <c r="K258" s="104">
        <f t="shared" si="17"/>
        <v>-70</v>
      </c>
      <c r="L258" s="104"/>
      <c r="M258" s="106">
        <f t="shared" si="18"/>
        <v>0</v>
      </c>
    </row>
    <row r="259" spans="1:13" x14ac:dyDescent="0.25">
      <c r="A259" s="120"/>
      <c r="G259" s="90"/>
      <c r="H259" s="104">
        <v>254</v>
      </c>
      <c r="I259" s="105" t="str">
        <f t="shared" si="19"/>
        <v/>
      </c>
      <c r="J259" s="104">
        <f t="shared" si="20"/>
        <v>-7</v>
      </c>
      <c r="K259" s="104">
        <f t="shared" si="17"/>
        <v>-70</v>
      </c>
      <c r="L259" s="104"/>
      <c r="M259" s="106">
        <f t="shared" si="18"/>
        <v>0</v>
      </c>
    </row>
    <row r="260" spans="1:13" x14ac:dyDescent="0.25">
      <c r="A260" s="120"/>
      <c r="G260" s="90"/>
      <c r="H260" s="104">
        <v>255</v>
      </c>
      <c r="I260" s="105" t="str">
        <f t="shared" si="19"/>
        <v/>
      </c>
      <c r="J260" s="104">
        <f t="shared" si="20"/>
        <v>-7</v>
      </c>
      <c r="K260" s="104">
        <f t="shared" si="17"/>
        <v>-70</v>
      </c>
      <c r="L260" s="104"/>
      <c r="M260" s="106">
        <f t="shared" si="18"/>
        <v>0</v>
      </c>
    </row>
    <row r="261" spans="1:13" x14ac:dyDescent="0.25">
      <c r="A261" s="120"/>
      <c r="G261" s="90"/>
      <c r="H261" s="104">
        <v>256</v>
      </c>
      <c r="I261" s="105" t="str">
        <f t="shared" si="19"/>
        <v/>
      </c>
      <c r="J261" s="104">
        <f t="shared" si="20"/>
        <v>-7</v>
      </c>
      <c r="K261" s="104">
        <f t="shared" si="17"/>
        <v>-70</v>
      </c>
      <c r="L261" s="104"/>
      <c r="M261" s="106">
        <f t="shared" si="18"/>
        <v>0</v>
      </c>
    </row>
    <row r="262" spans="1:13" x14ac:dyDescent="0.25">
      <c r="A262" s="120"/>
      <c r="G262" s="90"/>
      <c r="H262" s="104">
        <v>257</v>
      </c>
      <c r="I262" s="105" t="str">
        <f t="shared" si="19"/>
        <v/>
      </c>
      <c r="J262" s="104">
        <f t="shared" si="20"/>
        <v>-8</v>
      </c>
      <c r="K262" s="104">
        <f t="shared" ref="K262:K305" si="21">J262*$J$2</f>
        <v>-80</v>
      </c>
      <c r="L262" s="104"/>
      <c r="M262" s="106">
        <f t="shared" ref="M262:M305" si="22">IF(I262&lt;&gt;"",K262+I262+L262,0)</f>
        <v>0</v>
      </c>
    </row>
    <row r="263" spans="1:13" x14ac:dyDescent="0.25">
      <c r="A263" s="120"/>
      <c r="G263" s="90"/>
      <c r="H263" s="104">
        <v>258</v>
      </c>
      <c r="I263" s="105" t="str">
        <f t="shared" ref="I263:I305" si="23">IF(H263&lt;$H$2+1,($I$2-($I$2-1)*(LOG(H263)/LOG($H$2))),"")</f>
        <v/>
      </c>
      <c r="J263" s="104">
        <f t="shared" ref="J263:J305" si="24">INT(LOG($H$2,2))-ROUNDUP(LOG(H263,2),0)+IF(OR($H$2=1,$H$2=2,$H$2=4,$H$2=8,$H$2=16,$H$2=32,$H$2=64,$H$2=128,$H$2=256),0,1)</f>
        <v>-8</v>
      </c>
      <c r="K263" s="104">
        <f t="shared" si="21"/>
        <v>-80</v>
      </c>
      <c r="L263" s="104"/>
      <c r="M263" s="106">
        <f t="shared" si="22"/>
        <v>0</v>
      </c>
    </row>
    <row r="264" spans="1:13" x14ac:dyDescent="0.25">
      <c r="A264" s="120"/>
      <c r="G264" s="90"/>
      <c r="H264" s="104">
        <v>259</v>
      </c>
      <c r="I264" s="105" t="str">
        <f t="shared" si="23"/>
        <v/>
      </c>
      <c r="J264" s="104">
        <f t="shared" si="24"/>
        <v>-8</v>
      </c>
      <c r="K264" s="104">
        <f t="shared" si="21"/>
        <v>-80</v>
      </c>
      <c r="L264" s="104"/>
      <c r="M264" s="106">
        <f t="shared" si="22"/>
        <v>0</v>
      </c>
    </row>
    <row r="265" spans="1:13" x14ac:dyDescent="0.25">
      <c r="A265" s="120"/>
      <c r="G265" s="90"/>
      <c r="H265" s="104">
        <v>260</v>
      </c>
      <c r="I265" s="105" t="str">
        <f t="shared" si="23"/>
        <v/>
      </c>
      <c r="J265" s="104">
        <f t="shared" si="24"/>
        <v>-8</v>
      </c>
      <c r="K265" s="104">
        <f t="shared" si="21"/>
        <v>-80</v>
      </c>
      <c r="L265" s="104"/>
      <c r="M265" s="106">
        <f t="shared" si="22"/>
        <v>0</v>
      </c>
    </row>
    <row r="266" spans="1:13" x14ac:dyDescent="0.25">
      <c r="A266" s="120"/>
      <c r="G266" s="90"/>
      <c r="H266" s="104">
        <v>261</v>
      </c>
      <c r="I266" s="105" t="str">
        <f t="shared" si="23"/>
        <v/>
      </c>
      <c r="J266" s="104">
        <f t="shared" si="24"/>
        <v>-8</v>
      </c>
      <c r="K266" s="104">
        <f t="shared" si="21"/>
        <v>-80</v>
      </c>
      <c r="L266" s="104"/>
      <c r="M266" s="106">
        <f t="shared" si="22"/>
        <v>0</v>
      </c>
    </row>
    <row r="267" spans="1:13" x14ac:dyDescent="0.25">
      <c r="A267" s="120"/>
      <c r="G267" s="90"/>
      <c r="H267" s="104">
        <v>262</v>
      </c>
      <c r="I267" s="105" t="str">
        <f t="shared" si="23"/>
        <v/>
      </c>
      <c r="J267" s="104">
        <f t="shared" si="24"/>
        <v>-8</v>
      </c>
      <c r="K267" s="104">
        <f t="shared" si="21"/>
        <v>-80</v>
      </c>
      <c r="L267" s="104"/>
      <c r="M267" s="106">
        <f t="shared" si="22"/>
        <v>0</v>
      </c>
    </row>
    <row r="268" spans="1:13" x14ac:dyDescent="0.25">
      <c r="A268" s="120"/>
      <c r="G268" s="90"/>
      <c r="H268" s="104">
        <v>263</v>
      </c>
      <c r="I268" s="105" t="str">
        <f t="shared" si="23"/>
        <v/>
      </c>
      <c r="J268" s="104">
        <f t="shared" si="24"/>
        <v>-8</v>
      </c>
      <c r="K268" s="104">
        <f t="shared" si="21"/>
        <v>-80</v>
      </c>
      <c r="L268" s="104"/>
      <c r="M268" s="106">
        <f t="shared" si="22"/>
        <v>0</v>
      </c>
    </row>
    <row r="269" spans="1:13" x14ac:dyDescent="0.25">
      <c r="A269" s="120"/>
      <c r="G269" s="90"/>
      <c r="H269" s="104">
        <v>264</v>
      </c>
      <c r="I269" s="105" t="str">
        <f t="shared" si="23"/>
        <v/>
      </c>
      <c r="J269" s="104">
        <f t="shared" si="24"/>
        <v>-8</v>
      </c>
      <c r="K269" s="104">
        <f t="shared" si="21"/>
        <v>-80</v>
      </c>
      <c r="L269" s="104"/>
      <c r="M269" s="106">
        <f t="shared" si="22"/>
        <v>0</v>
      </c>
    </row>
    <row r="270" spans="1:13" x14ac:dyDescent="0.25">
      <c r="A270" s="120"/>
      <c r="G270" s="90"/>
      <c r="H270" s="104">
        <v>265</v>
      </c>
      <c r="I270" s="105" t="str">
        <f t="shared" si="23"/>
        <v/>
      </c>
      <c r="J270" s="104">
        <f t="shared" si="24"/>
        <v>-8</v>
      </c>
      <c r="K270" s="104">
        <f t="shared" si="21"/>
        <v>-80</v>
      </c>
      <c r="L270" s="104"/>
      <c r="M270" s="106">
        <f t="shared" si="22"/>
        <v>0</v>
      </c>
    </row>
    <row r="271" spans="1:13" x14ac:dyDescent="0.25">
      <c r="A271" s="120"/>
      <c r="G271" s="90"/>
      <c r="H271" s="104">
        <v>266</v>
      </c>
      <c r="I271" s="105" t="str">
        <f t="shared" si="23"/>
        <v/>
      </c>
      <c r="J271" s="104">
        <f t="shared" si="24"/>
        <v>-8</v>
      </c>
      <c r="K271" s="104">
        <f t="shared" si="21"/>
        <v>-80</v>
      </c>
      <c r="L271" s="104"/>
      <c r="M271" s="106">
        <f t="shared" si="22"/>
        <v>0</v>
      </c>
    </row>
    <row r="272" spans="1:13" x14ac:dyDescent="0.25">
      <c r="A272" s="120"/>
      <c r="G272" s="90"/>
      <c r="H272" s="104">
        <v>267</v>
      </c>
      <c r="I272" s="105" t="str">
        <f t="shared" si="23"/>
        <v/>
      </c>
      <c r="J272" s="104">
        <f t="shared" si="24"/>
        <v>-8</v>
      </c>
      <c r="K272" s="104">
        <f t="shared" si="21"/>
        <v>-80</v>
      </c>
      <c r="L272" s="104"/>
      <c r="M272" s="106">
        <f t="shared" si="22"/>
        <v>0</v>
      </c>
    </row>
    <row r="273" spans="1:13" x14ac:dyDescent="0.25">
      <c r="A273" s="120"/>
      <c r="G273" s="90"/>
      <c r="H273" s="104">
        <v>268</v>
      </c>
      <c r="I273" s="105" t="str">
        <f t="shared" si="23"/>
        <v/>
      </c>
      <c r="J273" s="104">
        <f t="shared" si="24"/>
        <v>-8</v>
      </c>
      <c r="K273" s="104">
        <f t="shared" si="21"/>
        <v>-80</v>
      </c>
      <c r="L273" s="104"/>
      <c r="M273" s="106">
        <f t="shared" si="22"/>
        <v>0</v>
      </c>
    </row>
    <row r="274" spans="1:13" x14ac:dyDescent="0.25">
      <c r="A274" s="120"/>
      <c r="G274" s="90"/>
      <c r="H274" s="104">
        <v>269</v>
      </c>
      <c r="I274" s="105" t="str">
        <f t="shared" si="23"/>
        <v/>
      </c>
      <c r="J274" s="104">
        <f t="shared" si="24"/>
        <v>-8</v>
      </c>
      <c r="K274" s="104">
        <f t="shared" si="21"/>
        <v>-80</v>
      </c>
      <c r="L274" s="104"/>
      <c r="M274" s="106">
        <f t="shared" si="22"/>
        <v>0</v>
      </c>
    </row>
    <row r="275" spans="1:13" x14ac:dyDescent="0.25">
      <c r="A275" s="120"/>
      <c r="G275" s="90"/>
      <c r="H275" s="104">
        <v>270</v>
      </c>
      <c r="I275" s="105" t="str">
        <f t="shared" si="23"/>
        <v/>
      </c>
      <c r="J275" s="104">
        <f t="shared" si="24"/>
        <v>-8</v>
      </c>
      <c r="K275" s="104">
        <f t="shared" si="21"/>
        <v>-80</v>
      </c>
      <c r="L275" s="104"/>
      <c r="M275" s="106">
        <f t="shared" si="22"/>
        <v>0</v>
      </c>
    </row>
    <row r="276" spans="1:13" x14ac:dyDescent="0.25">
      <c r="A276" s="120"/>
      <c r="G276" s="90"/>
      <c r="H276" s="104">
        <v>271</v>
      </c>
      <c r="I276" s="105" t="str">
        <f t="shared" si="23"/>
        <v/>
      </c>
      <c r="J276" s="104">
        <f t="shared" si="24"/>
        <v>-8</v>
      </c>
      <c r="K276" s="104">
        <f t="shared" si="21"/>
        <v>-80</v>
      </c>
      <c r="L276" s="104"/>
      <c r="M276" s="106">
        <f t="shared" si="22"/>
        <v>0</v>
      </c>
    </row>
    <row r="277" spans="1:13" x14ac:dyDescent="0.25">
      <c r="A277" s="120"/>
      <c r="G277" s="90"/>
      <c r="H277" s="104">
        <v>272</v>
      </c>
      <c r="I277" s="105" t="str">
        <f t="shared" si="23"/>
        <v/>
      </c>
      <c r="J277" s="104">
        <f t="shared" si="24"/>
        <v>-8</v>
      </c>
      <c r="K277" s="104">
        <f t="shared" si="21"/>
        <v>-80</v>
      </c>
      <c r="L277" s="104"/>
      <c r="M277" s="106">
        <f t="shared" si="22"/>
        <v>0</v>
      </c>
    </row>
    <row r="278" spans="1:13" x14ac:dyDescent="0.25">
      <c r="A278" s="120"/>
      <c r="G278" s="90"/>
      <c r="H278" s="104">
        <v>273</v>
      </c>
      <c r="I278" s="105" t="str">
        <f t="shared" si="23"/>
        <v/>
      </c>
      <c r="J278" s="104">
        <f t="shared" si="24"/>
        <v>-8</v>
      </c>
      <c r="K278" s="104">
        <f t="shared" si="21"/>
        <v>-80</v>
      </c>
      <c r="L278" s="104"/>
      <c r="M278" s="106">
        <f t="shared" si="22"/>
        <v>0</v>
      </c>
    </row>
    <row r="279" spans="1:13" x14ac:dyDescent="0.25">
      <c r="A279" s="120"/>
      <c r="G279" s="90"/>
      <c r="H279" s="104">
        <v>274</v>
      </c>
      <c r="I279" s="105" t="str">
        <f t="shared" si="23"/>
        <v/>
      </c>
      <c r="J279" s="104">
        <f t="shared" si="24"/>
        <v>-8</v>
      </c>
      <c r="K279" s="104">
        <f t="shared" si="21"/>
        <v>-80</v>
      </c>
      <c r="L279" s="104"/>
      <c r="M279" s="106">
        <f t="shared" si="22"/>
        <v>0</v>
      </c>
    </row>
    <row r="280" spans="1:13" x14ac:dyDescent="0.25">
      <c r="A280" s="120"/>
      <c r="G280" s="90"/>
      <c r="H280" s="104">
        <v>275</v>
      </c>
      <c r="I280" s="105" t="str">
        <f t="shared" si="23"/>
        <v/>
      </c>
      <c r="J280" s="104">
        <f t="shared" si="24"/>
        <v>-8</v>
      </c>
      <c r="K280" s="104">
        <f t="shared" si="21"/>
        <v>-80</v>
      </c>
      <c r="L280" s="104"/>
      <c r="M280" s="106">
        <f t="shared" si="22"/>
        <v>0</v>
      </c>
    </row>
    <row r="281" spans="1:13" x14ac:dyDescent="0.25">
      <c r="A281" s="120"/>
      <c r="G281" s="90"/>
      <c r="H281" s="104">
        <v>276</v>
      </c>
      <c r="I281" s="105" t="str">
        <f t="shared" si="23"/>
        <v/>
      </c>
      <c r="J281" s="104">
        <f t="shared" si="24"/>
        <v>-8</v>
      </c>
      <c r="K281" s="104">
        <f t="shared" si="21"/>
        <v>-80</v>
      </c>
      <c r="L281" s="104"/>
      <c r="M281" s="106">
        <f t="shared" si="22"/>
        <v>0</v>
      </c>
    </row>
    <row r="282" spans="1:13" x14ac:dyDescent="0.25">
      <c r="A282" s="120"/>
      <c r="G282" s="90"/>
      <c r="H282" s="104">
        <v>277</v>
      </c>
      <c r="I282" s="105" t="str">
        <f t="shared" si="23"/>
        <v/>
      </c>
      <c r="J282" s="104">
        <f t="shared" si="24"/>
        <v>-8</v>
      </c>
      <c r="K282" s="104">
        <f t="shared" si="21"/>
        <v>-80</v>
      </c>
      <c r="L282" s="104"/>
      <c r="M282" s="106">
        <f t="shared" si="22"/>
        <v>0</v>
      </c>
    </row>
    <row r="283" spans="1:13" x14ac:dyDescent="0.25">
      <c r="A283" s="120"/>
      <c r="G283" s="90"/>
      <c r="H283" s="104">
        <v>278</v>
      </c>
      <c r="I283" s="105" t="str">
        <f t="shared" si="23"/>
        <v/>
      </c>
      <c r="J283" s="104">
        <f t="shared" si="24"/>
        <v>-8</v>
      </c>
      <c r="K283" s="104">
        <f t="shared" si="21"/>
        <v>-80</v>
      </c>
      <c r="L283" s="104"/>
      <c r="M283" s="106">
        <f t="shared" si="22"/>
        <v>0</v>
      </c>
    </row>
    <row r="284" spans="1:13" x14ac:dyDescent="0.25">
      <c r="A284" s="120"/>
      <c r="G284" s="90"/>
      <c r="H284" s="104">
        <v>279</v>
      </c>
      <c r="I284" s="105" t="str">
        <f t="shared" si="23"/>
        <v/>
      </c>
      <c r="J284" s="104">
        <f t="shared" si="24"/>
        <v>-8</v>
      </c>
      <c r="K284" s="104">
        <f t="shared" si="21"/>
        <v>-80</v>
      </c>
      <c r="L284" s="104"/>
      <c r="M284" s="106">
        <f t="shared" si="22"/>
        <v>0</v>
      </c>
    </row>
    <row r="285" spans="1:13" x14ac:dyDescent="0.25">
      <c r="A285" s="120"/>
      <c r="G285" s="90"/>
      <c r="H285" s="104">
        <v>280</v>
      </c>
      <c r="I285" s="105" t="str">
        <f t="shared" si="23"/>
        <v/>
      </c>
      <c r="J285" s="104">
        <f t="shared" si="24"/>
        <v>-8</v>
      </c>
      <c r="K285" s="104">
        <f t="shared" si="21"/>
        <v>-80</v>
      </c>
      <c r="L285" s="104"/>
      <c r="M285" s="106">
        <f t="shared" si="22"/>
        <v>0</v>
      </c>
    </row>
    <row r="286" spans="1:13" x14ac:dyDescent="0.25">
      <c r="A286" s="120"/>
      <c r="G286" s="90"/>
      <c r="H286" s="104">
        <v>281</v>
      </c>
      <c r="I286" s="105" t="str">
        <f t="shared" si="23"/>
        <v/>
      </c>
      <c r="J286" s="104">
        <f t="shared" si="24"/>
        <v>-8</v>
      </c>
      <c r="K286" s="104">
        <f t="shared" si="21"/>
        <v>-80</v>
      </c>
      <c r="L286" s="104"/>
      <c r="M286" s="106">
        <f t="shared" si="22"/>
        <v>0</v>
      </c>
    </row>
    <row r="287" spans="1:13" x14ac:dyDescent="0.25">
      <c r="A287" s="120"/>
      <c r="G287" s="90"/>
      <c r="H287" s="104">
        <v>282</v>
      </c>
      <c r="I287" s="105" t="str">
        <f t="shared" si="23"/>
        <v/>
      </c>
      <c r="J287" s="104">
        <f t="shared" si="24"/>
        <v>-8</v>
      </c>
      <c r="K287" s="104">
        <f t="shared" si="21"/>
        <v>-80</v>
      </c>
      <c r="L287" s="104"/>
      <c r="M287" s="106">
        <f t="shared" si="22"/>
        <v>0</v>
      </c>
    </row>
    <row r="288" spans="1:13" x14ac:dyDescent="0.25">
      <c r="A288" s="120"/>
      <c r="G288" s="90"/>
      <c r="H288" s="104">
        <v>283</v>
      </c>
      <c r="I288" s="105" t="str">
        <f t="shared" si="23"/>
        <v/>
      </c>
      <c r="J288" s="104">
        <f t="shared" si="24"/>
        <v>-8</v>
      </c>
      <c r="K288" s="104">
        <f t="shared" si="21"/>
        <v>-80</v>
      </c>
      <c r="L288" s="104"/>
      <c r="M288" s="106">
        <f t="shared" si="22"/>
        <v>0</v>
      </c>
    </row>
    <row r="289" spans="1:13" x14ac:dyDescent="0.25">
      <c r="A289" s="120"/>
      <c r="G289" s="90"/>
      <c r="H289" s="104">
        <v>284</v>
      </c>
      <c r="I289" s="105" t="str">
        <f t="shared" si="23"/>
        <v/>
      </c>
      <c r="J289" s="104">
        <f t="shared" si="24"/>
        <v>-8</v>
      </c>
      <c r="K289" s="104">
        <f t="shared" si="21"/>
        <v>-80</v>
      </c>
      <c r="L289" s="104"/>
      <c r="M289" s="106">
        <f t="shared" si="22"/>
        <v>0</v>
      </c>
    </row>
    <row r="290" spans="1:13" x14ac:dyDescent="0.25">
      <c r="A290" s="120"/>
      <c r="G290" s="90"/>
      <c r="H290" s="104">
        <v>285</v>
      </c>
      <c r="I290" s="105" t="str">
        <f t="shared" si="23"/>
        <v/>
      </c>
      <c r="J290" s="104">
        <f t="shared" si="24"/>
        <v>-8</v>
      </c>
      <c r="K290" s="104">
        <f t="shared" si="21"/>
        <v>-80</v>
      </c>
      <c r="L290" s="104"/>
      <c r="M290" s="106">
        <f t="shared" si="22"/>
        <v>0</v>
      </c>
    </row>
    <row r="291" spans="1:13" x14ac:dyDescent="0.25">
      <c r="A291" s="120"/>
      <c r="G291" s="90"/>
      <c r="H291" s="104">
        <v>286</v>
      </c>
      <c r="I291" s="105" t="str">
        <f t="shared" si="23"/>
        <v/>
      </c>
      <c r="J291" s="104">
        <f t="shared" si="24"/>
        <v>-8</v>
      </c>
      <c r="K291" s="104">
        <f t="shared" si="21"/>
        <v>-80</v>
      </c>
      <c r="L291" s="104"/>
      <c r="M291" s="106">
        <f t="shared" si="22"/>
        <v>0</v>
      </c>
    </row>
    <row r="292" spans="1:13" x14ac:dyDescent="0.25">
      <c r="A292" s="120"/>
      <c r="G292" s="90"/>
      <c r="H292" s="104">
        <v>287</v>
      </c>
      <c r="I292" s="105" t="str">
        <f t="shared" si="23"/>
        <v/>
      </c>
      <c r="J292" s="104">
        <f t="shared" si="24"/>
        <v>-8</v>
      </c>
      <c r="K292" s="104">
        <f t="shared" si="21"/>
        <v>-80</v>
      </c>
      <c r="L292" s="104"/>
      <c r="M292" s="106">
        <f t="shared" si="22"/>
        <v>0</v>
      </c>
    </row>
    <row r="293" spans="1:13" x14ac:dyDescent="0.25">
      <c r="A293" s="120"/>
      <c r="G293" s="90"/>
      <c r="H293" s="104">
        <v>288</v>
      </c>
      <c r="I293" s="105" t="str">
        <f t="shared" si="23"/>
        <v/>
      </c>
      <c r="J293" s="104">
        <f t="shared" si="24"/>
        <v>-8</v>
      </c>
      <c r="K293" s="104">
        <f t="shared" si="21"/>
        <v>-80</v>
      </c>
      <c r="L293" s="104"/>
      <c r="M293" s="106">
        <f t="shared" si="22"/>
        <v>0</v>
      </c>
    </row>
    <row r="294" spans="1:13" x14ac:dyDescent="0.25">
      <c r="A294" s="120"/>
      <c r="G294" s="90"/>
      <c r="H294" s="104">
        <v>289</v>
      </c>
      <c r="I294" s="105" t="str">
        <f t="shared" si="23"/>
        <v/>
      </c>
      <c r="J294" s="104">
        <f t="shared" si="24"/>
        <v>-8</v>
      </c>
      <c r="K294" s="104">
        <f t="shared" si="21"/>
        <v>-80</v>
      </c>
      <c r="L294" s="104"/>
      <c r="M294" s="106">
        <f t="shared" si="22"/>
        <v>0</v>
      </c>
    </row>
    <row r="295" spans="1:13" x14ac:dyDescent="0.25">
      <c r="A295" s="120"/>
      <c r="G295" s="90"/>
      <c r="H295" s="104">
        <v>290</v>
      </c>
      <c r="I295" s="105" t="str">
        <f t="shared" si="23"/>
        <v/>
      </c>
      <c r="J295" s="104">
        <f t="shared" si="24"/>
        <v>-8</v>
      </c>
      <c r="K295" s="104">
        <f t="shared" si="21"/>
        <v>-80</v>
      </c>
      <c r="L295" s="104"/>
      <c r="M295" s="106">
        <f t="shared" si="22"/>
        <v>0</v>
      </c>
    </row>
    <row r="296" spans="1:13" x14ac:dyDescent="0.25">
      <c r="A296" s="120"/>
      <c r="G296" s="90"/>
      <c r="H296" s="104">
        <v>291</v>
      </c>
      <c r="I296" s="105" t="str">
        <f t="shared" si="23"/>
        <v/>
      </c>
      <c r="J296" s="104">
        <f t="shared" si="24"/>
        <v>-8</v>
      </c>
      <c r="K296" s="104">
        <f t="shared" si="21"/>
        <v>-80</v>
      </c>
      <c r="L296" s="104"/>
      <c r="M296" s="106">
        <f t="shared" si="22"/>
        <v>0</v>
      </c>
    </row>
    <row r="297" spans="1:13" x14ac:dyDescent="0.25">
      <c r="A297" s="120"/>
      <c r="G297" s="90"/>
      <c r="H297" s="104">
        <v>292</v>
      </c>
      <c r="I297" s="105" t="str">
        <f t="shared" si="23"/>
        <v/>
      </c>
      <c r="J297" s="104">
        <f t="shared" si="24"/>
        <v>-8</v>
      </c>
      <c r="K297" s="104">
        <f t="shared" si="21"/>
        <v>-80</v>
      </c>
      <c r="L297" s="104"/>
      <c r="M297" s="106">
        <f t="shared" si="22"/>
        <v>0</v>
      </c>
    </row>
    <row r="298" spans="1:13" x14ac:dyDescent="0.25">
      <c r="A298" s="120"/>
      <c r="G298" s="90"/>
      <c r="H298" s="104">
        <v>293</v>
      </c>
      <c r="I298" s="105" t="str">
        <f t="shared" si="23"/>
        <v/>
      </c>
      <c r="J298" s="104">
        <f t="shared" si="24"/>
        <v>-8</v>
      </c>
      <c r="K298" s="104">
        <f t="shared" si="21"/>
        <v>-80</v>
      </c>
      <c r="L298" s="104"/>
      <c r="M298" s="106">
        <f t="shared" si="22"/>
        <v>0</v>
      </c>
    </row>
    <row r="299" spans="1:13" x14ac:dyDescent="0.25">
      <c r="A299" s="120"/>
      <c r="G299" s="90"/>
      <c r="H299" s="104">
        <v>294</v>
      </c>
      <c r="I299" s="105" t="str">
        <f t="shared" si="23"/>
        <v/>
      </c>
      <c r="J299" s="104">
        <f t="shared" si="24"/>
        <v>-8</v>
      </c>
      <c r="K299" s="104">
        <f t="shared" si="21"/>
        <v>-80</v>
      </c>
      <c r="L299" s="104"/>
      <c r="M299" s="106">
        <f t="shared" si="22"/>
        <v>0</v>
      </c>
    </row>
    <row r="300" spans="1:13" x14ac:dyDescent="0.25">
      <c r="A300" s="120"/>
      <c r="G300" s="90"/>
      <c r="H300" s="104">
        <v>295</v>
      </c>
      <c r="I300" s="105" t="str">
        <f t="shared" si="23"/>
        <v/>
      </c>
      <c r="J300" s="104">
        <f t="shared" si="24"/>
        <v>-8</v>
      </c>
      <c r="K300" s="104">
        <f t="shared" si="21"/>
        <v>-80</v>
      </c>
      <c r="L300" s="104"/>
      <c r="M300" s="106">
        <f t="shared" si="22"/>
        <v>0</v>
      </c>
    </row>
    <row r="301" spans="1:13" x14ac:dyDescent="0.25">
      <c r="A301" s="120"/>
      <c r="G301" s="90"/>
      <c r="H301" s="104">
        <v>296</v>
      </c>
      <c r="I301" s="105" t="str">
        <f t="shared" si="23"/>
        <v/>
      </c>
      <c r="J301" s="104">
        <f t="shared" si="24"/>
        <v>-8</v>
      </c>
      <c r="K301" s="104">
        <f t="shared" si="21"/>
        <v>-80</v>
      </c>
      <c r="L301" s="104"/>
      <c r="M301" s="106">
        <f t="shared" si="22"/>
        <v>0</v>
      </c>
    </row>
    <row r="302" spans="1:13" x14ac:dyDescent="0.25">
      <c r="A302" s="120"/>
      <c r="G302" s="90"/>
      <c r="H302" s="104">
        <v>297</v>
      </c>
      <c r="I302" s="105" t="str">
        <f t="shared" si="23"/>
        <v/>
      </c>
      <c r="J302" s="104">
        <f t="shared" si="24"/>
        <v>-8</v>
      </c>
      <c r="K302" s="104">
        <f t="shared" si="21"/>
        <v>-80</v>
      </c>
      <c r="L302" s="104"/>
      <c r="M302" s="106">
        <f t="shared" si="22"/>
        <v>0</v>
      </c>
    </row>
    <row r="303" spans="1:13" x14ac:dyDescent="0.25">
      <c r="A303" s="120"/>
      <c r="G303" s="90"/>
      <c r="H303" s="104">
        <v>298</v>
      </c>
      <c r="I303" s="105" t="str">
        <f t="shared" si="23"/>
        <v/>
      </c>
      <c r="J303" s="104">
        <f t="shared" si="24"/>
        <v>-8</v>
      </c>
      <c r="K303" s="104">
        <f t="shared" si="21"/>
        <v>-80</v>
      </c>
      <c r="L303" s="104"/>
      <c r="M303" s="106">
        <f t="shared" si="22"/>
        <v>0</v>
      </c>
    </row>
    <row r="304" spans="1:13" x14ac:dyDescent="0.25">
      <c r="A304" s="120"/>
      <c r="G304" s="90"/>
      <c r="H304" s="104">
        <v>299</v>
      </c>
      <c r="I304" s="105" t="str">
        <f t="shared" si="23"/>
        <v/>
      </c>
      <c r="J304" s="104">
        <f t="shared" si="24"/>
        <v>-8</v>
      </c>
      <c r="K304" s="104">
        <f t="shared" si="21"/>
        <v>-80</v>
      </c>
      <c r="L304" s="104"/>
      <c r="M304" s="106">
        <f t="shared" si="22"/>
        <v>0</v>
      </c>
    </row>
    <row r="305" spans="1:16" x14ac:dyDescent="0.25">
      <c r="A305" s="120"/>
      <c r="G305" s="90"/>
      <c r="H305" s="104">
        <v>300</v>
      </c>
      <c r="I305" s="105" t="str">
        <f t="shared" si="23"/>
        <v/>
      </c>
      <c r="J305" s="104">
        <f t="shared" si="24"/>
        <v>-8</v>
      </c>
      <c r="K305" s="104">
        <f t="shared" si="21"/>
        <v>-80</v>
      </c>
      <c r="L305" s="104"/>
      <c r="M305" s="106">
        <f t="shared" si="22"/>
        <v>0</v>
      </c>
    </row>
    <row r="306" spans="1:16" x14ac:dyDescent="0.25">
      <c r="A306" s="122"/>
    </row>
    <row r="314" spans="1:16" x14ac:dyDescent="0.25">
      <c r="L314" s="125"/>
      <c r="P314" s="115"/>
    </row>
    <row r="315" spans="1:16" x14ac:dyDescent="0.25">
      <c r="L315" s="125"/>
      <c r="P315" s="115"/>
    </row>
    <row r="316" spans="1:16" x14ac:dyDescent="0.25">
      <c r="L316" s="125"/>
      <c r="P316" s="115"/>
    </row>
    <row r="317" spans="1:16" x14ac:dyDescent="0.25">
      <c r="L317" s="125"/>
      <c r="P317" s="115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F1124470-2899-46D7-9DF2-9FDDBAAD2435}">
      <formula1>#REF!</formula1>
    </dataValidation>
  </dataValidations>
  <hyperlinks>
    <hyperlink ref="C2:D2" r:id="rId1" display="WARSZAWA" xr:uid="{8FAA929F-B199-4C7E-9540-6045D695406C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BE5DF-0B37-4865-BB82-D0ABF81E6C47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21" customWidth="1"/>
    <col min="2" max="2" width="8.25" style="121" customWidth="1"/>
    <col min="3" max="3" width="34.75" style="121" customWidth="1"/>
    <col min="4" max="4" width="11.25" style="121" customWidth="1"/>
    <col min="5" max="6" width="8.875" style="121"/>
    <col min="7" max="7" width="0.875" style="121" customWidth="1"/>
    <col min="8" max="8" width="8.875" style="123"/>
    <col min="9" max="9" width="11" style="123" customWidth="1"/>
    <col min="10" max="10" width="15.25" style="123" customWidth="1"/>
    <col min="11" max="11" width="8.75" style="123" customWidth="1"/>
    <col min="12" max="12" width="11" style="123" customWidth="1"/>
    <col min="13" max="13" width="11.75" style="124" customWidth="1"/>
    <col min="14" max="15" width="13.875" style="90" customWidth="1"/>
    <col min="16" max="18" width="8.875" style="90"/>
    <col min="19" max="20" width="8.875" style="95"/>
    <col min="21" max="21" width="12.125" style="95" customWidth="1"/>
    <col min="22" max="22" width="27.375" style="95" customWidth="1"/>
    <col min="23" max="38" width="8.875" style="95"/>
    <col min="39" max="16384" width="8.875" style="121"/>
  </cols>
  <sheetData>
    <row r="1" spans="1:36" x14ac:dyDescent="0.25">
      <c r="A1" s="90"/>
      <c r="B1" s="90"/>
      <c r="C1" s="90"/>
      <c r="D1" s="90"/>
      <c r="E1" s="90"/>
      <c r="F1" s="90"/>
      <c r="G1" s="90"/>
      <c r="H1" s="91" t="s">
        <v>25</v>
      </c>
      <c r="I1" s="92" t="s">
        <v>26</v>
      </c>
      <c r="J1" s="92" t="s">
        <v>27</v>
      </c>
      <c r="K1" s="93" t="s">
        <v>65</v>
      </c>
      <c r="L1" s="94"/>
      <c r="M1" s="94"/>
    </row>
    <row r="2" spans="1:36" ht="14.45" customHeight="1" x14ac:dyDescent="0.25">
      <c r="A2" s="90"/>
      <c r="B2" s="19" t="s">
        <v>29</v>
      </c>
      <c r="C2" s="209" t="s">
        <v>82</v>
      </c>
      <c r="D2" s="209"/>
      <c r="E2" s="20"/>
      <c r="F2" s="20"/>
      <c r="G2" s="20"/>
      <c r="H2" s="96">
        <v>2</v>
      </c>
      <c r="I2" s="97">
        <v>50</v>
      </c>
      <c r="J2" s="97">
        <v>10</v>
      </c>
      <c r="K2" s="98">
        <f>3*H2^(1/3)</f>
        <v>3.7797631496846193</v>
      </c>
      <c r="L2" s="94"/>
      <c r="M2" s="94"/>
    </row>
    <row r="3" spans="1:36" ht="14.45" customHeight="1" x14ac:dyDescent="0.25">
      <c r="A3" s="90"/>
      <c r="B3" s="99" t="s">
        <v>31</v>
      </c>
      <c r="C3" s="210" t="s">
        <v>83</v>
      </c>
      <c r="D3" s="210"/>
      <c r="E3" s="25"/>
      <c r="F3" s="25"/>
      <c r="G3" s="25"/>
      <c r="H3" s="94"/>
      <c r="I3" s="94"/>
      <c r="J3" s="100"/>
      <c r="K3" s="94"/>
      <c r="L3" s="94"/>
      <c r="M3" s="94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94"/>
      <c r="I4" s="94"/>
      <c r="J4" s="100"/>
      <c r="K4" s="94"/>
      <c r="L4" s="94"/>
      <c r="M4" s="94"/>
    </row>
    <row r="5" spans="1:36" ht="34.65" x14ac:dyDescent="0.25">
      <c r="A5" s="1" t="s">
        <v>33</v>
      </c>
      <c r="B5" s="28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7"/>
      <c r="H5" s="101" t="s">
        <v>39</v>
      </c>
      <c r="I5" s="102" t="s">
        <v>40</v>
      </c>
      <c r="J5" s="103" t="s">
        <v>41</v>
      </c>
      <c r="K5" s="102" t="s">
        <v>42</v>
      </c>
      <c r="L5" s="102" t="s">
        <v>43</v>
      </c>
      <c r="M5" s="101" t="s">
        <v>44</v>
      </c>
    </row>
    <row r="6" spans="1:36" ht="14.45" customHeight="1" x14ac:dyDescent="0.25">
      <c r="A6" s="32">
        <f t="shared" ref="A6:A37" si="0">M6</f>
        <v>71.339289449053865</v>
      </c>
      <c r="B6" s="33">
        <f t="shared" ref="B6:B13" si="1">IF(H6&gt;$H$2,"",(ROW()-5))</f>
        <v>1</v>
      </c>
      <c r="C6" s="34" t="s">
        <v>17</v>
      </c>
      <c r="D6" s="34" t="s">
        <v>84</v>
      </c>
      <c r="E6" s="34"/>
      <c r="F6" s="34" t="s">
        <v>46</v>
      </c>
      <c r="G6" s="27"/>
      <c r="H6" s="104">
        <v>1</v>
      </c>
      <c r="I6" s="105">
        <f>IF(H2=1,50,IF(H6&lt;$H$2+1,($I$2-($I$2-1)*(LOG(H6)/LOG($H$2))),""))</f>
        <v>50</v>
      </c>
      <c r="J6" s="104">
        <f>INT(LOG($H$2,2))-ROUNDUP(LOG(H6,2),0)+IF(OR($H$2=1,$H$2=2,$H$2=4,$H$2=8,$H$2=16,$H$2=32,$H$2=64,$H$2=128,$H$2=256),0,1)</f>
        <v>1</v>
      </c>
      <c r="K6" s="104">
        <f t="shared" ref="K6:K69" si="2">J6*$J$2</f>
        <v>10</v>
      </c>
      <c r="L6" s="106">
        <f>3*K2</f>
        <v>11.339289449053858</v>
      </c>
      <c r="M6" s="106">
        <f t="shared" ref="M6:M69" si="3">IF(I6&lt;&gt;"",K6+I6+L6,0)</f>
        <v>71.339289449053865</v>
      </c>
    </row>
    <row r="7" spans="1:36" ht="14.45" customHeight="1" x14ac:dyDescent="0.25">
      <c r="A7" s="38">
        <f t="shared" si="0"/>
        <v>8.5595262993692387</v>
      </c>
      <c r="B7" s="39">
        <f t="shared" si="1"/>
        <v>2</v>
      </c>
      <c r="C7" s="40" t="s">
        <v>23</v>
      </c>
      <c r="D7" s="40"/>
      <c r="E7" s="40"/>
      <c r="F7" s="40" t="s">
        <v>46</v>
      </c>
      <c r="G7" s="27"/>
      <c r="H7" s="107">
        <v>2</v>
      </c>
      <c r="I7" s="108">
        <f t="shared" ref="I7:I70" si="4">IF(H7&lt;$H$2+1,($I$2-($I$2-1)*(LOG(H7)/LOG($H$2))),"")</f>
        <v>1</v>
      </c>
      <c r="J7" s="107">
        <f t="shared" ref="J7:J70" si="5">INT(LOG($H$2,2))-ROUNDUP(LOG(H7,2),0)+IF(OR($H$2=1,$H$2=2,$H$2=4,$H$2=8,$H$2=16,$H$2=32,$H$2=64,$H$2=128,$H$2=256),0,1)</f>
        <v>0</v>
      </c>
      <c r="K7" s="107">
        <f t="shared" si="2"/>
        <v>0</v>
      </c>
      <c r="L7" s="109">
        <f>2*K2</f>
        <v>7.5595262993692387</v>
      </c>
      <c r="M7" s="109">
        <f t="shared" si="3"/>
        <v>8.5595262993692387</v>
      </c>
    </row>
    <row r="8" spans="1:36" ht="14.45" customHeight="1" x14ac:dyDescent="0.25">
      <c r="A8" s="32">
        <f t="shared" si="0"/>
        <v>0</v>
      </c>
      <c r="B8" s="33" t="str">
        <f t="shared" si="1"/>
        <v/>
      </c>
      <c r="C8" s="34"/>
      <c r="D8" s="34"/>
      <c r="E8" s="34"/>
      <c r="F8" s="34"/>
      <c r="G8" s="27"/>
      <c r="H8" s="104">
        <v>3</v>
      </c>
      <c r="I8" s="105" t="str">
        <f t="shared" si="4"/>
        <v/>
      </c>
      <c r="J8" s="104">
        <f t="shared" si="5"/>
        <v>-1</v>
      </c>
      <c r="K8" s="104">
        <f t="shared" si="2"/>
        <v>-10</v>
      </c>
      <c r="L8" s="106">
        <f>K2</f>
        <v>3.7797631496846193</v>
      </c>
      <c r="M8" s="106">
        <f t="shared" si="3"/>
        <v>0</v>
      </c>
    </row>
    <row r="9" spans="1:36" ht="14.45" customHeight="1" x14ac:dyDescent="0.25">
      <c r="A9" s="38">
        <f t="shared" si="0"/>
        <v>0</v>
      </c>
      <c r="B9" s="39" t="str">
        <f t="shared" si="1"/>
        <v/>
      </c>
      <c r="C9" s="40"/>
      <c r="D9" s="40"/>
      <c r="E9" s="40"/>
      <c r="F9" s="40"/>
      <c r="G9" s="27"/>
      <c r="H9" s="107">
        <v>4</v>
      </c>
      <c r="I9" s="108" t="str">
        <f t="shared" si="4"/>
        <v/>
      </c>
      <c r="J9" s="107">
        <f t="shared" si="5"/>
        <v>-1</v>
      </c>
      <c r="K9" s="107">
        <f t="shared" si="2"/>
        <v>-10</v>
      </c>
      <c r="L9" s="109"/>
      <c r="M9" s="109">
        <f t="shared" si="3"/>
        <v>0</v>
      </c>
      <c r="V9" s="110"/>
      <c r="Z9" s="111"/>
      <c r="AA9" s="111"/>
      <c r="AG9" s="112"/>
      <c r="AH9" s="95" t="s">
        <v>50</v>
      </c>
      <c r="AI9" s="95">
        <v>23</v>
      </c>
    </row>
    <row r="10" spans="1:36" ht="14.45" customHeight="1" x14ac:dyDescent="0.25">
      <c r="A10" s="32">
        <f t="shared" si="0"/>
        <v>0</v>
      </c>
      <c r="B10" s="33" t="str">
        <f t="shared" si="1"/>
        <v/>
      </c>
      <c r="C10" s="34"/>
      <c r="D10" s="34"/>
      <c r="E10" s="34"/>
      <c r="F10" s="34"/>
      <c r="G10" s="27"/>
      <c r="H10" s="104">
        <v>5</v>
      </c>
      <c r="I10" s="105" t="str">
        <f t="shared" si="4"/>
        <v/>
      </c>
      <c r="J10" s="104">
        <f t="shared" si="5"/>
        <v>-2</v>
      </c>
      <c r="K10" s="104">
        <f t="shared" si="2"/>
        <v>-20</v>
      </c>
      <c r="L10" s="104"/>
      <c r="M10" s="106">
        <f t="shared" si="3"/>
        <v>0</v>
      </c>
      <c r="V10" s="110"/>
      <c r="Z10" s="111"/>
      <c r="AA10" s="111"/>
      <c r="AG10" s="112"/>
      <c r="AH10" s="95" t="s">
        <v>52</v>
      </c>
      <c r="AI10" s="95">
        <v>45</v>
      </c>
    </row>
    <row r="11" spans="1:36" ht="14.45" customHeight="1" x14ac:dyDescent="0.25">
      <c r="A11" s="38">
        <f t="shared" si="0"/>
        <v>0</v>
      </c>
      <c r="B11" s="39" t="str">
        <f t="shared" si="1"/>
        <v/>
      </c>
      <c r="C11" s="40"/>
      <c r="D11" s="40"/>
      <c r="E11" s="40"/>
      <c r="F11" s="40"/>
      <c r="G11" s="27"/>
      <c r="H11" s="107">
        <v>6</v>
      </c>
      <c r="I11" s="108" t="str">
        <f t="shared" si="4"/>
        <v/>
      </c>
      <c r="J11" s="107">
        <f t="shared" si="5"/>
        <v>-2</v>
      </c>
      <c r="K11" s="107">
        <f t="shared" si="2"/>
        <v>-20</v>
      </c>
      <c r="L11" s="107"/>
      <c r="M11" s="109">
        <f t="shared" si="3"/>
        <v>0</v>
      </c>
      <c r="V11" s="113"/>
      <c r="Z11" s="111"/>
      <c r="AA11" s="111"/>
      <c r="AG11" s="112"/>
      <c r="AH11" s="95" t="s">
        <v>53</v>
      </c>
      <c r="AI11" s="95">
        <v>50</v>
      </c>
    </row>
    <row r="12" spans="1:36" ht="14.45" customHeight="1" x14ac:dyDescent="0.25">
      <c r="A12" s="32">
        <f t="shared" si="0"/>
        <v>0</v>
      </c>
      <c r="B12" s="33" t="str">
        <f t="shared" si="1"/>
        <v/>
      </c>
      <c r="C12" s="34"/>
      <c r="D12" s="34"/>
      <c r="E12" s="34"/>
      <c r="F12" s="34"/>
      <c r="G12" s="27"/>
      <c r="H12" s="104">
        <v>7</v>
      </c>
      <c r="I12" s="105" t="str">
        <f t="shared" si="4"/>
        <v/>
      </c>
      <c r="J12" s="104">
        <f t="shared" si="5"/>
        <v>-2</v>
      </c>
      <c r="K12" s="104">
        <f t="shared" si="2"/>
        <v>-20</v>
      </c>
      <c r="L12" s="104"/>
      <c r="M12" s="106">
        <f t="shared" si="3"/>
        <v>0</v>
      </c>
      <c r="Z12" s="111"/>
      <c r="AA12" s="111"/>
      <c r="AG12" s="112"/>
      <c r="AH12" s="95" t="s">
        <v>54</v>
      </c>
      <c r="AI12" s="95">
        <f>AI11-1</f>
        <v>49</v>
      </c>
    </row>
    <row r="13" spans="1:36" ht="14.45" customHeight="1" x14ac:dyDescent="0.25">
      <c r="A13" s="48">
        <f t="shared" si="0"/>
        <v>0</v>
      </c>
      <c r="B13" s="39" t="str">
        <f t="shared" si="1"/>
        <v/>
      </c>
      <c r="C13" s="40"/>
      <c r="D13" s="40"/>
      <c r="E13" s="40"/>
      <c r="F13" s="40"/>
      <c r="G13" s="27"/>
      <c r="H13" s="107">
        <v>8</v>
      </c>
      <c r="I13" s="108" t="str">
        <f t="shared" si="4"/>
        <v/>
      </c>
      <c r="J13" s="107">
        <f t="shared" si="5"/>
        <v>-2</v>
      </c>
      <c r="K13" s="107">
        <f t="shared" si="2"/>
        <v>-20</v>
      </c>
      <c r="L13" s="107"/>
      <c r="M13" s="109">
        <f t="shared" si="3"/>
        <v>0</v>
      </c>
      <c r="X13" s="110"/>
      <c r="AG13" s="112"/>
      <c r="AH13" s="95" t="s">
        <v>55</v>
      </c>
      <c r="AI13" s="95">
        <f>LOG(AI9)</f>
        <v>1.3617278360175928</v>
      </c>
    </row>
    <row r="14" spans="1:36" x14ac:dyDescent="0.25">
      <c r="A14" s="49">
        <f t="shared" si="0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04">
        <v>9</v>
      </c>
      <c r="I14" s="105" t="str">
        <f t="shared" si="4"/>
        <v/>
      </c>
      <c r="J14" s="104">
        <f t="shared" si="5"/>
        <v>-3</v>
      </c>
      <c r="K14" s="104">
        <f t="shared" si="2"/>
        <v>-30</v>
      </c>
      <c r="L14" s="104"/>
      <c r="M14" s="106">
        <f t="shared" si="3"/>
        <v>0</v>
      </c>
      <c r="X14" s="114"/>
      <c r="Z14" s="111"/>
      <c r="AA14" s="111"/>
      <c r="AG14" s="112"/>
      <c r="AH14" s="95" t="s">
        <v>56</v>
      </c>
      <c r="AI14" s="95">
        <f>LOG(AI10)</f>
        <v>1.6532125137753437</v>
      </c>
    </row>
    <row r="15" spans="1:36" x14ac:dyDescent="0.25">
      <c r="A15" s="48">
        <f t="shared" si="0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07">
        <v>10</v>
      </c>
      <c r="I15" s="108" t="str">
        <f t="shared" si="4"/>
        <v/>
      </c>
      <c r="J15" s="107">
        <f t="shared" si="5"/>
        <v>-3</v>
      </c>
      <c r="K15" s="107">
        <f t="shared" si="2"/>
        <v>-30</v>
      </c>
      <c r="L15" s="107"/>
      <c r="M15" s="109">
        <f t="shared" si="3"/>
        <v>0</v>
      </c>
      <c r="X15" s="110"/>
      <c r="Z15" s="111"/>
      <c r="AA15" s="111"/>
    </row>
    <row r="16" spans="1:36" x14ac:dyDescent="0.25">
      <c r="A16" s="49">
        <f t="shared" si="0"/>
        <v>0</v>
      </c>
      <c r="B16" s="33" t="str">
        <f t="shared" si="6"/>
        <v/>
      </c>
      <c r="C16" s="34"/>
      <c r="D16" s="34"/>
      <c r="E16" s="34"/>
      <c r="F16" s="34"/>
      <c r="G16" s="27"/>
      <c r="H16" s="104">
        <v>11</v>
      </c>
      <c r="I16" s="105" t="str">
        <f t="shared" si="4"/>
        <v/>
      </c>
      <c r="J16" s="104">
        <f t="shared" si="5"/>
        <v>-3</v>
      </c>
      <c r="K16" s="104">
        <f t="shared" si="2"/>
        <v>-30</v>
      </c>
      <c r="L16" s="104"/>
      <c r="M16" s="106">
        <f t="shared" si="3"/>
        <v>0</v>
      </c>
      <c r="R16" s="115"/>
      <c r="Z16" s="111"/>
      <c r="AA16" s="111"/>
      <c r="AH16" s="116" t="s">
        <v>57</v>
      </c>
      <c r="AI16" s="95">
        <f>AI11-AI12*AI13/AI14</f>
        <v>9.6393909380186855</v>
      </c>
      <c r="AJ16" s="95" t="s">
        <v>58</v>
      </c>
    </row>
    <row r="17" spans="1:19" x14ac:dyDescent="0.25">
      <c r="A17" s="48">
        <f t="shared" si="0"/>
        <v>0</v>
      </c>
      <c r="B17" s="39" t="str">
        <f t="shared" si="6"/>
        <v/>
      </c>
      <c r="C17" s="40"/>
      <c r="D17" s="40"/>
      <c r="E17" s="40"/>
      <c r="F17" s="40"/>
      <c r="G17" s="27"/>
      <c r="H17" s="107">
        <v>12</v>
      </c>
      <c r="I17" s="108" t="str">
        <f t="shared" si="4"/>
        <v/>
      </c>
      <c r="J17" s="107">
        <f t="shared" si="5"/>
        <v>-3</v>
      </c>
      <c r="K17" s="107">
        <f t="shared" si="2"/>
        <v>-30</v>
      </c>
      <c r="L17" s="107"/>
      <c r="M17" s="109">
        <f t="shared" si="3"/>
        <v>0</v>
      </c>
    </row>
    <row r="18" spans="1:19" x14ac:dyDescent="0.25">
      <c r="A18" s="49">
        <f t="shared" si="0"/>
        <v>0</v>
      </c>
      <c r="B18" s="33" t="str">
        <f t="shared" si="6"/>
        <v/>
      </c>
      <c r="C18" s="34"/>
      <c r="D18" s="34"/>
      <c r="E18" s="34"/>
      <c r="F18" s="34"/>
      <c r="G18" s="27"/>
      <c r="H18" s="104">
        <v>13</v>
      </c>
      <c r="I18" s="105" t="str">
        <f t="shared" si="4"/>
        <v/>
      </c>
      <c r="J18" s="104">
        <f t="shared" si="5"/>
        <v>-3</v>
      </c>
      <c r="K18" s="104">
        <f t="shared" si="2"/>
        <v>-30</v>
      </c>
      <c r="L18" s="104"/>
      <c r="M18" s="106">
        <f t="shared" si="3"/>
        <v>0</v>
      </c>
    </row>
    <row r="19" spans="1:19" x14ac:dyDescent="0.25">
      <c r="A19" s="48">
        <f t="shared" si="0"/>
        <v>0</v>
      </c>
      <c r="B19" s="39" t="str">
        <f t="shared" si="6"/>
        <v/>
      </c>
      <c r="C19" s="40"/>
      <c r="D19" s="40"/>
      <c r="E19" s="40"/>
      <c r="F19" s="40"/>
      <c r="G19" s="27"/>
      <c r="H19" s="107">
        <v>14</v>
      </c>
      <c r="I19" s="108" t="str">
        <f t="shared" si="4"/>
        <v/>
      </c>
      <c r="J19" s="107">
        <f t="shared" si="5"/>
        <v>-3</v>
      </c>
      <c r="K19" s="107">
        <f t="shared" si="2"/>
        <v>-30</v>
      </c>
      <c r="L19" s="107"/>
      <c r="M19" s="109">
        <f t="shared" si="3"/>
        <v>0</v>
      </c>
    </row>
    <row r="20" spans="1:19" x14ac:dyDescent="0.25">
      <c r="A20" s="49">
        <f t="shared" si="0"/>
        <v>0</v>
      </c>
      <c r="B20" s="33" t="str">
        <f t="shared" si="6"/>
        <v/>
      </c>
      <c r="C20" s="34"/>
      <c r="D20" s="34"/>
      <c r="E20" s="34"/>
      <c r="F20" s="34"/>
      <c r="G20" s="27"/>
      <c r="H20" s="104">
        <v>15</v>
      </c>
      <c r="I20" s="105" t="str">
        <f t="shared" si="4"/>
        <v/>
      </c>
      <c r="J20" s="104">
        <f t="shared" si="5"/>
        <v>-3</v>
      </c>
      <c r="K20" s="104">
        <f t="shared" si="2"/>
        <v>-30</v>
      </c>
      <c r="L20" s="104"/>
      <c r="M20" s="106">
        <f t="shared" si="3"/>
        <v>0</v>
      </c>
      <c r="R20" s="117"/>
      <c r="S20" s="118"/>
    </row>
    <row r="21" spans="1:19" x14ac:dyDescent="0.25">
      <c r="A21" s="48">
        <f t="shared" si="0"/>
        <v>0</v>
      </c>
      <c r="B21" s="39" t="str">
        <f t="shared" si="6"/>
        <v/>
      </c>
      <c r="C21" s="40"/>
      <c r="D21" s="40"/>
      <c r="E21" s="40"/>
      <c r="F21" s="40"/>
      <c r="G21" s="27"/>
      <c r="H21" s="107">
        <v>16</v>
      </c>
      <c r="I21" s="108" t="str">
        <f t="shared" si="4"/>
        <v/>
      </c>
      <c r="J21" s="107">
        <f t="shared" si="5"/>
        <v>-3</v>
      </c>
      <c r="K21" s="107">
        <f t="shared" si="2"/>
        <v>-30</v>
      </c>
      <c r="L21" s="107"/>
      <c r="M21" s="109">
        <f t="shared" si="3"/>
        <v>0</v>
      </c>
    </row>
    <row r="22" spans="1:19" x14ac:dyDescent="0.25">
      <c r="A22" s="49">
        <f t="shared" si="0"/>
        <v>0</v>
      </c>
      <c r="B22" s="33" t="str">
        <f t="shared" si="6"/>
        <v/>
      </c>
      <c r="C22" s="34"/>
      <c r="D22" s="34"/>
      <c r="E22" s="34"/>
      <c r="F22" s="34"/>
      <c r="G22" s="27"/>
      <c r="H22" s="104">
        <v>17</v>
      </c>
      <c r="I22" s="105" t="str">
        <f t="shared" si="4"/>
        <v/>
      </c>
      <c r="J22" s="104">
        <f t="shared" si="5"/>
        <v>-4</v>
      </c>
      <c r="K22" s="104">
        <f t="shared" si="2"/>
        <v>-40</v>
      </c>
      <c r="L22" s="104"/>
      <c r="M22" s="106">
        <f t="shared" si="3"/>
        <v>0</v>
      </c>
    </row>
    <row r="23" spans="1:19" x14ac:dyDescent="0.25">
      <c r="A23" s="48">
        <f t="shared" si="0"/>
        <v>0</v>
      </c>
      <c r="B23" s="39" t="str">
        <f t="shared" si="6"/>
        <v/>
      </c>
      <c r="C23" s="40"/>
      <c r="D23" s="40"/>
      <c r="E23" s="40"/>
      <c r="F23" s="40"/>
      <c r="G23" s="27"/>
      <c r="H23" s="107">
        <v>18</v>
      </c>
      <c r="I23" s="108" t="str">
        <f t="shared" si="4"/>
        <v/>
      </c>
      <c r="J23" s="107">
        <f t="shared" si="5"/>
        <v>-4</v>
      </c>
      <c r="K23" s="107">
        <f t="shared" si="2"/>
        <v>-40</v>
      </c>
      <c r="L23" s="107"/>
      <c r="M23" s="109">
        <f t="shared" si="3"/>
        <v>0</v>
      </c>
    </row>
    <row r="24" spans="1:19" x14ac:dyDescent="0.25">
      <c r="A24" s="49">
        <f t="shared" si="0"/>
        <v>0</v>
      </c>
      <c r="B24" s="33" t="str">
        <f t="shared" si="6"/>
        <v/>
      </c>
      <c r="C24" s="34"/>
      <c r="D24" s="34"/>
      <c r="E24" s="34"/>
      <c r="F24" s="34"/>
      <c r="G24" s="27"/>
      <c r="H24" s="104">
        <v>19</v>
      </c>
      <c r="I24" s="105" t="str">
        <f t="shared" si="4"/>
        <v/>
      </c>
      <c r="J24" s="104">
        <f t="shared" si="5"/>
        <v>-4</v>
      </c>
      <c r="K24" s="104">
        <f t="shared" si="2"/>
        <v>-40</v>
      </c>
      <c r="L24" s="104"/>
      <c r="M24" s="106">
        <f t="shared" si="3"/>
        <v>0</v>
      </c>
      <c r="R24" s="117"/>
      <c r="S24" s="118"/>
    </row>
    <row r="25" spans="1:19" x14ac:dyDescent="0.25">
      <c r="A25" s="48">
        <f t="shared" si="0"/>
        <v>0</v>
      </c>
      <c r="B25" s="39" t="str">
        <f t="shared" si="6"/>
        <v/>
      </c>
      <c r="C25" s="40"/>
      <c r="D25" s="40"/>
      <c r="E25" s="40"/>
      <c r="F25" s="40"/>
      <c r="G25" s="27"/>
      <c r="H25" s="107">
        <v>20</v>
      </c>
      <c r="I25" s="108" t="str">
        <f t="shared" si="4"/>
        <v/>
      </c>
      <c r="J25" s="107">
        <f t="shared" si="5"/>
        <v>-4</v>
      </c>
      <c r="K25" s="107">
        <f t="shared" si="2"/>
        <v>-40</v>
      </c>
      <c r="L25" s="107"/>
      <c r="M25" s="109">
        <f t="shared" si="3"/>
        <v>0</v>
      </c>
    </row>
    <row r="26" spans="1:19" x14ac:dyDescent="0.25">
      <c r="A26" s="49">
        <f t="shared" si="0"/>
        <v>0</v>
      </c>
      <c r="B26" s="33" t="str">
        <f t="shared" si="6"/>
        <v/>
      </c>
      <c r="C26" s="34"/>
      <c r="D26" s="34"/>
      <c r="E26" s="34"/>
      <c r="F26" s="34"/>
      <c r="G26" s="27"/>
      <c r="H26" s="104">
        <v>21</v>
      </c>
      <c r="I26" s="105" t="str">
        <f t="shared" si="4"/>
        <v/>
      </c>
      <c r="J26" s="104">
        <f t="shared" si="5"/>
        <v>-4</v>
      </c>
      <c r="K26" s="104">
        <f t="shared" si="2"/>
        <v>-40</v>
      </c>
      <c r="L26" s="104"/>
      <c r="M26" s="106">
        <f t="shared" si="3"/>
        <v>0</v>
      </c>
    </row>
    <row r="27" spans="1:19" x14ac:dyDescent="0.25">
      <c r="A27" s="48">
        <f t="shared" si="0"/>
        <v>0</v>
      </c>
      <c r="B27" s="39" t="str">
        <f t="shared" si="6"/>
        <v/>
      </c>
      <c r="C27" s="40"/>
      <c r="D27" s="40"/>
      <c r="E27" s="40"/>
      <c r="F27" s="40"/>
      <c r="G27" s="27"/>
      <c r="H27" s="107">
        <v>22</v>
      </c>
      <c r="I27" s="108" t="str">
        <f t="shared" si="4"/>
        <v/>
      </c>
      <c r="J27" s="107">
        <f t="shared" si="5"/>
        <v>-4</v>
      </c>
      <c r="K27" s="107">
        <f t="shared" si="2"/>
        <v>-40</v>
      </c>
      <c r="L27" s="107"/>
      <c r="M27" s="109">
        <f t="shared" si="3"/>
        <v>0</v>
      </c>
    </row>
    <row r="28" spans="1:19" x14ac:dyDescent="0.25">
      <c r="A28" s="49">
        <f t="shared" si="0"/>
        <v>0</v>
      </c>
      <c r="B28" s="33" t="str">
        <f t="shared" si="6"/>
        <v/>
      </c>
      <c r="C28" s="34"/>
      <c r="D28" s="34"/>
      <c r="E28" s="34"/>
      <c r="F28" s="34"/>
      <c r="G28" s="27"/>
      <c r="H28" s="104">
        <v>23</v>
      </c>
      <c r="I28" s="105" t="str">
        <f t="shared" si="4"/>
        <v/>
      </c>
      <c r="J28" s="104">
        <f t="shared" si="5"/>
        <v>-4</v>
      </c>
      <c r="K28" s="104">
        <f t="shared" si="2"/>
        <v>-40</v>
      </c>
      <c r="L28" s="104"/>
      <c r="M28" s="106">
        <f t="shared" si="3"/>
        <v>0</v>
      </c>
      <c r="R28" s="117"/>
      <c r="S28" s="118"/>
    </row>
    <row r="29" spans="1:19" x14ac:dyDescent="0.25">
      <c r="A29" s="48">
        <f t="shared" si="0"/>
        <v>0</v>
      </c>
      <c r="B29" s="39" t="str">
        <f t="shared" si="6"/>
        <v/>
      </c>
      <c r="C29" s="40"/>
      <c r="D29" s="40"/>
      <c r="E29" s="40"/>
      <c r="F29" s="40"/>
      <c r="G29" s="90"/>
      <c r="H29" s="107">
        <v>24</v>
      </c>
      <c r="I29" s="108" t="str">
        <f t="shared" si="4"/>
        <v/>
      </c>
      <c r="J29" s="107">
        <f t="shared" si="5"/>
        <v>-4</v>
      </c>
      <c r="K29" s="107">
        <f t="shared" si="2"/>
        <v>-40</v>
      </c>
      <c r="L29" s="107"/>
      <c r="M29" s="109">
        <f t="shared" si="3"/>
        <v>0</v>
      </c>
    </row>
    <row r="30" spans="1:19" x14ac:dyDescent="0.25">
      <c r="A30" s="49">
        <f t="shared" si="0"/>
        <v>0</v>
      </c>
      <c r="B30" s="33" t="str">
        <f t="shared" si="6"/>
        <v/>
      </c>
      <c r="C30" s="34"/>
      <c r="D30" s="34"/>
      <c r="E30" s="34"/>
      <c r="F30" s="34"/>
      <c r="G30" s="90"/>
      <c r="H30" s="104">
        <v>25</v>
      </c>
      <c r="I30" s="105" t="str">
        <f t="shared" si="4"/>
        <v/>
      </c>
      <c r="J30" s="104">
        <f t="shared" si="5"/>
        <v>-4</v>
      </c>
      <c r="K30" s="104">
        <f t="shared" si="2"/>
        <v>-40</v>
      </c>
      <c r="L30" s="104"/>
      <c r="M30" s="106">
        <f t="shared" si="3"/>
        <v>0</v>
      </c>
    </row>
    <row r="31" spans="1:19" x14ac:dyDescent="0.25">
      <c r="A31" s="48">
        <f t="shared" si="0"/>
        <v>0</v>
      </c>
      <c r="B31" s="39" t="str">
        <f t="shared" si="6"/>
        <v/>
      </c>
      <c r="C31" s="40"/>
      <c r="D31" s="40"/>
      <c r="E31" s="40"/>
      <c r="F31" s="40"/>
      <c r="G31" s="90"/>
      <c r="H31" s="107">
        <v>26</v>
      </c>
      <c r="I31" s="108" t="str">
        <f t="shared" si="4"/>
        <v/>
      </c>
      <c r="J31" s="107">
        <f t="shared" si="5"/>
        <v>-4</v>
      </c>
      <c r="K31" s="107">
        <f t="shared" si="2"/>
        <v>-40</v>
      </c>
      <c r="L31" s="107"/>
      <c r="M31" s="109">
        <f t="shared" si="3"/>
        <v>0</v>
      </c>
    </row>
    <row r="32" spans="1:19" x14ac:dyDescent="0.25">
      <c r="A32" s="49">
        <f t="shared" si="0"/>
        <v>0</v>
      </c>
      <c r="B32" s="33" t="str">
        <f t="shared" si="6"/>
        <v/>
      </c>
      <c r="C32" s="34"/>
      <c r="D32" s="34"/>
      <c r="E32" s="34"/>
      <c r="F32" s="34"/>
      <c r="G32" s="90"/>
      <c r="H32" s="104">
        <v>27</v>
      </c>
      <c r="I32" s="105" t="str">
        <f t="shared" si="4"/>
        <v/>
      </c>
      <c r="J32" s="104">
        <f t="shared" si="5"/>
        <v>-4</v>
      </c>
      <c r="K32" s="104">
        <f t="shared" si="2"/>
        <v>-40</v>
      </c>
      <c r="L32" s="104"/>
      <c r="M32" s="106">
        <f t="shared" si="3"/>
        <v>0</v>
      </c>
      <c r="R32" s="117"/>
      <c r="S32" s="118"/>
    </row>
    <row r="33" spans="1:21" x14ac:dyDescent="0.25">
      <c r="A33" s="48">
        <f t="shared" si="0"/>
        <v>0</v>
      </c>
      <c r="B33" s="39" t="str">
        <f t="shared" si="6"/>
        <v/>
      </c>
      <c r="C33" s="40"/>
      <c r="D33" s="40"/>
      <c r="E33" s="40"/>
      <c r="F33" s="40"/>
      <c r="G33" s="90"/>
      <c r="H33" s="107">
        <v>28</v>
      </c>
      <c r="I33" s="108" t="str">
        <f t="shared" si="4"/>
        <v/>
      </c>
      <c r="J33" s="107">
        <f t="shared" si="5"/>
        <v>-4</v>
      </c>
      <c r="K33" s="107">
        <f t="shared" si="2"/>
        <v>-40</v>
      </c>
      <c r="L33" s="107"/>
      <c r="M33" s="109">
        <f t="shared" si="3"/>
        <v>0</v>
      </c>
    </row>
    <row r="34" spans="1:21" x14ac:dyDescent="0.25">
      <c r="A34" s="49">
        <f t="shared" si="0"/>
        <v>0</v>
      </c>
      <c r="B34" s="33" t="str">
        <f t="shared" si="6"/>
        <v/>
      </c>
      <c r="C34" s="34"/>
      <c r="D34" s="34"/>
      <c r="E34" s="34"/>
      <c r="F34" s="34"/>
      <c r="G34" s="90"/>
      <c r="H34" s="104">
        <v>29</v>
      </c>
      <c r="I34" s="105" t="str">
        <f t="shared" si="4"/>
        <v/>
      </c>
      <c r="J34" s="104">
        <f t="shared" si="5"/>
        <v>-4</v>
      </c>
      <c r="K34" s="104">
        <f t="shared" si="2"/>
        <v>-40</v>
      </c>
      <c r="L34" s="104"/>
      <c r="M34" s="106">
        <f t="shared" si="3"/>
        <v>0</v>
      </c>
    </row>
    <row r="35" spans="1:21" x14ac:dyDescent="0.25">
      <c r="A35" s="48">
        <f t="shared" si="0"/>
        <v>0</v>
      </c>
      <c r="B35" s="39" t="str">
        <f t="shared" si="6"/>
        <v/>
      </c>
      <c r="C35" s="40"/>
      <c r="D35" s="40"/>
      <c r="E35" s="40"/>
      <c r="F35" s="40"/>
      <c r="G35" s="90"/>
      <c r="H35" s="107">
        <v>30</v>
      </c>
      <c r="I35" s="108" t="str">
        <f t="shared" si="4"/>
        <v/>
      </c>
      <c r="J35" s="107">
        <f t="shared" si="5"/>
        <v>-4</v>
      </c>
      <c r="K35" s="107">
        <f t="shared" si="2"/>
        <v>-40</v>
      </c>
      <c r="L35" s="107"/>
      <c r="M35" s="109">
        <f t="shared" si="3"/>
        <v>0</v>
      </c>
    </row>
    <row r="36" spans="1:21" x14ac:dyDescent="0.25">
      <c r="A36" s="49">
        <f t="shared" si="0"/>
        <v>0</v>
      </c>
      <c r="B36" s="33" t="str">
        <f t="shared" si="6"/>
        <v/>
      </c>
      <c r="C36" s="34"/>
      <c r="D36" s="34"/>
      <c r="E36" s="34"/>
      <c r="F36" s="34"/>
      <c r="G36" s="90"/>
      <c r="H36" s="104">
        <v>31</v>
      </c>
      <c r="I36" s="105" t="str">
        <f t="shared" si="4"/>
        <v/>
      </c>
      <c r="J36" s="104">
        <f t="shared" si="5"/>
        <v>-4</v>
      </c>
      <c r="K36" s="104">
        <f t="shared" si="2"/>
        <v>-40</v>
      </c>
      <c r="L36" s="104"/>
      <c r="M36" s="106">
        <f t="shared" si="3"/>
        <v>0</v>
      </c>
      <c r="R36" s="117"/>
      <c r="S36" s="118"/>
    </row>
    <row r="37" spans="1:21" x14ac:dyDescent="0.25">
      <c r="A37" s="48">
        <f t="shared" si="0"/>
        <v>0</v>
      </c>
      <c r="B37" s="39" t="str">
        <f t="shared" si="6"/>
        <v/>
      </c>
      <c r="C37" s="40"/>
      <c r="D37" s="40"/>
      <c r="E37" s="40"/>
      <c r="F37" s="40"/>
      <c r="G37" s="90"/>
      <c r="H37" s="107">
        <v>32</v>
      </c>
      <c r="I37" s="108" t="str">
        <f t="shared" si="4"/>
        <v/>
      </c>
      <c r="J37" s="107">
        <f t="shared" si="5"/>
        <v>-4</v>
      </c>
      <c r="K37" s="107">
        <f t="shared" si="2"/>
        <v>-40</v>
      </c>
      <c r="L37" s="107"/>
      <c r="M37" s="109">
        <f t="shared" si="3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90"/>
      <c r="H38" s="104">
        <v>33</v>
      </c>
      <c r="I38" s="105" t="str">
        <f t="shared" si="4"/>
        <v/>
      </c>
      <c r="J38" s="104">
        <f t="shared" si="5"/>
        <v>-5</v>
      </c>
      <c r="K38" s="104">
        <f t="shared" si="2"/>
        <v>-50</v>
      </c>
      <c r="L38" s="104"/>
      <c r="M38" s="106">
        <f t="shared" si="3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90"/>
      <c r="H39" s="107">
        <v>34</v>
      </c>
      <c r="I39" s="108" t="str">
        <f t="shared" si="4"/>
        <v/>
      </c>
      <c r="J39" s="107">
        <f t="shared" si="5"/>
        <v>-5</v>
      </c>
      <c r="K39" s="107">
        <f t="shared" si="2"/>
        <v>-50</v>
      </c>
      <c r="L39" s="107"/>
      <c r="M39" s="109">
        <f t="shared" si="3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90"/>
      <c r="H40" s="104">
        <v>35</v>
      </c>
      <c r="I40" s="105" t="str">
        <f t="shared" si="4"/>
        <v/>
      </c>
      <c r="J40" s="104">
        <f t="shared" si="5"/>
        <v>-5</v>
      </c>
      <c r="K40" s="104">
        <f t="shared" si="2"/>
        <v>-50</v>
      </c>
      <c r="L40" s="104"/>
      <c r="M40" s="106">
        <f t="shared" si="3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90"/>
      <c r="H41" s="107">
        <v>36</v>
      </c>
      <c r="I41" s="108" t="str">
        <f t="shared" si="4"/>
        <v/>
      </c>
      <c r="J41" s="107">
        <f t="shared" si="5"/>
        <v>-5</v>
      </c>
      <c r="K41" s="107">
        <f t="shared" si="2"/>
        <v>-50</v>
      </c>
      <c r="L41" s="107"/>
      <c r="M41" s="109">
        <f t="shared" si="3"/>
        <v>0</v>
      </c>
      <c r="S41" s="119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90"/>
      <c r="H42" s="104">
        <v>37</v>
      </c>
      <c r="I42" s="105" t="str">
        <f t="shared" si="4"/>
        <v/>
      </c>
      <c r="J42" s="104">
        <f t="shared" si="5"/>
        <v>-5</v>
      </c>
      <c r="K42" s="104">
        <f t="shared" si="2"/>
        <v>-50</v>
      </c>
      <c r="L42" s="104"/>
      <c r="M42" s="106">
        <f t="shared" si="3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90"/>
      <c r="H43" s="107">
        <v>38</v>
      </c>
      <c r="I43" s="108" t="str">
        <f t="shared" si="4"/>
        <v/>
      </c>
      <c r="J43" s="107">
        <f t="shared" si="5"/>
        <v>-5</v>
      </c>
      <c r="K43" s="107">
        <f t="shared" si="2"/>
        <v>-50</v>
      </c>
      <c r="L43" s="107"/>
      <c r="M43" s="109">
        <f t="shared" si="3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90"/>
      <c r="H44" s="104">
        <v>39</v>
      </c>
      <c r="I44" s="105" t="str">
        <f t="shared" si="4"/>
        <v/>
      </c>
      <c r="J44" s="104">
        <f t="shared" si="5"/>
        <v>-5</v>
      </c>
      <c r="K44" s="104">
        <f t="shared" si="2"/>
        <v>-50</v>
      </c>
      <c r="L44" s="104"/>
      <c r="M44" s="106">
        <f t="shared" si="3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90"/>
      <c r="H45" s="107">
        <v>40</v>
      </c>
      <c r="I45" s="108" t="str">
        <f t="shared" si="4"/>
        <v/>
      </c>
      <c r="J45" s="107">
        <f t="shared" si="5"/>
        <v>-5</v>
      </c>
      <c r="K45" s="107">
        <f t="shared" si="2"/>
        <v>-50</v>
      </c>
      <c r="L45" s="107"/>
      <c r="M45" s="109">
        <f t="shared" si="3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90"/>
      <c r="H46" s="104">
        <v>41</v>
      </c>
      <c r="I46" s="105" t="str">
        <f t="shared" si="4"/>
        <v/>
      </c>
      <c r="J46" s="104">
        <f t="shared" si="5"/>
        <v>-5</v>
      </c>
      <c r="K46" s="104">
        <f t="shared" si="2"/>
        <v>-50</v>
      </c>
      <c r="L46" s="104"/>
      <c r="M46" s="106">
        <f t="shared" si="3"/>
        <v>0</v>
      </c>
      <c r="R46" s="90">
        <f>LOG($H$2,2)</f>
        <v>1</v>
      </c>
      <c r="T46" s="95">
        <f>LOG(H38,2)</f>
        <v>5.0443941193584534</v>
      </c>
      <c r="U46" s="95">
        <f>R46-T46</f>
        <v>-4.0443941193584534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90"/>
      <c r="H47" s="107">
        <v>42</v>
      </c>
      <c r="I47" s="108" t="str">
        <f t="shared" si="4"/>
        <v/>
      </c>
      <c r="J47" s="107">
        <f t="shared" si="5"/>
        <v>-5</v>
      </c>
      <c r="K47" s="107">
        <f t="shared" si="2"/>
        <v>-50</v>
      </c>
      <c r="L47" s="107"/>
      <c r="M47" s="109">
        <f t="shared" si="3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90"/>
      <c r="H48" s="104">
        <v>43</v>
      </c>
      <c r="I48" s="105" t="str">
        <f t="shared" si="4"/>
        <v/>
      </c>
      <c r="J48" s="104">
        <f t="shared" si="5"/>
        <v>-5</v>
      </c>
      <c r="K48" s="104">
        <f t="shared" si="2"/>
        <v>-50</v>
      </c>
      <c r="L48" s="104"/>
      <c r="M48" s="106">
        <f t="shared" si="3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90"/>
      <c r="H49" s="107">
        <v>44</v>
      </c>
      <c r="I49" s="108" t="str">
        <f t="shared" si="4"/>
        <v/>
      </c>
      <c r="J49" s="107">
        <f t="shared" si="5"/>
        <v>-5</v>
      </c>
      <c r="K49" s="107">
        <f t="shared" si="2"/>
        <v>-50</v>
      </c>
      <c r="L49" s="107"/>
      <c r="M49" s="109">
        <f t="shared" si="3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90"/>
      <c r="H50" s="104">
        <v>45</v>
      </c>
      <c r="I50" s="105" t="str">
        <f t="shared" si="4"/>
        <v/>
      </c>
      <c r="J50" s="104">
        <f t="shared" si="5"/>
        <v>-5</v>
      </c>
      <c r="K50" s="104">
        <f t="shared" si="2"/>
        <v>-50</v>
      </c>
      <c r="L50" s="104"/>
      <c r="M50" s="106">
        <f t="shared" si="3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90"/>
      <c r="H51" s="107">
        <v>46</v>
      </c>
      <c r="I51" s="108" t="str">
        <f t="shared" si="4"/>
        <v/>
      </c>
      <c r="J51" s="107">
        <f t="shared" si="5"/>
        <v>-5</v>
      </c>
      <c r="K51" s="107">
        <f t="shared" si="2"/>
        <v>-50</v>
      </c>
      <c r="L51" s="107"/>
      <c r="M51" s="109">
        <f t="shared" si="3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90"/>
      <c r="H52" s="104">
        <v>47</v>
      </c>
      <c r="I52" s="105" t="str">
        <f t="shared" si="4"/>
        <v/>
      </c>
      <c r="J52" s="104">
        <f t="shared" si="5"/>
        <v>-5</v>
      </c>
      <c r="K52" s="104">
        <f t="shared" si="2"/>
        <v>-50</v>
      </c>
      <c r="L52" s="104"/>
      <c r="M52" s="106">
        <f t="shared" si="3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90"/>
      <c r="H53" s="107">
        <v>48</v>
      </c>
      <c r="I53" s="108" t="str">
        <f t="shared" si="4"/>
        <v/>
      </c>
      <c r="J53" s="107">
        <f t="shared" si="5"/>
        <v>-5</v>
      </c>
      <c r="K53" s="107">
        <f t="shared" si="2"/>
        <v>-50</v>
      </c>
      <c r="L53" s="107"/>
      <c r="M53" s="109">
        <f t="shared" si="3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90"/>
      <c r="H54" s="104">
        <v>49</v>
      </c>
      <c r="I54" s="105" t="str">
        <f t="shared" si="4"/>
        <v/>
      </c>
      <c r="J54" s="104">
        <f t="shared" si="5"/>
        <v>-5</v>
      </c>
      <c r="K54" s="104">
        <f t="shared" si="2"/>
        <v>-50</v>
      </c>
      <c r="L54" s="104"/>
      <c r="M54" s="106">
        <f t="shared" si="3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90"/>
      <c r="H55" s="107">
        <v>50</v>
      </c>
      <c r="I55" s="108" t="str">
        <f t="shared" si="4"/>
        <v/>
      </c>
      <c r="J55" s="107">
        <f t="shared" si="5"/>
        <v>-5</v>
      </c>
      <c r="K55" s="107">
        <f t="shared" si="2"/>
        <v>-50</v>
      </c>
      <c r="L55" s="107"/>
      <c r="M55" s="109">
        <f t="shared" si="3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90"/>
      <c r="H56" s="104">
        <v>51</v>
      </c>
      <c r="I56" s="105" t="str">
        <f t="shared" si="4"/>
        <v/>
      </c>
      <c r="J56" s="104">
        <f t="shared" si="5"/>
        <v>-5</v>
      </c>
      <c r="K56" s="104">
        <f t="shared" si="2"/>
        <v>-50</v>
      </c>
      <c r="L56" s="104"/>
      <c r="M56" s="106">
        <f t="shared" si="3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90"/>
      <c r="H57" s="107">
        <v>52</v>
      </c>
      <c r="I57" s="108" t="str">
        <f t="shared" si="4"/>
        <v/>
      </c>
      <c r="J57" s="107">
        <f t="shared" si="5"/>
        <v>-5</v>
      </c>
      <c r="K57" s="107">
        <f t="shared" si="2"/>
        <v>-50</v>
      </c>
      <c r="L57" s="107"/>
      <c r="M57" s="109">
        <f t="shared" si="3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90"/>
      <c r="H58" s="104">
        <v>53</v>
      </c>
      <c r="I58" s="105" t="str">
        <f t="shared" si="4"/>
        <v/>
      </c>
      <c r="J58" s="104">
        <f t="shared" si="5"/>
        <v>-5</v>
      </c>
      <c r="K58" s="104">
        <f t="shared" si="2"/>
        <v>-50</v>
      </c>
      <c r="L58" s="104"/>
      <c r="M58" s="106">
        <f t="shared" si="3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90"/>
      <c r="H59" s="107">
        <v>54</v>
      </c>
      <c r="I59" s="108" t="str">
        <f t="shared" si="4"/>
        <v/>
      </c>
      <c r="J59" s="107">
        <f t="shared" si="5"/>
        <v>-5</v>
      </c>
      <c r="K59" s="107">
        <f t="shared" si="2"/>
        <v>-50</v>
      </c>
      <c r="L59" s="107"/>
      <c r="M59" s="109">
        <f t="shared" si="3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90"/>
      <c r="H60" s="104">
        <v>55</v>
      </c>
      <c r="I60" s="105" t="str">
        <f t="shared" si="4"/>
        <v/>
      </c>
      <c r="J60" s="104">
        <f t="shared" si="5"/>
        <v>-5</v>
      </c>
      <c r="K60" s="104">
        <f t="shared" si="2"/>
        <v>-50</v>
      </c>
      <c r="L60" s="104"/>
      <c r="M60" s="106">
        <f t="shared" si="3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90"/>
      <c r="H61" s="107">
        <v>56</v>
      </c>
      <c r="I61" s="108" t="str">
        <f t="shared" si="4"/>
        <v/>
      </c>
      <c r="J61" s="107">
        <f t="shared" si="5"/>
        <v>-5</v>
      </c>
      <c r="K61" s="107">
        <f t="shared" si="2"/>
        <v>-50</v>
      </c>
      <c r="L61" s="107"/>
      <c r="M61" s="109">
        <f t="shared" si="3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90"/>
      <c r="H62" s="104">
        <v>57</v>
      </c>
      <c r="I62" s="105" t="str">
        <f t="shared" si="4"/>
        <v/>
      </c>
      <c r="J62" s="104">
        <f t="shared" si="5"/>
        <v>-5</v>
      </c>
      <c r="K62" s="104">
        <f t="shared" si="2"/>
        <v>-50</v>
      </c>
      <c r="L62" s="104"/>
      <c r="M62" s="106">
        <f t="shared" si="3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90"/>
      <c r="H63" s="107">
        <v>58</v>
      </c>
      <c r="I63" s="108" t="str">
        <f t="shared" si="4"/>
        <v/>
      </c>
      <c r="J63" s="107">
        <f t="shared" si="5"/>
        <v>-5</v>
      </c>
      <c r="K63" s="107">
        <f t="shared" si="2"/>
        <v>-50</v>
      </c>
      <c r="L63" s="107"/>
      <c r="M63" s="109">
        <f t="shared" si="3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90"/>
      <c r="H64" s="104">
        <v>59</v>
      </c>
      <c r="I64" s="105" t="str">
        <f t="shared" si="4"/>
        <v/>
      </c>
      <c r="J64" s="104">
        <f t="shared" si="5"/>
        <v>-5</v>
      </c>
      <c r="K64" s="104">
        <f t="shared" si="2"/>
        <v>-50</v>
      </c>
      <c r="L64" s="104"/>
      <c r="M64" s="106">
        <f t="shared" si="3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90"/>
      <c r="H65" s="107">
        <v>60</v>
      </c>
      <c r="I65" s="108" t="str">
        <f t="shared" si="4"/>
        <v/>
      </c>
      <c r="J65" s="107">
        <f t="shared" si="5"/>
        <v>-5</v>
      </c>
      <c r="K65" s="107">
        <f t="shared" si="2"/>
        <v>-50</v>
      </c>
      <c r="L65" s="107"/>
      <c r="M65" s="109">
        <f t="shared" si="3"/>
        <v>0</v>
      </c>
    </row>
    <row r="66" spans="1:13" x14ac:dyDescent="0.25">
      <c r="A66" s="120"/>
      <c r="B66" s="33"/>
      <c r="G66" s="90"/>
      <c r="H66" s="104">
        <v>61</v>
      </c>
      <c r="I66" s="105" t="str">
        <f t="shared" si="4"/>
        <v/>
      </c>
      <c r="J66" s="104">
        <f t="shared" si="5"/>
        <v>-5</v>
      </c>
      <c r="K66" s="104">
        <f t="shared" si="2"/>
        <v>-50</v>
      </c>
      <c r="L66" s="104"/>
      <c r="M66" s="106">
        <f t="shared" si="3"/>
        <v>0</v>
      </c>
    </row>
    <row r="67" spans="1:13" x14ac:dyDescent="0.25">
      <c r="A67" s="120"/>
      <c r="B67" s="39"/>
      <c r="G67" s="90"/>
      <c r="H67" s="104">
        <v>62</v>
      </c>
      <c r="I67" s="105" t="str">
        <f t="shared" si="4"/>
        <v/>
      </c>
      <c r="J67" s="104">
        <f t="shared" si="5"/>
        <v>-5</v>
      </c>
      <c r="K67" s="104">
        <f t="shared" si="2"/>
        <v>-50</v>
      </c>
      <c r="L67" s="104"/>
      <c r="M67" s="106">
        <f t="shared" si="3"/>
        <v>0</v>
      </c>
    </row>
    <row r="68" spans="1:13" x14ac:dyDescent="0.25">
      <c r="A68" s="120"/>
      <c r="B68" s="33"/>
      <c r="G68" s="90"/>
      <c r="H68" s="104">
        <v>63</v>
      </c>
      <c r="I68" s="105" t="str">
        <f t="shared" si="4"/>
        <v/>
      </c>
      <c r="J68" s="104">
        <f t="shared" si="5"/>
        <v>-5</v>
      </c>
      <c r="K68" s="104">
        <f t="shared" si="2"/>
        <v>-50</v>
      </c>
      <c r="L68" s="104"/>
      <c r="M68" s="106">
        <f t="shared" si="3"/>
        <v>0</v>
      </c>
    </row>
    <row r="69" spans="1:13" x14ac:dyDescent="0.25">
      <c r="A69" s="120"/>
      <c r="B69" s="39"/>
      <c r="G69" s="90"/>
      <c r="H69" s="104">
        <v>64</v>
      </c>
      <c r="I69" s="105" t="str">
        <f t="shared" si="4"/>
        <v/>
      </c>
      <c r="J69" s="104">
        <f t="shared" si="5"/>
        <v>-5</v>
      </c>
      <c r="K69" s="104">
        <f t="shared" si="2"/>
        <v>-50</v>
      </c>
      <c r="L69" s="104"/>
      <c r="M69" s="106">
        <f t="shared" si="3"/>
        <v>0</v>
      </c>
    </row>
    <row r="70" spans="1:13" x14ac:dyDescent="0.25">
      <c r="A70" s="120"/>
      <c r="G70" s="90"/>
      <c r="H70" s="104">
        <v>65</v>
      </c>
      <c r="I70" s="105" t="str">
        <f t="shared" si="4"/>
        <v/>
      </c>
      <c r="J70" s="104">
        <f t="shared" si="5"/>
        <v>-6</v>
      </c>
      <c r="K70" s="104">
        <f t="shared" ref="K70:K133" si="7">J70*$J$2</f>
        <v>-60</v>
      </c>
      <c r="L70" s="104"/>
      <c r="M70" s="106">
        <f t="shared" ref="M70:M133" si="8">IF(I70&lt;&gt;"",K70+I70+L70,0)</f>
        <v>0</v>
      </c>
    </row>
    <row r="71" spans="1:13" x14ac:dyDescent="0.25">
      <c r="A71" s="120"/>
      <c r="G71" s="90"/>
      <c r="H71" s="104">
        <v>66</v>
      </c>
      <c r="I71" s="105" t="str">
        <f t="shared" ref="I71:I134" si="9">IF(H71&lt;$H$2+1,($I$2-($I$2-1)*(LOG(H71)/LOG($H$2))),"")</f>
        <v/>
      </c>
      <c r="J71" s="104">
        <f t="shared" ref="J71:J134" si="10">INT(LOG($H$2,2))-ROUNDUP(LOG(H71,2),0)+IF(OR($H$2=1,$H$2=2,$H$2=4,$H$2=8,$H$2=16,$H$2=32,$H$2=64,$H$2=128,$H$2=256),0,1)</f>
        <v>-6</v>
      </c>
      <c r="K71" s="104">
        <f t="shared" si="7"/>
        <v>-60</v>
      </c>
      <c r="L71" s="104"/>
      <c r="M71" s="106">
        <f t="shared" si="8"/>
        <v>0</v>
      </c>
    </row>
    <row r="72" spans="1:13" x14ac:dyDescent="0.25">
      <c r="A72" s="120"/>
      <c r="G72" s="90"/>
      <c r="H72" s="104">
        <v>67</v>
      </c>
      <c r="I72" s="105" t="str">
        <f t="shared" si="9"/>
        <v/>
      </c>
      <c r="J72" s="104">
        <f t="shared" si="10"/>
        <v>-6</v>
      </c>
      <c r="K72" s="104">
        <f t="shared" si="7"/>
        <v>-60</v>
      </c>
      <c r="L72" s="104"/>
      <c r="M72" s="106">
        <f t="shared" si="8"/>
        <v>0</v>
      </c>
    </row>
    <row r="73" spans="1:13" x14ac:dyDescent="0.25">
      <c r="A73" s="120"/>
      <c r="G73" s="90"/>
      <c r="H73" s="104">
        <v>68</v>
      </c>
      <c r="I73" s="105" t="str">
        <f t="shared" si="9"/>
        <v/>
      </c>
      <c r="J73" s="104">
        <f t="shared" si="10"/>
        <v>-6</v>
      </c>
      <c r="K73" s="104">
        <f t="shared" si="7"/>
        <v>-60</v>
      </c>
      <c r="L73" s="104"/>
      <c r="M73" s="106">
        <f t="shared" si="8"/>
        <v>0</v>
      </c>
    </row>
    <row r="74" spans="1:13" x14ac:dyDescent="0.25">
      <c r="A74" s="120"/>
      <c r="G74" s="90"/>
      <c r="H74" s="104">
        <v>69</v>
      </c>
      <c r="I74" s="105" t="str">
        <f t="shared" si="9"/>
        <v/>
      </c>
      <c r="J74" s="104">
        <f t="shared" si="10"/>
        <v>-6</v>
      </c>
      <c r="K74" s="104">
        <f t="shared" si="7"/>
        <v>-60</v>
      </c>
      <c r="L74" s="104"/>
      <c r="M74" s="106">
        <f t="shared" si="8"/>
        <v>0</v>
      </c>
    </row>
    <row r="75" spans="1:13" x14ac:dyDescent="0.25">
      <c r="A75" s="120"/>
      <c r="G75" s="90"/>
      <c r="H75" s="104">
        <v>70</v>
      </c>
      <c r="I75" s="105" t="str">
        <f t="shared" si="9"/>
        <v/>
      </c>
      <c r="J75" s="104">
        <f t="shared" si="10"/>
        <v>-6</v>
      </c>
      <c r="K75" s="104">
        <f t="shared" si="7"/>
        <v>-60</v>
      </c>
      <c r="L75" s="104"/>
      <c r="M75" s="106">
        <f t="shared" si="8"/>
        <v>0</v>
      </c>
    </row>
    <row r="76" spans="1:13" x14ac:dyDescent="0.25">
      <c r="A76" s="120"/>
      <c r="G76" s="90"/>
      <c r="H76" s="104">
        <v>71</v>
      </c>
      <c r="I76" s="105" t="str">
        <f t="shared" si="9"/>
        <v/>
      </c>
      <c r="J76" s="104">
        <f t="shared" si="10"/>
        <v>-6</v>
      </c>
      <c r="K76" s="104">
        <f t="shared" si="7"/>
        <v>-60</v>
      </c>
      <c r="L76" s="104"/>
      <c r="M76" s="106">
        <f t="shared" si="8"/>
        <v>0</v>
      </c>
    </row>
    <row r="77" spans="1:13" x14ac:dyDescent="0.25">
      <c r="A77" s="120"/>
      <c r="G77" s="90"/>
      <c r="H77" s="104">
        <v>72</v>
      </c>
      <c r="I77" s="105" t="str">
        <f t="shared" si="9"/>
        <v/>
      </c>
      <c r="J77" s="104">
        <f t="shared" si="10"/>
        <v>-6</v>
      </c>
      <c r="K77" s="104">
        <f t="shared" si="7"/>
        <v>-60</v>
      </c>
      <c r="L77" s="104"/>
      <c r="M77" s="106">
        <f t="shared" si="8"/>
        <v>0</v>
      </c>
    </row>
    <row r="78" spans="1:13" x14ac:dyDescent="0.25">
      <c r="A78" s="120"/>
      <c r="G78" s="90"/>
      <c r="H78" s="104">
        <v>73</v>
      </c>
      <c r="I78" s="105" t="str">
        <f t="shared" si="9"/>
        <v/>
      </c>
      <c r="J78" s="104">
        <f t="shared" si="10"/>
        <v>-6</v>
      </c>
      <c r="K78" s="104">
        <f t="shared" si="7"/>
        <v>-60</v>
      </c>
      <c r="L78" s="104"/>
      <c r="M78" s="106">
        <f t="shared" si="8"/>
        <v>0</v>
      </c>
    </row>
    <row r="79" spans="1:13" x14ac:dyDescent="0.25">
      <c r="A79" s="120"/>
      <c r="G79" s="90"/>
      <c r="H79" s="104">
        <v>74</v>
      </c>
      <c r="I79" s="105" t="str">
        <f t="shared" si="9"/>
        <v/>
      </c>
      <c r="J79" s="104">
        <f t="shared" si="10"/>
        <v>-6</v>
      </c>
      <c r="K79" s="104">
        <f t="shared" si="7"/>
        <v>-60</v>
      </c>
      <c r="L79" s="104"/>
      <c r="M79" s="106">
        <f t="shared" si="8"/>
        <v>0</v>
      </c>
    </row>
    <row r="80" spans="1:13" x14ac:dyDescent="0.25">
      <c r="A80" s="120"/>
      <c r="G80" s="90"/>
      <c r="H80" s="104">
        <v>75</v>
      </c>
      <c r="I80" s="105" t="str">
        <f t="shared" si="9"/>
        <v/>
      </c>
      <c r="J80" s="104">
        <f t="shared" si="10"/>
        <v>-6</v>
      </c>
      <c r="K80" s="104">
        <f t="shared" si="7"/>
        <v>-60</v>
      </c>
      <c r="L80" s="104"/>
      <c r="M80" s="106">
        <f t="shared" si="8"/>
        <v>0</v>
      </c>
    </row>
    <row r="81" spans="1:13" x14ac:dyDescent="0.25">
      <c r="A81" s="120"/>
      <c r="G81" s="90"/>
      <c r="H81" s="104">
        <v>76</v>
      </c>
      <c r="I81" s="105" t="str">
        <f t="shared" si="9"/>
        <v/>
      </c>
      <c r="J81" s="104">
        <f t="shared" si="10"/>
        <v>-6</v>
      </c>
      <c r="K81" s="104">
        <f t="shared" si="7"/>
        <v>-60</v>
      </c>
      <c r="L81" s="104"/>
      <c r="M81" s="106">
        <f t="shared" si="8"/>
        <v>0</v>
      </c>
    </row>
    <row r="82" spans="1:13" x14ac:dyDescent="0.25">
      <c r="A82" s="120"/>
      <c r="G82" s="90"/>
      <c r="H82" s="104">
        <v>77</v>
      </c>
      <c r="I82" s="105" t="str">
        <f t="shared" si="9"/>
        <v/>
      </c>
      <c r="J82" s="104">
        <f t="shared" si="10"/>
        <v>-6</v>
      </c>
      <c r="K82" s="104">
        <f t="shared" si="7"/>
        <v>-60</v>
      </c>
      <c r="L82" s="104"/>
      <c r="M82" s="106">
        <f t="shared" si="8"/>
        <v>0</v>
      </c>
    </row>
    <row r="83" spans="1:13" x14ac:dyDescent="0.25">
      <c r="A83" s="120"/>
      <c r="G83" s="90"/>
      <c r="H83" s="104">
        <v>78</v>
      </c>
      <c r="I83" s="105" t="str">
        <f t="shared" si="9"/>
        <v/>
      </c>
      <c r="J83" s="104">
        <f t="shared" si="10"/>
        <v>-6</v>
      </c>
      <c r="K83" s="104">
        <f t="shared" si="7"/>
        <v>-60</v>
      </c>
      <c r="L83" s="104"/>
      <c r="M83" s="106">
        <f t="shared" si="8"/>
        <v>0</v>
      </c>
    </row>
    <row r="84" spans="1:13" x14ac:dyDescent="0.25">
      <c r="A84" s="120"/>
      <c r="G84" s="90"/>
      <c r="H84" s="104">
        <v>79</v>
      </c>
      <c r="I84" s="105" t="str">
        <f t="shared" si="9"/>
        <v/>
      </c>
      <c r="J84" s="104">
        <f t="shared" si="10"/>
        <v>-6</v>
      </c>
      <c r="K84" s="104">
        <f t="shared" si="7"/>
        <v>-60</v>
      </c>
      <c r="L84" s="104"/>
      <c r="M84" s="106">
        <f t="shared" si="8"/>
        <v>0</v>
      </c>
    </row>
    <row r="85" spans="1:13" x14ac:dyDescent="0.25">
      <c r="A85" s="120"/>
      <c r="G85" s="90"/>
      <c r="H85" s="104">
        <v>80</v>
      </c>
      <c r="I85" s="105" t="str">
        <f t="shared" si="9"/>
        <v/>
      </c>
      <c r="J85" s="104">
        <f t="shared" si="10"/>
        <v>-6</v>
      </c>
      <c r="K85" s="104">
        <f t="shared" si="7"/>
        <v>-60</v>
      </c>
      <c r="L85" s="104"/>
      <c r="M85" s="106">
        <f t="shared" si="8"/>
        <v>0</v>
      </c>
    </row>
    <row r="86" spans="1:13" x14ac:dyDescent="0.25">
      <c r="A86" s="120"/>
      <c r="G86" s="90"/>
      <c r="H86" s="104">
        <v>81</v>
      </c>
      <c r="I86" s="105" t="str">
        <f t="shared" si="9"/>
        <v/>
      </c>
      <c r="J86" s="104">
        <f t="shared" si="10"/>
        <v>-6</v>
      </c>
      <c r="K86" s="104">
        <f t="shared" si="7"/>
        <v>-60</v>
      </c>
      <c r="L86" s="104"/>
      <c r="M86" s="106">
        <f t="shared" si="8"/>
        <v>0</v>
      </c>
    </row>
    <row r="87" spans="1:13" x14ac:dyDescent="0.25">
      <c r="A87" s="120"/>
      <c r="G87" s="90"/>
      <c r="H87" s="104">
        <v>82</v>
      </c>
      <c r="I87" s="105" t="str">
        <f t="shared" si="9"/>
        <v/>
      </c>
      <c r="J87" s="104">
        <f t="shared" si="10"/>
        <v>-6</v>
      </c>
      <c r="K87" s="104">
        <f t="shared" si="7"/>
        <v>-60</v>
      </c>
      <c r="L87" s="104"/>
      <c r="M87" s="106">
        <f t="shared" si="8"/>
        <v>0</v>
      </c>
    </row>
    <row r="88" spans="1:13" x14ac:dyDescent="0.25">
      <c r="A88" s="120"/>
      <c r="G88" s="90"/>
      <c r="H88" s="104">
        <v>83</v>
      </c>
      <c r="I88" s="105" t="str">
        <f t="shared" si="9"/>
        <v/>
      </c>
      <c r="J88" s="104">
        <f t="shared" si="10"/>
        <v>-6</v>
      </c>
      <c r="K88" s="104">
        <f t="shared" si="7"/>
        <v>-60</v>
      </c>
      <c r="L88" s="104"/>
      <c r="M88" s="106">
        <f t="shared" si="8"/>
        <v>0</v>
      </c>
    </row>
    <row r="89" spans="1:13" x14ac:dyDescent="0.25">
      <c r="A89" s="120"/>
      <c r="G89" s="90"/>
      <c r="H89" s="104">
        <v>84</v>
      </c>
      <c r="I89" s="105" t="str">
        <f t="shared" si="9"/>
        <v/>
      </c>
      <c r="J89" s="104">
        <f t="shared" si="10"/>
        <v>-6</v>
      </c>
      <c r="K89" s="104">
        <f t="shared" si="7"/>
        <v>-60</v>
      </c>
      <c r="L89" s="104"/>
      <c r="M89" s="106">
        <f t="shared" si="8"/>
        <v>0</v>
      </c>
    </row>
    <row r="90" spans="1:13" x14ac:dyDescent="0.25">
      <c r="A90" s="120"/>
      <c r="G90" s="90"/>
      <c r="H90" s="104">
        <v>85</v>
      </c>
      <c r="I90" s="105" t="str">
        <f t="shared" si="9"/>
        <v/>
      </c>
      <c r="J90" s="104">
        <f t="shared" si="10"/>
        <v>-6</v>
      </c>
      <c r="K90" s="104">
        <f t="shared" si="7"/>
        <v>-60</v>
      </c>
      <c r="L90" s="104"/>
      <c r="M90" s="106">
        <f t="shared" si="8"/>
        <v>0</v>
      </c>
    </row>
    <row r="91" spans="1:13" x14ac:dyDescent="0.25">
      <c r="A91" s="120"/>
      <c r="G91" s="90"/>
      <c r="H91" s="104">
        <v>86</v>
      </c>
      <c r="I91" s="105" t="str">
        <f t="shared" si="9"/>
        <v/>
      </c>
      <c r="J91" s="104">
        <f t="shared" si="10"/>
        <v>-6</v>
      </c>
      <c r="K91" s="104">
        <f t="shared" si="7"/>
        <v>-60</v>
      </c>
      <c r="L91" s="104"/>
      <c r="M91" s="106">
        <f t="shared" si="8"/>
        <v>0</v>
      </c>
    </row>
    <row r="92" spans="1:13" x14ac:dyDescent="0.25">
      <c r="A92" s="120"/>
      <c r="G92" s="90"/>
      <c r="H92" s="104">
        <v>87</v>
      </c>
      <c r="I92" s="105" t="str">
        <f t="shared" si="9"/>
        <v/>
      </c>
      <c r="J92" s="104">
        <f t="shared" si="10"/>
        <v>-6</v>
      </c>
      <c r="K92" s="104">
        <f t="shared" si="7"/>
        <v>-60</v>
      </c>
      <c r="L92" s="104"/>
      <c r="M92" s="106">
        <f t="shared" si="8"/>
        <v>0</v>
      </c>
    </row>
    <row r="93" spans="1:13" x14ac:dyDescent="0.25">
      <c r="A93" s="120"/>
      <c r="G93" s="90"/>
      <c r="H93" s="104">
        <v>88</v>
      </c>
      <c r="I93" s="105" t="str">
        <f t="shared" si="9"/>
        <v/>
      </c>
      <c r="J93" s="104">
        <f t="shared" si="10"/>
        <v>-6</v>
      </c>
      <c r="K93" s="104">
        <f t="shared" si="7"/>
        <v>-60</v>
      </c>
      <c r="L93" s="104"/>
      <c r="M93" s="106">
        <f t="shared" si="8"/>
        <v>0</v>
      </c>
    </row>
    <row r="94" spans="1:13" x14ac:dyDescent="0.25">
      <c r="A94" s="120"/>
      <c r="G94" s="90"/>
      <c r="H94" s="104">
        <v>89</v>
      </c>
      <c r="I94" s="105" t="str">
        <f t="shared" si="9"/>
        <v/>
      </c>
      <c r="J94" s="104">
        <f t="shared" si="10"/>
        <v>-6</v>
      </c>
      <c r="K94" s="104">
        <f t="shared" si="7"/>
        <v>-60</v>
      </c>
      <c r="L94" s="104"/>
      <c r="M94" s="106">
        <f t="shared" si="8"/>
        <v>0</v>
      </c>
    </row>
    <row r="95" spans="1:13" x14ac:dyDescent="0.25">
      <c r="A95" s="120"/>
      <c r="G95" s="90"/>
      <c r="H95" s="104">
        <v>90</v>
      </c>
      <c r="I95" s="105" t="str">
        <f t="shared" si="9"/>
        <v/>
      </c>
      <c r="J95" s="104">
        <f t="shared" si="10"/>
        <v>-6</v>
      </c>
      <c r="K95" s="104">
        <f t="shared" si="7"/>
        <v>-60</v>
      </c>
      <c r="L95" s="104"/>
      <c r="M95" s="106">
        <f t="shared" si="8"/>
        <v>0</v>
      </c>
    </row>
    <row r="96" spans="1:13" x14ac:dyDescent="0.25">
      <c r="A96" s="120"/>
      <c r="G96" s="90"/>
      <c r="H96" s="104">
        <v>91</v>
      </c>
      <c r="I96" s="105" t="str">
        <f t="shared" si="9"/>
        <v/>
      </c>
      <c r="J96" s="104">
        <f t="shared" si="10"/>
        <v>-6</v>
      </c>
      <c r="K96" s="104">
        <f t="shared" si="7"/>
        <v>-60</v>
      </c>
      <c r="L96" s="104"/>
      <c r="M96" s="106">
        <f t="shared" si="8"/>
        <v>0</v>
      </c>
    </row>
    <row r="97" spans="1:13" x14ac:dyDescent="0.25">
      <c r="A97" s="120"/>
      <c r="G97" s="90"/>
      <c r="H97" s="104">
        <v>92</v>
      </c>
      <c r="I97" s="105" t="str">
        <f t="shared" si="9"/>
        <v/>
      </c>
      <c r="J97" s="104">
        <f t="shared" si="10"/>
        <v>-6</v>
      </c>
      <c r="K97" s="104">
        <f t="shared" si="7"/>
        <v>-60</v>
      </c>
      <c r="L97" s="104"/>
      <c r="M97" s="106">
        <f t="shared" si="8"/>
        <v>0</v>
      </c>
    </row>
    <row r="98" spans="1:13" x14ac:dyDescent="0.25">
      <c r="A98" s="120"/>
      <c r="G98" s="90"/>
      <c r="H98" s="104">
        <v>93</v>
      </c>
      <c r="I98" s="105" t="str">
        <f t="shared" si="9"/>
        <v/>
      </c>
      <c r="J98" s="104">
        <f t="shared" si="10"/>
        <v>-6</v>
      </c>
      <c r="K98" s="104">
        <f t="shared" si="7"/>
        <v>-60</v>
      </c>
      <c r="L98" s="104"/>
      <c r="M98" s="106">
        <f t="shared" si="8"/>
        <v>0</v>
      </c>
    </row>
    <row r="99" spans="1:13" x14ac:dyDescent="0.25">
      <c r="A99" s="120"/>
      <c r="G99" s="90"/>
      <c r="H99" s="104">
        <v>94</v>
      </c>
      <c r="I99" s="105" t="str">
        <f t="shared" si="9"/>
        <v/>
      </c>
      <c r="J99" s="104">
        <f t="shared" si="10"/>
        <v>-6</v>
      </c>
      <c r="K99" s="104">
        <f t="shared" si="7"/>
        <v>-60</v>
      </c>
      <c r="L99" s="104"/>
      <c r="M99" s="106">
        <f t="shared" si="8"/>
        <v>0</v>
      </c>
    </row>
    <row r="100" spans="1:13" x14ac:dyDescent="0.25">
      <c r="A100" s="120"/>
      <c r="G100" s="90"/>
      <c r="H100" s="104">
        <v>95</v>
      </c>
      <c r="I100" s="105" t="str">
        <f t="shared" si="9"/>
        <v/>
      </c>
      <c r="J100" s="104">
        <f t="shared" si="10"/>
        <v>-6</v>
      </c>
      <c r="K100" s="104">
        <f t="shared" si="7"/>
        <v>-60</v>
      </c>
      <c r="L100" s="104"/>
      <c r="M100" s="106">
        <f t="shared" si="8"/>
        <v>0</v>
      </c>
    </row>
    <row r="101" spans="1:13" x14ac:dyDescent="0.25">
      <c r="A101" s="120"/>
      <c r="G101" s="90"/>
      <c r="H101" s="104">
        <v>96</v>
      </c>
      <c r="I101" s="105" t="str">
        <f t="shared" si="9"/>
        <v/>
      </c>
      <c r="J101" s="104">
        <f t="shared" si="10"/>
        <v>-6</v>
      </c>
      <c r="K101" s="104">
        <f t="shared" si="7"/>
        <v>-60</v>
      </c>
      <c r="L101" s="104"/>
      <c r="M101" s="106">
        <f t="shared" si="8"/>
        <v>0</v>
      </c>
    </row>
    <row r="102" spans="1:13" x14ac:dyDescent="0.25">
      <c r="A102" s="120"/>
      <c r="G102" s="90"/>
      <c r="H102" s="104">
        <v>97</v>
      </c>
      <c r="I102" s="105" t="str">
        <f t="shared" si="9"/>
        <v/>
      </c>
      <c r="J102" s="104">
        <f t="shared" si="10"/>
        <v>-6</v>
      </c>
      <c r="K102" s="104">
        <f t="shared" si="7"/>
        <v>-60</v>
      </c>
      <c r="L102" s="104"/>
      <c r="M102" s="106">
        <f t="shared" si="8"/>
        <v>0</v>
      </c>
    </row>
    <row r="103" spans="1:13" x14ac:dyDescent="0.25">
      <c r="A103" s="120"/>
      <c r="G103" s="90"/>
      <c r="H103" s="104">
        <v>98</v>
      </c>
      <c r="I103" s="105" t="str">
        <f t="shared" si="9"/>
        <v/>
      </c>
      <c r="J103" s="104">
        <f t="shared" si="10"/>
        <v>-6</v>
      </c>
      <c r="K103" s="104">
        <f t="shared" si="7"/>
        <v>-60</v>
      </c>
      <c r="L103" s="104"/>
      <c r="M103" s="106">
        <f t="shared" si="8"/>
        <v>0</v>
      </c>
    </row>
    <row r="104" spans="1:13" x14ac:dyDescent="0.25">
      <c r="A104" s="120"/>
      <c r="G104" s="90"/>
      <c r="H104" s="104">
        <v>99</v>
      </c>
      <c r="I104" s="105" t="str">
        <f t="shared" si="9"/>
        <v/>
      </c>
      <c r="J104" s="104">
        <f t="shared" si="10"/>
        <v>-6</v>
      </c>
      <c r="K104" s="104">
        <f t="shared" si="7"/>
        <v>-60</v>
      </c>
      <c r="L104" s="104"/>
      <c r="M104" s="106">
        <f t="shared" si="8"/>
        <v>0</v>
      </c>
    </row>
    <row r="105" spans="1:13" x14ac:dyDescent="0.25">
      <c r="A105" s="120"/>
      <c r="G105" s="90"/>
      <c r="H105" s="104">
        <v>100</v>
      </c>
      <c r="I105" s="105" t="str">
        <f t="shared" si="9"/>
        <v/>
      </c>
      <c r="J105" s="104">
        <f t="shared" si="10"/>
        <v>-6</v>
      </c>
      <c r="K105" s="104">
        <f t="shared" si="7"/>
        <v>-60</v>
      </c>
      <c r="L105" s="104"/>
      <c r="M105" s="106">
        <f t="shared" si="8"/>
        <v>0</v>
      </c>
    </row>
    <row r="106" spans="1:13" x14ac:dyDescent="0.25">
      <c r="A106" s="120"/>
      <c r="G106" s="90"/>
      <c r="H106" s="104">
        <v>101</v>
      </c>
      <c r="I106" s="105" t="str">
        <f t="shared" si="9"/>
        <v/>
      </c>
      <c r="J106" s="104">
        <f t="shared" si="10"/>
        <v>-6</v>
      </c>
      <c r="K106" s="104">
        <f t="shared" si="7"/>
        <v>-60</v>
      </c>
      <c r="L106" s="104"/>
      <c r="M106" s="106">
        <f t="shared" si="8"/>
        <v>0</v>
      </c>
    </row>
    <row r="107" spans="1:13" x14ac:dyDescent="0.25">
      <c r="A107" s="120"/>
      <c r="G107" s="90"/>
      <c r="H107" s="104">
        <v>102</v>
      </c>
      <c r="I107" s="105" t="str">
        <f t="shared" si="9"/>
        <v/>
      </c>
      <c r="J107" s="104">
        <f t="shared" si="10"/>
        <v>-6</v>
      </c>
      <c r="K107" s="104">
        <f t="shared" si="7"/>
        <v>-60</v>
      </c>
      <c r="L107" s="104"/>
      <c r="M107" s="106">
        <f t="shared" si="8"/>
        <v>0</v>
      </c>
    </row>
    <row r="108" spans="1:13" x14ac:dyDescent="0.25">
      <c r="A108" s="120"/>
      <c r="G108" s="90"/>
      <c r="H108" s="104">
        <v>103</v>
      </c>
      <c r="I108" s="105" t="str">
        <f t="shared" si="9"/>
        <v/>
      </c>
      <c r="J108" s="104">
        <f t="shared" si="10"/>
        <v>-6</v>
      </c>
      <c r="K108" s="104">
        <f t="shared" si="7"/>
        <v>-60</v>
      </c>
      <c r="L108" s="104"/>
      <c r="M108" s="106">
        <f t="shared" si="8"/>
        <v>0</v>
      </c>
    </row>
    <row r="109" spans="1:13" x14ac:dyDescent="0.25">
      <c r="A109" s="120"/>
      <c r="G109" s="90"/>
      <c r="H109" s="104">
        <v>104</v>
      </c>
      <c r="I109" s="105" t="str">
        <f t="shared" si="9"/>
        <v/>
      </c>
      <c r="J109" s="104">
        <f t="shared" si="10"/>
        <v>-6</v>
      </c>
      <c r="K109" s="104">
        <f t="shared" si="7"/>
        <v>-60</v>
      </c>
      <c r="L109" s="104"/>
      <c r="M109" s="106">
        <f t="shared" si="8"/>
        <v>0</v>
      </c>
    </row>
    <row r="110" spans="1:13" x14ac:dyDescent="0.25">
      <c r="A110" s="120"/>
      <c r="G110" s="90"/>
      <c r="H110" s="104">
        <v>105</v>
      </c>
      <c r="I110" s="105" t="str">
        <f t="shared" si="9"/>
        <v/>
      </c>
      <c r="J110" s="104">
        <f t="shared" si="10"/>
        <v>-6</v>
      </c>
      <c r="K110" s="104">
        <f t="shared" si="7"/>
        <v>-60</v>
      </c>
      <c r="L110" s="104"/>
      <c r="M110" s="106">
        <f t="shared" si="8"/>
        <v>0</v>
      </c>
    </row>
    <row r="111" spans="1:13" x14ac:dyDescent="0.25">
      <c r="A111" s="120"/>
      <c r="G111" s="90"/>
      <c r="H111" s="104">
        <v>106</v>
      </c>
      <c r="I111" s="105" t="str">
        <f t="shared" si="9"/>
        <v/>
      </c>
      <c r="J111" s="104">
        <f t="shared" si="10"/>
        <v>-6</v>
      </c>
      <c r="K111" s="104">
        <f t="shared" si="7"/>
        <v>-60</v>
      </c>
      <c r="L111" s="104"/>
      <c r="M111" s="106">
        <f t="shared" si="8"/>
        <v>0</v>
      </c>
    </row>
    <row r="112" spans="1:13" x14ac:dyDescent="0.25">
      <c r="A112" s="120"/>
      <c r="G112" s="90"/>
      <c r="H112" s="104">
        <v>107</v>
      </c>
      <c r="I112" s="105" t="str">
        <f t="shared" si="9"/>
        <v/>
      </c>
      <c r="J112" s="104">
        <f t="shared" si="10"/>
        <v>-6</v>
      </c>
      <c r="K112" s="104">
        <f t="shared" si="7"/>
        <v>-60</v>
      </c>
      <c r="L112" s="104"/>
      <c r="M112" s="106">
        <f t="shared" si="8"/>
        <v>0</v>
      </c>
    </row>
    <row r="113" spans="1:13" x14ac:dyDescent="0.25">
      <c r="A113" s="120"/>
      <c r="G113" s="90"/>
      <c r="H113" s="104">
        <v>108</v>
      </c>
      <c r="I113" s="105" t="str">
        <f t="shared" si="9"/>
        <v/>
      </c>
      <c r="J113" s="104">
        <f t="shared" si="10"/>
        <v>-6</v>
      </c>
      <c r="K113" s="104">
        <f t="shared" si="7"/>
        <v>-60</v>
      </c>
      <c r="L113" s="104"/>
      <c r="M113" s="106">
        <f t="shared" si="8"/>
        <v>0</v>
      </c>
    </row>
    <row r="114" spans="1:13" x14ac:dyDescent="0.25">
      <c r="A114" s="120"/>
      <c r="G114" s="90"/>
      <c r="H114" s="104">
        <v>109</v>
      </c>
      <c r="I114" s="105" t="str">
        <f t="shared" si="9"/>
        <v/>
      </c>
      <c r="J114" s="104">
        <f t="shared" si="10"/>
        <v>-6</v>
      </c>
      <c r="K114" s="104">
        <f t="shared" si="7"/>
        <v>-60</v>
      </c>
      <c r="L114" s="104"/>
      <c r="M114" s="106">
        <f t="shared" si="8"/>
        <v>0</v>
      </c>
    </row>
    <row r="115" spans="1:13" x14ac:dyDescent="0.25">
      <c r="A115" s="120"/>
      <c r="G115" s="90"/>
      <c r="H115" s="104">
        <v>110</v>
      </c>
      <c r="I115" s="105" t="str">
        <f t="shared" si="9"/>
        <v/>
      </c>
      <c r="J115" s="104">
        <f t="shared" si="10"/>
        <v>-6</v>
      </c>
      <c r="K115" s="104">
        <f t="shared" si="7"/>
        <v>-60</v>
      </c>
      <c r="L115" s="104"/>
      <c r="M115" s="106">
        <f t="shared" si="8"/>
        <v>0</v>
      </c>
    </row>
    <row r="116" spans="1:13" x14ac:dyDescent="0.25">
      <c r="A116" s="120"/>
      <c r="G116" s="90"/>
      <c r="H116" s="104">
        <v>111</v>
      </c>
      <c r="I116" s="105" t="str">
        <f t="shared" si="9"/>
        <v/>
      </c>
      <c r="J116" s="104">
        <f t="shared" si="10"/>
        <v>-6</v>
      </c>
      <c r="K116" s="104">
        <f t="shared" si="7"/>
        <v>-60</v>
      </c>
      <c r="L116" s="104"/>
      <c r="M116" s="106">
        <f t="shared" si="8"/>
        <v>0</v>
      </c>
    </row>
    <row r="117" spans="1:13" x14ac:dyDescent="0.25">
      <c r="A117" s="120"/>
      <c r="G117" s="90"/>
      <c r="H117" s="104">
        <v>112</v>
      </c>
      <c r="I117" s="105" t="str">
        <f t="shared" si="9"/>
        <v/>
      </c>
      <c r="J117" s="104">
        <f t="shared" si="10"/>
        <v>-6</v>
      </c>
      <c r="K117" s="104">
        <f t="shared" si="7"/>
        <v>-60</v>
      </c>
      <c r="L117" s="104"/>
      <c r="M117" s="106">
        <f t="shared" si="8"/>
        <v>0</v>
      </c>
    </row>
    <row r="118" spans="1:13" x14ac:dyDescent="0.25">
      <c r="A118" s="120"/>
      <c r="G118" s="90"/>
      <c r="H118" s="104">
        <v>113</v>
      </c>
      <c r="I118" s="105" t="str">
        <f t="shared" si="9"/>
        <v/>
      </c>
      <c r="J118" s="104">
        <f t="shared" si="10"/>
        <v>-6</v>
      </c>
      <c r="K118" s="104">
        <f t="shared" si="7"/>
        <v>-60</v>
      </c>
      <c r="L118" s="104"/>
      <c r="M118" s="106">
        <f t="shared" si="8"/>
        <v>0</v>
      </c>
    </row>
    <row r="119" spans="1:13" x14ac:dyDescent="0.25">
      <c r="A119" s="120"/>
      <c r="G119" s="90"/>
      <c r="H119" s="104">
        <v>114</v>
      </c>
      <c r="I119" s="105" t="str">
        <f t="shared" si="9"/>
        <v/>
      </c>
      <c r="J119" s="104">
        <f t="shared" si="10"/>
        <v>-6</v>
      </c>
      <c r="K119" s="104">
        <f t="shared" si="7"/>
        <v>-60</v>
      </c>
      <c r="L119" s="104"/>
      <c r="M119" s="106">
        <f t="shared" si="8"/>
        <v>0</v>
      </c>
    </row>
    <row r="120" spans="1:13" x14ac:dyDescent="0.25">
      <c r="A120" s="120"/>
      <c r="G120" s="90"/>
      <c r="H120" s="104">
        <v>115</v>
      </c>
      <c r="I120" s="105" t="str">
        <f t="shared" si="9"/>
        <v/>
      </c>
      <c r="J120" s="104">
        <f t="shared" si="10"/>
        <v>-6</v>
      </c>
      <c r="K120" s="104">
        <f t="shared" si="7"/>
        <v>-60</v>
      </c>
      <c r="L120" s="104"/>
      <c r="M120" s="106">
        <f t="shared" si="8"/>
        <v>0</v>
      </c>
    </row>
    <row r="121" spans="1:13" x14ac:dyDescent="0.25">
      <c r="A121" s="120"/>
      <c r="G121" s="90"/>
      <c r="H121" s="104">
        <v>116</v>
      </c>
      <c r="I121" s="105" t="str">
        <f t="shared" si="9"/>
        <v/>
      </c>
      <c r="J121" s="104">
        <f t="shared" si="10"/>
        <v>-6</v>
      </c>
      <c r="K121" s="104">
        <f t="shared" si="7"/>
        <v>-60</v>
      </c>
      <c r="L121" s="104"/>
      <c r="M121" s="106">
        <f t="shared" si="8"/>
        <v>0</v>
      </c>
    </row>
    <row r="122" spans="1:13" x14ac:dyDescent="0.25">
      <c r="A122" s="120"/>
      <c r="G122" s="90"/>
      <c r="H122" s="104">
        <v>117</v>
      </c>
      <c r="I122" s="105" t="str">
        <f t="shared" si="9"/>
        <v/>
      </c>
      <c r="J122" s="104">
        <f t="shared" si="10"/>
        <v>-6</v>
      </c>
      <c r="K122" s="104">
        <f t="shared" si="7"/>
        <v>-60</v>
      </c>
      <c r="L122" s="104"/>
      <c r="M122" s="106">
        <f t="shared" si="8"/>
        <v>0</v>
      </c>
    </row>
    <row r="123" spans="1:13" x14ac:dyDescent="0.25">
      <c r="A123" s="120"/>
      <c r="G123" s="90"/>
      <c r="H123" s="104">
        <v>118</v>
      </c>
      <c r="I123" s="105" t="str">
        <f t="shared" si="9"/>
        <v/>
      </c>
      <c r="J123" s="104">
        <f t="shared" si="10"/>
        <v>-6</v>
      </c>
      <c r="K123" s="104">
        <f t="shared" si="7"/>
        <v>-60</v>
      </c>
      <c r="L123" s="104"/>
      <c r="M123" s="106">
        <f t="shared" si="8"/>
        <v>0</v>
      </c>
    </row>
    <row r="124" spans="1:13" x14ac:dyDescent="0.25">
      <c r="A124" s="120"/>
      <c r="G124" s="90"/>
      <c r="H124" s="104">
        <v>119</v>
      </c>
      <c r="I124" s="105" t="str">
        <f t="shared" si="9"/>
        <v/>
      </c>
      <c r="J124" s="104">
        <f t="shared" si="10"/>
        <v>-6</v>
      </c>
      <c r="K124" s="104">
        <f t="shared" si="7"/>
        <v>-60</v>
      </c>
      <c r="L124" s="104"/>
      <c r="M124" s="106">
        <f t="shared" si="8"/>
        <v>0</v>
      </c>
    </row>
    <row r="125" spans="1:13" x14ac:dyDescent="0.25">
      <c r="A125" s="120"/>
      <c r="G125" s="90"/>
      <c r="H125" s="104">
        <v>120</v>
      </c>
      <c r="I125" s="105" t="str">
        <f t="shared" si="9"/>
        <v/>
      </c>
      <c r="J125" s="104">
        <f t="shared" si="10"/>
        <v>-6</v>
      </c>
      <c r="K125" s="104">
        <f t="shared" si="7"/>
        <v>-60</v>
      </c>
      <c r="L125" s="104"/>
      <c r="M125" s="106">
        <f t="shared" si="8"/>
        <v>0</v>
      </c>
    </row>
    <row r="126" spans="1:13" x14ac:dyDescent="0.25">
      <c r="A126" s="120"/>
      <c r="G126" s="90"/>
      <c r="H126" s="104">
        <v>121</v>
      </c>
      <c r="I126" s="105" t="str">
        <f t="shared" si="9"/>
        <v/>
      </c>
      <c r="J126" s="104">
        <f t="shared" si="10"/>
        <v>-6</v>
      </c>
      <c r="K126" s="104">
        <f t="shared" si="7"/>
        <v>-60</v>
      </c>
      <c r="L126" s="104"/>
      <c r="M126" s="106">
        <f t="shared" si="8"/>
        <v>0</v>
      </c>
    </row>
    <row r="127" spans="1:13" x14ac:dyDescent="0.25">
      <c r="A127" s="120"/>
      <c r="G127" s="90"/>
      <c r="H127" s="104">
        <v>122</v>
      </c>
      <c r="I127" s="105" t="str">
        <f t="shared" si="9"/>
        <v/>
      </c>
      <c r="J127" s="104">
        <f t="shared" si="10"/>
        <v>-6</v>
      </c>
      <c r="K127" s="104">
        <f t="shared" si="7"/>
        <v>-60</v>
      </c>
      <c r="L127" s="104"/>
      <c r="M127" s="106">
        <f t="shared" si="8"/>
        <v>0</v>
      </c>
    </row>
    <row r="128" spans="1:13" x14ac:dyDescent="0.25">
      <c r="A128" s="120"/>
      <c r="G128" s="90"/>
      <c r="H128" s="104">
        <v>123</v>
      </c>
      <c r="I128" s="105" t="str">
        <f t="shared" si="9"/>
        <v/>
      </c>
      <c r="J128" s="104">
        <f t="shared" si="10"/>
        <v>-6</v>
      </c>
      <c r="K128" s="104">
        <f t="shared" si="7"/>
        <v>-60</v>
      </c>
      <c r="L128" s="104"/>
      <c r="M128" s="106">
        <f t="shared" si="8"/>
        <v>0</v>
      </c>
    </row>
    <row r="129" spans="1:13" x14ac:dyDescent="0.25">
      <c r="A129" s="120"/>
      <c r="G129" s="90"/>
      <c r="H129" s="104">
        <v>124</v>
      </c>
      <c r="I129" s="105" t="str">
        <f t="shared" si="9"/>
        <v/>
      </c>
      <c r="J129" s="104">
        <f t="shared" si="10"/>
        <v>-6</v>
      </c>
      <c r="K129" s="104">
        <f t="shared" si="7"/>
        <v>-60</v>
      </c>
      <c r="L129" s="104"/>
      <c r="M129" s="106">
        <f t="shared" si="8"/>
        <v>0</v>
      </c>
    </row>
    <row r="130" spans="1:13" x14ac:dyDescent="0.25">
      <c r="A130" s="120"/>
      <c r="G130" s="90"/>
      <c r="H130" s="104">
        <v>125</v>
      </c>
      <c r="I130" s="105" t="str">
        <f t="shared" si="9"/>
        <v/>
      </c>
      <c r="J130" s="104">
        <f t="shared" si="10"/>
        <v>-6</v>
      </c>
      <c r="K130" s="104">
        <f t="shared" si="7"/>
        <v>-60</v>
      </c>
      <c r="L130" s="104"/>
      <c r="M130" s="106">
        <f t="shared" si="8"/>
        <v>0</v>
      </c>
    </row>
    <row r="131" spans="1:13" x14ac:dyDescent="0.25">
      <c r="A131" s="120"/>
      <c r="G131" s="90"/>
      <c r="H131" s="104">
        <v>126</v>
      </c>
      <c r="I131" s="105" t="str">
        <f t="shared" si="9"/>
        <v/>
      </c>
      <c r="J131" s="104">
        <f t="shared" si="10"/>
        <v>-6</v>
      </c>
      <c r="K131" s="104">
        <f t="shared" si="7"/>
        <v>-60</v>
      </c>
      <c r="L131" s="104"/>
      <c r="M131" s="106">
        <f t="shared" si="8"/>
        <v>0</v>
      </c>
    </row>
    <row r="132" spans="1:13" x14ac:dyDescent="0.25">
      <c r="A132" s="120"/>
      <c r="G132" s="90"/>
      <c r="H132" s="104">
        <v>127</v>
      </c>
      <c r="I132" s="105" t="str">
        <f t="shared" si="9"/>
        <v/>
      </c>
      <c r="J132" s="104">
        <f t="shared" si="10"/>
        <v>-6</v>
      </c>
      <c r="K132" s="104">
        <f t="shared" si="7"/>
        <v>-60</v>
      </c>
      <c r="L132" s="104"/>
      <c r="M132" s="106">
        <f t="shared" si="8"/>
        <v>0</v>
      </c>
    </row>
    <row r="133" spans="1:13" x14ac:dyDescent="0.25">
      <c r="A133" s="120"/>
      <c r="G133" s="90"/>
      <c r="H133" s="104">
        <v>128</v>
      </c>
      <c r="I133" s="105" t="str">
        <f t="shared" si="9"/>
        <v/>
      </c>
      <c r="J133" s="104">
        <f t="shared" si="10"/>
        <v>-6</v>
      </c>
      <c r="K133" s="104">
        <f t="shared" si="7"/>
        <v>-60</v>
      </c>
      <c r="L133" s="104"/>
      <c r="M133" s="106">
        <f t="shared" si="8"/>
        <v>0</v>
      </c>
    </row>
    <row r="134" spans="1:13" x14ac:dyDescent="0.25">
      <c r="A134" s="120"/>
      <c r="G134" s="90"/>
      <c r="H134" s="104">
        <v>129</v>
      </c>
      <c r="I134" s="105" t="str">
        <f t="shared" si="9"/>
        <v/>
      </c>
      <c r="J134" s="104">
        <f t="shared" si="10"/>
        <v>-7</v>
      </c>
      <c r="K134" s="104">
        <f t="shared" ref="K134:K197" si="11">J134*$J$2</f>
        <v>-70</v>
      </c>
      <c r="L134" s="104"/>
      <c r="M134" s="106">
        <f t="shared" ref="M134:M197" si="12">IF(I134&lt;&gt;"",K134+I134+L134,0)</f>
        <v>0</v>
      </c>
    </row>
    <row r="135" spans="1:13" x14ac:dyDescent="0.25">
      <c r="A135" s="120"/>
      <c r="G135" s="90"/>
      <c r="H135" s="104">
        <v>130</v>
      </c>
      <c r="I135" s="105" t="str">
        <f t="shared" ref="I135:I198" si="13">IF(H135&lt;$H$2+1,($I$2-($I$2-1)*(LOG(H135)/LOG($H$2))),"")</f>
        <v/>
      </c>
      <c r="J135" s="104">
        <f t="shared" ref="J135:J198" si="14">INT(LOG($H$2,2))-ROUNDUP(LOG(H135,2),0)+IF(OR($H$2=1,$H$2=2,$H$2=4,$H$2=8,$H$2=16,$H$2=32,$H$2=64,$H$2=128,$H$2=256),0,1)</f>
        <v>-7</v>
      </c>
      <c r="K135" s="104">
        <f t="shared" si="11"/>
        <v>-70</v>
      </c>
      <c r="L135" s="104"/>
      <c r="M135" s="106">
        <f t="shared" si="12"/>
        <v>0</v>
      </c>
    </row>
    <row r="136" spans="1:13" x14ac:dyDescent="0.25">
      <c r="A136" s="120"/>
      <c r="G136" s="90"/>
      <c r="H136" s="104">
        <v>131</v>
      </c>
      <c r="I136" s="105" t="str">
        <f t="shared" si="13"/>
        <v/>
      </c>
      <c r="J136" s="104">
        <f t="shared" si="14"/>
        <v>-7</v>
      </c>
      <c r="K136" s="104">
        <f t="shared" si="11"/>
        <v>-70</v>
      </c>
      <c r="L136" s="104"/>
      <c r="M136" s="106">
        <f t="shared" si="12"/>
        <v>0</v>
      </c>
    </row>
    <row r="137" spans="1:13" x14ac:dyDescent="0.25">
      <c r="A137" s="120"/>
      <c r="G137" s="90"/>
      <c r="H137" s="104">
        <v>132</v>
      </c>
      <c r="I137" s="105" t="str">
        <f t="shared" si="13"/>
        <v/>
      </c>
      <c r="J137" s="104">
        <f t="shared" si="14"/>
        <v>-7</v>
      </c>
      <c r="K137" s="104">
        <f t="shared" si="11"/>
        <v>-70</v>
      </c>
      <c r="L137" s="104"/>
      <c r="M137" s="106">
        <f t="shared" si="12"/>
        <v>0</v>
      </c>
    </row>
    <row r="138" spans="1:13" x14ac:dyDescent="0.25">
      <c r="A138" s="120"/>
      <c r="G138" s="90"/>
      <c r="H138" s="104">
        <v>133</v>
      </c>
      <c r="I138" s="105" t="str">
        <f t="shared" si="13"/>
        <v/>
      </c>
      <c r="J138" s="104">
        <f t="shared" si="14"/>
        <v>-7</v>
      </c>
      <c r="K138" s="104">
        <f t="shared" si="11"/>
        <v>-70</v>
      </c>
      <c r="L138" s="104"/>
      <c r="M138" s="106">
        <f t="shared" si="12"/>
        <v>0</v>
      </c>
    </row>
    <row r="139" spans="1:13" x14ac:dyDescent="0.25">
      <c r="A139" s="120"/>
      <c r="G139" s="90"/>
      <c r="H139" s="104">
        <v>134</v>
      </c>
      <c r="I139" s="105" t="str">
        <f t="shared" si="13"/>
        <v/>
      </c>
      <c r="J139" s="104">
        <f t="shared" si="14"/>
        <v>-7</v>
      </c>
      <c r="K139" s="104">
        <f t="shared" si="11"/>
        <v>-70</v>
      </c>
      <c r="L139" s="104"/>
      <c r="M139" s="106">
        <f t="shared" si="12"/>
        <v>0</v>
      </c>
    </row>
    <row r="140" spans="1:13" x14ac:dyDescent="0.25">
      <c r="A140" s="120"/>
      <c r="G140" s="90"/>
      <c r="H140" s="104">
        <v>135</v>
      </c>
      <c r="I140" s="105" t="str">
        <f t="shared" si="13"/>
        <v/>
      </c>
      <c r="J140" s="104">
        <f t="shared" si="14"/>
        <v>-7</v>
      </c>
      <c r="K140" s="104">
        <f t="shared" si="11"/>
        <v>-70</v>
      </c>
      <c r="L140" s="104"/>
      <c r="M140" s="106">
        <f t="shared" si="12"/>
        <v>0</v>
      </c>
    </row>
    <row r="141" spans="1:13" x14ac:dyDescent="0.25">
      <c r="A141" s="120"/>
      <c r="G141" s="90"/>
      <c r="H141" s="104">
        <v>136</v>
      </c>
      <c r="I141" s="105" t="str">
        <f t="shared" si="13"/>
        <v/>
      </c>
      <c r="J141" s="104">
        <f t="shared" si="14"/>
        <v>-7</v>
      </c>
      <c r="K141" s="104">
        <f t="shared" si="11"/>
        <v>-70</v>
      </c>
      <c r="L141" s="104"/>
      <c r="M141" s="106">
        <f t="shared" si="12"/>
        <v>0</v>
      </c>
    </row>
    <row r="142" spans="1:13" x14ac:dyDescent="0.25">
      <c r="A142" s="120"/>
      <c r="G142" s="90"/>
      <c r="H142" s="104">
        <v>137</v>
      </c>
      <c r="I142" s="105" t="str">
        <f t="shared" si="13"/>
        <v/>
      </c>
      <c r="J142" s="104">
        <f t="shared" si="14"/>
        <v>-7</v>
      </c>
      <c r="K142" s="104">
        <f t="shared" si="11"/>
        <v>-70</v>
      </c>
      <c r="L142" s="104"/>
      <c r="M142" s="106">
        <f t="shared" si="12"/>
        <v>0</v>
      </c>
    </row>
    <row r="143" spans="1:13" x14ac:dyDescent="0.25">
      <c r="A143" s="120"/>
      <c r="G143" s="90"/>
      <c r="H143" s="104">
        <v>138</v>
      </c>
      <c r="I143" s="105" t="str">
        <f t="shared" si="13"/>
        <v/>
      </c>
      <c r="J143" s="104">
        <f t="shared" si="14"/>
        <v>-7</v>
      </c>
      <c r="K143" s="104">
        <f t="shared" si="11"/>
        <v>-70</v>
      </c>
      <c r="L143" s="104"/>
      <c r="M143" s="106">
        <f t="shared" si="12"/>
        <v>0</v>
      </c>
    </row>
    <row r="144" spans="1:13" x14ac:dyDescent="0.25">
      <c r="A144" s="120"/>
      <c r="G144" s="90"/>
      <c r="H144" s="104">
        <v>139</v>
      </c>
      <c r="I144" s="105" t="str">
        <f t="shared" si="13"/>
        <v/>
      </c>
      <c r="J144" s="104">
        <f t="shared" si="14"/>
        <v>-7</v>
      </c>
      <c r="K144" s="104">
        <f t="shared" si="11"/>
        <v>-70</v>
      </c>
      <c r="L144" s="104"/>
      <c r="M144" s="106">
        <f t="shared" si="12"/>
        <v>0</v>
      </c>
    </row>
    <row r="145" spans="1:13" x14ac:dyDescent="0.25">
      <c r="A145" s="120"/>
      <c r="G145" s="90"/>
      <c r="H145" s="104">
        <v>140</v>
      </c>
      <c r="I145" s="105" t="str">
        <f t="shared" si="13"/>
        <v/>
      </c>
      <c r="J145" s="104">
        <f t="shared" si="14"/>
        <v>-7</v>
      </c>
      <c r="K145" s="104">
        <f t="shared" si="11"/>
        <v>-70</v>
      </c>
      <c r="L145" s="104"/>
      <c r="M145" s="106">
        <f t="shared" si="12"/>
        <v>0</v>
      </c>
    </row>
    <row r="146" spans="1:13" x14ac:dyDescent="0.25">
      <c r="A146" s="120"/>
      <c r="G146" s="90"/>
      <c r="H146" s="104">
        <v>141</v>
      </c>
      <c r="I146" s="105" t="str">
        <f t="shared" si="13"/>
        <v/>
      </c>
      <c r="J146" s="104">
        <f t="shared" si="14"/>
        <v>-7</v>
      </c>
      <c r="K146" s="104">
        <f t="shared" si="11"/>
        <v>-70</v>
      </c>
      <c r="L146" s="104"/>
      <c r="M146" s="106">
        <f t="shared" si="12"/>
        <v>0</v>
      </c>
    </row>
    <row r="147" spans="1:13" x14ac:dyDescent="0.25">
      <c r="A147" s="120"/>
      <c r="G147" s="90"/>
      <c r="H147" s="104">
        <v>142</v>
      </c>
      <c r="I147" s="105" t="str">
        <f t="shared" si="13"/>
        <v/>
      </c>
      <c r="J147" s="104">
        <f t="shared" si="14"/>
        <v>-7</v>
      </c>
      <c r="K147" s="104">
        <f t="shared" si="11"/>
        <v>-70</v>
      </c>
      <c r="L147" s="104"/>
      <c r="M147" s="106">
        <f t="shared" si="12"/>
        <v>0</v>
      </c>
    </row>
    <row r="148" spans="1:13" x14ac:dyDescent="0.25">
      <c r="A148" s="120"/>
      <c r="G148" s="90"/>
      <c r="H148" s="104">
        <v>143</v>
      </c>
      <c r="I148" s="105" t="str">
        <f t="shared" si="13"/>
        <v/>
      </c>
      <c r="J148" s="104">
        <f t="shared" si="14"/>
        <v>-7</v>
      </c>
      <c r="K148" s="104">
        <f t="shared" si="11"/>
        <v>-70</v>
      </c>
      <c r="L148" s="104"/>
      <c r="M148" s="106">
        <f t="shared" si="12"/>
        <v>0</v>
      </c>
    </row>
    <row r="149" spans="1:13" x14ac:dyDescent="0.25">
      <c r="A149" s="120"/>
      <c r="G149" s="90"/>
      <c r="H149" s="104">
        <v>144</v>
      </c>
      <c r="I149" s="105" t="str">
        <f t="shared" si="13"/>
        <v/>
      </c>
      <c r="J149" s="104">
        <f t="shared" si="14"/>
        <v>-7</v>
      </c>
      <c r="K149" s="104">
        <f t="shared" si="11"/>
        <v>-70</v>
      </c>
      <c r="L149" s="104"/>
      <c r="M149" s="106">
        <f t="shared" si="12"/>
        <v>0</v>
      </c>
    </row>
    <row r="150" spans="1:13" x14ac:dyDescent="0.25">
      <c r="A150" s="120"/>
      <c r="G150" s="90"/>
      <c r="H150" s="104">
        <v>145</v>
      </c>
      <c r="I150" s="105" t="str">
        <f t="shared" si="13"/>
        <v/>
      </c>
      <c r="J150" s="104">
        <f t="shared" si="14"/>
        <v>-7</v>
      </c>
      <c r="K150" s="104">
        <f t="shared" si="11"/>
        <v>-70</v>
      </c>
      <c r="L150" s="104"/>
      <c r="M150" s="106">
        <f t="shared" si="12"/>
        <v>0</v>
      </c>
    </row>
    <row r="151" spans="1:13" x14ac:dyDescent="0.25">
      <c r="A151" s="120"/>
      <c r="G151" s="90"/>
      <c r="H151" s="104">
        <v>146</v>
      </c>
      <c r="I151" s="105" t="str">
        <f t="shared" si="13"/>
        <v/>
      </c>
      <c r="J151" s="104">
        <f t="shared" si="14"/>
        <v>-7</v>
      </c>
      <c r="K151" s="104">
        <f t="shared" si="11"/>
        <v>-70</v>
      </c>
      <c r="L151" s="104"/>
      <c r="M151" s="106">
        <f t="shared" si="12"/>
        <v>0</v>
      </c>
    </row>
    <row r="152" spans="1:13" x14ac:dyDescent="0.25">
      <c r="A152" s="120"/>
      <c r="G152" s="90"/>
      <c r="H152" s="104">
        <v>147</v>
      </c>
      <c r="I152" s="105" t="str">
        <f t="shared" si="13"/>
        <v/>
      </c>
      <c r="J152" s="104">
        <f t="shared" si="14"/>
        <v>-7</v>
      </c>
      <c r="K152" s="104">
        <f t="shared" si="11"/>
        <v>-70</v>
      </c>
      <c r="L152" s="104"/>
      <c r="M152" s="106">
        <f t="shared" si="12"/>
        <v>0</v>
      </c>
    </row>
    <row r="153" spans="1:13" x14ac:dyDescent="0.25">
      <c r="A153" s="120"/>
      <c r="G153" s="90"/>
      <c r="H153" s="104">
        <v>148</v>
      </c>
      <c r="I153" s="105" t="str">
        <f t="shared" si="13"/>
        <v/>
      </c>
      <c r="J153" s="104">
        <f t="shared" si="14"/>
        <v>-7</v>
      </c>
      <c r="K153" s="104">
        <f t="shared" si="11"/>
        <v>-70</v>
      </c>
      <c r="L153" s="104"/>
      <c r="M153" s="106">
        <f t="shared" si="12"/>
        <v>0</v>
      </c>
    </row>
    <row r="154" spans="1:13" x14ac:dyDescent="0.25">
      <c r="A154" s="120"/>
      <c r="G154" s="90"/>
      <c r="H154" s="104">
        <v>149</v>
      </c>
      <c r="I154" s="105" t="str">
        <f t="shared" si="13"/>
        <v/>
      </c>
      <c r="J154" s="104">
        <f t="shared" si="14"/>
        <v>-7</v>
      </c>
      <c r="K154" s="104">
        <f t="shared" si="11"/>
        <v>-70</v>
      </c>
      <c r="L154" s="104"/>
      <c r="M154" s="106">
        <f t="shared" si="12"/>
        <v>0</v>
      </c>
    </row>
    <row r="155" spans="1:13" x14ac:dyDescent="0.25">
      <c r="A155" s="120"/>
      <c r="G155" s="90"/>
      <c r="H155" s="104">
        <v>150</v>
      </c>
      <c r="I155" s="105" t="str">
        <f t="shared" si="13"/>
        <v/>
      </c>
      <c r="J155" s="104">
        <f t="shared" si="14"/>
        <v>-7</v>
      </c>
      <c r="K155" s="104">
        <f t="shared" si="11"/>
        <v>-70</v>
      </c>
      <c r="L155" s="104"/>
      <c r="M155" s="106">
        <f t="shared" si="12"/>
        <v>0</v>
      </c>
    </row>
    <row r="156" spans="1:13" x14ac:dyDescent="0.25">
      <c r="A156" s="120"/>
      <c r="G156" s="90"/>
      <c r="H156" s="104">
        <v>151</v>
      </c>
      <c r="I156" s="105" t="str">
        <f t="shared" si="13"/>
        <v/>
      </c>
      <c r="J156" s="104">
        <f t="shared" si="14"/>
        <v>-7</v>
      </c>
      <c r="K156" s="104">
        <f t="shared" si="11"/>
        <v>-70</v>
      </c>
      <c r="L156" s="104"/>
      <c r="M156" s="106">
        <f t="shared" si="12"/>
        <v>0</v>
      </c>
    </row>
    <row r="157" spans="1:13" x14ac:dyDescent="0.25">
      <c r="A157" s="120"/>
      <c r="G157" s="90"/>
      <c r="H157" s="104">
        <v>152</v>
      </c>
      <c r="I157" s="105" t="str">
        <f t="shared" si="13"/>
        <v/>
      </c>
      <c r="J157" s="104">
        <f t="shared" si="14"/>
        <v>-7</v>
      </c>
      <c r="K157" s="104">
        <f t="shared" si="11"/>
        <v>-70</v>
      </c>
      <c r="L157" s="104"/>
      <c r="M157" s="106">
        <f t="shared" si="12"/>
        <v>0</v>
      </c>
    </row>
    <row r="158" spans="1:13" x14ac:dyDescent="0.25">
      <c r="A158" s="120"/>
      <c r="G158" s="90"/>
      <c r="H158" s="104">
        <v>153</v>
      </c>
      <c r="I158" s="105" t="str">
        <f t="shared" si="13"/>
        <v/>
      </c>
      <c r="J158" s="104">
        <f t="shared" si="14"/>
        <v>-7</v>
      </c>
      <c r="K158" s="104">
        <f t="shared" si="11"/>
        <v>-70</v>
      </c>
      <c r="L158" s="104"/>
      <c r="M158" s="106">
        <f t="shared" si="12"/>
        <v>0</v>
      </c>
    </row>
    <row r="159" spans="1:13" x14ac:dyDescent="0.25">
      <c r="A159" s="120"/>
      <c r="G159" s="90"/>
      <c r="H159" s="104">
        <v>154</v>
      </c>
      <c r="I159" s="105" t="str">
        <f t="shared" si="13"/>
        <v/>
      </c>
      <c r="J159" s="104">
        <f t="shared" si="14"/>
        <v>-7</v>
      </c>
      <c r="K159" s="104">
        <f t="shared" si="11"/>
        <v>-70</v>
      </c>
      <c r="L159" s="104"/>
      <c r="M159" s="106">
        <f t="shared" si="12"/>
        <v>0</v>
      </c>
    </row>
    <row r="160" spans="1:13" x14ac:dyDescent="0.25">
      <c r="A160" s="120"/>
      <c r="G160" s="90"/>
      <c r="H160" s="104">
        <v>155</v>
      </c>
      <c r="I160" s="105" t="str">
        <f t="shared" si="13"/>
        <v/>
      </c>
      <c r="J160" s="104">
        <f t="shared" si="14"/>
        <v>-7</v>
      </c>
      <c r="K160" s="104">
        <f t="shared" si="11"/>
        <v>-70</v>
      </c>
      <c r="L160" s="104"/>
      <c r="M160" s="106">
        <f t="shared" si="12"/>
        <v>0</v>
      </c>
    </row>
    <row r="161" spans="1:13" x14ac:dyDescent="0.25">
      <c r="A161" s="120"/>
      <c r="G161" s="90"/>
      <c r="H161" s="104">
        <v>156</v>
      </c>
      <c r="I161" s="105" t="str">
        <f t="shared" si="13"/>
        <v/>
      </c>
      <c r="J161" s="104">
        <f t="shared" si="14"/>
        <v>-7</v>
      </c>
      <c r="K161" s="104">
        <f t="shared" si="11"/>
        <v>-70</v>
      </c>
      <c r="L161" s="104"/>
      <c r="M161" s="106">
        <f t="shared" si="12"/>
        <v>0</v>
      </c>
    </row>
    <row r="162" spans="1:13" x14ac:dyDescent="0.25">
      <c r="A162" s="120"/>
      <c r="G162" s="90"/>
      <c r="H162" s="104">
        <v>157</v>
      </c>
      <c r="I162" s="105" t="str">
        <f t="shared" si="13"/>
        <v/>
      </c>
      <c r="J162" s="104">
        <f t="shared" si="14"/>
        <v>-7</v>
      </c>
      <c r="K162" s="104">
        <f t="shared" si="11"/>
        <v>-70</v>
      </c>
      <c r="L162" s="104"/>
      <c r="M162" s="106">
        <f t="shared" si="12"/>
        <v>0</v>
      </c>
    </row>
    <row r="163" spans="1:13" x14ac:dyDescent="0.25">
      <c r="A163" s="120"/>
      <c r="G163" s="90"/>
      <c r="H163" s="104">
        <v>158</v>
      </c>
      <c r="I163" s="105" t="str">
        <f t="shared" si="13"/>
        <v/>
      </c>
      <c r="J163" s="104">
        <f t="shared" si="14"/>
        <v>-7</v>
      </c>
      <c r="K163" s="104">
        <f t="shared" si="11"/>
        <v>-70</v>
      </c>
      <c r="L163" s="104"/>
      <c r="M163" s="106">
        <f t="shared" si="12"/>
        <v>0</v>
      </c>
    </row>
    <row r="164" spans="1:13" x14ac:dyDescent="0.25">
      <c r="A164" s="120"/>
      <c r="G164" s="90"/>
      <c r="H164" s="104">
        <v>159</v>
      </c>
      <c r="I164" s="105" t="str">
        <f t="shared" si="13"/>
        <v/>
      </c>
      <c r="J164" s="104">
        <f t="shared" si="14"/>
        <v>-7</v>
      </c>
      <c r="K164" s="104">
        <f t="shared" si="11"/>
        <v>-70</v>
      </c>
      <c r="L164" s="104"/>
      <c r="M164" s="106">
        <f t="shared" si="12"/>
        <v>0</v>
      </c>
    </row>
    <row r="165" spans="1:13" x14ac:dyDescent="0.25">
      <c r="A165" s="120"/>
      <c r="G165" s="90"/>
      <c r="H165" s="104">
        <v>160</v>
      </c>
      <c r="I165" s="105" t="str">
        <f t="shared" si="13"/>
        <v/>
      </c>
      <c r="J165" s="104">
        <f t="shared" si="14"/>
        <v>-7</v>
      </c>
      <c r="K165" s="104">
        <f t="shared" si="11"/>
        <v>-70</v>
      </c>
      <c r="L165" s="104"/>
      <c r="M165" s="106">
        <f t="shared" si="12"/>
        <v>0</v>
      </c>
    </row>
    <row r="166" spans="1:13" x14ac:dyDescent="0.25">
      <c r="A166" s="120"/>
      <c r="G166" s="90"/>
      <c r="H166" s="104">
        <v>161</v>
      </c>
      <c r="I166" s="105" t="str">
        <f t="shared" si="13"/>
        <v/>
      </c>
      <c r="J166" s="104">
        <f t="shared" si="14"/>
        <v>-7</v>
      </c>
      <c r="K166" s="104">
        <f t="shared" si="11"/>
        <v>-70</v>
      </c>
      <c r="L166" s="104"/>
      <c r="M166" s="106">
        <f t="shared" si="12"/>
        <v>0</v>
      </c>
    </row>
    <row r="167" spans="1:13" x14ac:dyDescent="0.25">
      <c r="A167" s="120"/>
      <c r="G167" s="90"/>
      <c r="H167" s="104">
        <v>162</v>
      </c>
      <c r="I167" s="105" t="str">
        <f t="shared" si="13"/>
        <v/>
      </c>
      <c r="J167" s="104">
        <f t="shared" si="14"/>
        <v>-7</v>
      </c>
      <c r="K167" s="104">
        <f t="shared" si="11"/>
        <v>-70</v>
      </c>
      <c r="L167" s="104"/>
      <c r="M167" s="106">
        <f t="shared" si="12"/>
        <v>0</v>
      </c>
    </row>
    <row r="168" spans="1:13" x14ac:dyDescent="0.25">
      <c r="A168" s="120"/>
      <c r="G168" s="90"/>
      <c r="H168" s="104">
        <v>163</v>
      </c>
      <c r="I168" s="105" t="str">
        <f t="shared" si="13"/>
        <v/>
      </c>
      <c r="J168" s="104">
        <f t="shared" si="14"/>
        <v>-7</v>
      </c>
      <c r="K168" s="104">
        <f t="shared" si="11"/>
        <v>-70</v>
      </c>
      <c r="L168" s="104"/>
      <c r="M168" s="106">
        <f t="shared" si="12"/>
        <v>0</v>
      </c>
    </row>
    <row r="169" spans="1:13" x14ac:dyDescent="0.25">
      <c r="A169" s="120"/>
      <c r="G169" s="90"/>
      <c r="H169" s="104">
        <v>164</v>
      </c>
      <c r="I169" s="105" t="str">
        <f t="shared" si="13"/>
        <v/>
      </c>
      <c r="J169" s="104">
        <f t="shared" si="14"/>
        <v>-7</v>
      </c>
      <c r="K169" s="104">
        <f t="shared" si="11"/>
        <v>-70</v>
      </c>
      <c r="L169" s="104"/>
      <c r="M169" s="106">
        <f t="shared" si="12"/>
        <v>0</v>
      </c>
    </row>
    <row r="170" spans="1:13" x14ac:dyDescent="0.25">
      <c r="A170" s="120"/>
      <c r="G170" s="90"/>
      <c r="H170" s="104">
        <v>165</v>
      </c>
      <c r="I170" s="105" t="str">
        <f t="shared" si="13"/>
        <v/>
      </c>
      <c r="J170" s="104">
        <f t="shared" si="14"/>
        <v>-7</v>
      </c>
      <c r="K170" s="104">
        <f t="shared" si="11"/>
        <v>-70</v>
      </c>
      <c r="L170" s="104"/>
      <c r="M170" s="106">
        <f t="shared" si="12"/>
        <v>0</v>
      </c>
    </row>
    <row r="171" spans="1:13" x14ac:dyDescent="0.25">
      <c r="A171" s="120"/>
      <c r="G171" s="90"/>
      <c r="H171" s="104">
        <v>166</v>
      </c>
      <c r="I171" s="105" t="str">
        <f t="shared" si="13"/>
        <v/>
      </c>
      <c r="J171" s="104">
        <f t="shared" si="14"/>
        <v>-7</v>
      </c>
      <c r="K171" s="104">
        <f t="shared" si="11"/>
        <v>-70</v>
      </c>
      <c r="L171" s="104"/>
      <c r="M171" s="106">
        <f t="shared" si="12"/>
        <v>0</v>
      </c>
    </row>
    <row r="172" spans="1:13" x14ac:dyDescent="0.25">
      <c r="A172" s="120"/>
      <c r="G172" s="90"/>
      <c r="H172" s="104">
        <v>167</v>
      </c>
      <c r="I172" s="105" t="str">
        <f t="shared" si="13"/>
        <v/>
      </c>
      <c r="J172" s="104">
        <f t="shared" si="14"/>
        <v>-7</v>
      </c>
      <c r="K172" s="104">
        <f t="shared" si="11"/>
        <v>-70</v>
      </c>
      <c r="L172" s="104"/>
      <c r="M172" s="106">
        <f t="shared" si="12"/>
        <v>0</v>
      </c>
    </row>
    <row r="173" spans="1:13" x14ac:dyDescent="0.25">
      <c r="A173" s="120"/>
      <c r="G173" s="90"/>
      <c r="H173" s="104">
        <v>168</v>
      </c>
      <c r="I173" s="105" t="str">
        <f t="shared" si="13"/>
        <v/>
      </c>
      <c r="J173" s="104">
        <f t="shared" si="14"/>
        <v>-7</v>
      </c>
      <c r="K173" s="104">
        <f t="shared" si="11"/>
        <v>-70</v>
      </c>
      <c r="L173" s="104"/>
      <c r="M173" s="106">
        <f t="shared" si="12"/>
        <v>0</v>
      </c>
    </row>
    <row r="174" spans="1:13" x14ac:dyDescent="0.25">
      <c r="A174" s="120"/>
      <c r="G174" s="90"/>
      <c r="H174" s="104">
        <v>169</v>
      </c>
      <c r="I174" s="105" t="str">
        <f t="shared" si="13"/>
        <v/>
      </c>
      <c r="J174" s="104">
        <f t="shared" si="14"/>
        <v>-7</v>
      </c>
      <c r="K174" s="104">
        <f t="shared" si="11"/>
        <v>-70</v>
      </c>
      <c r="L174" s="104"/>
      <c r="M174" s="106">
        <f t="shared" si="12"/>
        <v>0</v>
      </c>
    </row>
    <row r="175" spans="1:13" x14ac:dyDescent="0.25">
      <c r="A175" s="120"/>
      <c r="G175" s="90"/>
      <c r="H175" s="104">
        <v>170</v>
      </c>
      <c r="I175" s="105" t="str">
        <f t="shared" si="13"/>
        <v/>
      </c>
      <c r="J175" s="104">
        <f t="shared" si="14"/>
        <v>-7</v>
      </c>
      <c r="K175" s="104">
        <f t="shared" si="11"/>
        <v>-70</v>
      </c>
      <c r="L175" s="104"/>
      <c r="M175" s="106">
        <f t="shared" si="12"/>
        <v>0</v>
      </c>
    </row>
    <row r="176" spans="1:13" x14ac:dyDescent="0.25">
      <c r="A176" s="120"/>
      <c r="G176" s="90"/>
      <c r="H176" s="104">
        <v>171</v>
      </c>
      <c r="I176" s="105" t="str">
        <f t="shared" si="13"/>
        <v/>
      </c>
      <c r="J176" s="104">
        <f t="shared" si="14"/>
        <v>-7</v>
      </c>
      <c r="K176" s="104">
        <f t="shared" si="11"/>
        <v>-70</v>
      </c>
      <c r="L176" s="104"/>
      <c r="M176" s="106">
        <f t="shared" si="12"/>
        <v>0</v>
      </c>
    </row>
    <row r="177" spans="1:13" x14ac:dyDescent="0.25">
      <c r="A177" s="120"/>
      <c r="G177" s="90"/>
      <c r="H177" s="104">
        <v>172</v>
      </c>
      <c r="I177" s="105" t="str">
        <f t="shared" si="13"/>
        <v/>
      </c>
      <c r="J177" s="104">
        <f t="shared" si="14"/>
        <v>-7</v>
      </c>
      <c r="K177" s="104">
        <f t="shared" si="11"/>
        <v>-70</v>
      </c>
      <c r="L177" s="104"/>
      <c r="M177" s="106">
        <f t="shared" si="12"/>
        <v>0</v>
      </c>
    </row>
    <row r="178" spans="1:13" x14ac:dyDescent="0.25">
      <c r="A178" s="120"/>
      <c r="G178" s="90"/>
      <c r="H178" s="104">
        <v>173</v>
      </c>
      <c r="I178" s="105" t="str">
        <f t="shared" si="13"/>
        <v/>
      </c>
      <c r="J178" s="104">
        <f t="shared" si="14"/>
        <v>-7</v>
      </c>
      <c r="K178" s="104">
        <f t="shared" si="11"/>
        <v>-70</v>
      </c>
      <c r="L178" s="104"/>
      <c r="M178" s="106">
        <f t="shared" si="12"/>
        <v>0</v>
      </c>
    </row>
    <row r="179" spans="1:13" x14ac:dyDescent="0.25">
      <c r="A179" s="120"/>
      <c r="G179" s="90"/>
      <c r="H179" s="104">
        <v>174</v>
      </c>
      <c r="I179" s="105" t="str">
        <f t="shared" si="13"/>
        <v/>
      </c>
      <c r="J179" s="104">
        <f t="shared" si="14"/>
        <v>-7</v>
      </c>
      <c r="K179" s="104">
        <f t="shared" si="11"/>
        <v>-70</v>
      </c>
      <c r="L179" s="104"/>
      <c r="M179" s="106">
        <f t="shared" si="12"/>
        <v>0</v>
      </c>
    </row>
    <row r="180" spans="1:13" x14ac:dyDescent="0.25">
      <c r="A180" s="120"/>
      <c r="G180" s="90"/>
      <c r="H180" s="104">
        <v>175</v>
      </c>
      <c r="I180" s="105" t="str">
        <f t="shared" si="13"/>
        <v/>
      </c>
      <c r="J180" s="104">
        <f t="shared" si="14"/>
        <v>-7</v>
      </c>
      <c r="K180" s="104">
        <f t="shared" si="11"/>
        <v>-70</v>
      </c>
      <c r="L180" s="104"/>
      <c r="M180" s="106">
        <f t="shared" si="12"/>
        <v>0</v>
      </c>
    </row>
    <row r="181" spans="1:13" x14ac:dyDescent="0.25">
      <c r="A181" s="120"/>
      <c r="G181" s="90"/>
      <c r="H181" s="104">
        <v>176</v>
      </c>
      <c r="I181" s="105" t="str">
        <f t="shared" si="13"/>
        <v/>
      </c>
      <c r="J181" s="104">
        <f t="shared" si="14"/>
        <v>-7</v>
      </c>
      <c r="K181" s="104">
        <f t="shared" si="11"/>
        <v>-70</v>
      </c>
      <c r="L181" s="104"/>
      <c r="M181" s="106">
        <f t="shared" si="12"/>
        <v>0</v>
      </c>
    </row>
    <row r="182" spans="1:13" x14ac:dyDescent="0.25">
      <c r="A182" s="120"/>
      <c r="G182" s="90"/>
      <c r="H182" s="104">
        <v>177</v>
      </c>
      <c r="I182" s="105" t="str">
        <f t="shared" si="13"/>
        <v/>
      </c>
      <c r="J182" s="104">
        <f t="shared" si="14"/>
        <v>-7</v>
      </c>
      <c r="K182" s="104">
        <f t="shared" si="11"/>
        <v>-70</v>
      </c>
      <c r="L182" s="104"/>
      <c r="M182" s="106">
        <f t="shared" si="12"/>
        <v>0</v>
      </c>
    </row>
    <row r="183" spans="1:13" x14ac:dyDescent="0.25">
      <c r="A183" s="120"/>
      <c r="G183" s="90"/>
      <c r="H183" s="104">
        <v>178</v>
      </c>
      <c r="I183" s="105" t="str">
        <f t="shared" si="13"/>
        <v/>
      </c>
      <c r="J183" s="104">
        <f t="shared" si="14"/>
        <v>-7</v>
      </c>
      <c r="K183" s="104">
        <f t="shared" si="11"/>
        <v>-70</v>
      </c>
      <c r="L183" s="104"/>
      <c r="M183" s="106">
        <f t="shared" si="12"/>
        <v>0</v>
      </c>
    </row>
    <row r="184" spans="1:13" x14ac:dyDescent="0.25">
      <c r="A184" s="120"/>
      <c r="G184" s="90"/>
      <c r="H184" s="104">
        <v>179</v>
      </c>
      <c r="I184" s="105" t="str">
        <f t="shared" si="13"/>
        <v/>
      </c>
      <c r="J184" s="104">
        <f t="shared" si="14"/>
        <v>-7</v>
      </c>
      <c r="K184" s="104">
        <f t="shared" si="11"/>
        <v>-70</v>
      </c>
      <c r="L184" s="104"/>
      <c r="M184" s="106">
        <f t="shared" si="12"/>
        <v>0</v>
      </c>
    </row>
    <row r="185" spans="1:13" x14ac:dyDescent="0.25">
      <c r="A185" s="120"/>
      <c r="G185" s="90"/>
      <c r="H185" s="104">
        <v>180</v>
      </c>
      <c r="I185" s="105" t="str">
        <f t="shared" si="13"/>
        <v/>
      </c>
      <c r="J185" s="104">
        <f t="shared" si="14"/>
        <v>-7</v>
      </c>
      <c r="K185" s="104">
        <f t="shared" si="11"/>
        <v>-70</v>
      </c>
      <c r="L185" s="104"/>
      <c r="M185" s="106">
        <f t="shared" si="12"/>
        <v>0</v>
      </c>
    </row>
    <row r="186" spans="1:13" x14ac:dyDescent="0.25">
      <c r="A186" s="120"/>
      <c r="G186" s="90"/>
      <c r="H186" s="104">
        <v>181</v>
      </c>
      <c r="I186" s="105" t="str">
        <f t="shared" si="13"/>
        <v/>
      </c>
      <c r="J186" s="104">
        <f t="shared" si="14"/>
        <v>-7</v>
      </c>
      <c r="K186" s="104">
        <f t="shared" si="11"/>
        <v>-70</v>
      </c>
      <c r="L186" s="104"/>
      <c r="M186" s="106">
        <f t="shared" si="12"/>
        <v>0</v>
      </c>
    </row>
    <row r="187" spans="1:13" x14ac:dyDescent="0.25">
      <c r="A187" s="120"/>
      <c r="G187" s="90"/>
      <c r="H187" s="104">
        <v>182</v>
      </c>
      <c r="I187" s="105" t="str">
        <f t="shared" si="13"/>
        <v/>
      </c>
      <c r="J187" s="104">
        <f t="shared" si="14"/>
        <v>-7</v>
      </c>
      <c r="K187" s="104">
        <f t="shared" si="11"/>
        <v>-70</v>
      </c>
      <c r="L187" s="104"/>
      <c r="M187" s="106">
        <f t="shared" si="12"/>
        <v>0</v>
      </c>
    </row>
    <row r="188" spans="1:13" x14ac:dyDescent="0.25">
      <c r="A188" s="120"/>
      <c r="G188" s="90"/>
      <c r="H188" s="104">
        <v>183</v>
      </c>
      <c r="I188" s="105" t="str">
        <f t="shared" si="13"/>
        <v/>
      </c>
      <c r="J188" s="104">
        <f t="shared" si="14"/>
        <v>-7</v>
      </c>
      <c r="K188" s="104">
        <f t="shared" si="11"/>
        <v>-70</v>
      </c>
      <c r="L188" s="104"/>
      <c r="M188" s="106">
        <f t="shared" si="12"/>
        <v>0</v>
      </c>
    </row>
    <row r="189" spans="1:13" x14ac:dyDescent="0.25">
      <c r="A189" s="120"/>
      <c r="G189" s="90"/>
      <c r="H189" s="104">
        <v>184</v>
      </c>
      <c r="I189" s="105" t="str">
        <f t="shared" si="13"/>
        <v/>
      </c>
      <c r="J189" s="104">
        <f t="shared" si="14"/>
        <v>-7</v>
      </c>
      <c r="K189" s="104">
        <f t="shared" si="11"/>
        <v>-70</v>
      </c>
      <c r="L189" s="104"/>
      <c r="M189" s="106">
        <f t="shared" si="12"/>
        <v>0</v>
      </c>
    </row>
    <row r="190" spans="1:13" x14ac:dyDescent="0.25">
      <c r="A190" s="120"/>
      <c r="G190" s="90"/>
      <c r="H190" s="104">
        <v>185</v>
      </c>
      <c r="I190" s="105" t="str">
        <f t="shared" si="13"/>
        <v/>
      </c>
      <c r="J190" s="104">
        <f t="shared" si="14"/>
        <v>-7</v>
      </c>
      <c r="K190" s="104">
        <f t="shared" si="11"/>
        <v>-70</v>
      </c>
      <c r="L190" s="104"/>
      <c r="M190" s="106">
        <f t="shared" si="12"/>
        <v>0</v>
      </c>
    </row>
    <row r="191" spans="1:13" x14ac:dyDescent="0.25">
      <c r="A191" s="120"/>
      <c r="G191" s="90"/>
      <c r="H191" s="104">
        <v>186</v>
      </c>
      <c r="I191" s="105" t="str">
        <f t="shared" si="13"/>
        <v/>
      </c>
      <c r="J191" s="104">
        <f t="shared" si="14"/>
        <v>-7</v>
      </c>
      <c r="K191" s="104">
        <f t="shared" si="11"/>
        <v>-70</v>
      </c>
      <c r="L191" s="104"/>
      <c r="M191" s="106">
        <f t="shared" si="12"/>
        <v>0</v>
      </c>
    </row>
    <row r="192" spans="1:13" x14ac:dyDescent="0.25">
      <c r="A192" s="120"/>
      <c r="G192" s="90"/>
      <c r="H192" s="104">
        <v>187</v>
      </c>
      <c r="I192" s="105" t="str">
        <f t="shared" si="13"/>
        <v/>
      </c>
      <c r="J192" s="104">
        <f t="shared" si="14"/>
        <v>-7</v>
      </c>
      <c r="K192" s="104">
        <f t="shared" si="11"/>
        <v>-70</v>
      </c>
      <c r="L192" s="104"/>
      <c r="M192" s="106">
        <f t="shared" si="12"/>
        <v>0</v>
      </c>
    </row>
    <row r="193" spans="1:13" x14ac:dyDescent="0.25">
      <c r="A193" s="120"/>
      <c r="G193" s="90"/>
      <c r="H193" s="104">
        <v>188</v>
      </c>
      <c r="I193" s="105" t="str">
        <f t="shared" si="13"/>
        <v/>
      </c>
      <c r="J193" s="104">
        <f t="shared" si="14"/>
        <v>-7</v>
      </c>
      <c r="K193" s="104">
        <f t="shared" si="11"/>
        <v>-70</v>
      </c>
      <c r="L193" s="104"/>
      <c r="M193" s="106">
        <f t="shared" si="12"/>
        <v>0</v>
      </c>
    </row>
    <row r="194" spans="1:13" x14ac:dyDescent="0.25">
      <c r="A194" s="120"/>
      <c r="G194" s="90"/>
      <c r="H194" s="104">
        <v>189</v>
      </c>
      <c r="I194" s="105" t="str">
        <f t="shared" si="13"/>
        <v/>
      </c>
      <c r="J194" s="104">
        <f t="shared" si="14"/>
        <v>-7</v>
      </c>
      <c r="K194" s="104">
        <f t="shared" si="11"/>
        <v>-70</v>
      </c>
      <c r="L194" s="104"/>
      <c r="M194" s="106">
        <f t="shared" si="12"/>
        <v>0</v>
      </c>
    </row>
    <row r="195" spans="1:13" x14ac:dyDescent="0.25">
      <c r="A195" s="120"/>
      <c r="G195" s="90"/>
      <c r="H195" s="104">
        <v>190</v>
      </c>
      <c r="I195" s="105" t="str">
        <f t="shared" si="13"/>
        <v/>
      </c>
      <c r="J195" s="104">
        <f t="shared" si="14"/>
        <v>-7</v>
      </c>
      <c r="K195" s="104">
        <f t="shared" si="11"/>
        <v>-70</v>
      </c>
      <c r="L195" s="104"/>
      <c r="M195" s="106">
        <f t="shared" si="12"/>
        <v>0</v>
      </c>
    </row>
    <row r="196" spans="1:13" x14ac:dyDescent="0.25">
      <c r="A196" s="120"/>
      <c r="G196" s="90"/>
      <c r="H196" s="104">
        <v>191</v>
      </c>
      <c r="I196" s="105" t="str">
        <f t="shared" si="13"/>
        <v/>
      </c>
      <c r="J196" s="104">
        <f t="shared" si="14"/>
        <v>-7</v>
      </c>
      <c r="K196" s="104">
        <f t="shared" si="11"/>
        <v>-70</v>
      </c>
      <c r="L196" s="104"/>
      <c r="M196" s="106">
        <f t="shared" si="12"/>
        <v>0</v>
      </c>
    </row>
    <row r="197" spans="1:13" x14ac:dyDescent="0.25">
      <c r="A197" s="120"/>
      <c r="G197" s="90"/>
      <c r="H197" s="104">
        <v>192</v>
      </c>
      <c r="I197" s="105" t="str">
        <f t="shared" si="13"/>
        <v/>
      </c>
      <c r="J197" s="104">
        <f t="shared" si="14"/>
        <v>-7</v>
      </c>
      <c r="K197" s="104">
        <f t="shared" si="11"/>
        <v>-70</v>
      </c>
      <c r="L197" s="104"/>
      <c r="M197" s="106">
        <f t="shared" si="12"/>
        <v>0</v>
      </c>
    </row>
    <row r="198" spans="1:13" x14ac:dyDescent="0.25">
      <c r="A198" s="120"/>
      <c r="G198" s="90"/>
      <c r="H198" s="104">
        <v>193</v>
      </c>
      <c r="I198" s="105" t="str">
        <f t="shared" si="13"/>
        <v/>
      </c>
      <c r="J198" s="104">
        <f t="shared" si="14"/>
        <v>-7</v>
      </c>
      <c r="K198" s="104">
        <f t="shared" ref="K198:K261" si="15">J198*$J$2</f>
        <v>-70</v>
      </c>
      <c r="L198" s="104"/>
      <c r="M198" s="106">
        <f t="shared" ref="M198:M261" si="16">IF(I198&lt;&gt;"",K198+I198+L198,0)</f>
        <v>0</v>
      </c>
    </row>
    <row r="199" spans="1:13" x14ac:dyDescent="0.25">
      <c r="A199" s="120"/>
      <c r="G199" s="90"/>
      <c r="H199" s="104">
        <v>194</v>
      </c>
      <c r="I199" s="105" t="str">
        <f t="shared" ref="I199:I262" si="17">IF(H199&lt;$H$2+1,($I$2-($I$2-1)*(LOG(H199)/LOG($H$2))),"")</f>
        <v/>
      </c>
      <c r="J199" s="104">
        <f t="shared" ref="J199:J262" si="18">INT(LOG($H$2,2))-ROUNDUP(LOG(H199,2),0)+IF(OR($H$2=1,$H$2=2,$H$2=4,$H$2=8,$H$2=16,$H$2=32,$H$2=64,$H$2=128,$H$2=256),0,1)</f>
        <v>-7</v>
      </c>
      <c r="K199" s="104">
        <f t="shared" si="15"/>
        <v>-70</v>
      </c>
      <c r="L199" s="104"/>
      <c r="M199" s="106">
        <f t="shared" si="16"/>
        <v>0</v>
      </c>
    </row>
    <row r="200" spans="1:13" x14ac:dyDescent="0.25">
      <c r="A200" s="120"/>
      <c r="G200" s="90"/>
      <c r="H200" s="104">
        <v>195</v>
      </c>
      <c r="I200" s="105" t="str">
        <f t="shared" si="17"/>
        <v/>
      </c>
      <c r="J200" s="104">
        <f t="shared" si="18"/>
        <v>-7</v>
      </c>
      <c r="K200" s="104">
        <f t="shared" si="15"/>
        <v>-70</v>
      </c>
      <c r="L200" s="104"/>
      <c r="M200" s="106">
        <f t="shared" si="16"/>
        <v>0</v>
      </c>
    </row>
    <row r="201" spans="1:13" x14ac:dyDescent="0.25">
      <c r="A201" s="120"/>
      <c r="G201" s="90"/>
      <c r="H201" s="104">
        <v>196</v>
      </c>
      <c r="I201" s="105" t="str">
        <f t="shared" si="17"/>
        <v/>
      </c>
      <c r="J201" s="104">
        <f t="shared" si="18"/>
        <v>-7</v>
      </c>
      <c r="K201" s="104">
        <f t="shared" si="15"/>
        <v>-70</v>
      </c>
      <c r="L201" s="104"/>
      <c r="M201" s="106">
        <f t="shared" si="16"/>
        <v>0</v>
      </c>
    </row>
    <row r="202" spans="1:13" x14ac:dyDescent="0.25">
      <c r="A202" s="120"/>
      <c r="G202" s="90"/>
      <c r="H202" s="104">
        <v>197</v>
      </c>
      <c r="I202" s="105" t="str">
        <f t="shared" si="17"/>
        <v/>
      </c>
      <c r="J202" s="104">
        <f t="shared" si="18"/>
        <v>-7</v>
      </c>
      <c r="K202" s="104">
        <f t="shared" si="15"/>
        <v>-70</v>
      </c>
      <c r="L202" s="104"/>
      <c r="M202" s="106">
        <f t="shared" si="16"/>
        <v>0</v>
      </c>
    </row>
    <row r="203" spans="1:13" x14ac:dyDescent="0.25">
      <c r="A203" s="120"/>
      <c r="G203" s="90"/>
      <c r="H203" s="104">
        <v>198</v>
      </c>
      <c r="I203" s="105" t="str">
        <f t="shared" si="17"/>
        <v/>
      </c>
      <c r="J203" s="104">
        <f t="shared" si="18"/>
        <v>-7</v>
      </c>
      <c r="K203" s="104">
        <f t="shared" si="15"/>
        <v>-70</v>
      </c>
      <c r="L203" s="104"/>
      <c r="M203" s="106">
        <f t="shared" si="16"/>
        <v>0</v>
      </c>
    </row>
    <row r="204" spans="1:13" x14ac:dyDescent="0.25">
      <c r="A204" s="120"/>
      <c r="G204" s="90"/>
      <c r="H204" s="104">
        <v>199</v>
      </c>
      <c r="I204" s="105" t="str">
        <f t="shared" si="17"/>
        <v/>
      </c>
      <c r="J204" s="104">
        <f t="shared" si="18"/>
        <v>-7</v>
      </c>
      <c r="K204" s="104">
        <f t="shared" si="15"/>
        <v>-70</v>
      </c>
      <c r="L204" s="104"/>
      <c r="M204" s="106">
        <f t="shared" si="16"/>
        <v>0</v>
      </c>
    </row>
    <row r="205" spans="1:13" x14ac:dyDescent="0.25">
      <c r="A205" s="120"/>
      <c r="G205" s="90"/>
      <c r="H205" s="104">
        <v>200</v>
      </c>
      <c r="I205" s="105" t="str">
        <f t="shared" si="17"/>
        <v/>
      </c>
      <c r="J205" s="104">
        <f t="shared" si="18"/>
        <v>-7</v>
      </c>
      <c r="K205" s="104">
        <f t="shared" si="15"/>
        <v>-70</v>
      </c>
      <c r="L205" s="104"/>
      <c r="M205" s="106">
        <f t="shared" si="16"/>
        <v>0</v>
      </c>
    </row>
    <row r="206" spans="1:13" x14ac:dyDescent="0.25">
      <c r="A206" s="120"/>
      <c r="G206" s="90"/>
      <c r="H206" s="104">
        <v>201</v>
      </c>
      <c r="I206" s="105" t="str">
        <f t="shared" si="17"/>
        <v/>
      </c>
      <c r="J206" s="104">
        <f t="shared" si="18"/>
        <v>-7</v>
      </c>
      <c r="K206" s="104">
        <f t="shared" si="15"/>
        <v>-70</v>
      </c>
      <c r="L206" s="104"/>
      <c r="M206" s="106">
        <f t="shared" si="16"/>
        <v>0</v>
      </c>
    </row>
    <row r="207" spans="1:13" x14ac:dyDescent="0.25">
      <c r="A207" s="120"/>
      <c r="G207" s="90"/>
      <c r="H207" s="104">
        <v>202</v>
      </c>
      <c r="I207" s="105" t="str">
        <f t="shared" si="17"/>
        <v/>
      </c>
      <c r="J207" s="104">
        <f t="shared" si="18"/>
        <v>-7</v>
      </c>
      <c r="K207" s="104">
        <f t="shared" si="15"/>
        <v>-70</v>
      </c>
      <c r="L207" s="104"/>
      <c r="M207" s="106">
        <f t="shared" si="16"/>
        <v>0</v>
      </c>
    </row>
    <row r="208" spans="1:13" x14ac:dyDescent="0.25">
      <c r="A208" s="120"/>
      <c r="G208" s="90"/>
      <c r="H208" s="104">
        <v>203</v>
      </c>
      <c r="I208" s="105" t="str">
        <f t="shared" si="17"/>
        <v/>
      </c>
      <c r="J208" s="104">
        <f t="shared" si="18"/>
        <v>-7</v>
      </c>
      <c r="K208" s="104">
        <f t="shared" si="15"/>
        <v>-70</v>
      </c>
      <c r="L208" s="104"/>
      <c r="M208" s="106">
        <f t="shared" si="16"/>
        <v>0</v>
      </c>
    </row>
    <row r="209" spans="1:13" x14ac:dyDescent="0.25">
      <c r="A209" s="120"/>
      <c r="G209" s="90"/>
      <c r="H209" s="104">
        <v>204</v>
      </c>
      <c r="I209" s="105" t="str">
        <f t="shared" si="17"/>
        <v/>
      </c>
      <c r="J209" s="104">
        <f t="shared" si="18"/>
        <v>-7</v>
      </c>
      <c r="K209" s="104">
        <f t="shared" si="15"/>
        <v>-70</v>
      </c>
      <c r="L209" s="104"/>
      <c r="M209" s="106">
        <f t="shared" si="16"/>
        <v>0</v>
      </c>
    </row>
    <row r="210" spans="1:13" x14ac:dyDescent="0.25">
      <c r="A210" s="120"/>
      <c r="G210" s="90"/>
      <c r="H210" s="104">
        <v>205</v>
      </c>
      <c r="I210" s="105" t="str">
        <f t="shared" si="17"/>
        <v/>
      </c>
      <c r="J210" s="104">
        <f t="shared" si="18"/>
        <v>-7</v>
      </c>
      <c r="K210" s="104">
        <f t="shared" si="15"/>
        <v>-70</v>
      </c>
      <c r="L210" s="104"/>
      <c r="M210" s="106">
        <f t="shared" si="16"/>
        <v>0</v>
      </c>
    </row>
    <row r="211" spans="1:13" x14ac:dyDescent="0.25">
      <c r="A211" s="120"/>
      <c r="G211" s="90"/>
      <c r="H211" s="104">
        <v>206</v>
      </c>
      <c r="I211" s="105" t="str">
        <f t="shared" si="17"/>
        <v/>
      </c>
      <c r="J211" s="104">
        <f t="shared" si="18"/>
        <v>-7</v>
      </c>
      <c r="K211" s="104">
        <f t="shared" si="15"/>
        <v>-70</v>
      </c>
      <c r="L211" s="104"/>
      <c r="M211" s="106">
        <f t="shared" si="16"/>
        <v>0</v>
      </c>
    </row>
    <row r="212" spans="1:13" x14ac:dyDescent="0.25">
      <c r="A212" s="120"/>
      <c r="G212" s="90"/>
      <c r="H212" s="104">
        <v>207</v>
      </c>
      <c r="I212" s="105" t="str">
        <f t="shared" si="17"/>
        <v/>
      </c>
      <c r="J212" s="104">
        <f t="shared" si="18"/>
        <v>-7</v>
      </c>
      <c r="K212" s="104">
        <f t="shared" si="15"/>
        <v>-70</v>
      </c>
      <c r="L212" s="104"/>
      <c r="M212" s="106">
        <f t="shared" si="16"/>
        <v>0</v>
      </c>
    </row>
    <row r="213" spans="1:13" x14ac:dyDescent="0.25">
      <c r="A213" s="120"/>
      <c r="G213" s="90"/>
      <c r="H213" s="104">
        <v>208</v>
      </c>
      <c r="I213" s="105" t="str">
        <f t="shared" si="17"/>
        <v/>
      </c>
      <c r="J213" s="104">
        <f t="shared" si="18"/>
        <v>-7</v>
      </c>
      <c r="K213" s="104">
        <f t="shared" si="15"/>
        <v>-70</v>
      </c>
      <c r="L213" s="104"/>
      <c r="M213" s="106">
        <f t="shared" si="16"/>
        <v>0</v>
      </c>
    </row>
    <row r="214" spans="1:13" x14ac:dyDescent="0.25">
      <c r="A214" s="120"/>
      <c r="G214" s="90"/>
      <c r="H214" s="104">
        <v>209</v>
      </c>
      <c r="I214" s="105" t="str">
        <f t="shared" si="17"/>
        <v/>
      </c>
      <c r="J214" s="104">
        <f t="shared" si="18"/>
        <v>-7</v>
      </c>
      <c r="K214" s="104">
        <f t="shared" si="15"/>
        <v>-70</v>
      </c>
      <c r="L214" s="104"/>
      <c r="M214" s="106">
        <f t="shared" si="16"/>
        <v>0</v>
      </c>
    </row>
    <row r="215" spans="1:13" x14ac:dyDescent="0.25">
      <c r="A215" s="120"/>
      <c r="G215" s="90"/>
      <c r="H215" s="104">
        <v>210</v>
      </c>
      <c r="I215" s="105" t="str">
        <f t="shared" si="17"/>
        <v/>
      </c>
      <c r="J215" s="104">
        <f t="shared" si="18"/>
        <v>-7</v>
      </c>
      <c r="K215" s="104">
        <f t="shared" si="15"/>
        <v>-70</v>
      </c>
      <c r="L215" s="104"/>
      <c r="M215" s="106">
        <f t="shared" si="16"/>
        <v>0</v>
      </c>
    </row>
    <row r="216" spans="1:13" x14ac:dyDescent="0.25">
      <c r="A216" s="120"/>
      <c r="G216" s="90"/>
      <c r="H216" s="104">
        <v>211</v>
      </c>
      <c r="I216" s="105" t="str">
        <f t="shared" si="17"/>
        <v/>
      </c>
      <c r="J216" s="104">
        <f t="shared" si="18"/>
        <v>-7</v>
      </c>
      <c r="K216" s="104">
        <f t="shared" si="15"/>
        <v>-70</v>
      </c>
      <c r="L216" s="104"/>
      <c r="M216" s="106">
        <f t="shared" si="16"/>
        <v>0</v>
      </c>
    </row>
    <row r="217" spans="1:13" x14ac:dyDescent="0.25">
      <c r="A217" s="120"/>
      <c r="G217" s="90"/>
      <c r="H217" s="104">
        <v>212</v>
      </c>
      <c r="I217" s="105" t="str">
        <f t="shared" si="17"/>
        <v/>
      </c>
      <c r="J217" s="104">
        <f t="shared" si="18"/>
        <v>-7</v>
      </c>
      <c r="K217" s="104">
        <f t="shared" si="15"/>
        <v>-70</v>
      </c>
      <c r="L217" s="104"/>
      <c r="M217" s="106">
        <f t="shared" si="16"/>
        <v>0</v>
      </c>
    </row>
    <row r="218" spans="1:13" x14ac:dyDescent="0.25">
      <c r="A218" s="120"/>
      <c r="G218" s="90"/>
      <c r="H218" s="104">
        <v>213</v>
      </c>
      <c r="I218" s="105" t="str">
        <f t="shared" si="17"/>
        <v/>
      </c>
      <c r="J218" s="104">
        <f t="shared" si="18"/>
        <v>-7</v>
      </c>
      <c r="K218" s="104">
        <f t="shared" si="15"/>
        <v>-70</v>
      </c>
      <c r="L218" s="104"/>
      <c r="M218" s="106">
        <f t="shared" si="16"/>
        <v>0</v>
      </c>
    </row>
    <row r="219" spans="1:13" x14ac:dyDescent="0.25">
      <c r="A219" s="120"/>
      <c r="G219" s="90"/>
      <c r="H219" s="104">
        <v>214</v>
      </c>
      <c r="I219" s="105" t="str">
        <f t="shared" si="17"/>
        <v/>
      </c>
      <c r="J219" s="104">
        <f t="shared" si="18"/>
        <v>-7</v>
      </c>
      <c r="K219" s="104">
        <f t="shared" si="15"/>
        <v>-70</v>
      </c>
      <c r="L219" s="104"/>
      <c r="M219" s="106">
        <f t="shared" si="16"/>
        <v>0</v>
      </c>
    </row>
    <row r="220" spans="1:13" x14ac:dyDescent="0.25">
      <c r="A220" s="120"/>
      <c r="G220" s="90"/>
      <c r="H220" s="104">
        <v>215</v>
      </c>
      <c r="I220" s="105" t="str">
        <f t="shared" si="17"/>
        <v/>
      </c>
      <c r="J220" s="104">
        <f t="shared" si="18"/>
        <v>-7</v>
      </c>
      <c r="K220" s="104">
        <f t="shared" si="15"/>
        <v>-70</v>
      </c>
      <c r="L220" s="104"/>
      <c r="M220" s="106">
        <f t="shared" si="16"/>
        <v>0</v>
      </c>
    </row>
    <row r="221" spans="1:13" x14ac:dyDescent="0.25">
      <c r="A221" s="120"/>
      <c r="G221" s="90"/>
      <c r="H221" s="104">
        <v>216</v>
      </c>
      <c r="I221" s="105" t="str">
        <f t="shared" si="17"/>
        <v/>
      </c>
      <c r="J221" s="104">
        <f t="shared" si="18"/>
        <v>-7</v>
      </c>
      <c r="K221" s="104">
        <f t="shared" si="15"/>
        <v>-70</v>
      </c>
      <c r="L221" s="104"/>
      <c r="M221" s="106">
        <f t="shared" si="16"/>
        <v>0</v>
      </c>
    </row>
    <row r="222" spans="1:13" x14ac:dyDescent="0.25">
      <c r="A222" s="120"/>
      <c r="G222" s="90"/>
      <c r="H222" s="104">
        <v>217</v>
      </c>
      <c r="I222" s="105" t="str">
        <f t="shared" si="17"/>
        <v/>
      </c>
      <c r="J222" s="104">
        <f t="shared" si="18"/>
        <v>-7</v>
      </c>
      <c r="K222" s="104">
        <f t="shared" si="15"/>
        <v>-70</v>
      </c>
      <c r="L222" s="104"/>
      <c r="M222" s="106">
        <f t="shared" si="16"/>
        <v>0</v>
      </c>
    </row>
    <row r="223" spans="1:13" x14ac:dyDescent="0.25">
      <c r="A223" s="120"/>
      <c r="G223" s="90"/>
      <c r="H223" s="104">
        <v>218</v>
      </c>
      <c r="I223" s="105" t="str">
        <f t="shared" si="17"/>
        <v/>
      </c>
      <c r="J223" s="104">
        <f t="shared" si="18"/>
        <v>-7</v>
      </c>
      <c r="K223" s="104">
        <f t="shared" si="15"/>
        <v>-70</v>
      </c>
      <c r="L223" s="104"/>
      <c r="M223" s="106">
        <f t="shared" si="16"/>
        <v>0</v>
      </c>
    </row>
    <row r="224" spans="1:13" x14ac:dyDescent="0.25">
      <c r="A224" s="120"/>
      <c r="G224" s="90"/>
      <c r="H224" s="104">
        <v>219</v>
      </c>
      <c r="I224" s="105" t="str">
        <f t="shared" si="17"/>
        <v/>
      </c>
      <c r="J224" s="104">
        <f t="shared" si="18"/>
        <v>-7</v>
      </c>
      <c r="K224" s="104">
        <f t="shared" si="15"/>
        <v>-70</v>
      </c>
      <c r="L224" s="104"/>
      <c r="M224" s="106">
        <f t="shared" si="16"/>
        <v>0</v>
      </c>
    </row>
    <row r="225" spans="1:13" x14ac:dyDescent="0.25">
      <c r="A225" s="120"/>
      <c r="G225" s="90"/>
      <c r="H225" s="104">
        <v>220</v>
      </c>
      <c r="I225" s="105" t="str">
        <f t="shared" si="17"/>
        <v/>
      </c>
      <c r="J225" s="104">
        <f t="shared" si="18"/>
        <v>-7</v>
      </c>
      <c r="K225" s="104">
        <f t="shared" si="15"/>
        <v>-70</v>
      </c>
      <c r="L225" s="104"/>
      <c r="M225" s="106">
        <f t="shared" si="16"/>
        <v>0</v>
      </c>
    </row>
    <row r="226" spans="1:13" x14ac:dyDescent="0.25">
      <c r="A226" s="120"/>
      <c r="G226" s="90"/>
      <c r="H226" s="104">
        <v>221</v>
      </c>
      <c r="I226" s="105" t="str">
        <f t="shared" si="17"/>
        <v/>
      </c>
      <c r="J226" s="104">
        <f t="shared" si="18"/>
        <v>-7</v>
      </c>
      <c r="K226" s="104">
        <f t="shared" si="15"/>
        <v>-70</v>
      </c>
      <c r="L226" s="104"/>
      <c r="M226" s="106">
        <f t="shared" si="16"/>
        <v>0</v>
      </c>
    </row>
    <row r="227" spans="1:13" x14ac:dyDescent="0.25">
      <c r="A227" s="120"/>
      <c r="G227" s="90"/>
      <c r="H227" s="104">
        <v>222</v>
      </c>
      <c r="I227" s="105" t="str">
        <f t="shared" si="17"/>
        <v/>
      </c>
      <c r="J227" s="104">
        <f t="shared" si="18"/>
        <v>-7</v>
      </c>
      <c r="K227" s="104">
        <f t="shared" si="15"/>
        <v>-70</v>
      </c>
      <c r="L227" s="104"/>
      <c r="M227" s="106">
        <f t="shared" si="16"/>
        <v>0</v>
      </c>
    </row>
    <row r="228" spans="1:13" x14ac:dyDescent="0.25">
      <c r="A228" s="120"/>
      <c r="G228" s="90"/>
      <c r="H228" s="104">
        <v>223</v>
      </c>
      <c r="I228" s="105" t="str">
        <f t="shared" si="17"/>
        <v/>
      </c>
      <c r="J228" s="104">
        <f t="shared" si="18"/>
        <v>-7</v>
      </c>
      <c r="K228" s="104">
        <f t="shared" si="15"/>
        <v>-70</v>
      </c>
      <c r="L228" s="104"/>
      <c r="M228" s="106">
        <f t="shared" si="16"/>
        <v>0</v>
      </c>
    </row>
    <row r="229" spans="1:13" x14ac:dyDescent="0.25">
      <c r="A229" s="120"/>
      <c r="G229" s="90"/>
      <c r="H229" s="104">
        <v>224</v>
      </c>
      <c r="I229" s="105" t="str">
        <f t="shared" si="17"/>
        <v/>
      </c>
      <c r="J229" s="104">
        <f t="shared" si="18"/>
        <v>-7</v>
      </c>
      <c r="K229" s="104">
        <f t="shared" si="15"/>
        <v>-70</v>
      </c>
      <c r="L229" s="104"/>
      <c r="M229" s="106">
        <f t="shared" si="16"/>
        <v>0</v>
      </c>
    </row>
    <row r="230" spans="1:13" x14ac:dyDescent="0.25">
      <c r="A230" s="120"/>
      <c r="G230" s="90"/>
      <c r="H230" s="104">
        <v>225</v>
      </c>
      <c r="I230" s="105" t="str">
        <f t="shared" si="17"/>
        <v/>
      </c>
      <c r="J230" s="104">
        <f t="shared" si="18"/>
        <v>-7</v>
      </c>
      <c r="K230" s="104">
        <f t="shared" si="15"/>
        <v>-70</v>
      </c>
      <c r="L230" s="104"/>
      <c r="M230" s="106">
        <f t="shared" si="16"/>
        <v>0</v>
      </c>
    </row>
    <row r="231" spans="1:13" x14ac:dyDescent="0.25">
      <c r="A231" s="120"/>
      <c r="G231" s="90"/>
      <c r="H231" s="104">
        <v>226</v>
      </c>
      <c r="I231" s="105" t="str">
        <f t="shared" si="17"/>
        <v/>
      </c>
      <c r="J231" s="104">
        <f t="shared" si="18"/>
        <v>-7</v>
      </c>
      <c r="K231" s="104">
        <f t="shared" si="15"/>
        <v>-70</v>
      </c>
      <c r="L231" s="104"/>
      <c r="M231" s="106">
        <f t="shared" si="16"/>
        <v>0</v>
      </c>
    </row>
    <row r="232" spans="1:13" x14ac:dyDescent="0.25">
      <c r="A232" s="120"/>
      <c r="G232" s="90"/>
      <c r="H232" s="104">
        <v>227</v>
      </c>
      <c r="I232" s="105" t="str">
        <f t="shared" si="17"/>
        <v/>
      </c>
      <c r="J232" s="104">
        <f t="shared" si="18"/>
        <v>-7</v>
      </c>
      <c r="K232" s="104">
        <f t="shared" si="15"/>
        <v>-70</v>
      </c>
      <c r="L232" s="104"/>
      <c r="M232" s="106">
        <f t="shared" si="16"/>
        <v>0</v>
      </c>
    </row>
    <row r="233" spans="1:13" x14ac:dyDescent="0.25">
      <c r="A233" s="120"/>
      <c r="G233" s="90"/>
      <c r="H233" s="104">
        <v>228</v>
      </c>
      <c r="I233" s="105" t="str">
        <f t="shared" si="17"/>
        <v/>
      </c>
      <c r="J233" s="104">
        <f t="shared" si="18"/>
        <v>-7</v>
      </c>
      <c r="K233" s="104">
        <f t="shared" si="15"/>
        <v>-70</v>
      </c>
      <c r="L233" s="104"/>
      <c r="M233" s="106">
        <f t="shared" si="16"/>
        <v>0</v>
      </c>
    </row>
    <row r="234" spans="1:13" x14ac:dyDescent="0.25">
      <c r="A234" s="120"/>
      <c r="G234" s="90"/>
      <c r="H234" s="104">
        <v>229</v>
      </c>
      <c r="I234" s="105" t="str">
        <f t="shared" si="17"/>
        <v/>
      </c>
      <c r="J234" s="104">
        <f t="shared" si="18"/>
        <v>-7</v>
      </c>
      <c r="K234" s="104">
        <f t="shared" si="15"/>
        <v>-70</v>
      </c>
      <c r="L234" s="104"/>
      <c r="M234" s="106">
        <f t="shared" si="16"/>
        <v>0</v>
      </c>
    </row>
    <row r="235" spans="1:13" x14ac:dyDescent="0.25">
      <c r="A235" s="120"/>
      <c r="G235" s="90"/>
      <c r="H235" s="104">
        <v>230</v>
      </c>
      <c r="I235" s="105" t="str">
        <f t="shared" si="17"/>
        <v/>
      </c>
      <c r="J235" s="104">
        <f t="shared" si="18"/>
        <v>-7</v>
      </c>
      <c r="K235" s="104">
        <f t="shared" si="15"/>
        <v>-70</v>
      </c>
      <c r="L235" s="104"/>
      <c r="M235" s="106">
        <f t="shared" si="16"/>
        <v>0</v>
      </c>
    </row>
    <row r="236" spans="1:13" x14ac:dyDescent="0.25">
      <c r="A236" s="120"/>
      <c r="G236" s="90"/>
      <c r="H236" s="104">
        <v>231</v>
      </c>
      <c r="I236" s="105" t="str">
        <f t="shared" si="17"/>
        <v/>
      </c>
      <c r="J236" s="104">
        <f t="shared" si="18"/>
        <v>-7</v>
      </c>
      <c r="K236" s="104">
        <f t="shared" si="15"/>
        <v>-70</v>
      </c>
      <c r="L236" s="104"/>
      <c r="M236" s="106">
        <f t="shared" si="16"/>
        <v>0</v>
      </c>
    </row>
    <row r="237" spans="1:13" x14ac:dyDescent="0.25">
      <c r="A237" s="120"/>
      <c r="G237" s="90"/>
      <c r="H237" s="104">
        <v>232</v>
      </c>
      <c r="I237" s="105" t="str">
        <f t="shared" si="17"/>
        <v/>
      </c>
      <c r="J237" s="104">
        <f t="shared" si="18"/>
        <v>-7</v>
      </c>
      <c r="K237" s="104">
        <f t="shared" si="15"/>
        <v>-70</v>
      </c>
      <c r="L237" s="104"/>
      <c r="M237" s="106">
        <f t="shared" si="16"/>
        <v>0</v>
      </c>
    </row>
    <row r="238" spans="1:13" x14ac:dyDescent="0.25">
      <c r="A238" s="120"/>
      <c r="G238" s="90"/>
      <c r="H238" s="104">
        <v>233</v>
      </c>
      <c r="I238" s="105" t="str">
        <f t="shared" si="17"/>
        <v/>
      </c>
      <c r="J238" s="104">
        <f t="shared" si="18"/>
        <v>-7</v>
      </c>
      <c r="K238" s="104">
        <f t="shared" si="15"/>
        <v>-70</v>
      </c>
      <c r="L238" s="104"/>
      <c r="M238" s="106">
        <f t="shared" si="16"/>
        <v>0</v>
      </c>
    </row>
    <row r="239" spans="1:13" x14ac:dyDescent="0.25">
      <c r="A239" s="120"/>
      <c r="G239" s="90"/>
      <c r="H239" s="104">
        <v>234</v>
      </c>
      <c r="I239" s="105" t="str">
        <f t="shared" si="17"/>
        <v/>
      </c>
      <c r="J239" s="104">
        <f t="shared" si="18"/>
        <v>-7</v>
      </c>
      <c r="K239" s="104">
        <f t="shared" si="15"/>
        <v>-70</v>
      </c>
      <c r="L239" s="104"/>
      <c r="M239" s="106">
        <f t="shared" si="16"/>
        <v>0</v>
      </c>
    </row>
    <row r="240" spans="1:13" x14ac:dyDescent="0.25">
      <c r="A240" s="120"/>
      <c r="G240" s="90"/>
      <c r="H240" s="104">
        <v>235</v>
      </c>
      <c r="I240" s="105" t="str">
        <f t="shared" si="17"/>
        <v/>
      </c>
      <c r="J240" s="104">
        <f t="shared" si="18"/>
        <v>-7</v>
      </c>
      <c r="K240" s="104">
        <f t="shared" si="15"/>
        <v>-70</v>
      </c>
      <c r="L240" s="104"/>
      <c r="M240" s="106">
        <f t="shared" si="16"/>
        <v>0</v>
      </c>
    </row>
    <row r="241" spans="1:13" x14ac:dyDescent="0.25">
      <c r="A241" s="120"/>
      <c r="G241" s="90"/>
      <c r="H241" s="104">
        <v>236</v>
      </c>
      <c r="I241" s="105" t="str">
        <f t="shared" si="17"/>
        <v/>
      </c>
      <c r="J241" s="104">
        <f t="shared" si="18"/>
        <v>-7</v>
      </c>
      <c r="K241" s="104">
        <f t="shared" si="15"/>
        <v>-70</v>
      </c>
      <c r="L241" s="104"/>
      <c r="M241" s="106">
        <f t="shared" si="16"/>
        <v>0</v>
      </c>
    </row>
    <row r="242" spans="1:13" x14ac:dyDescent="0.25">
      <c r="A242" s="120"/>
      <c r="G242" s="90"/>
      <c r="H242" s="104">
        <v>237</v>
      </c>
      <c r="I242" s="105" t="str">
        <f t="shared" si="17"/>
        <v/>
      </c>
      <c r="J242" s="104">
        <f t="shared" si="18"/>
        <v>-7</v>
      </c>
      <c r="K242" s="104">
        <f t="shared" si="15"/>
        <v>-70</v>
      </c>
      <c r="L242" s="104"/>
      <c r="M242" s="106">
        <f t="shared" si="16"/>
        <v>0</v>
      </c>
    </row>
    <row r="243" spans="1:13" x14ac:dyDescent="0.25">
      <c r="A243" s="120"/>
      <c r="G243" s="90"/>
      <c r="H243" s="104">
        <v>238</v>
      </c>
      <c r="I243" s="105" t="str">
        <f t="shared" si="17"/>
        <v/>
      </c>
      <c r="J243" s="104">
        <f t="shared" si="18"/>
        <v>-7</v>
      </c>
      <c r="K243" s="104">
        <f t="shared" si="15"/>
        <v>-70</v>
      </c>
      <c r="L243" s="104"/>
      <c r="M243" s="106">
        <f t="shared" si="16"/>
        <v>0</v>
      </c>
    </row>
    <row r="244" spans="1:13" x14ac:dyDescent="0.25">
      <c r="A244" s="120"/>
      <c r="G244" s="90"/>
      <c r="H244" s="104">
        <v>239</v>
      </c>
      <c r="I244" s="105" t="str">
        <f t="shared" si="17"/>
        <v/>
      </c>
      <c r="J244" s="104">
        <f t="shared" si="18"/>
        <v>-7</v>
      </c>
      <c r="K244" s="104">
        <f t="shared" si="15"/>
        <v>-70</v>
      </c>
      <c r="L244" s="104"/>
      <c r="M244" s="106">
        <f t="shared" si="16"/>
        <v>0</v>
      </c>
    </row>
    <row r="245" spans="1:13" x14ac:dyDescent="0.25">
      <c r="A245" s="120"/>
      <c r="G245" s="90"/>
      <c r="H245" s="104">
        <v>240</v>
      </c>
      <c r="I245" s="105" t="str">
        <f t="shared" si="17"/>
        <v/>
      </c>
      <c r="J245" s="104">
        <f t="shared" si="18"/>
        <v>-7</v>
      </c>
      <c r="K245" s="104">
        <f t="shared" si="15"/>
        <v>-70</v>
      </c>
      <c r="L245" s="104"/>
      <c r="M245" s="106">
        <f t="shared" si="16"/>
        <v>0</v>
      </c>
    </row>
    <row r="246" spans="1:13" x14ac:dyDescent="0.25">
      <c r="A246" s="120"/>
      <c r="G246" s="90"/>
      <c r="H246" s="104">
        <v>241</v>
      </c>
      <c r="I246" s="105" t="str">
        <f t="shared" si="17"/>
        <v/>
      </c>
      <c r="J246" s="104">
        <f t="shared" si="18"/>
        <v>-7</v>
      </c>
      <c r="K246" s="104">
        <f t="shared" si="15"/>
        <v>-70</v>
      </c>
      <c r="L246" s="104"/>
      <c r="M246" s="106">
        <f t="shared" si="16"/>
        <v>0</v>
      </c>
    </row>
    <row r="247" spans="1:13" x14ac:dyDescent="0.25">
      <c r="A247" s="120"/>
      <c r="G247" s="90"/>
      <c r="H247" s="104">
        <v>242</v>
      </c>
      <c r="I247" s="105" t="str">
        <f t="shared" si="17"/>
        <v/>
      </c>
      <c r="J247" s="104">
        <f t="shared" si="18"/>
        <v>-7</v>
      </c>
      <c r="K247" s="104">
        <f t="shared" si="15"/>
        <v>-70</v>
      </c>
      <c r="L247" s="104"/>
      <c r="M247" s="106">
        <f t="shared" si="16"/>
        <v>0</v>
      </c>
    </row>
    <row r="248" spans="1:13" x14ac:dyDescent="0.25">
      <c r="A248" s="120"/>
      <c r="G248" s="90"/>
      <c r="H248" s="104">
        <v>243</v>
      </c>
      <c r="I248" s="105" t="str">
        <f t="shared" si="17"/>
        <v/>
      </c>
      <c r="J248" s="104">
        <f t="shared" si="18"/>
        <v>-7</v>
      </c>
      <c r="K248" s="104">
        <f t="shared" si="15"/>
        <v>-70</v>
      </c>
      <c r="L248" s="104"/>
      <c r="M248" s="106">
        <f t="shared" si="16"/>
        <v>0</v>
      </c>
    </row>
    <row r="249" spans="1:13" x14ac:dyDescent="0.25">
      <c r="A249" s="120"/>
      <c r="G249" s="90"/>
      <c r="H249" s="104">
        <v>244</v>
      </c>
      <c r="I249" s="105" t="str">
        <f t="shared" si="17"/>
        <v/>
      </c>
      <c r="J249" s="104">
        <f t="shared" si="18"/>
        <v>-7</v>
      </c>
      <c r="K249" s="104">
        <f t="shared" si="15"/>
        <v>-70</v>
      </c>
      <c r="L249" s="104"/>
      <c r="M249" s="106">
        <f t="shared" si="16"/>
        <v>0</v>
      </c>
    </row>
    <row r="250" spans="1:13" x14ac:dyDescent="0.25">
      <c r="A250" s="120"/>
      <c r="G250" s="90"/>
      <c r="H250" s="104">
        <v>245</v>
      </c>
      <c r="I250" s="105" t="str">
        <f t="shared" si="17"/>
        <v/>
      </c>
      <c r="J250" s="104">
        <f t="shared" si="18"/>
        <v>-7</v>
      </c>
      <c r="K250" s="104">
        <f t="shared" si="15"/>
        <v>-70</v>
      </c>
      <c r="L250" s="104"/>
      <c r="M250" s="106">
        <f t="shared" si="16"/>
        <v>0</v>
      </c>
    </row>
    <row r="251" spans="1:13" x14ac:dyDescent="0.25">
      <c r="A251" s="120"/>
      <c r="G251" s="90"/>
      <c r="H251" s="104">
        <v>246</v>
      </c>
      <c r="I251" s="105" t="str">
        <f t="shared" si="17"/>
        <v/>
      </c>
      <c r="J251" s="104">
        <f t="shared" si="18"/>
        <v>-7</v>
      </c>
      <c r="K251" s="104">
        <f t="shared" si="15"/>
        <v>-70</v>
      </c>
      <c r="L251" s="104"/>
      <c r="M251" s="106">
        <f t="shared" si="16"/>
        <v>0</v>
      </c>
    </row>
    <row r="252" spans="1:13" x14ac:dyDescent="0.25">
      <c r="A252" s="120"/>
      <c r="G252" s="90"/>
      <c r="H252" s="104">
        <v>247</v>
      </c>
      <c r="I252" s="105" t="str">
        <f t="shared" si="17"/>
        <v/>
      </c>
      <c r="J252" s="104">
        <f t="shared" si="18"/>
        <v>-7</v>
      </c>
      <c r="K252" s="104">
        <f t="shared" si="15"/>
        <v>-70</v>
      </c>
      <c r="L252" s="104"/>
      <c r="M252" s="106">
        <f t="shared" si="16"/>
        <v>0</v>
      </c>
    </row>
    <row r="253" spans="1:13" x14ac:dyDescent="0.25">
      <c r="A253" s="120"/>
      <c r="G253" s="90"/>
      <c r="H253" s="104">
        <v>248</v>
      </c>
      <c r="I253" s="105" t="str">
        <f t="shared" si="17"/>
        <v/>
      </c>
      <c r="J253" s="104">
        <f t="shared" si="18"/>
        <v>-7</v>
      </c>
      <c r="K253" s="104">
        <f t="shared" si="15"/>
        <v>-70</v>
      </c>
      <c r="L253" s="104"/>
      <c r="M253" s="106">
        <f t="shared" si="16"/>
        <v>0</v>
      </c>
    </row>
    <row r="254" spans="1:13" x14ac:dyDescent="0.25">
      <c r="A254" s="120"/>
      <c r="G254" s="90"/>
      <c r="H254" s="104">
        <v>249</v>
      </c>
      <c r="I254" s="105" t="str">
        <f t="shared" si="17"/>
        <v/>
      </c>
      <c r="J254" s="104">
        <f t="shared" si="18"/>
        <v>-7</v>
      </c>
      <c r="K254" s="104">
        <f t="shared" si="15"/>
        <v>-70</v>
      </c>
      <c r="L254" s="104"/>
      <c r="M254" s="106">
        <f t="shared" si="16"/>
        <v>0</v>
      </c>
    </row>
    <row r="255" spans="1:13" x14ac:dyDescent="0.25">
      <c r="A255" s="120"/>
      <c r="G255" s="90"/>
      <c r="H255" s="104">
        <v>250</v>
      </c>
      <c r="I255" s="105" t="str">
        <f t="shared" si="17"/>
        <v/>
      </c>
      <c r="J255" s="104">
        <f t="shared" si="18"/>
        <v>-7</v>
      </c>
      <c r="K255" s="104">
        <f t="shared" si="15"/>
        <v>-70</v>
      </c>
      <c r="L255" s="104"/>
      <c r="M255" s="106">
        <f t="shared" si="16"/>
        <v>0</v>
      </c>
    </row>
    <row r="256" spans="1:13" x14ac:dyDescent="0.25">
      <c r="A256" s="120"/>
      <c r="G256" s="90"/>
      <c r="H256" s="104">
        <v>251</v>
      </c>
      <c r="I256" s="105" t="str">
        <f t="shared" si="17"/>
        <v/>
      </c>
      <c r="J256" s="104">
        <f t="shared" si="18"/>
        <v>-7</v>
      </c>
      <c r="K256" s="104">
        <f t="shared" si="15"/>
        <v>-70</v>
      </c>
      <c r="L256" s="104"/>
      <c r="M256" s="106">
        <f t="shared" si="16"/>
        <v>0</v>
      </c>
    </row>
    <row r="257" spans="1:13" x14ac:dyDescent="0.25">
      <c r="A257" s="120"/>
      <c r="G257" s="90"/>
      <c r="H257" s="104">
        <v>252</v>
      </c>
      <c r="I257" s="105" t="str">
        <f t="shared" si="17"/>
        <v/>
      </c>
      <c r="J257" s="104">
        <f t="shared" si="18"/>
        <v>-7</v>
      </c>
      <c r="K257" s="104">
        <f t="shared" si="15"/>
        <v>-70</v>
      </c>
      <c r="L257" s="104"/>
      <c r="M257" s="106">
        <f t="shared" si="16"/>
        <v>0</v>
      </c>
    </row>
    <row r="258" spans="1:13" x14ac:dyDescent="0.25">
      <c r="A258" s="120"/>
      <c r="G258" s="90"/>
      <c r="H258" s="104">
        <v>253</v>
      </c>
      <c r="I258" s="105" t="str">
        <f t="shared" si="17"/>
        <v/>
      </c>
      <c r="J258" s="104">
        <f t="shared" si="18"/>
        <v>-7</v>
      </c>
      <c r="K258" s="104">
        <f t="shared" si="15"/>
        <v>-70</v>
      </c>
      <c r="L258" s="104"/>
      <c r="M258" s="106">
        <f t="shared" si="16"/>
        <v>0</v>
      </c>
    </row>
    <row r="259" spans="1:13" x14ac:dyDescent="0.25">
      <c r="A259" s="120"/>
      <c r="G259" s="90"/>
      <c r="H259" s="104">
        <v>254</v>
      </c>
      <c r="I259" s="105" t="str">
        <f t="shared" si="17"/>
        <v/>
      </c>
      <c r="J259" s="104">
        <f t="shared" si="18"/>
        <v>-7</v>
      </c>
      <c r="K259" s="104">
        <f t="shared" si="15"/>
        <v>-70</v>
      </c>
      <c r="L259" s="104"/>
      <c r="M259" s="106">
        <f t="shared" si="16"/>
        <v>0</v>
      </c>
    </row>
    <row r="260" spans="1:13" x14ac:dyDescent="0.25">
      <c r="A260" s="120"/>
      <c r="G260" s="90"/>
      <c r="H260" s="104">
        <v>255</v>
      </c>
      <c r="I260" s="105" t="str">
        <f t="shared" si="17"/>
        <v/>
      </c>
      <c r="J260" s="104">
        <f t="shared" si="18"/>
        <v>-7</v>
      </c>
      <c r="K260" s="104">
        <f t="shared" si="15"/>
        <v>-70</v>
      </c>
      <c r="L260" s="104"/>
      <c r="M260" s="106">
        <f t="shared" si="16"/>
        <v>0</v>
      </c>
    </row>
    <row r="261" spans="1:13" x14ac:dyDescent="0.25">
      <c r="A261" s="120"/>
      <c r="G261" s="90"/>
      <c r="H261" s="104">
        <v>256</v>
      </c>
      <c r="I261" s="105" t="str">
        <f t="shared" si="17"/>
        <v/>
      </c>
      <c r="J261" s="104">
        <f t="shared" si="18"/>
        <v>-7</v>
      </c>
      <c r="K261" s="104">
        <f t="shared" si="15"/>
        <v>-70</v>
      </c>
      <c r="L261" s="104"/>
      <c r="M261" s="106">
        <f t="shared" si="16"/>
        <v>0</v>
      </c>
    </row>
    <row r="262" spans="1:13" x14ac:dyDescent="0.25">
      <c r="A262" s="120"/>
      <c r="G262" s="90"/>
      <c r="H262" s="104">
        <v>257</v>
      </c>
      <c r="I262" s="105" t="str">
        <f t="shared" si="17"/>
        <v/>
      </c>
      <c r="J262" s="104">
        <f t="shared" si="18"/>
        <v>-8</v>
      </c>
      <c r="K262" s="104">
        <f t="shared" ref="K262:K305" si="19">J262*$J$2</f>
        <v>-80</v>
      </c>
      <c r="L262" s="104"/>
      <c r="M262" s="106">
        <f t="shared" ref="M262:M305" si="20">IF(I262&lt;&gt;"",K262+I262+L262,0)</f>
        <v>0</v>
      </c>
    </row>
    <row r="263" spans="1:13" x14ac:dyDescent="0.25">
      <c r="A263" s="120"/>
      <c r="G263" s="90"/>
      <c r="H263" s="104">
        <v>258</v>
      </c>
      <c r="I263" s="105" t="str">
        <f t="shared" ref="I263:I305" si="21">IF(H263&lt;$H$2+1,($I$2-($I$2-1)*(LOG(H263)/LOG($H$2))),"")</f>
        <v/>
      </c>
      <c r="J263" s="104">
        <f t="shared" ref="J263:J305" si="22">INT(LOG($H$2,2))-ROUNDUP(LOG(H263,2),0)+IF(OR($H$2=1,$H$2=2,$H$2=4,$H$2=8,$H$2=16,$H$2=32,$H$2=64,$H$2=128,$H$2=256),0,1)</f>
        <v>-8</v>
      </c>
      <c r="K263" s="104">
        <f t="shared" si="19"/>
        <v>-80</v>
      </c>
      <c r="L263" s="104"/>
      <c r="M263" s="106">
        <f t="shared" si="20"/>
        <v>0</v>
      </c>
    </row>
    <row r="264" spans="1:13" x14ac:dyDescent="0.25">
      <c r="A264" s="120"/>
      <c r="G264" s="90"/>
      <c r="H264" s="104">
        <v>259</v>
      </c>
      <c r="I264" s="105" t="str">
        <f t="shared" si="21"/>
        <v/>
      </c>
      <c r="J264" s="104">
        <f t="shared" si="22"/>
        <v>-8</v>
      </c>
      <c r="K264" s="104">
        <f t="shared" si="19"/>
        <v>-80</v>
      </c>
      <c r="L264" s="104"/>
      <c r="M264" s="106">
        <f t="shared" si="20"/>
        <v>0</v>
      </c>
    </row>
    <row r="265" spans="1:13" x14ac:dyDescent="0.25">
      <c r="A265" s="120"/>
      <c r="G265" s="90"/>
      <c r="H265" s="104">
        <v>260</v>
      </c>
      <c r="I265" s="105" t="str">
        <f t="shared" si="21"/>
        <v/>
      </c>
      <c r="J265" s="104">
        <f t="shared" si="22"/>
        <v>-8</v>
      </c>
      <c r="K265" s="104">
        <f t="shared" si="19"/>
        <v>-80</v>
      </c>
      <c r="L265" s="104"/>
      <c r="M265" s="106">
        <f t="shared" si="20"/>
        <v>0</v>
      </c>
    </row>
    <row r="266" spans="1:13" x14ac:dyDescent="0.25">
      <c r="A266" s="120"/>
      <c r="G266" s="90"/>
      <c r="H266" s="104">
        <v>261</v>
      </c>
      <c r="I266" s="105" t="str">
        <f t="shared" si="21"/>
        <v/>
      </c>
      <c r="J266" s="104">
        <f t="shared" si="22"/>
        <v>-8</v>
      </c>
      <c r="K266" s="104">
        <f t="shared" si="19"/>
        <v>-80</v>
      </c>
      <c r="L266" s="104"/>
      <c r="M266" s="106">
        <f t="shared" si="20"/>
        <v>0</v>
      </c>
    </row>
    <row r="267" spans="1:13" x14ac:dyDescent="0.25">
      <c r="A267" s="120"/>
      <c r="G267" s="90"/>
      <c r="H267" s="104">
        <v>262</v>
      </c>
      <c r="I267" s="105" t="str">
        <f t="shared" si="21"/>
        <v/>
      </c>
      <c r="J267" s="104">
        <f t="shared" si="22"/>
        <v>-8</v>
      </c>
      <c r="K267" s="104">
        <f t="shared" si="19"/>
        <v>-80</v>
      </c>
      <c r="L267" s="104"/>
      <c r="M267" s="106">
        <f t="shared" si="20"/>
        <v>0</v>
      </c>
    </row>
    <row r="268" spans="1:13" x14ac:dyDescent="0.25">
      <c r="A268" s="120"/>
      <c r="G268" s="90"/>
      <c r="H268" s="104">
        <v>263</v>
      </c>
      <c r="I268" s="105" t="str">
        <f t="shared" si="21"/>
        <v/>
      </c>
      <c r="J268" s="104">
        <f t="shared" si="22"/>
        <v>-8</v>
      </c>
      <c r="K268" s="104">
        <f t="shared" si="19"/>
        <v>-80</v>
      </c>
      <c r="L268" s="104"/>
      <c r="M268" s="106">
        <f t="shared" si="20"/>
        <v>0</v>
      </c>
    </row>
    <row r="269" spans="1:13" x14ac:dyDescent="0.25">
      <c r="A269" s="120"/>
      <c r="G269" s="90"/>
      <c r="H269" s="104">
        <v>264</v>
      </c>
      <c r="I269" s="105" t="str">
        <f t="shared" si="21"/>
        <v/>
      </c>
      <c r="J269" s="104">
        <f t="shared" si="22"/>
        <v>-8</v>
      </c>
      <c r="K269" s="104">
        <f t="shared" si="19"/>
        <v>-80</v>
      </c>
      <c r="L269" s="104"/>
      <c r="M269" s="106">
        <f t="shared" si="20"/>
        <v>0</v>
      </c>
    </row>
    <row r="270" spans="1:13" x14ac:dyDescent="0.25">
      <c r="A270" s="120"/>
      <c r="G270" s="90"/>
      <c r="H270" s="104">
        <v>265</v>
      </c>
      <c r="I270" s="105" t="str">
        <f t="shared" si="21"/>
        <v/>
      </c>
      <c r="J270" s="104">
        <f t="shared" si="22"/>
        <v>-8</v>
      </c>
      <c r="K270" s="104">
        <f t="shared" si="19"/>
        <v>-80</v>
      </c>
      <c r="L270" s="104"/>
      <c r="M270" s="106">
        <f t="shared" si="20"/>
        <v>0</v>
      </c>
    </row>
    <row r="271" spans="1:13" x14ac:dyDescent="0.25">
      <c r="A271" s="120"/>
      <c r="G271" s="90"/>
      <c r="H271" s="104">
        <v>266</v>
      </c>
      <c r="I271" s="105" t="str">
        <f t="shared" si="21"/>
        <v/>
      </c>
      <c r="J271" s="104">
        <f t="shared" si="22"/>
        <v>-8</v>
      </c>
      <c r="K271" s="104">
        <f t="shared" si="19"/>
        <v>-80</v>
      </c>
      <c r="L271" s="104"/>
      <c r="M271" s="106">
        <f t="shared" si="20"/>
        <v>0</v>
      </c>
    </row>
    <row r="272" spans="1:13" x14ac:dyDescent="0.25">
      <c r="A272" s="120"/>
      <c r="G272" s="90"/>
      <c r="H272" s="104">
        <v>267</v>
      </c>
      <c r="I272" s="105" t="str">
        <f t="shared" si="21"/>
        <v/>
      </c>
      <c r="J272" s="104">
        <f t="shared" si="22"/>
        <v>-8</v>
      </c>
      <c r="K272" s="104">
        <f t="shared" si="19"/>
        <v>-80</v>
      </c>
      <c r="L272" s="104"/>
      <c r="M272" s="106">
        <f t="shared" si="20"/>
        <v>0</v>
      </c>
    </row>
    <row r="273" spans="1:13" x14ac:dyDescent="0.25">
      <c r="A273" s="120"/>
      <c r="G273" s="90"/>
      <c r="H273" s="104">
        <v>268</v>
      </c>
      <c r="I273" s="105" t="str">
        <f t="shared" si="21"/>
        <v/>
      </c>
      <c r="J273" s="104">
        <f t="shared" si="22"/>
        <v>-8</v>
      </c>
      <c r="K273" s="104">
        <f t="shared" si="19"/>
        <v>-80</v>
      </c>
      <c r="L273" s="104"/>
      <c r="M273" s="106">
        <f t="shared" si="20"/>
        <v>0</v>
      </c>
    </row>
    <row r="274" spans="1:13" x14ac:dyDescent="0.25">
      <c r="A274" s="120"/>
      <c r="G274" s="90"/>
      <c r="H274" s="104">
        <v>269</v>
      </c>
      <c r="I274" s="105" t="str">
        <f t="shared" si="21"/>
        <v/>
      </c>
      <c r="J274" s="104">
        <f t="shared" si="22"/>
        <v>-8</v>
      </c>
      <c r="K274" s="104">
        <f t="shared" si="19"/>
        <v>-80</v>
      </c>
      <c r="L274" s="104"/>
      <c r="M274" s="106">
        <f t="shared" si="20"/>
        <v>0</v>
      </c>
    </row>
    <row r="275" spans="1:13" x14ac:dyDescent="0.25">
      <c r="A275" s="120"/>
      <c r="G275" s="90"/>
      <c r="H275" s="104">
        <v>270</v>
      </c>
      <c r="I275" s="105" t="str">
        <f t="shared" si="21"/>
        <v/>
      </c>
      <c r="J275" s="104">
        <f t="shared" si="22"/>
        <v>-8</v>
      </c>
      <c r="K275" s="104">
        <f t="shared" si="19"/>
        <v>-80</v>
      </c>
      <c r="L275" s="104"/>
      <c r="M275" s="106">
        <f t="shared" si="20"/>
        <v>0</v>
      </c>
    </row>
    <row r="276" spans="1:13" x14ac:dyDescent="0.25">
      <c r="A276" s="120"/>
      <c r="G276" s="90"/>
      <c r="H276" s="104">
        <v>271</v>
      </c>
      <c r="I276" s="105" t="str">
        <f t="shared" si="21"/>
        <v/>
      </c>
      <c r="J276" s="104">
        <f t="shared" si="22"/>
        <v>-8</v>
      </c>
      <c r="K276" s="104">
        <f t="shared" si="19"/>
        <v>-80</v>
      </c>
      <c r="L276" s="104"/>
      <c r="M276" s="106">
        <f t="shared" si="20"/>
        <v>0</v>
      </c>
    </row>
    <row r="277" spans="1:13" x14ac:dyDescent="0.25">
      <c r="A277" s="120"/>
      <c r="G277" s="90"/>
      <c r="H277" s="104">
        <v>272</v>
      </c>
      <c r="I277" s="105" t="str">
        <f t="shared" si="21"/>
        <v/>
      </c>
      <c r="J277" s="104">
        <f t="shared" si="22"/>
        <v>-8</v>
      </c>
      <c r="K277" s="104">
        <f t="shared" si="19"/>
        <v>-80</v>
      </c>
      <c r="L277" s="104"/>
      <c r="M277" s="106">
        <f t="shared" si="20"/>
        <v>0</v>
      </c>
    </row>
    <row r="278" spans="1:13" x14ac:dyDescent="0.25">
      <c r="A278" s="120"/>
      <c r="G278" s="90"/>
      <c r="H278" s="104">
        <v>273</v>
      </c>
      <c r="I278" s="105" t="str">
        <f t="shared" si="21"/>
        <v/>
      </c>
      <c r="J278" s="104">
        <f t="shared" si="22"/>
        <v>-8</v>
      </c>
      <c r="K278" s="104">
        <f t="shared" si="19"/>
        <v>-80</v>
      </c>
      <c r="L278" s="104"/>
      <c r="M278" s="106">
        <f t="shared" si="20"/>
        <v>0</v>
      </c>
    </row>
    <row r="279" spans="1:13" x14ac:dyDescent="0.25">
      <c r="A279" s="120"/>
      <c r="G279" s="90"/>
      <c r="H279" s="104">
        <v>274</v>
      </c>
      <c r="I279" s="105" t="str">
        <f t="shared" si="21"/>
        <v/>
      </c>
      <c r="J279" s="104">
        <f t="shared" si="22"/>
        <v>-8</v>
      </c>
      <c r="K279" s="104">
        <f t="shared" si="19"/>
        <v>-80</v>
      </c>
      <c r="L279" s="104"/>
      <c r="M279" s="106">
        <f t="shared" si="20"/>
        <v>0</v>
      </c>
    </row>
    <row r="280" spans="1:13" x14ac:dyDescent="0.25">
      <c r="A280" s="120"/>
      <c r="G280" s="90"/>
      <c r="H280" s="104">
        <v>275</v>
      </c>
      <c r="I280" s="105" t="str">
        <f t="shared" si="21"/>
        <v/>
      </c>
      <c r="J280" s="104">
        <f t="shared" si="22"/>
        <v>-8</v>
      </c>
      <c r="K280" s="104">
        <f t="shared" si="19"/>
        <v>-80</v>
      </c>
      <c r="L280" s="104"/>
      <c r="M280" s="106">
        <f t="shared" si="20"/>
        <v>0</v>
      </c>
    </row>
    <row r="281" spans="1:13" x14ac:dyDescent="0.25">
      <c r="A281" s="120"/>
      <c r="G281" s="90"/>
      <c r="H281" s="104">
        <v>276</v>
      </c>
      <c r="I281" s="105" t="str">
        <f t="shared" si="21"/>
        <v/>
      </c>
      <c r="J281" s="104">
        <f t="shared" si="22"/>
        <v>-8</v>
      </c>
      <c r="K281" s="104">
        <f t="shared" si="19"/>
        <v>-80</v>
      </c>
      <c r="L281" s="104"/>
      <c r="M281" s="106">
        <f t="shared" si="20"/>
        <v>0</v>
      </c>
    </row>
    <row r="282" spans="1:13" x14ac:dyDescent="0.25">
      <c r="A282" s="120"/>
      <c r="G282" s="90"/>
      <c r="H282" s="104">
        <v>277</v>
      </c>
      <c r="I282" s="105" t="str">
        <f t="shared" si="21"/>
        <v/>
      </c>
      <c r="J282" s="104">
        <f t="shared" si="22"/>
        <v>-8</v>
      </c>
      <c r="K282" s="104">
        <f t="shared" si="19"/>
        <v>-80</v>
      </c>
      <c r="L282" s="104"/>
      <c r="M282" s="106">
        <f t="shared" si="20"/>
        <v>0</v>
      </c>
    </row>
    <row r="283" spans="1:13" x14ac:dyDescent="0.25">
      <c r="A283" s="120"/>
      <c r="G283" s="90"/>
      <c r="H283" s="104">
        <v>278</v>
      </c>
      <c r="I283" s="105" t="str">
        <f t="shared" si="21"/>
        <v/>
      </c>
      <c r="J283" s="104">
        <f t="shared" si="22"/>
        <v>-8</v>
      </c>
      <c r="K283" s="104">
        <f t="shared" si="19"/>
        <v>-80</v>
      </c>
      <c r="L283" s="104"/>
      <c r="M283" s="106">
        <f t="shared" si="20"/>
        <v>0</v>
      </c>
    </row>
    <row r="284" spans="1:13" x14ac:dyDescent="0.25">
      <c r="A284" s="120"/>
      <c r="G284" s="90"/>
      <c r="H284" s="104">
        <v>279</v>
      </c>
      <c r="I284" s="105" t="str">
        <f t="shared" si="21"/>
        <v/>
      </c>
      <c r="J284" s="104">
        <f t="shared" si="22"/>
        <v>-8</v>
      </c>
      <c r="K284" s="104">
        <f t="shared" si="19"/>
        <v>-80</v>
      </c>
      <c r="L284" s="104"/>
      <c r="M284" s="106">
        <f t="shared" si="20"/>
        <v>0</v>
      </c>
    </row>
    <row r="285" spans="1:13" x14ac:dyDescent="0.25">
      <c r="A285" s="120"/>
      <c r="G285" s="90"/>
      <c r="H285" s="104">
        <v>280</v>
      </c>
      <c r="I285" s="105" t="str">
        <f t="shared" si="21"/>
        <v/>
      </c>
      <c r="J285" s="104">
        <f t="shared" si="22"/>
        <v>-8</v>
      </c>
      <c r="K285" s="104">
        <f t="shared" si="19"/>
        <v>-80</v>
      </c>
      <c r="L285" s="104"/>
      <c r="M285" s="106">
        <f t="shared" si="20"/>
        <v>0</v>
      </c>
    </row>
    <row r="286" spans="1:13" x14ac:dyDescent="0.25">
      <c r="A286" s="120"/>
      <c r="G286" s="90"/>
      <c r="H286" s="104">
        <v>281</v>
      </c>
      <c r="I286" s="105" t="str">
        <f t="shared" si="21"/>
        <v/>
      </c>
      <c r="J286" s="104">
        <f t="shared" si="22"/>
        <v>-8</v>
      </c>
      <c r="K286" s="104">
        <f t="shared" si="19"/>
        <v>-80</v>
      </c>
      <c r="L286" s="104"/>
      <c r="M286" s="106">
        <f t="shared" si="20"/>
        <v>0</v>
      </c>
    </row>
    <row r="287" spans="1:13" x14ac:dyDescent="0.25">
      <c r="A287" s="120"/>
      <c r="G287" s="90"/>
      <c r="H287" s="104">
        <v>282</v>
      </c>
      <c r="I287" s="105" t="str">
        <f t="shared" si="21"/>
        <v/>
      </c>
      <c r="J287" s="104">
        <f t="shared" si="22"/>
        <v>-8</v>
      </c>
      <c r="K287" s="104">
        <f t="shared" si="19"/>
        <v>-80</v>
      </c>
      <c r="L287" s="104"/>
      <c r="M287" s="106">
        <f t="shared" si="20"/>
        <v>0</v>
      </c>
    </row>
    <row r="288" spans="1:13" x14ac:dyDescent="0.25">
      <c r="A288" s="120"/>
      <c r="G288" s="90"/>
      <c r="H288" s="104">
        <v>283</v>
      </c>
      <c r="I288" s="105" t="str">
        <f t="shared" si="21"/>
        <v/>
      </c>
      <c r="J288" s="104">
        <f t="shared" si="22"/>
        <v>-8</v>
      </c>
      <c r="K288" s="104">
        <f t="shared" si="19"/>
        <v>-80</v>
      </c>
      <c r="L288" s="104"/>
      <c r="M288" s="106">
        <f t="shared" si="20"/>
        <v>0</v>
      </c>
    </row>
    <row r="289" spans="1:13" x14ac:dyDescent="0.25">
      <c r="A289" s="120"/>
      <c r="G289" s="90"/>
      <c r="H289" s="104">
        <v>284</v>
      </c>
      <c r="I289" s="105" t="str">
        <f t="shared" si="21"/>
        <v/>
      </c>
      <c r="J289" s="104">
        <f t="shared" si="22"/>
        <v>-8</v>
      </c>
      <c r="K289" s="104">
        <f t="shared" si="19"/>
        <v>-80</v>
      </c>
      <c r="L289" s="104"/>
      <c r="M289" s="106">
        <f t="shared" si="20"/>
        <v>0</v>
      </c>
    </row>
    <row r="290" spans="1:13" x14ac:dyDescent="0.25">
      <c r="A290" s="120"/>
      <c r="G290" s="90"/>
      <c r="H290" s="104">
        <v>285</v>
      </c>
      <c r="I290" s="105" t="str">
        <f t="shared" si="21"/>
        <v/>
      </c>
      <c r="J290" s="104">
        <f t="shared" si="22"/>
        <v>-8</v>
      </c>
      <c r="K290" s="104">
        <f t="shared" si="19"/>
        <v>-80</v>
      </c>
      <c r="L290" s="104"/>
      <c r="M290" s="106">
        <f t="shared" si="20"/>
        <v>0</v>
      </c>
    </row>
    <row r="291" spans="1:13" x14ac:dyDescent="0.25">
      <c r="A291" s="120"/>
      <c r="G291" s="90"/>
      <c r="H291" s="104">
        <v>286</v>
      </c>
      <c r="I291" s="105" t="str">
        <f t="shared" si="21"/>
        <v/>
      </c>
      <c r="J291" s="104">
        <f t="shared" si="22"/>
        <v>-8</v>
      </c>
      <c r="K291" s="104">
        <f t="shared" si="19"/>
        <v>-80</v>
      </c>
      <c r="L291" s="104"/>
      <c r="M291" s="106">
        <f t="shared" si="20"/>
        <v>0</v>
      </c>
    </row>
    <row r="292" spans="1:13" x14ac:dyDescent="0.25">
      <c r="A292" s="120"/>
      <c r="G292" s="90"/>
      <c r="H292" s="104">
        <v>287</v>
      </c>
      <c r="I292" s="105" t="str">
        <f t="shared" si="21"/>
        <v/>
      </c>
      <c r="J292" s="104">
        <f t="shared" si="22"/>
        <v>-8</v>
      </c>
      <c r="K292" s="104">
        <f t="shared" si="19"/>
        <v>-80</v>
      </c>
      <c r="L292" s="104"/>
      <c r="M292" s="106">
        <f t="shared" si="20"/>
        <v>0</v>
      </c>
    </row>
    <row r="293" spans="1:13" x14ac:dyDescent="0.25">
      <c r="A293" s="120"/>
      <c r="G293" s="90"/>
      <c r="H293" s="104">
        <v>288</v>
      </c>
      <c r="I293" s="105" t="str">
        <f t="shared" si="21"/>
        <v/>
      </c>
      <c r="J293" s="104">
        <f t="shared" si="22"/>
        <v>-8</v>
      </c>
      <c r="K293" s="104">
        <f t="shared" si="19"/>
        <v>-80</v>
      </c>
      <c r="L293" s="104"/>
      <c r="M293" s="106">
        <f t="shared" si="20"/>
        <v>0</v>
      </c>
    </row>
    <row r="294" spans="1:13" x14ac:dyDescent="0.25">
      <c r="A294" s="120"/>
      <c r="G294" s="90"/>
      <c r="H294" s="104">
        <v>289</v>
      </c>
      <c r="I294" s="105" t="str">
        <f t="shared" si="21"/>
        <v/>
      </c>
      <c r="J294" s="104">
        <f t="shared" si="22"/>
        <v>-8</v>
      </c>
      <c r="K294" s="104">
        <f t="shared" si="19"/>
        <v>-80</v>
      </c>
      <c r="L294" s="104"/>
      <c r="M294" s="106">
        <f t="shared" si="20"/>
        <v>0</v>
      </c>
    </row>
    <row r="295" spans="1:13" x14ac:dyDescent="0.25">
      <c r="A295" s="120"/>
      <c r="G295" s="90"/>
      <c r="H295" s="104">
        <v>290</v>
      </c>
      <c r="I295" s="105" t="str">
        <f t="shared" si="21"/>
        <v/>
      </c>
      <c r="J295" s="104">
        <f t="shared" si="22"/>
        <v>-8</v>
      </c>
      <c r="K295" s="104">
        <f t="shared" si="19"/>
        <v>-80</v>
      </c>
      <c r="L295" s="104"/>
      <c r="M295" s="106">
        <f t="shared" si="20"/>
        <v>0</v>
      </c>
    </row>
    <row r="296" spans="1:13" x14ac:dyDescent="0.25">
      <c r="A296" s="120"/>
      <c r="G296" s="90"/>
      <c r="H296" s="104">
        <v>291</v>
      </c>
      <c r="I296" s="105" t="str">
        <f t="shared" si="21"/>
        <v/>
      </c>
      <c r="J296" s="104">
        <f t="shared" si="22"/>
        <v>-8</v>
      </c>
      <c r="K296" s="104">
        <f t="shared" si="19"/>
        <v>-80</v>
      </c>
      <c r="L296" s="104"/>
      <c r="M296" s="106">
        <f t="shared" si="20"/>
        <v>0</v>
      </c>
    </row>
    <row r="297" spans="1:13" x14ac:dyDescent="0.25">
      <c r="A297" s="120"/>
      <c r="G297" s="90"/>
      <c r="H297" s="104">
        <v>292</v>
      </c>
      <c r="I297" s="105" t="str">
        <f t="shared" si="21"/>
        <v/>
      </c>
      <c r="J297" s="104">
        <f t="shared" si="22"/>
        <v>-8</v>
      </c>
      <c r="K297" s="104">
        <f t="shared" si="19"/>
        <v>-80</v>
      </c>
      <c r="L297" s="104"/>
      <c r="M297" s="106">
        <f t="shared" si="20"/>
        <v>0</v>
      </c>
    </row>
    <row r="298" spans="1:13" x14ac:dyDescent="0.25">
      <c r="A298" s="120"/>
      <c r="G298" s="90"/>
      <c r="H298" s="104">
        <v>293</v>
      </c>
      <c r="I298" s="105" t="str">
        <f t="shared" si="21"/>
        <v/>
      </c>
      <c r="J298" s="104">
        <f t="shared" si="22"/>
        <v>-8</v>
      </c>
      <c r="K298" s="104">
        <f t="shared" si="19"/>
        <v>-80</v>
      </c>
      <c r="L298" s="104"/>
      <c r="M298" s="106">
        <f t="shared" si="20"/>
        <v>0</v>
      </c>
    </row>
    <row r="299" spans="1:13" x14ac:dyDescent="0.25">
      <c r="A299" s="120"/>
      <c r="G299" s="90"/>
      <c r="H299" s="104">
        <v>294</v>
      </c>
      <c r="I299" s="105" t="str">
        <f t="shared" si="21"/>
        <v/>
      </c>
      <c r="J299" s="104">
        <f t="shared" si="22"/>
        <v>-8</v>
      </c>
      <c r="K299" s="104">
        <f t="shared" si="19"/>
        <v>-80</v>
      </c>
      <c r="L299" s="104"/>
      <c r="M299" s="106">
        <f t="shared" si="20"/>
        <v>0</v>
      </c>
    </row>
    <row r="300" spans="1:13" x14ac:dyDescent="0.25">
      <c r="A300" s="120"/>
      <c r="G300" s="90"/>
      <c r="H300" s="104">
        <v>295</v>
      </c>
      <c r="I300" s="105" t="str">
        <f t="shared" si="21"/>
        <v/>
      </c>
      <c r="J300" s="104">
        <f t="shared" si="22"/>
        <v>-8</v>
      </c>
      <c r="K300" s="104">
        <f t="shared" si="19"/>
        <v>-80</v>
      </c>
      <c r="L300" s="104"/>
      <c r="M300" s="106">
        <f t="shared" si="20"/>
        <v>0</v>
      </c>
    </row>
    <row r="301" spans="1:13" x14ac:dyDescent="0.25">
      <c r="A301" s="120"/>
      <c r="G301" s="90"/>
      <c r="H301" s="104">
        <v>296</v>
      </c>
      <c r="I301" s="105" t="str">
        <f t="shared" si="21"/>
        <v/>
      </c>
      <c r="J301" s="104">
        <f t="shared" si="22"/>
        <v>-8</v>
      </c>
      <c r="K301" s="104">
        <f t="shared" si="19"/>
        <v>-80</v>
      </c>
      <c r="L301" s="104"/>
      <c r="M301" s="106">
        <f t="shared" si="20"/>
        <v>0</v>
      </c>
    </row>
    <row r="302" spans="1:13" x14ac:dyDescent="0.25">
      <c r="A302" s="120"/>
      <c r="G302" s="90"/>
      <c r="H302" s="104">
        <v>297</v>
      </c>
      <c r="I302" s="105" t="str">
        <f t="shared" si="21"/>
        <v/>
      </c>
      <c r="J302" s="104">
        <f t="shared" si="22"/>
        <v>-8</v>
      </c>
      <c r="K302" s="104">
        <f t="shared" si="19"/>
        <v>-80</v>
      </c>
      <c r="L302" s="104"/>
      <c r="M302" s="106">
        <f t="shared" si="20"/>
        <v>0</v>
      </c>
    </row>
    <row r="303" spans="1:13" x14ac:dyDescent="0.25">
      <c r="A303" s="120"/>
      <c r="G303" s="90"/>
      <c r="H303" s="104">
        <v>298</v>
      </c>
      <c r="I303" s="105" t="str">
        <f t="shared" si="21"/>
        <v/>
      </c>
      <c r="J303" s="104">
        <f t="shared" si="22"/>
        <v>-8</v>
      </c>
      <c r="K303" s="104">
        <f t="shared" si="19"/>
        <v>-80</v>
      </c>
      <c r="L303" s="104"/>
      <c r="M303" s="106">
        <f t="shared" si="20"/>
        <v>0</v>
      </c>
    </row>
    <row r="304" spans="1:13" x14ac:dyDescent="0.25">
      <c r="A304" s="120"/>
      <c r="G304" s="90"/>
      <c r="H304" s="104">
        <v>299</v>
      </c>
      <c r="I304" s="105" t="str">
        <f t="shared" si="21"/>
        <v/>
      </c>
      <c r="J304" s="104">
        <f t="shared" si="22"/>
        <v>-8</v>
      </c>
      <c r="K304" s="104">
        <f t="shared" si="19"/>
        <v>-80</v>
      </c>
      <c r="L304" s="104"/>
      <c r="M304" s="106">
        <f t="shared" si="20"/>
        <v>0</v>
      </c>
    </row>
    <row r="305" spans="1:16" x14ac:dyDescent="0.25">
      <c r="A305" s="120"/>
      <c r="G305" s="90"/>
      <c r="H305" s="104">
        <v>300</v>
      </c>
      <c r="I305" s="105" t="str">
        <f t="shared" si="21"/>
        <v/>
      </c>
      <c r="J305" s="104">
        <f t="shared" si="22"/>
        <v>-8</v>
      </c>
      <c r="K305" s="104">
        <f t="shared" si="19"/>
        <v>-80</v>
      </c>
      <c r="L305" s="104"/>
      <c r="M305" s="106">
        <f t="shared" si="20"/>
        <v>0</v>
      </c>
    </row>
    <row r="306" spans="1:16" x14ac:dyDescent="0.25">
      <c r="A306" s="122"/>
    </row>
    <row r="314" spans="1:16" x14ac:dyDescent="0.25">
      <c r="L314" s="125"/>
      <c r="P314" s="115"/>
    </row>
    <row r="315" spans="1:16" x14ac:dyDescent="0.25">
      <c r="L315" s="125"/>
      <c r="P315" s="115"/>
    </row>
    <row r="316" spans="1:16" x14ac:dyDescent="0.25">
      <c r="L316" s="125"/>
      <c r="P316" s="115"/>
    </row>
    <row r="317" spans="1:16" x14ac:dyDescent="0.25">
      <c r="L317" s="125"/>
      <c r="P317" s="115"/>
    </row>
  </sheetData>
  <mergeCells count="2">
    <mergeCell ref="C2:D2"/>
    <mergeCell ref="C3:D3"/>
  </mergeCells>
  <conditionalFormatting sqref="J6:K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6D8064EE-E579-46F7-8EAD-951343867FE0}">
      <formula1>#REF!</formula1>
    </dataValidation>
  </dataValidations>
  <hyperlinks>
    <hyperlink ref="C2:D2" r:id="rId1" display="SZCZECIN" xr:uid="{6896FAED-1F13-46E7-B6BE-A63757667CFB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A3A6-9AA4-496C-A21E-B5FBF80F4326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1.75" style="59" customWidth="1"/>
    <col min="14" max="14" width="11.75" style="60" customWidth="1"/>
    <col min="15" max="16" width="13.875" style="13" customWidth="1"/>
    <col min="17" max="19" width="8.875" style="13"/>
    <col min="20" max="21" width="8.875" style="18"/>
    <col min="22" max="22" width="12.125" style="18" customWidth="1"/>
    <col min="23" max="23" width="27.375" style="18" customWidth="1"/>
    <col min="24" max="39" width="8.875" style="18"/>
    <col min="40" max="16384" width="8.875" style="57"/>
  </cols>
  <sheetData>
    <row r="1" spans="1:37" x14ac:dyDescent="0.25">
      <c r="A1" s="13"/>
      <c r="B1" s="13"/>
      <c r="C1" s="13"/>
      <c r="D1" s="13"/>
      <c r="E1" s="13"/>
      <c r="F1" s="13"/>
      <c r="G1" s="13"/>
      <c r="H1" s="14" t="s">
        <v>25</v>
      </c>
      <c r="I1" s="15" t="s">
        <v>26</v>
      </c>
      <c r="J1" s="15" t="s">
        <v>27</v>
      </c>
      <c r="K1" s="16" t="s">
        <v>85</v>
      </c>
      <c r="L1" s="62" t="s">
        <v>86</v>
      </c>
      <c r="M1" s="63"/>
      <c r="N1" s="17"/>
    </row>
    <row r="2" spans="1:37" x14ac:dyDescent="0.25">
      <c r="A2" s="13"/>
      <c r="B2" s="19" t="s">
        <v>29</v>
      </c>
      <c r="C2" s="211" t="s">
        <v>129</v>
      </c>
      <c r="D2" s="211"/>
      <c r="E2" s="20"/>
      <c r="F2" s="20"/>
      <c r="G2" s="20"/>
      <c r="H2" s="21">
        <v>3</v>
      </c>
      <c r="I2" s="22">
        <v>50</v>
      </c>
      <c r="J2" s="22">
        <v>10</v>
      </c>
      <c r="K2" s="23">
        <f>3*H2^(1/3)</f>
        <v>4.3267487109222245</v>
      </c>
      <c r="L2" s="64">
        <f>1.2</f>
        <v>1.2</v>
      </c>
      <c r="M2" s="17"/>
      <c r="N2" s="17"/>
    </row>
    <row r="3" spans="1:37" ht="14.3" customHeight="1" x14ac:dyDescent="0.25">
      <c r="A3" s="13"/>
      <c r="B3" s="24" t="s">
        <v>31</v>
      </c>
      <c r="C3" s="212" t="s">
        <v>130</v>
      </c>
      <c r="D3" s="212"/>
      <c r="E3" s="25"/>
      <c r="F3" s="25"/>
      <c r="G3" s="25"/>
      <c r="H3" s="17"/>
      <c r="I3" s="17"/>
      <c r="J3" s="26"/>
      <c r="K3" s="17"/>
      <c r="L3" s="17"/>
      <c r="M3" s="17"/>
      <c r="N3" s="17"/>
    </row>
    <row r="4" spans="1:37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  <c r="N4" s="17"/>
    </row>
    <row r="5" spans="1:37" ht="34.65" x14ac:dyDescent="0.25">
      <c r="A5" s="1" t="s">
        <v>33</v>
      </c>
      <c r="B5" s="28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7"/>
      <c r="H5" s="29" t="s">
        <v>39</v>
      </c>
      <c r="I5" s="30" t="s">
        <v>40</v>
      </c>
      <c r="J5" s="31" t="s">
        <v>41</v>
      </c>
      <c r="K5" s="30" t="s">
        <v>42</v>
      </c>
      <c r="L5" s="30" t="s">
        <v>43</v>
      </c>
      <c r="M5" s="29" t="s">
        <v>44</v>
      </c>
      <c r="N5" s="29" t="s">
        <v>87</v>
      </c>
      <c r="P5" s="175" t="s">
        <v>88</v>
      </c>
      <c r="Q5" s="176" t="s">
        <v>74</v>
      </c>
      <c r="R5" s="175" t="s">
        <v>75</v>
      </c>
      <c r="S5" s="176" t="s">
        <v>89</v>
      </c>
    </row>
    <row r="6" spans="1:37" ht="14.45" customHeight="1" x14ac:dyDescent="0.25">
      <c r="A6" s="32">
        <f>N6</f>
        <v>111.57629535932</v>
      </c>
      <c r="B6" s="33">
        <f t="shared" ref="B6:B13" si="0">IF(H6&gt;$H$2,"",(ROW()-5))</f>
        <v>1</v>
      </c>
      <c r="C6" s="34" t="s">
        <v>16</v>
      </c>
      <c r="D6" s="34"/>
      <c r="E6" s="34"/>
      <c r="F6" s="34"/>
      <c r="G6" s="27"/>
      <c r="H6" s="35">
        <v>1</v>
      </c>
      <c r="I6" s="36">
        <f>IF(H2=1,50,IF(H6&lt;$H$2+1,($I$2-($I$2-1)*(LOG(H6)/LOG($H$2))),""))</f>
        <v>50</v>
      </c>
      <c r="J6" s="179">
        <v>3</v>
      </c>
      <c r="K6" s="35">
        <f t="shared" ref="K6:K69" si="1">J6*$J$2</f>
        <v>30</v>
      </c>
      <c r="L6" s="37">
        <f>3*K2</f>
        <v>12.980246132766673</v>
      </c>
      <c r="M6" s="37">
        <f t="shared" ref="M6:M69" si="2">IF(I6&lt;&gt;"",K6+I6+L6,0)</f>
        <v>92.980246132766666</v>
      </c>
      <c r="N6" s="37">
        <f t="shared" ref="N6:N69" si="3">IF(I6&lt;&gt;"",M6*L$2,0)</f>
        <v>111.57629535932</v>
      </c>
      <c r="P6" s="175">
        <v>1</v>
      </c>
      <c r="Q6" s="176" t="s">
        <v>131</v>
      </c>
      <c r="R6" s="175">
        <v>3</v>
      </c>
      <c r="S6" s="191">
        <v>30</v>
      </c>
    </row>
    <row r="7" spans="1:37" ht="14.45" customHeight="1" x14ac:dyDescent="0.25">
      <c r="A7" s="38">
        <f t="shared" ref="A7:A70" si="4">N7</f>
        <v>45.285527396211648</v>
      </c>
      <c r="B7" s="39">
        <f t="shared" si="0"/>
        <v>2</v>
      </c>
      <c r="C7" s="40" t="s">
        <v>18</v>
      </c>
      <c r="D7" s="40"/>
      <c r="E7" s="40"/>
      <c r="F7" s="40"/>
      <c r="G7" s="27"/>
      <c r="H7" s="41">
        <v>2</v>
      </c>
      <c r="I7" s="42">
        <f t="shared" ref="I7:I69" si="5">IF(H7&lt;$H$2+1,($I$2-($I$2-1)*(LOG(H7)/LOG($H$2))),"")</f>
        <v>19.084442074998588</v>
      </c>
      <c r="J7" s="41">
        <f t="shared" ref="J7:J70" si="6">INT(LOG($H$2,2))-ROUNDUP(LOG(H7,2),0)+IF(OR($H$2=1,$H$2=2,$H$2=4,$H$2=8,$H$2=16,$H$2=32,$H$2=64,$H$2=128,$H$2=256),0,1)</f>
        <v>1</v>
      </c>
      <c r="K7" s="41">
        <f t="shared" si="1"/>
        <v>10</v>
      </c>
      <c r="L7" s="43">
        <f>2*K2</f>
        <v>8.6534974218444489</v>
      </c>
      <c r="M7" s="43">
        <f t="shared" si="2"/>
        <v>37.73793949684304</v>
      </c>
      <c r="N7" s="43">
        <f t="shared" si="3"/>
        <v>45.285527396211648</v>
      </c>
      <c r="P7" s="175">
        <v>2</v>
      </c>
      <c r="Q7" s="176" t="s">
        <v>132</v>
      </c>
      <c r="R7" s="175">
        <v>2</v>
      </c>
      <c r="S7" s="176">
        <v>20</v>
      </c>
    </row>
    <row r="8" spans="1:37" ht="14.45" customHeight="1" x14ac:dyDescent="0.25">
      <c r="A8" s="32">
        <f t="shared" si="4"/>
        <v>18.392098453106669</v>
      </c>
      <c r="B8" s="33">
        <f t="shared" si="0"/>
        <v>3</v>
      </c>
      <c r="C8" s="34" t="s">
        <v>17</v>
      </c>
      <c r="D8" s="34"/>
      <c r="E8" s="34"/>
      <c r="F8" s="34"/>
      <c r="G8" s="27"/>
      <c r="H8" s="35">
        <v>3</v>
      </c>
      <c r="I8" s="36">
        <f t="shared" si="5"/>
        <v>1</v>
      </c>
      <c r="J8" s="179">
        <v>1</v>
      </c>
      <c r="K8" s="35">
        <f t="shared" si="1"/>
        <v>10</v>
      </c>
      <c r="L8" s="37">
        <f>K2</f>
        <v>4.3267487109222245</v>
      </c>
      <c r="M8" s="37">
        <f t="shared" si="2"/>
        <v>15.326748710922224</v>
      </c>
      <c r="N8" s="37">
        <f t="shared" si="3"/>
        <v>18.392098453106669</v>
      </c>
      <c r="P8" s="175">
        <v>3</v>
      </c>
      <c r="Q8" s="176" t="s">
        <v>133</v>
      </c>
      <c r="R8" s="175">
        <v>1</v>
      </c>
      <c r="S8" s="191">
        <v>10</v>
      </c>
    </row>
    <row r="9" spans="1:37" ht="14.45" customHeight="1" x14ac:dyDescent="0.25">
      <c r="A9" s="38">
        <f t="shared" si="4"/>
        <v>0</v>
      </c>
      <c r="B9" s="39" t="str">
        <f t="shared" si="0"/>
        <v/>
      </c>
      <c r="C9" s="40"/>
      <c r="D9" s="40"/>
      <c r="E9" s="40"/>
      <c r="F9" s="40"/>
      <c r="G9" s="27"/>
      <c r="H9" s="41">
        <v>4</v>
      </c>
      <c r="I9" s="42" t="str">
        <f t="shared" si="5"/>
        <v/>
      </c>
      <c r="J9" s="41">
        <f t="shared" si="6"/>
        <v>0</v>
      </c>
      <c r="K9" s="41">
        <f t="shared" si="1"/>
        <v>0</v>
      </c>
      <c r="L9" s="43"/>
      <c r="M9" s="43">
        <f t="shared" si="2"/>
        <v>0</v>
      </c>
      <c r="N9" s="43">
        <f t="shared" si="3"/>
        <v>0</v>
      </c>
      <c r="P9" s="175">
        <v>4</v>
      </c>
      <c r="Q9" s="176" t="s">
        <v>134</v>
      </c>
      <c r="R9" s="175">
        <v>1</v>
      </c>
      <c r="S9" s="176">
        <v>10</v>
      </c>
      <c r="W9" s="44"/>
      <c r="AA9" s="45"/>
      <c r="AB9" s="45"/>
      <c r="AH9" s="46"/>
      <c r="AI9" s="18" t="s">
        <v>50</v>
      </c>
      <c r="AJ9" s="18">
        <v>23</v>
      </c>
    </row>
    <row r="10" spans="1:37" ht="14.45" customHeight="1" x14ac:dyDescent="0.25">
      <c r="A10" s="32">
        <f t="shared" ref="A10" si="7">N10</f>
        <v>0</v>
      </c>
      <c r="B10" s="33" t="str">
        <f t="shared" ref="B10" si="8">IF(H10&gt;$H$2,"",(ROW()-5))</f>
        <v/>
      </c>
      <c r="C10" s="34"/>
      <c r="D10" s="34"/>
      <c r="E10" s="34"/>
      <c r="F10" s="34"/>
      <c r="G10" s="27"/>
      <c r="H10" s="35">
        <v>7</v>
      </c>
      <c r="I10" s="36" t="str">
        <f t="shared" ref="I10" si="9">IF(H10&lt;$H$2+1,($I$2-($I$2-1)*(LOG(H10)/LOG($H$2))),"")</f>
        <v/>
      </c>
      <c r="J10" s="35">
        <f t="shared" ref="J10" si="10">INT(LOG($H$2,2))-ROUNDUP(LOG(H10,2),0)+IF(OR($H$2=1,$H$2=2,$H$2=4,$H$2=8,$H$2=16,$H$2=32,$H$2=64,$H$2=128,$H$2=256),0,1)</f>
        <v>-1</v>
      </c>
      <c r="K10" s="35">
        <f t="shared" ref="K10" si="11">J10*$J$2</f>
        <v>-10</v>
      </c>
      <c r="L10" s="35"/>
      <c r="M10" s="37">
        <f t="shared" ref="M10" si="12">IF(I10&lt;&gt;"",K10+I10+L10,0)</f>
        <v>0</v>
      </c>
      <c r="N10" s="37">
        <f t="shared" ref="N10" si="13">IF(I10&lt;&gt;"",M10*L$2,0)</f>
        <v>0</v>
      </c>
      <c r="P10" s="175"/>
      <c r="Q10" s="164"/>
      <c r="R10" s="177"/>
      <c r="S10" s="178"/>
      <c r="AA10" s="45"/>
      <c r="AB10" s="45"/>
      <c r="AH10" s="46"/>
      <c r="AI10" s="18" t="s">
        <v>54</v>
      </c>
      <c r="AJ10" s="18">
        <f>AJ9-1</f>
        <v>22</v>
      </c>
    </row>
    <row r="11" spans="1:37" ht="14.45" customHeight="1" x14ac:dyDescent="0.25">
      <c r="A11" s="38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41">
        <v>6</v>
      </c>
      <c r="I11" s="42" t="str">
        <f t="shared" si="5"/>
        <v/>
      </c>
      <c r="J11" s="41">
        <f t="shared" si="6"/>
        <v>-1</v>
      </c>
      <c r="K11" s="41">
        <f t="shared" si="1"/>
        <v>-10</v>
      </c>
      <c r="L11" s="41"/>
      <c r="M11" s="43">
        <f t="shared" si="2"/>
        <v>0</v>
      </c>
      <c r="N11" s="43">
        <f t="shared" si="3"/>
        <v>0</v>
      </c>
      <c r="P11" s="175">
        <v>6</v>
      </c>
      <c r="Q11" s="176" t="s">
        <v>135</v>
      </c>
      <c r="R11" s="175">
        <v>0</v>
      </c>
      <c r="S11" s="176">
        <v>0</v>
      </c>
      <c r="W11" s="47"/>
      <c r="AA11" s="45"/>
      <c r="AB11" s="45"/>
      <c r="AH11" s="46"/>
      <c r="AI11" s="18" t="s">
        <v>53</v>
      </c>
      <c r="AJ11" s="18">
        <v>50</v>
      </c>
    </row>
    <row r="12" spans="1:37" ht="14.45" customHeight="1" x14ac:dyDescent="0.25">
      <c r="A12" s="32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35">
        <v>7</v>
      </c>
      <c r="I12" s="36" t="str">
        <f t="shared" si="5"/>
        <v/>
      </c>
      <c r="J12" s="35">
        <f t="shared" si="6"/>
        <v>-1</v>
      </c>
      <c r="K12" s="35">
        <f t="shared" si="1"/>
        <v>-10</v>
      </c>
      <c r="L12" s="35"/>
      <c r="M12" s="37">
        <f t="shared" si="2"/>
        <v>0</v>
      </c>
      <c r="N12" s="37">
        <f t="shared" si="3"/>
        <v>0</v>
      </c>
      <c r="P12" s="175"/>
      <c r="Q12" s="164"/>
      <c r="R12" s="177"/>
      <c r="S12" s="178"/>
      <c r="AA12" s="45"/>
      <c r="AB12" s="45"/>
      <c r="AH12" s="46"/>
      <c r="AI12" s="18" t="s">
        <v>54</v>
      </c>
      <c r="AJ12" s="18">
        <f>AJ11-1</f>
        <v>49</v>
      </c>
    </row>
    <row r="13" spans="1:37" ht="14.45" customHeight="1" x14ac:dyDescent="0.25">
      <c r="A13" s="48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41">
        <v>8</v>
      </c>
      <c r="I13" s="42" t="str">
        <f t="shared" si="5"/>
        <v/>
      </c>
      <c r="J13" s="41">
        <f t="shared" si="6"/>
        <v>-1</v>
      </c>
      <c r="K13" s="41">
        <f t="shared" si="1"/>
        <v>-10</v>
      </c>
      <c r="L13" s="41"/>
      <c r="M13" s="43">
        <f t="shared" si="2"/>
        <v>0</v>
      </c>
      <c r="N13" s="43">
        <f t="shared" si="3"/>
        <v>0</v>
      </c>
      <c r="Y13" s="44"/>
      <c r="AH13" s="46"/>
      <c r="AI13" s="18" t="s">
        <v>55</v>
      </c>
      <c r="AJ13" s="18">
        <f>LOG(AJ9)</f>
        <v>1.3617278360175928</v>
      </c>
    </row>
    <row r="14" spans="1:37" x14ac:dyDescent="0.25">
      <c r="A14" s="49">
        <f t="shared" si="4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5"/>
        <v/>
      </c>
      <c r="J14" s="35">
        <f t="shared" si="6"/>
        <v>-2</v>
      </c>
      <c r="K14" s="35">
        <f t="shared" si="1"/>
        <v>-20</v>
      </c>
      <c r="L14" s="35"/>
      <c r="M14" s="37">
        <f t="shared" si="2"/>
        <v>0</v>
      </c>
      <c r="N14" s="37">
        <f t="shared" si="3"/>
        <v>0</v>
      </c>
      <c r="Y14" s="50"/>
      <c r="AA14" s="45"/>
      <c r="AB14" s="45"/>
      <c r="AH14" s="46"/>
      <c r="AI14" s="18" t="s">
        <v>56</v>
      </c>
      <c r="AJ14" s="18">
        <f>LOG(AJ10)</f>
        <v>1.3424226808222062</v>
      </c>
    </row>
    <row r="15" spans="1:37" x14ac:dyDescent="0.25">
      <c r="A15" s="48">
        <f t="shared" si="4"/>
        <v>0</v>
      </c>
      <c r="B15" s="39" t="str">
        <f t="shared" ref="B15:B65" si="14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5"/>
        <v/>
      </c>
      <c r="J15" s="41">
        <f t="shared" si="6"/>
        <v>-2</v>
      </c>
      <c r="K15" s="41">
        <f t="shared" si="1"/>
        <v>-20</v>
      </c>
      <c r="L15" s="41"/>
      <c r="M15" s="43">
        <f t="shared" si="2"/>
        <v>0</v>
      </c>
      <c r="N15" s="43">
        <f t="shared" si="3"/>
        <v>0</v>
      </c>
      <c r="Y15" s="44"/>
      <c r="AA15" s="45"/>
      <c r="AB15" s="45"/>
    </row>
    <row r="16" spans="1:37" x14ac:dyDescent="0.25">
      <c r="A16" s="49">
        <f t="shared" si="4"/>
        <v>0</v>
      </c>
      <c r="B16" s="33" t="str">
        <f t="shared" si="14"/>
        <v/>
      </c>
      <c r="C16" s="34"/>
      <c r="D16" s="34"/>
      <c r="E16" s="34"/>
      <c r="F16" s="34"/>
      <c r="G16" s="27"/>
      <c r="H16" s="35">
        <v>11</v>
      </c>
      <c r="I16" s="36" t="str">
        <f t="shared" si="5"/>
        <v/>
      </c>
      <c r="J16" s="35">
        <f t="shared" si="6"/>
        <v>-2</v>
      </c>
      <c r="K16" s="35">
        <f t="shared" si="1"/>
        <v>-20</v>
      </c>
      <c r="L16" s="35"/>
      <c r="M16" s="37">
        <f t="shared" si="2"/>
        <v>0</v>
      </c>
      <c r="N16" s="37">
        <f t="shared" si="3"/>
        <v>0</v>
      </c>
      <c r="S16" s="51"/>
      <c r="AA16" s="45"/>
      <c r="AB16" s="45"/>
      <c r="AI16" s="52" t="s">
        <v>57</v>
      </c>
      <c r="AJ16" s="18">
        <f>AJ11-AJ12*AJ13/AJ14</f>
        <v>0.29533922654333367</v>
      </c>
      <c r="AK16" s="18" t="s">
        <v>58</v>
      </c>
    </row>
    <row r="17" spans="1:20" x14ac:dyDescent="0.25">
      <c r="A17" s="48">
        <f t="shared" si="4"/>
        <v>0</v>
      </c>
      <c r="B17" s="39" t="str">
        <f t="shared" si="14"/>
        <v/>
      </c>
      <c r="C17" s="40"/>
      <c r="D17" s="40"/>
      <c r="E17" s="40"/>
      <c r="F17" s="40"/>
      <c r="G17" s="27"/>
      <c r="H17" s="41">
        <v>12</v>
      </c>
      <c r="I17" s="42" t="str">
        <f t="shared" si="5"/>
        <v/>
      </c>
      <c r="J17" s="41">
        <f t="shared" si="6"/>
        <v>-2</v>
      </c>
      <c r="K17" s="41">
        <f t="shared" si="1"/>
        <v>-20</v>
      </c>
      <c r="L17" s="41"/>
      <c r="M17" s="43">
        <f t="shared" si="2"/>
        <v>0</v>
      </c>
      <c r="N17" s="43">
        <f t="shared" si="3"/>
        <v>0</v>
      </c>
    </row>
    <row r="18" spans="1:20" x14ac:dyDescent="0.25">
      <c r="A18" s="49">
        <f t="shared" si="4"/>
        <v>0</v>
      </c>
      <c r="B18" s="33" t="str">
        <f t="shared" si="14"/>
        <v/>
      </c>
      <c r="C18" s="34"/>
      <c r="D18" s="34"/>
      <c r="E18" s="34"/>
      <c r="F18" s="34"/>
      <c r="G18" s="27"/>
      <c r="H18" s="35">
        <v>13</v>
      </c>
      <c r="I18" s="36" t="str">
        <f t="shared" si="5"/>
        <v/>
      </c>
      <c r="J18" s="35">
        <f t="shared" si="6"/>
        <v>-2</v>
      </c>
      <c r="K18" s="35">
        <f t="shared" si="1"/>
        <v>-20</v>
      </c>
      <c r="L18" s="35"/>
      <c r="M18" s="37">
        <f t="shared" si="2"/>
        <v>0</v>
      </c>
      <c r="N18" s="37">
        <f t="shared" si="3"/>
        <v>0</v>
      </c>
    </row>
    <row r="19" spans="1:20" x14ac:dyDescent="0.25">
      <c r="A19" s="48">
        <f t="shared" si="4"/>
        <v>0</v>
      </c>
      <c r="B19" s="39" t="str">
        <f t="shared" si="14"/>
        <v/>
      </c>
      <c r="C19" s="40"/>
      <c r="D19" s="40"/>
      <c r="E19" s="40"/>
      <c r="F19" s="40"/>
      <c r="G19" s="27"/>
      <c r="H19" s="41">
        <v>14</v>
      </c>
      <c r="I19" s="42" t="str">
        <f t="shared" si="5"/>
        <v/>
      </c>
      <c r="J19" s="41">
        <f t="shared" si="6"/>
        <v>-2</v>
      </c>
      <c r="K19" s="41">
        <f t="shared" si="1"/>
        <v>-20</v>
      </c>
      <c r="L19" s="41"/>
      <c r="M19" s="43">
        <f t="shared" si="2"/>
        <v>0</v>
      </c>
      <c r="N19" s="43">
        <f t="shared" si="3"/>
        <v>0</v>
      </c>
    </row>
    <row r="20" spans="1:20" x14ac:dyDescent="0.25">
      <c r="A20" s="49">
        <f t="shared" si="4"/>
        <v>0</v>
      </c>
      <c r="B20" s="33" t="str">
        <f t="shared" si="14"/>
        <v/>
      </c>
      <c r="C20" s="34"/>
      <c r="D20" s="34"/>
      <c r="E20" s="34"/>
      <c r="F20" s="34"/>
      <c r="G20" s="27"/>
      <c r="H20" s="35">
        <v>15</v>
      </c>
      <c r="I20" s="36" t="str">
        <f t="shared" si="5"/>
        <v/>
      </c>
      <c r="J20" s="35">
        <f t="shared" si="6"/>
        <v>-2</v>
      </c>
      <c r="K20" s="35">
        <f t="shared" si="1"/>
        <v>-20</v>
      </c>
      <c r="L20" s="35"/>
      <c r="M20" s="37">
        <f t="shared" si="2"/>
        <v>0</v>
      </c>
      <c r="N20" s="37">
        <f t="shared" si="3"/>
        <v>0</v>
      </c>
      <c r="S20" s="53"/>
      <c r="T20" s="54"/>
    </row>
    <row r="21" spans="1:20" x14ac:dyDescent="0.25">
      <c r="A21" s="48">
        <f t="shared" si="4"/>
        <v>0</v>
      </c>
      <c r="B21" s="39" t="str">
        <f t="shared" si="14"/>
        <v/>
      </c>
      <c r="C21" s="40"/>
      <c r="D21" s="40"/>
      <c r="E21" s="40"/>
      <c r="F21" s="40"/>
      <c r="G21" s="27"/>
      <c r="H21" s="41">
        <v>16</v>
      </c>
      <c r="I21" s="42" t="str">
        <f t="shared" si="5"/>
        <v/>
      </c>
      <c r="J21" s="41">
        <f t="shared" si="6"/>
        <v>-2</v>
      </c>
      <c r="K21" s="41">
        <f t="shared" si="1"/>
        <v>-20</v>
      </c>
      <c r="L21" s="41"/>
      <c r="M21" s="43">
        <f t="shared" si="2"/>
        <v>0</v>
      </c>
      <c r="N21" s="43">
        <f t="shared" si="3"/>
        <v>0</v>
      </c>
    </row>
    <row r="22" spans="1:20" x14ac:dyDescent="0.25">
      <c r="A22" s="49">
        <f t="shared" si="4"/>
        <v>0</v>
      </c>
      <c r="B22" s="33" t="str">
        <f t="shared" si="14"/>
        <v/>
      </c>
      <c r="C22" s="34"/>
      <c r="D22" s="34"/>
      <c r="E22" s="34"/>
      <c r="F22" s="34"/>
      <c r="G22" s="27"/>
      <c r="H22" s="35">
        <v>17</v>
      </c>
      <c r="I22" s="36" t="str">
        <f t="shared" si="5"/>
        <v/>
      </c>
      <c r="J22" s="35">
        <f t="shared" si="6"/>
        <v>-3</v>
      </c>
      <c r="K22" s="35">
        <f t="shared" si="1"/>
        <v>-30</v>
      </c>
      <c r="L22" s="35"/>
      <c r="M22" s="37">
        <f t="shared" si="2"/>
        <v>0</v>
      </c>
      <c r="N22" s="37">
        <f t="shared" si="3"/>
        <v>0</v>
      </c>
    </row>
    <row r="23" spans="1:20" x14ac:dyDescent="0.25">
      <c r="A23" s="48">
        <f t="shared" si="4"/>
        <v>0</v>
      </c>
      <c r="B23" s="39" t="str">
        <f t="shared" si="14"/>
        <v/>
      </c>
      <c r="C23" s="40"/>
      <c r="D23" s="40"/>
      <c r="E23" s="40"/>
      <c r="F23" s="40"/>
      <c r="G23" s="27"/>
      <c r="H23" s="41">
        <v>18</v>
      </c>
      <c r="I23" s="42" t="str">
        <f t="shared" si="5"/>
        <v/>
      </c>
      <c r="J23" s="41">
        <f t="shared" si="6"/>
        <v>-3</v>
      </c>
      <c r="K23" s="41">
        <f t="shared" si="1"/>
        <v>-30</v>
      </c>
      <c r="L23" s="41"/>
      <c r="M23" s="43">
        <f t="shared" si="2"/>
        <v>0</v>
      </c>
      <c r="N23" s="43">
        <f t="shared" si="3"/>
        <v>0</v>
      </c>
    </row>
    <row r="24" spans="1:20" x14ac:dyDescent="0.25">
      <c r="A24" s="49">
        <f t="shared" si="4"/>
        <v>0</v>
      </c>
      <c r="B24" s="33" t="str">
        <f t="shared" si="14"/>
        <v/>
      </c>
      <c r="C24" s="34"/>
      <c r="D24" s="34"/>
      <c r="E24" s="34"/>
      <c r="F24" s="34"/>
      <c r="G24" s="27"/>
      <c r="H24" s="35">
        <v>19</v>
      </c>
      <c r="I24" s="36" t="str">
        <f t="shared" si="5"/>
        <v/>
      </c>
      <c r="J24" s="35">
        <f t="shared" si="6"/>
        <v>-3</v>
      </c>
      <c r="K24" s="35">
        <f t="shared" si="1"/>
        <v>-30</v>
      </c>
      <c r="L24" s="35"/>
      <c r="M24" s="37">
        <f t="shared" si="2"/>
        <v>0</v>
      </c>
      <c r="N24" s="37">
        <f t="shared" si="3"/>
        <v>0</v>
      </c>
      <c r="S24" s="53"/>
      <c r="T24" s="54"/>
    </row>
    <row r="25" spans="1:20" x14ac:dyDescent="0.25">
      <c r="A25" s="48">
        <f t="shared" si="4"/>
        <v>0</v>
      </c>
      <c r="B25" s="39" t="str">
        <f t="shared" si="14"/>
        <v/>
      </c>
      <c r="C25" s="40"/>
      <c r="D25" s="40"/>
      <c r="E25" s="40"/>
      <c r="F25" s="40"/>
      <c r="G25" s="27"/>
      <c r="H25" s="41">
        <v>20</v>
      </c>
      <c r="I25" s="42" t="str">
        <f t="shared" si="5"/>
        <v/>
      </c>
      <c r="J25" s="41">
        <f t="shared" si="6"/>
        <v>-3</v>
      </c>
      <c r="K25" s="41">
        <f t="shared" si="1"/>
        <v>-30</v>
      </c>
      <c r="L25" s="41"/>
      <c r="M25" s="43">
        <f t="shared" si="2"/>
        <v>0</v>
      </c>
      <c r="N25" s="43">
        <f t="shared" si="3"/>
        <v>0</v>
      </c>
    </row>
    <row r="26" spans="1:20" x14ac:dyDescent="0.25">
      <c r="A26" s="49">
        <f t="shared" si="4"/>
        <v>0</v>
      </c>
      <c r="B26" s="33" t="str">
        <f t="shared" si="14"/>
        <v/>
      </c>
      <c r="C26" s="34"/>
      <c r="D26" s="34"/>
      <c r="E26" s="34"/>
      <c r="F26" s="34"/>
      <c r="G26" s="27"/>
      <c r="H26" s="35">
        <v>21</v>
      </c>
      <c r="I26" s="36" t="str">
        <f t="shared" si="5"/>
        <v/>
      </c>
      <c r="J26" s="35">
        <f t="shared" si="6"/>
        <v>-3</v>
      </c>
      <c r="K26" s="35">
        <f t="shared" si="1"/>
        <v>-30</v>
      </c>
      <c r="L26" s="35"/>
      <c r="M26" s="37">
        <f t="shared" si="2"/>
        <v>0</v>
      </c>
      <c r="N26" s="37">
        <f t="shared" si="3"/>
        <v>0</v>
      </c>
    </row>
    <row r="27" spans="1:20" x14ac:dyDescent="0.25">
      <c r="A27" s="48">
        <f t="shared" si="4"/>
        <v>0</v>
      </c>
      <c r="B27" s="39" t="str">
        <f t="shared" si="14"/>
        <v/>
      </c>
      <c r="C27" s="40"/>
      <c r="D27" s="40"/>
      <c r="E27" s="40"/>
      <c r="F27" s="40"/>
      <c r="G27" s="27"/>
      <c r="H27" s="41">
        <v>22</v>
      </c>
      <c r="I27" s="42" t="str">
        <f t="shared" si="5"/>
        <v/>
      </c>
      <c r="J27" s="41">
        <f t="shared" si="6"/>
        <v>-3</v>
      </c>
      <c r="K27" s="41">
        <f t="shared" si="1"/>
        <v>-30</v>
      </c>
      <c r="L27" s="41"/>
      <c r="M27" s="43">
        <f t="shared" si="2"/>
        <v>0</v>
      </c>
      <c r="N27" s="43">
        <f t="shared" si="3"/>
        <v>0</v>
      </c>
    </row>
    <row r="28" spans="1:20" x14ac:dyDescent="0.25">
      <c r="A28" s="49">
        <f t="shared" si="4"/>
        <v>0</v>
      </c>
      <c r="B28" s="33" t="str">
        <f t="shared" si="14"/>
        <v/>
      </c>
      <c r="C28" s="34"/>
      <c r="D28" s="34"/>
      <c r="E28" s="34"/>
      <c r="F28" s="34"/>
      <c r="G28" s="27"/>
      <c r="H28" s="35">
        <v>23</v>
      </c>
      <c r="I28" s="36" t="str">
        <f t="shared" si="5"/>
        <v/>
      </c>
      <c r="J28" s="35">
        <f t="shared" si="6"/>
        <v>-3</v>
      </c>
      <c r="K28" s="35">
        <f t="shared" si="1"/>
        <v>-30</v>
      </c>
      <c r="L28" s="35"/>
      <c r="M28" s="37">
        <f t="shared" si="2"/>
        <v>0</v>
      </c>
      <c r="N28" s="37">
        <f t="shared" si="3"/>
        <v>0</v>
      </c>
      <c r="S28" s="53"/>
      <c r="T28" s="54"/>
    </row>
    <row r="29" spans="1:20" x14ac:dyDescent="0.25">
      <c r="A29" s="48">
        <f t="shared" si="4"/>
        <v>0</v>
      </c>
      <c r="B29" s="39" t="str">
        <f t="shared" si="14"/>
        <v/>
      </c>
      <c r="C29" s="40"/>
      <c r="D29" s="40"/>
      <c r="E29" s="40"/>
      <c r="F29" s="40"/>
      <c r="G29" s="13"/>
      <c r="H29" s="41">
        <v>24</v>
      </c>
      <c r="I29" s="42" t="str">
        <f t="shared" si="5"/>
        <v/>
      </c>
      <c r="J29" s="41">
        <f t="shared" si="6"/>
        <v>-3</v>
      </c>
      <c r="K29" s="41">
        <f t="shared" si="1"/>
        <v>-30</v>
      </c>
      <c r="L29" s="41"/>
      <c r="M29" s="43">
        <f t="shared" si="2"/>
        <v>0</v>
      </c>
      <c r="N29" s="43">
        <f t="shared" si="3"/>
        <v>0</v>
      </c>
    </row>
    <row r="30" spans="1:20" x14ac:dyDescent="0.25">
      <c r="A30" s="49">
        <f t="shared" si="4"/>
        <v>0</v>
      </c>
      <c r="B30" s="33" t="str">
        <f t="shared" si="14"/>
        <v/>
      </c>
      <c r="C30" s="34"/>
      <c r="D30" s="34"/>
      <c r="E30" s="34"/>
      <c r="F30" s="34"/>
      <c r="G30" s="13"/>
      <c r="H30" s="35">
        <v>25</v>
      </c>
      <c r="I30" s="36" t="str">
        <f t="shared" si="5"/>
        <v/>
      </c>
      <c r="J30" s="35">
        <f t="shared" si="6"/>
        <v>-3</v>
      </c>
      <c r="K30" s="35">
        <f t="shared" si="1"/>
        <v>-30</v>
      </c>
      <c r="L30" s="35"/>
      <c r="M30" s="37">
        <f t="shared" si="2"/>
        <v>0</v>
      </c>
      <c r="N30" s="37">
        <f t="shared" si="3"/>
        <v>0</v>
      </c>
    </row>
    <row r="31" spans="1:20" x14ac:dyDescent="0.25">
      <c r="A31" s="48">
        <f t="shared" si="4"/>
        <v>0</v>
      </c>
      <c r="B31" s="39" t="str">
        <f t="shared" si="14"/>
        <v/>
      </c>
      <c r="C31" s="40"/>
      <c r="D31" s="40"/>
      <c r="E31" s="40"/>
      <c r="F31" s="40"/>
      <c r="G31" s="13"/>
      <c r="H31" s="41">
        <v>26</v>
      </c>
      <c r="I31" s="42" t="str">
        <f t="shared" si="5"/>
        <v/>
      </c>
      <c r="J31" s="41">
        <f t="shared" si="6"/>
        <v>-3</v>
      </c>
      <c r="K31" s="41">
        <f t="shared" si="1"/>
        <v>-30</v>
      </c>
      <c r="L31" s="41"/>
      <c r="M31" s="43">
        <f t="shared" si="2"/>
        <v>0</v>
      </c>
      <c r="N31" s="43">
        <f t="shared" si="3"/>
        <v>0</v>
      </c>
    </row>
    <row r="32" spans="1:20" x14ac:dyDescent="0.25">
      <c r="A32" s="49">
        <f t="shared" si="4"/>
        <v>0</v>
      </c>
      <c r="B32" s="33" t="str">
        <f t="shared" si="14"/>
        <v/>
      </c>
      <c r="C32" s="34"/>
      <c r="D32" s="34"/>
      <c r="E32" s="34"/>
      <c r="F32" s="34"/>
      <c r="G32" s="13"/>
      <c r="H32" s="35">
        <v>27</v>
      </c>
      <c r="I32" s="36" t="str">
        <f t="shared" si="5"/>
        <v/>
      </c>
      <c r="J32" s="35">
        <f t="shared" si="6"/>
        <v>-3</v>
      </c>
      <c r="K32" s="35">
        <f t="shared" si="1"/>
        <v>-30</v>
      </c>
      <c r="L32" s="35"/>
      <c r="M32" s="37">
        <f t="shared" si="2"/>
        <v>0</v>
      </c>
      <c r="N32" s="37">
        <f t="shared" si="3"/>
        <v>0</v>
      </c>
      <c r="S32" s="53"/>
      <c r="T32" s="54"/>
    </row>
    <row r="33" spans="1:22" x14ac:dyDescent="0.25">
      <c r="A33" s="48">
        <f t="shared" si="4"/>
        <v>0</v>
      </c>
      <c r="B33" s="39" t="str">
        <f t="shared" si="14"/>
        <v/>
      </c>
      <c r="C33" s="40"/>
      <c r="D33" s="40"/>
      <c r="E33" s="40"/>
      <c r="F33" s="40"/>
      <c r="G33" s="13"/>
      <c r="H33" s="41">
        <v>28</v>
      </c>
      <c r="I33" s="42" t="str">
        <f t="shared" si="5"/>
        <v/>
      </c>
      <c r="J33" s="41">
        <f t="shared" si="6"/>
        <v>-3</v>
      </c>
      <c r="K33" s="41">
        <f t="shared" si="1"/>
        <v>-30</v>
      </c>
      <c r="L33" s="41"/>
      <c r="M33" s="43">
        <f t="shared" si="2"/>
        <v>0</v>
      </c>
      <c r="N33" s="43">
        <f t="shared" si="3"/>
        <v>0</v>
      </c>
    </row>
    <row r="34" spans="1:22" x14ac:dyDescent="0.25">
      <c r="A34" s="49">
        <f t="shared" si="4"/>
        <v>0</v>
      </c>
      <c r="B34" s="33" t="str">
        <f t="shared" si="14"/>
        <v/>
      </c>
      <c r="C34" s="34"/>
      <c r="D34" s="34"/>
      <c r="E34" s="34"/>
      <c r="F34" s="34"/>
      <c r="G34" s="13"/>
      <c r="H34" s="35">
        <v>29</v>
      </c>
      <c r="I34" s="36" t="str">
        <f t="shared" si="5"/>
        <v/>
      </c>
      <c r="J34" s="35">
        <f t="shared" si="6"/>
        <v>-3</v>
      </c>
      <c r="K34" s="35">
        <f t="shared" si="1"/>
        <v>-30</v>
      </c>
      <c r="L34" s="35"/>
      <c r="M34" s="37">
        <f t="shared" si="2"/>
        <v>0</v>
      </c>
      <c r="N34" s="37">
        <f t="shared" si="3"/>
        <v>0</v>
      </c>
    </row>
    <row r="35" spans="1:22" x14ac:dyDescent="0.25">
      <c r="A35" s="48">
        <f t="shared" si="4"/>
        <v>0</v>
      </c>
      <c r="B35" s="39" t="str">
        <f t="shared" si="14"/>
        <v/>
      </c>
      <c r="C35" s="40"/>
      <c r="D35" s="40"/>
      <c r="E35" s="40"/>
      <c r="F35" s="40"/>
      <c r="G35" s="13"/>
      <c r="H35" s="41">
        <v>30</v>
      </c>
      <c r="I35" s="42" t="str">
        <f t="shared" si="5"/>
        <v/>
      </c>
      <c r="J35" s="41">
        <f t="shared" si="6"/>
        <v>-3</v>
      </c>
      <c r="K35" s="41">
        <f t="shared" si="1"/>
        <v>-30</v>
      </c>
      <c r="L35" s="41"/>
      <c r="M35" s="43">
        <f t="shared" si="2"/>
        <v>0</v>
      </c>
      <c r="N35" s="43">
        <f t="shared" si="3"/>
        <v>0</v>
      </c>
    </row>
    <row r="36" spans="1:22" x14ac:dyDescent="0.25">
      <c r="A36" s="49">
        <f t="shared" si="4"/>
        <v>0</v>
      </c>
      <c r="B36" s="33" t="str">
        <f t="shared" si="14"/>
        <v/>
      </c>
      <c r="C36" s="34"/>
      <c r="D36" s="34"/>
      <c r="E36" s="34"/>
      <c r="F36" s="34"/>
      <c r="G36" s="13"/>
      <c r="H36" s="35">
        <v>31</v>
      </c>
      <c r="I36" s="36" t="str">
        <f t="shared" si="5"/>
        <v/>
      </c>
      <c r="J36" s="35">
        <f t="shared" si="6"/>
        <v>-3</v>
      </c>
      <c r="K36" s="35">
        <f t="shared" si="1"/>
        <v>-30</v>
      </c>
      <c r="L36" s="35"/>
      <c r="M36" s="37">
        <f t="shared" si="2"/>
        <v>0</v>
      </c>
      <c r="N36" s="37">
        <f t="shared" si="3"/>
        <v>0</v>
      </c>
      <c r="S36" s="53"/>
      <c r="T36" s="54"/>
    </row>
    <row r="37" spans="1:22" x14ac:dyDescent="0.25">
      <c r="A37" s="48">
        <f t="shared" si="4"/>
        <v>0</v>
      </c>
      <c r="B37" s="39" t="str">
        <f t="shared" si="14"/>
        <v/>
      </c>
      <c r="C37" s="40"/>
      <c r="D37" s="40"/>
      <c r="E37" s="40"/>
      <c r="F37" s="40"/>
      <c r="G37" s="13"/>
      <c r="H37" s="41">
        <v>32</v>
      </c>
      <c r="I37" s="42" t="str">
        <f t="shared" si="5"/>
        <v/>
      </c>
      <c r="J37" s="41">
        <f t="shared" si="6"/>
        <v>-3</v>
      </c>
      <c r="K37" s="41">
        <f t="shared" si="1"/>
        <v>-30</v>
      </c>
      <c r="L37" s="41"/>
      <c r="M37" s="43">
        <f t="shared" si="2"/>
        <v>0</v>
      </c>
      <c r="N37" s="43">
        <f t="shared" si="3"/>
        <v>0</v>
      </c>
    </row>
    <row r="38" spans="1:22" x14ac:dyDescent="0.25">
      <c r="A38" s="49">
        <f t="shared" si="4"/>
        <v>0</v>
      </c>
      <c r="B38" s="33" t="str">
        <f t="shared" si="14"/>
        <v/>
      </c>
      <c r="C38" s="34"/>
      <c r="D38" s="34"/>
      <c r="E38" s="34"/>
      <c r="F38" s="34"/>
      <c r="G38" s="13"/>
      <c r="H38" s="35">
        <v>33</v>
      </c>
      <c r="I38" s="36" t="str">
        <f t="shared" si="5"/>
        <v/>
      </c>
      <c r="J38" s="35">
        <f t="shared" si="6"/>
        <v>-4</v>
      </c>
      <c r="K38" s="35">
        <f t="shared" si="1"/>
        <v>-40</v>
      </c>
      <c r="L38" s="35"/>
      <c r="M38" s="37">
        <f t="shared" si="2"/>
        <v>0</v>
      </c>
      <c r="N38" s="37">
        <f t="shared" si="3"/>
        <v>0</v>
      </c>
    </row>
    <row r="39" spans="1:22" x14ac:dyDescent="0.25">
      <c r="A39" s="48">
        <f t="shared" si="4"/>
        <v>0</v>
      </c>
      <c r="B39" s="39" t="str">
        <f t="shared" si="14"/>
        <v/>
      </c>
      <c r="C39" s="40"/>
      <c r="D39" s="40"/>
      <c r="E39" s="40"/>
      <c r="F39" s="40"/>
      <c r="G39" s="13"/>
      <c r="H39" s="41">
        <v>34</v>
      </c>
      <c r="I39" s="42" t="str">
        <f t="shared" si="5"/>
        <v/>
      </c>
      <c r="J39" s="41">
        <f t="shared" si="6"/>
        <v>-4</v>
      </c>
      <c r="K39" s="41">
        <f t="shared" si="1"/>
        <v>-40</v>
      </c>
      <c r="L39" s="41"/>
      <c r="M39" s="43">
        <f t="shared" si="2"/>
        <v>0</v>
      </c>
      <c r="N39" s="43">
        <f t="shared" si="3"/>
        <v>0</v>
      </c>
    </row>
    <row r="40" spans="1:22" x14ac:dyDescent="0.25">
      <c r="A40" s="49">
        <f t="shared" si="4"/>
        <v>0</v>
      </c>
      <c r="B40" s="33" t="str">
        <f t="shared" si="14"/>
        <v/>
      </c>
      <c r="C40" s="34"/>
      <c r="D40" s="34"/>
      <c r="E40" s="34"/>
      <c r="F40" s="34"/>
      <c r="G40" s="13"/>
      <c r="H40" s="35">
        <v>35</v>
      </c>
      <c r="I40" s="36" t="str">
        <f t="shared" si="5"/>
        <v/>
      </c>
      <c r="J40" s="35">
        <f t="shared" si="6"/>
        <v>-4</v>
      </c>
      <c r="K40" s="35">
        <f t="shared" si="1"/>
        <v>-40</v>
      </c>
      <c r="L40" s="35"/>
      <c r="M40" s="37">
        <f t="shared" si="2"/>
        <v>0</v>
      </c>
      <c r="N40" s="37">
        <f t="shared" si="3"/>
        <v>0</v>
      </c>
    </row>
    <row r="41" spans="1:22" x14ac:dyDescent="0.25">
      <c r="A41" s="48">
        <f t="shared" si="4"/>
        <v>0</v>
      </c>
      <c r="B41" s="39" t="str">
        <f t="shared" si="14"/>
        <v/>
      </c>
      <c r="C41" s="40"/>
      <c r="D41" s="40"/>
      <c r="E41" s="40"/>
      <c r="F41" s="40"/>
      <c r="G41" s="13"/>
      <c r="H41" s="41">
        <v>36</v>
      </c>
      <c r="I41" s="42" t="str">
        <f t="shared" si="5"/>
        <v/>
      </c>
      <c r="J41" s="41">
        <f t="shared" si="6"/>
        <v>-4</v>
      </c>
      <c r="K41" s="41">
        <f t="shared" si="1"/>
        <v>-40</v>
      </c>
      <c r="L41" s="41"/>
      <c r="M41" s="43">
        <f t="shared" si="2"/>
        <v>0</v>
      </c>
      <c r="N41" s="43">
        <f t="shared" si="3"/>
        <v>0</v>
      </c>
      <c r="T41" s="55"/>
    </row>
    <row r="42" spans="1:22" x14ac:dyDescent="0.25">
      <c r="A42" s="49">
        <f t="shared" si="4"/>
        <v>0</v>
      </c>
      <c r="B42" s="33" t="str">
        <f t="shared" si="14"/>
        <v/>
      </c>
      <c r="C42" s="34"/>
      <c r="D42" s="34"/>
      <c r="E42" s="34"/>
      <c r="F42" s="34"/>
      <c r="G42" s="13"/>
      <c r="H42" s="35">
        <v>37</v>
      </c>
      <c r="I42" s="36" t="str">
        <f t="shared" si="5"/>
        <v/>
      </c>
      <c r="J42" s="35">
        <f t="shared" si="6"/>
        <v>-4</v>
      </c>
      <c r="K42" s="35">
        <f t="shared" si="1"/>
        <v>-40</v>
      </c>
      <c r="L42" s="35"/>
      <c r="M42" s="37">
        <f t="shared" si="2"/>
        <v>0</v>
      </c>
      <c r="N42" s="37">
        <f t="shared" si="3"/>
        <v>0</v>
      </c>
    </row>
    <row r="43" spans="1:22" x14ac:dyDescent="0.25">
      <c r="A43" s="48">
        <f t="shared" si="4"/>
        <v>0</v>
      </c>
      <c r="B43" s="39" t="str">
        <f t="shared" si="14"/>
        <v/>
      </c>
      <c r="C43" s="40"/>
      <c r="D43" s="40"/>
      <c r="E43" s="40"/>
      <c r="F43" s="40"/>
      <c r="G43" s="13"/>
      <c r="H43" s="41">
        <v>38</v>
      </c>
      <c r="I43" s="42" t="str">
        <f t="shared" si="5"/>
        <v/>
      </c>
      <c r="J43" s="41">
        <f t="shared" si="6"/>
        <v>-4</v>
      </c>
      <c r="K43" s="41">
        <f t="shared" si="1"/>
        <v>-40</v>
      </c>
      <c r="L43" s="41"/>
      <c r="M43" s="43">
        <f t="shared" si="2"/>
        <v>0</v>
      </c>
      <c r="N43" s="43">
        <f t="shared" si="3"/>
        <v>0</v>
      </c>
    </row>
    <row r="44" spans="1:22" x14ac:dyDescent="0.25">
      <c r="A44" s="49">
        <f t="shared" si="4"/>
        <v>0</v>
      </c>
      <c r="B44" s="33" t="str">
        <f t="shared" si="14"/>
        <v/>
      </c>
      <c r="C44" s="34"/>
      <c r="D44" s="34"/>
      <c r="E44" s="34"/>
      <c r="F44" s="34"/>
      <c r="G44" s="13"/>
      <c r="H44" s="35">
        <v>39</v>
      </c>
      <c r="I44" s="36" t="str">
        <f t="shared" si="5"/>
        <v/>
      </c>
      <c r="J44" s="35">
        <f t="shared" si="6"/>
        <v>-4</v>
      </c>
      <c r="K44" s="35">
        <f t="shared" si="1"/>
        <v>-40</v>
      </c>
      <c r="L44" s="35"/>
      <c r="M44" s="37">
        <f t="shared" si="2"/>
        <v>0</v>
      </c>
      <c r="N44" s="37">
        <f t="shared" si="3"/>
        <v>0</v>
      </c>
    </row>
    <row r="45" spans="1:22" x14ac:dyDescent="0.25">
      <c r="A45" s="48">
        <f t="shared" si="4"/>
        <v>0</v>
      </c>
      <c r="B45" s="39" t="str">
        <f t="shared" si="14"/>
        <v/>
      </c>
      <c r="C45" s="40"/>
      <c r="D45" s="40"/>
      <c r="E45" s="40"/>
      <c r="F45" s="40"/>
      <c r="G45" s="13"/>
      <c r="H45" s="41">
        <v>40</v>
      </c>
      <c r="I45" s="42" t="str">
        <f t="shared" si="5"/>
        <v/>
      </c>
      <c r="J45" s="41">
        <f t="shared" si="6"/>
        <v>-4</v>
      </c>
      <c r="K45" s="41">
        <f t="shared" si="1"/>
        <v>-40</v>
      </c>
      <c r="L45" s="41"/>
      <c r="M45" s="43">
        <f t="shared" si="2"/>
        <v>0</v>
      </c>
      <c r="N45" s="43">
        <f t="shared" si="3"/>
        <v>0</v>
      </c>
    </row>
    <row r="46" spans="1:22" x14ac:dyDescent="0.25">
      <c r="A46" s="49">
        <f t="shared" si="4"/>
        <v>0</v>
      </c>
      <c r="B46" s="33" t="str">
        <f t="shared" si="14"/>
        <v/>
      </c>
      <c r="C46" s="34"/>
      <c r="D46" s="34"/>
      <c r="E46" s="34"/>
      <c r="F46" s="34"/>
      <c r="G46" s="13"/>
      <c r="H46" s="35">
        <v>41</v>
      </c>
      <c r="I46" s="36" t="str">
        <f t="shared" si="5"/>
        <v/>
      </c>
      <c r="J46" s="35">
        <f t="shared" si="6"/>
        <v>-4</v>
      </c>
      <c r="K46" s="35">
        <f t="shared" si="1"/>
        <v>-40</v>
      </c>
      <c r="L46" s="35"/>
      <c r="M46" s="37">
        <f t="shared" si="2"/>
        <v>0</v>
      </c>
      <c r="N46" s="37">
        <f t="shared" si="3"/>
        <v>0</v>
      </c>
      <c r="S46" s="13">
        <f>LOG($H$2,2)</f>
        <v>1.5849625007211563</v>
      </c>
      <c r="U46" s="18">
        <f>LOG(H38,2)</f>
        <v>5.0443941193584534</v>
      </c>
      <c r="V46" s="18">
        <f>S46-U46</f>
        <v>-3.4594316186372973</v>
      </c>
    </row>
    <row r="47" spans="1:22" x14ac:dyDescent="0.25">
      <c r="A47" s="48">
        <f t="shared" si="4"/>
        <v>0</v>
      </c>
      <c r="B47" s="39" t="str">
        <f t="shared" si="14"/>
        <v/>
      </c>
      <c r="C47" s="40"/>
      <c r="D47" s="40"/>
      <c r="E47" s="40"/>
      <c r="F47" s="40"/>
      <c r="G47" s="13"/>
      <c r="H47" s="41">
        <v>42</v>
      </c>
      <c r="I47" s="42" t="str">
        <f t="shared" si="5"/>
        <v/>
      </c>
      <c r="J47" s="41">
        <f t="shared" si="6"/>
        <v>-4</v>
      </c>
      <c r="K47" s="41">
        <f t="shared" si="1"/>
        <v>-40</v>
      </c>
      <c r="L47" s="41"/>
      <c r="M47" s="43">
        <f t="shared" si="2"/>
        <v>0</v>
      </c>
      <c r="N47" s="43">
        <f t="shared" si="3"/>
        <v>0</v>
      </c>
    </row>
    <row r="48" spans="1:22" x14ac:dyDescent="0.25">
      <c r="A48" s="49">
        <f t="shared" si="4"/>
        <v>0</v>
      </c>
      <c r="B48" s="33" t="str">
        <f t="shared" si="14"/>
        <v/>
      </c>
      <c r="C48" s="34"/>
      <c r="D48" s="34"/>
      <c r="E48" s="34"/>
      <c r="F48" s="34"/>
      <c r="G48" s="13"/>
      <c r="H48" s="35">
        <v>43</v>
      </c>
      <c r="I48" s="36" t="str">
        <f t="shared" si="5"/>
        <v/>
      </c>
      <c r="J48" s="35">
        <f t="shared" si="6"/>
        <v>-4</v>
      </c>
      <c r="K48" s="35">
        <f t="shared" si="1"/>
        <v>-40</v>
      </c>
      <c r="L48" s="35"/>
      <c r="M48" s="37">
        <f t="shared" si="2"/>
        <v>0</v>
      </c>
      <c r="N48" s="37">
        <f t="shared" si="3"/>
        <v>0</v>
      </c>
    </row>
    <row r="49" spans="1:14" x14ac:dyDescent="0.25">
      <c r="A49" s="48">
        <f t="shared" si="4"/>
        <v>0</v>
      </c>
      <c r="B49" s="39" t="str">
        <f t="shared" si="14"/>
        <v/>
      </c>
      <c r="C49" s="40"/>
      <c r="D49" s="40"/>
      <c r="E49" s="40"/>
      <c r="F49" s="40"/>
      <c r="G49" s="13"/>
      <c r="H49" s="41">
        <v>44</v>
      </c>
      <c r="I49" s="42" t="str">
        <f t="shared" si="5"/>
        <v/>
      </c>
      <c r="J49" s="41">
        <f t="shared" si="6"/>
        <v>-4</v>
      </c>
      <c r="K49" s="41">
        <f t="shared" si="1"/>
        <v>-40</v>
      </c>
      <c r="L49" s="41"/>
      <c r="M49" s="43">
        <f t="shared" si="2"/>
        <v>0</v>
      </c>
      <c r="N49" s="43">
        <f t="shared" si="3"/>
        <v>0</v>
      </c>
    </row>
    <row r="50" spans="1:14" x14ac:dyDescent="0.25">
      <c r="A50" s="49">
        <f t="shared" si="4"/>
        <v>0</v>
      </c>
      <c r="B50" s="33" t="str">
        <f t="shared" si="14"/>
        <v/>
      </c>
      <c r="C50" s="34"/>
      <c r="D50" s="34"/>
      <c r="E50" s="34"/>
      <c r="F50" s="34"/>
      <c r="G50" s="13"/>
      <c r="H50" s="35">
        <v>45</v>
      </c>
      <c r="I50" s="36" t="str">
        <f t="shared" si="5"/>
        <v/>
      </c>
      <c r="J50" s="35">
        <f t="shared" si="6"/>
        <v>-4</v>
      </c>
      <c r="K50" s="35">
        <f t="shared" si="1"/>
        <v>-40</v>
      </c>
      <c r="L50" s="35"/>
      <c r="M50" s="37">
        <f t="shared" si="2"/>
        <v>0</v>
      </c>
      <c r="N50" s="37">
        <f t="shared" si="3"/>
        <v>0</v>
      </c>
    </row>
    <row r="51" spans="1:14" x14ac:dyDescent="0.25">
      <c r="A51" s="48">
        <f t="shared" si="4"/>
        <v>0</v>
      </c>
      <c r="B51" s="39" t="str">
        <f t="shared" si="14"/>
        <v/>
      </c>
      <c r="C51" s="40"/>
      <c r="D51" s="40"/>
      <c r="E51" s="40"/>
      <c r="F51" s="40"/>
      <c r="G51" s="13"/>
      <c r="H51" s="41">
        <v>46</v>
      </c>
      <c r="I51" s="42" t="str">
        <f t="shared" si="5"/>
        <v/>
      </c>
      <c r="J51" s="41">
        <f t="shared" si="6"/>
        <v>-4</v>
      </c>
      <c r="K51" s="41">
        <f t="shared" si="1"/>
        <v>-40</v>
      </c>
      <c r="L51" s="41"/>
      <c r="M51" s="43">
        <f t="shared" si="2"/>
        <v>0</v>
      </c>
      <c r="N51" s="43">
        <f t="shared" si="3"/>
        <v>0</v>
      </c>
    </row>
    <row r="52" spans="1:14" x14ac:dyDescent="0.25">
      <c r="A52" s="49">
        <f t="shared" si="4"/>
        <v>0</v>
      </c>
      <c r="B52" s="33" t="str">
        <f t="shared" si="14"/>
        <v/>
      </c>
      <c r="C52" s="34"/>
      <c r="D52" s="34"/>
      <c r="E52" s="34"/>
      <c r="F52" s="34"/>
      <c r="G52" s="13"/>
      <c r="H52" s="35">
        <v>47</v>
      </c>
      <c r="I52" s="36" t="str">
        <f t="shared" si="5"/>
        <v/>
      </c>
      <c r="J52" s="35">
        <f t="shared" si="6"/>
        <v>-4</v>
      </c>
      <c r="K52" s="35">
        <f t="shared" si="1"/>
        <v>-40</v>
      </c>
      <c r="L52" s="35"/>
      <c r="M52" s="37">
        <f t="shared" si="2"/>
        <v>0</v>
      </c>
      <c r="N52" s="37">
        <f t="shared" si="3"/>
        <v>0</v>
      </c>
    </row>
    <row r="53" spans="1:14" x14ac:dyDescent="0.25">
      <c r="A53" s="48">
        <f t="shared" si="4"/>
        <v>0</v>
      </c>
      <c r="B53" s="39" t="str">
        <f t="shared" si="14"/>
        <v/>
      </c>
      <c r="C53" s="40"/>
      <c r="D53" s="40"/>
      <c r="E53" s="40"/>
      <c r="F53" s="40"/>
      <c r="G53" s="13"/>
      <c r="H53" s="41">
        <v>48</v>
      </c>
      <c r="I53" s="42" t="str">
        <f t="shared" si="5"/>
        <v/>
      </c>
      <c r="J53" s="41">
        <f t="shared" si="6"/>
        <v>-4</v>
      </c>
      <c r="K53" s="41">
        <f t="shared" si="1"/>
        <v>-40</v>
      </c>
      <c r="L53" s="41"/>
      <c r="M53" s="43">
        <f t="shared" si="2"/>
        <v>0</v>
      </c>
      <c r="N53" s="43">
        <f t="shared" si="3"/>
        <v>0</v>
      </c>
    </row>
    <row r="54" spans="1:14" x14ac:dyDescent="0.25">
      <c r="A54" s="49">
        <f t="shared" si="4"/>
        <v>0</v>
      </c>
      <c r="B54" s="33" t="str">
        <f t="shared" si="14"/>
        <v/>
      </c>
      <c r="C54" s="34"/>
      <c r="D54" s="34"/>
      <c r="E54" s="34"/>
      <c r="F54" s="34"/>
      <c r="G54" s="13"/>
      <c r="H54" s="35">
        <v>49</v>
      </c>
      <c r="I54" s="36" t="str">
        <f t="shared" si="5"/>
        <v/>
      </c>
      <c r="J54" s="35">
        <f t="shared" si="6"/>
        <v>-4</v>
      </c>
      <c r="K54" s="35">
        <f t="shared" si="1"/>
        <v>-40</v>
      </c>
      <c r="L54" s="35"/>
      <c r="M54" s="37">
        <f t="shared" si="2"/>
        <v>0</v>
      </c>
      <c r="N54" s="37">
        <f t="shared" si="3"/>
        <v>0</v>
      </c>
    </row>
    <row r="55" spans="1:14" x14ac:dyDescent="0.25">
      <c r="A55" s="48">
        <f t="shared" si="4"/>
        <v>0</v>
      </c>
      <c r="B55" s="39" t="str">
        <f t="shared" si="14"/>
        <v/>
      </c>
      <c r="C55" s="40"/>
      <c r="D55" s="40"/>
      <c r="E55" s="40"/>
      <c r="F55" s="40"/>
      <c r="G55" s="13"/>
      <c r="H55" s="41">
        <v>50</v>
      </c>
      <c r="I55" s="42" t="str">
        <f t="shared" si="5"/>
        <v/>
      </c>
      <c r="J55" s="41">
        <f t="shared" si="6"/>
        <v>-4</v>
      </c>
      <c r="K55" s="41">
        <f t="shared" si="1"/>
        <v>-40</v>
      </c>
      <c r="L55" s="41"/>
      <c r="M55" s="43">
        <f t="shared" si="2"/>
        <v>0</v>
      </c>
      <c r="N55" s="43">
        <f t="shared" si="3"/>
        <v>0</v>
      </c>
    </row>
    <row r="56" spans="1:14" x14ac:dyDescent="0.25">
      <c r="A56" s="49">
        <f t="shared" si="4"/>
        <v>0</v>
      </c>
      <c r="B56" s="33" t="str">
        <f t="shared" si="14"/>
        <v/>
      </c>
      <c r="C56" s="34"/>
      <c r="D56" s="34"/>
      <c r="E56" s="34"/>
      <c r="F56" s="34"/>
      <c r="G56" s="13"/>
      <c r="H56" s="35">
        <v>51</v>
      </c>
      <c r="I56" s="36" t="str">
        <f t="shared" si="5"/>
        <v/>
      </c>
      <c r="J56" s="35">
        <f t="shared" si="6"/>
        <v>-4</v>
      </c>
      <c r="K56" s="35">
        <f t="shared" si="1"/>
        <v>-40</v>
      </c>
      <c r="L56" s="35"/>
      <c r="M56" s="37">
        <f t="shared" si="2"/>
        <v>0</v>
      </c>
      <c r="N56" s="37">
        <f t="shared" si="3"/>
        <v>0</v>
      </c>
    </row>
    <row r="57" spans="1:14" x14ac:dyDescent="0.25">
      <c r="A57" s="48">
        <f t="shared" si="4"/>
        <v>0</v>
      </c>
      <c r="B57" s="39" t="str">
        <f t="shared" si="14"/>
        <v/>
      </c>
      <c r="C57" s="40"/>
      <c r="D57" s="40"/>
      <c r="E57" s="40"/>
      <c r="F57" s="40"/>
      <c r="G57" s="13"/>
      <c r="H57" s="41">
        <v>52</v>
      </c>
      <c r="I57" s="42" t="str">
        <f t="shared" si="5"/>
        <v/>
      </c>
      <c r="J57" s="41">
        <f t="shared" si="6"/>
        <v>-4</v>
      </c>
      <c r="K57" s="41">
        <f t="shared" si="1"/>
        <v>-40</v>
      </c>
      <c r="L57" s="41"/>
      <c r="M57" s="43">
        <f t="shared" si="2"/>
        <v>0</v>
      </c>
      <c r="N57" s="43">
        <f t="shared" si="3"/>
        <v>0</v>
      </c>
    </row>
    <row r="58" spans="1:14" x14ac:dyDescent="0.25">
      <c r="A58" s="49">
        <f t="shared" si="4"/>
        <v>0</v>
      </c>
      <c r="B58" s="33" t="str">
        <f t="shared" si="14"/>
        <v/>
      </c>
      <c r="C58" s="34"/>
      <c r="D58" s="34"/>
      <c r="E58" s="34"/>
      <c r="F58" s="34"/>
      <c r="G58" s="13"/>
      <c r="H58" s="35">
        <v>53</v>
      </c>
      <c r="I58" s="36" t="str">
        <f t="shared" si="5"/>
        <v/>
      </c>
      <c r="J58" s="35">
        <f t="shared" si="6"/>
        <v>-4</v>
      </c>
      <c r="K58" s="35">
        <f t="shared" si="1"/>
        <v>-40</v>
      </c>
      <c r="L58" s="35"/>
      <c r="M58" s="37">
        <f t="shared" si="2"/>
        <v>0</v>
      </c>
      <c r="N58" s="37">
        <f t="shared" si="3"/>
        <v>0</v>
      </c>
    </row>
    <row r="59" spans="1:14" x14ac:dyDescent="0.25">
      <c r="A59" s="48">
        <f t="shared" si="4"/>
        <v>0</v>
      </c>
      <c r="B59" s="39" t="str">
        <f t="shared" si="14"/>
        <v/>
      </c>
      <c r="C59" s="40"/>
      <c r="D59" s="40"/>
      <c r="E59" s="40"/>
      <c r="F59" s="40"/>
      <c r="G59" s="13"/>
      <c r="H59" s="41">
        <v>54</v>
      </c>
      <c r="I59" s="42" t="str">
        <f t="shared" si="5"/>
        <v/>
      </c>
      <c r="J59" s="41">
        <f t="shared" si="6"/>
        <v>-4</v>
      </c>
      <c r="K59" s="41">
        <f t="shared" si="1"/>
        <v>-40</v>
      </c>
      <c r="L59" s="41"/>
      <c r="M59" s="43">
        <f t="shared" si="2"/>
        <v>0</v>
      </c>
      <c r="N59" s="43">
        <f t="shared" si="3"/>
        <v>0</v>
      </c>
    </row>
    <row r="60" spans="1:14" x14ac:dyDescent="0.25">
      <c r="A60" s="49">
        <f t="shared" si="4"/>
        <v>0</v>
      </c>
      <c r="B60" s="33" t="str">
        <f t="shared" si="14"/>
        <v/>
      </c>
      <c r="C60" s="34"/>
      <c r="D60" s="34"/>
      <c r="E60" s="34"/>
      <c r="F60" s="34"/>
      <c r="G60" s="13"/>
      <c r="H60" s="35">
        <v>55</v>
      </c>
      <c r="I60" s="36" t="str">
        <f t="shared" si="5"/>
        <v/>
      </c>
      <c r="J60" s="35">
        <f t="shared" si="6"/>
        <v>-4</v>
      </c>
      <c r="K60" s="35">
        <f t="shared" si="1"/>
        <v>-40</v>
      </c>
      <c r="L60" s="35"/>
      <c r="M60" s="37">
        <f t="shared" si="2"/>
        <v>0</v>
      </c>
      <c r="N60" s="37">
        <f t="shared" si="3"/>
        <v>0</v>
      </c>
    </row>
    <row r="61" spans="1:14" x14ac:dyDescent="0.25">
      <c r="A61" s="48">
        <f t="shared" si="4"/>
        <v>0</v>
      </c>
      <c r="B61" s="39" t="str">
        <f t="shared" si="14"/>
        <v/>
      </c>
      <c r="C61" s="40"/>
      <c r="D61" s="40"/>
      <c r="E61" s="40"/>
      <c r="F61" s="40"/>
      <c r="G61" s="13"/>
      <c r="H61" s="41">
        <v>56</v>
      </c>
      <c r="I61" s="42" t="str">
        <f t="shared" si="5"/>
        <v/>
      </c>
      <c r="J61" s="41">
        <f t="shared" si="6"/>
        <v>-4</v>
      </c>
      <c r="K61" s="41">
        <f t="shared" si="1"/>
        <v>-40</v>
      </c>
      <c r="L61" s="41"/>
      <c r="M61" s="43">
        <f t="shared" si="2"/>
        <v>0</v>
      </c>
      <c r="N61" s="43">
        <f t="shared" si="3"/>
        <v>0</v>
      </c>
    </row>
    <row r="62" spans="1:14" x14ac:dyDescent="0.25">
      <c r="A62" s="49">
        <f t="shared" si="4"/>
        <v>0</v>
      </c>
      <c r="B62" s="33" t="str">
        <f t="shared" si="14"/>
        <v/>
      </c>
      <c r="C62" s="34"/>
      <c r="D62" s="34"/>
      <c r="E62" s="34"/>
      <c r="F62" s="34"/>
      <c r="G62" s="13"/>
      <c r="H62" s="35">
        <v>57</v>
      </c>
      <c r="I62" s="36" t="str">
        <f t="shared" si="5"/>
        <v/>
      </c>
      <c r="J62" s="35">
        <f t="shared" si="6"/>
        <v>-4</v>
      </c>
      <c r="K62" s="35">
        <f t="shared" si="1"/>
        <v>-40</v>
      </c>
      <c r="L62" s="35"/>
      <c r="M62" s="37">
        <f t="shared" si="2"/>
        <v>0</v>
      </c>
      <c r="N62" s="37">
        <f t="shared" si="3"/>
        <v>0</v>
      </c>
    </row>
    <row r="63" spans="1:14" x14ac:dyDescent="0.25">
      <c r="A63" s="48">
        <f t="shared" si="4"/>
        <v>0</v>
      </c>
      <c r="B63" s="39" t="str">
        <f t="shared" si="14"/>
        <v/>
      </c>
      <c r="C63" s="40"/>
      <c r="D63" s="40"/>
      <c r="E63" s="40"/>
      <c r="F63" s="40"/>
      <c r="G63" s="13"/>
      <c r="H63" s="41">
        <v>58</v>
      </c>
      <c r="I63" s="42" t="str">
        <f t="shared" si="5"/>
        <v/>
      </c>
      <c r="J63" s="41">
        <f t="shared" si="6"/>
        <v>-4</v>
      </c>
      <c r="K63" s="41">
        <f t="shared" si="1"/>
        <v>-40</v>
      </c>
      <c r="L63" s="41"/>
      <c r="M63" s="43">
        <f t="shared" si="2"/>
        <v>0</v>
      </c>
      <c r="N63" s="43">
        <f t="shared" si="3"/>
        <v>0</v>
      </c>
    </row>
    <row r="64" spans="1:14" x14ac:dyDescent="0.25">
      <c r="A64" s="49">
        <f t="shared" si="4"/>
        <v>0</v>
      </c>
      <c r="B64" s="33" t="str">
        <f t="shared" si="14"/>
        <v/>
      </c>
      <c r="C64" s="34"/>
      <c r="D64" s="34"/>
      <c r="E64" s="34"/>
      <c r="F64" s="34"/>
      <c r="G64" s="13"/>
      <c r="H64" s="35">
        <v>59</v>
      </c>
      <c r="I64" s="36" t="str">
        <f t="shared" si="5"/>
        <v/>
      </c>
      <c r="J64" s="35">
        <f t="shared" si="6"/>
        <v>-4</v>
      </c>
      <c r="K64" s="35">
        <f t="shared" si="1"/>
        <v>-40</v>
      </c>
      <c r="L64" s="35"/>
      <c r="M64" s="37">
        <f t="shared" si="2"/>
        <v>0</v>
      </c>
      <c r="N64" s="37">
        <f t="shared" si="3"/>
        <v>0</v>
      </c>
    </row>
    <row r="65" spans="1:14" x14ac:dyDescent="0.25">
      <c r="A65" s="48">
        <f t="shared" si="4"/>
        <v>0</v>
      </c>
      <c r="B65" s="39" t="str">
        <f t="shared" si="14"/>
        <v/>
      </c>
      <c r="C65" s="40"/>
      <c r="D65" s="40"/>
      <c r="E65" s="40"/>
      <c r="F65" s="40"/>
      <c r="G65" s="13"/>
      <c r="H65" s="41">
        <v>60</v>
      </c>
      <c r="I65" s="42" t="str">
        <f t="shared" si="5"/>
        <v/>
      </c>
      <c r="J65" s="41">
        <f t="shared" si="6"/>
        <v>-4</v>
      </c>
      <c r="K65" s="41">
        <f t="shared" si="1"/>
        <v>-40</v>
      </c>
      <c r="L65" s="41"/>
      <c r="M65" s="43">
        <f t="shared" si="2"/>
        <v>0</v>
      </c>
      <c r="N65" s="43">
        <f t="shared" si="3"/>
        <v>0</v>
      </c>
    </row>
    <row r="66" spans="1:14" x14ac:dyDescent="0.25">
      <c r="A66" s="56">
        <f t="shared" si="4"/>
        <v>0</v>
      </c>
      <c r="B66" s="33"/>
      <c r="G66" s="13"/>
      <c r="H66" s="35">
        <v>61</v>
      </c>
      <c r="I66" s="36" t="str">
        <f t="shared" si="5"/>
        <v/>
      </c>
      <c r="J66" s="35">
        <f t="shared" si="6"/>
        <v>-4</v>
      </c>
      <c r="K66" s="35">
        <f t="shared" si="1"/>
        <v>-40</v>
      </c>
      <c r="L66" s="35"/>
      <c r="M66" s="37">
        <f t="shared" si="2"/>
        <v>0</v>
      </c>
      <c r="N66" s="37">
        <f t="shared" si="3"/>
        <v>0</v>
      </c>
    </row>
    <row r="67" spans="1:14" x14ac:dyDescent="0.25">
      <c r="A67" s="56">
        <f t="shared" si="4"/>
        <v>0</v>
      </c>
      <c r="B67" s="39"/>
      <c r="G67" s="13"/>
      <c r="H67" s="35">
        <v>62</v>
      </c>
      <c r="I67" s="36" t="str">
        <f t="shared" si="5"/>
        <v/>
      </c>
      <c r="J67" s="35">
        <f t="shared" si="6"/>
        <v>-4</v>
      </c>
      <c r="K67" s="35">
        <f t="shared" si="1"/>
        <v>-40</v>
      </c>
      <c r="L67" s="35"/>
      <c r="M67" s="37">
        <f t="shared" si="2"/>
        <v>0</v>
      </c>
      <c r="N67" s="37">
        <f t="shared" si="3"/>
        <v>0</v>
      </c>
    </row>
    <row r="68" spans="1:14" x14ac:dyDescent="0.25">
      <c r="A68" s="56">
        <f t="shared" si="4"/>
        <v>0</v>
      </c>
      <c r="B68" s="33"/>
      <c r="G68" s="13"/>
      <c r="H68" s="35">
        <v>63</v>
      </c>
      <c r="I68" s="36" t="str">
        <f t="shared" si="5"/>
        <v/>
      </c>
      <c r="J68" s="35">
        <f t="shared" si="6"/>
        <v>-4</v>
      </c>
      <c r="K68" s="35">
        <f t="shared" si="1"/>
        <v>-40</v>
      </c>
      <c r="L68" s="35"/>
      <c r="M68" s="37">
        <f t="shared" si="2"/>
        <v>0</v>
      </c>
      <c r="N68" s="37">
        <f t="shared" si="3"/>
        <v>0</v>
      </c>
    </row>
    <row r="69" spans="1:14" x14ac:dyDescent="0.25">
      <c r="A69" s="56">
        <f t="shared" si="4"/>
        <v>0</v>
      </c>
      <c r="B69" s="39"/>
      <c r="G69" s="13"/>
      <c r="H69" s="35">
        <v>64</v>
      </c>
      <c r="I69" s="36" t="str">
        <f t="shared" si="5"/>
        <v/>
      </c>
      <c r="J69" s="35">
        <f t="shared" si="6"/>
        <v>-4</v>
      </c>
      <c r="K69" s="35">
        <f t="shared" si="1"/>
        <v>-40</v>
      </c>
      <c r="L69" s="35"/>
      <c r="M69" s="37">
        <f t="shared" si="2"/>
        <v>0</v>
      </c>
      <c r="N69" s="37">
        <f t="shared" si="3"/>
        <v>0</v>
      </c>
    </row>
    <row r="70" spans="1:14" x14ac:dyDescent="0.25">
      <c r="A70" s="56">
        <f t="shared" si="4"/>
        <v>0</v>
      </c>
      <c r="G70" s="13"/>
      <c r="H70" s="35">
        <v>65</v>
      </c>
      <c r="I70" s="36" t="str">
        <f t="shared" ref="I70:I133" si="15">IF(H70&lt;$H$2+1,($I$2-($I$2-1)*(LOG(H70)/LOG($H$2))),"")</f>
        <v/>
      </c>
      <c r="J70" s="35">
        <f t="shared" si="6"/>
        <v>-5</v>
      </c>
      <c r="K70" s="35">
        <f t="shared" ref="K70:K133" si="16">J70*$J$2</f>
        <v>-50</v>
      </c>
      <c r="L70" s="35"/>
      <c r="M70" s="37">
        <f t="shared" ref="M70:M133" si="17">IF(I70&lt;&gt;"",K70+I70+L70,0)</f>
        <v>0</v>
      </c>
      <c r="N70" s="37">
        <f t="shared" ref="N70:N133" si="18">IF(I70&lt;&gt;"",M70*L$2,0)</f>
        <v>0</v>
      </c>
    </row>
    <row r="71" spans="1:14" x14ac:dyDescent="0.25">
      <c r="A71" s="56">
        <f t="shared" ref="A71:A134" si="19">N71</f>
        <v>0</v>
      </c>
      <c r="G71" s="13"/>
      <c r="H71" s="35">
        <v>66</v>
      </c>
      <c r="I71" s="36" t="str">
        <f t="shared" si="15"/>
        <v/>
      </c>
      <c r="J71" s="35">
        <f t="shared" ref="J71:J134" si="20">INT(LOG($H$2,2))-ROUNDUP(LOG(H71,2),0)+IF(OR($H$2=1,$H$2=2,$H$2=4,$H$2=8,$H$2=16,$H$2=32,$H$2=64,$H$2=128,$H$2=256),0,1)</f>
        <v>-5</v>
      </c>
      <c r="K71" s="35">
        <f t="shared" si="16"/>
        <v>-50</v>
      </c>
      <c r="L71" s="35"/>
      <c r="M71" s="37">
        <f t="shared" si="17"/>
        <v>0</v>
      </c>
      <c r="N71" s="37">
        <f t="shared" si="18"/>
        <v>0</v>
      </c>
    </row>
    <row r="72" spans="1:14" x14ac:dyDescent="0.25">
      <c r="A72" s="56">
        <f t="shared" si="19"/>
        <v>0</v>
      </c>
      <c r="G72" s="13"/>
      <c r="H72" s="35">
        <v>67</v>
      </c>
      <c r="I72" s="36" t="str">
        <f t="shared" si="15"/>
        <v/>
      </c>
      <c r="J72" s="35">
        <f t="shared" si="20"/>
        <v>-5</v>
      </c>
      <c r="K72" s="35">
        <f t="shared" si="16"/>
        <v>-50</v>
      </c>
      <c r="L72" s="35"/>
      <c r="M72" s="37">
        <f t="shared" si="17"/>
        <v>0</v>
      </c>
      <c r="N72" s="37">
        <f t="shared" si="18"/>
        <v>0</v>
      </c>
    </row>
    <row r="73" spans="1:14" x14ac:dyDescent="0.25">
      <c r="A73" s="56">
        <f t="shared" si="19"/>
        <v>0</v>
      </c>
      <c r="G73" s="13"/>
      <c r="H73" s="35">
        <v>68</v>
      </c>
      <c r="I73" s="36" t="str">
        <f t="shared" si="15"/>
        <v/>
      </c>
      <c r="J73" s="35">
        <f t="shared" si="20"/>
        <v>-5</v>
      </c>
      <c r="K73" s="35">
        <f t="shared" si="16"/>
        <v>-50</v>
      </c>
      <c r="L73" s="35"/>
      <c r="M73" s="37">
        <f t="shared" si="17"/>
        <v>0</v>
      </c>
      <c r="N73" s="37">
        <f t="shared" si="18"/>
        <v>0</v>
      </c>
    </row>
    <row r="74" spans="1:14" x14ac:dyDescent="0.25">
      <c r="A74" s="56">
        <f t="shared" si="19"/>
        <v>0</v>
      </c>
      <c r="G74" s="13"/>
      <c r="H74" s="35">
        <v>69</v>
      </c>
      <c r="I74" s="36" t="str">
        <f t="shared" si="15"/>
        <v/>
      </c>
      <c r="J74" s="35">
        <f t="shared" si="20"/>
        <v>-5</v>
      </c>
      <c r="K74" s="35">
        <f t="shared" si="16"/>
        <v>-50</v>
      </c>
      <c r="L74" s="35"/>
      <c r="M74" s="37">
        <f t="shared" si="17"/>
        <v>0</v>
      </c>
      <c r="N74" s="37">
        <f t="shared" si="18"/>
        <v>0</v>
      </c>
    </row>
    <row r="75" spans="1:14" x14ac:dyDescent="0.25">
      <c r="A75" s="56">
        <f t="shared" si="19"/>
        <v>0</v>
      </c>
      <c r="G75" s="13"/>
      <c r="H75" s="35">
        <v>70</v>
      </c>
      <c r="I75" s="36" t="str">
        <f t="shared" si="15"/>
        <v/>
      </c>
      <c r="J75" s="35">
        <f t="shared" si="20"/>
        <v>-5</v>
      </c>
      <c r="K75" s="35">
        <f t="shared" si="16"/>
        <v>-50</v>
      </c>
      <c r="L75" s="35"/>
      <c r="M75" s="37">
        <f t="shared" si="17"/>
        <v>0</v>
      </c>
      <c r="N75" s="37">
        <f t="shared" si="18"/>
        <v>0</v>
      </c>
    </row>
    <row r="76" spans="1:14" x14ac:dyDescent="0.25">
      <c r="A76" s="56">
        <f t="shared" si="19"/>
        <v>0</v>
      </c>
      <c r="G76" s="13"/>
      <c r="H76" s="35">
        <v>71</v>
      </c>
      <c r="I76" s="36" t="str">
        <f t="shared" si="15"/>
        <v/>
      </c>
      <c r="J76" s="35">
        <f t="shared" si="20"/>
        <v>-5</v>
      </c>
      <c r="K76" s="35">
        <f t="shared" si="16"/>
        <v>-50</v>
      </c>
      <c r="L76" s="35"/>
      <c r="M76" s="37">
        <f t="shared" si="17"/>
        <v>0</v>
      </c>
      <c r="N76" s="37">
        <f t="shared" si="18"/>
        <v>0</v>
      </c>
    </row>
    <row r="77" spans="1:14" x14ac:dyDescent="0.25">
      <c r="A77" s="56">
        <f t="shared" si="19"/>
        <v>0</v>
      </c>
      <c r="G77" s="13"/>
      <c r="H77" s="35">
        <v>72</v>
      </c>
      <c r="I77" s="36" t="str">
        <f t="shared" si="15"/>
        <v/>
      </c>
      <c r="J77" s="35">
        <f t="shared" si="20"/>
        <v>-5</v>
      </c>
      <c r="K77" s="35">
        <f t="shared" si="16"/>
        <v>-50</v>
      </c>
      <c r="L77" s="35"/>
      <c r="M77" s="37">
        <f t="shared" si="17"/>
        <v>0</v>
      </c>
      <c r="N77" s="37">
        <f t="shared" si="18"/>
        <v>0</v>
      </c>
    </row>
    <row r="78" spans="1:14" x14ac:dyDescent="0.25">
      <c r="A78" s="56">
        <f t="shared" si="19"/>
        <v>0</v>
      </c>
      <c r="G78" s="13"/>
      <c r="H78" s="35">
        <v>73</v>
      </c>
      <c r="I78" s="36" t="str">
        <f t="shared" si="15"/>
        <v/>
      </c>
      <c r="J78" s="35">
        <f t="shared" si="20"/>
        <v>-5</v>
      </c>
      <c r="K78" s="35">
        <f t="shared" si="16"/>
        <v>-50</v>
      </c>
      <c r="L78" s="35"/>
      <c r="M78" s="37">
        <f t="shared" si="17"/>
        <v>0</v>
      </c>
      <c r="N78" s="37">
        <f t="shared" si="18"/>
        <v>0</v>
      </c>
    </row>
    <row r="79" spans="1:14" x14ac:dyDescent="0.25">
      <c r="A79" s="56">
        <f t="shared" si="19"/>
        <v>0</v>
      </c>
      <c r="G79" s="13"/>
      <c r="H79" s="35">
        <v>74</v>
      </c>
      <c r="I79" s="36" t="str">
        <f t="shared" si="15"/>
        <v/>
      </c>
      <c r="J79" s="35">
        <f t="shared" si="20"/>
        <v>-5</v>
      </c>
      <c r="K79" s="35">
        <f t="shared" si="16"/>
        <v>-50</v>
      </c>
      <c r="L79" s="35"/>
      <c r="M79" s="37">
        <f t="shared" si="17"/>
        <v>0</v>
      </c>
      <c r="N79" s="37">
        <f t="shared" si="18"/>
        <v>0</v>
      </c>
    </row>
    <row r="80" spans="1:14" x14ac:dyDescent="0.25">
      <c r="A80" s="56">
        <f t="shared" si="19"/>
        <v>0</v>
      </c>
      <c r="G80" s="13"/>
      <c r="H80" s="35">
        <v>75</v>
      </c>
      <c r="I80" s="36" t="str">
        <f t="shared" si="15"/>
        <v/>
      </c>
      <c r="J80" s="35">
        <f t="shared" si="20"/>
        <v>-5</v>
      </c>
      <c r="K80" s="35">
        <f t="shared" si="16"/>
        <v>-50</v>
      </c>
      <c r="L80" s="35"/>
      <c r="M80" s="37">
        <f t="shared" si="17"/>
        <v>0</v>
      </c>
      <c r="N80" s="37">
        <f t="shared" si="18"/>
        <v>0</v>
      </c>
    </row>
    <row r="81" spans="1:14" x14ac:dyDescent="0.25">
      <c r="A81" s="56">
        <f t="shared" si="19"/>
        <v>0</v>
      </c>
      <c r="G81" s="13"/>
      <c r="H81" s="35">
        <v>76</v>
      </c>
      <c r="I81" s="36" t="str">
        <f t="shared" si="15"/>
        <v/>
      </c>
      <c r="J81" s="35">
        <f t="shared" si="20"/>
        <v>-5</v>
      </c>
      <c r="K81" s="35">
        <f t="shared" si="16"/>
        <v>-50</v>
      </c>
      <c r="L81" s="35"/>
      <c r="M81" s="37">
        <f t="shared" si="17"/>
        <v>0</v>
      </c>
      <c r="N81" s="37">
        <f t="shared" si="18"/>
        <v>0</v>
      </c>
    </row>
    <row r="82" spans="1:14" x14ac:dyDescent="0.25">
      <c r="A82" s="56">
        <f t="shared" si="19"/>
        <v>0</v>
      </c>
      <c r="G82" s="13"/>
      <c r="H82" s="35">
        <v>77</v>
      </c>
      <c r="I82" s="36" t="str">
        <f t="shared" si="15"/>
        <v/>
      </c>
      <c r="J82" s="35">
        <f t="shared" si="20"/>
        <v>-5</v>
      </c>
      <c r="K82" s="35">
        <f t="shared" si="16"/>
        <v>-50</v>
      </c>
      <c r="L82" s="35"/>
      <c r="M82" s="37">
        <f t="shared" si="17"/>
        <v>0</v>
      </c>
      <c r="N82" s="37">
        <f t="shared" si="18"/>
        <v>0</v>
      </c>
    </row>
    <row r="83" spans="1:14" x14ac:dyDescent="0.25">
      <c r="A83" s="56">
        <f t="shared" si="19"/>
        <v>0</v>
      </c>
      <c r="G83" s="13"/>
      <c r="H83" s="35">
        <v>78</v>
      </c>
      <c r="I83" s="36" t="str">
        <f t="shared" si="15"/>
        <v/>
      </c>
      <c r="J83" s="35">
        <f t="shared" si="20"/>
        <v>-5</v>
      </c>
      <c r="K83" s="35">
        <f t="shared" si="16"/>
        <v>-50</v>
      </c>
      <c r="L83" s="35"/>
      <c r="M83" s="37">
        <f t="shared" si="17"/>
        <v>0</v>
      </c>
      <c r="N83" s="37">
        <f t="shared" si="18"/>
        <v>0</v>
      </c>
    </row>
    <row r="84" spans="1:14" x14ac:dyDescent="0.25">
      <c r="A84" s="56">
        <f t="shared" si="19"/>
        <v>0</v>
      </c>
      <c r="G84" s="13"/>
      <c r="H84" s="35">
        <v>79</v>
      </c>
      <c r="I84" s="36" t="str">
        <f t="shared" si="15"/>
        <v/>
      </c>
      <c r="J84" s="35">
        <f t="shared" si="20"/>
        <v>-5</v>
      </c>
      <c r="K84" s="35">
        <f t="shared" si="16"/>
        <v>-50</v>
      </c>
      <c r="L84" s="35"/>
      <c r="M84" s="37">
        <f t="shared" si="17"/>
        <v>0</v>
      </c>
      <c r="N84" s="37">
        <f t="shared" si="18"/>
        <v>0</v>
      </c>
    </row>
    <row r="85" spans="1:14" x14ac:dyDescent="0.25">
      <c r="A85" s="56">
        <f t="shared" si="19"/>
        <v>0</v>
      </c>
      <c r="G85" s="13"/>
      <c r="H85" s="35">
        <v>80</v>
      </c>
      <c r="I85" s="36" t="str">
        <f t="shared" si="15"/>
        <v/>
      </c>
      <c r="J85" s="35">
        <f t="shared" si="20"/>
        <v>-5</v>
      </c>
      <c r="K85" s="35">
        <f t="shared" si="16"/>
        <v>-50</v>
      </c>
      <c r="L85" s="35"/>
      <c r="M85" s="37">
        <f t="shared" si="17"/>
        <v>0</v>
      </c>
      <c r="N85" s="37">
        <f t="shared" si="18"/>
        <v>0</v>
      </c>
    </row>
    <row r="86" spans="1:14" x14ac:dyDescent="0.25">
      <c r="A86" s="56">
        <f t="shared" si="19"/>
        <v>0</v>
      </c>
      <c r="G86" s="13"/>
      <c r="H86" s="35">
        <v>81</v>
      </c>
      <c r="I86" s="36" t="str">
        <f t="shared" si="15"/>
        <v/>
      </c>
      <c r="J86" s="35">
        <f t="shared" si="20"/>
        <v>-5</v>
      </c>
      <c r="K86" s="35">
        <f t="shared" si="16"/>
        <v>-50</v>
      </c>
      <c r="L86" s="35"/>
      <c r="M86" s="37">
        <f t="shared" si="17"/>
        <v>0</v>
      </c>
      <c r="N86" s="37">
        <f t="shared" si="18"/>
        <v>0</v>
      </c>
    </row>
    <row r="87" spans="1:14" x14ac:dyDescent="0.25">
      <c r="A87" s="56">
        <f t="shared" si="19"/>
        <v>0</v>
      </c>
      <c r="G87" s="13"/>
      <c r="H87" s="35">
        <v>82</v>
      </c>
      <c r="I87" s="36" t="str">
        <f t="shared" si="15"/>
        <v/>
      </c>
      <c r="J87" s="35">
        <f t="shared" si="20"/>
        <v>-5</v>
      </c>
      <c r="K87" s="35">
        <f t="shared" si="16"/>
        <v>-50</v>
      </c>
      <c r="L87" s="35"/>
      <c r="M87" s="37">
        <f t="shared" si="17"/>
        <v>0</v>
      </c>
      <c r="N87" s="37">
        <f t="shared" si="18"/>
        <v>0</v>
      </c>
    </row>
    <row r="88" spans="1:14" x14ac:dyDescent="0.25">
      <c r="A88" s="56">
        <f t="shared" si="19"/>
        <v>0</v>
      </c>
      <c r="G88" s="13"/>
      <c r="H88" s="35">
        <v>83</v>
      </c>
      <c r="I88" s="36" t="str">
        <f t="shared" si="15"/>
        <v/>
      </c>
      <c r="J88" s="35">
        <f t="shared" si="20"/>
        <v>-5</v>
      </c>
      <c r="K88" s="35">
        <f t="shared" si="16"/>
        <v>-50</v>
      </c>
      <c r="L88" s="35"/>
      <c r="M88" s="37">
        <f t="shared" si="17"/>
        <v>0</v>
      </c>
      <c r="N88" s="37">
        <f t="shared" si="18"/>
        <v>0</v>
      </c>
    </row>
    <row r="89" spans="1:14" x14ac:dyDescent="0.25">
      <c r="A89" s="56">
        <f t="shared" si="19"/>
        <v>0</v>
      </c>
      <c r="G89" s="13"/>
      <c r="H89" s="35">
        <v>84</v>
      </c>
      <c r="I89" s="36" t="str">
        <f t="shared" si="15"/>
        <v/>
      </c>
      <c r="J89" s="35">
        <f t="shared" si="20"/>
        <v>-5</v>
      </c>
      <c r="K89" s="35">
        <f t="shared" si="16"/>
        <v>-50</v>
      </c>
      <c r="L89" s="35"/>
      <c r="M89" s="37">
        <f t="shared" si="17"/>
        <v>0</v>
      </c>
      <c r="N89" s="37">
        <f t="shared" si="18"/>
        <v>0</v>
      </c>
    </row>
    <row r="90" spans="1:14" x14ac:dyDescent="0.25">
      <c r="A90" s="56">
        <f t="shared" si="19"/>
        <v>0</v>
      </c>
      <c r="G90" s="13"/>
      <c r="H90" s="35">
        <v>85</v>
      </c>
      <c r="I90" s="36" t="str">
        <f t="shared" si="15"/>
        <v/>
      </c>
      <c r="J90" s="35">
        <f t="shared" si="20"/>
        <v>-5</v>
      </c>
      <c r="K90" s="35">
        <f t="shared" si="16"/>
        <v>-50</v>
      </c>
      <c r="L90" s="35"/>
      <c r="M90" s="37">
        <f t="shared" si="17"/>
        <v>0</v>
      </c>
      <c r="N90" s="37">
        <f t="shared" si="18"/>
        <v>0</v>
      </c>
    </row>
    <row r="91" spans="1:14" x14ac:dyDescent="0.25">
      <c r="A91" s="56">
        <f t="shared" si="19"/>
        <v>0</v>
      </c>
      <c r="G91" s="13"/>
      <c r="H91" s="35">
        <v>86</v>
      </c>
      <c r="I91" s="36" t="str">
        <f t="shared" si="15"/>
        <v/>
      </c>
      <c r="J91" s="35">
        <f t="shared" si="20"/>
        <v>-5</v>
      </c>
      <c r="K91" s="35">
        <f t="shared" si="16"/>
        <v>-50</v>
      </c>
      <c r="L91" s="35"/>
      <c r="M91" s="37">
        <f t="shared" si="17"/>
        <v>0</v>
      </c>
      <c r="N91" s="37">
        <f t="shared" si="18"/>
        <v>0</v>
      </c>
    </row>
    <row r="92" spans="1:14" x14ac:dyDescent="0.25">
      <c r="A92" s="56">
        <f t="shared" si="19"/>
        <v>0</v>
      </c>
      <c r="G92" s="13"/>
      <c r="H92" s="35">
        <v>87</v>
      </c>
      <c r="I92" s="36" t="str">
        <f t="shared" si="15"/>
        <v/>
      </c>
      <c r="J92" s="35">
        <f t="shared" si="20"/>
        <v>-5</v>
      </c>
      <c r="K92" s="35">
        <f t="shared" si="16"/>
        <v>-50</v>
      </c>
      <c r="L92" s="35"/>
      <c r="M92" s="37">
        <f t="shared" si="17"/>
        <v>0</v>
      </c>
      <c r="N92" s="37">
        <f t="shared" si="18"/>
        <v>0</v>
      </c>
    </row>
    <row r="93" spans="1:14" x14ac:dyDescent="0.25">
      <c r="A93" s="56">
        <f t="shared" si="19"/>
        <v>0</v>
      </c>
      <c r="G93" s="13"/>
      <c r="H93" s="35">
        <v>88</v>
      </c>
      <c r="I93" s="36" t="str">
        <f t="shared" si="15"/>
        <v/>
      </c>
      <c r="J93" s="35">
        <f t="shared" si="20"/>
        <v>-5</v>
      </c>
      <c r="K93" s="35">
        <f t="shared" si="16"/>
        <v>-50</v>
      </c>
      <c r="L93" s="35"/>
      <c r="M93" s="37">
        <f t="shared" si="17"/>
        <v>0</v>
      </c>
      <c r="N93" s="37">
        <f t="shared" si="18"/>
        <v>0</v>
      </c>
    </row>
    <row r="94" spans="1:14" x14ac:dyDescent="0.25">
      <c r="A94" s="56">
        <f t="shared" si="19"/>
        <v>0</v>
      </c>
      <c r="G94" s="13"/>
      <c r="H94" s="35">
        <v>89</v>
      </c>
      <c r="I94" s="36" t="str">
        <f t="shared" si="15"/>
        <v/>
      </c>
      <c r="J94" s="35">
        <f t="shared" si="20"/>
        <v>-5</v>
      </c>
      <c r="K94" s="35">
        <f t="shared" si="16"/>
        <v>-50</v>
      </c>
      <c r="L94" s="35"/>
      <c r="M94" s="37">
        <f t="shared" si="17"/>
        <v>0</v>
      </c>
      <c r="N94" s="37">
        <f t="shared" si="18"/>
        <v>0</v>
      </c>
    </row>
    <row r="95" spans="1:14" x14ac:dyDescent="0.25">
      <c r="A95" s="56">
        <f t="shared" si="19"/>
        <v>0</v>
      </c>
      <c r="G95" s="13"/>
      <c r="H95" s="35">
        <v>90</v>
      </c>
      <c r="I95" s="36" t="str">
        <f t="shared" si="15"/>
        <v/>
      </c>
      <c r="J95" s="35">
        <f t="shared" si="20"/>
        <v>-5</v>
      </c>
      <c r="K95" s="35">
        <f t="shared" si="16"/>
        <v>-50</v>
      </c>
      <c r="L95" s="35"/>
      <c r="M95" s="37">
        <f t="shared" si="17"/>
        <v>0</v>
      </c>
      <c r="N95" s="37">
        <f t="shared" si="18"/>
        <v>0</v>
      </c>
    </row>
    <row r="96" spans="1:14" x14ac:dyDescent="0.25">
      <c r="A96" s="56">
        <f t="shared" si="19"/>
        <v>0</v>
      </c>
      <c r="G96" s="13"/>
      <c r="H96" s="35">
        <v>91</v>
      </c>
      <c r="I96" s="36" t="str">
        <f t="shared" si="15"/>
        <v/>
      </c>
      <c r="J96" s="35">
        <f t="shared" si="20"/>
        <v>-5</v>
      </c>
      <c r="K96" s="35">
        <f t="shared" si="16"/>
        <v>-50</v>
      </c>
      <c r="L96" s="35"/>
      <c r="M96" s="37">
        <f t="shared" si="17"/>
        <v>0</v>
      </c>
      <c r="N96" s="37">
        <f t="shared" si="18"/>
        <v>0</v>
      </c>
    </row>
    <row r="97" spans="1:14" x14ac:dyDescent="0.25">
      <c r="A97" s="56">
        <f t="shared" si="19"/>
        <v>0</v>
      </c>
      <c r="G97" s="13"/>
      <c r="H97" s="35">
        <v>92</v>
      </c>
      <c r="I97" s="36" t="str">
        <f t="shared" si="15"/>
        <v/>
      </c>
      <c r="J97" s="35">
        <f t="shared" si="20"/>
        <v>-5</v>
      </c>
      <c r="K97" s="35">
        <f t="shared" si="16"/>
        <v>-50</v>
      </c>
      <c r="L97" s="35"/>
      <c r="M97" s="37">
        <f t="shared" si="17"/>
        <v>0</v>
      </c>
      <c r="N97" s="37">
        <f t="shared" si="18"/>
        <v>0</v>
      </c>
    </row>
    <row r="98" spans="1:14" x14ac:dyDescent="0.25">
      <c r="A98" s="56">
        <f t="shared" si="19"/>
        <v>0</v>
      </c>
      <c r="G98" s="13"/>
      <c r="H98" s="35">
        <v>93</v>
      </c>
      <c r="I98" s="36" t="str">
        <f t="shared" si="15"/>
        <v/>
      </c>
      <c r="J98" s="35">
        <f t="shared" si="20"/>
        <v>-5</v>
      </c>
      <c r="K98" s="35">
        <f t="shared" si="16"/>
        <v>-50</v>
      </c>
      <c r="L98" s="35"/>
      <c r="M98" s="37">
        <f t="shared" si="17"/>
        <v>0</v>
      </c>
      <c r="N98" s="37">
        <f t="shared" si="18"/>
        <v>0</v>
      </c>
    </row>
    <row r="99" spans="1:14" x14ac:dyDescent="0.25">
      <c r="A99" s="56">
        <f t="shared" si="19"/>
        <v>0</v>
      </c>
      <c r="G99" s="13"/>
      <c r="H99" s="35">
        <v>94</v>
      </c>
      <c r="I99" s="36" t="str">
        <f t="shared" si="15"/>
        <v/>
      </c>
      <c r="J99" s="35">
        <f t="shared" si="20"/>
        <v>-5</v>
      </c>
      <c r="K99" s="35">
        <f t="shared" si="16"/>
        <v>-50</v>
      </c>
      <c r="L99" s="35"/>
      <c r="M99" s="37">
        <f t="shared" si="17"/>
        <v>0</v>
      </c>
      <c r="N99" s="37">
        <f t="shared" si="18"/>
        <v>0</v>
      </c>
    </row>
    <row r="100" spans="1:14" x14ac:dyDescent="0.25">
      <c r="A100" s="56">
        <f t="shared" si="19"/>
        <v>0</v>
      </c>
      <c r="G100" s="13"/>
      <c r="H100" s="35">
        <v>95</v>
      </c>
      <c r="I100" s="36" t="str">
        <f t="shared" si="15"/>
        <v/>
      </c>
      <c r="J100" s="35">
        <f t="shared" si="20"/>
        <v>-5</v>
      </c>
      <c r="K100" s="35">
        <f t="shared" si="16"/>
        <v>-50</v>
      </c>
      <c r="L100" s="35"/>
      <c r="M100" s="37">
        <f t="shared" si="17"/>
        <v>0</v>
      </c>
      <c r="N100" s="37">
        <f t="shared" si="18"/>
        <v>0</v>
      </c>
    </row>
    <row r="101" spans="1:14" x14ac:dyDescent="0.25">
      <c r="A101" s="56">
        <f t="shared" si="19"/>
        <v>0</v>
      </c>
      <c r="G101" s="13"/>
      <c r="H101" s="35">
        <v>96</v>
      </c>
      <c r="I101" s="36" t="str">
        <f t="shared" si="15"/>
        <v/>
      </c>
      <c r="J101" s="35">
        <f t="shared" si="20"/>
        <v>-5</v>
      </c>
      <c r="K101" s="35">
        <f t="shared" si="16"/>
        <v>-50</v>
      </c>
      <c r="L101" s="35"/>
      <c r="M101" s="37">
        <f t="shared" si="17"/>
        <v>0</v>
      </c>
      <c r="N101" s="37">
        <f t="shared" si="18"/>
        <v>0</v>
      </c>
    </row>
    <row r="102" spans="1:14" x14ac:dyDescent="0.25">
      <c r="A102" s="56">
        <f t="shared" si="19"/>
        <v>0</v>
      </c>
      <c r="G102" s="13"/>
      <c r="H102" s="35">
        <v>97</v>
      </c>
      <c r="I102" s="36" t="str">
        <f t="shared" si="15"/>
        <v/>
      </c>
      <c r="J102" s="35">
        <f t="shared" si="20"/>
        <v>-5</v>
      </c>
      <c r="K102" s="35">
        <f t="shared" si="16"/>
        <v>-50</v>
      </c>
      <c r="L102" s="35"/>
      <c r="M102" s="37">
        <f t="shared" si="17"/>
        <v>0</v>
      </c>
      <c r="N102" s="37">
        <f t="shared" si="18"/>
        <v>0</v>
      </c>
    </row>
    <row r="103" spans="1:14" x14ac:dyDescent="0.25">
      <c r="A103" s="56">
        <f t="shared" si="19"/>
        <v>0</v>
      </c>
      <c r="G103" s="13"/>
      <c r="H103" s="35">
        <v>98</v>
      </c>
      <c r="I103" s="36" t="str">
        <f t="shared" si="15"/>
        <v/>
      </c>
      <c r="J103" s="35">
        <f t="shared" si="20"/>
        <v>-5</v>
      </c>
      <c r="K103" s="35">
        <f t="shared" si="16"/>
        <v>-50</v>
      </c>
      <c r="L103" s="35"/>
      <c r="M103" s="37">
        <f t="shared" si="17"/>
        <v>0</v>
      </c>
      <c r="N103" s="37">
        <f t="shared" si="18"/>
        <v>0</v>
      </c>
    </row>
    <row r="104" spans="1:14" x14ac:dyDescent="0.25">
      <c r="A104" s="56">
        <f t="shared" si="19"/>
        <v>0</v>
      </c>
      <c r="G104" s="13"/>
      <c r="H104" s="35">
        <v>99</v>
      </c>
      <c r="I104" s="36" t="str">
        <f t="shared" si="15"/>
        <v/>
      </c>
      <c r="J104" s="35">
        <f t="shared" si="20"/>
        <v>-5</v>
      </c>
      <c r="K104" s="35">
        <f t="shared" si="16"/>
        <v>-50</v>
      </c>
      <c r="L104" s="35"/>
      <c r="M104" s="37">
        <f t="shared" si="17"/>
        <v>0</v>
      </c>
      <c r="N104" s="37">
        <f t="shared" si="18"/>
        <v>0</v>
      </c>
    </row>
    <row r="105" spans="1:14" x14ac:dyDescent="0.25">
      <c r="A105" s="56">
        <f t="shared" si="19"/>
        <v>0</v>
      </c>
      <c r="G105" s="13"/>
      <c r="H105" s="35">
        <v>100</v>
      </c>
      <c r="I105" s="36" t="str">
        <f t="shared" si="15"/>
        <v/>
      </c>
      <c r="J105" s="35">
        <f t="shared" si="20"/>
        <v>-5</v>
      </c>
      <c r="K105" s="35">
        <f t="shared" si="16"/>
        <v>-50</v>
      </c>
      <c r="L105" s="35"/>
      <c r="M105" s="37">
        <f t="shared" si="17"/>
        <v>0</v>
      </c>
      <c r="N105" s="37">
        <f t="shared" si="18"/>
        <v>0</v>
      </c>
    </row>
    <row r="106" spans="1:14" x14ac:dyDescent="0.25">
      <c r="A106" s="56">
        <f t="shared" si="19"/>
        <v>0</v>
      </c>
      <c r="G106" s="13"/>
      <c r="H106" s="35">
        <v>101</v>
      </c>
      <c r="I106" s="36" t="str">
        <f t="shared" si="15"/>
        <v/>
      </c>
      <c r="J106" s="35">
        <f t="shared" si="20"/>
        <v>-5</v>
      </c>
      <c r="K106" s="35">
        <f t="shared" si="16"/>
        <v>-50</v>
      </c>
      <c r="L106" s="35"/>
      <c r="M106" s="37">
        <f t="shared" si="17"/>
        <v>0</v>
      </c>
      <c r="N106" s="37">
        <f t="shared" si="18"/>
        <v>0</v>
      </c>
    </row>
    <row r="107" spans="1:14" x14ac:dyDescent="0.25">
      <c r="A107" s="56">
        <f t="shared" si="19"/>
        <v>0</v>
      </c>
      <c r="G107" s="13"/>
      <c r="H107" s="35">
        <v>102</v>
      </c>
      <c r="I107" s="36" t="str">
        <f t="shared" si="15"/>
        <v/>
      </c>
      <c r="J107" s="35">
        <f t="shared" si="20"/>
        <v>-5</v>
      </c>
      <c r="K107" s="35">
        <f t="shared" si="16"/>
        <v>-50</v>
      </c>
      <c r="L107" s="35"/>
      <c r="M107" s="37">
        <f t="shared" si="17"/>
        <v>0</v>
      </c>
      <c r="N107" s="37">
        <f t="shared" si="18"/>
        <v>0</v>
      </c>
    </row>
    <row r="108" spans="1:14" x14ac:dyDescent="0.25">
      <c r="A108" s="56">
        <f t="shared" si="19"/>
        <v>0</v>
      </c>
      <c r="G108" s="13"/>
      <c r="H108" s="35">
        <v>103</v>
      </c>
      <c r="I108" s="36" t="str">
        <f t="shared" si="15"/>
        <v/>
      </c>
      <c r="J108" s="35">
        <f t="shared" si="20"/>
        <v>-5</v>
      </c>
      <c r="K108" s="35">
        <f t="shared" si="16"/>
        <v>-50</v>
      </c>
      <c r="L108" s="35"/>
      <c r="M108" s="37">
        <f t="shared" si="17"/>
        <v>0</v>
      </c>
      <c r="N108" s="37">
        <f t="shared" si="18"/>
        <v>0</v>
      </c>
    </row>
    <row r="109" spans="1:14" x14ac:dyDescent="0.25">
      <c r="A109" s="56">
        <f t="shared" si="19"/>
        <v>0</v>
      </c>
      <c r="G109" s="13"/>
      <c r="H109" s="35">
        <v>104</v>
      </c>
      <c r="I109" s="36" t="str">
        <f t="shared" si="15"/>
        <v/>
      </c>
      <c r="J109" s="35">
        <f t="shared" si="20"/>
        <v>-5</v>
      </c>
      <c r="K109" s="35">
        <f t="shared" si="16"/>
        <v>-50</v>
      </c>
      <c r="L109" s="35"/>
      <c r="M109" s="37">
        <f t="shared" si="17"/>
        <v>0</v>
      </c>
      <c r="N109" s="37">
        <f t="shared" si="18"/>
        <v>0</v>
      </c>
    </row>
    <row r="110" spans="1:14" x14ac:dyDescent="0.25">
      <c r="A110" s="56">
        <f t="shared" si="19"/>
        <v>0</v>
      </c>
      <c r="G110" s="13"/>
      <c r="H110" s="35">
        <v>105</v>
      </c>
      <c r="I110" s="36" t="str">
        <f t="shared" si="15"/>
        <v/>
      </c>
      <c r="J110" s="35">
        <f t="shared" si="20"/>
        <v>-5</v>
      </c>
      <c r="K110" s="35">
        <f t="shared" si="16"/>
        <v>-50</v>
      </c>
      <c r="L110" s="35"/>
      <c r="M110" s="37">
        <f t="shared" si="17"/>
        <v>0</v>
      </c>
      <c r="N110" s="37">
        <f t="shared" si="18"/>
        <v>0</v>
      </c>
    </row>
    <row r="111" spans="1:14" x14ac:dyDescent="0.25">
      <c r="A111" s="56">
        <f t="shared" si="19"/>
        <v>0</v>
      </c>
      <c r="G111" s="13"/>
      <c r="H111" s="35">
        <v>106</v>
      </c>
      <c r="I111" s="36" t="str">
        <f t="shared" si="15"/>
        <v/>
      </c>
      <c r="J111" s="35">
        <f t="shared" si="20"/>
        <v>-5</v>
      </c>
      <c r="K111" s="35">
        <f t="shared" si="16"/>
        <v>-50</v>
      </c>
      <c r="L111" s="35"/>
      <c r="M111" s="37">
        <f t="shared" si="17"/>
        <v>0</v>
      </c>
      <c r="N111" s="37">
        <f t="shared" si="18"/>
        <v>0</v>
      </c>
    </row>
    <row r="112" spans="1:14" x14ac:dyDescent="0.25">
      <c r="A112" s="56">
        <f t="shared" si="19"/>
        <v>0</v>
      </c>
      <c r="G112" s="13"/>
      <c r="H112" s="35">
        <v>107</v>
      </c>
      <c r="I112" s="36" t="str">
        <f t="shared" si="15"/>
        <v/>
      </c>
      <c r="J112" s="35">
        <f t="shared" si="20"/>
        <v>-5</v>
      </c>
      <c r="K112" s="35">
        <f t="shared" si="16"/>
        <v>-50</v>
      </c>
      <c r="L112" s="35"/>
      <c r="M112" s="37">
        <f t="shared" si="17"/>
        <v>0</v>
      </c>
      <c r="N112" s="37">
        <f t="shared" si="18"/>
        <v>0</v>
      </c>
    </row>
    <row r="113" spans="1:14" x14ac:dyDescent="0.25">
      <c r="A113" s="56">
        <f t="shared" si="19"/>
        <v>0</v>
      </c>
      <c r="G113" s="13"/>
      <c r="H113" s="35">
        <v>108</v>
      </c>
      <c r="I113" s="36" t="str">
        <f t="shared" si="15"/>
        <v/>
      </c>
      <c r="J113" s="35">
        <f t="shared" si="20"/>
        <v>-5</v>
      </c>
      <c r="K113" s="35">
        <f t="shared" si="16"/>
        <v>-50</v>
      </c>
      <c r="L113" s="35"/>
      <c r="M113" s="37">
        <f t="shared" si="17"/>
        <v>0</v>
      </c>
      <c r="N113" s="37">
        <f t="shared" si="18"/>
        <v>0</v>
      </c>
    </row>
    <row r="114" spans="1:14" x14ac:dyDescent="0.25">
      <c r="A114" s="56">
        <f t="shared" si="19"/>
        <v>0</v>
      </c>
      <c r="G114" s="13"/>
      <c r="H114" s="35">
        <v>109</v>
      </c>
      <c r="I114" s="36" t="str">
        <f t="shared" si="15"/>
        <v/>
      </c>
      <c r="J114" s="35">
        <f t="shared" si="20"/>
        <v>-5</v>
      </c>
      <c r="K114" s="35">
        <f t="shared" si="16"/>
        <v>-50</v>
      </c>
      <c r="L114" s="35"/>
      <c r="M114" s="37">
        <f t="shared" si="17"/>
        <v>0</v>
      </c>
      <c r="N114" s="37">
        <f t="shared" si="18"/>
        <v>0</v>
      </c>
    </row>
    <row r="115" spans="1:14" x14ac:dyDescent="0.25">
      <c r="A115" s="56">
        <f t="shared" si="19"/>
        <v>0</v>
      </c>
      <c r="G115" s="13"/>
      <c r="H115" s="35">
        <v>110</v>
      </c>
      <c r="I115" s="36" t="str">
        <f t="shared" si="15"/>
        <v/>
      </c>
      <c r="J115" s="35">
        <f t="shared" si="20"/>
        <v>-5</v>
      </c>
      <c r="K115" s="35">
        <f t="shared" si="16"/>
        <v>-50</v>
      </c>
      <c r="L115" s="35"/>
      <c r="M115" s="37">
        <f t="shared" si="17"/>
        <v>0</v>
      </c>
      <c r="N115" s="37">
        <f t="shared" si="18"/>
        <v>0</v>
      </c>
    </row>
    <row r="116" spans="1:14" x14ac:dyDescent="0.25">
      <c r="A116" s="56">
        <f t="shared" si="19"/>
        <v>0</v>
      </c>
      <c r="G116" s="13"/>
      <c r="H116" s="35">
        <v>111</v>
      </c>
      <c r="I116" s="36" t="str">
        <f t="shared" si="15"/>
        <v/>
      </c>
      <c r="J116" s="35">
        <f t="shared" si="20"/>
        <v>-5</v>
      </c>
      <c r="K116" s="35">
        <f t="shared" si="16"/>
        <v>-50</v>
      </c>
      <c r="L116" s="35"/>
      <c r="M116" s="37">
        <f t="shared" si="17"/>
        <v>0</v>
      </c>
      <c r="N116" s="37">
        <f t="shared" si="18"/>
        <v>0</v>
      </c>
    </row>
    <row r="117" spans="1:14" x14ac:dyDescent="0.25">
      <c r="A117" s="56">
        <f t="shared" si="19"/>
        <v>0</v>
      </c>
      <c r="G117" s="13"/>
      <c r="H117" s="35">
        <v>112</v>
      </c>
      <c r="I117" s="36" t="str">
        <f t="shared" si="15"/>
        <v/>
      </c>
      <c r="J117" s="35">
        <f t="shared" si="20"/>
        <v>-5</v>
      </c>
      <c r="K117" s="35">
        <f t="shared" si="16"/>
        <v>-50</v>
      </c>
      <c r="L117" s="35"/>
      <c r="M117" s="37">
        <f t="shared" si="17"/>
        <v>0</v>
      </c>
      <c r="N117" s="37">
        <f t="shared" si="18"/>
        <v>0</v>
      </c>
    </row>
    <row r="118" spans="1:14" x14ac:dyDescent="0.25">
      <c r="A118" s="56">
        <f t="shared" si="19"/>
        <v>0</v>
      </c>
      <c r="G118" s="13"/>
      <c r="H118" s="35">
        <v>113</v>
      </c>
      <c r="I118" s="36" t="str">
        <f t="shared" si="15"/>
        <v/>
      </c>
      <c r="J118" s="35">
        <f t="shared" si="20"/>
        <v>-5</v>
      </c>
      <c r="K118" s="35">
        <f t="shared" si="16"/>
        <v>-50</v>
      </c>
      <c r="L118" s="35"/>
      <c r="M118" s="37">
        <f t="shared" si="17"/>
        <v>0</v>
      </c>
      <c r="N118" s="37">
        <f t="shared" si="18"/>
        <v>0</v>
      </c>
    </row>
    <row r="119" spans="1:14" x14ac:dyDescent="0.25">
      <c r="A119" s="56">
        <f t="shared" si="19"/>
        <v>0</v>
      </c>
      <c r="G119" s="13"/>
      <c r="H119" s="35">
        <v>114</v>
      </c>
      <c r="I119" s="36" t="str">
        <f t="shared" si="15"/>
        <v/>
      </c>
      <c r="J119" s="35">
        <f t="shared" si="20"/>
        <v>-5</v>
      </c>
      <c r="K119" s="35">
        <f t="shared" si="16"/>
        <v>-50</v>
      </c>
      <c r="L119" s="35"/>
      <c r="M119" s="37">
        <f t="shared" si="17"/>
        <v>0</v>
      </c>
      <c r="N119" s="37">
        <f t="shared" si="18"/>
        <v>0</v>
      </c>
    </row>
    <row r="120" spans="1:14" x14ac:dyDescent="0.25">
      <c r="A120" s="56">
        <f t="shared" si="19"/>
        <v>0</v>
      </c>
      <c r="G120" s="13"/>
      <c r="H120" s="35">
        <v>115</v>
      </c>
      <c r="I120" s="36" t="str">
        <f t="shared" si="15"/>
        <v/>
      </c>
      <c r="J120" s="35">
        <f t="shared" si="20"/>
        <v>-5</v>
      </c>
      <c r="K120" s="35">
        <f t="shared" si="16"/>
        <v>-50</v>
      </c>
      <c r="L120" s="35"/>
      <c r="M120" s="37">
        <f t="shared" si="17"/>
        <v>0</v>
      </c>
      <c r="N120" s="37">
        <f t="shared" si="18"/>
        <v>0</v>
      </c>
    </row>
    <row r="121" spans="1:14" x14ac:dyDescent="0.25">
      <c r="A121" s="56">
        <f t="shared" si="19"/>
        <v>0</v>
      </c>
      <c r="G121" s="13"/>
      <c r="H121" s="35">
        <v>116</v>
      </c>
      <c r="I121" s="36" t="str">
        <f t="shared" si="15"/>
        <v/>
      </c>
      <c r="J121" s="35">
        <f t="shared" si="20"/>
        <v>-5</v>
      </c>
      <c r="K121" s="35">
        <f t="shared" si="16"/>
        <v>-50</v>
      </c>
      <c r="L121" s="35"/>
      <c r="M121" s="37">
        <f t="shared" si="17"/>
        <v>0</v>
      </c>
      <c r="N121" s="37">
        <f t="shared" si="18"/>
        <v>0</v>
      </c>
    </row>
    <row r="122" spans="1:14" x14ac:dyDescent="0.25">
      <c r="A122" s="56">
        <f t="shared" si="19"/>
        <v>0</v>
      </c>
      <c r="G122" s="13"/>
      <c r="H122" s="35">
        <v>117</v>
      </c>
      <c r="I122" s="36" t="str">
        <f t="shared" si="15"/>
        <v/>
      </c>
      <c r="J122" s="35">
        <f t="shared" si="20"/>
        <v>-5</v>
      </c>
      <c r="K122" s="35">
        <f t="shared" si="16"/>
        <v>-50</v>
      </c>
      <c r="L122" s="35"/>
      <c r="M122" s="37">
        <f t="shared" si="17"/>
        <v>0</v>
      </c>
      <c r="N122" s="37">
        <f t="shared" si="18"/>
        <v>0</v>
      </c>
    </row>
    <row r="123" spans="1:14" x14ac:dyDescent="0.25">
      <c r="A123" s="56">
        <f t="shared" si="19"/>
        <v>0</v>
      </c>
      <c r="G123" s="13"/>
      <c r="H123" s="35">
        <v>118</v>
      </c>
      <c r="I123" s="36" t="str">
        <f t="shared" si="15"/>
        <v/>
      </c>
      <c r="J123" s="35">
        <f t="shared" si="20"/>
        <v>-5</v>
      </c>
      <c r="K123" s="35">
        <f t="shared" si="16"/>
        <v>-50</v>
      </c>
      <c r="L123" s="35"/>
      <c r="M123" s="37">
        <f t="shared" si="17"/>
        <v>0</v>
      </c>
      <c r="N123" s="37">
        <f t="shared" si="18"/>
        <v>0</v>
      </c>
    </row>
    <row r="124" spans="1:14" x14ac:dyDescent="0.25">
      <c r="A124" s="56">
        <f t="shared" si="19"/>
        <v>0</v>
      </c>
      <c r="G124" s="13"/>
      <c r="H124" s="35">
        <v>119</v>
      </c>
      <c r="I124" s="36" t="str">
        <f t="shared" si="15"/>
        <v/>
      </c>
      <c r="J124" s="35">
        <f t="shared" si="20"/>
        <v>-5</v>
      </c>
      <c r="K124" s="35">
        <f t="shared" si="16"/>
        <v>-50</v>
      </c>
      <c r="L124" s="35"/>
      <c r="M124" s="37">
        <f t="shared" si="17"/>
        <v>0</v>
      </c>
      <c r="N124" s="37">
        <f t="shared" si="18"/>
        <v>0</v>
      </c>
    </row>
    <row r="125" spans="1:14" x14ac:dyDescent="0.25">
      <c r="A125" s="56">
        <f t="shared" si="19"/>
        <v>0</v>
      </c>
      <c r="G125" s="13"/>
      <c r="H125" s="35">
        <v>120</v>
      </c>
      <c r="I125" s="36" t="str">
        <f t="shared" si="15"/>
        <v/>
      </c>
      <c r="J125" s="35">
        <f t="shared" si="20"/>
        <v>-5</v>
      </c>
      <c r="K125" s="35">
        <f t="shared" si="16"/>
        <v>-50</v>
      </c>
      <c r="L125" s="35"/>
      <c r="M125" s="37">
        <f t="shared" si="17"/>
        <v>0</v>
      </c>
      <c r="N125" s="37">
        <f t="shared" si="18"/>
        <v>0</v>
      </c>
    </row>
    <row r="126" spans="1:14" x14ac:dyDescent="0.25">
      <c r="A126" s="56">
        <f t="shared" si="19"/>
        <v>0</v>
      </c>
      <c r="G126" s="13"/>
      <c r="H126" s="35">
        <v>121</v>
      </c>
      <c r="I126" s="36" t="str">
        <f t="shared" si="15"/>
        <v/>
      </c>
      <c r="J126" s="35">
        <f t="shared" si="20"/>
        <v>-5</v>
      </c>
      <c r="K126" s="35">
        <f t="shared" si="16"/>
        <v>-50</v>
      </c>
      <c r="L126" s="35"/>
      <c r="M126" s="37">
        <f t="shared" si="17"/>
        <v>0</v>
      </c>
      <c r="N126" s="37">
        <f t="shared" si="18"/>
        <v>0</v>
      </c>
    </row>
    <row r="127" spans="1:14" x14ac:dyDescent="0.25">
      <c r="A127" s="56">
        <f t="shared" si="19"/>
        <v>0</v>
      </c>
      <c r="G127" s="13"/>
      <c r="H127" s="35">
        <v>122</v>
      </c>
      <c r="I127" s="36" t="str">
        <f t="shared" si="15"/>
        <v/>
      </c>
      <c r="J127" s="35">
        <f t="shared" si="20"/>
        <v>-5</v>
      </c>
      <c r="K127" s="35">
        <f t="shared" si="16"/>
        <v>-50</v>
      </c>
      <c r="L127" s="35"/>
      <c r="M127" s="37">
        <f t="shared" si="17"/>
        <v>0</v>
      </c>
      <c r="N127" s="37">
        <f t="shared" si="18"/>
        <v>0</v>
      </c>
    </row>
    <row r="128" spans="1:14" x14ac:dyDescent="0.25">
      <c r="A128" s="56">
        <f t="shared" si="19"/>
        <v>0</v>
      </c>
      <c r="G128" s="13"/>
      <c r="H128" s="35">
        <v>123</v>
      </c>
      <c r="I128" s="36" t="str">
        <f t="shared" si="15"/>
        <v/>
      </c>
      <c r="J128" s="35">
        <f t="shared" si="20"/>
        <v>-5</v>
      </c>
      <c r="K128" s="35">
        <f t="shared" si="16"/>
        <v>-50</v>
      </c>
      <c r="L128" s="35"/>
      <c r="M128" s="37">
        <f t="shared" si="17"/>
        <v>0</v>
      </c>
      <c r="N128" s="37">
        <f t="shared" si="18"/>
        <v>0</v>
      </c>
    </row>
    <row r="129" spans="1:14" x14ac:dyDescent="0.25">
      <c r="A129" s="56">
        <f t="shared" si="19"/>
        <v>0</v>
      </c>
      <c r="G129" s="13"/>
      <c r="H129" s="35">
        <v>124</v>
      </c>
      <c r="I129" s="36" t="str">
        <f t="shared" si="15"/>
        <v/>
      </c>
      <c r="J129" s="35">
        <f t="shared" si="20"/>
        <v>-5</v>
      </c>
      <c r="K129" s="35">
        <f t="shared" si="16"/>
        <v>-50</v>
      </c>
      <c r="L129" s="35"/>
      <c r="M129" s="37">
        <f t="shared" si="17"/>
        <v>0</v>
      </c>
      <c r="N129" s="37">
        <f t="shared" si="18"/>
        <v>0</v>
      </c>
    </row>
    <row r="130" spans="1:14" x14ac:dyDescent="0.25">
      <c r="A130" s="56">
        <f t="shared" si="19"/>
        <v>0</v>
      </c>
      <c r="G130" s="13"/>
      <c r="H130" s="35">
        <v>125</v>
      </c>
      <c r="I130" s="36" t="str">
        <f t="shared" si="15"/>
        <v/>
      </c>
      <c r="J130" s="35">
        <f t="shared" si="20"/>
        <v>-5</v>
      </c>
      <c r="K130" s="35">
        <f t="shared" si="16"/>
        <v>-50</v>
      </c>
      <c r="L130" s="35"/>
      <c r="M130" s="37">
        <f t="shared" si="17"/>
        <v>0</v>
      </c>
      <c r="N130" s="37">
        <f t="shared" si="18"/>
        <v>0</v>
      </c>
    </row>
    <row r="131" spans="1:14" x14ac:dyDescent="0.25">
      <c r="A131" s="56">
        <f t="shared" si="19"/>
        <v>0</v>
      </c>
      <c r="G131" s="13"/>
      <c r="H131" s="35">
        <v>126</v>
      </c>
      <c r="I131" s="36" t="str">
        <f t="shared" si="15"/>
        <v/>
      </c>
      <c r="J131" s="35">
        <f t="shared" si="20"/>
        <v>-5</v>
      </c>
      <c r="K131" s="35">
        <f t="shared" si="16"/>
        <v>-50</v>
      </c>
      <c r="L131" s="35"/>
      <c r="M131" s="37">
        <f t="shared" si="17"/>
        <v>0</v>
      </c>
      <c r="N131" s="37">
        <f t="shared" si="18"/>
        <v>0</v>
      </c>
    </row>
    <row r="132" spans="1:14" x14ac:dyDescent="0.25">
      <c r="A132" s="56">
        <f t="shared" si="19"/>
        <v>0</v>
      </c>
      <c r="G132" s="13"/>
      <c r="H132" s="35">
        <v>127</v>
      </c>
      <c r="I132" s="36" t="str">
        <f t="shared" si="15"/>
        <v/>
      </c>
      <c r="J132" s="35">
        <f t="shared" si="20"/>
        <v>-5</v>
      </c>
      <c r="K132" s="35">
        <f t="shared" si="16"/>
        <v>-50</v>
      </c>
      <c r="L132" s="35"/>
      <c r="M132" s="37">
        <f t="shared" si="17"/>
        <v>0</v>
      </c>
      <c r="N132" s="37">
        <f t="shared" si="18"/>
        <v>0</v>
      </c>
    </row>
    <row r="133" spans="1:14" x14ac:dyDescent="0.25">
      <c r="A133" s="56">
        <f t="shared" si="19"/>
        <v>0</v>
      </c>
      <c r="G133" s="13"/>
      <c r="H133" s="35">
        <v>128</v>
      </c>
      <c r="I133" s="36" t="str">
        <f t="shared" si="15"/>
        <v/>
      </c>
      <c r="J133" s="35">
        <f t="shared" si="20"/>
        <v>-5</v>
      </c>
      <c r="K133" s="35">
        <f t="shared" si="16"/>
        <v>-50</v>
      </c>
      <c r="L133" s="35"/>
      <c r="M133" s="37">
        <f t="shared" si="17"/>
        <v>0</v>
      </c>
      <c r="N133" s="37">
        <f t="shared" si="18"/>
        <v>0</v>
      </c>
    </row>
    <row r="134" spans="1:14" x14ac:dyDescent="0.25">
      <c r="A134" s="56">
        <f t="shared" si="19"/>
        <v>0</v>
      </c>
      <c r="G134" s="13"/>
      <c r="H134" s="35">
        <v>129</v>
      </c>
      <c r="I134" s="36" t="str">
        <f t="shared" ref="I134:I197" si="21">IF(H134&lt;$H$2+1,($I$2-($I$2-1)*(LOG(H134)/LOG($H$2))),"")</f>
        <v/>
      </c>
      <c r="J134" s="35">
        <f t="shared" si="20"/>
        <v>-6</v>
      </c>
      <c r="K134" s="35">
        <f t="shared" ref="K134:K197" si="22">J134*$J$2</f>
        <v>-60</v>
      </c>
      <c r="L134" s="35"/>
      <c r="M134" s="37">
        <f t="shared" ref="M134:M197" si="23">IF(I134&lt;&gt;"",K134+I134+L134,0)</f>
        <v>0</v>
      </c>
      <c r="N134" s="37">
        <f t="shared" ref="N134:N197" si="24">IF(I134&lt;&gt;"",M134*L$2,0)</f>
        <v>0</v>
      </c>
    </row>
    <row r="135" spans="1:14" x14ac:dyDescent="0.25">
      <c r="A135" s="56">
        <f t="shared" ref="A135:A198" si="25">N135</f>
        <v>0</v>
      </c>
      <c r="G135" s="13"/>
      <c r="H135" s="35">
        <v>130</v>
      </c>
      <c r="I135" s="36" t="str">
        <f t="shared" si="21"/>
        <v/>
      </c>
      <c r="J135" s="35">
        <f t="shared" ref="J135:J198" si="26">INT(LOG($H$2,2))-ROUNDUP(LOG(H135,2),0)+IF(OR($H$2=1,$H$2=2,$H$2=4,$H$2=8,$H$2=16,$H$2=32,$H$2=64,$H$2=128,$H$2=256),0,1)</f>
        <v>-6</v>
      </c>
      <c r="K135" s="35">
        <f t="shared" si="22"/>
        <v>-60</v>
      </c>
      <c r="L135" s="35"/>
      <c r="M135" s="37">
        <f t="shared" si="23"/>
        <v>0</v>
      </c>
      <c r="N135" s="37">
        <f t="shared" si="24"/>
        <v>0</v>
      </c>
    </row>
    <row r="136" spans="1:14" x14ac:dyDescent="0.25">
      <c r="A136" s="56">
        <f t="shared" si="25"/>
        <v>0</v>
      </c>
      <c r="G136" s="13"/>
      <c r="H136" s="35">
        <v>131</v>
      </c>
      <c r="I136" s="36" t="str">
        <f t="shared" si="21"/>
        <v/>
      </c>
      <c r="J136" s="35">
        <f t="shared" si="26"/>
        <v>-6</v>
      </c>
      <c r="K136" s="35">
        <f t="shared" si="22"/>
        <v>-60</v>
      </c>
      <c r="L136" s="35"/>
      <c r="M136" s="37">
        <f t="shared" si="23"/>
        <v>0</v>
      </c>
      <c r="N136" s="37">
        <f t="shared" si="24"/>
        <v>0</v>
      </c>
    </row>
    <row r="137" spans="1:14" x14ac:dyDescent="0.25">
      <c r="A137" s="56">
        <f t="shared" si="25"/>
        <v>0</v>
      </c>
      <c r="G137" s="13"/>
      <c r="H137" s="35">
        <v>132</v>
      </c>
      <c r="I137" s="36" t="str">
        <f t="shared" si="21"/>
        <v/>
      </c>
      <c r="J137" s="35">
        <f t="shared" si="26"/>
        <v>-6</v>
      </c>
      <c r="K137" s="35">
        <f t="shared" si="22"/>
        <v>-60</v>
      </c>
      <c r="L137" s="35"/>
      <c r="M137" s="37">
        <f t="shared" si="23"/>
        <v>0</v>
      </c>
      <c r="N137" s="37">
        <f t="shared" si="24"/>
        <v>0</v>
      </c>
    </row>
    <row r="138" spans="1:14" x14ac:dyDescent="0.25">
      <c r="A138" s="56">
        <f t="shared" si="25"/>
        <v>0</v>
      </c>
      <c r="G138" s="13"/>
      <c r="H138" s="35">
        <v>133</v>
      </c>
      <c r="I138" s="36" t="str">
        <f t="shared" si="21"/>
        <v/>
      </c>
      <c r="J138" s="35">
        <f t="shared" si="26"/>
        <v>-6</v>
      </c>
      <c r="K138" s="35">
        <f t="shared" si="22"/>
        <v>-60</v>
      </c>
      <c r="L138" s="35"/>
      <c r="M138" s="37">
        <f t="shared" si="23"/>
        <v>0</v>
      </c>
      <c r="N138" s="37">
        <f t="shared" si="24"/>
        <v>0</v>
      </c>
    </row>
    <row r="139" spans="1:14" x14ac:dyDescent="0.25">
      <c r="A139" s="56">
        <f t="shared" si="25"/>
        <v>0</v>
      </c>
      <c r="G139" s="13"/>
      <c r="H139" s="35">
        <v>134</v>
      </c>
      <c r="I139" s="36" t="str">
        <f t="shared" si="21"/>
        <v/>
      </c>
      <c r="J139" s="35">
        <f t="shared" si="26"/>
        <v>-6</v>
      </c>
      <c r="K139" s="35">
        <f t="shared" si="22"/>
        <v>-60</v>
      </c>
      <c r="L139" s="35"/>
      <c r="M139" s="37">
        <f t="shared" si="23"/>
        <v>0</v>
      </c>
      <c r="N139" s="37">
        <f t="shared" si="24"/>
        <v>0</v>
      </c>
    </row>
    <row r="140" spans="1:14" x14ac:dyDescent="0.25">
      <c r="A140" s="56">
        <f t="shared" si="25"/>
        <v>0</v>
      </c>
      <c r="G140" s="13"/>
      <c r="H140" s="35">
        <v>135</v>
      </c>
      <c r="I140" s="36" t="str">
        <f t="shared" si="21"/>
        <v/>
      </c>
      <c r="J140" s="35">
        <f t="shared" si="26"/>
        <v>-6</v>
      </c>
      <c r="K140" s="35">
        <f t="shared" si="22"/>
        <v>-60</v>
      </c>
      <c r="L140" s="35"/>
      <c r="M140" s="37">
        <f t="shared" si="23"/>
        <v>0</v>
      </c>
      <c r="N140" s="37">
        <f t="shared" si="24"/>
        <v>0</v>
      </c>
    </row>
    <row r="141" spans="1:14" x14ac:dyDescent="0.25">
      <c r="A141" s="56">
        <f t="shared" si="25"/>
        <v>0</v>
      </c>
      <c r="G141" s="13"/>
      <c r="H141" s="35">
        <v>136</v>
      </c>
      <c r="I141" s="36" t="str">
        <f t="shared" si="21"/>
        <v/>
      </c>
      <c r="J141" s="35">
        <f t="shared" si="26"/>
        <v>-6</v>
      </c>
      <c r="K141" s="35">
        <f t="shared" si="22"/>
        <v>-60</v>
      </c>
      <c r="L141" s="35"/>
      <c r="M141" s="37">
        <f t="shared" si="23"/>
        <v>0</v>
      </c>
      <c r="N141" s="37">
        <f t="shared" si="24"/>
        <v>0</v>
      </c>
    </row>
    <row r="142" spans="1:14" x14ac:dyDescent="0.25">
      <c r="A142" s="56">
        <f t="shared" si="25"/>
        <v>0</v>
      </c>
      <c r="G142" s="13"/>
      <c r="H142" s="35">
        <v>137</v>
      </c>
      <c r="I142" s="36" t="str">
        <f t="shared" si="21"/>
        <v/>
      </c>
      <c r="J142" s="35">
        <f t="shared" si="26"/>
        <v>-6</v>
      </c>
      <c r="K142" s="35">
        <f t="shared" si="22"/>
        <v>-60</v>
      </c>
      <c r="L142" s="35"/>
      <c r="M142" s="37">
        <f t="shared" si="23"/>
        <v>0</v>
      </c>
      <c r="N142" s="37">
        <f t="shared" si="24"/>
        <v>0</v>
      </c>
    </row>
    <row r="143" spans="1:14" x14ac:dyDescent="0.25">
      <c r="A143" s="56">
        <f t="shared" si="25"/>
        <v>0</v>
      </c>
      <c r="G143" s="13"/>
      <c r="H143" s="35">
        <v>138</v>
      </c>
      <c r="I143" s="36" t="str">
        <f t="shared" si="21"/>
        <v/>
      </c>
      <c r="J143" s="35">
        <f t="shared" si="26"/>
        <v>-6</v>
      </c>
      <c r="K143" s="35">
        <f t="shared" si="22"/>
        <v>-60</v>
      </c>
      <c r="L143" s="35"/>
      <c r="M143" s="37">
        <f t="shared" si="23"/>
        <v>0</v>
      </c>
      <c r="N143" s="37">
        <f t="shared" si="24"/>
        <v>0</v>
      </c>
    </row>
    <row r="144" spans="1:14" x14ac:dyDescent="0.25">
      <c r="A144" s="56">
        <f t="shared" si="25"/>
        <v>0</v>
      </c>
      <c r="G144" s="13"/>
      <c r="H144" s="35">
        <v>139</v>
      </c>
      <c r="I144" s="36" t="str">
        <f t="shared" si="21"/>
        <v/>
      </c>
      <c r="J144" s="35">
        <f t="shared" si="26"/>
        <v>-6</v>
      </c>
      <c r="K144" s="35">
        <f t="shared" si="22"/>
        <v>-60</v>
      </c>
      <c r="L144" s="35"/>
      <c r="M144" s="37">
        <f t="shared" si="23"/>
        <v>0</v>
      </c>
      <c r="N144" s="37">
        <f t="shared" si="24"/>
        <v>0</v>
      </c>
    </row>
    <row r="145" spans="1:14" x14ac:dyDescent="0.25">
      <c r="A145" s="56">
        <f t="shared" si="25"/>
        <v>0</v>
      </c>
      <c r="G145" s="13"/>
      <c r="H145" s="35">
        <v>140</v>
      </c>
      <c r="I145" s="36" t="str">
        <f t="shared" si="21"/>
        <v/>
      </c>
      <c r="J145" s="35">
        <f t="shared" si="26"/>
        <v>-6</v>
      </c>
      <c r="K145" s="35">
        <f t="shared" si="22"/>
        <v>-60</v>
      </c>
      <c r="L145" s="35"/>
      <c r="M145" s="37">
        <f t="shared" si="23"/>
        <v>0</v>
      </c>
      <c r="N145" s="37">
        <f t="shared" si="24"/>
        <v>0</v>
      </c>
    </row>
    <row r="146" spans="1:14" x14ac:dyDescent="0.25">
      <c r="A146" s="56">
        <f t="shared" si="25"/>
        <v>0</v>
      </c>
      <c r="G146" s="13"/>
      <c r="H146" s="35">
        <v>141</v>
      </c>
      <c r="I146" s="36" t="str">
        <f t="shared" si="21"/>
        <v/>
      </c>
      <c r="J146" s="35">
        <f t="shared" si="26"/>
        <v>-6</v>
      </c>
      <c r="K146" s="35">
        <f t="shared" si="22"/>
        <v>-60</v>
      </c>
      <c r="L146" s="35"/>
      <c r="M146" s="37">
        <f t="shared" si="23"/>
        <v>0</v>
      </c>
      <c r="N146" s="37">
        <f t="shared" si="24"/>
        <v>0</v>
      </c>
    </row>
    <row r="147" spans="1:14" x14ac:dyDescent="0.25">
      <c r="A147" s="56">
        <f t="shared" si="25"/>
        <v>0</v>
      </c>
      <c r="G147" s="13"/>
      <c r="H147" s="35">
        <v>142</v>
      </c>
      <c r="I147" s="36" t="str">
        <f t="shared" si="21"/>
        <v/>
      </c>
      <c r="J147" s="35">
        <f t="shared" si="26"/>
        <v>-6</v>
      </c>
      <c r="K147" s="35">
        <f t="shared" si="22"/>
        <v>-60</v>
      </c>
      <c r="L147" s="35"/>
      <c r="M147" s="37">
        <f t="shared" si="23"/>
        <v>0</v>
      </c>
      <c r="N147" s="37">
        <f t="shared" si="24"/>
        <v>0</v>
      </c>
    </row>
    <row r="148" spans="1:14" x14ac:dyDescent="0.25">
      <c r="A148" s="56">
        <f t="shared" si="25"/>
        <v>0</v>
      </c>
      <c r="G148" s="13"/>
      <c r="H148" s="35">
        <v>143</v>
      </c>
      <c r="I148" s="36" t="str">
        <f t="shared" si="21"/>
        <v/>
      </c>
      <c r="J148" s="35">
        <f t="shared" si="26"/>
        <v>-6</v>
      </c>
      <c r="K148" s="35">
        <f t="shared" si="22"/>
        <v>-60</v>
      </c>
      <c r="L148" s="35"/>
      <c r="M148" s="37">
        <f t="shared" si="23"/>
        <v>0</v>
      </c>
      <c r="N148" s="37">
        <f t="shared" si="24"/>
        <v>0</v>
      </c>
    </row>
    <row r="149" spans="1:14" x14ac:dyDescent="0.25">
      <c r="A149" s="56">
        <f t="shared" si="25"/>
        <v>0</v>
      </c>
      <c r="G149" s="13"/>
      <c r="H149" s="35">
        <v>144</v>
      </c>
      <c r="I149" s="36" t="str">
        <f t="shared" si="21"/>
        <v/>
      </c>
      <c r="J149" s="35">
        <f t="shared" si="26"/>
        <v>-6</v>
      </c>
      <c r="K149" s="35">
        <f t="shared" si="22"/>
        <v>-60</v>
      </c>
      <c r="L149" s="35"/>
      <c r="M149" s="37">
        <f t="shared" si="23"/>
        <v>0</v>
      </c>
      <c r="N149" s="37">
        <f t="shared" si="24"/>
        <v>0</v>
      </c>
    </row>
    <row r="150" spans="1:14" x14ac:dyDescent="0.25">
      <c r="A150" s="56">
        <f t="shared" si="25"/>
        <v>0</v>
      </c>
      <c r="G150" s="13"/>
      <c r="H150" s="35">
        <v>145</v>
      </c>
      <c r="I150" s="36" t="str">
        <f t="shared" si="21"/>
        <v/>
      </c>
      <c r="J150" s="35">
        <f t="shared" si="26"/>
        <v>-6</v>
      </c>
      <c r="K150" s="35">
        <f t="shared" si="22"/>
        <v>-60</v>
      </c>
      <c r="L150" s="35"/>
      <c r="M150" s="37">
        <f t="shared" si="23"/>
        <v>0</v>
      </c>
      <c r="N150" s="37">
        <f t="shared" si="24"/>
        <v>0</v>
      </c>
    </row>
    <row r="151" spans="1:14" x14ac:dyDescent="0.25">
      <c r="A151" s="56">
        <f t="shared" si="25"/>
        <v>0</v>
      </c>
      <c r="G151" s="13"/>
      <c r="H151" s="35">
        <v>146</v>
      </c>
      <c r="I151" s="36" t="str">
        <f t="shared" si="21"/>
        <v/>
      </c>
      <c r="J151" s="35">
        <f t="shared" si="26"/>
        <v>-6</v>
      </c>
      <c r="K151" s="35">
        <f t="shared" si="22"/>
        <v>-60</v>
      </c>
      <c r="L151" s="35"/>
      <c r="M151" s="37">
        <f t="shared" si="23"/>
        <v>0</v>
      </c>
      <c r="N151" s="37">
        <f t="shared" si="24"/>
        <v>0</v>
      </c>
    </row>
    <row r="152" spans="1:14" x14ac:dyDescent="0.25">
      <c r="A152" s="56">
        <f t="shared" si="25"/>
        <v>0</v>
      </c>
      <c r="G152" s="13"/>
      <c r="H152" s="35">
        <v>147</v>
      </c>
      <c r="I152" s="36" t="str">
        <f t="shared" si="21"/>
        <v/>
      </c>
      <c r="J152" s="35">
        <f t="shared" si="26"/>
        <v>-6</v>
      </c>
      <c r="K152" s="35">
        <f t="shared" si="22"/>
        <v>-60</v>
      </c>
      <c r="L152" s="35"/>
      <c r="M152" s="37">
        <f t="shared" si="23"/>
        <v>0</v>
      </c>
      <c r="N152" s="37">
        <f t="shared" si="24"/>
        <v>0</v>
      </c>
    </row>
    <row r="153" spans="1:14" x14ac:dyDescent="0.25">
      <c r="A153" s="56">
        <f t="shared" si="25"/>
        <v>0</v>
      </c>
      <c r="G153" s="13"/>
      <c r="H153" s="35">
        <v>148</v>
      </c>
      <c r="I153" s="36" t="str">
        <f t="shared" si="21"/>
        <v/>
      </c>
      <c r="J153" s="35">
        <f t="shared" si="26"/>
        <v>-6</v>
      </c>
      <c r="K153" s="35">
        <f t="shared" si="22"/>
        <v>-60</v>
      </c>
      <c r="L153" s="35"/>
      <c r="M153" s="37">
        <f t="shared" si="23"/>
        <v>0</v>
      </c>
      <c r="N153" s="37">
        <f t="shared" si="24"/>
        <v>0</v>
      </c>
    </row>
    <row r="154" spans="1:14" x14ac:dyDescent="0.25">
      <c r="A154" s="56">
        <f t="shared" si="25"/>
        <v>0</v>
      </c>
      <c r="G154" s="13"/>
      <c r="H154" s="35">
        <v>149</v>
      </c>
      <c r="I154" s="36" t="str">
        <f t="shared" si="21"/>
        <v/>
      </c>
      <c r="J154" s="35">
        <f t="shared" si="26"/>
        <v>-6</v>
      </c>
      <c r="K154" s="35">
        <f t="shared" si="22"/>
        <v>-60</v>
      </c>
      <c r="L154" s="35"/>
      <c r="M154" s="37">
        <f t="shared" si="23"/>
        <v>0</v>
      </c>
      <c r="N154" s="37">
        <f t="shared" si="24"/>
        <v>0</v>
      </c>
    </row>
    <row r="155" spans="1:14" x14ac:dyDescent="0.25">
      <c r="A155" s="56">
        <f t="shared" si="25"/>
        <v>0</v>
      </c>
      <c r="G155" s="13"/>
      <c r="H155" s="35">
        <v>150</v>
      </c>
      <c r="I155" s="36" t="str">
        <f t="shared" si="21"/>
        <v/>
      </c>
      <c r="J155" s="35">
        <f t="shared" si="26"/>
        <v>-6</v>
      </c>
      <c r="K155" s="35">
        <f t="shared" si="22"/>
        <v>-60</v>
      </c>
      <c r="L155" s="35"/>
      <c r="M155" s="37">
        <f t="shared" si="23"/>
        <v>0</v>
      </c>
      <c r="N155" s="37">
        <f t="shared" si="24"/>
        <v>0</v>
      </c>
    </row>
    <row r="156" spans="1:14" x14ac:dyDescent="0.25">
      <c r="A156" s="56">
        <f t="shared" si="25"/>
        <v>0</v>
      </c>
      <c r="G156" s="13"/>
      <c r="H156" s="35">
        <v>151</v>
      </c>
      <c r="I156" s="36" t="str">
        <f t="shared" si="21"/>
        <v/>
      </c>
      <c r="J156" s="35">
        <f t="shared" si="26"/>
        <v>-6</v>
      </c>
      <c r="K156" s="35">
        <f t="shared" si="22"/>
        <v>-60</v>
      </c>
      <c r="L156" s="35"/>
      <c r="M156" s="37">
        <f t="shared" si="23"/>
        <v>0</v>
      </c>
      <c r="N156" s="37">
        <f t="shared" si="24"/>
        <v>0</v>
      </c>
    </row>
    <row r="157" spans="1:14" x14ac:dyDescent="0.25">
      <c r="A157" s="56">
        <f t="shared" si="25"/>
        <v>0</v>
      </c>
      <c r="G157" s="13"/>
      <c r="H157" s="35">
        <v>152</v>
      </c>
      <c r="I157" s="36" t="str">
        <f t="shared" si="21"/>
        <v/>
      </c>
      <c r="J157" s="35">
        <f t="shared" si="26"/>
        <v>-6</v>
      </c>
      <c r="K157" s="35">
        <f t="shared" si="22"/>
        <v>-60</v>
      </c>
      <c r="L157" s="35"/>
      <c r="M157" s="37">
        <f t="shared" si="23"/>
        <v>0</v>
      </c>
      <c r="N157" s="37">
        <f t="shared" si="24"/>
        <v>0</v>
      </c>
    </row>
    <row r="158" spans="1:14" x14ac:dyDescent="0.25">
      <c r="A158" s="56">
        <f t="shared" si="25"/>
        <v>0</v>
      </c>
      <c r="G158" s="13"/>
      <c r="H158" s="35">
        <v>153</v>
      </c>
      <c r="I158" s="36" t="str">
        <f t="shared" si="21"/>
        <v/>
      </c>
      <c r="J158" s="35">
        <f t="shared" si="26"/>
        <v>-6</v>
      </c>
      <c r="K158" s="35">
        <f t="shared" si="22"/>
        <v>-60</v>
      </c>
      <c r="L158" s="35"/>
      <c r="M158" s="37">
        <f t="shared" si="23"/>
        <v>0</v>
      </c>
      <c r="N158" s="37">
        <f t="shared" si="24"/>
        <v>0</v>
      </c>
    </row>
    <row r="159" spans="1:14" x14ac:dyDescent="0.25">
      <c r="A159" s="56">
        <f t="shared" si="25"/>
        <v>0</v>
      </c>
      <c r="G159" s="13"/>
      <c r="H159" s="35">
        <v>154</v>
      </c>
      <c r="I159" s="36" t="str">
        <f t="shared" si="21"/>
        <v/>
      </c>
      <c r="J159" s="35">
        <f t="shared" si="26"/>
        <v>-6</v>
      </c>
      <c r="K159" s="35">
        <f t="shared" si="22"/>
        <v>-60</v>
      </c>
      <c r="L159" s="35"/>
      <c r="M159" s="37">
        <f t="shared" si="23"/>
        <v>0</v>
      </c>
      <c r="N159" s="37">
        <f t="shared" si="24"/>
        <v>0</v>
      </c>
    </row>
    <row r="160" spans="1:14" x14ac:dyDescent="0.25">
      <c r="A160" s="56">
        <f t="shared" si="25"/>
        <v>0</v>
      </c>
      <c r="G160" s="13"/>
      <c r="H160" s="35">
        <v>155</v>
      </c>
      <c r="I160" s="36" t="str">
        <f t="shared" si="21"/>
        <v/>
      </c>
      <c r="J160" s="35">
        <f t="shared" si="26"/>
        <v>-6</v>
      </c>
      <c r="K160" s="35">
        <f t="shared" si="22"/>
        <v>-60</v>
      </c>
      <c r="L160" s="35"/>
      <c r="M160" s="37">
        <f t="shared" si="23"/>
        <v>0</v>
      </c>
      <c r="N160" s="37">
        <f t="shared" si="24"/>
        <v>0</v>
      </c>
    </row>
    <row r="161" spans="1:14" x14ac:dyDescent="0.25">
      <c r="A161" s="56">
        <f t="shared" si="25"/>
        <v>0</v>
      </c>
      <c r="G161" s="13"/>
      <c r="H161" s="35">
        <v>156</v>
      </c>
      <c r="I161" s="36" t="str">
        <f t="shared" si="21"/>
        <v/>
      </c>
      <c r="J161" s="35">
        <f t="shared" si="26"/>
        <v>-6</v>
      </c>
      <c r="K161" s="35">
        <f t="shared" si="22"/>
        <v>-60</v>
      </c>
      <c r="L161" s="35"/>
      <c r="M161" s="37">
        <f t="shared" si="23"/>
        <v>0</v>
      </c>
      <c r="N161" s="37">
        <f t="shared" si="24"/>
        <v>0</v>
      </c>
    </row>
    <row r="162" spans="1:14" x14ac:dyDescent="0.25">
      <c r="A162" s="56">
        <f t="shared" si="25"/>
        <v>0</v>
      </c>
      <c r="G162" s="13"/>
      <c r="H162" s="35">
        <v>157</v>
      </c>
      <c r="I162" s="36" t="str">
        <f t="shared" si="21"/>
        <v/>
      </c>
      <c r="J162" s="35">
        <f t="shared" si="26"/>
        <v>-6</v>
      </c>
      <c r="K162" s="35">
        <f t="shared" si="22"/>
        <v>-60</v>
      </c>
      <c r="L162" s="35"/>
      <c r="M162" s="37">
        <f t="shared" si="23"/>
        <v>0</v>
      </c>
      <c r="N162" s="37">
        <f t="shared" si="24"/>
        <v>0</v>
      </c>
    </row>
    <row r="163" spans="1:14" x14ac:dyDescent="0.25">
      <c r="A163" s="56">
        <f t="shared" si="25"/>
        <v>0</v>
      </c>
      <c r="G163" s="13"/>
      <c r="H163" s="35">
        <v>158</v>
      </c>
      <c r="I163" s="36" t="str">
        <f t="shared" si="21"/>
        <v/>
      </c>
      <c r="J163" s="35">
        <f t="shared" si="26"/>
        <v>-6</v>
      </c>
      <c r="K163" s="35">
        <f t="shared" si="22"/>
        <v>-60</v>
      </c>
      <c r="L163" s="35"/>
      <c r="M163" s="37">
        <f t="shared" si="23"/>
        <v>0</v>
      </c>
      <c r="N163" s="37">
        <f t="shared" si="24"/>
        <v>0</v>
      </c>
    </row>
    <row r="164" spans="1:14" x14ac:dyDescent="0.25">
      <c r="A164" s="56">
        <f t="shared" si="25"/>
        <v>0</v>
      </c>
      <c r="G164" s="13"/>
      <c r="H164" s="35">
        <v>159</v>
      </c>
      <c r="I164" s="36" t="str">
        <f t="shared" si="21"/>
        <v/>
      </c>
      <c r="J164" s="35">
        <f t="shared" si="26"/>
        <v>-6</v>
      </c>
      <c r="K164" s="35">
        <f t="shared" si="22"/>
        <v>-60</v>
      </c>
      <c r="L164" s="35"/>
      <c r="M164" s="37">
        <f t="shared" si="23"/>
        <v>0</v>
      </c>
      <c r="N164" s="37">
        <f t="shared" si="24"/>
        <v>0</v>
      </c>
    </row>
    <row r="165" spans="1:14" x14ac:dyDescent="0.25">
      <c r="A165" s="56">
        <f t="shared" si="25"/>
        <v>0</v>
      </c>
      <c r="G165" s="13"/>
      <c r="H165" s="35">
        <v>160</v>
      </c>
      <c r="I165" s="36" t="str">
        <f t="shared" si="21"/>
        <v/>
      </c>
      <c r="J165" s="35">
        <f t="shared" si="26"/>
        <v>-6</v>
      </c>
      <c r="K165" s="35">
        <f t="shared" si="22"/>
        <v>-60</v>
      </c>
      <c r="L165" s="35"/>
      <c r="M165" s="37">
        <f t="shared" si="23"/>
        <v>0</v>
      </c>
      <c r="N165" s="37">
        <f t="shared" si="24"/>
        <v>0</v>
      </c>
    </row>
    <row r="166" spans="1:14" x14ac:dyDescent="0.25">
      <c r="A166" s="56">
        <f t="shared" si="25"/>
        <v>0</v>
      </c>
      <c r="G166" s="13"/>
      <c r="H166" s="35">
        <v>161</v>
      </c>
      <c r="I166" s="36" t="str">
        <f t="shared" si="21"/>
        <v/>
      </c>
      <c r="J166" s="35">
        <f t="shared" si="26"/>
        <v>-6</v>
      </c>
      <c r="K166" s="35">
        <f t="shared" si="22"/>
        <v>-60</v>
      </c>
      <c r="L166" s="35"/>
      <c r="M166" s="37">
        <f t="shared" si="23"/>
        <v>0</v>
      </c>
      <c r="N166" s="37">
        <f t="shared" si="24"/>
        <v>0</v>
      </c>
    </row>
    <row r="167" spans="1:14" x14ac:dyDescent="0.25">
      <c r="A167" s="56">
        <f t="shared" si="25"/>
        <v>0</v>
      </c>
      <c r="G167" s="13"/>
      <c r="H167" s="35">
        <v>162</v>
      </c>
      <c r="I167" s="36" t="str">
        <f t="shared" si="21"/>
        <v/>
      </c>
      <c r="J167" s="35">
        <f t="shared" si="26"/>
        <v>-6</v>
      </c>
      <c r="K167" s="35">
        <f t="shared" si="22"/>
        <v>-60</v>
      </c>
      <c r="L167" s="35"/>
      <c r="M167" s="37">
        <f t="shared" si="23"/>
        <v>0</v>
      </c>
      <c r="N167" s="37">
        <f t="shared" si="24"/>
        <v>0</v>
      </c>
    </row>
    <row r="168" spans="1:14" x14ac:dyDescent="0.25">
      <c r="A168" s="56">
        <f t="shared" si="25"/>
        <v>0</v>
      </c>
      <c r="G168" s="13"/>
      <c r="H168" s="35">
        <v>163</v>
      </c>
      <c r="I168" s="36" t="str">
        <f t="shared" si="21"/>
        <v/>
      </c>
      <c r="J168" s="35">
        <f t="shared" si="26"/>
        <v>-6</v>
      </c>
      <c r="K168" s="35">
        <f t="shared" si="22"/>
        <v>-60</v>
      </c>
      <c r="L168" s="35"/>
      <c r="M168" s="37">
        <f t="shared" si="23"/>
        <v>0</v>
      </c>
      <c r="N168" s="37">
        <f t="shared" si="24"/>
        <v>0</v>
      </c>
    </row>
    <row r="169" spans="1:14" x14ac:dyDescent="0.25">
      <c r="A169" s="56">
        <f t="shared" si="25"/>
        <v>0</v>
      </c>
      <c r="G169" s="13"/>
      <c r="H169" s="35">
        <v>164</v>
      </c>
      <c r="I169" s="36" t="str">
        <f t="shared" si="21"/>
        <v/>
      </c>
      <c r="J169" s="35">
        <f t="shared" si="26"/>
        <v>-6</v>
      </c>
      <c r="K169" s="35">
        <f t="shared" si="22"/>
        <v>-60</v>
      </c>
      <c r="L169" s="35"/>
      <c r="M169" s="37">
        <f t="shared" si="23"/>
        <v>0</v>
      </c>
      <c r="N169" s="37">
        <f t="shared" si="24"/>
        <v>0</v>
      </c>
    </row>
    <row r="170" spans="1:14" x14ac:dyDescent="0.25">
      <c r="A170" s="56">
        <f t="shared" si="25"/>
        <v>0</v>
      </c>
      <c r="G170" s="13"/>
      <c r="H170" s="35">
        <v>165</v>
      </c>
      <c r="I170" s="36" t="str">
        <f t="shared" si="21"/>
        <v/>
      </c>
      <c r="J170" s="35">
        <f t="shared" si="26"/>
        <v>-6</v>
      </c>
      <c r="K170" s="35">
        <f t="shared" si="22"/>
        <v>-60</v>
      </c>
      <c r="L170" s="35"/>
      <c r="M170" s="37">
        <f t="shared" si="23"/>
        <v>0</v>
      </c>
      <c r="N170" s="37">
        <f t="shared" si="24"/>
        <v>0</v>
      </c>
    </row>
    <row r="171" spans="1:14" x14ac:dyDescent="0.25">
      <c r="A171" s="56">
        <f t="shared" si="25"/>
        <v>0</v>
      </c>
      <c r="G171" s="13"/>
      <c r="H171" s="35">
        <v>166</v>
      </c>
      <c r="I171" s="36" t="str">
        <f t="shared" si="21"/>
        <v/>
      </c>
      <c r="J171" s="35">
        <f t="shared" si="26"/>
        <v>-6</v>
      </c>
      <c r="K171" s="35">
        <f t="shared" si="22"/>
        <v>-60</v>
      </c>
      <c r="L171" s="35"/>
      <c r="M171" s="37">
        <f t="shared" si="23"/>
        <v>0</v>
      </c>
      <c r="N171" s="37">
        <f t="shared" si="24"/>
        <v>0</v>
      </c>
    </row>
    <row r="172" spans="1:14" x14ac:dyDescent="0.25">
      <c r="A172" s="56">
        <f t="shared" si="25"/>
        <v>0</v>
      </c>
      <c r="G172" s="13"/>
      <c r="H172" s="35">
        <v>167</v>
      </c>
      <c r="I172" s="36" t="str">
        <f t="shared" si="21"/>
        <v/>
      </c>
      <c r="J172" s="35">
        <f t="shared" si="26"/>
        <v>-6</v>
      </c>
      <c r="K172" s="35">
        <f t="shared" si="22"/>
        <v>-60</v>
      </c>
      <c r="L172" s="35"/>
      <c r="M172" s="37">
        <f t="shared" si="23"/>
        <v>0</v>
      </c>
      <c r="N172" s="37">
        <f t="shared" si="24"/>
        <v>0</v>
      </c>
    </row>
    <row r="173" spans="1:14" x14ac:dyDescent="0.25">
      <c r="A173" s="56">
        <f t="shared" si="25"/>
        <v>0</v>
      </c>
      <c r="G173" s="13"/>
      <c r="H173" s="35">
        <v>168</v>
      </c>
      <c r="I173" s="36" t="str">
        <f t="shared" si="21"/>
        <v/>
      </c>
      <c r="J173" s="35">
        <f t="shared" si="26"/>
        <v>-6</v>
      </c>
      <c r="K173" s="35">
        <f t="shared" si="22"/>
        <v>-60</v>
      </c>
      <c r="L173" s="35"/>
      <c r="M173" s="37">
        <f t="shared" si="23"/>
        <v>0</v>
      </c>
      <c r="N173" s="37">
        <f t="shared" si="24"/>
        <v>0</v>
      </c>
    </row>
    <row r="174" spans="1:14" x14ac:dyDescent="0.25">
      <c r="A174" s="56">
        <f t="shared" si="25"/>
        <v>0</v>
      </c>
      <c r="G174" s="13"/>
      <c r="H174" s="35">
        <v>169</v>
      </c>
      <c r="I174" s="36" t="str">
        <f t="shared" si="21"/>
        <v/>
      </c>
      <c r="J174" s="35">
        <f t="shared" si="26"/>
        <v>-6</v>
      </c>
      <c r="K174" s="35">
        <f t="shared" si="22"/>
        <v>-60</v>
      </c>
      <c r="L174" s="35"/>
      <c r="M174" s="37">
        <f t="shared" si="23"/>
        <v>0</v>
      </c>
      <c r="N174" s="37">
        <f t="shared" si="24"/>
        <v>0</v>
      </c>
    </row>
    <row r="175" spans="1:14" x14ac:dyDescent="0.25">
      <c r="A175" s="56">
        <f t="shared" si="25"/>
        <v>0</v>
      </c>
      <c r="G175" s="13"/>
      <c r="H175" s="35">
        <v>170</v>
      </c>
      <c r="I175" s="36" t="str">
        <f t="shared" si="21"/>
        <v/>
      </c>
      <c r="J175" s="35">
        <f t="shared" si="26"/>
        <v>-6</v>
      </c>
      <c r="K175" s="35">
        <f t="shared" si="22"/>
        <v>-60</v>
      </c>
      <c r="L175" s="35"/>
      <c r="M175" s="37">
        <f t="shared" si="23"/>
        <v>0</v>
      </c>
      <c r="N175" s="37">
        <f t="shared" si="24"/>
        <v>0</v>
      </c>
    </row>
    <row r="176" spans="1:14" x14ac:dyDescent="0.25">
      <c r="A176" s="56">
        <f t="shared" si="25"/>
        <v>0</v>
      </c>
      <c r="G176" s="13"/>
      <c r="H176" s="35">
        <v>171</v>
      </c>
      <c r="I176" s="36" t="str">
        <f t="shared" si="21"/>
        <v/>
      </c>
      <c r="J176" s="35">
        <f t="shared" si="26"/>
        <v>-6</v>
      </c>
      <c r="K176" s="35">
        <f t="shared" si="22"/>
        <v>-60</v>
      </c>
      <c r="L176" s="35"/>
      <c r="M176" s="37">
        <f t="shared" si="23"/>
        <v>0</v>
      </c>
      <c r="N176" s="37">
        <f t="shared" si="24"/>
        <v>0</v>
      </c>
    </row>
    <row r="177" spans="1:14" x14ac:dyDescent="0.25">
      <c r="A177" s="56">
        <f t="shared" si="25"/>
        <v>0</v>
      </c>
      <c r="G177" s="13"/>
      <c r="H177" s="35">
        <v>172</v>
      </c>
      <c r="I177" s="36" t="str">
        <f t="shared" si="21"/>
        <v/>
      </c>
      <c r="J177" s="35">
        <f t="shared" si="26"/>
        <v>-6</v>
      </c>
      <c r="K177" s="35">
        <f t="shared" si="22"/>
        <v>-60</v>
      </c>
      <c r="L177" s="35"/>
      <c r="M177" s="37">
        <f t="shared" si="23"/>
        <v>0</v>
      </c>
      <c r="N177" s="37">
        <f t="shared" si="24"/>
        <v>0</v>
      </c>
    </row>
    <row r="178" spans="1:14" x14ac:dyDescent="0.25">
      <c r="A178" s="56">
        <f t="shared" si="25"/>
        <v>0</v>
      </c>
      <c r="G178" s="13"/>
      <c r="H178" s="35">
        <v>173</v>
      </c>
      <c r="I178" s="36" t="str">
        <f t="shared" si="21"/>
        <v/>
      </c>
      <c r="J178" s="35">
        <f t="shared" si="26"/>
        <v>-6</v>
      </c>
      <c r="K178" s="35">
        <f t="shared" si="22"/>
        <v>-60</v>
      </c>
      <c r="L178" s="35"/>
      <c r="M178" s="37">
        <f t="shared" si="23"/>
        <v>0</v>
      </c>
      <c r="N178" s="37">
        <f t="shared" si="24"/>
        <v>0</v>
      </c>
    </row>
    <row r="179" spans="1:14" x14ac:dyDescent="0.25">
      <c r="A179" s="56">
        <f t="shared" si="25"/>
        <v>0</v>
      </c>
      <c r="G179" s="13"/>
      <c r="H179" s="35">
        <v>174</v>
      </c>
      <c r="I179" s="36" t="str">
        <f t="shared" si="21"/>
        <v/>
      </c>
      <c r="J179" s="35">
        <f t="shared" si="26"/>
        <v>-6</v>
      </c>
      <c r="K179" s="35">
        <f t="shared" si="22"/>
        <v>-60</v>
      </c>
      <c r="L179" s="35"/>
      <c r="M179" s="37">
        <f t="shared" si="23"/>
        <v>0</v>
      </c>
      <c r="N179" s="37">
        <f t="shared" si="24"/>
        <v>0</v>
      </c>
    </row>
    <row r="180" spans="1:14" x14ac:dyDescent="0.25">
      <c r="A180" s="56">
        <f t="shared" si="25"/>
        <v>0</v>
      </c>
      <c r="G180" s="13"/>
      <c r="H180" s="35">
        <v>175</v>
      </c>
      <c r="I180" s="36" t="str">
        <f t="shared" si="21"/>
        <v/>
      </c>
      <c r="J180" s="35">
        <f t="shared" si="26"/>
        <v>-6</v>
      </c>
      <c r="K180" s="35">
        <f t="shared" si="22"/>
        <v>-60</v>
      </c>
      <c r="L180" s="35"/>
      <c r="M180" s="37">
        <f t="shared" si="23"/>
        <v>0</v>
      </c>
      <c r="N180" s="37">
        <f t="shared" si="24"/>
        <v>0</v>
      </c>
    </row>
    <row r="181" spans="1:14" x14ac:dyDescent="0.25">
      <c r="A181" s="56">
        <f t="shared" si="25"/>
        <v>0</v>
      </c>
      <c r="G181" s="13"/>
      <c r="H181" s="35">
        <v>176</v>
      </c>
      <c r="I181" s="36" t="str">
        <f t="shared" si="21"/>
        <v/>
      </c>
      <c r="J181" s="35">
        <f t="shared" si="26"/>
        <v>-6</v>
      </c>
      <c r="K181" s="35">
        <f t="shared" si="22"/>
        <v>-60</v>
      </c>
      <c r="L181" s="35"/>
      <c r="M181" s="37">
        <f t="shared" si="23"/>
        <v>0</v>
      </c>
      <c r="N181" s="37">
        <f t="shared" si="24"/>
        <v>0</v>
      </c>
    </row>
    <row r="182" spans="1:14" x14ac:dyDescent="0.25">
      <c r="A182" s="56">
        <f t="shared" si="25"/>
        <v>0</v>
      </c>
      <c r="G182" s="13"/>
      <c r="H182" s="35">
        <v>177</v>
      </c>
      <c r="I182" s="36" t="str">
        <f t="shared" si="21"/>
        <v/>
      </c>
      <c r="J182" s="35">
        <f t="shared" si="26"/>
        <v>-6</v>
      </c>
      <c r="K182" s="35">
        <f t="shared" si="22"/>
        <v>-60</v>
      </c>
      <c r="L182" s="35"/>
      <c r="M182" s="37">
        <f t="shared" si="23"/>
        <v>0</v>
      </c>
      <c r="N182" s="37">
        <f t="shared" si="24"/>
        <v>0</v>
      </c>
    </row>
    <row r="183" spans="1:14" x14ac:dyDescent="0.25">
      <c r="A183" s="56">
        <f t="shared" si="25"/>
        <v>0</v>
      </c>
      <c r="G183" s="13"/>
      <c r="H183" s="35">
        <v>178</v>
      </c>
      <c r="I183" s="36" t="str">
        <f t="shared" si="21"/>
        <v/>
      </c>
      <c r="J183" s="35">
        <f t="shared" si="26"/>
        <v>-6</v>
      </c>
      <c r="K183" s="35">
        <f t="shared" si="22"/>
        <v>-60</v>
      </c>
      <c r="L183" s="35"/>
      <c r="M183" s="37">
        <f t="shared" si="23"/>
        <v>0</v>
      </c>
      <c r="N183" s="37">
        <f t="shared" si="24"/>
        <v>0</v>
      </c>
    </row>
    <row r="184" spans="1:14" x14ac:dyDescent="0.25">
      <c r="A184" s="56">
        <f t="shared" si="25"/>
        <v>0</v>
      </c>
      <c r="G184" s="13"/>
      <c r="H184" s="35">
        <v>179</v>
      </c>
      <c r="I184" s="36" t="str">
        <f t="shared" si="21"/>
        <v/>
      </c>
      <c r="J184" s="35">
        <f t="shared" si="26"/>
        <v>-6</v>
      </c>
      <c r="K184" s="35">
        <f t="shared" si="22"/>
        <v>-60</v>
      </c>
      <c r="L184" s="35"/>
      <c r="M184" s="37">
        <f t="shared" si="23"/>
        <v>0</v>
      </c>
      <c r="N184" s="37">
        <f t="shared" si="24"/>
        <v>0</v>
      </c>
    </row>
    <row r="185" spans="1:14" x14ac:dyDescent="0.25">
      <c r="A185" s="56">
        <f t="shared" si="25"/>
        <v>0</v>
      </c>
      <c r="G185" s="13"/>
      <c r="H185" s="35">
        <v>180</v>
      </c>
      <c r="I185" s="36" t="str">
        <f t="shared" si="21"/>
        <v/>
      </c>
      <c r="J185" s="35">
        <f t="shared" si="26"/>
        <v>-6</v>
      </c>
      <c r="K185" s="35">
        <f t="shared" si="22"/>
        <v>-60</v>
      </c>
      <c r="L185" s="35"/>
      <c r="M185" s="37">
        <f t="shared" si="23"/>
        <v>0</v>
      </c>
      <c r="N185" s="37">
        <f t="shared" si="24"/>
        <v>0</v>
      </c>
    </row>
    <row r="186" spans="1:14" x14ac:dyDescent="0.25">
      <c r="A186" s="56">
        <f t="shared" si="25"/>
        <v>0</v>
      </c>
      <c r="G186" s="13"/>
      <c r="H186" s="35">
        <v>181</v>
      </c>
      <c r="I186" s="36" t="str">
        <f t="shared" si="21"/>
        <v/>
      </c>
      <c r="J186" s="35">
        <f t="shared" si="26"/>
        <v>-6</v>
      </c>
      <c r="K186" s="35">
        <f t="shared" si="22"/>
        <v>-60</v>
      </c>
      <c r="L186" s="35"/>
      <c r="M186" s="37">
        <f t="shared" si="23"/>
        <v>0</v>
      </c>
      <c r="N186" s="37">
        <f t="shared" si="24"/>
        <v>0</v>
      </c>
    </row>
    <row r="187" spans="1:14" x14ac:dyDescent="0.25">
      <c r="A187" s="56">
        <f t="shared" si="25"/>
        <v>0</v>
      </c>
      <c r="G187" s="13"/>
      <c r="H187" s="35">
        <v>182</v>
      </c>
      <c r="I187" s="36" t="str">
        <f t="shared" si="21"/>
        <v/>
      </c>
      <c r="J187" s="35">
        <f t="shared" si="26"/>
        <v>-6</v>
      </c>
      <c r="K187" s="35">
        <f t="shared" si="22"/>
        <v>-60</v>
      </c>
      <c r="L187" s="35"/>
      <c r="M187" s="37">
        <f t="shared" si="23"/>
        <v>0</v>
      </c>
      <c r="N187" s="37">
        <f t="shared" si="24"/>
        <v>0</v>
      </c>
    </row>
    <row r="188" spans="1:14" x14ac:dyDescent="0.25">
      <c r="A188" s="56">
        <f t="shared" si="25"/>
        <v>0</v>
      </c>
      <c r="G188" s="13"/>
      <c r="H188" s="35">
        <v>183</v>
      </c>
      <c r="I188" s="36" t="str">
        <f t="shared" si="21"/>
        <v/>
      </c>
      <c r="J188" s="35">
        <f t="shared" si="26"/>
        <v>-6</v>
      </c>
      <c r="K188" s="35">
        <f t="shared" si="22"/>
        <v>-60</v>
      </c>
      <c r="L188" s="35"/>
      <c r="M188" s="37">
        <f t="shared" si="23"/>
        <v>0</v>
      </c>
      <c r="N188" s="37">
        <f t="shared" si="24"/>
        <v>0</v>
      </c>
    </row>
    <row r="189" spans="1:14" x14ac:dyDescent="0.25">
      <c r="A189" s="56">
        <f t="shared" si="25"/>
        <v>0</v>
      </c>
      <c r="G189" s="13"/>
      <c r="H189" s="35">
        <v>184</v>
      </c>
      <c r="I189" s="36" t="str">
        <f t="shared" si="21"/>
        <v/>
      </c>
      <c r="J189" s="35">
        <f t="shared" si="26"/>
        <v>-6</v>
      </c>
      <c r="K189" s="35">
        <f t="shared" si="22"/>
        <v>-60</v>
      </c>
      <c r="L189" s="35"/>
      <c r="M189" s="37">
        <f t="shared" si="23"/>
        <v>0</v>
      </c>
      <c r="N189" s="37">
        <f t="shared" si="24"/>
        <v>0</v>
      </c>
    </row>
    <row r="190" spans="1:14" x14ac:dyDescent="0.25">
      <c r="A190" s="56">
        <f t="shared" si="25"/>
        <v>0</v>
      </c>
      <c r="G190" s="13"/>
      <c r="H190" s="35">
        <v>185</v>
      </c>
      <c r="I190" s="36" t="str">
        <f t="shared" si="21"/>
        <v/>
      </c>
      <c r="J190" s="35">
        <f t="shared" si="26"/>
        <v>-6</v>
      </c>
      <c r="K190" s="35">
        <f t="shared" si="22"/>
        <v>-60</v>
      </c>
      <c r="L190" s="35"/>
      <c r="M190" s="37">
        <f t="shared" si="23"/>
        <v>0</v>
      </c>
      <c r="N190" s="37">
        <f t="shared" si="24"/>
        <v>0</v>
      </c>
    </row>
    <row r="191" spans="1:14" x14ac:dyDescent="0.25">
      <c r="A191" s="56">
        <f t="shared" si="25"/>
        <v>0</v>
      </c>
      <c r="G191" s="13"/>
      <c r="H191" s="35">
        <v>186</v>
      </c>
      <c r="I191" s="36" t="str">
        <f t="shared" si="21"/>
        <v/>
      </c>
      <c r="J191" s="35">
        <f t="shared" si="26"/>
        <v>-6</v>
      </c>
      <c r="K191" s="35">
        <f t="shared" si="22"/>
        <v>-60</v>
      </c>
      <c r="L191" s="35"/>
      <c r="M191" s="37">
        <f t="shared" si="23"/>
        <v>0</v>
      </c>
      <c r="N191" s="37">
        <f t="shared" si="24"/>
        <v>0</v>
      </c>
    </row>
    <row r="192" spans="1:14" x14ac:dyDescent="0.25">
      <c r="A192" s="56">
        <f t="shared" si="25"/>
        <v>0</v>
      </c>
      <c r="G192" s="13"/>
      <c r="H192" s="35">
        <v>187</v>
      </c>
      <c r="I192" s="36" t="str">
        <f t="shared" si="21"/>
        <v/>
      </c>
      <c r="J192" s="35">
        <f t="shared" si="26"/>
        <v>-6</v>
      </c>
      <c r="K192" s="35">
        <f t="shared" si="22"/>
        <v>-60</v>
      </c>
      <c r="L192" s="35"/>
      <c r="M192" s="37">
        <f t="shared" si="23"/>
        <v>0</v>
      </c>
      <c r="N192" s="37">
        <f t="shared" si="24"/>
        <v>0</v>
      </c>
    </row>
    <row r="193" spans="1:14" x14ac:dyDescent="0.25">
      <c r="A193" s="56">
        <f t="shared" si="25"/>
        <v>0</v>
      </c>
      <c r="G193" s="13"/>
      <c r="H193" s="35">
        <v>188</v>
      </c>
      <c r="I193" s="36" t="str">
        <f t="shared" si="21"/>
        <v/>
      </c>
      <c r="J193" s="35">
        <f t="shared" si="26"/>
        <v>-6</v>
      </c>
      <c r="K193" s="35">
        <f t="shared" si="22"/>
        <v>-60</v>
      </c>
      <c r="L193" s="35"/>
      <c r="M193" s="37">
        <f t="shared" si="23"/>
        <v>0</v>
      </c>
      <c r="N193" s="37">
        <f t="shared" si="24"/>
        <v>0</v>
      </c>
    </row>
    <row r="194" spans="1:14" x14ac:dyDescent="0.25">
      <c r="A194" s="56">
        <f t="shared" si="25"/>
        <v>0</v>
      </c>
      <c r="G194" s="13"/>
      <c r="H194" s="35">
        <v>189</v>
      </c>
      <c r="I194" s="36" t="str">
        <f t="shared" si="21"/>
        <v/>
      </c>
      <c r="J194" s="35">
        <f t="shared" si="26"/>
        <v>-6</v>
      </c>
      <c r="K194" s="35">
        <f t="shared" si="22"/>
        <v>-60</v>
      </c>
      <c r="L194" s="35"/>
      <c r="M194" s="37">
        <f t="shared" si="23"/>
        <v>0</v>
      </c>
      <c r="N194" s="37">
        <f t="shared" si="24"/>
        <v>0</v>
      </c>
    </row>
    <row r="195" spans="1:14" x14ac:dyDescent="0.25">
      <c r="A195" s="56">
        <f t="shared" si="25"/>
        <v>0</v>
      </c>
      <c r="G195" s="13"/>
      <c r="H195" s="35">
        <v>190</v>
      </c>
      <c r="I195" s="36" t="str">
        <f t="shared" si="21"/>
        <v/>
      </c>
      <c r="J195" s="35">
        <f t="shared" si="26"/>
        <v>-6</v>
      </c>
      <c r="K195" s="35">
        <f t="shared" si="22"/>
        <v>-60</v>
      </c>
      <c r="L195" s="35"/>
      <c r="M195" s="37">
        <f t="shared" si="23"/>
        <v>0</v>
      </c>
      <c r="N195" s="37">
        <f t="shared" si="24"/>
        <v>0</v>
      </c>
    </row>
    <row r="196" spans="1:14" x14ac:dyDescent="0.25">
      <c r="A196" s="56">
        <f t="shared" si="25"/>
        <v>0</v>
      </c>
      <c r="G196" s="13"/>
      <c r="H196" s="35">
        <v>191</v>
      </c>
      <c r="I196" s="36" t="str">
        <f t="shared" si="21"/>
        <v/>
      </c>
      <c r="J196" s="35">
        <f t="shared" si="26"/>
        <v>-6</v>
      </c>
      <c r="K196" s="35">
        <f t="shared" si="22"/>
        <v>-60</v>
      </c>
      <c r="L196" s="35"/>
      <c r="M196" s="37">
        <f t="shared" si="23"/>
        <v>0</v>
      </c>
      <c r="N196" s="37">
        <f t="shared" si="24"/>
        <v>0</v>
      </c>
    </row>
    <row r="197" spans="1:14" x14ac:dyDescent="0.25">
      <c r="A197" s="56">
        <f t="shared" si="25"/>
        <v>0</v>
      </c>
      <c r="G197" s="13"/>
      <c r="H197" s="35">
        <v>192</v>
      </c>
      <c r="I197" s="36" t="str">
        <f t="shared" si="21"/>
        <v/>
      </c>
      <c r="J197" s="35">
        <f t="shared" si="26"/>
        <v>-6</v>
      </c>
      <c r="K197" s="35">
        <f t="shared" si="22"/>
        <v>-60</v>
      </c>
      <c r="L197" s="35"/>
      <c r="M197" s="37">
        <f t="shared" si="23"/>
        <v>0</v>
      </c>
      <c r="N197" s="37">
        <f t="shared" si="24"/>
        <v>0</v>
      </c>
    </row>
    <row r="198" spans="1:14" x14ac:dyDescent="0.25">
      <c r="A198" s="56">
        <f t="shared" si="25"/>
        <v>0</v>
      </c>
      <c r="G198" s="13"/>
      <c r="H198" s="35">
        <v>193</v>
      </c>
      <c r="I198" s="36" t="str">
        <f t="shared" ref="I198:I261" si="27">IF(H198&lt;$H$2+1,($I$2-($I$2-1)*(LOG(H198)/LOG($H$2))),"")</f>
        <v/>
      </c>
      <c r="J198" s="35">
        <f t="shared" si="26"/>
        <v>-6</v>
      </c>
      <c r="K198" s="35">
        <f t="shared" ref="K198:K261" si="28">J198*$J$2</f>
        <v>-60</v>
      </c>
      <c r="L198" s="35"/>
      <c r="M198" s="37">
        <f t="shared" ref="M198:M261" si="29">IF(I198&lt;&gt;"",K198+I198+L198,0)</f>
        <v>0</v>
      </c>
      <c r="N198" s="37">
        <f t="shared" ref="N198:N261" si="30">IF(I198&lt;&gt;"",M198*L$2,0)</f>
        <v>0</v>
      </c>
    </row>
    <row r="199" spans="1:14" x14ac:dyDescent="0.25">
      <c r="A199" s="56">
        <f t="shared" ref="A199:A262" si="31">N199</f>
        <v>0</v>
      </c>
      <c r="G199" s="13"/>
      <c r="H199" s="35">
        <v>194</v>
      </c>
      <c r="I199" s="36" t="str">
        <f t="shared" si="27"/>
        <v/>
      </c>
      <c r="J199" s="35">
        <f t="shared" ref="J199:J262" si="32">INT(LOG($H$2,2))-ROUNDUP(LOG(H199,2),0)+IF(OR($H$2=1,$H$2=2,$H$2=4,$H$2=8,$H$2=16,$H$2=32,$H$2=64,$H$2=128,$H$2=256),0,1)</f>
        <v>-6</v>
      </c>
      <c r="K199" s="35">
        <f t="shared" si="28"/>
        <v>-60</v>
      </c>
      <c r="L199" s="35"/>
      <c r="M199" s="37">
        <f t="shared" si="29"/>
        <v>0</v>
      </c>
      <c r="N199" s="37">
        <f t="shared" si="30"/>
        <v>0</v>
      </c>
    </row>
    <row r="200" spans="1:14" x14ac:dyDescent="0.25">
      <c r="A200" s="56">
        <f t="shared" si="31"/>
        <v>0</v>
      </c>
      <c r="G200" s="13"/>
      <c r="H200" s="35">
        <v>195</v>
      </c>
      <c r="I200" s="36" t="str">
        <f t="shared" si="27"/>
        <v/>
      </c>
      <c r="J200" s="35">
        <f t="shared" si="32"/>
        <v>-6</v>
      </c>
      <c r="K200" s="35">
        <f t="shared" si="28"/>
        <v>-60</v>
      </c>
      <c r="L200" s="35"/>
      <c r="M200" s="37">
        <f t="shared" si="29"/>
        <v>0</v>
      </c>
      <c r="N200" s="37">
        <f t="shared" si="30"/>
        <v>0</v>
      </c>
    </row>
    <row r="201" spans="1:14" x14ac:dyDescent="0.25">
      <c r="A201" s="56">
        <f t="shared" si="31"/>
        <v>0</v>
      </c>
      <c r="G201" s="13"/>
      <c r="H201" s="35">
        <v>196</v>
      </c>
      <c r="I201" s="36" t="str">
        <f t="shared" si="27"/>
        <v/>
      </c>
      <c r="J201" s="35">
        <f t="shared" si="32"/>
        <v>-6</v>
      </c>
      <c r="K201" s="35">
        <f t="shared" si="28"/>
        <v>-60</v>
      </c>
      <c r="L201" s="35"/>
      <c r="M201" s="37">
        <f t="shared" si="29"/>
        <v>0</v>
      </c>
      <c r="N201" s="37">
        <f t="shared" si="30"/>
        <v>0</v>
      </c>
    </row>
    <row r="202" spans="1:14" x14ac:dyDescent="0.25">
      <c r="A202" s="56">
        <f t="shared" si="31"/>
        <v>0</v>
      </c>
      <c r="G202" s="13"/>
      <c r="H202" s="35">
        <v>197</v>
      </c>
      <c r="I202" s="36" t="str">
        <f t="shared" si="27"/>
        <v/>
      </c>
      <c r="J202" s="35">
        <f t="shared" si="32"/>
        <v>-6</v>
      </c>
      <c r="K202" s="35">
        <f t="shared" si="28"/>
        <v>-60</v>
      </c>
      <c r="L202" s="35"/>
      <c r="M202" s="37">
        <f t="shared" si="29"/>
        <v>0</v>
      </c>
      <c r="N202" s="37">
        <f t="shared" si="30"/>
        <v>0</v>
      </c>
    </row>
    <row r="203" spans="1:14" x14ac:dyDescent="0.25">
      <c r="A203" s="56">
        <f t="shared" si="31"/>
        <v>0</v>
      </c>
      <c r="G203" s="13"/>
      <c r="H203" s="35">
        <v>198</v>
      </c>
      <c r="I203" s="36" t="str">
        <f t="shared" si="27"/>
        <v/>
      </c>
      <c r="J203" s="35">
        <f t="shared" si="32"/>
        <v>-6</v>
      </c>
      <c r="K203" s="35">
        <f t="shared" si="28"/>
        <v>-60</v>
      </c>
      <c r="L203" s="35"/>
      <c r="M203" s="37">
        <f t="shared" si="29"/>
        <v>0</v>
      </c>
      <c r="N203" s="37">
        <f t="shared" si="30"/>
        <v>0</v>
      </c>
    </row>
    <row r="204" spans="1:14" x14ac:dyDescent="0.25">
      <c r="A204" s="56">
        <f t="shared" si="31"/>
        <v>0</v>
      </c>
      <c r="G204" s="13"/>
      <c r="H204" s="35">
        <v>199</v>
      </c>
      <c r="I204" s="36" t="str">
        <f t="shared" si="27"/>
        <v/>
      </c>
      <c r="J204" s="35">
        <f t="shared" si="32"/>
        <v>-6</v>
      </c>
      <c r="K204" s="35">
        <f t="shared" si="28"/>
        <v>-60</v>
      </c>
      <c r="L204" s="35"/>
      <c r="M204" s="37">
        <f t="shared" si="29"/>
        <v>0</v>
      </c>
      <c r="N204" s="37">
        <f t="shared" si="30"/>
        <v>0</v>
      </c>
    </row>
    <row r="205" spans="1:14" x14ac:dyDescent="0.25">
      <c r="A205" s="56">
        <f t="shared" si="31"/>
        <v>0</v>
      </c>
      <c r="G205" s="13"/>
      <c r="H205" s="35">
        <v>200</v>
      </c>
      <c r="I205" s="36" t="str">
        <f t="shared" si="27"/>
        <v/>
      </c>
      <c r="J205" s="35">
        <f t="shared" si="32"/>
        <v>-6</v>
      </c>
      <c r="K205" s="35">
        <f t="shared" si="28"/>
        <v>-60</v>
      </c>
      <c r="L205" s="35"/>
      <c r="M205" s="37">
        <f t="shared" si="29"/>
        <v>0</v>
      </c>
      <c r="N205" s="37">
        <f t="shared" si="30"/>
        <v>0</v>
      </c>
    </row>
    <row r="206" spans="1:14" x14ac:dyDescent="0.25">
      <c r="A206" s="56">
        <f t="shared" si="31"/>
        <v>0</v>
      </c>
      <c r="G206" s="13"/>
      <c r="H206" s="35">
        <v>201</v>
      </c>
      <c r="I206" s="36" t="str">
        <f t="shared" si="27"/>
        <v/>
      </c>
      <c r="J206" s="35">
        <f t="shared" si="32"/>
        <v>-6</v>
      </c>
      <c r="K206" s="35">
        <f t="shared" si="28"/>
        <v>-60</v>
      </c>
      <c r="L206" s="35"/>
      <c r="M206" s="37">
        <f t="shared" si="29"/>
        <v>0</v>
      </c>
      <c r="N206" s="37">
        <f t="shared" si="30"/>
        <v>0</v>
      </c>
    </row>
    <row r="207" spans="1:14" x14ac:dyDescent="0.25">
      <c r="A207" s="56">
        <f t="shared" si="31"/>
        <v>0</v>
      </c>
      <c r="G207" s="13"/>
      <c r="H207" s="35">
        <v>202</v>
      </c>
      <c r="I207" s="36" t="str">
        <f t="shared" si="27"/>
        <v/>
      </c>
      <c r="J207" s="35">
        <f t="shared" si="32"/>
        <v>-6</v>
      </c>
      <c r="K207" s="35">
        <f t="shared" si="28"/>
        <v>-60</v>
      </c>
      <c r="L207" s="35"/>
      <c r="M207" s="37">
        <f t="shared" si="29"/>
        <v>0</v>
      </c>
      <c r="N207" s="37">
        <f t="shared" si="30"/>
        <v>0</v>
      </c>
    </row>
    <row r="208" spans="1:14" x14ac:dyDescent="0.25">
      <c r="A208" s="56">
        <f t="shared" si="31"/>
        <v>0</v>
      </c>
      <c r="G208" s="13"/>
      <c r="H208" s="35">
        <v>203</v>
      </c>
      <c r="I208" s="36" t="str">
        <f t="shared" si="27"/>
        <v/>
      </c>
      <c r="J208" s="35">
        <f t="shared" si="32"/>
        <v>-6</v>
      </c>
      <c r="K208" s="35">
        <f t="shared" si="28"/>
        <v>-60</v>
      </c>
      <c r="L208" s="35"/>
      <c r="M208" s="37">
        <f t="shared" si="29"/>
        <v>0</v>
      </c>
      <c r="N208" s="37">
        <f t="shared" si="30"/>
        <v>0</v>
      </c>
    </row>
    <row r="209" spans="1:14" x14ac:dyDescent="0.25">
      <c r="A209" s="56">
        <f t="shared" si="31"/>
        <v>0</v>
      </c>
      <c r="G209" s="13"/>
      <c r="H209" s="35">
        <v>204</v>
      </c>
      <c r="I209" s="36" t="str">
        <f t="shared" si="27"/>
        <v/>
      </c>
      <c r="J209" s="35">
        <f t="shared" si="32"/>
        <v>-6</v>
      </c>
      <c r="K209" s="35">
        <f t="shared" si="28"/>
        <v>-60</v>
      </c>
      <c r="L209" s="35"/>
      <c r="M209" s="37">
        <f t="shared" si="29"/>
        <v>0</v>
      </c>
      <c r="N209" s="37">
        <f t="shared" si="30"/>
        <v>0</v>
      </c>
    </row>
    <row r="210" spans="1:14" x14ac:dyDescent="0.25">
      <c r="A210" s="56">
        <f t="shared" si="31"/>
        <v>0</v>
      </c>
      <c r="G210" s="13"/>
      <c r="H210" s="35">
        <v>205</v>
      </c>
      <c r="I210" s="36" t="str">
        <f t="shared" si="27"/>
        <v/>
      </c>
      <c r="J210" s="35">
        <f t="shared" si="32"/>
        <v>-6</v>
      </c>
      <c r="K210" s="35">
        <f t="shared" si="28"/>
        <v>-60</v>
      </c>
      <c r="L210" s="35"/>
      <c r="M210" s="37">
        <f t="shared" si="29"/>
        <v>0</v>
      </c>
      <c r="N210" s="37">
        <f t="shared" si="30"/>
        <v>0</v>
      </c>
    </row>
    <row r="211" spans="1:14" x14ac:dyDescent="0.25">
      <c r="A211" s="56">
        <f t="shared" si="31"/>
        <v>0</v>
      </c>
      <c r="G211" s="13"/>
      <c r="H211" s="35">
        <v>206</v>
      </c>
      <c r="I211" s="36" t="str">
        <f t="shared" si="27"/>
        <v/>
      </c>
      <c r="J211" s="35">
        <f t="shared" si="32"/>
        <v>-6</v>
      </c>
      <c r="K211" s="35">
        <f t="shared" si="28"/>
        <v>-60</v>
      </c>
      <c r="L211" s="35"/>
      <c r="M211" s="37">
        <f t="shared" si="29"/>
        <v>0</v>
      </c>
      <c r="N211" s="37">
        <f t="shared" si="30"/>
        <v>0</v>
      </c>
    </row>
    <row r="212" spans="1:14" x14ac:dyDescent="0.25">
      <c r="A212" s="56">
        <f t="shared" si="31"/>
        <v>0</v>
      </c>
      <c r="G212" s="13"/>
      <c r="H212" s="35">
        <v>207</v>
      </c>
      <c r="I212" s="36" t="str">
        <f t="shared" si="27"/>
        <v/>
      </c>
      <c r="J212" s="35">
        <f t="shared" si="32"/>
        <v>-6</v>
      </c>
      <c r="K212" s="35">
        <f t="shared" si="28"/>
        <v>-60</v>
      </c>
      <c r="L212" s="35"/>
      <c r="M212" s="37">
        <f t="shared" si="29"/>
        <v>0</v>
      </c>
      <c r="N212" s="37">
        <f t="shared" si="30"/>
        <v>0</v>
      </c>
    </row>
    <row r="213" spans="1:14" x14ac:dyDescent="0.25">
      <c r="A213" s="56">
        <f t="shared" si="31"/>
        <v>0</v>
      </c>
      <c r="G213" s="13"/>
      <c r="H213" s="35">
        <v>208</v>
      </c>
      <c r="I213" s="36" t="str">
        <f t="shared" si="27"/>
        <v/>
      </c>
      <c r="J213" s="35">
        <f t="shared" si="32"/>
        <v>-6</v>
      </c>
      <c r="K213" s="35">
        <f t="shared" si="28"/>
        <v>-60</v>
      </c>
      <c r="L213" s="35"/>
      <c r="M213" s="37">
        <f t="shared" si="29"/>
        <v>0</v>
      </c>
      <c r="N213" s="37">
        <f t="shared" si="30"/>
        <v>0</v>
      </c>
    </row>
    <row r="214" spans="1:14" x14ac:dyDescent="0.25">
      <c r="A214" s="56">
        <f t="shared" si="31"/>
        <v>0</v>
      </c>
      <c r="G214" s="13"/>
      <c r="H214" s="35">
        <v>209</v>
      </c>
      <c r="I214" s="36" t="str">
        <f t="shared" si="27"/>
        <v/>
      </c>
      <c r="J214" s="35">
        <f t="shared" si="32"/>
        <v>-6</v>
      </c>
      <c r="K214" s="35">
        <f t="shared" si="28"/>
        <v>-60</v>
      </c>
      <c r="L214" s="35"/>
      <c r="M214" s="37">
        <f t="shared" si="29"/>
        <v>0</v>
      </c>
      <c r="N214" s="37">
        <f t="shared" si="30"/>
        <v>0</v>
      </c>
    </row>
    <row r="215" spans="1:14" x14ac:dyDescent="0.25">
      <c r="A215" s="56">
        <f t="shared" si="31"/>
        <v>0</v>
      </c>
      <c r="G215" s="13"/>
      <c r="H215" s="35">
        <v>210</v>
      </c>
      <c r="I215" s="36" t="str">
        <f t="shared" si="27"/>
        <v/>
      </c>
      <c r="J215" s="35">
        <f t="shared" si="32"/>
        <v>-6</v>
      </c>
      <c r="K215" s="35">
        <f t="shared" si="28"/>
        <v>-60</v>
      </c>
      <c r="L215" s="35"/>
      <c r="M215" s="37">
        <f t="shared" si="29"/>
        <v>0</v>
      </c>
      <c r="N215" s="37">
        <f t="shared" si="30"/>
        <v>0</v>
      </c>
    </row>
    <row r="216" spans="1:14" x14ac:dyDescent="0.25">
      <c r="A216" s="56">
        <f t="shared" si="31"/>
        <v>0</v>
      </c>
      <c r="G216" s="13"/>
      <c r="H216" s="35">
        <v>211</v>
      </c>
      <c r="I216" s="36" t="str">
        <f t="shared" si="27"/>
        <v/>
      </c>
      <c r="J216" s="35">
        <f t="shared" si="32"/>
        <v>-6</v>
      </c>
      <c r="K216" s="35">
        <f t="shared" si="28"/>
        <v>-60</v>
      </c>
      <c r="L216" s="35"/>
      <c r="M216" s="37">
        <f t="shared" si="29"/>
        <v>0</v>
      </c>
      <c r="N216" s="37">
        <f t="shared" si="30"/>
        <v>0</v>
      </c>
    </row>
    <row r="217" spans="1:14" x14ac:dyDescent="0.25">
      <c r="A217" s="56">
        <f t="shared" si="31"/>
        <v>0</v>
      </c>
      <c r="G217" s="13"/>
      <c r="H217" s="35">
        <v>212</v>
      </c>
      <c r="I217" s="36" t="str">
        <f t="shared" si="27"/>
        <v/>
      </c>
      <c r="J217" s="35">
        <f t="shared" si="32"/>
        <v>-6</v>
      </c>
      <c r="K217" s="35">
        <f t="shared" si="28"/>
        <v>-60</v>
      </c>
      <c r="L217" s="35"/>
      <c r="M217" s="37">
        <f t="shared" si="29"/>
        <v>0</v>
      </c>
      <c r="N217" s="37">
        <f t="shared" si="30"/>
        <v>0</v>
      </c>
    </row>
    <row r="218" spans="1:14" x14ac:dyDescent="0.25">
      <c r="A218" s="56">
        <f t="shared" si="31"/>
        <v>0</v>
      </c>
      <c r="G218" s="13"/>
      <c r="H218" s="35">
        <v>213</v>
      </c>
      <c r="I218" s="36" t="str">
        <f t="shared" si="27"/>
        <v/>
      </c>
      <c r="J218" s="35">
        <f t="shared" si="32"/>
        <v>-6</v>
      </c>
      <c r="K218" s="35">
        <f t="shared" si="28"/>
        <v>-60</v>
      </c>
      <c r="L218" s="35"/>
      <c r="M218" s="37">
        <f t="shared" si="29"/>
        <v>0</v>
      </c>
      <c r="N218" s="37">
        <f t="shared" si="30"/>
        <v>0</v>
      </c>
    </row>
    <row r="219" spans="1:14" x14ac:dyDescent="0.25">
      <c r="A219" s="56">
        <f t="shared" si="31"/>
        <v>0</v>
      </c>
      <c r="G219" s="13"/>
      <c r="H219" s="35">
        <v>214</v>
      </c>
      <c r="I219" s="36" t="str">
        <f t="shared" si="27"/>
        <v/>
      </c>
      <c r="J219" s="35">
        <f t="shared" si="32"/>
        <v>-6</v>
      </c>
      <c r="K219" s="35">
        <f t="shared" si="28"/>
        <v>-60</v>
      </c>
      <c r="L219" s="35"/>
      <c r="M219" s="37">
        <f t="shared" si="29"/>
        <v>0</v>
      </c>
      <c r="N219" s="37">
        <f t="shared" si="30"/>
        <v>0</v>
      </c>
    </row>
    <row r="220" spans="1:14" x14ac:dyDescent="0.25">
      <c r="A220" s="56">
        <f t="shared" si="31"/>
        <v>0</v>
      </c>
      <c r="G220" s="13"/>
      <c r="H220" s="35">
        <v>215</v>
      </c>
      <c r="I220" s="36" t="str">
        <f t="shared" si="27"/>
        <v/>
      </c>
      <c r="J220" s="35">
        <f t="shared" si="32"/>
        <v>-6</v>
      </c>
      <c r="K220" s="35">
        <f t="shared" si="28"/>
        <v>-60</v>
      </c>
      <c r="L220" s="35"/>
      <c r="M220" s="37">
        <f t="shared" si="29"/>
        <v>0</v>
      </c>
      <c r="N220" s="37">
        <f t="shared" si="30"/>
        <v>0</v>
      </c>
    </row>
    <row r="221" spans="1:14" x14ac:dyDescent="0.25">
      <c r="A221" s="56">
        <f t="shared" si="31"/>
        <v>0</v>
      </c>
      <c r="G221" s="13"/>
      <c r="H221" s="35">
        <v>216</v>
      </c>
      <c r="I221" s="36" t="str">
        <f t="shared" si="27"/>
        <v/>
      </c>
      <c r="J221" s="35">
        <f t="shared" si="32"/>
        <v>-6</v>
      </c>
      <c r="K221" s="35">
        <f t="shared" si="28"/>
        <v>-60</v>
      </c>
      <c r="L221" s="35"/>
      <c r="M221" s="37">
        <f t="shared" si="29"/>
        <v>0</v>
      </c>
      <c r="N221" s="37">
        <f t="shared" si="30"/>
        <v>0</v>
      </c>
    </row>
    <row r="222" spans="1:14" x14ac:dyDescent="0.25">
      <c r="A222" s="56">
        <f t="shared" si="31"/>
        <v>0</v>
      </c>
      <c r="G222" s="13"/>
      <c r="H222" s="35">
        <v>217</v>
      </c>
      <c r="I222" s="36" t="str">
        <f t="shared" si="27"/>
        <v/>
      </c>
      <c r="J222" s="35">
        <f t="shared" si="32"/>
        <v>-6</v>
      </c>
      <c r="K222" s="35">
        <f t="shared" si="28"/>
        <v>-60</v>
      </c>
      <c r="L222" s="35"/>
      <c r="M222" s="37">
        <f t="shared" si="29"/>
        <v>0</v>
      </c>
      <c r="N222" s="37">
        <f t="shared" si="30"/>
        <v>0</v>
      </c>
    </row>
    <row r="223" spans="1:14" x14ac:dyDescent="0.25">
      <c r="A223" s="56">
        <f t="shared" si="31"/>
        <v>0</v>
      </c>
      <c r="G223" s="13"/>
      <c r="H223" s="35">
        <v>218</v>
      </c>
      <c r="I223" s="36" t="str">
        <f t="shared" si="27"/>
        <v/>
      </c>
      <c r="J223" s="35">
        <f t="shared" si="32"/>
        <v>-6</v>
      </c>
      <c r="K223" s="35">
        <f t="shared" si="28"/>
        <v>-60</v>
      </c>
      <c r="L223" s="35"/>
      <c r="M223" s="37">
        <f t="shared" si="29"/>
        <v>0</v>
      </c>
      <c r="N223" s="37">
        <f t="shared" si="30"/>
        <v>0</v>
      </c>
    </row>
    <row r="224" spans="1:14" x14ac:dyDescent="0.25">
      <c r="A224" s="56">
        <f t="shared" si="31"/>
        <v>0</v>
      </c>
      <c r="G224" s="13"/>
      <c r="H224" s="35">
        <v>219</v>
      </c>
      <c r="I224" s="36" t="str">
        <f t="shared" si="27"/>
        <v/>
      </c>
      <c r="J224" s="35">
        <f t="shared" si="32"/>
        <v>-6</v>
      </c>
      <c r="K224" s="35">
        <f t="shared" si="28"/>
        <v>-60</v>
      </c>
      <c r="L224" s="35"/>
      <c r="M224" s="37">
        <f t="shared" si="29"/>
        <v>0</v>
      </c>
      <c r="N224" s="37">
        <f t="shared" si="30"/>
        <v>0</v>
      </c>
    </row>
    <row r="225" spans="1:14" x14ac:dyDescent="0.25">
      <c r="A225" s="56">
        <f t="shared" si="31"/>
        <v>0</v>
      </c>
      <c r="G225" s="13"/>
      <c r="H225" s="35">
        <v>220</v>
      </c>
      <c r="I225" s="36" t="str">
        <f t="shared" si="27"/>
        <v/>
      </c>
      <c r="J225" s="35">
        <f t="shared" si="32"/>
        <v>-6</v>
      </c>
      <c r="K225" s="35">
        <f t="shared" si="28"/>
        <v>-60</v>
      </c>
      <c r="L225" s="35"/>
      <c r="M225" s="37">
        <f t="shared" si="29"/>
        <v>0</v>
      </c>
      <c r="N225" s="37">
        <f t="shared" si="30"/>
        <v>0</v>
      </c>
    </row>
    <row r="226" spans="1:14" x14ac:dyDescent="0.25">
      <c r="A226" s="56">
        <f t="shared" si="31"/>
        <v>0</v>
      </c>
      <c r="G226" s="13"/>
      <c r="H226" s="35">
        <v>221</v>
      </c>
      <c r="I226" s="36" t="str">
        <f t="shared" si="27"/>
        <v/>
      </c>
      <c r="J226" s="35">
        <f t="shared" si="32"/>
        <v>-6</v>
      </c>
      <c r="K226" s="35">
        <f t="shared" si="28"/>
        <v>-60</v>
      </c>
      <c r="L226" s="35"/>
      <c r="M226" s="37">
        <f t="shared" si="29"/>
        <v>0</v>
      </c>
      <c r="N226" s="37">
        <f t="shared" si="30"/>
        <v>0</v>
      </c>
    </row>
    <row r="227" spans="1:14" x14ac:dyDescent="0.25">
      <c r="A227" s="56">
        <f t="shared" si="31"/>
        <v>0</v>
      </c>
      <c r="G227" s="13"/>
      <c r="H227" s="35">
        <v>222</v>
      </c>
      <c r="I227" s="36" t="str">
        <f t="shared" si="27"/>
        <v/>
      </c>
      <c r="J227" s="35">
        <f t="shared" si="32"/>
        <v>-6</v>
      </c>
      <c r="K227" s="35">
        <f t="shared" si="28"/>
        <v>-60</v>
      </c>
      <c r="L227" s="35"/>
      <c r="M227" s="37">
        <f t="shared" si="29"/>
        <v>0</v>
      </c>
      <c r="N227" s="37">
        <f t="shared" si="30"/>
        <v>0</v>
      </c>
    </row>
    <row r="228" spans="1:14" x14ac:dyDescent="0.25">
      <c r="A228" s="56">
        <f t="shared" si="31"/>
        <v>0</v>
      </c>
      <c r="G228" s="13"/>
      <c r="H228" s="35">
        <v>223</v>
      </c>
      <c r="I228" s="36" t="str">
        <f t="shared" si="27"/>
        <v/>
      </c>
      <c r="J228" s="35">
        <f t="shared" si="32"/>
        <v>-6</v>
      </c>
      <c r="K228" s="35">
        <f t="shared" si="28"/>
        <v>-60</v>
      </c>
      <c r="L228" s="35"/>
      <c r="M228" s="37">
        <f t="shared" si="29"/>
        <v>0</v>
      </c>
      <c r="N228" s="37">
        <f t="shared" si="30"/>
        <v>0</v>
      </c>
    </row>
    <row r="229" spans="1:14" x14ac:dyDescent="0.25">
      <c r="A229" s="56">
        <f t="shared" si="31"/>
        <v>0</v>
      </c>
      <c r="G229" s="13"/>
      <c r="H229" s="35">
        <v>224</v>
      </c>
      <c r="I229" s="36" t="str">
        <f t="shared" si="27"/>
        <v/>
      </c>
      <c r="J229" s="35">
        <f t="shared" si="32"/>
        <v>-6</v>
      </c>
      <c r="K229" s="35">
        <f t="shared" si="28"/>
        <v>-60</v>
      </c>
      <c r="L229" s="35"/>
      <c r="M229" s="37">
        <f t="shared" si="29"/>
        <v>0</v>
      </c>
      <c r="N229" s="37">
        <f t="shared" si="30"/>
        <v>0</v>
      </c>
    </row>
    <row r="230" spans="1:14" x14ac:dyDescent="0.25">
      <c r="A230" s="56">
        <f t="shared" si="31"/>
        <v>0</v>
      </c>
      <c r="G230" s="13"/>
      <c r="H230" s="35">
        <v>225</v>
      </c>
      <c r="I230" s="36" t="str">
        <f t="shared" si="27"/>
        <v/>
      </c>
      <c r="J230" s="35">
        <f t="shared" si="32"/>
        <v>-6</v>
      </c>
      <c r="K230" s="35">
        <f t="shared" si="28"/>
        <v>-60</v>
      </c>
      <c r="L230" s="35"/>
      <c r="M230" s="37">
        <f t="shared" si="29"/>
        <v>0</v>
      </c>
      <c r="N230" s="37">
        <f t="shared" si="30"/>
        <v>0</v>
      </c>
    </row>
    <row r="231" spans="1:14" x14ac:dyDescent="0.25">
      <c r="A231" s="56">
        <f t="shared" si="31"/>
        <v>0</v>
      </c>
      <c r="G231" s="13"/>
      <c r="H231" s="35">
        <v>226</v>
      </c>
      <c r="I231" s="36" t="str">
        <f t="shared" si="27"/>
        <v/>
      </c>
      <c r="J231" s="35">
        <f t="shared" si="32"/>
        <v>-6</v>
      </c>
      <c r="K231" s="35">
        <f t="shared" si="28"/>
        <v>-60</v>
      </c>
      <c r="L231" s="35"/>
      <c r="M231" s="37">
        <f t="shared" si="29"/>
        <v>0</v>
      </c>
      <c r="N231" s="37">
        <f t="shared" si="30"/>
        <v>0</v>
      </c>
    </row>
    <row r="232" spans="1:14" x14ac:dyDescent="0.25">
      <c r="A232" s="56">
        <f t="shared" si="31"/>
        <v>0</v>
      </c>
      <c r="G232" s="13"/>
      <c r="H232" s="35">
        <v>227</v>
      </c>
      <c r="I232" s="36" t="str">
        <f t="shared" si="27"/>
        <v/>
      </c>
      <c r="J232" s="35">
        <f t="shared" si="32"/>
        <v>-6</v>
      </c>
      <c r="K232" s="35">
        <f t="shared" si="28"/>
        <v>-60</v>
      </c>
      <c r="L232" s="35"/>
      <c r="M232" s="37">
        <f t="shared" si="29"/>
        <v>0</v>
      </c>
      <c r="N232" s="37">
        <f t="shared" si="30"/>
        <v>0</v>
      </c>
    </row>
    <row r="233" spans="1:14" x14ac:dyDescent="0.25">
      <c r="A233" s="56">
        <f t="shared" si="31"/>
        <v>0</v>
      </c>
      <c r="G233" s="13"/>
      <c r="H233" s="35">
        <v>228</v>
      </c>
      <c r="I233" s="36" t="str">
        <f t="shared" si="27"/>
        <v/>
      </c>
      <c r="J233" s="35">
        <f t="shared" si="32"/>
        <v>-6</v>
      </c>
      <c r="K233" s="35">
        <f t="shared" si="28"/>
        <v>-60</v>
      </c>
      <c r="L233" s="35"/>
      <c r="M233" s="37">
        <f t="shared" si="29"/>
        <v>0</v>
      </c>
      <c r="N233" s="37">
        <f t="shared" si="30"/>
        <v>0</v>
      </c>
    </row>
    <row r="234" spans="1:14" x14ac:dyDescent="0.25">
      <c r="A234" s="56">
        <f t="shared" si="31"/>
        <v>0</v>
      </c>
      <c r="G234" s="13"/>
      <c r="H234" s="35">
        <v>229</v>
      </c>
      <c r="I234" s="36" t="str">
        <f t="shared" si="27"/>
        <v/>
      </c>
      <c r="J234" s="35">
        <f t="shared" si="32"/>
        <v>-6</v>
      </c>
      <c r="K234" s="35">
        <f t="shared" si="28"/>
        <v>-60</v>
      </c>
      <c r="L234" s="35"/>
      <c r="M234" s="37">
        <f t="shared" si="29"/>
        <v>0</v>
      </c>
      <c r="N234" s="37">
        <f t="shared" si="30"/>
        <v>0</v>
      </c>
    </row>
    <row r="235" spans="1:14" x14ac:dyDescent="0.25">
      <c r="A235" s="56">
        <f t="shared" si="31"/>
        <v>0</v>
      </c>
      <c r="G235" s="13"/>
      <c r="H235" s="35">
        <v>230</v>
      </c>
      <c r="I235" s="36" t="str">
        <f t="shared" si="27"/>
        <v/>
      </c>
      <c r="J235" s="35">
        <f t="shared" si="32"/>
        <v>-6</v>
      </c>
      <c r="K235" s="35">
        <f t="shared" si="28"/>
        <v>-60</v>
      </c>
      <c r="L235" s="35"/>
      <c r="M235" s="37">
        <f t="shared" si="29"/>
        <v>0</v>
      </c>
      <c r="N235" s="37">
        <f t="shared" si="30"/>
        <v>0</v>
      </c>
    </row>
    <row r="236" spans="1:14" x14ac:dyDescent="0.25">
      <c r="A236" s="56">
        <f t="shared" si="31"/>
        <v>0</v>
      </c>
      <c r="G236" s="13"/>
      <c r="H236" s="35">
        <v>231</v>
      </c>
      <c r="I236" s="36" t="str">
        <f t="shared" si="27"/>
        <v/>
      </c>
      <c r="J236" s="35">
        <f t="shared" si="32"/>
        <v>-6</v>
      </c>
      <c r="K236" s="35">
        <f t="shared" si="28"/>
        <v>-60</v>
      </c>
      <c r="L236" s="35"/>
      <c r="M236" s="37">
        <f t="shared" si="29"/>
        <v>0</v>
      </c>
      <c r="N236" s="37">
        <f t="shared" si="30"/>
        <v>0</v>
      </c>
    </row>
    <row r="237" spans="1:14" x14ac:dyDescent="0.25">
      <c r="A237" s="56">
        <f t="shared" si="31"/>
        <v>0</v>
      </c>
      <c r="G237" s="13"/>
      <c r="H237" s="35">
        <v>232</v>
      </c>
      <c r="I237" s="36" t="str">
        <f t="shared" si="27"/>
        <v/>
      </c>
      <c r="J237" s="35">
        <f t="shared" si="32"/>
        <v>-6</v>
      </c>
      <c r="K237" s="35">
        <f t="shared" si="28"/>
        <v>-60</v>
      </c>
      <c r="L237" s="35"/>
      <c r="M237" s="37">
        <f t="shared" si="29"/>
        <v>0</v>
      </c>
      <c r="N237" s="37">
        <f t="shared" si="30"/>
        <v>0</v>
      </c>
    </row>
    <row r="238" spans="1:14" x14ac:dyDescent="0.25">
      <c r="A238" s="56">
        <f t="shared" si="31"/>
        <v>0</v>
      </c>
      <c r="G238" s="13"/>
      <c r="H238" s="35">
        <v>233</v>
      </c>
      <c r="I238" s="36" t="str">
        <f t="shared" si="27"/>
        <v/>
      </c>
      <c r="J238" s="35">
        <f t="shared" si="32"/>
        <v>-6</v>
      </c>
      <c r="K238" s="35">
        <f t="shared" si="28"/>
        <v>-60</v>
      </c>
      <c r="L238" s="35"/>
      <c r="M238" s="37">
        <f t="shared" si="29"/>
        <v>0</v>
      </c>
      <c r="N238" s="37">
        <f t="shared" si="30"/>
        <v>0</v>
      </c>
    </row>
    <row r="239" spans="1:14" x14ac:dyDescent="0.25">
      <c r="A239" s="56">
        <f t="shared" si="31"/>
        <v>0</v>
      </c>
      <c r="G239" s="13"/>
      <c r="H239" s="35">
        <v>234</v>
      </c>
      <c r="I239" s="36" t="str">
        <f t="shared" si="27"/>
        <v/>
      </c>
      <c r="J239" s="35">
        <f t="shared" si="32"/>
        <v>-6</v>
      </c>
      <c r="K239" s="35">
        <f t="shared" si="28"/>
        <v>-60</v>
      </c>
      <c r="L239" s="35"/>
      <c r="M239" s="37">
        <f t="shared" si="29"/>
        <v>0</v>
      </c>
      <c r="N239" s="37">
        <f t="shared" si="30"/>
        <v>0</v>
      </c>
    </row>
    <row r="240" spans="1:14" x14ac:dyDescent="0.25">
      <c r="A240" s="56">
        <f t="shared" si="31"/>
        <v>0</v>
      </c>
      <c r="G240" s="13"/>
      <c r="H240" s="35">
        <v>235</v>
      </c>
      <c r="I240" s="36" t="str">
        <f t="shared" si="27"/>
        <v/>
      </c>
      <c r="J240" s="35">
        <f t="shared" si="32"/>
        <v>-6</v>
      </c>
      <c r="K240" s="35">
        <f t="shared" si="28"/>
        <v>-60</v>
      </c>
      <c r="L240" s="35"/>
      <c r="M240" s="37">
        <f t="shared" si="29"/>
        <v>0</v>
      </c>
      <c r="N240" s="37">
        <f t="shared" si="30"/>
        <v>0</v>
      </c>
    </row>
    <row r="241" spans="1:14" x14ac:dyDescent="0.25">
      <c r="A241" s="56">
        <f t="shared" si="31"/>
        <v>0</v>
      </c>
      <c r="G241" s="13"/>
      <c r="H241" s="35">
        <v>236</v>
      </c>
      <c r="I241" s="36" t="str">
        <f t="shared" si="27"/>
        <v/>
      </c>
      <c r="J241" s="35">
        <f t="shared" si="32"/>
        <v>-6</v>
      </c>
      <c r="K241" s="35">
        <f t="shared" si="28"/>
        <v>-60</v>
      </c>
      <c r="L241" s="35"/>
      <c r="M241" s="37">
        <f t="shared" si="29"/>
        <v>0</v>
      </c>
      <c r="N241" s="37">
        <f t="shared" si="30"/>
        <v>0</v>
      </c>
    </row>
    <row r="242" spans="1:14" x14ac:dyDescent="0.25">
      <c r="A242" s="56">
        <f t="shared" si="31"/>
        <v>0</v>
      </c>
      <c r="G242" s="13"/>
      <c r="H242" s="35">
        <v>237</v>
      </c>
      <c r="I242" s="36" t="str">
        <f t="shared" si="27"/>
        <v/>
      </c>
      <c r="J242" s="35">
        <f t="shared" si="32"/>
        <v>-6</v>
      </c>
      <c r="K242" s="35">
        <f t="shared" si="28"/>
        <v>-60</v>
      </c>
      <c r="L242" s="35"/>
      <c r="M242" s="37">
        <f t="shared" si="29"/>
        <v>0</v>
      </c>
      <c r="N242" s="37">
        <f t="shared" si="30"/>
        <v>0</v>
      </c>
    </row>
    <row r="243" spans="1:14" x14ac:dyDescent="0.25">
      <c r="A243" s="56">
        <f t="shared" si="31"/>
        <v>0</v>
      </c>
      <c r="G243" s="13"/>
      <c r="H243" s="35">
        <v>238</v>
      </c>
      <c r="I243" s="36" t="str">
        <f t="shared" si="27"/>
        <v/>
      </c>
      <c r="J243" s="35">
        <f t="shared" si="32"/>
        <v>-6</v>
      </c>
      <c r="K243" s="35">
        <f t="shared" si="28"/>
        <v>-60</v>
      </c>
      <c r="L243" s="35"/>
      <c r="M243" s="37">
        <f t="shared" si="29"/>
        <v>0</v>
      </c>
      <c r="N243" s="37">
        <f t="shared" si="30"/>
        <v>0</v>
      </c>
    </row>
    <row r="244" spans="1:14" x14ac:dyDescent="0.25">
      <c r="A244" s="56">
        <f t="shared" si="31"/>
        <v>0</v>
      </c>
      <c r="G244" s="13"/>
      <c r="H244" s="35">
        <v>239</v>
      </c>
      <c r="I244" s="36" t="str">
        <f t="shared" si="27"/>
        <v/>
      </c>
      <c r="J244" s="35">
        <f t="shared" si="32"/>
        <v>-6</v>
      </c>
      <c r="K244" s="35">
        <f t="shared" si="28"/>
        <v>-60</v>
      </c>
      <c r="L244" s="35"/>
      <c r="M244" s="37">
        <f t="shared" si="29"/>
        <v>0</v>
      </c>
      <c r="N244" s="37">
        <f t="shared" si="30"/>
        <v>0</v>
      </c>
    </row>
    <row r="245" spans="1:14" x14ac:dyDescent="0.25">
      <c r="A245" s="56">
        <f t="shared" si="31"/>
        <v>0</v>
      </c>
      <c r="G245" s="13"/>
      <c r="H245" s="35">
        <v>240</v>
      </c>
      <c r="I245" s="36" t="str">
        <f t="shared" si="27"/>
        <v/>
      </c>
      <c r="J245" s="35">
        <f t="shared" si="32"/>
        <v>-6</v>
      </c>
      <c r="K245" s="35">
        <f t="shared" si="28"/>
        <v>-60</v>
      </c>
      <c r="L245" s="35"/>
      <c r="M245" s="37">
        <f t="shared" si="29"/>
        <v>0</v>
      </c>
      <c r="N245" s="37">
        <f t="shared" si="30"/>
        <v>0</v>
      </c>
    </row>
    <row r="246" spans="1:14" x14ac:dyDescent="0.25">
      <c r="A246" s="56">
        <f t="shared" si="31"/>
        <v>0</v>
      </c>
      <c r="G246" s="13"/>
      <c r="H246" s="35">
        <v>241</v>
      </c>
      <c r="I246" s="36" t="str">
        <f t="shared" si="27"/>
        <v/>
      </c>
      <c r="J246" s="35">
        <f t="shared" si="32"/>
        <v>-6</v>
      </c>
      <c r="K246" s="35">
        <f t="shared" si="28"/>
        <v>-60</v>
      </c>
      <c r="L246" s="35"/>
      <c r="M246" s="37">
        <f t="shared" si="29"/>
        <v>0</v>
      </c>
      <c r="N246" s="37">
        <f t="shared" si="30"/>
        <v>0</v>
      </c>
    </row>
    <row r="247" spans="1:14" x14ac:dyDescent="0.25">
      <c r="A247" s="56">
        <f t="shared" si="31"/>
        <v>0</v>
      </c>
      <c r="G247" s="13"/>
      <c r="H247" s="35">
        <v>242</v>
      </c>
      <c r="I247" s="36" t="str">
        <f t="shared" si="27"/>
        <v/>
      </c>
      <c r="J247" s="35">
        <f t="shared" si="32"/>
        <v>-6</v>
      </c>
      <c r="K247" s="35">
        <f t="shared" si="28"/>
        <v>-60</v>
      </c>
      <c r="L247" s="35"/>
      <c r="M247" s="37">
        <f t="shared" si="29"/>
        <v>0</v>
      </c>
      <c r="N247" s="37">
        <f t="shared" si="30"/>
        <v>0</v>
      </c>
    </row>
    <row r="248" spans="1:14" x14ac:dyDescent="0.25">
      <c r="A248" s="56">
        <f t="shared" si="31"/>
        <v>0</v>
      </c>
      <c r="G248" s="13"/>
      <c r="H248" s="35">
        <v>243</v>
      </c>
      <c r="I248" s="36" t="str">
        <f t="shared" si="27"/>
        <v/>
      </c>
      <c r="J248" s="35">
        <f t="shared" si="32"/>
        <v>-6</v>
      </c>
      <c r="K248" s="35">
        <f t="shared" si="28"/>
        <v>-60</v>
      </c>
      <c r="L248" s="35"/>
      <c r="M248" s="37">
        <f t="shared" si="29"/>
        <v>0</v>
      </c>
      <c r="N248" s="37">
        <f t="shared" si="30"/>
        <v>0</v>
      </c>
    </row>
    <row r="249" spans="1:14" x14ac:dyDescent="0.25">
      <c r="A249" s="56">
        <f t="shared" si="31"/>
        <v>0</v>
      </c>
      <c r="G249" s="13"/>
      <c r="H249" s="35">
        <v>244</v>
      </c>
      <c r="I249" s="36" t="str">
        <f t="shared" si="27"/>
        <v/>
      </c>
      <c r="J249" s="35">
        <f t="shared" si="32"/>
        <v>-6</v>
      </c>
      <c r="K249" s="35">
        <f t="shared" si="28"/>
        <v>-60</v>
      </c>
      <c r="L249" s="35"/>
      <c r="M249" s="37">
        <f t="shared" si="29"/>
        <v>0</v>
      </c>
      <c r="N249" s="37">
        <f t="shared" si="30"/>
        <v>0</v>
      </c>
    </row>
    <row r="250" spans="1:14" x14ac:dyDescent="0.25">
      <c r="A250" s="56">
        <f t="shared" si="31"/>
        <v>0</v>
      </c>
      <c r="G250" s="13"/>
      <c r="H250" s="35">
        <v>245</v>
      </c>
      <c r="I250" s="36" t="str">
        <f t="shared" si="27"/>
        <v/>
      </c>
      <c r="J250" s="35">
        <f t="shared" si="32"/>
        <v>-6</v>
      </c>
      <c r="K250" s="35">
        <f t="shared" si="28"/>
        <v>-60</v>
      </c>
      <c r="L250" s="35"/>
      <c r="M250" s="37">
        <f t="shared" si="29"/>
        <v>0</v>
      </c>
      <c r="N250" s="37">
        <f t="shared" si="30"/>
        <v>0</v>
      </c>
    </row>
    <row r="251" spans="1:14" x14ac:dyDescent="0.25">
      <c r="A251" s="56">
        <f t="shared" si="31"/>
        <v>0</v>
      </c>
      <c r="G251" s="13"/>
      <c r="H251" s="35">
        <v>246</v>
      </c>
      <c r="I251" s="36" t="str">
        <f t="shared" si="27"/>
        <v/>
      </c>
      <c r="J251" s="35">
        <f t="shared" si="32"/>
        <v>-6</v>
      </c>
      <c r="K251" s="35">
        <f t="shared" si="28"/>
        <v>-60</v>
      </c>
      <c r="L251" s="35"/>
      <c r="M251" s="37">
        <f t="shared" si="29"/>
        <v>0</v>
      </c>
      <c r="N251" s="37">
        <f t="shared" si="30"/>
        <v>0</v>
      </c>
    </row>
    <row r="252" spans="1:14" x14ac:dyDescent="0.25">
      <c r="A252" s="56">
        <f t="shared" si="31"/>
        <v>0</v>
      </c>
      <c r="G252" s="13"/>
      <c r="H252" s="35">
        <v>247</v>
      </c>
      <c r="I252" s="36" t="str">
        <f t="shared" si="27"/>
        <v/>
      </c>
      <c r="J252" s="35">
        <f t="shared" si="32"/>
        <v>-6</v>
      </c>
      <c r="K252" s="35">
        <f t="shared" si="28"/>
        <v>-60</v>
      </c>
      <c r="L252" s="35"/>
      <c r="M252" s="37">
        <f t="shared" si="29"/>
        <v>0</v>
      </c>
      <c r="N252" s="37">
        <f t="shared" si="30"/>
        <v>0</v>
      </c>
    </row>
    <row r="253" spans="1:14" x14ac:dyDescent="0.25">
      <c r="A253" s="56">
        <f t="shared" si="31"/>
        <v>0</v>
      </c>
      <c r="G253" s="13"/>
      <c r="H253" s="35">
        <v>248</v>
      </c>
      <c r="I253" s="36" t="str">
        <f t="shared" si="27"/>
        <v/>
      </c>
      <c r="J253" s="35">
        <f t="shared" si="32"/>
        <v>-6</v>
      </c>
      <c r="K253" s="35">
        <f t="shared" si="28"/>
        <v>-60</v>
      </c>
      <c r="L253" s="35"/>
      <c r="M253" s="37">
        <f t="shared" si="29"/>
        <v>0</v>
      </c>
      <c r="N253" s="37">
        <f t="shared" si="30"/>
        <v>0</v>
      </c>
    </row>
    <row r="254" spans="1:14" x14ac:dyDescent="0.25">
      <c r="A254" s="56">
        <f t="shared" si="31"/>
        <v>0</v>
      </c>
      <c r="G254" s="13"/>
      <c r="H254" s="35">
        <v>249</v>
      </c>
      <c r="I254" s="36" t="str">
        <f t="shared" si="27"/>
        <v/>
      </c>
      <c r="J254" s="35">
        <f t="shared" si="32"/>
        <v>-6</v>
      </c>
      <c r="K254" s="35">
        <f t="shared" si="28"/>
        <v>-60</v>
      </c>
      <c r="L254" s="35"/>
      <c r="M254" s="37">
        <f t="shared" si="29"/>
        <v>0</v>
      </c>
      <c r="N254" s="37">
        <f t="shared" si="30"/>
        <v>0</v>
      </c>
    </row>
    <row r="255" spans="1:14" x14ac:dyDescent="0.25">
      <c r="A255" s="56">
        <f t="shared" si="31"/>
        <v>0</v>
      </c>
      <c r="G255" s="13"/>
      <c r="H255" s="35">
        <v>250</v>
      </c>
      <c r="I255" s="36" t="str">
        <f t="shared" si="27"/>
        <v/>
      </c>
      <c r="J255" s="35">
        <f t="shared" si="32"/>
        <v>-6</v>
      </c>
      <c r="K255" s="35">
        <f t="shared" si="28"/>
        <v>-60</v>
      </c>
      <c r="L255" s="35"/>
      <c r="M255" s="37">
        <f t="shared" si="29"/>
        <v>0</v>
      </c>
      <c r="N255" s="37">
        <f t="shared" si="30"/>
        <v>0</v>
      </c>
    </row>
    <row r="256" spans="1:14" x14ac:dyDescent="0.25">
      <c r="A256" s="56">
        <f t="shared" si="31"/>
        <v>0</v>
      </c>
      <c r="G256" s="13"/>
      <c r="H256" s="35">
        <v>251</v>
      </c>
      <c r="I256" s="36" t="str">
        <f t="shared" si="27"/>
        <v/>
      </c>
      <c r="J256" s="35">
        <f t="shared" si="32"/>
        <v>-6</v>
      </c>
      <c r="K256" s="35">
        <f t="shared" si="28"/>
        <v>-60</v>
      </c>
      <c r="L256" s="35"/>
      <c r="M256" s="37">
        <f t="shared" si="29"/>
        <v>0</v>
      </c>
      <c r="N256" s="37">
        <f t="shared" si="30"/>
        <v>0</v>
      </c>
    </row>
    <row r="257" spans="1:14" x14ac:dyDescent="0.25">
      <c r="A257" s="56">
        <f t="shared" si="31"/>
        <v>0</v>
      </c>
      <c r="G257" s="13"/>
      <c r="H257" s="35">
        <v>252</v>
      </c>
      <c r="I257" s="36" t="str">
        <f t="shared" si="27"/>
        <v/>
      </c>
      <c r="J257" s="35">
        <f t="shared" si="32"/>
        <v>-6</v>
      </c>
      <c r="K257" s="35">
        <f t="shared" si="28"/>
        <v>-60</v>
      </c>
      <c r="L257" s="35"/>
      <c r="M257" s="37">
        <f t="shared" si="29"/>
        <v>0</v>
      </c>
      <c r="N257" s="37">
        <f t="shared" si="30"/>
        <v>0</v>
      </c>
    </row>
    <row r="258" spans="1:14" x14ac:dyDescent="0.25">
      <c r="A258" s="56">
        <f t="shared" si="31"/>
        <v>0</v>
      </c>
      <c r="G258" s="13"/>
      <c r="H258" s="35">
        <v>253</v>
      </c>
      <c r="I258" s="36" t="str">
        <f t="shared" si="27"/>
        <v/>
      </c>
      <c r="J258" s="35">
        <f t="shared" si="32"/>
        <v>-6</v>
      </c>
      <c r="K258" s="35">
        <f t="shared" si="28"/>
        <v>-60</v>
      </c>
      <c r="L258" s="35"/>
      <c r="M258" s="37">
        <f t="shared" si="29"/>
        <v>0</v>
      </c>
      <c r="N258" s="37">
        <f t="shared" si="30"/>
        <v>0</v>
      </c>
    </row>
    <row r="259" spans="1:14" x14ac:dyDescent="0.25">
      <c r="A259" s="56">
        <f t="shared" si="31"/>
        <v>0</v>
      </c>
      <c r="G259" s="13"/>
      <c r="H259" s="35">
        <v>254</v>
      </c>
      <c r="I259" s="36" t="str">
        <f t="shared" si="27"/>
        <v/>
      </c>
      <c r="J259" s="35">
        <f t="shared" si="32"/>
        <v>-6</v>
      </c>
      <c r="K259" s="35">
        <f t="shared" si="28"/>
        <v>-60</v>
      </c>
      <c r="L259" s="35"/>
      <c r="M259" s="37">
        <f t="shared" si="29"/>
        <v>0</v>
      </c>
      <c r="N259" s="37">
        <f t="shared" si="30"/>
        <v>0</v>
      </c>
    </row>
    <row r="260" spans="1:14" x14ac:dyDescent="0.25">
      <c r="A260" s="56">
        <f t="shared" si="31"/>
        <v>0</v>
      </c>
      <c r="G260" s="13"/>
      <c r="H260" s="35">
        <v>255</v>
      </c>
      <c r="I260" s="36" t="str">
        <f t="shared" si="27"/>
        <v/>
      </c>
      <c r="J260" s="35">
        <f t="shared" si="32"/>
        <v>-6</v>
      </c>
      <c r="K260" s="35">
        <f t="shared" si="28"/>
        <v>-60</v>
      </c>
      <c r="L260" s="35"/>
      <c r="M260" s="37">
        <f t="shared" si="29"/>
        <v>0</v>
      </c>
      <c r="N260" s="37">
        <f t="shared" si="30"/>
        <v>0</v>
      </c>
    </row>
    <row r="261" spans="1:14" x14ac:dyDescent="0.25">
      <c r="A261" s="56">
        <f t="shared" si="31"/>
        <v>0</v>
      </c>
      <c r="G261" s="13"/>
      <c r="H261" s="35">
        <v>256</v>
      </c>
      <c r="I261" s="36" t="str">
        <f t="shared" si="27"/>
        <v/>
      </c>
      <c r="J261" s="35">
        <f t="shared" si="32"/>
        <v>-6</v>
      </c>
      <c r="K261" s="35">
        <f t="shared" si="28"/>
        <v>-60</v>
      </c>
      <c r="L261" s="35"/>
      <c r="M261" s="37">
        <f t="shared" si="29"/>
        <v>0</v>
      </c>
      <c r="N261" s="37">
        <f t="shared" si="30"/>
        <v>0</v>
      </c>
    </row>
    <row r="262" spans="1:14" x14ac:dyDescent="0.25">
      <c r="A262" s="56">
        <f t="shared" si="31"/>
        <v>0</v>
      </c>
      <c r="G262" s="13"/>
      <c r="H262" s="35">
        <v>257</v>
      </c>
      <c r="I262" s="36" t="str">
        <f t="shared" ref="I262:I305" si="33">IF(H262&lt;$H$2+1,($I$2-($I$2-1)*(LOG(H262)/LOG($H$2))),"")</f>
        <v/>
      </c>
      <c r="J262" s="35">
        <f t="shared" si="32"/>
        <v>-7</v>
      </c>
      <c r="K262" s="35">
        <f t="shared" ref="K262:K305" si="34">J262*$J$2</f>
        <v>-70</v>
      </c>
      <c r="L262" s="35"/>
      <c r="M262" s="37">
        <f t="shared" ref="M262:M305" si="35">IF(I262&lt;&gt;"",K262+I262+L262,0)</f>
        <v>0</v>
      </c>
      <c r="N262" s="37">
        <f t="shared" ref="N262:N305" si="36">IF(I262&lt;&gt;"",M262*L$2,0)</f>
        <v>0</v>
      </c>
    </row>
    <row r="263" spans="1:14" x14ac:dyDescent="0.25">
      <c r="A263" s="56">
        <f t="shared" ref="A263:A305" si="37">N263</f>
        <v>0</v>
      </c>
      <c r="G263" s="13"/>
      <c r="H263" s="35">
        <v>258</v>
      </c>
      <c r="I263" s="36" t="str">
        <f t="shared" si="33"/>
        <v/>
      </c>
      <c r="J263" s="35">
        <f t="shared" ref="J263:J305" si="38">INT(LOG($H$2,2))-ROUNDUP(LOG(H263,2),0)+IF(OR($H$2=1,$H$2=2,$H$2=4,$H$2=8,$H$2=16,$H$2=32,$H$2=64,$H$2=128,$H$2=256),0,1)</f>
        <v>-7</v>
      </c>
      <c r="K263" s="35">
        <f t="shared" si="34"/>
        <v>-70</v>
      </c>
      <c r="L263" s="35"/>
      <c r="M263" s="37">
        <f t="shared" si="35"/>
        <v>0</v>
      </c>
      <c r="N263" s="37">
        <f t="shared" si="36"/>
        <v>0</v>
      </c>
    </row>
    <row r="264" spans="1:14" x14ac:dyDescent="0.25">
      <c r="A264" s="56">
        <f t="shared" si="37"/>
        <v>0</v>
      </c>
      <c r="G264" s="13"/>
      <c r="H264" s="35">
        <v>259</v>
      </c>
      <c r="I264" s="36" t="str">
        <f t="shared" si="33"/>
        <v/>
      </c>
      <c r="J264" s="35">
        <f t="shared" si="38"/>
        <v>-7</v>
      </c>
      <c r="K264" s="35">
        <f t="shared" si="34"/>
        <v>-70</v>
      </c>
      <c r="L264" s="35"/>
      <c r="M264" s="37">
        <f t="shared" si="35"/>
        <v>0</v>
      </c>
      <c r="N264" s="37">
        <f t="shared" si="36"/>
        <v>0</v>
      </c>
    </row>
    <row r="265" spans="1:14" x14ac:dyDescent="0.25">
      <c r="A265" s="56">
        <f t="shared" si="37"/>
        <v>0</v>
      </c>
      <c r="G265" s="13"/>
      <c r="H265" s="35">
        <v>260</v>
      </c>
      <c r="I265" s="36" t="str">
        <f t="shared" si="33"/>
        <v/>
      </c>
      <c r="J265" s="35">
        <f t="shared" si="38"/>
        <v>-7</v>
      </c>
      <c r="K265" s="35">
        <f t="shared" si="34"/>
        <v>-70</v>
      </c>
      <c r="L265" s="35"/>
      <c r="M265" s="37">
        <f t="shared" si="35"/>
        <v>0</v>
      </c>
      <c r="N265" s="37">
        <f t="shared" si="36"/>
        <v>0</v>
      </c>
    </row>
    <row r="266" spans="1:14" x14ac:dyDescent="0.25">
      <c r="A266" s="56">
        <f t="shared" si="37"/>
        <v>0</v>
      </c>
      <c r="G266" s="13"/>
      <c r="H266" s="35">
        <v>261</v>
      </c>
      <c r="I266" s="36" t="str">
        <f t="shared" si="33"/>
        <v/>
      </c>
      <c r="J266" s="35">
        <f t="shared" si="38"/>
        <v>-7</v>
      </c>
      <c r="K266" s="35">
        <f t="shared" si="34"/>
        <v>-70</v>
      </c>
      <c r="L266" s="35"/>
      <c r="M266" s="37">
        <f t="shared" si="35"/>
        <v>0</v>
      </c>
      <c r="N266" s="37">
        <f t="shared" si="36"/>
        <v>0</v>
      </c>
    </row>
    <row r="267" spans="1:14" x14ac:dyDescent="0.25">
      <c r="A267" s="56">
        <f t="shared" si="37"/>
        <v>0</v>
      </c>
      <c r="G267" s="13"/>
      <c r="H267" s="35">
        <v>262</v>
      </c>
      <c r="I267" s="36" t="str">
        <f t="shared" si="33"/>
        <v/>
      </c>
      <c r="J267" s="35">
        <f t="shared" si="38"/>
        <v>-7</v>
      </c>
      <c r="K267" s="35">
        <f t="shared" si="34"/>
        <v>-70</v>
      </c>
      <c r="L267" s="35"/>
      <c r="M267" s="37">
        <f t="shared" si="35"/>
        <v>0</v>
      </c>
      <c r="N267" s="37">
        <f t="shared" si="36"/>
        <v>0</v>
      </c>
    </row>
    <row r="268" spans="1:14" x14ac:dyDescent="0.25">
      <c r="A268" s="56">
        <f t="shared" si="37"/>
        <v>0</v>
      </c>
      <c r="G268" s="13"/>
      <c r="H268" s="35">
        <v>263</v>
      </c>
      <c r="I268" s="36" t="str">
        <f t="shared" si="33"/>
        <v/>
      </c>
      <c r="J268" s="35">
        <f t="shared" si="38"/>
        <v>-7</v>
      </c>
      <c r="K268" s="35">
        <f t="shared" si="34"/>
        <v>-70</v>
      </c>
      <c r="L268" s="35"/>
      <c r="M268" s="37">
        <f t="shared" si="35"/>
        <v>0</v>
      </c>
      <c r="N268" s="37">
        <f t="shared" si="36"/>
        <v>0</v>
      </c>
    </row>
    <row r="269" spans="1:14" x14ac:dyDescent="0.25">
      <c r="A269" s="56">
        <f t="shared" si="37"/>
        <v>0</v>
      </c>
      <c r="G269" s="13"/>
      <c r="H269" s="35">
        <v>264</v>
      </c>
      <c r="I269" s="36" t="str">
        <f t="shared" si="33"/>
        <v/>
      </c>
      <c r="J269" s="35">
        <f t="shared" si="38"/>
        <v>-7</v>
      </c>
      <c r="K269" s="35">
        <f t="shared" si="34"/>
        <v>-70</v>
      </c>
      <c r="L269" s="35"/>
      <c r="M269" s="37">
        <f t="shared" si="35"/>
        <v>0</v>
      </c>
      <c r="N269" s="37">
        <f t="shared" si="36"/>
        <v>0</v>
      </c>
    </row>
    <row r="270" spans="1:14" x14ac:dyDescent="0.25">
      <c r="A270" s="56">
        <f t="shared" si="37"/>
        <v>0</v>
      </c>
      <c r="G270" s="13"/>
      <c r="H270" s="35">
        <v>265</v>
      </c>
      <c r="I270" s="36" t="str">
        <f t="shared" si="33"/>
        <v/>
      </c>
      <c r="J270" s="35">
        <f t="shared" si="38"/>
        <v>-7</v>
      </c>
      <c r="K270" s="35">
        <f t="shared" si="34"/>
        <v>-70</v>
      </c>
      <c r="L270" s="35"/>
      <c r="M270" s="37">
        <f t="shared" si="35"/>
        <v>0</v>
      </c>
      <c r="N270" s="37">
        <f t="shared" si="36"/>
        <v>0</v>
      </c>
    </row>
    <row r="271" spans="1:14" x14ac:dyDescent="0.25">
      <c r="A271" s="56">
        <f t="shared" si="37"/>
        <v>0</v>
      </c>
      <c r="G271" s="13"/>
      <c r="H271" s="35">
        <v>266</v>
      </c>
      <c r="I271" s="36" t="str">
        <f t="shared" si="33"/>
        <v/>
      </c>
      <c r="J271" s="35">
        <f t="shared" si="38"/>
        <v>-7</v>
      </c>
      <c r="K271" s="35">
        <f t="shared" si="34"/>
        <v>-70</v>
      </c>
      <c r="L271" s="35"/>
      <c r="M271" s="37">
        <f t="shared" si="35"/>
        <v>0</v>
      </c>
      <c r="N271" s="37">
        <f t="shared" si="36"/>
        <v>0</v>
      </c>
    </row>
    <row r="272" spans="1:14" x14ac:dyDescent="0.25">
      <c r="A272" s="56">
        <f t="shared" si="37"/>
        <v>0</v>
      </c>
      <c r="G272" s="13"/>
      <c r="H272" s="35">
        <v>267</v>
      </c>
      <c r="I272" s="36" t="str">
        <f t="shared" si="33"/>
        <v/>
      </c>
      <c r="J272" s="35">
        <f t="shared" si="38"/>
        <v>-7</v>
      </c>
      <c r="K272" s="35">
        <f t="shared" si="34"/>
        <v>-70</v>
      </c>
      <c r="L272" s="35"/>
      <c r="M272" s="37">
        <f t="shared" si="35"/>
        <v>0</v>
      </c>
      <c r="N272" s="37">
        <f t="shared" si="36"/>
        <v>0</v>
      </c>
    </row>
    <row r="273" spans="1:14" x14ac:dyDescent="0.25">
      <c r="A273" s="56">
        <f t="shared" si="37"/>
        <v>0</v>
      </c>
      <c r="G273" s="13"/>
      <c r="H273" s="35">
        <v>268</v>
      </c>
      <c r="I273" s="36" t="str">
        <f t="shared" si="33"/>
        <v/>
      </c>
      <c r="J273" s="35">
        <f t="shared" si="38"/>
        <v>-7</v>
      </c>
      <c r="K273" s="35">
        <f t="shared" si="34"/>
        <v>-70</v>
      </c>
      <c r="L273" s="35"/>
      <c r="M273" s="37">
        <f t="shared" si="35"/>
        <v>0</v>
      </c>
      <c r="N273" s="37">
        <f t="shared" si="36"/>
        <v>0</v>
      </c>
    </row>
    <row r="274" spans="1:14" x14ac:dyDescent="0.25">
      <c r="A274" s="56">
        <f t="shared" si="37"/>
        <v>0</v>
      </c>
      <c r="G274" s="13"/>
      <c r="H274" s="35">
        <v>269</v>
      </c>
      <c r="I274" s="36" t="str">
        <f t="shared" si="33"/>
        <v/>
      </c>
      <c r="J274" s="35">
        <f t="shared" si="38"/>
        <v>-7</v>
      </c>
      <c r="K274" s="35">
        <f t="shared" si="34"/>
        <v>-70</v>
      </c>
      <c r="L274" s="35"/>
      <c r="M274" s="37">
        <f t="shared" si="35"/>
        <v>0</v>
      </c>
      <c r="N274" s="37">
        <f t="shared" si="36"/>
        <v>0</v>
      </c>
    </row>
    <row r="275" spans="1:14" x14ac:dyDescent="0.25">
      <c r="A275" s="56">
        <f t="shared" si="37"/>
        <v>0</v>
      </c>
      <c r="G275" s="13"/>
      <c r="H275" s="35">
        <v>270</v>
      </c>
      <c r="I275" s="36" t="str">
        <f t="shared" si="33"/>
        <v/>
      </c>
      <c r="J275" s="35">
        <f t="shared" si="38"/>
        <v>-7</v>
      </c>
      <c r="K275" s="35">
        <f t="shared" si="34"/>
        <v>-70</v>
      </c>
      <c r="L275" s="35"/>
      <c r="M275" s="37">
        <f t="shared" si="35"/>
        <v>0</v>
      </c>
      <c r="N275" s="37">
        <f t="shared" si="36"/>
        <v>0</v>
      </c>
    </row>
    <row r="276" spans="1:14" x14ac:dyDescent="0.25">
      <c r="A276" s="56">
        <f t="shared" si="37"/>
        <v>0</v>
      </c>
      <c r="G276" s="13"/>
      <c r="H276" s="35">
        <v>271</v>
      </c>
      <c r="I276" s="36" t="str">
        <f t="shared" si="33"/>
        <v/>
      </c>
      <c r="J276" s="35">
        <f t="shared" si="38"/>
        <v>-7</v>
      </c>
      <c r="K276" s="35">
        <f t="shared" si="34"/>
        <v>-70</v>
      </c>
      <c r="L276" s="35"/>
      <c r="M276" s="37">
        <f t="shared" si="35"/>
        <v>0</v>
      </c>
      <c r="N276" s="37">
        <f t="shared" si="36"/>
        <v>0</v>
      </c>
    </row>
    <row r="277" spans="1:14" x14ac:dyDescent="0.25">
      <c r="A277" s="56">
        <f t="shared" si="37"/>
        <v>0</v>
      </c>
      <c r="G277" s="13"/>
      <c r="H277" s="35">
        <v>272</v>
      </c>
      <c r="I277" s="36" t="str">
        <f t="shared" si="33"/>
        <v/>
      </c>
      <c r="J277" s="35">
        <f t="shared" si="38"/>
        <v>-7</v>
      </c>
      <c r="K277" s="35">
        <f t="shared" si="34"/>
        <v>-70</v>
      </c>
      <c r="L277" s="35"/>
      <c r="M277" s="37">
        <f t="shared" si="35"/>
        <v>0</v>
      </c>
      <c r="N277" s="37">
        <f t="shared" si="36"/>
        <v>0</v>
      </c>
    </row>
    <row r="278" spans="1:14" x14ac:dyDescent="0.25">
      <c r="A278" s="56">
        <f t="shared" si="37"/>
        <v>0</v>
      </c>
      <c r="G278" s="13"/>
      <c r="H278" s="35">
        <v>273</v>
      </c>
      <c r="I278" s="36" t="str">
        <f t="shared" si="33"/>
        <v/>
      </c>
      <c r="J278" s="35">
        <f t="shared" si="38"/>
        <v>-7</v>
      </c>
      <c r="K278" s="35">
        <f t="shared" si="34"/>
        <v>-70</v>
      </c>
      <c r="L278" s="35"/>
      <c r="M278" s="37">
        <f t="shared" si="35"/>
        <v>0</v>
      </c>
      <c r="N278" s="37">
        <f t="shared" si="36"/>
        <v>0</v>
      </c>
    </row>
    <row r="279" spans="1:14" x14ac:dyDescent="0.25">
      <c r="A279" s="56">
        <f t="shared" si="37"/>
        <v>0</v>
      </c>
      <c r="G279" s="13"/>
      <c r="H279" s="35">
        <v>274</v>
      </c>
      <c r="I279" s="36" t="str">
        <f t="shared" si="33"/>
        <v/>
      </c>
      <c r="J279" s="35">
        <f t="shared" si="38"/>
        <v>-7</v>
      </c>
      <c r="K279" s="35">
        <f t="shared" si="34"/>
        <v>-70</v>
      </c>
      <c r="L279" s="35"/>
      <c r="M279" s="37">
        <f t="shared" si="35"/>
        <v>0</v>
      </c>
      <c r="N279" s="37">
        <f t="shared" si="36"/>
        <v>0</v>
      </c>
    </row>
    <row r="280" spans="1:14" x14ac:dyDescent="0.25">
      <c r="A280" s="56">
        <f t="shared" si="37"/>
        <v>0</v>
      </c>
      <c r="G280" s="13"/>
      <c r="H280" s="35">
        <v>275</v>
      </c>
      <c r="I280" s="36" t="str">
        <f t="shared" si="33"/>
        <v/>
      </c>
      <c r="J280" s="35">
        <f t="shared" si="38"/>
        <v>-7</v>
      </c>
      <c r="K280" s="35">
        <f t="shared" si="34"/>
        <v>-70</v>
      </c>
      <c r="L280" s="35"/>
      <c r="M280" s="37">
        <f t="shared" si="35"/>
        <v>0</v>
      </c>
      <c r="N280" s="37">
        <f t="shared" si="36"/>
        <v>0</v>
      </c>
    </row>
    <row r="281" spans="1:14" x14ac:dyDescent="0.25">
      <c r="A281" s="56">
        <f t="shared" si="37"/>
        <v>0</v>
      </c>
      <c r="G281" s="13"/>
      <c r="H281" s="35">
        <v>276</v>
      </c>
      <c r="I281" s="36" t="str">
        <f t="shared" si="33"/>
        <v/>
      </c>
      <c r="J281" s="35">
        <f t="shared" si="38"/>
        <v>-7</v>
      </c>
      <c r="K281" s="35">
        <f t="shared" si="34"/>
        <v>-70</v>
      </c>
      <c r="L281" s="35"/>
      <c r="M281" s="37">
        <f t="shared" si="35"/>
        <v>0</v>
      </c>
      <c r="N281" s="37">
        <f t="shared" si="36"/>
        <v>0</v>
      </c>
    </row>
    <row r="282" spans="1:14" x14ac:dyDescent="0.25">
      <c r="A282" s="56">
        <f t="shared" si="37"/>
        <v>0</v>
      </c>
      <c r="G282" s="13"/>
      <c r="H282" s="35">
        <v>277</v>
      </c>
      <c r="I282" s="36" t="str">
        <f t="shared" si="33"/>
        <v/>
      </c>
      <c r="J282" s="35">
        <f t="shared" si="38"/>
        <v>-7</v>
      </c>
      <c r="K282" s="35">
        <f t="shared" si="34"/>
        <v>-70</v>
      </c>
      <c r="L282" s="35"/>
      <c r="M282" s="37">
        <f t="shared" si="35"/>
        <v>0</v>
      </c>
      <c r="N282" s="37">
        <f t="shared" si="36"/>
        <v>0</v>
      </c>
    </row>
    <row r="283" spans="1:14" x14ac:dyDescent="0.25">
      <c r="A283" s="56">
        <f t="shared" si="37"/>
        <v>0</v>
      </c>
      <c r="G283" s="13"/>
      <c r="H283" s="35">
        <v>278</v>
      </c>
      <c r="I283" s="36" t="str">
        <f t="shared" si="33"/>
        <v/>
      </c>
      <c r="J283" s="35">
        <f t="shared" si="38"/>
        <v>-7</v>
      </c>
      <c r="K283" s="35">
        <f t="shared" si="34"/>
        <v>-70</v>
      </c>
      <c r="L283" s="35"/>
      <c r="M283" s="37">
        <f t="shared" si="35"/>
        <v>0</v>
      </c>
      <c r="N283" s="37">
        <f t="shared" si="36"/>
        <v>0</v>
      </c>
    </row>
    <row r="284" spans="1:14" x14ac:dyDescent="0.25">
      <c r="A284" s="56">
        <f t="shared" si="37"/>
        <v>0</v>
      </c>
      <c r="G284" s="13"/>
      <c r="H284" s="35">
        <v>279</v>
      </c>
      <c r="I284" s="36" t="str">
        <f t="shared" si="33"/>
        <v/>
      </c>
      <c r="J284" s="35">
        <f t="shared" si="38"/>
        <v>-7</v>
      </c>
      <c r="K284" s="35">
        <f t="shared" si="34"/>
        <v>-70</v>
      </c>
      <c r="L284" s="35"/>
      <c r="M284" s="37">
        <f t="shared" si="35"/>
        <v>0</v>
      </c>
      <c r="N284" s="37">
        <f t="shared" si="36"/>
        <v>0</v>
      </c>
    </row>
    <row r="285" spans="1:14" x14ac:dyDescent="0.25">
      <c r="A285" s="56">
        <f t="shared" si="37"/>
        <v>0</v>
      </c>
      <c r="G285" s="13"/>
      <c r="H285" s="35">
        <v>280</v>
      </c>
      <c r="I285" s="36" t="str">
        <f t="shared" si="33"/>
        <v/>
      </c>
      <c r="J285" s="35">
        <f t="shared" si="38"/>
        <v>-7</v>
      </c>
      <c r="K285" s="35">
        <f t="shared" si="34"/>
        <v>-70</v>
      </c>
      <c r="L285" s="35"/>
      <c r="M285" s="37">
        <f t="shared" si="35"/>
        <v>0</v>
      </c>
      <c r="N285" s="37">
        <f t="shared" si="36"/>
        <v>0</v>
      </c>
    </row>
    <row r="286" spans="1:14" x14ac:dyDescent="0.25">
      <c r="A286" s="56">
        <f t="shared" si="37"/>
        <v>0</v>
      </c>
      <c r="G286" s="13"/>
      <c r="H286" s="35">
        <v>281</v>
      </c>
      <c r="I286" s="36" t="str">
        <f t="shared" si="33"/>
        <v/>
      </c>
      <c r="J286" s="35">
        <f t="shared" si="38"/>
        <v>-7</v>
      </c>
      <c r="K286" s="35">
        <f t="shared" si="34"/>
        <v>-70</v>
      </c>
      <c r="L286" s="35"/>
      <c r="M286" s="37">
        <f t="shared" si="35"/>
        <v>0</v>
      </c>
      <c r="N286" s="37">
        <f t="shared" si="36"/>
        <v>0</v>
      </c>
    </row>
    <row r="287" spans="1:14" x14ac:dyDescent="0.25">
      <c r="A287" s="56">
        <f t="shared" si="37"/>
        <v>0</v>
      </c>
      <c r="G287" s="13"/>
      <c r="H287" s="35">
        <v>282</v>
      </c>
      <c r="I287" s="36" t="str">
        <f t="shared" si="33"/>
        <v/>
      </c>
      <c r="J287" s="35">
        <f t="shared" si="38"/>
        <v>-7</v>
      </c>
      <c r="K287" s="35">
        <f t="shared" si="34"/>
        <v>-70</v>
      </c>
      <c r="L287" s="35"/>
      <c r="M287" s="37">
        <f t="shared" si="35"/>
        <v>0</v>
      </c>
      <c r="N287" s="37">
        <f t="shared" si="36"/>
        <v>0</v>
      </c>
    </row>
    <row r="288" spans="1:14" x14ac:dyDescent="0.25">
      <c r="A288" s="56">
        <f t="shared" si="37"/>
        <v>0</v>
      </c>
      <c r="G288" s="13"/>
      <c r="H288" s="35">
        <v>283</v>
      </c>
      <c r="I288" s="36" t="str">
        <f t="shared" si="33"/>
        <v/>
      </c>
      <c r="J288" s="35">
        <f t="shared" si="38"/>
        <v>-7</v>
      </c>
      <c r="K288" s="35">
        <f t="shared" si="34"/>
        <v>-70</v>
      </c>
      <c r="L288" s="35"/>
      <c r="M288" s="37">
        <f t="shared" si="35"/>
        <v>0</v>
      </c>
      <c r="N288" s="37">
        <f t="shared" si="36"/>
        <v>0</v>
      </c>
    </row>
    <row r="289" spans="1:14" x14ac:dyDescent="0.25">
      <c r="A289" s="56">
        <f t="shared" si="37"/>
        <v>0</v>
      </c>
      <c r="G289" s="13"/>
      <c r="H289" s="35">
        <v>284</v>
      </c>
      <c r="I289" s="36" t="str">
        <f t="shared" si="33"/>
        <v/>
      </c>
      <c r="J289" s="35">
        <f t="shared" si="38"/>
        <v>-7</v>
      </c>
      <c r="K289" s="35">
        <f t="shared" si="34"/>
        <v>-70</v>
      </c>
      <c r="L289" s="35"/>
      <c r="M289" s="37">
        <f t="shared" si="35"/>
        <v>0</v>
      </c>
      <c r="N289" s="37">
        <f t="shared" si="36"/>
        <v>0</v>
      </c>
    </row>
    <row r="290" spans="1:14" x14ac:dyDescent="0.25">
      <c r="A290" s="56">
        <f t="shared" si="37"/>
        <v>0</v>
      </c>
      <c r="G290" s="13"/>
      <c r="H290" s="35">
        <v>285</v>
      </c>
      <c r="I290" s="36" t="str">
        <f t="shared" si="33"/>
        <v/>
      </c>
      <c r="J290" s="35">
        <f t="shared" si="38"/>
        <v>-7</v>
      </c>
      <c r="K290" s="35">
        <f t="shared" si="34"/>
        <v>-70</v>
      </c>
      <c r="L290" s="35"/>
      <c r="M290" s="37">
        <f t="shared" si="35"/>
        <v>0</v>
      </c>
      <c r="N290" s="37">
        <f t="shared" si="36"/>
        <v>0</v>
      </c>
    </row>
    <row r="291" spans="1:14" x14ac:dyDescent="0.25">
      <c r="A291" s="56">
        <f t="shared" si="37"/>
        <v>0</v>
      </c>
      <c r="G291" s="13"/>
      <c r="H291" s="35">
        <v>286</v>
      </c>
      <c r="I291" s="36" t="str">
        <f t="shared" si="33"/>
        <v/>
      </c>
      <c r="J291" s="35">
        <f t="shared" si="38"/>
        <v>-7</v>
      </c>
      <c r="K291" s="35">
        <f t="shared" si="34"/>
        <v>-70</v>
      </c>
      <c r="L291" s="35"/>
      <c r="M291" s="37">
        <f t="shared" si="35"/>
        <v>0</v>
      </c>
      <c r="N291" s="37">
        <f t="shared" si="36"/>
        <v>0</v>
      </c>
    </row>
    <row r="292" spans="1:14" x14ac:dyDescent="0.25">
      <c r="A292" s="56">
        <f t="shared" si="37"/>
        <v>0</v>
      </c>
      <c r="G292" s="13"/>
      <c r="H292" s="35">
        <v>287</v>
      </c>
      <c r="I292" s="36" t="str">
        <f t="shared" si="33"/>
        <v/>
      </c>
      <c r="J292" s="35">
        <f t="shared" si="38"/>
        <v>-7</v>
      </c>
      <c r="K292" s="35">
        <f t="shared" si="34"/>
        <v>-70</v>
      </c>
      <c r="L292" s="35"/>
      <c r="M292" s="37">
        <f t="shared" si="35"/>
        <v>0</v>
      </c>
      <c r="N292" s="37">
        <f t="shared" si="36"/>
        <v>0</v>
      </c>
    </row>
    <row r="293" spans="1:14" x14ac:dyDescent="0.25">
      <c r="A293" s="56">
        <f t="shared" si="37"/>
        <v>0</v>
      </c>
      <c r="G293" s="13"/>
      <c r="H293" s="35">
        <v>288</v>
      </c>
      <c r="I293" s="36" t="str">
        <f t="shared" si="33"/>
        <v/>
      </c>
      <c r="J293" s="35">
        <f t="shared" si="38"/>
        <v>-7</v>
      </c>
      <c r="K293" s="35">
        <f t="shared" si="34"/>
        <v>-70</v>
      </c>
      <c r="L293" s="35"/>
      <c r="M293" s="37">
        <f t="shared" si="35"/>
        <v>0</v>
      </c>
      <c r="N293" s="37">
        <f t="shared" si="36"/>
        <v>0</v>
      </c>
    </row>
    <row r="294" spans="1:14" x14ac:dyDescent="0.25">
      <c r="A294" s="56">
        <f t="shared" si="37"/>
        <v>0</v>
      </c>
      <c r="G294" s="13"/>
      <c r="H294" s="35">
        <v>289</v>
      </c>
      <c r="I294" s="36" t="str">
        <f t="shared" si="33"/>
        <v/>
      </c>
      <c r="J294" s="35">
        <f t="shared" si="38"/>
        <v>-7</v>
      </c>
      <c r="K294" s="35">
        <f t="shared" si="34"/>
        <v>-70</v>
      </c>
      <c r="L294" s="35"/>
      <c r="M294" s="37">
        <f t="shared" si="35"/>
        <v>0</v>
      </c>
      <c r="N294" s="37">
        <f t="shared" si="36"/>
        <v>0</v>
      </c>
    </row>
    <row r="295" spans="1:14" x14ac:dyDescent="0.25">
      <c r="A295" s="56">
        <f t="shared" si="37"/>
        <v>0</v>
      </c>
      <c r="G295" s="13"/>
      <c r="H295" s="35">
        <v>290</v>
      </c>
      <c r="I295" s="36" t="str">
        <f t="shared" si="33"/>
        <v/>
      </c>
      <c r="J295" s="35">
        <f t="shared" si="38"/>
        <v>-7</v>
      </c>
      <c r="K295" s="35">
        <f t="shared" si="34"/>
        <v>-70</v>
      </c>
      <c r="L295" s="35"/>
      <c r="M295" s="37">
        <f t="shared" si="35"/>
        <v>0</v>
      </c>
      <c r="N295" s="37">
        <f t="shared" si="36"/>
        <v>0</v>
      </c>
    </row>
    <row r="296" spans="1:14" x14ac:dyDescent="0.25">
      <c r="A296" s="56">
        <f t="shared" si="37"/>
        <v>0</v>
      </c>
      <c r="G296" s="13"/>
      <c r="H296" s="35">
        <v>291</v>
      </c>
      <c r="I296" s="36" t="str">
        <f t="shared" si="33"/>
        <v/>
      </c>
      <c r="J296" s="35">
        <f t="shared" si="38"/>
        <v>-7</v>
      </c>
      <c r="K296" s="35">
        <f t="shared" si="34"/>
        <v>-70</v>
      </c>
      <c r="L296" s="35"/>
      <c r="M296" s="37">
        <f t="shared" si="35"/>
        <v>0</v>
      </c>
      <c r="N296" s="37">
        <f t="shared" si="36"/>
        <v>0</v>
      </c>
    </row>
    <row r="297" spans="1:14" x14ac:dyDescent="0.25">
      <c r="A297" s="56">
        <f t="shared" si="37"/>
        <v>0</v>
      </c>
      <c r="G297" s="13"/>
      <c r="H297" s="35">
        <v>292</v>
      </c>
      <c r="I297" s="36" t="str">
        <f t="shared" si="33"/>
        <v/>
      </c>
      <c r="J297" s="35">
        <f t="shared" si="38"/>
        <v>-7</v>
      </c>
      <c r="K297" s="35">
        <f t="shared" si="34"/>
        <v>-70</v>
      </c>
      <c r="L297" s="35"/>
      <c r="M297" s="37">
        <f t="shared" si="35"/>
        <v>0</v>
      </c>
      <c r="N297" s="37">
        <f t="shared" si="36"/>
        <v>0</v>
      </c>
    </row>
    <row r="298" spans="1:14" x14ac:dyDescent="0.25">
      <c r="A298" s="56">
        <f t="shared" si="37"/>
        <v>0</v>
      </c>
      <c r="G298" s="13"/>
      <c r="H298" s="35">
        <v>293</v>
      </c>
      <c r="I298" s="36" t="str">
        <f t="shared" si="33"/>
        <v/>
      </c>
      <c r="J298" s="35">
        <f t="shared" si="38"/>
        <v>-7</v>
      </c>
      <c r="K298" s="35">
        <f t="shared" si="34"/>
        <v>-70</v>
      </c>
      <c r="L298" s="35"/>
      <c r="M298" s="37">
        <f t="shared" si="35"/>
        <v>0</v>
      </c>
      <c r="N298" s="37">
        <f t="shared" si="36"/>
        <v>0</v>
      </c>
    </row>
    <row r="299" spans="1:14" x14ac:dyDescent="0.25">
      <c r="A299" s="56">
        <f t="shared" si="37"/>
        <v>0</v>
      </c>
      <c r="G299" s="13"/>
      <c r="H299" s="35">
        <v>294</v>
      </c>
      <c r="I299" s="36" t="str">
        <f t="shared" si="33"/>
        <v/>
      </c>
      <c r="J299" s="35">
        <f t="shared" si="38"/>
        <v>-7</v>
      </c>
      <c r="K299" s="35">
        <f t="shared" si="34"/>
        <v>-70</v>
      </c>
      <c r="L299" s="35"/>
      <c r="M299" s="37">
        <f t="shared" si="35"/>
        <v>0</v>
      </c>
      <c r="N299" s="37">
        <f t="shared" si="36"/>
        <v>0</v>
      </c>
    </row>
    <row r="300" spans="1:14" x14ac:dyDescent="0.25">
      <c r="A300" s="56">
        <f t="shared" si="37"/>
        <v>0</v>
      </c>
      <c r="G300" s="13"/>
      <c r="H300" s="35">
        <v>295</v>
      </c>
      <c r="I300" s="36" t="str">
        <f t="shared" si="33"/>
        <v/>
      </c>
      <c r="J300" s="35">
        <f t="shared" si="38"/>
        <v>-7</v>
      </c>
      <c r="K300" s="35">
        <f t="shared" si="34"/>
        <v>-70</v>
      </c>
      <c r="L300" s="35"/>
      <c r="M300" s="37">
        <f t="shared" si="35"/>
        <v>0</v>
      </c>
      <c r="N300" s="37">
        <f t="shared" si="36"/>
        <v>0</v>
      </c>
    </row>
    <row r="301" spans="1:14" x14ac:dyDescent="0.25">
      <c r="A301" s="56">
        <f t="shared" si="37"/>
        <v>0</v>
      </c>
      <c r="G301" s="13"/>
      <c r="H301" s="35">
        <v>296</v>
      </c>
      <c r="I301" s="36" t="str">
        <f t="shared" si="33"/>
        <v/>
      </c>
      <c r="J301" s="35">
        <f t="shared" si="38"/>
        <v>-7</v>
      </c>
      <c r="K301" s="35">
        <f t="shared" si="34"/>
        <v>-70</v>
      </c>
      <c r="L301" s="35"/>
      <c r="M301" s="37">
        <f t="shared" si="35"/>
        <v>0</v>
      </c>
      <c r="N301" s="37">
        <f t="shared" si="36"/>
        <v>0</v>
      </c>
    </row>
    <row r="302" spans="1:14" x14ac:dyDescent="0.25">
      <c r="A302" s="56">
        <f t="shared" si="37"/>
        <v>0</v>
      </c>
      <c r="G302" s="13"/>
      <c r="H302" s="35">
        <v>297</v>
      </c>
      <c r="I302" s="36" t="str">
        <f t="shared" si="33"/>
        <v/>
      </c>
      <c r="J302" s="35">
        <f t="shared" si="38"/>
        <v>-7</v>
      </c>
      <c r="K302" s="35">
        <f t="shared" si="34"/>
        <v>-70</v>
      </c>
      <c r="L302" s="35"/>
      <c r="M302" s="37">
        <f t="shared" si="35"/>
        <v>0</v>
      </c>
      <c r="N302" s="37">
        <f t="shared" si="36"/>
        <v>0</v>
      </c>
    </row>
    <row r="303" spans="1:14" x14ac:dyDescent="0.25">
      <c r="A303" s="56">
        <f t="shared" si="37"/>
        <v>0</v>
      </c>
      <c r="G303" s="13"/>
      <c r="H303" s="35">
        <v>298</v>
      </c>
      <c r="I303" s="36" t="str">
        <f t="shared" si="33"/>
        <v/>
      </c>
      <c r="J303" s="35">
        <f t="shared" si="38"/>
        <v>-7</v>
      </c>
      <c r="K303" s="35">
        <f t="shared" si="34"/>
        <v>-70</v>
      </c>
      <c r="L303" s="35"/>
      <c r="M303" s="37">
        <f t="shared" si="35"/>
        <v>0</v>
      </c>
      <c r="N303" s="37">
        <f t="shared" si="36"/>
        <v>0</v>
      </c>
    </row>
    <row r="304" spans="1:14" x14ac:dyDescent="0.25">
      <c r="A304" s="56">
        <f t="shared" si="37"/>
        <v>0</v>
      </c>
      <c r="G304" s="13"/>
      <c r="H304" s="35">
        <v>299</v>
      </c>
      <c r="I304" s="36" t="str">
        <f t="shared" si="33"/>
        <v/>
      </c>
      <c r="J304" s="35">
        <f t="shared" si="38"/>
        <v>-7</v>
      </c>
      <c r="K304" s="35">
        <f t="shared" si="34"/>
        <v>-70</v>
      </c>
      <c r="L304" s="35"/>
      <c r="M304" s="37">
        <f t="shared" si="35"/>
        <v>0</v>
      </c>
      <c r="N304" s="37">
        <f t="shared" si="36"/>
        <v>0</v>
      </c>
    </row>
    <row r="305" spans="1:17" x14ac:dyDescent="0.25">
      <c r="A305" s="56">
        <f t="shared" si="37"/>
        <v>0</v>
      </c>
      <c r="G305" s="13"/>
      <c r="H305" s="35">
        <v>300</v>
      </c>
      <c r="I305" s="36" t="str">
        <f t="shared" si="33"/>
        <v/>
      </c>
      <c r="J305" s="35">
        <f t="shared" si="38"/>
        <v>-7</v>
      </c>
      <c r="K305" s="35">
        <f t="shared" si="34"/>
        <v>-70</v>
      </c>
      <c r="L305" s="35"/>
      <c r="M305" s="37">
        <f t="shared" si="35"/>
        <v>0</v>
      </c>
      <c r="N305" s="37">
        <f t="shared" si="36"/>
        <v>0</v>
      </c>
    </row>
    <row r="306" spans="1:17" x14ac:dyDescent="0.25">
      <c r="A306" s="58"/>
    </row>
    <row r="314" spans="1:17" x14ac:dyDescent="0.25">
      <c r="L314" s="61"/>
      <c r="M314" s="61"/>
      <c r="Q314" s="51"/>
    </row>
    <row r="315" spans="1:17" x14ac:dyDescent="0.25">
      <c r="L315" s="61"/>
      <c r="M315" s="61"/>
      <c r="Q315" s="51"/>
    </row>
    <row r="316" spans="1:17" x14ac:dyDescent="0.25">
      <c r="L316" s="61"/>
      <c r="M316" s="61"/>
      <c r="Q316" s="51"/>
    </row>
    <row r="317" spans="1:17" x14ac:dyDescent="0.25">
      <c r="L317" s="61"/>
      <c r="M317" s="61"/>
      <c r="Q317" s="51"/>
    </row>
  </sheetData>
  <mergeCells count="2">
    <mergeCell ref="C2:D2"/>
    <mergeCell ref="C3:D3"/>
  </mergeCells>
  <conditionalFormatting sqref="J6:N305">
    <cfRule type="cellIs" dxfId="16" priority="1" operator="lessThanOrEqual">
      <formula>0</formula>
    </cfRule>
  </conditionalFormatting>
  <dataValidations count="1">
    <dataValidation type="list" allowBlank="1" showInputMessage="1" showErrorMessage="1" sqref="C38:C69" xr:uid="{383167B7-37C6-473F-B9FE-61AA76750CC8}">
      <formula1>#REF!</formula1>
    </dataValidation>
  </dataValidations>
  <hyperlinks>
    <hyperlink ref="C2" r:id="rId1" location="today" display="https://www.fencingtimelive.com/tournaments/eventSchedule/B2C615704AB84D0F85BBFF395C07BA41 - today" xr:uid="{D25AC4AD-C0F5-4F04-ABF8-1E52E17190BE}"/>
    <hyperlink ref="C2:D2" r:id="rId2" display="PABIANICE" xr:uid="{1303CB45-82C8-4BB0-B693-B74386B9DB16}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A20B3-5AAD-4C6E-AC99-1ABF64677A16}">
  <dimension ref="A1:AI38"/>
  <sheetViews>
    <sheetView workbookViewId="0">
      <selection activeCell="D6" sqref="D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7" width="5.125" customWidth="1"/>
    <col min="8" max="8" width="6.375" bestFit="1" customWidth="1"/>
    <col min="9" max="15" width="5.125" customWidth="1"/>
    <col min="16" max="16" width="6.375" bestFit="1" customWidth="1"/>
    <col min="17" max="17" width="2" customWidth="1"/>
    <col min="18" max="35" width="5.125" customWidth="1"/>
  </cols>
  <sheetData>
    <row r="1" spans="1:35" ht="13.75" customHeight="1" thickTop="1" x14ac:dyDescent="0.2">
      <c r="A1" s="3"/>
      <c r="B1" s="3"/>
      <c r="C1" s="3"/>
      <c r="D1" s="224" t="s">
        <v>90</v>
      </c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R1" s="213" t="s">
        <v>140</v>
      </c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214"/>
      <c r="AI1" s="215"/>
    </row>
    <row r="2" spans="1:35" ht="13.75" customHeight="1" x14ac:dyDescent="0.2">
      <c r="A2" s="3"/>
      <c r="B2" s="180" t="s">
        <v>0</v>
      </c>
      <c r="C2" s="3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R2" s="216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8"/>
    </row>
    <row r="3" spans="1:35" ht="13.75" customHeight="1" thickBot="1" x14ac:dyDescent="0.3">
      <c r="A3" s="3"/>
      <c r="B3" s="3"/>
      <c r="C3" s="3"/>
      <c r="D3" s="6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19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1"/>
    </row>
    <row r="4" spans="1:35" ht="24.8" customHeight="1" thickTop="1" x14ac:dyDescent="0.2">
      <c r="A4" s="227" t="s">
        <v>4</v>
      </c>
      <c r="B4" s="229" t="s">
        <v>5</v>
      </c>
      <c r="C4" s="229" t="s">
        <v>6</v>
      </c>
      <c r="D4" s="229" t="s">
        <v>7</v>
      </c>
      <c r="E4" s="225" t="s">
        <v>8</v>
      </c>
      <c r="F4" s="226"/>
      <c r="G4" s="225" t="s">
        <v>9</v>
      </c>
      <c r="H4" s="226"/>
      <c r="I4" s="207" t="s">
        <v>10</v>
      </c>
      <c r="J4" s="208"/>
      <c r="K4" s="207" t="s">
        <v>11</v>
      </c>
      <c r="L4" s="208"/>
      <c r="M4" s="207" t="s">
        <v>12</v>
      </c>
      <c r="N4" s="208"/>
      <c r="O4" s="225" t="s">
        <v>13</v>
      </c>
      <c r="P4" s="226"/>
      <c r="R4" s="222" t="s">
        <v>91</v>
      </c>
      <c r="S4" s="223"/>
      <c r="T4" s="222" t="s">
        <v>92</v>
      </c>
      <c r="U4" s="223"/>
      <c r="V4" s="222" t="s">
        <v>93</v>
      </c>
      <c r="W4" s="223"/>
      <c r="X4" s="222" t="s">
        <v>94</v>
      </c>
      <c r="Y4" s="223"/>
      <c r="Z4" s="222" t="s">
        <v>95</v>
      </c>
      <c r="AA4" s="223"/>
      <c r="AB4" s="222" t="s">
        <v>96</v>
      </c>
      <c r="AC4" s="223"/>
      <c r="AD4" s="222" t="s">
        <v>97</v>
      </c>
      <c r="AE4" s="223"/>
      <c r="AF4" s="222" t="s">
        <v>141</v>
      </c>
      <c r="AG4" s="223"/>
      <c r="AH4" s="222" t="s">
        <v>98</v>
      </c>
      <c r="AI4" s="223"/>
    </row>
    <row r="5" spans="1:35" ht="18" customHeight="1" x14ac:dyDescent="0.2">
      <c r="A5" s="228"/>
      <c r="B5" s="230"/>
      <c r="C5" s="230"/>
      <c r="D5" s="231"/>
      <c r="E5" s="67" t="s">
        <v>14</v>
      </c>
      <c r="F5" s="67" t="s">
        <v>15</v>
      </c>
      <c r="G5" s="67" t="s">
        <v>14</v>
      </c>
      <c r="H5" s="68" t="s">
        <v>15</v>
      </c>
      <c r="I5" s="2" t="s">
        <v>14</v>
      </c>
      <c r="J5" s="6" t="s">
        <v>15</v>
      </c>
      <c r="K5" s="2" t="s">
        <v>14</v>
      </c>
      <c r="L5" s="6" t="s">
        <v>15</v>
      </c>
      <c r="M5" s="2" t="s">
        <v>14</v>
      </c>
      <c r="N5" s="6" t="s">
        <v>15</v>
      </c>
      <c r="O5" s="67" t="s">
        <v>14</v>
      </c>
      <c r="P5" s="68" t="s">
        <v>15</v>
      </c>
      <c r="R5" s="69" t="s">
        <v>14</v>
      </c>
      <c r="S5" s="70" t="s">
        <v>15</v>
      </c>
      <c r="T5" s="69" t="s">
        <v>14</v>
      </c>
      <c r="U5" s="70" t="s">
        <v>15</v>
      </c>
      <c r="V5" s="69" t="s">
        <v>14</v>
      </c>
      <c r="W5" s="70" t="s">
        <v>15</v>
      </c>
      <c r="X5" s="69" t="s">
        <v>14</v>
      </c>
      <c r="Y5" s="70" t="s">
        <v>15</v>
      </c>
      <c r="Z5" s="69" t="s">
        <v>14</v>
      </c>
      <c r="AA5" s="70" t="s">
        <v>15</v>
      </c>
      <c r="AB5" s="69" t="s">
        <v>14</v>
      </c>
      <c r="AC5" s="70" t="s">
        <v>15</v>
      </c>
      <c r="AD5" s="69" t="s">
        <v>14</v>
      </c>
      <c r="AE5" s="70" t="s">
        <v>15</v>
      </c>
      <c r="AF5" s="69" t="s">
        <v>14</v>
      </c>
      <c r="AG5" s="70" t="s">
        <v>15</v>
      </c>
      <c r="AH5" s="69" t="s">
        <v>14</v>
      </c>
      <c r="AI5" s="70" t="s">
        <v>15</v>
      </c>
    </row>
    <row r="6" spans="1:35" ht="14.8" customHeight="1" x14ac:dyDescent="0.25">
      <c r="A6" s="7">
        <f t="shared" ref="A6:A22" si="0">ROW()-5</f>
        <v>1</v>
      </c>
      <c r="B6" s="8" t="s">
        <v>16</v>
      </c>
      <c r="C6" s="87"/>
      <c r="D6" s="73">
        <f>SUM(F6,H6,J6,L6,N6,P6)-MIN(F6,H6,J6,L6,N6)+SUM(LARGE((S6,U6,W6,Y6,AA6,AC6,AE6,AG6),1),LARGE((S6,U6,W6,Y6,AA6,AC6,AE6,AG6),2),LARGE((S6,U6,W6,Y6,AA6,AC6,AE6,AG6),3),AI6)</f>
        <v>583.72774774915331</v>
      </c>
      <c r="E6" s="9">
        <f>_xlfn.XLOOKUP($B6,'PP1'!$C$6:$C$101,'PP1'!$B$6:$B$101,"")</f>
        <v>1</v>
      </c>
      <c r="F6" s="74">
        <f>_xlfn.XLOOKUP(E6,'PP1'!$B$6:$B$55,'PP1'!$A$6:$A$55,0)</f>
        <v>95.389783520090276</v>
      </c>
      <c r="G6" s="9">
        <f>_xlfn.XLOOKUP($B6,'PP2'!$C$6:$C$101,'PP2'!$B$6:$B$101,"")</f>
        <v>1</v>
      </c>
      <c r="H6" s="74">
        <f>_xlfn.XLOOKUP(G6,'PP2'!$B$6:$B$55,'PP2'!$A$6:$A$55,0)</f>
        <v>84.286609467713788</v>
      </c>
      <c r="I6" s="9">
        <f>_xlfn.XLOOKUP($B6,'PP3'!$C$6:$C$101,'PP3'!$B$6:$B$101,"")</f>
        <v>4</v>
      </c>
      <c r="J6" s="88">
        <f>_xlfn.XLOOKUP(I6,'PP3'!$B$6:$B$55,'PP3'!$A$6:$A$55,0)</f>
        <v>17.793697308807488</v>
      </c>
      <c r="K6" s="9">
        <f>_xlfn.XLOOKUP($B6,'PP4'!$C$6:$C$101,'PP4'!$B$6:$B$101,"")</f>
        <v>1</v>
      </c>
      <c r="L6" s="88">
        <f>_xlfn.XLOOKUP(K6,'PP4'!$B$6:$B$55,'PP4'!$A$6:$A$55,0)</f>
        <v>91.339289449053865</v>
      </c>
      <c r="M6" s="9" t="str">
        <f>_xlfn.XLOOKUP($B6,'PP5'!$C$6:$C$101,'PP5'!$B$6:$B$101,"")</f>
        <v/>
      </c>
      <c r="N6" s="88">
        <f>_xlfn.XLOOKUP(M6,'PP5'!$B$6:$B$55,'PP5'!$A$6:$A$55,0)</f>
        <v>0</v>
      </c>
      <c r="O6" s="9" cm="1">
        <f t="array" ref="O6">_xlfn.XLOOKUP($B6,MPW!C$6:C$101,MPW!$B$6:B$101,"")</f>
        <v>1</v>
      </c>
      <c r="P6" s="75">
        <f>_xlfn.XLOOKUP(O6,MPW!$B$6:$B$55,MPW!$A$6:$A$55,0)</f>
        <v>111.57629535932</v>
      </c>
      <c r="R6" s="9">
        <f>_xlfn.XLOOKUP($B6,'PEW1'!$C$6:$C$101,'PEW1'!$B$6:$B$101,"")</f>
        <v>3</v>
      </c>
      <c r="S6" s="74">
        <f>_xlfn.XLOOKUP(R6,'PEW1'!$B$6:$B$55,'PEW1'!$A$6:$A$55,0)</f>
        <v>57.520126539962988</v>
      </c>
      <c r="T6" s="9">
        <f>_xlfn.XLOOKUP($B6,'PEW2'!$C$6:$C$101,'PEW2'!$B$6:$B$101,"")</f>
        <v>7</v>
      </c>
      <c r="U6" s="74">
        <f>_xlfn.XLOOKUP(T6,'PEW2'!$B$6:$B$55,'PEW2'!$A$6:$A$55,0)</f>
        <v>37.617057789832863</v>
      </c>
      <c r="V6" s="9">
        <f>_xlfn.XLOOKUP($B6,'PEW3'!$C$6:$C$101,'PEW3'!$B$6:$B$101,"")</f>
        <v>12</v>
      </c>
      <c r="W6" s="74">
        <f>_xlfn.XLOOKUP(V6,'PEW3'!$B$6:$B$55,'PEW3'!$A$6:$A$55,0)</f>
        <v>19.355371334581449</v>
      </c>
      <c r="X6" s="9">
        <f>_xlfn.XLOOKUP($B6,'PEW4'!$C$6:$C$101,'PEW4'!$B$6:$B$101,"")</f>
        <v>5</v>
      </c>
      <c r="Y6" s="74">
        <f>_xlfn.XLOOKUP(X6,'PEW4'!$B$6:$B$55,'PEW4'!$A$6:$A$55,0)</f>
        <v>45.794929097723696</v>
      </c>
      <c r="Z6" s="9" t="str">
        <f>_xlfn.XLOOKUP($B6,'PEW5'!$C$6:$C$101,'PEW5'!$B$6:$B$101,"")</f>
        <v/>
      </c>
      <c r="AA6" s="74">
        <f>_xlfn.XLOOKUP(Z6,'PEW5'!$B$6:$B$55,'PEW5'!$A$6:$A$55,0)</f>
        <v>0</v>
      </c>
      <c r="AB6" s="9">
        <f>_xlfn.XLOOKUP($B6,'PEW6'!$C$6:$C$101,'PEW6'!$B$6:$B$101,"")</f>
        <v>7</v>
      </c>
      <c r="AC6" s="74">
        <f>_xlfn.XLOOKUP(AB6,'PEW6'!$B$6:$B$55,'PEW6'!$A$6:$A$55,0)</f>
        <v>21.628499279099643</v>
      </c>
      <c r="AD6" s="9" t="str">
        <f>_xlfn.XLOOKUP($B6,'PEW7'!$C$6:$C$101,'PEW7'!$B$6:$B$101,"")</f>
        <v/>
      </c>
      <c r="AE6" s="74">
        <f>_xlfn.XLOOKUP(AD6,'PEW7'!$B$6:$B$55,'PEW7'!$A$6:$A$55,0)</f>
        <v>0</v>
      </c>
      <c r="AF6" s="9" t="str">
        <f>_xlfn.XLOOKUP($B6,PS!$C$6:$C$101,PS!$B$6:$B$101,"")</f>
        <v/>
      </c>
      <c r="AG6" s="74">
        <f>_xlfn.XLOOKUP(AF6,PS!$B$6:$B$55,PS!$A$6:$A$55,0)</f>
        <v>0</v>
      </c>
      <c r="AH6" s="9" cm="1">
        <f t="array" ref="AH6">_xlfn.XLOOKUP($B6,IMEW!C$6:C$201,IMEW!$B$6:B$201,"")</f>
        <v>15</v>
      </c>
      <c r="AI6" s="75">
        <f>_xlfn.XLOOKUP(AH6,IMEW!$B$6:$B$201,IMEW!$A$6:$A$201,0)</f>
        <v>42.409959216648325</v>
      </c>
    </row>
    <row r="7" spans="1:35" ht="14.8" customHeight="1" x14ac:dyDescent="0.25">
      <c r="A7" s="7">
        <f t="shared" si="0"/>
        <v>2</v>
      </c>
      <c r="B7" s="182" t="s">
        <v>18</v>
      </c>
      <c r="C7" s="11"/>
      <c r="D7" s="73">
        <f>SUM(F7,H7,J7,L7,N7,P7)-MIN(F7,H7,J7,L7,N7)+SUM(LARGE((S7,U7,W7,Y7,AA7,AC7,AE7,AG7),1),LARGE((S7,U7,W7,Y7,AA7,AC7,AE7,AG7),2),LARGE((S7,U7,W7,Y7,AA7,AC7,AE7,AG7),3),AI7)</f>
        <v>211.51108273951712</v>
      </c>
      <c r="E7" s="9">
        <f>_xlfn.XLOOKUP($B7,'PP1'!$C$6:$C$101,'PP1'!$B$6:$B$101,"")</f>
        <v>2</v>
      </c>
      <c r="F7" s="74">
        <f>_xlfn.XLOOKUP(E7,'PP1'!$B$6:$B$55,'PP1'!$A$6:$A$55,0)</f>
        <v>59.156704334463925</v>
      </c>
      <c r="G7" s="9" t="str">
        <f>_xlfn.XLOOKUP($B7,'PP2'!$C$6:$C$101,'PP2'!$B$6:$B$101,"")</f>
        <v/>
      </c>
      <c r="H7" s="74">
        <f>_xlfn.XLOOKUP(G7,'PP2'!$B$6:$B$55,'PP2'!$A$6:$A$55,0)</f>
        <v>0</v>
      </c>
      <c r="I7" s="9">
        <f>_xlfn.XLOOKUP($B7,'PP3'!$C$6:$C$101,'PP3'!$B$6:$B$101,"")</f>
        <v>5</v>
      </c>
      <c r="J7" s="88">
        <f>_xlfn.XLOOKUP(I7,'PP3'!$B$6:$B$55,'PP3'!$A$6:$A$55,0)</f>
        <v>1</v>
      </c>
      <c r="K7" s="9" t="str">
        <f>_xlfn.XLOOKUP($B7,'PP4'!$C$6:$C$101,'PP4'!$B$6:$B$101,"")</f>
        <v/>
      </c>
      <c r="L7" s="88">
        <f>_xlfn.XLOOKUP(K7,'PP4'!$B$6:$B$55,'PP4'!$A$6:$A$55,0)</f>
        <v>0</v>
      </c>
      <c r="M7" s="9" t="str">
        <f>_xlfn.XLOOKUP($B7,'PP5'!$C$6:$C$101,'PP5'!$B$6:$B$101,"")</f>
        <v/>
      </c>
      <c r="N7" s="88">
        <f>_xlfn.XLOOKUP(M7,'PP5'!$B$6:$B$55,'PP5'!$A$6:$A$55,0)</f>
        <v>0</v>
      </c>
      <c r="O7" s="9" cm="1">
        <f t="array" ref="O7">_xlfn.XLOOKUP($B7,MPW!C$6:C$101,MPW!$B$6:B$101,"")</f>
        <v>2</v>
      </c>
      <c r="P7" s="75">
        <f>_xlfn.XLOOKUP(O7,MPW!$B$6:$B$55,MPW!$A$6:$A$55,0)</f>
        <v>45.285527396211648</v>
      </c>
      <c r="R7" s="9">
        <f>_xlfn.XLOOKUP($B7,'PEW1'!$C$6:$C$101,'PEW1'!$B$6:$B$101,"")</f>
        <v>3</v>
      </c>
      <c r="S7" s="74">
        <f>_xlfn.XLOOKUP(R7,'PEW1'!$B$6:$B$55,'PEW1'!$A$6:$A$55,0)</f>
        <v>57.520126539962988</v>
      </c>
      <c r="T7" s="9" t="str">
        <f>_xlfn.XLOOKUP($B7,'PEW2'!$C$6:$C$101,'PEW2'!$B$6:$B$101,"")</f>
        <v/>
      </c>
      <c r="U7" s="74">
        <f>_xlfn.XLOOKUP(T7,'PEW2'!$B$6:$B$55,'PEW2'!$A$6:$A$55,0)</f>
        <v>0</v>
      </c>
      <c r="V7" s="9" t="str">
        <f>_xlfn.XLOOKUP($B7,'PEW3'!$C$6:$C$101,'PEW3'!$B$6:$B$101,"")</f>
        <v/>
      </c>
      <c r="W7" s="74">
        <f>_xlfn.XLOOKUP(V7,'PEW3'!$B$6:$B$55,'PEW3'!$A$6:$A$55,0)</f>
        <v>0</v>
      </c>
      <c r="X7" s="9" t="str">
        <f>_xlfn.XLOOKUP($B7,'PEW4'!$C$6:$C$101,'PEW4'!$B$6:$B$101,"")</f>
        <v/>
      </c>
      <c r="Y7" s="74">
        <f>_xlfn.XLOOKUP(X7,'PEW4'!$B$6:$B$55,'PEW4'!$A$6:$A$55,0)</f>
        <v>0</v>
      </c>
      <c r="Z7" s="9" t="str">
        <f>_xlfn.XLOOKUP($B7,'PEW5'!$C$6:$C$101,'PEW5'!$B$6:$B$101,"")</f>
        <v/>
      </c>
      <c r="AA7" s="74">
        <f>_xlfn.XLOOKUP(Z7,'PEW5'!$B$6:$B$55,'PEW5'!$A$6:$A$55,0)</f>
        <v>0</v>
      </c>
      <c r="AB7" s="9">
        <f>_xlfn.XLOOKUP($B7,'PEW6'!$C$6:$C$101,'PEW6'!$B$6:$B$101,"")</f>
        <v>5</v>
      </c>
      <c r="AC7" s="74">
        <f>_xlfn.XLOOKUP(AB7,'PEW6'!$B$6:$B$55,'PEW6'!$A$6:$A$55,0)</f>
        <v>28.263412343478148</v>
      </c>
      <c r="AD7" s="9" t="str">
        <f>_xlfn.XLOOKUP($B7,'PEW7'!$C$6:$C$101,'PEW7'!$B$6:$B$101,"")</f>
        <v/>
      </c>
      <c r="AE7" s="74">
        <f>_xlfn.XLOOKUP(AD7,'PEW7'!$B$6:$B$55,'PEW7'!$A$6:$A$55,0)</f>
        <v>0</v>
      </c>
      <c r="AF7" s="9" t="str">
        <f>_xlfn.XLOOKUP($B7,PS!$C$6:$C$101,PS!$B$6:$B$101,"")</f>
        <v/>
      </c>
      <c r="AG7" s="74">
        <f>_xlfn.XLOOKUP(AF7,PS!$B$6:$B$55,PS!$A$6:$A$55,0)</f>
        <v>0</v>
      </c>
      <c r="AH7" s="9" cm="1">
        <f t="array" ref="AH7">_xlfn.XLOOKUP($B7,IMEW!C$6:C$201,IMEW!$B$6:B$201,"")</f>
        <v>29</v>
      </c>
      <c r="AI7" s="75">
        <f>_xlfn.XLOOKUP(AH7,IMEW!$B$6:$B$201,IMEW!$A$6:$A$201,0)</f>
        <v>20.285312125400402</v>
      </c>
    </row>
    <row r="8" spans="1:35" ht="14.8" customHeight="1" x14ac:dyDescent="0.25">
      <c r="A8" s="7">
        <f t="shared" si="0"/>
        <v>3</v>
      </c>
      <c r="B8" s="8" t="s">
        <v>17</v>
      </c>
      <c r="C8" s="11"/>
      <c r="D8" s="73">
        <f>SUM(F8,H8,J8,L8,N8,P8)-MIN(F8,H8,J8,L8,N8)+SUM(LARGE((S8,U8,W8,Y8,AA8,AC8,AE8,AG8),1),LARGE((S8,U8,W8,Y8,AA8,AC8,AE8,AG8),2),LARGE((S8,U8,W8,Y8,AA8,AC8,AE8,AG8),3),AI8)</f>
        <v>200.12984284621052</v>
      </c>
      <c r="E8" s="9">
        <f>_xlfn.XLOOKUP($B8,'PP1'!$C$6:$C$101,'PP1'!$B$6:$B$101,"")</f>
        <v>3</v>
      </c>
      <c r="F8" s="74">
        <f>_xlfn.XLOOKUP(E8,'PP1'!$B$6:$B$55,'PP1'!$A$6:$A$55,0)</f>
        <v>31.682224310216817</v>
      </c>
      <c r="G8" s="9">
        <f>_xlfn.XLOOKUP($B8,'PP2'!$C$6:$C$101,'PP2'!$B$6:$B$101,"")</f>
        <v>4</v>
      </c>
      <c r="H8" s="74">
        <f>_xlfn.XLOOKUP(G8,'PP2'!$B$6:$B$55,'PP2'!$A$6:$A$55,0)</f>
        <v>1</v>
      </c>
      <c r="I8" s="9">
        <f>_xlfn.XLOOKUP($B8,'PP3'!$C$6:$C$101,'PP3'!$B$6:$B$101,"")</f>
        <v>2</v>
      </c>
      <c r="J8" s="88">
        <f>_xlfn.XLOOKUP(I8,'PP3'!$B$6:$B$55,'PP3'!$A$6:$A$55,0)</f>
        <v>59.156704334463925</v>
      </c>
      <c r="K8" s="9">
        <f>_xlfn.XLOOKUP($B8,'PP4'!$C$6:$C$101,'PP4'!$B$6:$B$101,"")</f>
        <v>2</v>
      </c>
      <c r="L8" s="88">
        <f>_xlfn.XLOOKUP(K8,'PP4'!$B$6:$B$55,'PP4'!$A$6:$A$55,0)</f>
        <v>18.559526299369239</v>
      </c>
      <c r="M8" s="9">
        <f>_xlfn.XLOOKUP($B8,'PP5'!$C$6:$C$101,'PP5'!$B$6:$B$101,"")</f>
        <v>1</v>
      </c>
      <c r="N8" s="88">
        <f>_xlfn.XLOOKUP(M8,'PP5'!$B$6:$B$55,'PP5'!$A$6:$A$55,0)</f>
        <v>71.339289449053865</v>
      </c>
      <c r="O8" s="9" cm="1">
        <f t="array" ref="O8">_xlfn.XLOOKUP($B8,MPW!C$6:C$101,MPW!$B$6:B$101,"")</f>
        <v>3</v>
      </c>
      <c r="P8" s="75">
        <f>_xlfn.XLOOKUP(O8,MPW!$B$6:$B$55,MPW!$A$6:$A$55,0)</f>
        <v>18.392098453106669</v>
      </c>
      <c r="R8" s="9" t="str">
        <f>_xlfn.XLOOKUP($B8,'PEW1'!$C$6:$C$101,'PEW1'!$B$6:$B$101,"")</f>
        <v/>
      </c>
      <c r="S8" s="74">
        <f>_xlfn.XLOOKUP(R8,'PEW1'!$B$6:$B$55,'PEW1'!$A$6:$A$55,0)</f>
        <v>0</v>
      </c>
      <c r="T8" s="9" t="str">
        <f>_xlfn.XLOOKUP($B8,'PEW2'!$C$6:$C$101,'PEW2'!$B$6:$B$101,"")</f>
        <v/>
      </c>
      <c r="U8" s="74">
        <f>_xlfn.XLOOKUP(T8,'PEW2'!$B$6:$B$55,'PEW2'!$A$6:$A$55,0)</f>
        <v>0</v>
      </c>
      <c r="V8" s="9" t="str">
        <f>_xlfn.XLOOKUP($B8,'PEW3'!$C$6:$C$101,'PEW3'!$B$6:$B$101,"")</f>
        <v/>
      </c>
      <c r="W8" s="74">
        <f>_xlfn.XLOOKUP(V8,'PEW3'!$B$6:$B$55,'PEW3'!$A$6:$A$55,0)</f>
        <v>0</v>
      </c>
      <c r="X8" s="9" t="str">
        <f>_xlfn.XLOOKUP($B8,'PEW4'!$C$6:$C$101,'PEW4'!$B$6:$B$101,"")</f>
        <v/>
      </c>
      <c r="Y8" s="74">
        <f>_xlfn.XLOOKUP(X8,'PEW4'!$B$6:$B$55,'PEW4'!$A$6:$A$55,0)</f>
        <v>0</v>
      </c>
      <c r="Z8" s="9" t="str">
        <f>_xlfn.XLOOKUP($B8,'PEW5'!$C$6:$C$101,'PEW5'!$B$6:$B$101,"")</f>
        <v/>
      </c>
      <c r="AA8" s="74">
        <f>_xlfn.XLOOKUP(Z8,'PEW5'!$B$6:$B$55,'PEW5'!$A$6:$A$55,0)</f>
        <v>0</v>
      </c>
      <c r="AB8" s="9">
        <f>_xlfn.XLOOKUP($B8,'PEW6'!$C$6:$C$101,'PEW6'!$B$6:$B$101,"")</f>
        <v>12</v>
      </c>
      <c r="AC8" s="74">
        <f>_xlfn.XLOOKUP(AB8,'PEW6'!$B$6:$B$55,'PEW6'!$A$6:$A$55,0)</f>
        <v>1</v>
      </c>
      <c r="AD8" s="9" t="str">
        <f>_xlfn.XLOOKUP($B8,'PEW7'!$C$6:$C$101,'PEW7'!$B$6:$B$101,"")</f>
        <v/>
      </c>
      <c r="AE8" s="74">
        <f>_xlfn.XLOOKUP(AD8,'PEW7'!$B$6:$B$55,'PEW7'!$A$6:$A$55,0)</f>
        <v>0</v>
      </c>
      <c r="AF8" s="9" t="str">
        <f>_xlfn.XLOOKUP($B8,PS!$C$6:$C$101,PS!$B$6:$B$101,"")</f>
        <v/>
      </c>
      <c r="AG8" s="74">
        <f>_xlfn.XLOOKUP(AF8,PS!$B$6:$B$55,PS!$A$6:$A$55,0)</f>
        <v>0</v>
      </c>
      <c r="AH8" s="9" t="str" cm="1">
        <f t="array" ref="AH8">_xlfn.XLOOKUP($B8,IMEW!C$6:C$201,IMEW!$B$6:B$201,"")</f>
        <v/>
      </c>
      <c r="AI8" s="75">
        <f>_xlfn.XLOOKUP(AH8,IMEW!$B$6:$B$201,IMEW!$A$6:$A$201,0)</f>
        <v>0</v>
      </c>
    </row>
    <row r="9" spans="1:35" ht="14.8" customHeight="1" x14ac:dyDescent="0.25">
      <c r="A9" s="7">
        <f t="shared" si="0"/>
        <v>4</v>
      </c>
      <c r="B9" s="8" t="s">
        <v>19</v>
      </c>
      <c r="C9" s="11"/>
      <c r="D9" s="73">
        <f>SUM(F9,H9,J9,L9,N9,P9)-MIN(F9,H9,J9,L9,N9)+SUM(LARGE((S9,U9,W9,Y9,AA9,AC9,AE9,AG9),1),LARGE((S9,U9,W9,Y9,AA9,AC9,AE9,AG9),2),LARGE((S9,U9,W9,Y9,AA9,AC9,AE9,AG9),3),AI9)</f>
        <v>112.32040540832655</v>
      </c>
      <c r="E9" s="9">
        <f>_xlfn.XLOOKUP($B9,'PP1'!$C$6:$C$101,'PP1'!$B$6:$B$101,"")</f>
        <v>5</v>
      </c>
      <c r="F9" s="74">
        <f>_xlfn.XLOOKUP(E9,'PP1'!$B$6:$B$55,'PP1'!$A$6:$A$55,0)</f>
        <v>1</v>
      </c>
      <c r="G9" s="9">
        <f>_xlfn.XLOOKUP($B9,'PP2'!$C$6:$C$101,'PP2'!$B$6:$B$101,"")</f>
        <v>3</v>
      </c>
      <c r="H9" s="74">
        <f>_xlfn.XLOOKUP(G9,'PP2'!$B$6:$B$55,'PP2'!$A$6:$A$55,0)</f>
        <v>15.930621888236271</v>
      </c>
      <c r="I9" s="9">
        <f>_xlfn.XLOOKUP($B9,'PP3'!$C$6:$C$101,'PP3'!$B$6:$B$101,"")</f>
        <v>1</v>
      </c>
      <c r="J9" s="88">
        <f>_xlfn.XLOOKUP(I9,'PP3'!$B$6:$B$55,'PP3'!$A$6:$A$55,0)</f>
        <v>95.389783520090276</v>
      </c>
      <c r="K9" s="9" t="str">
        <f>_xlfn.XLOOKUP($B9,'PP4'!$C$6:$C$101,'PP4'!$B$6:$B$101,"")</f>
        <v/>
      </c>
      <c r="L9" s="88">
        <f>_xlfn.XLOOKUP(K9,'PP4'!$B$6:$B$55,'PP4'!$A$6:$A$55,0)</f>
        <v>0</v>
      </c>
      <c r="M9" s="9" t="str">
        <f>_xlfn.XLOOKUP($B9,'PP5'!$C$6:$C$101,'PP5'!$B$6:$B$101,"")</f>
        <v/>
      </c>
      <c r="N9" s="88">
        <f>_xlfn.XLOOKUP(M9,'PP5'!$B$6:$B$55,'PP5'!$A$6:$A$55,0)</f>
        <v>0</v>
      </c>
      <c r="O9" s="9" t="str" cm="1">
        <f t="array" ref="O9">_xlfn.XLOOKUP($B9,MPW!C$6:C$101,MPW!$B$6:B$101,"")</f>
        <v/>
      </c>
      <c r="P9" s="75">
        <f>_xlfn.XLOOKUP(O9,MPW!$B$6:$B$55,MPW!$A$6:$A$55,0)</f>
        <v>0</v>
      </c>
      <c r="R9" s="9" t="str">
        <f>_xlfn.XLOOKUP($B9,'PEW1'!$C$6:$C$101,'PEW1'!$B$6:$B$101,"")</f>
        <v/>
      </c>
      <c r="S9" s="74">
        <f>_xlfn.XLOOKUP(R9,'PEW1'!$B$6:$B$55,'PEW1'!$A$6:$A$55,0)</f>
        <v>0</v>
      </c>
      <c r="T9" s="9" t="str">
        <f>_xlfn.XLOOKUP($B9,'PEW2'!$C$6:$C$101,'PEW2'!$B$6:$B$101,"")</f>
        <v/>
      </c>
      <c r="U9" s="74">
        <f>_xlfn.XLOOKUP(T9,'PEW2'!$B$6:$B$55,'PEW2'!$A$6:$A$55,0)</f>
        <v>0</v>
      </c>
      <c r="V9" s="9" t="str">
        <f>_xlfn.XLOOKUP($B9,'PEW3'!$C$6:$C$101,'PEW3'!$B$6:$B$101,"")</f>
        <v/>
      </c>
      <c r="W9" s="74">
        <f>_xlfn.XLOOKUP(V9,'PEW3'!$B$6:$B$55,'PEW3'!$A$6:$A$55,0)</f>
        <v>0</v>
      </c>
      <c r="X9" s="9" t="str">
        <f>_xlfn.XLOOKUP($B9,'PEW4'!$C$6:$C$101,'PEW4'!$B$6:$B$101,"")</f>
        <v/>
      </c>
      <c r="Y9" s="74">
        <f>_xlfn.XLOOKUP(X9,'PEW4'!$B$6:$B$55,'PEW4'!$A$6:$A$55,0)</f>
        <v>0</v>
      </c>
      <c r="Z9" s="9" t="str">
        <f>_xlfn.XLOOKUP($B9,'PEW5'!$C$6:$C$101,'PEW5'!$B$6:$B$101,"")</f>
        <v/>
      </c>
      <c r="AA9" s="74">
        <f>_xlfn.XLOOKUP(Z9,'PEW5'!$B$6:$B$55,'PEW5'!$A$6:$A$55,0)</f>
        <v>0</v>
      </c>
      <c r="AB9" s="9" t="str">
        <f>_xlfn.XLOOKUP($B9,'PEW6'!$C$6:$C$101,'PEW6'!$B$6:$B$101,"")</f>
        <v/>
      </c>
      <c r="AC9" s="74">
        <f>_xlfn.XLOOKUP(AB9,'PEW6'!$B$6:$B$55,'PEW6'!$A$6:$A$55,0)</f>
        <v>0</v>
      </c>
      <c r="AD9" s="9" t="str">
        <f>_xlfn.XLOOKUP($B9,'PEW7'!$C$6:$C$101,'PEW7'!$B$6:$B$101,"")</f>
        <v/>
      </c>
      <c r="AE9" s="74">
        <f>_xlfn.XLOOKUP(AD9,'PEW7'!$B$6:$B$55,'PEW7'!$A$6:$A$55,0)</f>
        <v>0</v>
      </c>
      <c r="AF9" s="9" t="str">
        <f>_xlfn.XLOOKUP($B9,PS!$C$6:$C$101,PS!$B$6:$B$101,"")</f>
        <v/>
      </c>
      <c r="AG9" s="74">
        <f>_xlfn.XLOOKUP(AF9,PS!$B$6:$B$55,PS!$A$6:$A$55,0)</f>
        <v>0</v>
      </c>
      <c r="AH9" s="9" t="str" cm="1">
        <f t="array" ref="AH9">_xlfn.XLOOKUP($B9,IMEW!C$6:C$201,IMEW!$B$6:B$201,"")</f>
        <v/>
      </c>
      <c r="AI9" s="75">
        <f>_xlfn.XLOOKUP(AH9,IMEW!$B$6:$B$201,IMEW!$A$6:$A$201,0)</f>
        <v>0</v>
      </c>
    </row>
    <row r="10" spans="1:35" ht="14.8" customHeight="1" x14ac:dyDescent="0.25">
      <c r="A10" s="7">
        <f t="shared" si="0"/>
        <v>5</v>
      </c>
      <c r="B10" s="10" t="s">
        <v>20</v>
      </c>
      <c r="C10" s="11"/>
      <c r="D10" s="73">
        <f>SUM(F10,H10,J10,L10,N10,P10)-MIN(F10,H10,J10,L10,N10)+SUM(LARGE((S10,U10,W10,Y10,AA10,AC10,AE10,AG10),1),LARGE((S10,U10,W10,Y10,AA10,AC10,AE10,AG10),2),LARGE((S10,U10,W10,Y10,AA10,AC10,AE10,AG10),3),AI10)</f>
        <v>76.706630622026012</v>
      </c>
      <c r="E10" s="9" t="str">
        <f>_xlfn.XLOOKUP($B10,'PP1'!$C$6:$C$101,'PP1'!$B$6:$B$101,"")</f>
        <v/>
      </c>
      <c r="F10" s="74">
        <f>_xlfn.XLOOKUP(E10,'PP1'!$B$6:$B$55,'PP1'!$A$6:$A$55,0)</f>
        <v>0</v>
      </c>
      <c r="G10" s="9">
        <f>_xlfn.XLOOKUP($B10,'PP2'!$C$6:$C$101,'PP2'!$B$6:$B$101,"")</f>
        <v>2</v>
      </c>
      <c r="H10" s="74">
        <f>_xlfn.XLOOKUP(G10,'PP2'!$B$6:$B$55,'PP2'!$A$6:$A$55,0)</f>
        <v>45.024406311809194</v>
      </c>
      <c r="I10" s="9">
        <f>_xlfn.XLOOKUP($B10,'PP3'!$C$6:$C$101,'PP3'!$B$6:$B$101,"")</f>
        <v>3</v>
      </c>
      <c r="J10" s="88">
        <f>_xlfn.XLOOKUP(I10,'PP3'!$B$6:$B$55,'PP3'!$A$6:$A$55,0)</f>
        <v>31.682224310216817</v>
      </c>
      <c r="K10" s="9" t="str">
        <f>_xlfn.XLOOKUP($B10,'PP4'!$C$6:$C$101,'PP4'!$B$6:$B$101,"")</f>
        <v/>
      </c>
      <c r="L10" s="88">
        <f>_xlfn.XLOOKUP(K10,'PP4'!$B$6:$B$55,'PP4'!$A$6:$A$55,0)</f>
        <v>0</v>
      </c>
      <c r="M10" s="9" t="str">
        <f>_xlfn.XLOOKUP($B10,'PP5'!$C$6:$C$101,'PP5'!$B$6:$B$101,"")</f>
        <v/>
      </c>
      <c r="N10" s="88">
        <f>_xlfn.XLOOKUP(M10,'PP5'!$B$6:$B$55,'PP5'!$A$6:$A$55,0)</f>
        <v>0</v>
      </c>
      <c r="O10" s="9" t="str" cm="1">
        <f t="array" ref="O10">_xlfn.XLOOKUP($B10,MPW!C$6:C$101,MPW!$B$6:B$101,"")</f>
        <v/>
      </c>
      <c r="P10" s="75">
        <f>_xlfn.XLOOKUP(O10,MPW!$B$6:$B$55,MPW!$A$6:$A$55,0)</f>
        <v>0</v>
      </c>
      <c r="R10" s="9" t="str">
        <f>_xlfn.XLOOKUP($B10,'PEW1'!$C$6:$C$101,'PEW1'!$B$6:$B$101,"")</f>
        <v/>
      </c>
      <c r="S10" s="74">
        <f>_xlfn.XLOOKUP(R10,'PEW1'!$B$6:$B$55,'PEW1'!$A$6:$A$55,0)</f>
        <v>0</v>
      </c>
      <c r="T10" s="9" t="str">
        <f>_xlfn.XLOOKUP($B10,'PEW2'!$C$6:$C$101,'PEW2'!$B$6:$B$101,"")</f>
        <v/>
      </c>
      <c r="U10" s="74">
        <f>_xlfn.XLOOKUP(T10,'PEW2'!$B$6:$B$55,'PEW2'!$A$6:$A$55,0)</f>
        <v>0</v>
      </c>
      <c r="V10" s="9" t="str">
        <f>_xlfn.XLOOKUP($B10,'PEW3'!$C$6:$C$101,'PEW3'!$B$6:$B$101,"")</f>
        <v/>
      </c>
      <c r="W10" s="74">
        <f>_xlfn.XLOOKUP(V10,'PEW3'!$B$6:$B$55,'PEW3'!$A$6:$A$55,0)</f>
        <v>0</v>
      </c>
      <c r="X10" s="9" t="str">
        <f>_xlfn.XLOOKUP($B10,'PEW4'!$C$6:$C$101,'PEW4'!$B$6:$B$101,"")</f>
        <v/>
      </c>
      <c r="Y10" s="74">
        <f>_xlfn.XLOOKUP(X10,'PEW4'!$B$6:$B$55,'PEW4'!$A$6:$A$55,0)</f>
        <v>0</v>
      </c>
      <c r="Z10" s="9" t="str">
        <f>_xlfn.XLOOKUP($B10,'PEW5'!$C$6:$C$101,'PEW5'!$B$6:$B$101,"")</f>
        <v/>
      </c>
      <c r="AA10" s="74">
        <f>_xlfn.XLOOKUP(Z10,'PEW5'!$B$6:$B$55,'PEW5'!$A$6:$A$55,0)</f>
        <v>0</v>
      </c>
      <c r="AB10" s="9" t="str">
        <f>_xlfn.XLOOKUP($B10,'PEW6'!$C$6:$C$101,'PEW6'!$B$6:$B$101,"")</f>
        <v/>
      </c>
      <c r="AC10" s="74">
        <f>_xlfn.XLOOKUP(AB10,'PEW6'!$B$6:$B$55,'PEW6'!$A$6:$A$55,0)</f>
        <v>0</v>
      </c>
      <c r="AD10" s="9" t="str">
        <f>_xlfn.XLOOKUP($B10,'PEW7'!$C$6:$C$101,'PEW7'!$B$6:$B$101,"")</f>
        <v/>
      </c>
      <c r="AE10" s="74">
        <f>_xlfn.XLOOKUP(AD10,'PEW7'!$B$6:$B$55,'PEW7'!$A$6:$A$55,0)</f>
        <v>0</v>
      </c>
      <c r="AF10" s="9" t="str">
        <f>_xlfn.XLOOKUP($B10,PS!$C$6:$C$101,PS!$B$6:$B$101,"")</f>
        <v/>
      </c>
      <c r="AG10" s="74">
        <f>_xlfn.XLOOKUP(AF10,PS!$B$6:$B$55,PS!$A$6:$A$55,0)</f>
        <v>0</v>
      </c>
      <c r="AH10" s="9" t="str" cm="1">
        <f t="array" ref="AH10">_xlfn.XLOOKUP($B10,IMEW!C$6:C$201,IMEW!$B$6:B$201,"")</f>
        <v/>
      </c>
      <c r="AI10" s="75">
        <f>_xlfn.XLOOKUP(AH10,IMEW!$B$6:$B$201,IMEW!$A$6:$A$201,0)</f>
        <v>0</v>
      </c>
    </row>
    <row r="11" spans="1:35" ht="14.8" customHeight="1" x14ac:dyDescent="0.25">
      <c r="A11" s="7">
        <f t="shared" si="0"/>
        <v>6</v>
      </c>
      <c r="B11" s="10" t="s">
        <v>23</v>
      </c>
      <c r="C11" s="11"/>
      <c r="D11" s="73">
        <f>SUM(F11,H11,J11,L11,N11,P11)-MIN(F11,H11,J11,L11,N11)+SUM(LARGE((S11,U11,W11,Y11,AA11,AC11,AE11,AG11),1),LARGE((S11,U11,W11,Y11,AA11,AC11,AE11,AG11),2),LARGE((S11,U11,W11,Y11,AA11,AC11,AE11,AG11),3),AI11)</f>
        <v>8.5595262993692387</v>
      </c>
      <c r="E11" s="9" t="str">
        <f>_xlfn.XLOOKUP($B11,'PP1'!$C$6:$C$101,'PP1'!$B$6:$B$101,"")</f>
        <v/>
      </c>
      <c r="F11" s="74">
        <f>_xlfn.XLOOKUP(E11,'PP1'!$B$6:$B$55,'PP1'!$A$6:$A$55,0)</f>
        <v>0</v>
      </c>
      <c r="G11" s="9" t="str">
        <f>_xlfn.XLOOKUP($B11,'PP2'!$C$6:$C$101,'PP2'!$B$6:$B$101,"")</f>
        <v/>
      </c>
      <c r="H11" s="74">
        <f>_xlfn.XLOOKUP(G11,'PP2'!$B$6:$B$55,'PP2'!$A$6:$A$55,0)</f>
        <v>0</v>
      </c>
      <c r="I11" s="9" t="str">
        <f>_xlfn.XLOOKUP($B11,'PP3'!$C$6:$C$101,'PP3'!$B$6:$B$101,"")</f>
        <v/>
      </c>
      <c r="J11" s="88">
        <f>_xlfn.XLOOKUP(I11,'PP3'!$B$6:$B$55,'PP3'!$A$6:$A$55,0)</f>
        <v>0</v>
      </c>
      <c r="K11" s="9" t="str">
        <f>_xlfn.XLOOKUP($B11,'PP4'!$C$6:$C$101,'PP4'!$B$6:$B$101,"")</f>
        <v/>
      </c>
      <c r="L11" s="88">
        <f>_xlfn.XLOOKUP(K11,'PP4'!$B$6:$B$55,'PP4'!$A$6:$A$55,0)</f>
        <v>0</v>
      </c>
      <c r="M11" s="9">
        <f>_xlfn.XLOOKUP($B11,'PP5'!$C$6:$C$101,'PP5'!$B$6:$B$101,"")</f>
        <v>2</v>
      </c>
      <c r="N11" s="88">
        <f>_xlfn.XLOOKUP(M11,'PP5'!$B$6:$B$55,'PP5'!$A$6:$A$55,0)</f>
        <v>8.5595262993692387</v>
      </c>
      <c r="O11" s="9" t="str" cm="1">
        <f t="array" ref="O11">_xlfn.XLOOKUP($B11,MPW!C$6:C$101,MPW!$B$6:B$101,"")</f>
        <v/>
      </c>
      <c r="P11" s="75">
        <f>_xlfn.XLOOKUP(O11,MPW!$B$6:$B$55,MPW!$A$6:$A$55,0)</f>
        <v>0</v>
      </c>
      <c r="R11" s="9" t="str">
        <f>_xlfn.XLOOKUP($B11,'PEW1'!$C$6:$C$101,'PEW1'!$B$6:$B$101,"")</f>
        <v/>
      </c>
      <c r="S11" s="74">
        <f>_xlfn.XLOOKUP(R11,'PEW1'!$B$6:$B$55,'PEW1'!$A$6:$A$55,0)</f>
        <v>0</v>
      </c>
      <c r="T11" s="9" t="str">
        <f>_xlfn.XLOOKUP($B11,'PEW2'!$C$6:$C$101,'PEW2'!$B$6:$B$101,"")</f>
        <v/>
      </c>
      <c r="U11" s="74">
        <f>_xlfn.XLOOKUP(T11,'PEW2'!$B$6:$B$55,'PEW2'!$A$6:$A$55,0)</f>
        <v>0</v>
      </c>
      <c r="V11" s="9" t="str">
        <f>_xlfn.XLOOKUP($B11,'PEW3'!$C$6:$C$101,'PEW3'!$B$6:$B$101,"")</f>
        <v/>
      </c>
      <c r="W11" s="74">
        <f>_xlfn.XLOOKUP(V11,'PEW3'!$B$6:$B$55,'PEW3'!$A$6:$A$55,0)</f>
        <v>0</v>
      </c>
      <c r="X11" s="9" t="str">
        <f>_xlfn.XLOOKUP($B11,'PEW4'!$C$6:$C$101,'PEW4'!$B$6:$B$101,"")</f>
        <v/>
      </c>
      <c r="Y11" s="74">
        <f>_xlfn.XLOOKUP(X11,'PEW4'!$B$6:$B$55,'PEW4'!$A$6:$A$55,0)</f>
        <v>0</v>
      </c>
      <c r="Z11" s="9" t="str">
        <f>_xlfn.XLOOKUP($B11,'PEW5'!$C$6:$C$101,'PEW5'!$B$6:$B$101,"")</f>
        <v/>
      </c>
      <c r="AA11" s="74">
        <f>_xlfn.XLOOKUP(Z11,'PEW5'!$B$6:$B$55,'PEW5'!$A$6:$A$55,0)</f>
        <v>0</v>
      </c>
      <c r="AB11" s="9" t="str">
        <f>_xlfn.XLOOKUP($B11,'PEW6'!$C$6:$C$101,'PEW6'!$B$6:$B$101,"")</f>
        <v/>
      </c>
      <c r="AC11" s="74">
        <f>_xlfn.XLOOKUP(AB11,'PEW6'!$B$6:$B$55,'PEW6'!$A$6:$A$55,0)</f>
        <v>0</v>
      </c>
      <c r="AD11" s="9" t="str">
        <f>_xlfn.XLOOKUP($B11,'PEW7'!$C$6:$C$101,'PEW7'!$B$6:$B$101,"")</f>
        <v/>
      </c>
      <c r="AE11" s="74">
        <f>_xlfn.XLOOKUP(AD11,'PEW7'!$B$6:$B$55,'PEW7'!$A$6:$A$55,0)</f>
        <v>0</v>
      </c>
      <c r="AF11" s="9" t="str">
        <f>_xlfn.XLOOKUP($B11,PS!$C$6:$C$101,PS!$B$6:$B$101,"")</f>
        <v/>
      </c>
      <c r="AG11" s="74">
        <f>_xlfn.XLOOKUP(AF11,PS!$B$6:$B$55,PS!$A$6:$A$55,0)</f>
        <v>0</v>
      </c>
      <c r="AH11" s="9" t="str" cm="1">
        <f t="array" ref="AH11">_xlfn.XLOOKUP($B11,IMEW!C$6:C$201,IMEW!$B$6:B$201,"")</f>
        <v/>
      </c>
      <c r="AI11" s="75">
        <f>_xlfn.XLOOKUP(AH11,IMEW!$B$6:$B$201,IMEW!$A$6:$A$201,0)</f>
        <v>0</v>
      </c>
    </row>
    <row r="12" spans="1:35" ht="14.8" customHeight="1" x14ac:dyDescent="0.25">
      <c r="A12" s="7">
        <f t="shared" si="0"/>
        <v>7</v>
      </c>
      <c r="B12" s="10" t="s">
        <v>21</v>
      </c>
      <c r="C12" s="11"/>
      <c r="D12" s="73">
        <f>SUM(F12,H12,J12,L12,N12,P12)-MIN(F12,H12,J12,L12,N12)+SUM(LARGE((S12,U12,W12,Y12,AA12,AC12,AE12,AG12),1),LARGE((S12,U12,W12,Y12,AA12,AC12,AE12,AG12),2),LARGE((S12,U12,W12,Y12,AA12,AC12,AE12,AG12),3),AI12)</f>
        <v>0</v>
      </c>
      <c r="E12" s="9" t="str">
        <f>_xlfn.XLOOKUP($B12,'PP1'!$C$6:$C$101,'PP1'!$B$6:$B$101,"")</f>
        <v/>
      </c>
      <c r="F12" s="74">
        <f>_xlfn.XLOOKUP(E12,'PP1'!$B$6:$B$55,'PP1'!$A$6:$A$55,0)</f>
        <v>0</v>
      </c>
      <c r="G12" s="9" t="str">
        <f>_xlfn.XLOOKUP($B12,'PP2'!$C$6:$C$101,'PP2'!$B$6:$B$101,"")</f>
        <v/>
      </c>
      <c r="H12" s="74">
        <f>_xlfn.XLOOKUP(G12,'PP2'!$B$6:$B$55,'PP2'!$A$6:$A$55,0)</f>
        <v>0</v>
      </c>
      <c r="I12" s="9" t="str">
        <f>_xlfn.XLOOKUP($B12,'PP3'!$C$6:$C$101,'PP3'!$B$6:$B$101,"")</f>
        <v/>
      </c>
      <c r="J12" s="88">
        <f>_xlfn.XLOOKUP(I12,'PP3'!$B$6:$B$55,'PP3'!$A$6:$A$55,0)</f>
        <v>0</v>
      </c>
      <c r="K12" s="9" t="str">
        <f>_xlfn.XLOOKUP($B12,'PP4'!$C$6:$C$101,'PP4'!$B$6:$B$101,"")</f>
        <v/>
      </c>
      <c r="L12" s="88">
        <f>_xlfn.XLOOKUP(K12,'PP4'!$B$6:$B$55,'PP4'!$A$6:$A$55,0)</f>
        <v>0</v>
      </c>
      <c r="M12" s="9" t="str">
        <f>_xlfn.XLOOKUP($B12,'PP5'!$C$6:$C$101,'PP5'!$B$6:$B$101,"")</f>
        <v/>
      </c>
      <c r="N12" s="88">
        <f>_xlfn.XLOOKUP(M12,'PP5'!$B$6:$B$55,'PP5'!$A$6:$A$55,0)</f>
        <v>0</v>
      </c>
      <c r="O12" s="9" t="str" cm="1">
        <f t="array" ref="O12">_xlfn.XLOOKUP($B12,MPW!C$6:C$101,MPW!$B$6:B$101,"")</f>
        <v/>
      </c>
      <c r="P12" s="75">
        <f>_xlfn.XLOOKUP(O12,MPW!$B$6:$B$55,MPW!$A$6:$A$55,0)</f>
        <v>0</v>
      </c>
      <c r="R12" s="9" t="str">
        <f>_xlfn.XLOOKUP($B12,'PEW1'!$C$6:$C$101,'PEW1'!$B$6:$B$101,"")</f>
        <v/>
      </c>
      <c r="S12" s="74">
        <f>_xlfn.XLOOKUP(R12,'PEW1'!$B$6:$B$55,'PEW1'!$A$6:$A$55,0)</f>
        <v>0</v>
      </c>
      <c r="T12" s="9" t="str">
        <f>_xlfn.XLOOKUP($B12,'PEW2'!$C$6:$C$101,'PEW2'!$B$6:$B$101,"")</f>
        <v/>
      </c>
      <c r="U12" s="74">
        <f>_xlfn.XLOOKUP(T12,'PEW2'!$B$6:$B$55,'PEW2'!$A$6:$A$55,0)</f>
        <v>0</v>
      </c>
      <c r="V12" s="9" t="str">
        <f>_xlfn.XLOOKUP($B12,'PEW3'!$C$6:$C$101,'PEW3'!$B$6:$B$101,"")</f>
        <v/>
      </c>
      <c r="W12" s="74">
        <f>_xlfn.XLOOKUP(V12,'PEW3'!$B$6:$B$55,'PEW3'!$A$6:$A$55,0)</f>
        <v>0</v>
      </c>
      <c r="X12" s="9" t="str">
        <f>_xlfn.XLOOKUP($B12,'PEW4'!$C$6:$C$101,'PEW4'!$B$6:$B$101,"")</f>
        <v/>
      </c>
      <c r="Y12" s="74">
        <f>_xlfn.XLOOKUP(X12,'PEW4'!$B$6:$B$55,'PEW4'!$A$6:$A$55,0)</f>
        <v>0</v>
      </c>
      <c r="Z12" s="9" t="str">
        <f>_xlfn.XLOOKUP($B12,'PEW5'!$C$6:$C$101,'PEW5'!$B$6:$B$101,"")</f>
        <v/>
      </c>
      <c r="AA12" s="74">
        <f>_xlfn.XLOOKUP(Z12,'PEW5'!$B$6:$B$55,'PEW5'!$A$6:$A$55,0)</f>
        <v>0</v>
      </c>
      <c r="AB12" s="9" t="str">
        <f>_xlfn.XLOOKUP($B12,'PEW6'!$C$6:$C$101,'PEW6'!$B$6:$B$101,"")</f>
        <v/>
      </c>
      <c r="AC12" s="74">
        <f>_xlfn.XLOOKUP(AB12,'PEW6'!$B$6:$B$55,'PEW6'!$A$6:$A$55,0)</f>
        <v>0</v>
      </c>
      <c r="AD12" s="9" t="str">
        <f>_xlfn.XLOOKUP($B12,'PEW7'!$C$6:$C$101,'PEW7'!$B$6:$B$101,"")</f>
        <v/>
      </c>
      <c r="AE12" s="74">
        <f>_xlfn.XLOOKUP(AD12,'PEW7'!$B$6:$B$55,'PEW7'!$A$6:$A$55,0)</f>
        <v>0</v>
      </c>
      <c r="AF12" s="9" t="str">
        <f>_xlfn.XLOOKUP($B12,PS!$C$6:$C$101,PS!$B$6:$B$101,"")</f>
        <v/>
      </c>
      <c r="AG12" s="74">
        <f>_xlfn.XLOOKUP(AF12,PS!$B$6:$B$55,PS!$A$6:$A$55,0)</f>
        <v>0</v>
      </c>
      <c r="AH12" s="9" t="str" cm="1">
        <f t="array" ref="AH12">_xlfn.XLOOKUP($B12,IMEW!C$6:C$201,IMEW!$B$6:B$201,"")</f>
        <v/>
      </c>
      <c r="AI12" s="75">
        <f>_xlfn.XLOOKUP(AH12,IMEW!$B$6:$B$201,IMEW!$A$6:$A$201,0)</f>
        <v>0</v>
      </c>
    </row>
    <row r="13" spans="1:35" ht="14.8" customHeight="1" x14ac:dyDescent="0.25">
      <c r="A13" s="7">
        <f t="shared" si="0"/>
        <v>8</v>
      </c>
      <c r="B13" s="10"/>
      <c r="C13" s="11"/>
      <c r="D13" s="73">
        <f>SUM(F13,H13,J13,L13,N13,P13)-MIN(F13,H13,J13,L13,N13)+SUM(LARGE((S13,U13,W13,Y13,AA13,AC13,AE13,AG13),1),LARGE((S13,U13,W13,Y13,AA13,AC13,AE13,AG13),2),LARGE((S13,U13,W13,Y13,AA13,AC13,AE13,AG13),3),AI13)</f>
        <v>0</v>
      </c>
      <c r="E13" s="9" t="str">
        <f>_xlfn.XLOOKUP($B13,'PP1'!$C$6:$C$101,'PP1'!$B$6:$B$101,"")</f>
        <v/>
      </c>
      <c r="F13" s="74">
        <f>_xlfn.XLOOKUP(E13,'PP1'!$B$6:$B$55,'PP1'!$A$6:$A$55,0)</f>
        <v>0</v>
      </c>
      <c r="G13" s="9" t="str">
        <f>_xlfn.XLOOKUP($B13,'PP2'!$C$6:$C$101,'PP2'!$B$6:$B$101,"")</f>
        <v/>
      </c>
      <c r="H13" s="74">
        <f>_xlfn.XLOOKUP(G13,'PP2'!$B$6:$B$55,'PP2'!$A$6:$A$55,0)</f>
        <v>0</v>
      </c>
      <c r="I13" s="9" t="str">
        <f>_xlfn.XLOOKUP($B13,'PP3'!$C$6:$C$101,'PP3'!$B$6:$B$101,"")</f>
        <v/>
      </c>
      <c r="J13" s="88">
        <f>_xlfn.XLOOKUP(I13,'PP3'!$B$6:$B$55,'PP3'!$A$6:$A$55,0)</f>
        <v>0</v>
      </c>
      <c r="K13" s="9" t="str">
        <f>_xlfn.XLOOKUP($B13,'PP4'!$C$6:$C$101,'PP4'!$B$6:$B$101,"")</f>
        <v/>
      </c>
      <c r="L13" s="88">
        <f>_xlfn.XLOOKUP(K13,'PP4'!$B$6:$B$55,'PP4'!$A$6:$A$55,0)</f>
        <v>0</v>
      </c>
      <c r="M13" s="9" t="str">
        <f>_xlfn.XLOOKUP($B13,'PP5'!$C$6:$C$101,'PP5'!$B$6:$B$101,"")</f>
        <v/>
      </c>
      <c r="N13" s="88">
        <f>_xlfn.XLOOKUP(M13,'PP5'!$B$6:$B$55,'PP5'!$A$6:$A$55,0)</f>
        <v>0</v>
      </c>
      <c r="O13" s="9" t="str" cm="1">
        <f t="array" ref="O13">_xlfn.XLOOKUP($B13,MPW!C$6:C$101,MPW!$B$6:B$101,"")</f>
        <v/>
      </c>
      <c r="P13" s="75">
        <f>_xlfn.XLOOKUP(O13,MPW!$B$6:$B$55,MPW!$A$6:$A$55,0)</f>
        <v>0</v>
      </c>
      <c r="R13" s="9" t="str">
        <f>_xlfn.XLOOKUP($B13,'PEW1'!$C$6:$C$101,'PEW1'!$B$6:$B$101,"")</f>
        <v/>
      </c>
      <c r="S13" s="74">
        <f>_xlfn.XLOOKUP(R13,'PEW1'!$B$6:$B$55,'PEW1'!$A$6:$A$55,0)</f>
        <v>0</v>
      </c>
      <c r="T13" s="9" t="str">
        <f>_xlfn.XLOOKUP($B13,'PEW2'!$C$6:$C$101,'PEW2'!$B$6:$B$101,"")</f>
        <v/>
      </c>
      <c r="U13" s="74">
        <f>_xlfn.XLOOKUP(T13,'PEW2'!$B$6:$B$55,'PEW2'!$A$6:$A$55,0)</f>
        <v>0</v>
      </c>
      <c r="V13" s="9" t="str">
        <f>_xlfn.XLOOKUP($B13,'PEW3'!$C$6:$C$101,'PEW3'!$B$6:$B$101,"")</f>
        <v/>
      </c>
      <c r="W13" s="74">
        <f>_xlfn.XLOOKUP(V13,'PEW3'!$B$6:$B$55,'PEW3'!$A$6:$A$55,0)</f>
        <v>0</v>
      </c>
      <c r="X13" s="9" t="str">
        <f>_xlfn.XLOOKUP($B13,'PEW4'!$C$6:$C$101,'PEW4'!$B$6:$B$101,"")</f>
        <v/>
      </c>
      <c r="Y13" s="74">
        <f>_xlfn.XLOOKUP(X13,'PEW4'!$B$6:$B$55,'PEW4'!$A$6:$A$55,0)</f>
        <v>0</v>
      </c>
      <c r="Z13" s="9" t="str">
        <f>_xlfn.XLOOKUP($B13,'PEW5'!$C$6:$C$101,'PEW5'!$B$6:$B$101,"")</f>
        <v/>
      </c>
      <c r="AA13" s="74">
        <f>_xlfn.XLOOKUP(Z13,'PEW5'!$B$6:$B$55,'PEW5'!$A$6:$A$55,0)</f>
        <v>0</v>
      </c>
      <c r="AB13" s="9" t="str">
        <f>_xlfn.XLOOKUP($B13,'PEW6'!$C$6:$C$101,'PEW6'!$B$6:$B$101,"")</f>
        <v/>
      </c>
      <c r="AC13" s="74">
        <f>_xlfn.XLOOKUP(AB13,'PEW6'!$B$6:$B$55,'PEW6'!$A$6:$A$55,0)</f>
        <v>0</v>
      </c>
      <c r="AD13" s="9" t="str">
        <f>_xlfn.XLOOKUP($B13,'PEW7'!$C$6:$C$101,'PEW7'!$B$6:$B$101,"")</f>
        <v/>
      </c>
      <c r="AE13" s="74">
        <f>_xlfn.XLOOKUP(AD13,'PEW7'!$B$6:$B$55,'PEW7'!$A$6:$A$55,0)</f>
        <v>0</v>
      </c>
      <c r="AF13" s="9" t="str">
        <f>_xlfn.XLOOKUP($B13,PS!$C$6:$C$101,PS!$B$6:$B$101,"")</f>
        <v/>
      </c>
      <c r="AG13" s="74">
        <f>_xlfn.XLOOKUP(AF13,PS!$B$6:$B$55,PS!$A$6:$A$55,0)</f>
        <v>0</v>
      </c>
      <c r="AH13" s="9" t="str" cm="1">
        <f t="array" ref="AH13">_xlfn.XLOOKUP($B13,IMEW!C$6:C$201,IMEW!$B$6:B$201,"")</f>
        <v/>
      </c>
      <c r="AI13" s="75">
        <f>_xlfn.XLOOKUP(AH13,IMEW!$B$6:$B$201,IMEW!$A$6:$A$201,0)</f>
        <v>0</v>
      </c>
    </row>
    <row r="14" spans="1:35" ht="14.8" customHeight="1" x14ac:dyDescent="0.25">
      <c r="A14" s="7">
        <f t="shared" si="0"/>
        <v>9</v>
      </c>
      <c r="B14" s="10"/>
      <c r="C14" s="11"/>
      <c r="D14" s="73">
        <f>SUM(F14,H14,J14,L14,N14,P14)-MIN(F14,H14,J14,L14,N14)+SUM(LARGE((S14,U14,W14,Y14,AA14,AC14,AE14,AG14),1),LARGE((S14,U14,W14,Y14,AA14,AC14,AE14,AG14),2),LARGE((S14,U14,W14,Y14,AA14,AC14,AE14,AG14),3),AI14)</f>
        <v>0</v>
      </c>
      <c r="E14" s="9" t="str">
        <f>_xlfn.XLOOKUP($B14,'PP1'!$C$6:$C$101,'PP1'!$B$6:$B$101,"")</f>
        <v/>
      </c>
      <c r="F14" s="74">
        <f>_xlfn.XLOOKUP(E14,'PP1'!$B$6:$B$55,'PP1'!$A$6:$A$55,0)</f>
        <v>0</v>
      </c>
      <c r="G14" s="9" t="str">
        <f>_xlfn.XLOOKUP($B14,'PP2'!$C$6:$C$101,'PP2'!$B$6:$B$101,"")</f>
        <v/>
      </c>
      <c r="H14" s="74">
        <f>_xlfn.XLOOKUP(G14,'PP2'!$B$6:$B$55,'PP2'!$A$6:$A$55,0)</f>
        <v>0</v>
      </c>
      <c r="I14" s="9" t="str">
        <f>_xlfn.XLOOKUP($B14,'PP3'!$C$6:$C$101,'PP3'!$B$6:$B$101,"")</f>
        <v/>
      </c>
      <c r="J14" s="88">
        <f>_xlfn.XLOOKUP(I14,'PP3'!$B$6:$B$55,'PP3'!$A$6:$A$55,0)</f>
        <v>0</v>
      </c>
      <c r="K14" s="9" t="str">
        <f>_xlfn.XLOOKUP($B14,'PP4'!$C$6:$C$101,'PP4'!$B$6:$B$101,"")</f>
        <v/>
      </c>
      <c r="L14" s="88">
        <f>_xlfn.XLOOKUP(K14,'PP4'!$B$6:$B$55,'PP4'!$A$6:$A$55,0)</f>
        <v>0</v>
      </c>
      <c r="M14" s="9" t="str">
        <f>_xlfn.XLOOKUP($B14,'PP5'!$C$6:$C$101,'PP5'!$B$6:$B$101,"")</f>
        <v/>
      </c>
      <c r="N14" s="88">
        <f>_xlfn.XLOOKUP(M14,'PP5'!$B$6:$B$55,'PP5'!$A$6:$A$55,0)</f>
        <v>0</v>
      </c>
      <c r="O14" s="9" t="str" cm="1">
        <f t="array" ref="O14">_xlfn.XLOOKUP($B14,MPW!C$6:C$101,MPW!$B$6:B$101,"")</f>
        <v/>
      </c>
      <c r="P14" s="75">
        <f>_xlfn.XLOOKUP(O14,MPW!$B$6:$B$55,MPW!$A$6:$A$55,0)</f>
        <v>0</v>
      </c>
      <c r="R14" s="9" t="str">
        <f>_xlfn.XLOOKUP($B14,'PEW1'!$C$6:$C$101,'PEW1'!$B$6:$B$101,"")</f>
        <v/>
      </c>
      <c r="S14" s="74">
        <f>_xlfn.XLOOKUP(R14,'PEW1'!$B$6:$B$55,'PEW1'!$A$6:$A$55,0)</f>
        <v>0</v>
      </c>
      <c r="T14" s="9" t="str">
        <f>_xlfn.XLOOKUP($B14,'PEW2'!$C$6:$C$101,'PEW2'!$B$6:$B$101,"")</f>
        <v/>
      </c>
      <c r="U14" s="74">
        <f>_xlfn.XLOOKUP(T14,'PEW2'!$B$6:$B$55,'PEW2'!$A$6:$A$55,0)</f>
        <v>0</v>
      </c>
      <c r="V14" s="9" t="str">
        <f>_xlfn.XLOOKUP($B14,'PEW3'!$C$6:$C$101,'PEW3'!$B$6:$B$101,"")</f>
        <v/>
      </c>
      <c r="W14" s="74">
        <f>_xlfn.XLOOKUP(V14,'PEW3'!$B$6:$B$55,'PEW3'!$A$6:$A$55,0)</f>
        <v>0</v>
      </c>
      <c r="X14" s="9" t="str">
        <f>_xlfn.XLOOKUP($B14,'PEW4'!$C$6:$C$101,'PEW4'!$B$6:$B$101,"")</f>
        <v/>
      </c>
      <c r="Y14" s="74">
        <f>_xlfn.XLOOKUP(X14,'PEW4'!$B$6:$B$55,'PEW4'!$A$6:$A$55,0)</f>
        <v>0</v>
      </c>
      <c r="Z14" s="9" t="str">
        <f>_xlfn.XLOOKUP($B14,'PEW5'!$C$6:$C$101,'PEW5'!$B$6:$B$101,"")</f>
        <v/>
      </c>
      <c r="AA14" s="74">
        <f>_xlfn.XLOOKUP(Z14,'PEW5'!$B$6:$B$55,'PEW5'!$A$6:$A$55,0)</f>
        <v>0</v>
      </c>
      <c r="AB14" s="9" t="str">
        <f>_xlfn.XLOOKUP($B14,'PEW6'!$C$6:$C$101,'PEW6'!$B$6:$B$101,"")</f>
        <v/>
      </c>
      <c r="AC14" s="74">
        <f>_xlfn.XLOOKUP(AB14,'PEW6'!$B$6:$B$55,'PEW6'!$A$6:$A$55,0)</f>
        <v>0</v>
      </c>
      <c r="AD14" s="9" t="str">
        <f>_xlfn.XLOOKUP($B14,'PEW7'!$C$6:$C$101,'PEW7'!$B$6:$B$101,"")</f>
        <v/>
      </c>
      <c r="AE14" s="74">
        <f>_xlfn.XLOOKUP(AD14,'PEW7'!$B$6:$B$55,'PEW7'!$A$6:$A$55,0)</f>
        <v>0</v>
      </c>
      <c r="AF14" s="9" t="str">
        <f>_xlfn.XLOOKUP($B14,PS!$C$6:$C$101,PS!$B$6:$B$101,"")</f>
        <v/>
      </c>
      <c r="AG14" s="74">
        <f>_xlfn.XLOOKUP(AF14,PS!$B$6:$B$55,PS!$A$6:$A$55,0)</f>
        <v>0</v>
      </c>
      <c r="AH14" s="9" t="str" cm="1">
        <f t="array" ref="AH14">_xlfn.XLOOKUP($B14,IMEW!C$6:C$201,IMEW!$B$6:B$201,"")</f>
        <v/>
      </c>
      <c r="AI14" s="75">
        <f>_xlfn.XLOOKUP(AH14,IMEW!$B$6:$B$201,IMEW!$A$6:$A$201,0)</f>
        <v>0</v>
      </c>
    </row>
    <row r="15" spans="1:35" ht="14.8" customHeight="1" x14ac:dyDescent="0.25">
      <c r="A15" s="7">
        <f t="shared" si="0"/>
        <v>10</v>
      </c>
      <c r="B15" s="10"/>
      <c r="C15" s="11"/>
      <c r="D15" s="73">
        <f>SUM(F15,H15,J15,L15,N15,P15)-MIN(F15,H15,J15,L15,N15)+SUM(LARGE((S15,U15,W15,Y15,AA15,AC15,AE15,AG15),1),LARGE((S15,U15,W15,Y15,AA15,AC15,AE15,AG15),2),LARGE((S15,U15,W15,Y15,AA15,AC15,AE15,AG15),3),AI15)</f>
        <v>0</v>
      </c>
      <c r="E15" s="9" t="str">
        <f>_xlfn.XLOOKUP($B15,'PP1'!$C$6:$C$101,'PP1'!$B$6:$B$101,"")</f>
        <v/>
      </c>
      <c r="F15" s="74">
        <f>_xlfn.XLOOKUP(E15,'PP1'!$B$6:$B$55,'PP1'!$A$6:$A$55,0)</f>
        <v>0</v>
      </c>
      <c r="G15" s="9" t="str">
        <f>_xlfn.XLOOKUP($B15,'PP2'!$C$6:$C$101,'PP2'!$B$6:$B$101,"")</f>
        <v/>
      </c>
      <c r="H15" s="74">
        <f>_xlfn.XLOOKUP(G15,'PP2'!$B$6:$B$55,'PP2'!$A$6:$A$55,0)</f>
        <v>0</v>
      </c>
      <c r="I15" s="9" t="str">
        <f>_xlfn.XLOOKUP($B15,'PP3'!$C$6:$C$101,'PP3'!$B$6:$B$101,"")</f>
        <v/>
      </c>
      <c r="J15" s="88">
        <f>_xlfn.XLOOKUP(I15,'PP3'!$B$6:$B$55,'PP3'!$A$6:$A$55,0)</f>
        <v>0</v>
      </c>
      <c r="K15" s="9" t="str">
        <f>_xlfn.XLOOKUP($B15,'PP4'!$C$6:$C$101,'PP4'!$B$6:$B$101,"")</f>
        <v/>
      </c>
      <c r="L15" s="88">
        <f>_xlfn.XLOOKUP(K15,'PP4'!$B$6:$B$55,'PP4'!$A$6:$A$55,0)</f>
        <v>0</v>
      </c>
      <c r="M15" s="9" t="str">
        <f>_xlfn.XLOOKUP($B15,'PP5'!$C$6:$C$101,'PP5'!$B$6:$B$101,"")</f>
        <v/>
      </c>
      <c r="N15" s="88">
        <f>_xlfn.XLOOKUP(M15,'PP5'!$B$6:$B$55,'PP5'!$A$6:$A$55,0)</f>
        <v>0</v>
      </c>
      <c r="O15" s="9" t="str" cm="1">
        <f t="array" ref="O15">_xlfn.XLOOKUP($B15,MPW!C$6:C$101,MPW!$B$6:B$101,"")</f>
        <v/>
      </c>
      <c r="P15" s="75">
        <f>_xlfn.XLOOKUP(O15,MPW!$B$6:$B$55,MPW!$A$6:$A$55,0)</f>
        <v>0</v>
      </c>
      <c r="R15" s="9" t="str">
        <f>_xlfn.XLOOKUP($B15,'PEW1'!$C$6:$C$101,'PEW1'!$B$6:$B$101,"")</f>
        <v/>
      </c>
      <c r="S15" s="74">
        <f>_xlfn.XLOOKUP(R15,'PEW1'!$B$6:$B$55,'PEW1'!$A$6:$A$55,0)</f>
        <v>0</v>
      </c>
      <c r="T15" s="9" t="str">
        <f>_xlfn.XLOOKUP($B15,'PEW2'!$C$6:$C$101,'PEW2'!$B$6:$B$101,"")</f>
        <v/>
      </c>
      <c r="U15" s="74">
        <f>_xlfn.XLOOKUP(T15,'PEW2'!$B$6:$B$55,'PEW2'!$A$6:$A$55,0)</f>
        <v>0</v>
      </c>
      <c r="V15" s="9" t="str">
        <f>_xlfn.XLOOKUP($B15,'PEW3'!$C$6:$C$101,'PEW3'!$B$6:$B$101,"")</f>
        <v/>
      </c>
      <c r="W15" s="74">
        <f>_xlfn.XLOOKUP(V15,'PEW3'!$B$6:$B$55,'PEW3'!$A$6:$A$55,0)</f>
        <v>0</v>
      </c>
      <c r="X15" s="9" t="str">
        <f>_xlfn.XLOOKUP($B15,'PEW4'!$C$6:$C$101,'PEW4'!$B$6:$B$101,"")</f>
        <v/>
      </c>
      <c r="Y15" s="74">
        <f>_xlfn.XLOOKUP(X15,'PEW4'!$B$6:$B$55,'PEW4'!$A$6:$A$55,0)</f>
        <v>0</v>
      </c>
      <c r="Z15" s="9" t="str">
        <f>_xlfn.XLOOKUP($B15,'PEW5'!$C$6:$C$101,'PEW5'!$B$6:$B$101,"")</f>
        <v/>
      </c>
      <c r="AA15" s="74">
        <f>_xlfn.XLOOKUP(Z15,'PEW5'!$B$6:$B$55,'PEW5'!$A$6:$A$55,0)</f>
        <v>0</v>
      </c>
      <c r="AB15" s="9" t="str">
        <f>_xlfn.XLOOKUP($B15,'PEW6'!$C$6:$C$101,'PEW6'!$B$6:$B$101,"")</f>
        <v/>
      </c>
      <c r="AC15" s="74">
        <f>_xlfn.XLOOKUP(AB15,'PEW6'!$B$6:$B$55,'PEW6'!$A$6:$A$55,0)</f>
        <v>0</v>
      </c>
      <c r="AD15" s="9" t="str">
        <f>_xlfn.XLOOKUP($B15,'PEW7'!$C$6:$C$101,'PEW7'!$B$6:$B$101,"")</f>
        <v/>
      </c>
      <c r="AE15" s="74">
        <f>_xlfn.XLOOKUP(AD15,'PEW7'!$B$6:$B$55,'PEW7'!$A$6:$A$55,0)</f>
        <v>0</v>
      </c>
      <c r="AF15" s="9" t="str">
        <f>_xlfn.XLOOKUP($B15,PS!$C$6:$C$101,PS!$B$6:$B$101,"")</f>
        <v/>
      </c>
      <c r="AG15" s="74">
        <f>_xlfn.XLOOKUP(AF15,PS!$B$6:$B$55,PS!$A$6:$A$55,0)</f>
        <v>0</v>
      </c>
      <c r="AH15" s="9" t="str" cm="1">
        <f t="array" ref="AH15">_xlfn.XLOOKUP($B15,IMEW!C$6:C$201,IMEW!$B$6:B$201,"")</f>
        <v/>
      </c>
      <c r="AI15" s="75">
        <f>_xlfn.XLOOKUP(AH15,IMEW!$B$6:$B$201,IMEW!$A$6:$A$201,0)</f>
        <v>0</v>
      </c>
    </row>
    <row r="16" spans="1:35" ht="14.8" customHeight="1" x14ac:dyDescent="0.25">
      <c r="A16" s="7">
        <f t="shared" si="0"/>
        <v>11</v>
      </c>
      <c r="B16" s="10"/>
      <c r="C16" s="11"/>
      <c r="D16" s="73">
        <f>SUM(F16,H16,J16,L16,N16,P16)-MIN(F16,H16,J16,L16,N16)+SUM(LARGE((S16,U16,W16,Y16,AA16,AC16,AE16,AG16),1),LARGE((S16,U16,W16,Y16,AA16,AC16,AE16,AG16),2),LARGE((S16,U16,W16,Y16,AA16,AC16,AE16,AG16),3),AI16)</f>
        <v>0</v>
      </c>
      <c r="E16" s="9" t="str">
        <f>_xlfn.XLOOKUP($B16,'PP1'!$C$6:$C$101,'PP1'!$B$6:$B$101,"")</f>
        <v/>
      </c>
      <c r="F16" s="74">
        <f>_xlfn.XLOOKUP(E16,'PP1'!$B$6:$B$55,'PP1'!$A$6:$A$55,0)</f>
        <v>0</v>
      </c>
      <c r="G16" s="9" t="str">
        <f>_xlfn.XLOOKUP($B16,'PP2'!$C$6:$C$101,'PP2'!$B$6:$B$101,"")</f>
        <v/>
      </c>
      <c r="H16" s="74">
        <f>_xlfn.XLOOKUP(G16,'PP2'!$B$6:$B$55,'PP2'!$A$6:$A$55,0)</f>
        <v>0</v>
      </c>
      <c r="I16" s="9" t="str">
        <f>_xlfn.XLOOKUP($B16,'PP3'!$C$6:$C$101,'PP3'!$B$6:$B$101,"")</f>
        <v/>
      </c>
      <c r="J16" s="88">
        <f>_xlfn.XLOOKUP(I16,'PP3'!$B$6:$B$55,'PP3'!$A$6:$A$55,0)</f>
        <v>0</v>
      </c>
      <c r="K16" s="9" t="str">
        <f>_xlfn.XLOOKUP($B16,'PP4'!$C$6:$C$101,'PP4'!$B$6:$B$101,"")</f>
        <v/>
      </c>
      <c r="L16" s="88">
        <f>_xlfn.XLOOKUP(K16,'PP4'!$B$6:$B$55,'PP4'!$A$6:$A$55,0)</f>
        <v>0</v>
      </c>
      <c r="M16" s="9" t="str">
        <f>_xlfn.XLOOKUP($B16,'PP5'!$C$6:$C$101,'PP5'!$B$6:$B$101,"")</f>
        <v/>
      </c>
      <c r="N16" s="88">
        <f>_xlfn.XLOOKUP(M16,'PP5'!$B$6:$B$55,'PP5'!$A$6:$A$55,0)</f>
        <v>0</v>
      </c>
      <c r="O16" s="9" t="str" cm="1">
        <f t="array" ref="O16">_xlfn.XLOOKUP($B16,MPW!C$6:C$101,MPW!$B$6:B$101,"")</f>
        <v/>
      </c>
      <c r="P16" s="75">
        <f>_xlfn.XLOOKUP(O16,MPW!$B$6:$B$55,MPW!$A$6:$A$55,0)</f>
        <v>0</v>
      </c>
      <c r="R16" s="9" t="str">
        <f>_xlfn.XLOOKUP($B16,'PEW1'!$C$6:$C$101,'PEW1'!$B$6:$B$101,"")</f>
        <v/>
      </c>
      <c r="S16" s="74">
        <f>_xlfn.XLOOKUP(R16,'PEW1'!$B$6:$B$55,'PEW1'!$A$6:$A$55,0)</f>
        <v>0</v>
      </c>
      <c r="T16" s="9" t="str">
        <f>_xlfn.XLOOKUP($B16,'PEW2'!$C$6:$C$101,'PEW2'!$B$6:$B$101,"")</f>
        <v/>
      </c>
      <c r="U16" s="74">
        <f>_xlfn.XLOOKUP(T16,'PEW2'!$B$6:$B$55,'PEW2'!$A$6:$A$55,0)</f>
        <v>0</v>
      </c>
      <c r="V16" s="9" t="str">
        <f>_xlfn.XLOOKUP($B16,'PEW3'!$C$6:$C$101,'PEW3'!$B$6:$B$101,"")</f>
        <v/>
      </c>
      <c r="W16" s="74">
        <f>_xlfn.XLOOKUP(V16,'PEW3'!$B$6:$B$55,'PEW3'!$A$6:$A$55,0)</f>
        <v>0</v>
      </c>
      <c r="X16" s="9" t="str">
        <f>_xlfn.XLOOKUP($B16,'PEW4'!$C$6:$C$101,'PEW4'!$B$6:$B$101,"")</f>
        <v/>
      </c>
      <c r="Y16" s="74">
        <f>_xlfn.XLOOKUP(X16,'PEW4'!$B$6:$B$55,'PEW4'!$A$6:$A$55,0)</f>
        <v>0</v>
      </c>
      <c r="Z16" s="9" t="str">
        <f>_xlfn.XLOOKUP($B16,'PEW5'!$C$6:$C$101,'PEW5'!$B$6:$B$101,"")</f>
        <v/>
      </c>
      <c r="AA16" s="74">
        <f>_xlfn.XLOOKUP(Z16,'PEW5'!$B$6:$B$55,'PEW5'!$A$6:$A$55,0)</f>
        <v>0</v>
      </c>
      <c r="AB16" s="9" t="str">
        <f>_xlfn.XLOOKUP($B16,'PEW6'!$C$6:$C$101,'PEW6'!$B$6:$B$101,"")</f>
        <v/>
      </c>
      <c r="AC16" s="74">
        <f>_xlfn.XLOOKUP(AB16,'PEW6'!$B$6:$B$55,'PEW6'!$A$6:$A$55,0)</f>
        <v>0</v>
      </c>
      <c r="AD16" s="9" t="str">
        <f>_xlfn.XLOOKUP($B16,'PEW7'!$C$6:$C$101,'PEW7'!$B$6:$B$101,"")</f>
        <v/>
      </c>
      <c r="AE16" s="74">
        <f>_xlfn.XLOOKUP(AD16,'PEW7'!$B$6:$B$55,'PEW7'!$A$6:$A$55,0)</f>
        <v>0</v>
      </c>
      <c r="AF16" s="9" t="str">
        <f>_xlfn.XLOOKUP($B16,PS!$C$6:$C$101,PS!$B$6:$B$101,"")</f>
        <v/>
      </c>
      <c r="AG16" s="74">
        <f>_xlfn.XLOOKUP(AF16,PS!$B$6:$B$55,PS!$A$6:$A$55,0)</f>
        <v>0</v>
      </c>
      <c r="AH16" s="9" t="str" cm="1">
        <f t="array" ref="AH16">_xlfn.XLOOKUP($B16,IMEW!C$6:C$201,IMEW!$B$6:B$201,"")</f>
        <v/>
      </c>
      <c r="AI16" s="75">
        <f>_xlfn.XLOOKUP(AH16,IMEW!$B$6:$B$201,IMEW!$A$6:$A$201,0)</f>
        <v>0</v>
      </c>
    </row>
    <row r="17" spans="1:35" ht="14.8" customHeight="1" x14ac:dyDescent="0.25">
      <c r="A17" s="7">
        <f t="shared" si="0"/>
        <v>12</v>
      </c>
      <c r="B17" s="10"/>
      <c r="C17" s="11"/>
      <c r="D17" s="73">
        <f>SUM(F17,H17,J17,L17,N17,P17)-MIN(F17,H17,J17,L17,N17)+SUM(LARGE((S17,U17,W17,Y17,AA17,AC17,AE17,AG17),1),LARGE((S17,U17,W17,Y17,AA17,AC17,AE17,AG17),2),LARGE((S17,U17,W17,Y17,AA17,AC17,AE17,AG17),3),AI17)</f>
        <v>0</v>
      </c>
      <c r="E17" s="9" t="str">
        <f>_xlfn.XLOOKUP($B17,'PP1'!$C$6:$C$101,'PP1'!$B$6:$B$101,"")</f>
        <v/>
      </c>
      <c r="F17" s="74">
        <f>_xlfn.XLOOKUP(E17,'PP1'!$B$6:$B$55,'PP1'!$A$6:$A$55,0)</f>
        <v>0</v>
      </c>
      <c r="G17" s="9" t="str">
        <f>_xlfn.XLOOKUP($B17,'PP2'!$C$6:$C$101,'PP2'!$B$6:$B$101,"")</f>
        <v/>
      </c>
      <c r="H17" s="74">
        <f>_xlfn.XLOOKUP(G17,'PP2'!$B$6:$B$55,'PP2'!$A$6:$A$55,0)</f>
        <v>0</v>
      </c>
      <c r="I17" s="9" t="str">
        <f>_xlfn.XLOOKUP($B17,'PP3'!$C$6:$C$101,'PP3'!$B$6:$B$101,"")</f>
        <v/>
      </c>
      <c r="J17" s="88">
        <f>_xlfn.XLOOKUP(I17,'PP3'!$B$6:$B$55,'PP3'!$A$6:$A$55,0)</f>
        <v>0</v>
      </c>
      <c r="K17" s="9" t="str">
        <f>_xlfn.XLOOKUP($B17,'PP4'!$C$6:$C$101,'PP4'!$B$6:$B$101,"")</f>
        <v/>
      </c>
      <c r="L17" s="88">
        <f>_xlfn.XLOOKUP(K17,'PP4'!$B$6:$B$55,'PP4'!$A$6:$A$55,0)</f>
        <v>0</v>
      </c>
      <c r="M17" s="9" t="str">
        <f>_xlfn.XLOOKUP($B17,'PP5'!$C$6:$C$101,'PP5'!$B$6:$B$101,"")</f>
        <v/>
      </c>
      <c r="N17" s="88">
        <f>_xlfn.XLOOKUP(M17,'PP5'!$B$6:$B$55,'PP5'!$A$6:$A$55,0)</f>
        <v>0</v>
      </c>
      <c r="O17" s="9" t="str" cm="1">
        <f t="array" ref="O17">_xlfn.XLOOKUP($B17,MPW!C$6:C$101,MPW!$B$6:B$101,"")</f>
        <v/>
      </c>
      <c r="P17" s="75">
        <f>_xlfn.XLOOKUP(O17,MPW!$B$6:$B$55,MPW!$A$6:$A$55,0)</f>
        <v>0</v>
      </c>
      <c r="R17" s="9" t="str">
        <f>_xlfn.XLOOKUP($B17,'PEW1'!$C$6:$C$101,'PEW1'!$B$6:$B$101,"")</f>
        <v/>
      </c>
      <c r="S17" s="74">
        <f>_xlfn.XLOOKUP(R17,'PEW1'!$B$6:$B$55,'PEW1'!$A$6:$A$55,0)</f>
        <v>0</v>
      </c>
      <c r="T17" s="9" t="str">
        <f>_xlfn.XLOOKUP($B17,'PEW2'!$C$6:$C$101,'PEW2'!$B$6:$B$101,"")</f>
        <v/>
      </c>
      <c r="U17" s="74">
        <f>_xlfn.XLOOKUP(T17,'PEW2'!$B$6:$B$55,'PEW2'!$A$6:$A$55,0)</f>
        <v>0</v>
      </c>
      <c r="V17" s="9" t="str">
        <f>_xlfn.XLOOKUP($B17,'PEW3'!$C$6:$C$101,'PEW3'!$B$6:$B$101,"")</f>
        <v/>
      </c>
      <c r="W17" s="74">
        <f>_xlfn.XLOOKUP(V17,'PEW3'!$B$6:$B$55,'PEW3'!$A$6:$A$55,0)</f>
        <v>0</v>
      </c>
      <c r="X17" s="9" t="str">
        <f>_xlfn.XLOOKUP($B17,'PEW4'!$C$6:$C$101,'PEW4'!$B$6:$B$101,"")</f>
        <v/>
      </c>
      <c r="Y17" s="74">
        <f>_xlfn.XLOOKUP(X17,'PEW4'!$B$6:$B$55,'PEW4'!$A$6:$A$55,0)</f>
        <v>0</v>
      </c>
      <c r="Z17" s="9" t="str">
        <f>_xlfn.XLOOKUP($B17,'PEW5'!$C$6:$C$101,'PEW5'!$B$6:$B$101,"")</f>
        <v/>
      </c>
      <c r="AA17" s="74">
        <f>_xlfn.XLOOKUP(Z17,'PEW5'!$B$6:$B$55,'PEW5'!$A$6:$A$55,0)</f>
        <v>0</v>
      </c>
      <c r="AB17" s="9" t="str">
        <f>_xlfn.XLOOKUP($B17,'PEW6'!$C$6:$C$101,'PEW6'!$B$6:$B$101,"")</f>
        <v/>
      </c>
      <c r="AC17" s="74">
        <f>_xlfn.XLOOKUP(AB17,'PEW6'!$B$6:$B$55,'PEW6'!$A$6:$A$55,0)</f>
        <v>0</v>
      </c>
      <c r="AD17" s="9" t="str">
        <f>_xlfn.XLOOKUP($B17,'PEW7'!$C$6:$C$101,'PEW7'!$B$6:$B$101,"")</f>
        <v/>
      </c>
      <c r="AE17" s="74">
        <f>_xlfn.XLOOKUP(AD17,'PEW7'!$B$6:$B$55,'PEW7'!$A$6:$A$55,0)</f>
        <v>0</v>
      </c>
      <c r="AF17" s="9" t="str">
        <f>_xlfn.XLOOKUP($B17,PS!$C$6:$C$101,PS!$B$6:$B$101,"")</f>
        <v/>
      </c>
      <c r="AG17" s="74">
        <f>_xlfn.XLOOKUP(AF17,PS!$B$6:$B$55,PS!$A$6:$A$55,0)</f>
        <v>0</v>
      </c>
      <c r="AH17" s="9" t="str" cm="1">
        <f t="array" ref="AH17">_xlfn.XLOOKUP($B17,IMEW!C$6:C$201,IMEW!$B$6:B$201,"")</f>
        <v/>
      </c>
      <c r="AI17" s="75">
        <f>_xlfn.XLOOKUP(AH17,IMEW!$B$6:$B$201,IMEW!$A$6:$A$201,0)</f>
        <v>0</v>
      </c>
    </row>
    <row r="18" spans="1:35" ht="14.8" customHeight="1" x14ac:dyDescent="0.25">
      <c r="A18" s="7">
        <f t="shared" si="0"/>
        <v>13</v>
      </c>
      <c r="B18" s="10" t="s">
        <v>24</v>
      </c>
      <c r="C18" s="11"/>
      <c r="D18" s="73">
        <f>SUM(F18,H18,J18,L18,N18,P18)-MIN(F18,H18,J18,L18,N18)+SUM(LARGE((S18,U18,W18,Y18,AA18,AC18,AE18,AG18),1),LARGE((S18,U18,W18,Y18,AA18,AC18,AE18,AG18),2),LARGE((S18,U18,W18,Y18,AA18,AC18,AE18,AG18),3),AI18)</f>
        <v>0</v>
      </c>
      <c r="E18" s="9" t="str">
        <f>_xlfn.XLOOKUP($B18,'PP1'!$C$6:$C$101,'PP1'!$B$6:$B$101,"")</f>
        <v/>
      </c>
      <c r="F18" s="74">
        <f>_xlfn.XLOOKUP(E18,'PP1'!$B$6:$B$55,'PP1'!$A$6:$A$55,0)</f>
        <v>0</v>
      </c>
      <c r="G18" s="9" t="str">
        <f>_xlfn.XLOOKUP($B18,'PP2'!$C$6:$C$101,'PP2'!$B$6:$B$101,"")</f>
        <v/>
      </c>
      <c r="H18" s="74">
        <f>_xlfn.XLOOKUP(G18,'PP2'!$B$6:$B$55,'PP2'!$A$6:$A$55,0)</f>
        <v>0</v>
      </c>
      <c r="I18" s="9" t="str">
        <f>_xlfn.XLOOKUP($B18,'PP3'!$C$6:$C$101,'PP3'!$B$6:$B$101,"")</f>
        <v/>
      </c>
      <c r="J18" s="88">
        <f>_xlfn.XLOOKUP(I18,'PP3'!$B$6:$B$55,'PP3'!$A$6:$A$55,0)</f>
        <v>0</v>
      </c>
      <c r="K18" s="9" t="str">
        <f>_xlfn.XLOOKUP($B18,'PP4'!$C$6:$C$101,'PP4'!$B$6:$B$101,"")</f>
        <v/>
      </c>
      <c r="L18" s="88">
        <f>_xlfn.XLOOKUP(K18,'PP4'!$B$6:$B$55,'PP4'!$A$6:$A$55,0)</f>
        <v>0</v>
      </c>
      <c r="M18" s="9" t="str">
        <f>_xlfn.XLOOKUP($B18,'PP5'!$C$6:$C$101,'PP5'!$B$6:$B$101,"")</f>
        <v/>
      </c>
      <c r="N18" s="88">
        <f>_xlfn.XLOOKUP(M18,'PP5'!$B$6:$B$55,'PP5'!$A$6:$A$55,0)</f>
        <v>0</v>
      </c>
      <c r="O18" s="9" t="str" cm="1">
        <f t="array" ref="O18">_xlfn.XLOOKUP($B18,MPW!C$6:C$101,MPW!$B$6:B$101,"")</f>
        <v/>
      </c>
      <c r="P18" s="75">
        <f>_xlfn.XLOOKUP(O18,MPW!$B$6:$B$55,MPW!$A$6:$A$55,0)</f>
        <v>0</v>
      </c>
      <c r="R18" s="9" t="str">
        <f>_xlfn.XLOOKUP($B18,'PEW1'!$C$6:$C$101,'PEW1'!$B$6:$B$101,"")</f>
        <v/>
      </c>
      <c r="S18" s="74">
        <f>_xlfn.XLOOKUP(R18,'PEW1'!$B$6:$B$55,'PEW1'!$A$6:$A$55,0)</f>
        <v>0</v>
      </c>
      <c r="T18" s="9" t="str">
        <f>_xlfn.XLOOKUP($B18,'PEW2'!$C$6:$C$101,'PEW2'!$B$6:$B$101,"")</f>
        <v/>
      </c>
      <c r="U18" s="74">
        <f>_xlfn.XLOOKUP(T18,'PEW2'!$B$6:$B$55,'PEW2'!$A$6:$A$55,0)</f>
        <v>0</v>
      </c>
      <c r="V18" s="9" t="str">
        <f>_xlfn.XLOOKUP($B18,'PEW3'!$C$6:$C$101,'PEW3'!$B$6:$B$101,"")</f>
        <v/>
      </c>
      <c r="W18" s="74">
        <f>_xlfn.XLOOKUP(V18,'PEW3'!$B$6:$B$55,'PEW3'!$A$6:$A$55,0)</f>
        <v>0</v>
      </c>
      <c r="X18" s="9" t="str">
        <f>_xlfn.XLOOKUP($B18,'PEW4'!$C$6:$C$101,'PEW4'!$B$6:$B$101,"")</f>
        <v/>
      </c>
      <c r="Y18" s="74">
        <f>_xlfn.XLOOKUP(X18,'PEW4'!$B$6:$B$55,'PEW4'!$A$6:$A$55,0)</f>
        <v>0</v>
      </c>
      <c r="Z18" s="9" t="str">
        <f>_xlfn.XLOOKUP($B18,'PEW5'!$C$6:$C$101,'PEW5'!$B$6:$B$101,"")</f>
        <v/>
      </c>
      <c r="AA18" s="74">
        <f>_xlfn.XLOOKUP(Z18,'PEW5'!$B$6:$B$55,'PEW5'!$A$6:$A$55,0)</f>
        <v>0</v>
      </c>
      <c r="AB18" s="9" t="str">
        <f>_xlfn.XLOOKUP($B18,'PEW6'!$C$6:$C$101,'PEW6'!$B$6:$B$101,"")</f>
        <v/>
      </c>
      <c r="AC18" s="74">
        <f>_xlfn.XLOOKUP(AB18,'PEW6'!$B$6:$B$55,'PEW6'!$A$6:$A$55,0)</f>
        <v>0</v>
      </c>
      <c r="AD18" s="9" t="str">
        <f>_xlfn.XLOOKUP($B18,'PEW7'!$C$6:$C$101,'PEW7'!$B$6:$B$101,"")</f>
        <v/>
      </c>
      <c r="AE18" s="74">
        <f>_xlfn.XLOOKUP(AD18,'PEW7'!$B$6:$B$55,'PEW7'!$A$6:$A$55,0)</f>
        <v>0</v>
      </c>
      <c r="AF18" s="9" t="str">
        <f>_xlfn.XLOOKUP($B18,PS!$C$6:$C$101,PS!$B$6:$B$101,"")</f>
        <v/>
      </c>
      <c r="AG18" s="74">
        <f>_xlfn.XLOOKUP(AF18,PS!$B$6:$B$55,PS!$A$6:$A$55,0)</f>
        <v>0</v>
      </c>
      <c r="AH18" s="9" t="str" cm="1">
        <f t="array" ref="AH18">_xlfn.XLOOKUP($B18,IMEW!C$6:C$201,IMEW!$B$6:B$201,"")</f>
        <v/>
      </c>
      <c r="AI18" s="75">
        <f>_xlfn.XLOOKUP(AH18,IMEW!$B$6:$B$201,IMEW!$A$6:$A$201,0)</f>
        <v>0</v>
      </c>
    </row>
    <row r="19" spans="1:35" ht="14.8" customHeight="1" x14ac:dyDescent="0.25">
      <c r="A19" s="7">
        <f t="shared" si="0"/>
        <v>14</v>
      </c>
      <c r="B19" s="10" t="s">
        <v>24</v>
      </c>
      <c r="C19" s="11"/>
      <c r="D19" s="73">
        <f>SUM(F19,H19,J19,L19,N19,P19)-MIN(F19,H19,J19,L19,N19)+SUM(LARGE((S19,U19,W19,Y19,AA19,AC19,AE19,AG19),1),LARGE((S19,U19,W19,Y19,AA19,AC19,AE19,AG19),2),LARGE((S19,U19,W19,Y19,AA19,AC19,AE19,AG19),3),AI19)</f>
        <v>0</v>
      </c>
      <c r="E19" s="9" t="str">
        <f>_xlfn.XLOOKUP($B19,'PP1'!$C$6:$C$101,'PP1'!$B$6:$B$101,"")</f>
        <v/>
      </c>
      <c r="F19" s="74">
        <f>_xlfn.XLOOKUP(E19,'PP1'!$B$6:$B$55,'PP1'!$A$6:$A$55,0)</f>
        <v>0</v>
      </c>
      <c r="G19" s="9" t="str">
        <f>_xlfn.XLOOKUP($B19,'PP2'!$C$6:$C$101,'PP2'!$B$6:$B$101,"")</f>
        <v/>
      </c>
      <c r="H19" s="74">
        <f>_xlfn.XLOOKUP(G19,'PP2'!$B$6:$B$55,'PP2'!$A$6:$A$55,0)</f>
        <v>0</v>
      </c>
      <c r="I19" s="9" t="str">
        <f>_xlfn.XLOOKUP($B19,'PP3'!$C$6:$C$101,'PP3'!$B$6:$B$101,"")</f>
        <v/>
      </c>
      <c r="J19" s="88">
        <f>_xlfn.XLOOKUP(I19,'PP3'!$B$6:$B$55,'PP3'!$A$6:$A$55,0)</f>
        <v>0</v>
      </c>
      <c r="K19" s="9" t="str">
        <f>_xlfn.XLOOKUP($B19,'PP4'!$C$6:$C$101,'PP4'!$B$6:$B$101,"")</f>
        <v/>
      </c>
      <c r="L19" s="88">
        <f>_xlfn.XLOOKUP(K19,'PP4'!$B$6:$B$55,'PP4'!$A$6:$A$55,0)</f>
        <v>0</v>
      </c>
      <c r="M19" s="9" t="str">
        <f>_xlfn.XLOOKUP($B19,'PP5'!$C$6:$C$101,'PP5'!$B$6:$B$101,"")</f>
        <v/>
      </c>
      <c r="N19" s="88">
        <f>_xlfn.XLOOKUP(M19,'PP5'!$B$6:$B$55,'PP5'!$A$6:$A$55,0)</f>
        <v>0</v>
      </c>
      <c r="O19" s="9" t="str" cm="1">
        <f t="array" ref="O19">_xlfn.XLOOKUP($B19,MPW!C$6:C$101,MPW!$B$6:B$101,"")</f>
        <v/>
      </c>
      <c r="P19" s="75">
        <f>_xlfn.XLOOKUP(O19,MPW!$B$6:$B$55,MPW!$A$6:$A$55,0)</f>
        <v>0</v>
      </c>
      <c r="R19" s="9" t="str">
        <f>_xlfn.XLOOKUP($B19,'PEW1'!$C$6:$C$101,'PEW1'!$B$6:$B$101,"")</f>
        <v/>
      </c>
      <c r="S19" s="74">
        <f>_xlfn.XLOOKUP(R19,'PEW1'!$B$6:$B$55,'PEW1'!$A$6:$A$55,0)</f>
        <v>0</v>
      </c>
      <c r="T19" s="9" t="str">
        <f>_xlfn.XLOOKUP($B19,'PEW2'!$C$6:$C$101,'PEW2'!$B$6:$B$101,"")</f>
        <v/>
      </c>
      <c r="U19" s="74">
        <f>_xlfn.XLOOKUP(T19,'PEW2'!$B$6:$B$55,'PEW2'!$A$6:$A$55,0)</f>
        <v>0</v>
      </c>
      <c r="V19" s="9" t="str">
        <f>_xlfn.XLOOKUP($B19,'PEW3'!$C$6:$C$101,'PEW3'!$B$6:$B$101,"")</f>
        <v/>
      </c>
      <c r="W19" s="74">
        <f>_xlfn.XLOOKUP(V19,'PEW3'!$B$6:$B$55,'PEW3'!$A$6:$A$55,0)</f>
        <v>0</v>
      </c>
      <c r="X19" s="9" t="str">
        <f>_xlfn.XLOOKUP($B19,'PEW4'!$C$6:$C$101,'PEW4'!$B$6:$B$101,"")</f>
        <v/>
      </c>
      <c r="Y19" s="74">
        <f>_xlfn.XLOOKUP(X19,'PEW4'!$B$6:$B$55,'PEW4'!$A$6:$A$55,0)</f>
        <v>0</v>
      </c>
      <c r="Z19" s="9" t="str">
        <f>_xlfn.XLOOKUP($B19,'PEW5'!$C$6:$C$101,'PEW5'!$B$6:$B$101,"")</f>
        <v/>
      </c>
      <c r="AA19" s="74">
        <f>_xlfn.XLOOKUP(Z19,'PEW5'!$B$6:$B$55,'PEW5'!$A$6:$A$55,0)</f>
        <v>0</v>
      </c>
      <c r="AB19" s="9" t="str">
        <f>_xlfn.XLOOKUP($B19,'PEW6'!$C$6:$C$101,'PEW6'!$B$6:$B$101,"")</f>
        <v/>
      </c>
      <c r="AC19" s="74">
        <f>_xlfn.XLOOKUP(AB19,'PEW6'!$B$6:$B$55,'PEW6'!$A$6:$A$55,0)</f>
        <v>0</v>
      </c>
      <c r="AD19" s="9" t="str">
        <f>_xlfn.XLOOKUP($B19,'PEW7'!$C$6:$C$101,'PEW7'!$B$6:$B$101,"")</f>
        <v/>
      </c>
      <c r="AE19" s="74">
        <f>_xlfn.XLOOKUP(AD19,'PEW7'!$B$6:$B$55,'PEW7'!$A$6:$A$55,0)</f>
        <v>0</v>
      </c>
      <c r="AF19" s="9" t="str">
        <f>_xlfn.XLOOKUP($B19,PS!$C$6:$C$101,PS!$B$6:$B$101,"")</f>
        <v/>
      </c>
      <c r="AG19" s="74">
        <f>_xlfn.XLOOKUP(AF19,PS!$B$6:$B$55,PS!$A$6:$A$55,0)</f>
        <v>0</v>
      </c>
      <c r="AH19" s="9" t="str" cm="1">
        <f t="array" ref="AH19">_xlfn.XLOOKUP($B19,IMEW!C$6:C$201,IMEW!$B$6:B$201,"")</f>
        <v/>
      </c>
      <c r="AI19" s="75">
        <f>_xlfn.XLOOKUP(AH19,IMEW!$B$6:$B$201,IMEW!$A$6:$A$201,0)</f>
        <v>0</v>
      </c>
    </row>
    <row r="20" spans="1:35" ht="14.8" customHeight="1" x14ac:dyDescent="0.25">
      <c r="A20" s="7">
        <f t="shared" si="0"/>
        <v>15</v>
      </c>
      <c r="B20" s="10" t="s">
        <v>24</v>
      </c>
      <c r="C20" s="11"/>
      <c r="D20" s="73">
        <f>SUM(F20,H20,J20,L20,N20,P20)-MIN(F20,H20,J20,L20,N20)+SUM(LARGE((S20,U20,W20,Y20,AA20,AC20,AE20,AG20),1),LARGE((S20,U20,W20,Y20,AA20,AC20,AE20,AG20),2),LARGE((S20,U20,W20,Y20,AA20,AC20,AE20,AG20),3),AI20)</f>
        <v>0</v>
      </c>
      <c r="E20" s="9" t="str">
        <f>_xlfn.XLOOKUP($B20,'PP1'!$C$6:$C$101,'PP1'!$B$6:$B$101,"")</f>
        <v/>
      </c>
      <c r="F20" s="74">
        <f>_xlfn.XLOOKUP(E20,'PP1'!$B$6:$B$55,'PP1'!$A$6:$A$55,0)</f>
        <v>0</v>
      </c>
      <c r="G20" s="9" t="str">
        <f>_xlfn.XLOOKUP($B20,'PP2'!$C$6:$C$101,'PP2'!$B$6:$B$101,"")</f>
        <v/>
      </c>
      <c r="H20" s="74">
        <f>_xlfn.XLOOKUP(G20,'PP2'!$B$6:$B$55,'PP2'!$A$6:$A$55,0)</f>
        <v>0</v>
      </c>
      <c r="I20" s="9" t="str">
        <f>_xlfn.XLOOKUP($B20,'PP3'!$C$6:$C$101,'PP3'!$B$6:$B$101,"")</f>
        <v/>
      </c>
      <c r="J20" s="88">
        <f>_xlfn.XLOOKUP(I20,'PP3'!$B$6:$B$55,'PP3'!$A$6:$A$55,0)</f>
        <v>0</v>
      </c>
      <c r="K20" s="9" t="str">
        <f>_xlfn.XLOOKUP($B20,'PP4'!$C$6:$C$101,'PP4'!$B$6:$B$101,"")</f>
        <v/>
      </c>
      <c r="L20" s="88">
        <f>_xlfn.XLOOKUP(K20,'PP4'!$B$6:$B$55,'PP4'!$A$6:$A$55,0)</f>
        <v>0</v>
      </c>
      <c r="M20" s="9" t="str">
        <f>_xlfn.XLOOKUP($B20,'PP5'!$C$6:$C$101,'PP5'!$B$6:$B$101,"")</f>
        <v/>
      </c>
      <c r="N20" s="88">
        <f>_xlfn.XLOOKUP(M20,'PP5'!$B$6:$B$55,'PP5'!$A$6:$A$55,0)</f>
        <v>0</v>
      </c>
      <c r="O20" s="9" t="str" cm="1">
        <f t="array" ref="O20">_xlfn.XLOOKUP($B20,MPW!C$6:C$101,MPW!$B$6:B$101,"")</f>
        <v/>
      </c>
      <c r="P20" s="75">
        <f>_xlfn.XLOOKUP(O20,MPW!$B$6:$B$55,MPW!$A$6:$A$55,0)</f>
        <v>0</v>
      </c>
      <c r="R20" s="9" t="str">
        <f>_xlfn.XLOOKUP($B20,'PEW1'!$C$6:$C$101,'PEW1'!$B$6:$B$101,"")</f>
        <v/>
      </c>
      <c r="S20" s="74">
        <f>_xlfn.XLOOKUP(R20,'PEW1'!$B$6:$B$55,'PEW1'!$A$6:$A$55,0)</f>
        <v>0</v>
      </c>
      <c r="T20" s="9" t="str">
        <f>_xlfn.XLOOKUP($B20,'PEW2'!$C$6:$C$101,'PEW2'!$B$6:$B$101,"")</f>
        <v/>
      </c>
      <c r="U20" s="74">
        <f>_xlfn.XLOOKUP(T20,'PEW2'!$B$6:$B$55,'PEW2'!$A$6:$A$55,0)</f>
        <v>0</v>
      </c>
      <c r="V20" s="9" t="str">
        <f>_xlfn.XLOOKUP($B20,'PEW3'!$C$6:$C$101,'PEW3'!$B$6:$B$101,"")</f>
        <v/>
      </c>
      <c r="W20" s="74">
        <f>_xlfn.XLOOKUP(V20,'PEW3'!$B$6:$B$55,'PEW3'!$A$6:$A$55,0)</f>
        <v>0</v>
      </c>
      <c r="X20" s="9" t="str">
        <f>_xlfn.XLOOKUP($B20,'PEW4'!$C$6:$C$101,'PEW4'!$B$6:$B$101,"")</f>
        <v/>
      </c>
      <c r="Y20" s="74">
        <f>_xlfn.XLOOKUP(X20,'PEW4'!$B$6:$B$55,'PEW4'!$A$6:$A$55,0)</f>
        <v>0</v>
      </c>
      <c r="Z20" s="9" t="str">
        <f>_xlfn.XLOOKUP($B20,'PEW5'!$C$6:$C$101,'PEW5'!$B$6:$B$101,"")</f>
        <v/>
      </c>
      <c r="AA20" s="74">
        <f>_xlfn.XLOOKUP(Z20,'PEW5'!$B$6:$B$55,'PEW5'!$A$6:$A$55,0)</f>
        <v>0</v>
      </c>
      <c r="AB20" s="9" t="str">
        <f>_xlfn.XLOOKUP($B20,'PEW6'!$C$6:$C$101,'PEW6'!$B$6:$B$101,"")</f>
        <v/>
      </c>
      <c r="AC20" s="74">
        <f>_xlfn.XLOOKUP(AB20,'PEW6'!$B$6:$B$55,'PEW6'!$A$6:$A$55,0)</f>
        <v>0</v>
      </c>
      <c r="AD20" s="9" t="str">
        <f>_xlfn.XLOOKUP($B20,'PEW7'!$C$6:$C$101,'PEW7'!$B$6:$B$101,"")</f>
        <v/>
      </c>
      <c r="AE20" s="74">
        <f>_xlfn.XLOOKUP(AD20,'PEW7'!$B$6:$B$55,'PEW7'!$A$6:$A$55,0)</f>
        <v>0</v>
      </c>
      <c r="AF20" s="9" t="str">
        <f>_xlfn.XLOOKUP($B20,PS!$C$6:$C$101,PS!$B$6:$B$101,"")</f>
        <v/>
      </c>
      <c r="AG20" s="74">
        <f>_xlfn.XLOOKUP(AF20,PS!$B$6:$B$55,PS!$A$6:$A$55,0)</f>
        <v>0</v>
      </c>
      <c r="AH20" s="9" t="str" cm="1">
        <f t="array" ref="AH20">_xlfn.XLOOKUP($B20,IMEW!C$6:C$201,IMEW!$B$6:B$201,"")</f>
        <v/>
      </c>
      <c r="AI20" s="75">
        <f>_xlfn.XLOOKUP(AH20,IMEW!$B$6:$B$201,IMEW!$A$6:$A$201,0)</f>
        <v>0</v>
      </c>
    </row>
    <row r="21" spans="1:35" ht="14.8" customHeight="1" x14ac:dyDescent="0.25">
      <c r="A21" s="7">
        <f t="shared" si="0"/>
        <v>16</v>
      </c>
      <c r="B21" s="10" t="s">
        <v>24</v>
      </c>
      <c r="C21" s="11"/>
      <c r="D21" s="73">
        <f>SUM(F21,H21,J21,L21,N21,P21)-MIN(F21,H21,J21,L21,N21)+SUM(LARGE((S21,U21,W21,Y21,AA21,AC21,AE21,AG21),1),LARGE((S21,U21,W21,Y21,AA21,AC21,AE21,AG21),2),LARGE((S21,U21,W21,Y21,AA21,AC21,AE21,AG21),3),AI21)</f>
        <v>0</v>
      </c>
      <c r="E21" s="9" t="str">
        <f>_xlfn.XLOOKUP($B21,'PP1'!$C$6:$C$101,'PP1'!$B$6:$B$101,"")</f>
        <v/>
      </c>
      <c r="F21" s="74">
        <f>_xlfn.XLOOKUP(E21,'PP1'!$B$6:$B$55,'PP1'!$A$6:$A$55,0)</f>
        <v>0</v>
      </c>
      <c r="G21" s="9" t="str">
        <f>_xlfn.XLOOKUP($B21,'PP2'!$C$6:$C$101,'PP2'!$B$6:$B$101,"")</f>
        <v/>
      </c>
      <c r="H21" s="74">
        <f>_xlfn.XLOOKUP(G21,'PP2'!$B$6:$B$55,'PP2'!$A$6:$A$55,0)</f>
        <v>0</v>
      </c>
      <c r="I21" s="9" t="str">
        <f>_xlfn.XLOOKUP($B21,'PP3'!$C$6:$C$101,'PP3'!$B$6:$B$101,"")</f>
        <v/>
      </c>
      <c r="J21" s="88">
        <f>_xlfn.XLOOKUP(I21,'PP3'!$B$6:$B$55,'PP3'!$A$6:$A$55,0)</f>
        <v>0</v>
      </c>
      <c r="K21" s="9" t="str">
        <f>_xlfn.XLOOKUP($B21,'PP4'!$C$6:$C$101,'PP4'!$B$6:$B$101,"")</f>
        <v/>
      </c>
      <c r="L21" s="88">
        <f>_xlfn.XLOOKUP(K21,'PP4'!$B$6:$B$55,'PP4'!$A$6:$A$55,0)</f>
        <v>0</v>
      </c>
      <c r="M21" s="9" t="str">
        <f>_xlfn.XLOOKUP($B21,'PP5'!$C$6:$C$101,'PP5'!$B$6:$B$101,"")</f>
        <v/>
      </c>
      <c r="N21" s="88">
        <f>_xlfn.XLOOKUP(M21,'PP5'!$B$6:$B$55,'PP5'!$A$6:$A$55,0)</f>
        <v>0</v>
      </c>
      <c r="O21" s="9" t="str" cm="1">
        <f t="array" ref="O21">_xlfn.XLOOKUP($B21,MPW!C$6:C$101,MPW!$B$6:B$101,"")</f>
        <v/>
      </c>
      <c r="P21" s="75">
        <f>_xlfn.XLOOKUP(O21,MPW!$B$6:$B$55,MPW!$A$6:$A$55,0)</f>
        <v>0</v>
      </c>
      <c r="R21" s="9" t="str">
        <f>_xlfn.XLOOKUP($B21,'PEW1'!$C$6:$C$101,'PEW1'!$B$6:$B$101,"")</f>
        <v/>
      </c>
      <c r="S21" s="74">
        <f>_xlfn.XLOOKUP(R21,'PEW1'!$B$6:$B$55,'PEW1'!$A$6:$A$55,0)</f>
        <v>0</v>
      </c>
      <c r="T21" s="9" t="str">
        <f>_xlfn.XLOOKUP($B21,'PEW2'!$C$6:$C$101,'PEW2'!$B$6:$B$101,"")</f>
        <v/>
      </c>
      <c r="U21" s="74">
        <f>_xlfn.XLOOKUP(T21,'PEW2'!$B$6:$B$55,'PEW2'!$A$6:$A$55,0)</f>
        <v>0</v>
      </c>
      <c r="V21" s="9" t="str">
        <f>_xlfn.XLOOKUP($B21,'PEW3'!$C$6:$C$101,'PEW3'!$B$6:$B$101,"")</f>
        <v/>
      </c>
      <c r="W21" s="74">
        <f>_xlfn.XLOOKUP(V21,'PEW3'!$B$6:$B$55,'PEW3'!$A$6:$A$55,0)</f>
        <v>0</v>
      </c>
      <c r="X21" s="9" t="str">
        <f>_xlfn.XLOOKUP($B21,'PEW4'!$C$6:$C$101,'PEW4'!$B$6:$B$101,"")</f>
        <v/>
      </c>
      <c r="Y21" s="74">
        <f>_xlfn.XLOOKUP(X21,'PEW4'!$B$6:$B$55,'PEW4'!$A$6:$A$55,0)</f>
        <v>0</v>
      </c>
      <c r="Z21" s="9" t="str">
        <f>_xlfn.XLOOKUP($B21,'PEW5'!$C$6:$C$101,'PEW5'!$B$6:$B$101,"")</f>
        <v/>
      </c>
      <c r="AA21" s="74">
        <f>_xlfn.XLOOKUP(Z21,'PEW5'!$B$6:$B$55,'PEW5'!$A$6:$A$55,0)</f>
        <v>0</v>
      </c>
      <c r="AB21" s="9" t="str">
        <f>_xlfn.XLOOKUP($B21,'PEW6'!$C$6:$C$101,'PEW6'!$B$6:$B$101,"")</f>
        <v/>
      </c>
      <c r="AC21" s="74">
        <f>_xlfn.XLOOKUP(AB21,'PEW6'!$B$6:$B$55,'PEW6'!$A$6:$A$55,0)</f>
        <v>0</v>
      </c>
      <c r="AD21" s="9" t="str">
        <f>_xlfn.XLOOKUP($B21,'PEW7'!$C$6:$C$101,'PEW7'!$B$6:$B$101,"")</f>
        <v/>
      </c>
      <c r="AE21" s="74">
        <f>_xlfn.XLOOKUP(AD21,'PEW7'!$B$6:$B$55,'PEW7'!$A$6:$A$55,0)</f>
        <v>0</v>
      </c>
      <c r="AF21" s="9" t="str">
        <f>_xlfn.XLOOKUP($B21,PS!$C$6:$C$101,PS!$B$6:$B$101,"")</f>
        <v/>
      </c>
      <c r="AG21" s="74">
        <f>_xlfn.XLOOKUP(AF21,PS!$B$6:$B$55,PS!$A$6:$A$55,0)</f>
        <v>0</v>
      </c>
      <c r="AH21" s="9" t="str" cm="1">
        <f t="array" ref="AH21">_xlfn.XLOOKUP($B21,IMEW!C$6:C$201,IMEW!$B$6:B$201,"")</f>
        <v/>
      </c>
      <c r="AI21" s="75">
        <f>_xlfn.XLOOKUP(AH21,IMEW!$B$6:$B$201,IMEW!$A$6:$A$201,0)</f>
        <v>0</v>
      </c>
    </row>
    <row r="22" spans="1:35" ht="14.8" customHeight="1" x14ac:dyDescent="0.25">
      <c r="A22" s="7">
        <f t="shared" si="0"/>
        <v>17</v>
      </c>
      <c r="B22" s="10" t="s">
        <v>24</v>
      </c>
      <c r="C22" s="11"/>
      <c r="D22" s="73">
        <f>SUM(F22,H22,J22,L22,N22,P22)-MIN(F22,H22,J22,L22,N22)+SUM(LARGE((S22,U22,W22,Y22,AA22,AC22,AE22,AG22),1),LARGE((S22,U22,W22,Y22,AA22,AC22,AE22,AG22),2),LARGE((S22,U22,W22,Y22,AA22,AC22,AE22,AG22),3),AI22)</f>
        <v>0</v>
      </c>
      <c r="E22" s="9" t="str">
        <f>_xlfn.XLOOKUP($B22,'PP1'!$C$6:$C$101,'PP1'!$B$6:$B$101,"")</f>
        <v/>
      </c>
      <c r="F22" s="74">
        <f>_xlfn.XLOOKUP(E22,'PP1'!$B$6:$B$55,'PP1'!$A$6:$A$55,0)</f>
        <v>0</v>
      </c>
      <c r="G22" s="9" t="str">
        <f>_xlfn.XLOOKUP($B22,'PP2'!$C$6:$C$101,'PP2'!$B$6:$B$101,"")</f>
        <v/>
      </c>
      <c r="H22" s="74">
        <f>_xlfn.XLOOKUP(G22,'PP2'!$B$6:$B$55,'PP2'!$A$6:$A$55,0)</f>
        <v>0</v>
      </c>
      <c r="I22" s="9" t="str">
        <f>_xlfn.XLOOKUP($B22,'PP3'!$C$6:$C$101,'PP3'!$B$6:$B$101,"")</f>
        <v/>
      </c>
      <c r="J22" s="88">
        <f>_xlfn.XLOOKUP(I22,'PP3'!$B$6:$B$55,'PP3'!$A$6:$A$55,0)</f>
        <v>0</v>
      </c>
      <c r="K22" s="9" t="str">
        <f>_xlfn.XLOOKUP($B22,'PP4'!$C$6:$C$101,'PP4'!$B$6:$B$101,"")</f>
        <v/>
      </c>
      <c r="L22" s="88">
        <f>_xlfn.XLOOKUP(K22,'PP4'!$B$6:$B$55,'PP4'!$A$6:$A$55,0)</f>
        <v>0</v>
      </c>
      <c r="M22" s="9" t="str">
        <f>_xlfn.XLOOKUP($B22,'PP5'!$C$6:$C$101,'PP5'!$B$6:$B$101,"")</f>
        <v/>
      </c>
      <c r="N22" s="88">
        <f>_xlfn.XLOOKUP(M22,'PP5'!$B$6:$B$55,'PP5'!$A$6:$A$55,0)</f>
        <v>0</v>
      </c>
      <c r="O22" s="9" t="str" cm="1">
        <f t="array" ref="O22">_xlfn.XLOOKUP($B22,MPW!C$6:C$101,MPW!$B$6:B$101,"")</f>
        <v/>
      </c>
      <c r="P22" s="75">
        <f>_xlfn.XLOOKUP(O22,MPW!$B$6:$B$55,MPW!$A$6:$A$55,0)</f>
        <v>0</v>
      </c>
      <c r="R22" s="9" t="str">
        <f>_xlfn.XLOOKUP($B22,'PEW1'!$C$6:$C$101,'PEW1'!$B$6:$B$101,"")</f>
        <v/>
      </c>
      <c r="S22" s="74">
        <f>_xlfn.XLOOKUP(R22,'PEW1'!$B$6:$B$55,'PEW1'!$A$6:$A$55,0)</f>
        <v>0</v>
      </c>
      <c r="T22" s="9" t="str">
        <f>_xlfn.XLOOKUP($B22,'PEW2'!$C$6:$C$101,'PEW2'!$B$6:$B$101,"")</f>
        <v/>
      </c>
      <c r="U22" s="74">
        <f>_xlfn.XLOOKUP(T22,'PEW2'!$B$6:$B$55,'PEW2'!$A$6:$A$55,0)</f>
        <v>0</v>
      </c>
      <c r="V22" s="9" t="str">
        <f>_xlfn.XLOOKUP($B22,'PEW3'!$C$6:$C$101,'PEW3'!$B$6:$B$101,"")</f>
        <v/>
      </c>
      <c r="W22" s="74">
        <f>_xlfn.XLOOKUP(V22,'PEW3'!$B$6:$B$55,'PEW3'!$A$6:$A$55,0)</f>
        <v>0</v>
      </c>
      <c r="X22" s="9" t="str">
        <f>_xlfn.XLOOKUP($B22,'PEW4'!$C$6:$C$101,'PEW4'!$B$6:$B$101,"")</f>
        <v/>
      </c>
      <c r="Y22" s="74">
        <f>_xlfn.XLOOKUP(X22,'PEW4'!$B$6:$B$55,'PEW4'!$A$6:$A$55,0)</f>
        <v>0</v>
      </c>
      <c r="Z22" s="9" t="str">
        <f>_xlfn.XLOOKUP($B22,'PEW5'!$C$6:$C$101,'PEW5'!$B$6:$B$101,"")</f>
        <v/>
      </c>
      <c r="AA22" s="74">
        <f>_xlfn.XLOOKUP(Z22,'PEW5'!$B$6:$B$55,'PEW5'!$A$6:$A$55,0)</f>
        <v>0</v>
      </c>
      <c r="AB22" s="9" t="str">
        <f>_xlfn.XLOOKUP($B22,'PEW6'!$C$6:$C$101,'PEW6'!$B$6:$B$101,"")</f>
        <v/>
      </c>
      <c r="AC22" s="74">
        <f>_xlfn.XLOOKUP(AB22,'PEW6'!$B$6:$B$55,'PEW6'!$A$6:$A$55,0)</f>
        <v>0</v>
      </c>
      <c r="AD22" s="9" t="str">
        <f>_xlfn.XLOOKUP($B22,'PEW7'!$C$6:$C$101,'PEW7'!$B$6:$B$101,"")</f>
        <v/>
      </c>
      <c r="AE22" s="74">
        <f>_xlfn.XLOOKUP(AD22,'PEW7'!$B$6:$B$55,'PEW7'!$A$6:$A$55,0)</f>
        <v>0</v>
      </c>
      <c r="AF22" s="9" t="str">
        <f>_xlfn.XLOOKUP($B22,PS!$C$6:$C$101,PS!$B$6:$B$101,"")</f>
        <v/>
      </c>
      <c r="AG22" s="74">
        <f>_xlfn.XLOOKUP(AF22,PS!$B$6:$B$55,PS!$A$6:$A$55,0)</f>
        <v>0</v>
      </c>
      <c r="AH22" s="9" t="str" cm="1">
        <f t="array" ref="AH22">_xlfn.XLOOKUP($B22,IMEW!C$6:C$201,IMEW!$B$6:B$201,"")</f>
        <v/>
      </c>
      <c r="AI22" s="75">
        <f>_xlfn.XLOOKUP(AH22,IMEW!$B$6:$B$201,IMEW!$A$6:$A$201,0)</f>
        <v>0</v>
      </c>
    </row>
    <row r="23" spans="1:35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1:35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35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35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35" ht="65.400000000000006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35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35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35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35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35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</sheetData>
  <autoFilter ref="A5:AI5" xr:uid="{3A0A20B3-5AAD-4C6E-AC99-1ABF64677A16}">
    <sortState xmlns:xlrd2="http://schemas.microsoft.com/office/spreadsheetml/2017/richdata2" ref="A7:AI22">
      <sortCondition descending="1" ref="D5"/>
    </sortState>
  </autoFilter>
  <mergeCells count="21">
    <mergeCell ref="A4:A5"/>
    <mergeCell ref="B4:B5"/>
    <mergeCell ref="C4:C5"/>
    <mergeCell ref="D4:D5"/>
    <mergeCell ref="AD4:AE4"/>
    <mergeCell ref="K4:L4"/>
    <mergeCell ref="M4:N4"/>
    <mergeCell ref="X4:Y4"/>
    <mergeCell ref="Z4:AA4"/>
    <mergeCell ref="AB4:AC4"/>
    <mergeCell ref="R1:AI3"/>
    <mergeCell ref="AH4:AI4"/>
    <mergeCell ref="D1:P2"/>
    <mergeCell ref="O4:P4"/>
    <mergeCell ref="R4:S4"/>
    <mergeCell ref="E4:F4"/>
    <mergeCell ref="G4:H4"/>
    <mergeCell ref="T4:U4"/>
    <mergeCell ref="V4:W4"/>
    <mergeCell ref="I4:J4"/>
    <mergeCell ref="AF4:AG4"/>
  </mergeCells>
  <conditionalFormatting sqref="A6:A22">
    <cfRule type="cellIs" dxfId="15" priority="7" operator="equal">
      <formula>3</formula>
    </cfRule>
    <cfRule type="cellIs" dxfId="14" priority="8" operator="equal">
      <formula>2</formula>
    </cfRule>
    <cfRule type="cellIs" dxfId="13" priority="9" operator="equal">
      <formula>1</formula>
    </cfRule>
  </conditionalFormatting>
  <conditionalFormatting sqref="R6:AI22 D6:P22">
    <cfRule type="cellIs" dxfId="12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3F3D-AC78-40E9-88D2-0A5DA5177353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2.2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25</v>
      </c>
      <c r="I1" s="15" t="s">
        <v>26</v>
      </c>
      <c r="J1" s="15" t="s">
        <v>27</v>
      </c>
      <c r="K1" s="16" t="s">
        <v>28</v>
      </c>
      <c r="L1" s="17"/>
      <c r="M1" s="17"/>
    </row>
    <row r="2" spans="1:36" ht="14.45" customHeight="1" x14ac:dyDescent="0.25">
      <c r="A2" s="13"/>
      <c r="B2" s="19" t="s">
        <v>29</v>
      </c>
      <c r="C2" s="232" t="s">
        <v>99</v>
      </c>
      <c r="D2" s="232"/>
      <c r="E2" s="20"/>
      <c r="F2" s="20"/>
      <c r="G2" s="20"/>
      <c r="H2" s="21">
        <v>15</v>
      </c>
      <c r="I2" s="22">
        <v>50</v>
      </c>
      <c r="J2" s="22">
        <v>10</v>
      </c>
      <c r="K2" s="23">
        <f>3*H2^(1/3)</f>
        <v>7.3986362229914109</v>
      </c>
      <c r="L2" s="17"/>
      <c r="M2" s="17"/>
    </row>
    <row r="3" spans="1:36" ht="14.45" customHeight="1" x14ac:dyDescent="0.25">
      <c r="A3" s="13"/>
      <c r="B3" s="24" t="s">
        <v>31</v>
      </c>
      <c r="C3" s="210" t="s">
        <v>100</v>
      </c>
      <c r="D3" s="210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33</v>
      </c>
      <c r="B5" s="28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7"/>
      <c r="H5" s="29" t="s">
        <v>39</v>
      </c>
      <c r="I5" s="30" t="s">
        <v>40</v>
      </c>
      <c r="J5" s="31" t="s">
        <v>41</v>
      </c>
      <c r="K5" s="30" t="s">
        <v>42</v>
      </c>
      <c r="L5" s="30" t="s">
        <v>43</v>
      </c>
      <c r="M5" s="29" t="s">
        <v>44</v>
      </c>
    </row>
    <row r="6" spans="1:36" ht="14.45" customHeight="1" x14ac:dyDescent="0.25">
      <c r="A6" s="76">
        <f>M6</f>
        <v>112.19590866897423</v>
      </c>
      <c r="B6" s="33">
        <f t="shared" ref="B6:B65" si="0">IF(H6&gt;$H$2,"",(ROW()-5))</f>
        <v>1</v>
      </c>
      <c r="C6" s="34" t="s">
        <v>50</v>
      </c>
      <c r="D6" s="34"/>
      <c r="E6" s="34"/>
      <c r="F6" s="34"/>
      <c r="G6" s="27"/>
      <c r="H6" s="35">
        <v>1</v>
      </c>
      <c r="I6" s="36">
        <f t="shared" ref="I6:I69" si="1">IF(H6&lt;$H$2+1,($I$2-($I$2-1)*(LOG(H6)/LOG($H$2))),"")</f>
        <v>50</v>
      </c>
      <c r="J6" s="35">
        <f>INT(LOG($H$2,2))-ROUNDUP(LOG(H6,2),0)+IF(OR($H$2=1,$H$2=2,$H$2=4,$H$2=8,$H$2=16,$H$2=32,$H$2=64,$H$2=128,$H$2=256),0,1)</f>
        <v>4</v>
      </c>
      <c r="K6" s="35">
        <f t="shared" ref="K6:K69" si="2">J6*$J$2</f>
        <v>40</v>
      </c>
      <c r="L6" s="37">
        <f>3*K2</f>
        <v>22.195908668974234</v>
      </c>
      <c r="M6" s="37">
        <f t="shared" ref="M6:M69" si="3">IF(I6&lt;&gt;"",K6+I6+L6,0)</f>
        <v>112.19590866897423</v>
      </c>
    </row>
    <row r="7" spans="1:36" ht="14.45" customHeight="1" x14ac:dyDescent="0.25">
      <c r="A7" s="77">
        <f t="shared" ref="A7:A37" si="4">M7</f>
        <v>82.255329230301868</v>
      </c>
      <c r="B7" s="39">
        <f t="shared" si="0"/>
        <v>2</v>
      </c>
      <c r="C7" s="40" t="s">
        <v>50</v>
      </c>
      <c r="D7" s="40"/>
      <c r="E7" s="40"/>
      <c r="F7" s="40"/>
      <c r="G7" s="27"/>
      <c r="H7" s="41">
        <v>2</v>
      </c>
      <c r="I7" s="42">
        <f t="shared" si="1"/>
        <v>37.458056784319041</v>
      </c>
      <c r="J7" s="41">
        <f t="shared" ref="J7:J70" si="5">INT(LOG($H$2,2))-ROUNDUP(LOG(H7,2),0)+IF(OR($H$2=1,$H$2=2,$H$2=4,$H$2=8,$H$2=16,$H$2=32,$H$2=64,$H$2=128,$H$2=256),0,1)</f>
        <v>3</v>
      </c>
      <c r="K7" s="41">
        <f t="shared" si="2"/>
        <v>30</v>
      </c>
      <c r="L7" s="43">
        <f>2*K2</f>
        <v>14.797272445982822</v>
      </c>
      <c r="M7" s="43">
        <f t="shared" si="3"/>
        <v>82.255329230301868</v>
      </c>
    </row>
    <row r="8" spans="1:36" ht="14.45" customHeight="1" x14ac:dyDescent="0.25">
      <c r="A8" s="76">
        <f t="shared" si="4"/>
        <v>57.520126539962988</v>
      </c>
      <c r="B8" s="33">
        <f t="shared" si="0"/>
        <v>3</v>
      </c>
      <c r="C8" s="34" t="s">
        <v>18</v>
      </c>
      <c r="D8" s="34"/>
      <c r="E8" s="34"/>
      <c r="F8" s="34"/>
      <c r="G8" s="27"/>
      <c r="H8" s="35">
        <v>3</v>
      </c>
      <c r="I8" s="36">
        <f t="shared" si="1"/>
        <v>30.12149031697157</v>
      </c>
      <c r="J8" s="35">
        <f t="shared" si="5"/>
        <v>2</v>
      </c>
      <c r="K8" s="35">
        <f t="shared" si="2"/>
        <v>20</v>
      </c>
      <c r="L8" s="37">
        <f>K2</f>
        <v>7.3986362229914109</v>
      </c>
      <c r="M8" s="37">
        <f t="shared" si="3"/>
        <v>57.520126539962988</v>
      </c>
    </row>
    <row r="9" spans="1:36" s="82" customFormat="1" ht="14.45" customHeight="1" x14ac:dyDescent="0.25">
      <c r="A9" s="76">
        <f t="shared" si="4"/>
        <v>57.520126539962988</v>
      </c>
      <c r="B9" s="39">
        <f>IF(H9&gt;$H$2,"",3)</f>
        <v>3</v>
      </c>
      <c r="C9" s="40" t="s">
        <v>16</v>
      </c>
      <c r="D9" s="40"/>
      <c r="E9" s="40"/>
      <c r="F9" s="40"/>
      <c r="G9" s="27"/>
      <c r="H9" s="78">
        <v>3</v>
      </c>
      <c r="I9" s="79">
        <f t="shared" si="1"/>
        <v>30.12149031697157</v>
      </c>
      <c r="J9" s="78">
        <f t="shared" si="5"/>
        <v>2</v>
      </c>
      <c r="K9" s="78">
        <f t="shared" si="2"/>
        <v>20</v>
      </c>
      <c r="L9" s="80">
        <f>K2</f>
        <v>7.3986362229914109</v>
      </c>
      <c r="M9" s="80">
        <f t="shared" si="3"/>
        <v>57.520126539962988</v>
      </c>
      <c r="N9" s="81"/>
      <c r="O9" s="81"/>
      <c r="P9" s="81"/>
      <c r="Q9" s="81"/>
      <c r="R9" s="81"/>
      <c r="V9" s="83"/>
      <c r="Z9" s="84"/>
      <c r="AA9" s="84"/>
      <c r="AG9" s="85"/>
      <c r="AH9" s="82" t="s">
        <v>50</v>
      </c>
      <c r="AI9" s="82">
        <v>23</v>
      </c>
    </row>
    <row r="10" spans="1:36" ht="14.45" customHeight="1" x14ac:dyDescent="0.25">
      <c r="A10" s="76">
        <f t="shared" si="4"/>
        <v>30.878509683028433</v>
      </c>
      <c r="B10" s="33">
        <f t="shared" si="0"/>
        <v>5</v>
      </c>
      <c r="C10" s="34" t="s">
        <v>50</v>
      </c>
      <c r="D10" s="34"/>
      <c r="E10" s="34"/>
      <c r="F10" s="34"/>
      <c r="G10" s="27"/>
      <c r="H10" s="35">
        <v>5</v>
      </c>
      <c r="I10" s="36">
        <f t="shared" si="1"/>
        <v>20.878509683028433</v>
      </c>
      <c r="J10" s="35">
        <f t="shared" si="5"/>
        <v>1</v>
      </c>
      <c r="K10" s="35">
        <f t="shared" si="2"/>
        <v>10</v>
      </c>
      <c r="L10" s="35"/>
      <c r="M10" s="37">
        <f t="shared" si="3"/>
        <v>30.878509683028433</v>
      </c>
      <c r="V10" s="44"/>
      <c r="Z10" s="45"/>
      <c r="AA10" s="45"/>
      <c r="AG10" s="46"/>
      <c r="AH10" s="18" t="s">
        <v>52</v>
      </c>
      <c r="AI10" s="18">
        <v>45</v>
      </c>
    </row>
    <row r="11" spans="1:36" ht="14.45" customHeight="1" x14ac:dyDescent="0.25">
      <c r="A11" s="77">
        <f t="shared" si="4"/>
        <v>27.579547101290608</v>
      </c>
      <c r="B11" s="39">
        <f t="shared" si="0"/>
        <v>6</v>
      </c>
      <c r="C11" s="40" t="s">
        <v>50</v>
      </c>
      <c r="D11" s="40"/>
      <c r="E11" s="40"/>
      <c r="F11" s="40"/>
      <c r="G11" s="27"/>
      <c r="H11" s="41">
        <v>6</v>
      </c>
      <c r="I11" s="42">
        <f t="shared" si="1"/>
        <v>17.579547101290608</v>
      </c>
      <c r="J11" s="41">
        <f t="shared" si="5"/>
        <v>1</v>
      </c>
      <c r="K11" s="41">
        <f t="shared" si="2"/>
        <v>10</v>
      </c>
      <c r="L11" s="41"/>
      <c r="M11" s="43">
        <f t="shared" si="3"/>
        <v>27.579547101290608</v>
      </c>
      <c r="V11" s="47"/>
      <c r="Z11" s="45"/>
      <c r="AA11" s="45"/>
      <c r="AG11" s="46"/>
      <c r="AH11" s="18" t="s">
        <v>53</v>
      </c>
      <c r="AI11" s="18">
        <v>50</v>
      </c>
    </row>
    <row r="12" spans="1:36" ht="14.45" customHeight="1" x14ac:dyDescent="0.25">
      <c r="A12" s="76">
        <f t="shared" si="4"/>
        <v>24.790313981291092</v>
      </c>
      <c r="B12" s="33">
        <f t="shared" si="0"/>
        <v>7</v>
      </c>
      <c r="C12" s="34" t="s">
        <v>50</v>
      </c>
      <c r="D12" s="34"/>
      <c r="E12" s="34"/>
      <c r="F12" s="34"/>
      <c r="G12" s="27"/>
      <c r="H12" s="35">
        <v>7</v>
      </c>
      <c r="I12" s="36">
        <f t="shared" si="1"/>
        <v>14.790313981291092</v>
      </c>
      <c r="J12" s="35">
        <f t="shared" si="5"/>
        <v>1</v>
      </c>
      <c r="K12" s="35">
        <f t="shared" si="2"/>
        <v>10</v>
      </c>
      <c r="L12" s="35"/>
      <c r="M12" s="37">
        <f t="shared" si="3"/>
        <v>24.790313981291092</v>
      </c>
      <c r="Z12" s="45"/>
      <c r="AA12" s="45"/>
      <c r="AG12" s="46"/>
      <c r="AH12" s="18" t="s">
        <v>54</v>
      </c>
      <c r="AI12" s="18">
        <f>AI11-1</f>
        <v>49</v>
      </c>
    </row>
    <row r="13" spans="1:36" ht="14.45" customHeight="1" x14ac:dyDescent="0.25">
      <c r="A13" s="77">
        <f t="shared" si="4"/>
        <v>22.37417035295713</v>
      </c>
      <c r="B13" s="39">
        <f t="shared" si="0"/>
        <v>8</v>
      </c>
      <c r="C13" s="40" t="s">
        <v>50</v>
      </c>
      <c r="D13" s="40"/>
      <c r="E13" s="40"/>
      <c r="F13" s="40"/>
      <c r="G13" s="27"/>
      <c r="H13" s="41">
        <v>8</v>
      </c>
      <c r="I13" s="42">
        <f t="shared" si="1"/>
        <v>12.37417035295713</v>
      </c>
      <c r="J13" s="41">
        <f t="shared" si="5"/>
        <v>1</v>
      </c>
      <c r="K13" s="41">
        <f t="shared" si="2"/>
        <v>10</v>
      </c>
      <c r="L13" s="41"/>
      <c r="M13" s="43">
        <f t="shared" si="3"/>
        <v>22.37417035295713</v>
      </c>
      <c r="X13" s="44"/>
      <c r="AG13" s="46"/>
      <c r="AH13" s="18" t="s">
        <v>55</v>
      </c>
      <c r="AI13" s="18">
        <f>LOG(AI9)</f>
        <v>1.3617278360175928</v>
      </c>
    </row>
    <row r="14" spans="1:36" x14ac:dyDescent="0.25">
      <c r="A14" s="76">
        <f t="shared" si="4"/>
        <v>10.242980633943141</v>
      </c>
      <c r="B14" s="33">
        <f t="shared" si="0"/>
        <v>9</v>
      </c>
      <c r="C14" s="34" t="s">
        <v>50</v>
      </c>
      <c r="D14" s="34"/>
      <c r="E14" s="34"/>
      <c r="F14" s="34"/>
      <c r="G14" s="27"/>
      <c r="H14" s="35">
        <v>9</v>
      </c>
      <c r="I14" s="36">
        <f t="shared" si="1"/>
        <v>10.242980633943141</v>
      </c>
      <c r="J14" s="35">
        <f t="shared" si="5"/>
        <v>0</v>
      </c>
      <c r="K14" s="35">
        <f t="shared" si="2"/>
        <v>0</v>
      </c>
      <c r="L14" s="35"/>
      <c r="M14" s="37">
        <f t="shared" si="3"/>
        <v>10.242980633943141</v>
      </c>
      <c r="X14" s="50"/>
      <c r="Z14" s="45"/>
      <c r="AA14" s="45"/>
      <c r="AG14" s="46"/>
      <c r="AH14" s="18" t="s">
        <v>56</v>
      </c>
      <c r="AI14" s="18">
        <f>LOG(AI10)</f>
        <v>1.6532125137753437</v>
      </c>
    </row>
    <row r="15" spans="1:36" x14ac:dyDescent="0.25">
      <c r="A15" s="77">
        <f t="shared" si="4"/>
        <v>8.336566467347474</v>
      </c>
      <c r="B15" s="39">
        <f t="shared" si="0"/>
        <v>10</v>
      </c>
      <c r="C15" s="40" t="s">
        <v>50</v>
      </c>
      <c r="D15" s="40"/>
      <c r="E15" s="40"/>
      <c r="F15" s="40"/>
      <c r="G15" s="27"/>
      <c r="H15" s="41">
        <v>10</v>
      </c>
      <c r="I15" s="42">
        <f t="shared" si="1"/>
        <v>8.336566467347474</v>
      </c>
      <c r="J15" s="41">
        <f t="shared" si="5"/>
        <v>0</v>
      </c>
      <c r="K15" s="41">
        <f t="shared" si="2"/>
        <v>0</v>
      </c>
      <c r="L15" s="41"/>
      <c r="M15" s="43">
        <f t="shared" si="3"/>
        <v>8.336566467347474</v>
      </c>
      <c r="X15" s="44"/>
      <c r="Z15" s="45"/>
      <c r="AA15" s="45"/>
    </row>
    <row r="16" spans="1:36" x14ac:dyDescent="0.25">
      <c r="A16" s="76">
        <f t="shared" si="4"/>
        <v>6.6120050805197508</v>
      </c>
      <c r="B16" s="33">
        <f t="shared" si="0"/>
        <v>11</v>
      </c>
      <c r="C16" s="34" t="s">
        <v>50</v>
      </c>
      <c r="D16" s="34"/>
      <c r="E16" s="34"/>
      <c r="F16" s="34"/>
      <c r="G16" s="27"/>
      <c r="H16" s="35">
        <v>11</v>
      </c>
      <c r="I16" s="36">
        <f t="shared" si="1"/>
        <v>6.6120050805197508</v>
      </c>
      <c r="J16" s="35">
        <f t="shared" si="5"/>
        <v>0</v>
      </c>
      <c r="K16" s="35">
        <f t="shared" si="2"/>
        <v>0</v>
      </c>
      <c r="L16" s="35"/>
      <c r="M16" s="37">
        <f t="shared" si="3"/>
        <v>6.6120050805197508</v>
      </c>
      <c r="R16" s="51"/>
      <c r="Z16" s="45"/>
      <c r="AA16" s="45"/>
      <c r="AH16" s="52" t="s">
        <v>57</v>
      </c>
      <c r="AI16" s="18">
        <f>AI11-AI12*AI13/AI14</f>
        <v>9.6393909380186855</v>
      </c>
      <c r="AJ16" s="18" t="s">
        <v>58</v>
      </c>
    </row>
    <row r="17" spans="1:19" x14ac:dyDescent="0.25">
      <c r="A17" s="77">
        <f t="shared" si="4"/>
        <v>5.0376038856096557</v>
      </c>
      <c r="B17" s="39">
        <f t="shared" si="0"/>
        <v>12</v>
      </c>
      <c r="C17" s="40" t="s">
        <v>50</v>
      </c>
      <c r="D17" s="40"/>
      <c r="E17" s="40"/>
      <c r="F17" s="40"/>
      <c r="G17" s="27"/>
      <c r="H17" s="41">
        <v>12</v>
      </c>
      <c r="I17" s="42">
        <f t="shared" si="1"/>
        <v>5.0376038856096557</v>
      </c>
      <c r="J17" s="41">
        <f t="shared" si="5"/>
        <v>0</v>
      </c>
      <c r="K17" s="41">
        <f t="shared" si="2"/>
        <v>0</v>
      </c>
      <c r="L17" s="41"/>
      <c r="M17" s="43">
        <f t="shared" si="3"/>
        <v>5.0376038856096557</v>
      </c>
    </row>
    <row r="18" spans="1:19" x14ac:dyDescent="0.25">
      <c r="A18" s="76">
        <f t="shared" si="4"/>
        <v>3.5892951820239745</v>
      </c>
      <c r="B18" s="33">
        <f t="shared" si="0"/>
        <v>13</v>
      </c>
      <c r="C18" s="34" t="s">
        <v>50</v>
      </c>
      <c r="D18" s="34"/>
      <c r="E18" s="34"/>
      <c r="F18" s="34"/>
      <c r="G18" s="27"/>
      <c r="H18" s="35">
        <v>13</v>
      </c>
      <c r="I18" s="36">
        <f t="shared" si="1"/>
        <v>3.5892951820239745</v>
      </c>
      <c r="J18" s="35">
        <f t="shared" si="5"/>
        <v>0</v>
      </c>
      <c r="K18" s="35">
        <f t="shared" si="2"/>
        <v>0</v>
      </c>
      <c r="L18" s="35"/>
      <c r="M18" s="37">
        <f t="shared" si="3"/>
        <v>3.5892951820239745</v>
      </c>
    </row>
    <row r="19" spans="1:19" x14ac:dyDescent="0.25">
      <c r="A19" s="77">
        <f t="shared" si="4"/>
        <v>2.248370765610133</v>
      </c>
      <c r="B19" s="39">
        <f t="shared" si="0"/>
        <v>14</v>
      </c>
      <c r="C19" s="40" t="s">
        <v>50</v>
      </c>
      <c r="D19" s="40"/>
      <c r="E19" s="40"/>
      <c r="F19" s="40"/>
      <c r="G19" s="27"/>
      <c r="H19" s="41">
        <v>14</v>
      </c>
      <c r="I19" s="42">
        <f t="shared" si="1"/>
        <v>2.248370765610133</v>
      </c>
      <c r="J19" s="41">
        <f t="shared" si="5"/>
        <v>0</v>
      </c>
      <c r="K19" s="41">
        <f t="shared" si="2"/>
        <v>0</v>
      </c>
      <c r="L19" s="41"/>
      <c r="M19" s="43">
        <f t="shared" si="3"/>
        <v>2.248370765610133</v>
      </c>
    </row>
    <row r="20" spans="1:19" x14ac:dyDescent="0.25">
      <c r="A20" s="76">
        <f t="shared" si="4"/>
        <v>1</v>
      </c>
      <c r="B20" s="33">
        <f t="shared" si="0"/>
        <v>15</v>
      </c>
      <c r="C20" s="34" t="s">
        <v>50</v>
      </c>
      <c r="D20" s="34"/>
      <c r="E20" s="34"/>
      <c r="F20" s="34"/>
      <c r="G20" s="27"/>
      <c r="H20" s="35">
        <v>15</v>
      </c>
      <c r="I20" s="36">
        <f t="shared" si="1"/>
        <v>1</v>
      </c>
      <c r="J20" s="35">
        <f t="shared" si="5"/>
        <v>0</v>
      </c>
      <c r="K20" s="35">
        <f t="shared" si="2"/>
        <v>0</v>
      </c>
      <c r="L20" s="35"/>
      <c r="M20" s="37">
        <f t="shared" si="3"/>
        <v>1</v>
      </c>
      <c r="R20" s="53"/>
      <c r="S20" s="54"/>
    </row>
    <row r="21" spans="1:19" x14ac:dyDescent="0.25">
      <c r="A21" s="77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41">
        <v>16</v>
      </c>
      <c r="I21" s="42" t="str">
        <f t="shared" si="1"/>
        <v/>
      </c>
      <c r="J21" s="41">
        <f t="shared" si="5"/>
        <v>0</v>
      </c>
      <c r="K21" s="41">
        <f t="shared" si="2"/>
        <v>0</v>
      </c>
      <c r="L21" s="41"/>
      <c r="M21" s="43">
        <f t="shared" si="3"/>
        <v>0</v>
      </c>
    </row>
    <row r="22" spans="1:19" x14ac:dyDescent="0.25">
      <c r="A22" s="76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35">
        <v>17</v>
      </c>
      <c r="I22" s="36" t="str">
        <f t="shared" si="1"/>
        <v/>
      </c>
      <c r="J22" s="35">
        <f t="shared" si="5"/>
        <v>-1</v>
      </c>
      <c r="K22" s="35">
        <f t="shared" si="2"/>
        <v>-10</v>
      </c>
      <c r="L22" s="35"/>
      <c r="M22" s="37">
        <f t="shared" si="3"/>
        <v>0</v>
      </c>
    </row>
    <row r="23" spans="1:19" x14ac:dyDescent="0.25">
      <c r="A23" s="77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41">
        <v>18</v>
      </c>
      <c r="I23" s="42" t="str">
        <f t="shared" si="1"/>
        <v/>
      </c>
      <c r="J23" s="41">
        <f t="shared" si="5"/>
        <v>-1</v>
      </c>
      <c r="K23" s="41">
        <f t="shared" si="2"/>
        <v>-10</v>
      </c>
      <c r="L23" s="41"/>
      <c r="M23" s="43">
        <f t="shared" si="3"/>
        <v>0</v>
      </c>
    </row>
    <row r="24" spans="1:19" x14ac:dyDescent="0.25">
      <c r="A24" s="76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35">
        <v>19</v>
      </c>
      <c r="I24" s="36" t="str">
        <f t="shared" si="1"/>
        <v/>
      </c>
      <c r="J24" s="35">
        <f t="shared" si="5"/>
        <v>-1</v>
      </c>
      <c r="K24" s="35">
        <f t="shared" si="2"/>
        <v>-10</v>
      </c>
      <c r="L24" s="35"/>
      <c r="M24" s="37">
        <f t="shared" si="3"/>
        <v>0</v>
      </c>
      <c r="R24" s="53"/>
      <c r="S24" s="54"/>
    </row>
    <row r="25" spans="1:19" x14ac:dyDescent="0.25">
      <c r="A25" s="77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41">
        <v>20</v>
      </c>
      <c r="I25" s="42" t="str">
        <f t="shared" si="1"/>
        <v/>
      </c>
      <c r="J25" s="41">
        <f t="shared" si="5"/>
        <v>-1</v>
      </c>
      <c r="K25" s="41">
        <f t="shared" si="2"/>
        <v>-10</v>
      </c>
      <c r="L25" s="41"/>
      <c r="M25" s="43">
        <f t="shared" si="3"/>
        <v>0</v>
      </c>
    </row>
    <row r="26" spans="1:19" x14ac:dyDescent="0.25">
      <c r="A26" s="76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35">
        <v>21</v>
      </c>
      <c r="I26" s="36" t="str">
        <f t="shared" si="1"/>
        <v/>
      </c>
      <c r="J26" s="35">
        <f t="shared" si="5"/>
        <v>-1</v>
      </c>
      <c r="K26" s="35">
        <f t="shared" si="2"/>
        <v>-10</v>
      </c>
      <c r="L26" s="35"/>
      <c r="M26" s="37">
        <f t="shared" si="3"/>
        <v>0</v>
      </c>
    </row>
    <row r="27" spans="1:19" x14ac:dyDescent="0.25">
      <c r="A27" s="77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41">
        <v>22</v>
      </c>
      <c r="I27" s="42" t="str">
        <f t="shared" si="1"/>
        <v/>
      </c>
      <c r="J27" s="41">
        <f t="shared" si="5"/>
        <v>-1</v>
      </c>
      <c r="K27" s="41">
        <f t="shared" si="2"/>
        <v>-10</v>
      </c>
      <c r="L27" s="41"/>
      <c r="M27" s="43">
        <f t="shared" si="3"/>
        <v>0</v>
      </c>
    </row>
    <row r="28" spans="1:19" x14ac:dyDescent="0.25">
      <c r="A28" s="76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35">
        <v>23</v>
      </c>
      <c r="I28" s="36" t="str">
        <f t="shared" si="1"/>
        <v/>
      </c>
      <c r="J28" s="35">
        <f t="shared" si="5"/>
        <v>-1</v>
      </c>
      <c r="K28" s="35">
        <f t="shared" si="2"/>
        <v>-10</v>
      </c>
      <c r="L28" s="35"/>
      <c r="M28" s="37">
        <f t="shared" si="3"/>
        <v>0</v>
      </c>
      <c r="R28" s="53"/>
      <c r="S28" s="54"/>
    </row>
    <row r="29" spans="1:19" x14ac:dyDescent="0.25">
      <c r="A29" s="77">
        <f t="shared" si="4"/>
        <v>0</v>
      </c>
      <c r="B29" s="39" t="str">
        <f t="shared" si="0"/>
        <v/>
      </c>
      <c r="C29" s="40"/>
      <c r="D29" s="40"/>
      <c r="E29" s="40"/>
      <c r="F29" s="40"/>
      <c r="G29" s="13"/>
      <c r="H29" s="41">
        <v>24</v>
      </c>
      <c r="I29" s="42" t="str">
        <f t="shared" si="1"/>
        <v/>
      </c>
      <c r="J29" s="41">
        <f t="shared" si="5"/>
        <v>-1</v>
      </c>
      <c r="K29" s="41">
        <f t="shared" si="2"/>
        <v>-10</v>
      </c>
      <c r="L29" s="41"/>
      <c r="M29" s="43">
        <f t="shared" si="3"/>
        <v>0</v>
      </c>
    </row>
    <row r="30" spans="1:19" x14ac:dyDescent="0.25">
      <c r="A30" s="76">
        <f t="shared" si="4"/>
        <v>0</v>
      </c>
      <c r="B30" s="33" t="str">
        <f t="shared" si="0"/>
        <v/>
      </c>
      <c r="C30" s="34"/>
      <c r="D30" s="34"/>
      <c r="E30" s="34"/>
      <c r="F30" s="34"/>
      <c r="G30" s="13"/>
      <c r="H30" s="35">
        <v>25</v>
      </c>
      <c r="I30" s="36" t="str">
        <f t="shared" si="1"/>
        <v/>
      </c>
      <c r="J30" s="35">
        <f t="shared" si="5"/>
        <v>-1</v>
      </c>
      <c r="K30" s="35">
        <f t="shared" si="2"/>
        <v>-10</v>
      </c>
      <c r="L30" s="35"/>
      <c r="M30" s="37">
        <f t="shared" si="3"/>
        <v>0</v>
      </c>
    </row>
    <row r="31" spans="1:19" x14ac:dyDescent="0.25">
      <c r="A31" s="77">
        <f t="shared" si="4"/>
        <v>0</v>
      </c>
      <c r="B31" s="39" t="str">
        <f t="shared" si="0"/>
        <v/>
      </c>
      <c r="C31" s="40"/>
      <c r="D31" s="40"/>
      <c r="E31" s="40"/>
      <c r="F31" s="40"/>
      <c r="G31" s="13"/>
      <c r="H31" s="41">
        <v>26</v>
      </c>
      <c r="I31" s="42" t="str">
        <f t="shared" si="1"/>
        <v/>
      </c>
      <c r="J31" s="41">
        <f t="shared" si="5"/>
        <v>-1</v>
      </c>
      <c r="K31" s="41">
        <f t="shared" si="2"/>
        <v>-10</v>
      </c>
      <c r="L31" s="41"/>
      <c r="M31" s="43">
        <f t="shared" si="3"/>
        <v>0</v>
      </c>
    </row>
    <row r="32" spans="1:19" x14ac:dyDescent="0.25">
      <c r="A32" s="76">
        <f t="shared" si="4"/>
        <v>0</v>
      </c>
      <c r="B32" s="33" t="str">
        <f t="shared" si="0"/>
        <v/>
      </c>
      <c r="C32" s="34"/>
      <c r="D32" s="34"/>
      <c r="E32" s="34"/>
      <c r="F32" s="34"/>
      <c r="G32" s="13"/>
      <c r="H32" s="35">
        <v>27</v>
      </c>
      <c r="I32" s="36" t="str">
        <f t="shared" si="1"/>
        <v/>
      </c>
      <c r="J32" s="35">
        <f t="shared" si="5"/>
        <v>-1</v>
      </c>
      <c r="K32" s="35">
        <f t="shared" si="2"/>
        <v>-10</v>
      </c>
      <c r="L32" s="35"/>
      <c r="M32" s="37">
        <f t="shared" si="3"/>
        <v>0</v>
      </c>
      <c r="R32" s="53"/>
      <c r="S32" s="54"/>
    </row>
    <row r="33" spans="1:21" x14ac:dyDescent="0.25">
      <c r="A33" s="77">
        <f t="shared" si="4"/>
        <v>0</v>
      </c>
      <c r="B33" s="39" t="str">
        <f t="shared" si="0"/>
        <v/>
      </c>
      <c r="C33" s="40"/>
      <c r="D33" s="40"/>
      <c r="E33" s="40"/>
      <c r="F33" s="40"/>
      <c r="G33" s="13"/>
      <c r="H33" s="41">
        <v>28</v>
      </c>
      <c r="I33" s="42" t="str">
        <f t="shared" si="1"/>
        <v/>
      </c>
      <c r="J33" s="41">
        <f t="shared" si="5"/>
        <v>-1</v>
      </c>
      <c r="K33" s="41">
        <f t="shared" si="2"/>
        <v>-10</v>
      </c>
      <c r="L33" s="41"/>
      <c r="M33" s="43">
        <f t="shared" si="3"/>
        <v>0</v>
      </c>
    </row>
    <row r="34" spans="1:21" x14ac:dyDescent="0.25">
      <c r="A34" s="76">
        <f t="shared" si="4"/>
        <v>0</v>
      </c>
      <c r="B34" s="33" t="str">
        <f t="shared" si="0"/>
        <v/>
      </c>
      <c r="C34" s="34"/>
      <c r="D34" s="34"/>
      <c r="E34" s="34"/>
      <c r="F34" s="34"/>
      <c r="G34" s="13"/>
      <c r="H34" s="35">
        <v>29</v>
      </c>
      <c r="I34" s="36" t="str">
        <f t="shared" si="1"/>
        <v/>
      </c>
      <c r="J34" s="35">
        <f t="shared" si="5"/>
        <v>-1</v>
      </c>
      <c r="K34" s="35">
        <f t="shared" si="2"/>
        <v>-10</v>
      </c>
      <c r="L34" s="35"/>
      <c r="M34" s="37">
        <f t="shared" si="3"/>
        <v>0</v>
      </c>
    </row>
    <row r="35" spans="1:21" x14ac:dyDescent="0.25">
      <c r="A35" s="77">
        <f t="shared" si="4"/>
        <v>0</v>
      </c>
      <c r="B35" s="39" t="str">
        <f t="shared" si="0"/>
        <v/>
      </c>
      <c r="C35" s="40"/>
      <c r="D35" s="40"/>
      <c r="E35" s="40"/>
      <c r="F35" s="40"/>
      <c r="G35" s="13"/>
      <c r="H35" s="41">
        <v>30</v>
      </c>
      <c r="I35" s="42" t="str">
        <f t="shared" si="1"/>
        <v/>
      </c>
      <c r="J35" s="41">
        <f t="shared" si="5"/>
        <v>-1</v>
      </c>
      <c r="K35" s="41">
        <f t="shared" si="2"/>
        <v>-10</v>
      </c>
      <c r="L35" s="41"/>
      <c r="M35" s="43">
        <f t="shared" si="3"/>
        <v>0</v>
      </c>
    </row>
    <row r="36" spans="1:21" x14ac:dyDescent="0.25">
      <c r="A36" s="76">
        <f t="shared" si="4"/>
        <v>0</v>
      </c>
      <c r="B36" s="33" t="str">
        <f t="shared" si="0"/>
        <v/>
      </c>
      <c r="C36" s="34"/>
      <c r="D36" s="34"/>
      <c r="E36" s="34"/>
      <c r="F36" s="34"/>
      <c r="G36" s="13"/>
      <c r="H36" s="35">
        <v>31</v>
      </c>
      <c r="I36" s="36" t="str">
        <f t="shared" si="1"/>
        <v/>
      </c>
      <c r="J36" s="35">
        <f t="shared" si="5"/>
        <v>-1</v>
      </c>
      <c r="K36" s="35">
        <f t="shared" si="2"/>
        <v>-10</v>
      </c>
      <c r="L36" s="35"/>
      <c r="M36" s="37">
        <f t="shared" si="3"/>
        <v>0</v>
      </c>
      <c r="R36" s="53"/>
      <c r="S36" s="54"/>
    </row>
    <row r="37" spans="1:21" x14ac:dyDescent="0.25">
      <c r="A37" s="77">
        <f t="shared" si="4"/>
        <v>0</v>
      </c>
      <c r="B37" s="39" t="str">
        <f t="shared" si="0"/>
        <v/>
      </c>
      <c r="C37" s="40"/>
      <c r="D37" s="40"/>
      <c r="E37" s="40"/>
      <c r="F37" s="40"/>
      <c r="G37" s="13"/>
      <c r="H37" s="41">
        <v>32</v>
      </c>
      <c r="I37" s="42" t="str">
        <f t="shared" si="1"/>
        <v/>
      </c>
      <c r="J37" s="41">
        <f t="shared" si="5"/>
        <v>-1</v>
      </c>
      <c r="K37" s="41">
        <f t="shared" si="2"/>
        <v>-10</v>
      </c>
      <c r="L37" s="41"/>
      <c r="M37" s="43">
        <f t="shared" si="3"/>
        <v>0</v>
      </c>
    </row>
    <row r="38" spans="1:21" x14ac:dyDescent="0.25">
      <c r="A38" s="76"/>
      <c r="B38" s="33" t="str">
        <f t="shared" si="0"/>
        <v/>
      </c>
      <c r="C38" s="34"/>
      <c r="D38" s="34"/>
      <c r="E38" s="34"/>
      <c r="F38" s="34"/>
      <c r="G38" s="13"/>
      <c r="H38" s="35">
        <v>33</v>
      </c>
      <c r="I38" s="36" t="str">
        <f t="shared" si="1"/>
        <v/>
      </c>
      <c r="J38" s="35">
        <f t="shared" si="5"/>
        <v>-2</v>
      </c>
      <c r="K38" s="35">
        <f t="shared" si="2"/>
        <v>-20</v>
      </c>
      <c r="L38" s="35"/>
      <c r="M38" s="37">
        <f t="shared" si="3"/>
        <v>0</v>
      </c>
    </row>
    <row r="39" spans="1:21" x14ac:dyDescent="0.25">
      <c r="A39" s="77"/>
      <c r="B39" s="39" t="str">
        <f t="shared" si="0"/>
        <v/>
      </c>
      <c r="C39" s="40"/>
      <c r="D39" s="40"/>
      <c r="E39" s="40"/>
      <c r="F39" s="40"/>
      <c r="G39" s="13"/>
      <c r="H39" s="41">
        <v>34</v>
      </c>
      <c r="I39" s="42" t="str">
        <f t="shared" si="1"/>
        <v/>
      </c>
      <c r="J39" s="41">
        <f t="shared" si="5"/>
        <v>-2</v>
      </c>
      <c r="K39" s="41">
        <f t="shared" si="2"/>
        <v>-20</v>
      </c>
      <c r="L39" s="41"/>
      <c r="M39" s="43">
        <f t="shared" si="3"/>
        <v>0</v>
      </c>
    </row>
    <row r="40" spans="1:21" x14ac:dyDescent="0.25">
      <c r="A40" s="76"/>
      <c r="B40" s="33" t="str">
        <f t="shared" si="0"/>
        <v/>
      </c>
      <c r="C40" s="34"/>
      <c r="D40" s="34"/>
      <c r="E40" s="34"/>
      <c r="F40" s="34"/>
      <c r="G40" s="13"/>
      <c r="H40" s="35">
        <v>35</v>
      </c>
      <c r="I40" s="36" t="str">
        <f t="shared" si="1"/>
        <v/>
      </c>
      <c r="J40" s="35">
        <f t="shared" si="5"/>
        <v>-2</v>
      </c>
      <c r="K40" s="35">
        <f t="shared" si="2"/>
        <v>-20</v>
      </c>
      <c r="L40" s="35"/>
      <c r="M40" s="37">
        <f t="shared" si="3"/>
        <v>0</v>
      </c>
    </row>
    <row r="41" spans="1:21" x14ac:dyDescent="0.25">
      <c r="A41" s="77"/>
      <c r="B41" s="39" t="str">
        <f t="shared" si="0"/>
        <v/>
      </c>
      <c r="C41" s="40"/>
      <c r="D41" s="40"/>
      <c r="E41" s="40"/>
      <c r="F41" s="40"/>
      <c r="G41" s="13"/>
      <c r="H41" s="41">
        <v>36</v>
      </c>
      <c r="I41" s="42" t="str">
        <f t="shared" si="1"/>
        <v/>
      </c>
      <c r="J41" s="41">
        <f t="shared" si="5"/>
        <v>-2</v>
      </c>
      <c r="K41" s="41">
        <f t="shared" si="2"/>
        <v>-20</v>
      </c>
      <c r="L41" s="41"/>
      <c r="M41" s="43">
        <f t="shared" si="3"/>
        <v>0</v>
      </c>
      <c r="S41" s="55"/>
    </row>
    <row r="42" spans="1:21" x14ac:dyDescent="0.25">
      <c r="A42" s="76"/>
      <c r="B42" s="33" t="str">
        <f t="shared" si="0"/>
        <v/>
      </c>
      <c r="C42" s="34"/>
      <c r="D42" s="34"/>
      <c r="E42" s="34"/>
      <c r="F42" s="34"/>
      <c r="G42" s="13"/>
      <c r="H42" s="35">
        <v>37</v>
      </c>
      <c r="I42" s="36" t="str">
        <f t="shared" si="1"/>
        <v/>
      </c>
      <c r="J42" s="35">
        <f t="shared" si="5"/>
        <v>-2</v>
      </c>
      <c r="K42" s="35">
        <f t="shared" si="2"/>
        <v>-20</v>
      </c>
      <c r="L42" s="35"/>
      <c r="M42" s="37">
        <f t="shared" si="3"/>
        <v>0</v>
      </c>
    </row>
    <row r="43" spans="1:21" x14ac:dyDescent="0.25">
      <c r="A43" s="77"/>
      <c r="B43" s="39" t="str">
        <f t="shared" si="0"/>
        <v/>
      </c>
      <c r="C43" s="40"/>
      <c r="D43" s="40"/>
      <c r="E43" s="40"/>
      <c r="F43" s="40"/>
      <c r="G43" s="13"/>
      <c r="H43" s="41">
        <v>38</v>
      </c>
      <c r="I43" s="42" t="str">
        <f t="shared" si="1"/>
        <v/>
      </c>
      <c r="J43" s="41">
        <f t="shared" si="5"/>
        <v>-2</v>
      </c>
      <c r="K43" s="41">
        <f t="shared" si="2"/>
        <v>-20</v>
      </c>
      <c r="L43" s="41"/>
      <c r="M43" s="43">
        <f t="shared" si="3"/>
        <v>0</v>
      </c>
    </row>
    <row r="44" spans="1:21" x14ac:dyDescent="0.25">
      <c r="A44" s="76"/>
      <c r="B44" s="33" t="str">
        <f t="shared" si="0"/>
        <v/>
      </c>
      <c r="C44" s="34"/>
      <c r="D44" s="34"/>
      <c r="E44" s="34"/>
      <c r="F44" s="34"/>
      <c r="G44" s="13"/>
      <c r="H44" s="35">
        <v>39</v>
      </c>
      <c r="I44" s="36" t="str">
        <f t="shared" si="1"/>
        <v/>
      </c>
      <c r="J44" s="35">
        <f t="shared" si="5"/>
        <v>-2</v>
      </c>
      <c r="K44" s="35">
        <f t="shared" si="2"/>
        <v>-20</v>
      </c>
      <c r="L44" s="35"/>
      <c r="M44" s="37">
        <f t="shared" si="3"/>
        <v>0</v>
      </c>
    </row>
    <row r="45" spans="1:21" x14ac:dyDescent="0.25">
      <c r="A45" s="77"/>
      <c r="B45" s="39" t="str">
        <f t="shared" si="0"/>
        <v/>
      </c>
      <c r="C45" s="40"/>
      <c r="D45" s="40"/>
      <c r="E45" s="40"/>
      <c r="F45" s="40"/>
      <c r="G45" s="13"/>
      <c r="H45" s="41">
        <v>40</v>
      </c>
      <c r="I45" s="42" t="str">
        <f t="shared" si="1"/>
        <v/>
      </c>
      <c r="J45" s="41">
        <f t="shared" si="5"/>
        <v>-2</v>
      </c>
      <c r="K45" s="41">
        <f t="shared" si="2"/>
        <v>-20</v>
      </c>
      <c r="L45" s="41"/>
      <c r="M45" s="43">
        <f t="shared" si="3"/>
        <v>0</v>
      </c>
    </row>
    <row r="46" spans="1:21" x14ac:dyDescent="0.25">
      <c r="A46" s="76"/>
      <c r="B46" s="33" t="str">
        <f t="shared" si="0"/>
        <v/>
      </c>
      <c r="C46" s="34"/>
      <c r="D46" s="34"/>
      <c r="E46" s="34"/>
      <c r="F46" s="34"/>
      <c r="G46" s="13"/>
      <c r="H46" s="35">
        <v>41</v>
      </c>
      <c r="I46" s="36" t="str">
        <f t="shared" si="1"/>
        <v/>
      </c>
      <c r="J46" s="35">
        <f t="shared" si="5"/>
        <v>-2</v>
      </c>
      <c r="K46" s="35">
        <f t="shared" si="2"/>
        <v>-20</v>
      </c>
      <c r="L46" s="35"/>
      <c r="M46" s="37">
        <f t="shared" si="3"/>
        <v>0</v>
      </c>
      <c r="R46" s="13">
        <f>LOG($H$2,2)</f>
        <v>3.9068905956085187</v>
      </c>
      <c r="T46" s="18">
        <f>LOG(H38,2)</f>
        <v>5.0443941193584534</v>
      </c>
      <c r="U46" s="18">
        <f>R46-T46</f>
        <v>-1.1375035237499347</v>
      </c>
    </row>
    <row r="47" spans="1:21" x14ac:dyDescent="0.25">
      <c r="A47" s="77"/>
      <c r="B47" s="39" t="str">
        <f t="shared" si="0"/>
        <v/>
      </c>
      <c r="C47" s="40"/>
      <c r="D47" s="40"/>
      <c r="E47" s="40"/>
      <c r="F47" s="40"/>
      <c r="G47" s="13"/>
      <c r="H47" s="41">
        <v>42</v>
      </c>
      <c r="I47" s="42" t="str">
        <f t="shared" si="1"/>
        <v/>
      </c>
      <c r="J47" s="41">
        <f t="shared" si="5"/>
        <v>-2</v>
      </c>
      <c r="K47" s="41">
        <f t="shared" si="2"/>
        <v>-20</v>
      </c>
      <c r="L47" s="41"/>
      <c r="M47" s="43">
        <f t="shared" si="3"/>
        <v>0</v>
      </c>
    </row>
    <row r="48" spans="1:21" x14ac:dyDescent="0.25">
      <c r="A48" s="76"/>
      <c r="B48" s="33" t="str">
        <f t="shared" si="0"/>
        <v/>
      </c>
      <c r="C48" s="34"/>
      <c r="D48" s="34"/>
      <c r="E48" s="34"/>
      <c r="F48" s="34"/>
      <c r="G48" s="13"/>
      <c r="H48" s="35">
        <v>43</v>
      </c>
      <c r="I48" s="36" t="str">
        <f t="shared" si="1"/>
        <v/>
      </c>
      <c r="J48" s="35">
        <f t="shared" si="5"/>
        <v>-2</v>
      </c>
      <c r="K48" s="35">
        <f t="shared" si="2"/>
        <v>-20</v>
      </c>
      <c r="L48" s="35"/>
      <c r="M48" s="37">
        <f t="shared" si="3"/>
        <v>0</v>
      </c>
    </row>
    <row r="49" spans="1:13" x14ac:dyDescent="0.25">
      <c r="A49" s="77"/>
      <c r="B49" s="39" t="str">
        <f t="shared" si="0"/>
        <v/>
      </c>
      <c r="C49" s="40"/>
      <c r="D49" s="40"/>
      <c r="E49" s="40"/>
      <c r="F49" s="40"/>
      <c r="G49" s="13"/>
      <c r="H49" s="41">
        <v>44</v>
      </c>
      <c r="I49" s="42" t="str">
        <f t="shared" si="1"/>
        <v/>
      </c>
      <c r="J49" s="41">
        <f t="shared" si="5"/>
        <v>-2</v>
      </c>
      <c r="K49" s="41">
        <f t="shared" si="2"/>
        <v>-20</v>
      </c>
      <c r="L49" s="41"/>
      <c r="M49" s="43">
        <f t="shared" si="3"/>
        <v>0</v>
      </c>
    </row>
    <row r="50" spans="1:13" x14ac:dyDescent="0.25">
      <c r="A50" s="76"/>
      <c r="B50" s="33" t="str">
        <f t="shared" si="0"/>
        <v/>
      </c>
      <c r="C50" s="34"/>
      <c r="D50" s="34"/>
      <c r="E50" s="34"/>
      <c r="F50" s="34"/>
      <c r="G50" s="13"/>
      <c r="H50" s="35">
        <v>45</v>
      </c>
      <c r="I50" s="36" t="str">
        <f t="shared" si="1"/>
        <v/>
      </c>
      <c r="J50" s="35">
        <f t="shared" si="5"/>
        <v>-2</v>
      </c>
      <c r="K50" s="35">
        <f t="shared" si="2"/>
        <v>-20</v>
      </c>
      <c r="L50" s="35"/>
      <c r="M50" s="37">
        <f t="shared" si="3"/>
        <v>0</v>
      </c>
    </row>
    <row r="51" spans="1:13" x14ac:dyDescent="0.25">
      <c r="A51" s="77"/>
      <c r="B51" s="39" t="str">
        <f t="shared" si="0"/>
        <v/>
      </c>
      <c r="C51" s="40"/>
      <c r="D51" s="40"/>
      <c r="E51" s="40"/>
      <c r="F51" s="40"/>
      <c r="G51" s="13"/>
      <c r="H51" s="41">
        <v>46</v>
      </c>
      <c r="I51" s="42" t="str">
        <f t="shared" si="1"/>
        <v/>
      </c>
      <c r="J51" s="41">
        <f t="shared" si="5"/>
        <v>-2</v>
      </c>
      <c r="K51" s="41">
        <f t="shared" si="2"/>
        <v>-20</v>
      </c>
      <c r="L51" s="41"/>
      <c r="M51" s="43">
        <f t="shared" si="3"/>
        <v>0</v>
      </c>
    </row>
    <row r="52" spans="1:13" x14ac:dyDescent="0.25">
      <c r="A52" s="76"/>
      <c r="B52" s="33" t="str">
        <f t="shared" si="0"/>
        <v/>
      </c>
      <c r="C52" s="34"/>
      <c r="D52" s="34"/>
      <c r="E52" s="34"/>
      <c r="F52" s="34"/>
      <c r="G52" s="13"/>
      <c r="H52" s="35">
        <v>47</v>
      </c>
      <c r="I52" s="36" t="str">
        <f t="shared" si="1"/>
        <v/>
      </c>
      <c r="J52" s="35">
        <f t="shared" si="5"/>
        <v>-2</v>
      </c>
      <c r="K52" s="35">
        <f t="shared" si="2"/>
        <v>-20</v>
      </c>
      <c r="L52" s="35"/>
      <c r="M52" s="37">
        <f t="shared" si="3"/>
        <v>0</v>
      </c>
    </row>
    <row r="53" spans="1:13" x14ac:dyDescent="0.25">
      <c r="A53" s="77"/>
      <c r="B53" s="39" t="str">
        <f t="shared" si="0"/>
        <v/>
      </c>
      <c r="C53" s="40"/>
      <c r="D53" s="40"/>
      <c r="E53" s="40"/>
      <c r="F53" s="40"/>
      <c r="G53" s="13"/>
      <c r="H53" s="41">
        <v>48</v>
      </c>
      <c r="I53" s="42" t="str">
        <f t="shared" si="1"/>
        <v/>
      </c>
      <c r="J53" s="41">
        <f t="shared" si="5"/>
        <v>-2</v>
      </c>
      <c r="K53" s="41">
        <f t="shared" si="2"/>
        <v>-20</v>
      </c>
      <c r="L53" s="41"/>
      <c r="M53" s="43">
        <f t="shared" si="3"/>
        <v>0</v>
      </c>
    </row>
    <row r="54" spans="1:13" x14ac:dyDescent="0.25">
      <c r="A54" s="76"/>
      <c r="B54" s="33" t="str">
        <f t="shared" si="0"/>
        <v/>
      </c>
      <c r="C54" s="34"/>
      <c r="D54" s="34"/>
      <c r="E54" s="34"/>
      <c r="F54" s="34"/>
      <c r="G54" s="13"/>
      <c r="H54" s="35">
        <v>49</v>
      </c>
      <c r="I54" s="36" t="str">
        <f t="shared" si="1"/>
        <v/>
      </c>
      <c r="J54" s="35">
        <f t="shared" si="5"/>
        <v>-2</v>
      </c>
      <c r="K54" s="35">
        <f t="shared" si="2"/>
        <v>-20</v>
      </c>
      <c r="L54" s="35"/>
      <c r="M54" s="37">
        <f t="shared" si="3"/>
        <v>0</v>
      </c>
    </row>
    <row r="55" spans="1:13" x14ac:dyDescent="0.25">
      <c r="A55" s="77"/>
      <c r="B55" s="39" t="str">
        <f t="shared" si="0"/>
        <v/>
      </c>
      <c r="C55" s="40"/>
      <c r="D55" s="40"/>
      <c r="E55" s="40"/>
      <c r="F55" s="40"/>
      <c r="G55" s="13"/>
      <c r="H55" s="41">
        <v>50</v>
      </c>
      <c r="I55" s="42" t="str">
        <f t="shared" si="1"/>
        <v/>
      </c>
      <c r="J55" s="41">
        <f t="shared" si="5"/>
        <v>-2</v>
      </c>
      <c r="K55" s="41">
        <f t="shared" si="2"/>
        <v>-20</v>
      </c>
      <c r="L55" s="41"/>
      <c r="M55" s="43">
        <f t="shared" si="3"/>
        <v>0</v>
      </c>
    </row>
    <row r="56" spans="1:13" x14ac:dyDescent="0.25">
      <c r="A56" s="76"/>
      <c r="B56" s="33" t="str">
        <f t="shared" si="0"/>
        <v/>
      </c>
      <c r="C56" s="34"/>
      <c r="D56" s="34"/>
      <c r="E56" s="34"/>
      <c r="F56" s="34"/>
      <c r="G56" s="13"/>
      <c r="H56" s="35">
        <v>51</v>
      </c>
      <c r="I56" s="36" t="str">
        <f t="shared" si="1"/>
        <v/>
      </c>
      <c r="J56" s="35">
        <f t="shared" si="5"/>
        <v>-2</v>
      </c>
      <c r="K56" s="35">
        <f t="shared" si="2"/>
        <v>-20</v>
      </c>
      <c r="L56" s="35"/>
      <c r="M56" s="37">
        <f t="shared" si="3"/>
        <v>0</v>
      </c>
    </row>
    <row r="57" spans="1:13" x14ac:dyDescent="0.25">
      <c r="A57" s="77"/>
      <c r="B57" s="39" t="str">
        <f t="shared" si="0"/>
        <v/>
      </c>
      <c r="C57" s="40"/>
      <c r="D57" s="40"/>
      <c r="E57" s="40"/>
      <c r="F57" s="40"/>
      <c r="G57" s="13"/>
      <c r="H57" s="41">
        <v>52</v>
      </c>
      <c r="I57" s="42" t="str">
        <f t="shared" si="1"/>
        <v/>
      </c>
      <c r="J57" s="41">
        <f t="shared" si="5"/>
        <v>-2</v>
      </c>
      <c r="K57" s="41">
        <f t="shared" si="2"/>
        <v>-20</v>
      </c>
      <c r="L57" s="41"/>
      <c r="M57" s="43">
        <f t="shared" si="3"/>
        <v>0</v>
      </c>
    </row>
    <row r="58" spans="1:13" x14ac:dyDescent="0.25">
      <c r="A58" s="76"/>
      <c r="B58" s="33" t="str">
        <f t="shared" si="0"/>
        <v/>
      </c>
      <c r="C58" s="34"/>
      <c r="D58" s="34"/>
      <c r="E58" s="34"/>
      <c r="F58" s="34"/>
      <c r="G58" s="13"/>
      <c r="H58" s="35">
        <v>53</v>
      </c>
      <c r="I58" s="36" t="str">
        <f t="shared" si="1"/>
        <v/>
      </c>
      <c r="J58" s="35">
        <f t="shared" si="5"/>
        <v>-2</v>
      </c>
      <c r="K58" s="35">
        <f t="shared" si="2"/>
        <v>-20</v>
      </c>
      <c r="L58" s="35"/>
      <c r="M58" s="37">
        <f t="shared" si="3"/>
        <v>0</v>
      </c>
    </row>
    <row r="59" spans="1:13" x14ac:dyDescent="0.25">
      <c r="A59" s="77"/>
      <c r="B59" s="39" t="str">
        <f t="shared" si="0"/>
        <v/>
      </c>
      <c r="C59" s="40"/>
      <c r="D59" s="40"/>
      <c r="E59" s="40"/>
      <c r="F59" s="40"/>
      <c r="G59" s="13"/>
      <c r="H59" s="41">
        <v>54</v>
      </c>
      <c r="I59" s="42" t="str">
        <f t="shared" si="1"/>
        <v/>
      </c>
      <c r="J59" s="41">
        <f t="shared" si="5"/>
        <v>-2</v>
      </c>
      <c r="K59" s="41">
        <f t="shared" si="2"/>
        <v>-20</v>
      </c>
      <c r="L59" s="41"/>
      <c r="M59" s="43">
        <f t="shared" si="3"/>
        <v>0</v>
      </c>
    </row>
    <row r="60" spans="1:13" x14ac:dyDescent="0.25">
      <c r="A60" s="76"/>
      <c r="B60" s="33" t="str">
        <f t="shared" si="0"/>
        <v/>
      </c>
      <c r="C60" s="34"/>
      <c r="D60" s="34"/>
      <c r="E60" s="34"/>
      <c r="F60" s="34"/>
      <c r="G60" s="13"/>
      <c r="H60" s="35">
        <v>55</v>
      </c>
      <c r="I60" s="36" t="str">
        <f t="shared" si="1"/>
        <v/>
      </c>
      <c r="J60" s="35">
        <f t="shared" si="5"/>
        <v>-2</v>
      </c>
      <c r="K60" s="35">
        <f t="shared" si="2"/>
        <v>-20</v>
      </c>
      <c r="L60" s="35"/>
      <c r="M60" s="37">
        <f t="shared" si="3"/>
        <v>0</v>
      </c>
    </row>
    <row r="61" spans="1:13" x14ac:dyDescent="0.25">
      <c r="A61" s="77"/>
      <c r="B61" s="39" t="str">
        <f t="shared" si="0"/>
        <v/>
      </c>
      <c r="C61" s="40"/>
      <c r="D61" s="40"/>
      <c r="E61" s="40"/>
      <c r="F61" s="40"/>
      <c r="G61" s="13"/>
      <c r="H61" s="41">
        <v>56</v>
      </c>
      <c r="I61" s="42" t="str">
        <f t="shared" si="1"/>
        <v/>
      </c>
      <c r="J61" s="41">
        <f t="shared" si="5"/>
        <v>-2</v>
      </c>
      <c r="K61" s="41">
        <f t="shared" si="2"/>
        <v>-20</v>
      </c>
      <c r="L61" s="41"/>
      <c r="M61" s="43">
        <f t="shared" si="3"/>
        <v>0</v>
      </c>
    </row>
    <row r="62" spans="1:13" x14ac:dyDescent="0.25">
      <c r="A62" s="76"/>
      <c r="B62" s="33" t="str">
        <f t="shared" si="0"/>
        <v/>
      </c>
      <c r="C62" s="34"/>
      <c r="D62" s="34"/>
      <c r="E62" s="34"/>
      <c r="F62" s="34"/>
      <c r="G62" s="13"/>
      <c r="H62" s="35">
        <v>57</v>
      </c>
      <c r="I62" s="36" t="str">
        <f t="shared" si="1"/>
        <v/>
      </c>
      <c r="J62" s="35">
        <f t="shared" si="5"/>
        <v>-2</v>
      </c>
      <c r="K62" s="35">
        <f t="shared" si="2"/>
        <v>-20</v>
      </c>
      <c r="L62" s="35"/>
      <c r="M62" s="37">
        <f t="shared" si="3"/>
        <v>0</v>
      </c>
    </row>
    <row r="63" spans="1:13" x14ac:dyDescent="0.25">
      <c r="A63" s="77"/>
      <c r="B63" s="39" t="str">
        <f t="shared" si="0"/>
        <v/>
      </c>
      <c r="C63" s="40"/>
      <c r="D63" s="40"/>
      <c r="E63" s="40"/>
      <c r="F63" s="40"/>
      <c r="G63" s="13"/>
      <c r="H63" s="41">
        <v>58</v>
      </c>
      <c r="I63" s="42" t="str">
        <f t="shared" si="1"/>
        <v/>
      </c>
      <c r="J63" s="41">
        <f t="shared" si="5"/>
        <v>-2</v>
      </c>
      <c r="K63" s="41">
        <f t="shared" si="2"/>
        <v>-20</v>
      </c>
      <c r="L63" s="41"/>
      <c r="M63" s="43">
        <f t="shared" si="3"/>
        <v>0</v>
      </c>
    </row>
    <row r="64" spans="1:13" x14ac:dyDescent="0.25">
      <c r="A64" s="76"/>
      <c r="B64" s="33" t="str">
        <f t="shared" si="0"/>
        <v/>
      </c>
      <c r="C64" s="34"/>
      <c r="D64" s="34"/>
      <c r="E64" s="34"/>
      <c r="F64" s="34"/>
      <c r="G64" s="13"/>
      <c r="H64" s="35">
        <v>59</v>
      </c>
      <c r="I64" s="36" t="str">
        <f t="shared" si="1"/>
        <v/>
      </c>
      <c r="J64" s="35">
        <f t="shared" si="5"/>
        <v>-2</v>
      </c>
      <c r="K64" s="35">
        <f t="shared" si="2"/>
        <v>-20</v>
      </c>
      <c r="L64" s="35"/>
      <c r="M64" s="37">
        <f t="shared" si="3"/>
        <v>0</v>
      </c>
    </row>
    <row r="65" spans="1:13" x14ac:dyDescent="0.25">
      <c r="A65" s="77"/>
      <c r="B65" s="39" t="str">
        <f t="shared" si="0"/>
        <v/>
      </c>
      <c r="C65" s="40"/>
      <c r="D65" s="40"/>
      <c r="E65" s="40"/>
      <c r="F65" s="40"/>
      <c r="G65" s="13"/>
      <c r="H65" s="41">
        <v>60</v>
      </c>
      <c r="I65" s="42" t="str">
        <f t="shared" si="1"/>
        <v/>
      </c>
      <c r="J65" s="41">
        <f t="shared" si="5"/>
        <v>-2</v>
      </c>
      <c r="K65" s="41">
        <f t="shared" si="2"/>
        <v>-20</v>
      </c>
      <c r="L65" s="41"/>
      <c r="M65" s="43">
        <f t="shared" si="3"/>
        <v>0</v>
      </c>
    </row>
    <row r="66" spans="1:13" x14ac:dyDescent="0.25">
      <c r="A66" s="76"/>
      <c r="B66" s="33"/>
      <c r="G66" s="13"/>
      <c r="H66" s="35">
        <v>61</v>
      </c>
      <c r="I66" s="36" t="str">
        <f t="shared" si="1"/>
        <v/>
      </c>
      <c r="J66" s="35">
        <f t="shared" si="5"/>
        <v>-2</v>
      </c>
      <c r="K66" s="35">
        <f t="shared" si="2"/>
        <v>-20</v>
      </c>
      <c r="L66" s="35"/>
      <c r="M66" s="37">
        <f t="shared" si="3"/>
        <v>0</v>
      </c>
    </row>
    <row r="67" spans="1:13" x14ac:dyDescent="0.25">
      <c r="A67" s="77"/>
      <c r="B67" s="39"/>
      <c r="G67" s="13"/>
      <c r="H67" s="35">
        <v>62</v>
      </c>
      <c r="I67" s="36" t="str">
        <f t="shared" si="1"/>
        <v/>
      </c>
      <c r="J67" s="35">
        <f t="shared" si="5"/>
        <v>-2</v>
      </c>
      <c r="K67" s="35">
        <f t="shared" si="2"/>
        <v>-20</v>
      </c>
      <c r="L67" s="35"/>
      <c r="M67" s="37">
        <f t="shared" si="3"/>
        <v>0</v>
      </c>
    </row>
    <row r="68" spans="1:13" x14ac:dyDescent="0.25">
      <c r="A68" s="76"/>
      <c r="B68" s="33"/>
      <c r="G68" s="13"/>
      <c r="H68" s="35">
        <v>63</v>
      </c>
      <c r="I68" s="36" t="str">
        <f t="shared" si="1"/>
        <v/>
      </c>
      <c r="J68" s="35">
        <f t="shared" si="5"/>
        <v>-2</v>
      </c>
      <c r="K68" s="35">
        <f t="shared" si="2"/>
        <v>-20</v>
      </c>
      <c r="L68" s="35"/>
      <c r="M68" s="37">
        <f t="shared" si="3"/>
        <v>0</v>
      </c>
    </row>
    <row r="69" spans="1:13" x14ac:dyDescent="0.25">
      <c r="A69" s="77"/>
      <c r="B69" s="39"/>
      <c r="G69" s="13"/>
      <c r="H69" s="35">
        <v>64</v>
      </c>
      <c r="I69" s="36" t="str">
        <f t="shared" si="1"/>
        <v/>
      </c>
      <c r="J69" s="35">
        <f t="shared" si="5"/>
        <v>-2</v>
      </c>
      <c r="K69" s="35">
        <f t="shared" si="2"/>
        <v>-20</v>
      </c>
      <c r="L69" s="35"/>
      <c r="M69" s="37">
        <f t="shared" si="3"/>
        <v>0</v>
      </c>
    </row>
    <row r="70" spans="1:13" x14ac:dyDescent="0.25">
      <c r="A70" s="76"/>
      <c r="G70" s="13"/>
      <c r="H70" s="35">
        <v>65</v>
      </c>
      <c r="I70" s="36" t="str">
        <f t="shared" ref="I70:I133" si="6">IF(H70&lt;$H$2+1,($I$2-($I$2-1)*(LOG(H70)/LOG($H$2))),"")</f>
        <v/>
      </c>
      <c r="J70" s="35">
        <f t="shared" si="5"/>
        <v>-3</v>
      </c>
      <c r="K70" s="35">
        <f t="shared" ref="K70:K133" si="7">J70*$J$2</f>
        <v>-30</v>
      </c>
      <c r="L70" s="35"/>
      <c r="M70" s="37">
        <f t="shared" ref="M70:M133" si="8">IF(I70&lt;&gt;"",K70+I70+L70,0)</f>
        <v>0</v>
      </c>
    </row>
    <row r="71" spans="1:13" x14ac:dyDescent="0.25">
      <c r="A71" s="77"/>
      <c r="G71" s="13"/>
      <c r="H71" s="35">
        <v>66</v>
      </c>
      <c r="I71" s="36" t="str">
        <f t="shared" si="6"/>
        <v/>
      </c>
      <c r="J71" s="35">
        <f t="shared" ref="J71:J134" si="9">INT(LOG($H$2,2))-ROUNDUP(LOG(H71,2),0)+IF(OR($H$2=1,$H$2=2,$H$2=4,$H$2=8,$H$2=16,$H$2=32,$H$2=64,$H$2=128,$H$2=256),0,1)</f>
        <v>-3</v>
      </c>
      <c r="K71" s="35">
        <f t="shared" si="7"/>
        <v>-30</v>
      </c>
      <c r="L71" s="35"/>
      <c r="M71" s="37">
        <f t="shared" si="8"/>
        <v>0</v>
      </c>
    </row>
    <row r="72" spans="1:13" x14ac:dyDescent="0.25">
      <c r="A72" s="76"/>
      <c r="G72" s="13"/>
      <c r="H72" s="35">
        <v>67</v>
      </c>
      <c r="I72" s="36" t="str">
        <f t="shared" si="6"/>
        <v/>
      </c>
      <c r="J72" s="35">
        <f t="shared" si="9"/>
        <v>-3</v>
      </c>
      <c r="K72" s="35">
        <f t="shared" si="7"/>
        <v>-30</v>
      </c>
      <c r="L72" s="35"/>
      <c r="M72" s="37">
        <f t="shared" si="8"/>
        <v>0</v>
      </c>
    </row>
    <row r="73" spans="1:13" x14ac:dyDescent="0.25">
      <c r="A73" s="77"/>
      <c r="G73" s="13"/>
      <c r="H73" s="35">
        <v>68</v>
      </c>
      <c r="I73" s="36" t="str">
        <f t="shared" si="6"/>
        <v/>
      </c>
      <c r="J73" s="35">
        <f t="shared" si="9"/>
        <v>-3</v>
      </c>
      <c r="K73" s="35">
        <f t="shared" si="7"/>
        <v>-30</v>
      </c>
      <c r="L73" s="35"/>
      <c r="M73" s="37">
        <f t="shared" si="8"/>
        <v>0</v>
      </c>
    </row>
    <row r="74" spans="1:13" x14ac:dyDescent="0.25">
      <c r="A74" s="76"/>
      <c r="G74" s="13"/>
      <c r="H74" s="35">
        <v>69</v>
      </c>
      <c r="I74" s="36" t="str">
        <f t="shared" si="6"/>
        <v/>
      </c>
      <c r="J74" s="35">
        <f t="shared" si="9"/>
        <v>-3</v>
      </c>
      <c r="K74" s="35">
        <f t="shared" si="7"/>
        <v>-30</v>
      </c>
      <c r="L74" s="35"/>
      <c r="M74" s="37">
        <f t="shared" si="8"/>
        <v>0</v>
      </c>
    </row>
    <row r="75" spans="1:13" x14ac:dyDescent="0.25">
      <c r="A75" s="77"/>
      <c r="G75" s="13"/>
      <c r="H75" s="35">
        <v>70</v>
      </c>
      <c r="I75" s="36" t="str">
        <f t="shared" si="6"/>
        <v/>
      </c>
      <c r="J75" s="35">
        <f t="shared" si="9"/>
        <v>-3</v>
      </c>
      <c r="K75" s="35">
        <f t="shared" si="7"/>
        <v>-30</v>
      </c>
      <c r="L75" s="35"/>
      <c r="M75" s="37">
        <f t="shared" si="8"/>
        <v>0</v>
      </c>
    </row>
    <row r="76" spans="1:13" x14ac:dyDescent="0.25">
      <c r="A76" s="76"/>
      <c r="G76" s="13"/>
      <c r="H76" s="35">
        <v>71</v>
      </c>
      <c r="I76" s="36" t="str">
        <f t="shared" si="6"/>
        <v/>
      </c>
      <c r="J76" s="35">
        <f t="shared" si="9"/>
        <v>-3</v>
      </c>
      <c r="K76" s="35">
        <f t="shared" si="7"/>
        <v>-30</v>
      </c>
      <c r="L76" s="35"/>
      <c r="M76" s="37">
        <f t="shared" si="8"/>
        <v>0</v>
      </c>
    </row>
    <row r="77" spans="1:13" x14ac:dyDescent="0.25">
      <c r="A77" s="77"/>
      <c r="G77" s="13"/>
      <c r="H77" s="35">
        <v>72</v>
      </c>
      <c r="I77" s="36" t="str">
        <f t="shared" si="6"/>
        <v/>
      </c>
      <c r="J77" s="35">
        <f t="shared" si="9"/>
        <v>-3</v>
      </c>
      <c r="K77" s="35">
        <f t="shared" si="7"/>
        <v>-30</v>
      </c>
      <c r="L77" s="35"/>
      <c r="M77" s="37">
        <f t="shared" si="8"/>
        <v>0</v>
      </c>
    </row>
    <row r="78" spans="1:13" x14ac:dyDescent="0.25">
      <c r="A78" s="76"/>
      <c r="G78" s="13"/>
      <c r="H78" s="35">
        <v>73</v>
      </c>
      <c r="I78" s="36" t="str">
        <f t="shared" si="6"/>
        <v/>
      </c>
      <c r="J78" s="35">
        <f t="shared" si="9"/>
        <v>-3</v>
      </c>
      <c r="K78" s="35">
        <f t="shared" si="7"/>
        <v>-30</v>
      </c>
      <c r="L78" s="35"/>
      <c r="M78" s="37">
        <f t="shared" si="8"/>
        <v>0</v>
      </c>
    </row>
    <row r="79" spans="1:13" x14ac:dyDescent="0.25">
      <c r="A79" s="77"/>
      <c r="G79" s="13"/>
      <c r="H79" s="35">
        <v>74</v>
      </c>
      <c r="I79" s="36" t="str">
        <f t="shared" si="6"/>
        <v/>
      </c>
      <c r="J79" s="35">
        <f t="shared" si="9"/>
        <v>-3</v>
      </c>
      <c r="K79" s="35">
        <f t="shared" si="7"/>
        <v>-30</v>
      </c>
      <c r="L79" s="35"/>
      <c r="M79" s="37">
        <f t="shared" si="8"/>
        <v>0</v>
      </c>
    </row>
    <row r="80" spans="1:13" x14ac:dyDescent="0.25">
      <c r="A80" s="76"/>
      <c r="G80" s="13"/>
      <c r="H80" s="35">
        <v>75</v>
      </c>
      <c r="I80" s="36" t="str">
        <f t="shared" si="6"/>
        <v/>
      </c>
      <c r="J80" s="35">
        <f t="shared" si="9"/>
        <v>-3</v>
      </c>
      <c r="K80" s="35">
        <f t="shared" si="7"/>
        <v>-30</v>
      </c>
      <c r="L80" s="35"/>
      <c r="M80" s="37">
        <f t="shared" si="8"/>
        <v>0</v>
      </c>
    </row>
    <row r="81" spans="1:13" x14ac:dyDescent="0.25">
      <c r="A81" s="77"/>
      <c r="G81" s="13"/>
      <c r="H81" s="35">
        <v>76</v>
      </c>
      <c r="I81" s="36" t="str">
        <f t="shared" si="6"/>
        <v/>
      </c>
      <c r="J81" s="35">
        <f t="shared" si="9"/>
        <v>-3</v>
      </c>
      <c r="K81" s="35">
        <f t="shared" si="7"/>
        <v>-30</v>
      </c>
      <c r="L81" s="35"/>
      <c r="M81" s="37">
        <f t="shared" si="8"/>
        <v>0</v>
      </c>
    </row>
    <row r="82" spans="1:13" x14ac:dyDescent="0.25">
      <c r="A82" s="76"/>
      <c r="G82" s="13"/>
      <c r="H82" s="35">
        <v>77</v>
      </c>
      <c r="I82" s="36" t="str">
        <f t="shared" si="6"/>
        <v/>
      </c>
      <c r="J82" s="35">
        <f t="shared" si="9"/>
        <v>-3</v>
      </c>
      <c r="K82" s="35">
        <f t="shared" si="7"/>
        <v>-30</v>
      </c>
      <c r="L82" s="35"/>
      <c r="M82" s="37">
        <f t="shared" si="8"/>
        <v>0</v>
      </c>
    </row>
    <row r="83" spans="1:13" x14ac:dyDescent="0.25">
      <c r="A83" s="77"/>
      <c r="G83" s="13"/>
      <c r="H83" s="35">
        <v>78</v>
      </c>
      <c r="I83" s="36" t="str">
        <f t="shared" si="6"/>
        <v/>
      </c>
      <c r="J83" s="35">
        <f t="shared" si="9"/>
        <v>-3</v>
      </c>
      <c r="K83" s="35">
        <f t="shared" si="7"/>
        <v>-30</v>
      </c>
      <c r="L83" s="35"/>
      <c r="M83" s="37">
        <f t="shared" si="8"/>
        <v>0</v>
      </c>
    </row>
    <row r="84" spans="1:13" x14ac:dyDescent="0.25">
      <c r="A84" s="76"/>
      <c r="G84" s="13"/>
      <c r="H84" s="35">
        <v>79</v>
      </c>
      <c r="I84" s="36" t="str">
        <f t="shared" si="6"/>
        <v/>
      </c>
      <c r="J84" s="35">
        <f t="shared" si="9"/>
        <v>-3</v>
      </c>
      <c r="K84" s="35">
        <f t="shared" si="7"/>
        <v>-30</v>
      </c>
      <c r="L84" s="35"/>
      <c r="M84" s="37">
        <f t="shared" si="8"/>
        <v>0</v>
      </c>
    </row>
    <row r="85" spans="1:13" x14ac:dyDescent="0.25">
      <c r="A85" s="77"/>
      <c r="G85" s="13"/>
      <c r="H85" s="35">
        <v>80</v>
      </c>
      <c r="I85" s="36" t="str">
        <f t="shared" si="6"/>
        <v/>
      </c>
      <c r="J85" s="35">
        <f t="shared" si="9"/>
        <v>-3</v>
      </c>
      <c r="K85" s="35">
        <f t="shared" si="7"/>
        <v>-30</v>
      </c>
      <c r="L85" s="35"/>
      <c r="M85" s="37">
        <f t="shared" si="8"/>
        <v>0</v>
      </c>
    </row>
    <row r="86" spans="1:13" x14ac:dyDescent="0.25">
      <c r="A86" s="76"/>
      <c r="G86" s="13"/>
      <c r="H86" s="35">
        <v>81</v>
      </c>
      <c r="I86" s="36" t="str">
        <f t="shared" si="6"/>
        <v/>
      </c>
      <c r="J86" s="35">
        <f t="shared" si="9"/>
        <v>-3</v>
      </c>
      <c r="K86" s="35">
        <f t="shared" si="7"/>
        <v>-30</v>
      </c>
      <c r="L86" s="35"/>
      <c r="M86" s="37">
        <f t="shared" si="8"/>
        <v>0</v>
      </c>
    </row>
    <row r="87" spans="1:13" x14ac:dyDescent="0.25">
      <c r="A87" s="77"/>
      <c r="G87" s="13"/>
      <c r="H87" s="35">
        <v>82</v>
      </c>
      <c r="I87" s="36" t="str">
        <f t="shared" si="6"/>
        <v/>
      </c>
      <c r="J87" s="35">
        <f t="shared" si="9"/>
        <v>-3</v>
      </c>
      <c r="K87" s="35">
        <f t="shared" si="7"/>
        <v>-30</v>
      </c>
      <c r="L87" s="35"/>
      <c r="M87" s="37">
        <f t="shared" si="8"/>
        <v>0</v>
      </c>
    </row>
    <row r="88" spans="1:13" x14ac:dyDescent="0.25">
      <c r="A88" s="76"/>
      <c r="G88" s="13"/>
      <c r="H88" s="35">
        <v>83</v>
      </c>
      <c r="I88" s="36" t="str">
        <f t="shared" si="6"/>
        <v/>
      </c>
      <c r="J88" s="35">
        <f t="shared" si="9"/>
        <v>-3</v>
      </c>
      <c r="K88" s="35">
        <f t="shared" si="7"/>
        <v>-30</v>
      </c>
      <c r="L88" s="35"/>
      <c r="M88" s="37">
        <f t="shared" si="8"/>
        <v>0</v>
      </c>
    </row>
    <row r="89" spans="1:13" x14ac:dyDescent="0.25">
      <c r="A89" s="77"/>
      <c r="G89" s="13"/>
      <c r="H89" s="35">
        <v>84</v>
      </c>
      <c r="I89" s="36" t="str">
        <f t="shared" si="6"/>
        <v/>
      </c>
      <c r="J89" s="35">
        <f t="shared" si="9"/>
        <v>-3</v>
      </c>
      <c r="K89" s="35">
        <f t="shared" si="7"/>
        <v>-30</v>
      </c>
      <c r="L89" s="35"/>
      <c r="M89" s="37">
        <f t="shared" si="8"/>
        <v>0</v>
      </c>
    </row>
    <row r="90" spans="1:13" x14ac:dyDescent="0.25">
      <c r="A90" s="76"/>
      <c r="G90" s="13"/>
      <c r="H90" s="35">
        <v>85</v>
      </c>
      <c r="I90" s="36" t="str">
        <f t="shared" si="6"/>
        <v/>
      </c>
      <c r="J90" s="35">
        <f t="shared" si="9"/>
        <v>-3</v>
      </c>
      <c r="K90" s="35">
        <f t="shared" si="7"/>
        <v>-30</v>
      </c>
      <c r="L90" s="35"/>
      <c r="M90" s="37">
        <f t="shared" si="8"/>
        <v>0</v>
      </c>
    </row>
    <row r="91" spans="1:13" x14ac:dyDescent="0.25">
      <c r="A91" s="77"/>
      <c r="G91" s="13"/>
      <c r="H91" s="35">
        <v>86</v>
      </c>
      <c r="I91" s="36" t="str">
        <f t="shared" si="6"/>
        <v/>
      </c>
      <c r="J91" s="35">
        <f t="shared" si="9"/>
        <v>-3</v>
      </c>
      <c r="K91" s="35">
        <f t="shared" si="7"/>
        <v>-30</v>
      </c>
      <c r="L91" s="35"/>
      <c r="M91" s="37">
        <f t="shared" si="8"/>
        <v>0</v>
      </c>
    </row>
    <row r="92" spans="1:13" x14ac:dyDescent="0.25">
      <c r="A92" s="76"/>
      <c r="G92" s="13"/>
      <c r="H92" s="35">
        <v>87</v>
      </c>
      <c r="I92" s="36" t="str">
        <f t="shared" si="6"/>
        <v/>
      </c>
      <c r="J92" s="35">
        <f t="shared" si="9"/>
        <v>-3</v>
      </c>
      <c r="K92" s="35">
        <f t="shared" si="7"/>
        <v>-30</v>
      </c>
      <c r="L92" s="35"/>
      <c r="M92" s="37">
        <f t="shared" si="8"/>
        <v>0</v>
      </c>
    </row>
    <row r="93" spans="1:13" x14ac:dyDescent="0.25">
      <c r="A93" s="77"/>
      <c r="G93" s="13"/>
      <c r="H93" s="35">
        <v>88</v>
      </c>
      <c r="I93" s="36" t="str">
        <f t="shared" si="6"/>
        <v/>
      </c>
      <c r="J93" s="35">
        <f t="shared" si="9"/>
        <v>-3</v>
      </c>
      <c r="K93" s="35">
        <f t="shared" si="7"/>
        <v>-30</v>
      </c>
      <c r="L93" s="35"/>
      <c r="M93" s="37">
        <f t="shared" si="8"/>
        <v>0</v>
      </c>
    </row>
    <row r="94" spans="1:13" x14ac:dyDescent="0.25">
      <c r="A94" s="76"/>
      <c r="G94" s="13"/>
      <c r="H94" s="35">
        <v>89</v>
      </c>
      <c r="I94" s="36" t="str">
        <f t="shared" si="6"/>
        <v/>
      </c>
      <c r="J94" s="35">
        <f t="shared" si="9"/>
        <v>-3</v>
      </c>
      <c r="K94" s="35">
        <f t="shared" si="7"/>
        <v>-30</v>
      </c>
      <c r="L94" s="35"/>
      <c r="M94" s="37">
        <f t="shared" si="8"/>
        <v>0</v>
      </c>
    </row>
    <row r="95" spans="1:13" x14ac:dyDescent="0.25">
      <c r="A95" s="77"/>
      <c r="G95" s="13"/>
      <c r="H95" s="35">
        <v>90</v>
      </c>
      <c r="I95" s="36" t="str">
        <f t="shared" si="6"/>
        <v/>
      </c>
      <c r="J95" s="35">
        <f t="shared" si="9"/>
        <v>-3</v>
      </c>
      <c r="K95" s="35">
        <f t="shared" si="7"/>
        <v>-30</v>
      </c>
      <c r="L95" s="35"/>
      <c r="M95" s="37">
        <f t="shared" si="8"/>
        <v>0</v>
      </c>
    </row>
    <row r="96" spans="1:13" x14ac:dyDescent="0.25">
      <c r="A96" s="76"/>
      <c r="G96" s="13"/>
      <c r="H96" s="35">
        <v>91</v>
      </c>
      <c r="I96" s="36" t="str">
        <f t="shared" si="6"/>
        <v/>
      </c>
      <c r="J96" s="35">
        <f t="shared" si="9"/>
        <v>-3</v>
      </c>
      <c r="K96" s="35">
        <f t="shared" si="7"/>
        <v>-30</v>
      </c>
      <c r="L96" s="35"/>
      <c r="M96" s="37">
        <f t="shared" si="8"/>
        <v>0</v>
      </c>
    </row>
    <row r="97" spans="1:13" x14ac:dyDescent="0.25">
      <c r="A97" s="77"/>
      <c r="G97" s="13"/>
      <c r="H97" s="35">
        <v>92</v>
      </c>
      <c r="I97" s="36" t="str">
        <f t="shared" si="6"/>
        <v/>
      </c>
      <c r="J97" s="35">
        <f t="shared" si="9"/>
        <v>-3</v>
      </c>
      <c r="K97" s="35">
        <f t="shared" si="7"/>
        <v>-30</v>
      </c>
      <c r="L97" s="35"/>
      <c r="M97" s="37">
        <f t="shared" si="8"/>
        <v>0</v>
      </c>
    </row>
    <row r="98" spans="1:13" x14ac:dyDescent="0.25">
      <c r="A98" s="76"/>
      <c r="G98" s="13"/>
      <c r="H98" s="35">
        <v>93</v>
      </c>
      <c r="I98" s="36" t="str">
        <f t="shared" si="6"/>
        <v/>
      </c>
      <c r="J98" s="35">
        <f t="shared" si="9"/>
        <v>-3</v>
      </c>
      <c r="K98" s="35">
        <f t="shared" si="7"/>
        <v>-30</v>
      </c>
      <c r="L98" s="35"/>
      <c r="M98" s="37">
        <f t="shared" si="8"/>
        <v>0</v>
      </c>
    </row>
    <row r="99" spans="1:13" x14ac:dyDescent="0.25">
      <c r="A99" s="77"/>
      <c r="G99" s="13"/>
      <c r="H99" s="35">
        <v>94</v>
      </c>
      <c r="I99" s="36" t="str">
        <f t="shared" si="6"/>
        <v/>
      </c>
      <c r="J99" s="35">
        <f t="shared" si="9"/>
        <v>-3</v>
      </c>
      <c r="K99" s="35">
        <f t="shared" si="7"/>
        <v>-30</v>
      </c>
      <c r="L99" s="35"/>
      <c r="M99" s="37">
        <f t="shared" si="8"/>
        <v>0</v>
      </c>
    </row>
    <row r="100" spans="1:13" x14ac:dyDescent="0.25">
      <c r="A100" s="76"/>
      <c r="G100" s="13"/>
      <c r="H100" s="35">
        <v>95</v>
      </c>
      <c r="I100" s="36" t="str">
        <f t="shared" si="6"/>
        <v/>
      </c>
      <c r="J100" s="35">
        <f t="shared" si="9"/>
        <v>-3</v>
      </c>
      <c r="K100" s="35">
        <f t="shared" si="7"/>
        <v>-30</v>
      </c>
      <c r="L100" s="35"/>
      <c r="M100" s="37">
        <f t="shared" si="8"/>
        <v>0</v>
      </c>
    </row>
    <row r="101" spans="1:13" x14ac:dyDescent="0.25">
      <c r="A101" s="77"/>
      <c r="G101" s="13"/>
      <c r="H101" s="35">
        <v>96</v>
      </c>
      <c r="I101" s="36" t="str">
        <f t="shared" si="6"/>
        <v/>
      </c>
      <c r="J101" s="35">
        <f t="shared" si="9"/>
        <v>-3</v>
      </c>
      <c r="K101" s="35">
        <f t="shared" si="7"/>
        <v>-30</v>
      </c>
      <c r="L101" s="35"/>
      <c r="M101" s="37">
        <f t="shared" si="8"/>
        <v>0</v>
      </c>
    </row>
    <row r="102" spans="1:13" x14ac:dyDescent="0.25">
      <c r="A102" s="76"/>
      <c r="G102" s="13"/>
      <c r="H102" s="35">
        <v>97</v>
      </c>
      <c r="I102" s="36" t="str">
        <f t="shared" si="6"/>
        <v/>
      </c>
      <c r="J102" s="35">
        <f t="shared" si="9"/>
        <v>-3</v>
      </c>
      <c r="K102" s="35">
        <f t="shared" si="7"/>
        <v>-30</v>
      </c>
      <c r="L102" s="35"/>
      <c r="M102" s="37">
        <f t="shared" si="8"/>
        <v>0</v>
      </c>
    </row>
    <row r="103" spans="1:13" x14ac:dyDescent="0.25">
      <c r="A103" s="77"/>
      <c r="G103" s="13"/>
      <c r="H103" s="35">
        <v>98</v>
      </c>
      <c r="I103" s="36" t="str">
        <f t="shared" si="6"/>
        <v/>
      </c>
      <c r="J103" s="35">
        <f t="shared" si="9"/>
        <v>-3</v>
      </c>
      <c r="K103" s="35">
        <f t="shared" si="7"/>
        <v>-30</v>
      </c>
      <c r="L103" s="35"/>
      <c r="M103" s="37">
        <f t="shared" si="8"/>
        <v>0</v>
      </c>
    </row>
    <row r="104" spans="1:13" x14ac:dyDescent="0.25">
      <c r="A104" s="76"/>
      <c r="G104" s="13"/>
      <c r="H104" s="35">
        <v>99</v>
      </c>
      <c r="I104" s="36" t="str">
        <f t="shared" si="6"/>
        <v/>
      </c>
      <c r="J104" s="35">
        <f t="shared" si="9"/>
        <v>-3</v>
      </c>
      <c r="K104" s="35">
        <f t="shared" si="7"/>
        <v>-30</v>
      </c>
      <c r="L104" s="35"/>
      <c r="M104" s="37">
        <f t="shared" si="8"/>
        <v>0</v>
      </c>
    </row>
    <row r="105" spans="1:13" x14ac:dyDescent="0.25">
      <c r="A105" s="77"/>
      <c r="G105" s="13"/>
      <c r="H105" s="35">
        <v>100</v>
      </c>
      <c r="I105" s="36" t="str">
        <f t="shared" si="6"/>
        <v/>
      </c>
      <c r="J105" s="35">
        <f t="shared" si="9"/>
        <v>-3</v>
      </c>
      <c r="K105" s="35">
        <f t="shared" si="7"/>
        <v>-30</v>
      </c>
      <c r="L105" s="35"/>
      <c r="M105" s="37">
        <f t="shared" si="8"/>
        <v>0</v>
      </c>
    </row>
    <row r="106" spans="1:13" x14ac:dyDescent="0.25">
      <c r="A106" s="76"/>
      <c r="G106" s="13"/>
      <c r="H106" s="35">
        <v>101</v>
      </c>
      <c r="I106" s="36" t="str">
        <f t="shared" si="6"/>
        <v/>
      </c>
      <c r="J106" s="35">
        <f t="shared" si="9"/>
        <v>-3</v>
      </c>
      <c r="K106" s="35">
        <f t="shared" si="7"/>
        <v>-30</v>
      </c>
      <c r="L106" s="35"/>
      <c r="M106" s="37">
        <f t="shared" si="8"/>
        <v>0</v>
      </c>
    </row>
    <row r="107" spans="1:13" x14ac:dyDescent="0.25">
      <c r="A107" s="77"/>
      <c r="G107" s="13"/>
      <c r="H107" s="35">
        <v>102</v>
      </c>
      <c r="I107" s="36" t="str">
        <f t="shared" si="6"/>
        <v/>
      </c>
      <c r="J107" s="35">
        <f t="shared" si="9"/>
        <v>-3</v>
      </c>
      <c r="K107" s="35">
        <f t="shared" si="7"/>
        <v>-30</v>
      </c>
      <c r="L107" s="35"/>
      <c r="M107" s="37">
        <f t="shared" si="8"/>
        <v>0</v>
      </c>
    </row>
    <row r="108" spans="1:13" x14ac:dyDescent="0.25">
      <c r="A108" s="76"/>
      <c r="G108" s="13"/>
      <c r="H108" s="35">
        <v>103</v>
      </c>
      <c r="I108" s="36" t="str">
        <f t="shared" si="6"/>
        <v/>
      </c>
      <c r="J108" s="35">
        <f t="shared" si="9"/>
        <v>-3</v>
      </c>
      <c r="K108" s="35">
        <f t="shared" si="7"/>
        <v>-30</v>
      </c>
      <c r="L108" s="35"/>
      <c r="M108" s="37">
        <f t="shared" si="8"/>
        <v>0</v>
      </c>
    </row>
    <row r="109" spans="1:13" x14ac:dyDescent="0.25">
      <c r="A109" s="77"/>
      <c r="G109" s="13"/>
      <c r="H109" s="35">
        <v>104</v>
      </c>
      <c r="I109" s="36" t="str">
        <f t="shared" si="6"/>
        <v/>
      </c>
      <c r="J109" s="35">
        <f t="shared" si="9"/>
        <v>-3</v>
      </c>
      <c r="K109" s="35">
        <f t="shared" si="7"/>
        <v>-30</v>
      </c>
      <c r="L109" s="35"/>
      <c r="M109" s="37">
        <f t="shared" si="8"/>
        <v>0</v>
      </c>
    </row>
    <row r="110" spans="1:13" x14ac:dyDescent="0.25">
      <c r="A110" s="76"/>
      <c r="G110" s="13"/>
      <c r="H110" s="35">
        <v>105</v>
      </c>
      <c r="I110" s="36" t="str">
        <f t="shared" si="6"/>
        <v/>
      </c>
      <c r="J110" s="35">
        <f t="shared" si="9"/>
        <v>-3</v>
      </c>
      <c r="K110" s="35">
        <f t="shared" si="7"/>
        <v>-30</v>
      </c>
      <c r="L110" s="35"/>
      <c r="M110" s="37">
        <f t="shared" si="8"/>
        <v>0</v>
      </c>
    </row>
    <row r="111" spans="1:13" x14ac:dyDescent="0.25">
      <c r="A111" s="77"/>
      <c r="G111" s="13"/>
      <c r="H111" s="35">
        <v>106</v>
      </c>
      <c r="I111" s="36" t="str">
        <f t="shared" si="6"/>
        <v/>
      </c>
      <c r="J111" s="35">
        <f t="shared" si="9"/>
        <v>-3</v>
      </c>
      <c r="K111" s="35">
        <f t="shared" si="7"/>
        <v>-30</v>
      </c>
      <c r="L111" s="35"/>
      <c r="M111" s="37">
        <f t="shared" si="8"/>
        <v>0</v>
      </c>
    </row>
    <row r="112" spans="1:13" x14ac:dyDescent="0.25">
      <c r="A112" s="76"/>
      <c r="G112" s="13"/>
      <c r="H112" s="35">
        <v>107</v>
      </c>
      <c r="I112" s="36" t="str">
        <f t="shared" si="6"/>
        <v/>
      </c>
      <c r="J112" s="35">
        <f t="shared" si="9"/>
        <v>-3</v>
      </c>
      <c r="K112" s="35">
        <f t="shared" si="7"/>
        <v>-30</v>
      </c>
      <c r="L112" s="35"/>
      <c r="M112" s="37">
        <f t="shared" si="8"/>
        <v>0</v>
      </c>
    </row>
    <row r="113" spans="1:13" x14ac:dyDescent="0.25">
      <c r="A113" s="77"/>
      <c r="G113" s="13"/>
      <c r="H113" s="35">
        <v>108</v>
      </c>
      <c r="I113" s="36" t="str">
        <f t="shared" si="6"/>
        <v/>
      </c>
      <c r="J113" s="35">
        <f t="shared" si="9"/>
        <v>-3</v>
      </c>
      <c r="K113" s="35">
        <f t="shared" si="7"/>
        <v>-30</v>
      </c>
      <c r="L113" s="35"/>
      <c r="M113" s="37">
        <f t="shared" si="8"/>
        <v>0</v>
      </c>
    </row>
    <row r="114" spans="1:13" x14ac:dyDescent="0.25">
      <c r="A114" s="76"/>
      <c r="G114" s="13"/>
      <c r="H114" s="35">
        <v>109</v>
      </c>
      <c r="I114" s="36" t="str">
        <f t="shared" si="6"/>
        <v/>
      </c>
      <c r="J114" s="35">
        <f t="shared" si="9"/>
        <v>-3</v>
      </c>
      <c r="K114" s="35">
        <f t="shared" si="7"/>
        <v>-30</v>
      </c>
      <c r="L114" s="35"/>
      <c r="M114" s="37">
        <f t="shared" si="8"/>
        <v>0</v>
      </c>
    </row>
    <row r="115" spans="1:13" x14ac:dyDescent="0.25">
      <c r="A115" s="77"/>
      <c r="G115" s="13"/>
      <c r="H115" s="35">
        <v>110</v>
      </c>
      <c r="I115" s="36" t="str">
        <f t="shared" si="6"/>
        <v/>
      </c>
      <c r="J115" s="35">
        <f t="shared" si="9"/>
        <v>-3</v>
      </c>
      <c r="K115" s="35">
        <f t="shared" si="7"/>
        <v>-30</v>
      </c>
      <c r="L115" s="35"/>
      <c r="M115" s="37">
        <f t="shared" si="8"/>
        <v>0</v>
      </c>
    </row>
    <row r="116" spans="1:13" x14ac:dyDescent="0.25">
      <c r="A116" s="76"/>
      <c r="G116" s="13"/>
      <c r="H116" s="35">
        <v>111</v>
      </c>
      <c r="I116" s="36" t="str">
        <f t="shared" si="6"/>
        <v/>
      </c>
      <c r="J116" s="35">
        <f t="shared" si="9"/>
        <v>-3</v>
      </c>
      <c r="K116" s="35">
        <f t="shared" si="7"/>
        <v>-30</v>
      </c>
      <c r="L116" s="35"/>
      <c r="M116" s="37">
        <f t="shared" si="8"/>
        <v>0</v>
      </c>
    </row>
    <row r="117" spans="1:13" x14ac:dyDescent="0.25">
      <c r="A117" s="77"/>
      <c r="G117" s="13"/>
      <c r="H117" s="35">
        <v>112</v>
      </c>
      <c r="I117" s="36" t="str">
        <f t="shared" si="6"/>
        <v/>
      </c>
      <c r="J117" s="35">
        <f t="shared" si="9"/>
        <v>-3</v>
      </c>
      <c r="K117" s="35">
        <f t="shared" si="7"/>
        <v>-30</v>
      </c>
      <c r="L117" s="35"/>
      <c r="M117" s="37">
        <f t="shared" si="8"/>
        <v>0</v>
      </c>
    </row>
    <row r="118" spans="1:13" x14ac:dyDescent="0.25">
      <c r="A118" s="76"/>
      <c r="G118" s="13"/>
      <c r="H118" s="35">
        <v>113</v>
      </c>
      <c r="I118" s="36" t="str">
        <f t="shared" si="6"/>
        <v/>
      </c>
      <c r="J118" s="35">
        <f t="shared" si="9"/>
        <v>-3</v>
      </c>
      <c r="K118" s="35">
        <f t="shared" si="7"/>
        <v>-30</v>
      </c>
      <c r="L118" s="35"/>
      <c r="M118" s="37">
        <f t="shared" si="8"/>
        <v>0</v>
      </c>
    </row>
    <row r="119" spans="1:13" x14ac:dyDescent="0.25">
      <c r="A119" s="77"/>
      <c r="G119" s="13"/>
      <c r="H119" s="35">
        <v>114</v>
      </c>
      <c r="I119" s="36" t="str">
        <f t="shared" si="6"/>
        <v/>
      </c>
      <c r="J119" s="35">
        <f t="shared" si="9"/>
        <v>-3</v>
      </c>
      <c r="K119" s="35">
        <f t="shared" si="7"/>
        <v>-30</v>
      </c>
      <c r="L119" s="35"/>
      <c r="M119" s="37">
        <f t="shared" si="8"/>
        <v>0</v>
      </c>
    </row>
    <row r="120" spans="1:13" x14ac:dyDescent="0.25">
      <c r="A120" s="76"/>
      <c r="G120" s="13"/>
      <c r="H120" s="35">
        <v>115</v>
      </c>
      <c r="I120" s="36" t="str">
        <f t="shared" si="6"/>
        <v/>
      </c>
      <c r="J120" s="35">
        <f t="shared" si="9"/>
        <v>-3</v>
      </c>
      <c r="K120" s="35">
        <f t="shared" si="7"/>
        <v>-30</v>
      </c>
      <c r="L120" s="35"/>
      <c r="M120" s="37">
        <f t="shared" si="8"/>
        <v>0</v>
      </c>
    </row>
    <row r="121" spans="1:13" x14ac:dyDescent="0.25">
      <c r="A121" s="77"/>
      <c r="G121" s="13"/>
      <c r="H121" s="35">
        <v>116</v>
      </c>
      <c r="I121" s="36" t="str">
        <f t="shared" si="6"/>
        <v/>
      </c>
      <c r="J121" s="35">
        <f t="shared" si="9"/>
        <v>-3</v>
      </c>
      <c r="K121" s="35">
        <f t="shared" si="7"/>
        <v>-30</v>
      </c>
      <c r="L121" s="35"/>
      <c r="M121" s="37">
        <f t="shared" si="8"/>
        <v>0</v>
      </c>
    </row>
    <row r="122" spans="1:13" x14ac:dyDescent="0.25">
      <c r="A122" s="76"/>
      <c r="G122" s="13"/>
      <c r="H122" s="35">
        <v>117</v>
      </c>
      <c r="I122" s="36" t="str">
        <f t="shared" si="6"/>
        <v/>
      </c>
      <c r="J122" s="35">
        <f t="shared" si="9"/>
        <v>-3</v>
      </c>
      <c r="K122" s="35">
        <f t="shared" si="7"/>
        <v>-30</v>
      </c>
      <c r="L122" s="35"/>
      <c r="M122" s="37">
        <f t="shared" si="8"/>
        <v>0</v>
      </c>
    </row>
    <row r="123" spans="1:13" x14ac:dyDescent="0.25">
      <c r="A123" s="77"/>
      <c r="G123" s="13"/>
      <c r="H123" s="35">
        <v>118</v>
      </c>
      <c r="I123" s="36" t="str">
        <f t="shared" si="6"/>
        <v/>
      </c>
      <c r="J123" s="35">
        <f t="shared" si="9"/>
        <v>-3</v>
      </c>
      <c r="K123" s="35">
        <f t="shared" si="7"/>
        <v>-30</v>
      </c>
      <c r="L123" s="35"/>
      <c r="M123" s="37">
        <f t="shared" si="8"/>
        <v>0</v>
      </c>
    </row>
    <row r="124" spans="1:13" x14ac:dyDescent="0.25">
      <c r="A124" s="76"/>
      <c r="G124" s="13"/>
      <c r="H124" s="35">
        <v>119</v>
      </c>
      <c r="I124" s="36" t="str">
        <f t="shared" si="6"/>
        <v/>
      </c>
      <c r="J124" s="35">
        <f t="shared" si="9"/>
        <v>-3</v>
      </c>
      <c r="K124" s="35">
        <f t="shared" si="7"/>
        <v>-30</v>
      </c>
      <c r="L124" s="35"/>
      <c r="M124" s="37">
        <f t="shared" si="8"/>
        <v>0</v>
      </c>
    </row>
    <row r="125" spans="1:13" x14ac:dyDescent="0.25">
      <c r="A125" s="77"/>
      <c r="G125" s="13"/>
      <c r="H125" s="35">
        <v>120</v>
      </c>
      <c r="I125" s="36" t="str">
        <f t="shared" si="6"/>
        <v/>
      </c>
      <c r="J125" s="35">
        <f t="shared" si="9"/>
        <v>-3</v>
      </c>
      <c r="K125" s="35">
        <f t="shared" si="7"/>
        <v>-30</v>
      </c>
      <c r="L125" s="35"/>
      <c r="M125" s="37">
        <f t="shared" si="8"/>
        <v>0</v>
      </c>
    </row>
    <row r="126" spans="1:13" x14ac:dyDescent="0.25">
      <c r="A126" s="76"/>
      <c r="G126" s="13"/>
      <c r="H126" s="35">
        <v>121</v>
      </c>
      <c r="I126" s="36" t="str">
        <f t="shared" si="6"/>
        <v/>
      </c>
      <c r="J126" s="35">
        <f t="shared" si="9"/>
        <v>-3</v>
      </c>
      <c r="K126" s="35">
        <f t="shared" si="7"/>
        <v>-30</v>
      </c>
      <c r="L126" s="35"/>
      <c r="M126" s="37">
        <f t="shared" si="8"/>
        <v>0</v>
      </c>
    </row>
    <row r="127" spans="1:13" x14ac:dyDescent="0.25">
      <c r="A127" s="77"/>
      <c r="G127" s="13"/>
      <c r="H127" s="35">
        <v>122</v>
      </c>
      <c r="I127" s="36" t="str">
        <f t="shared" si="6"/>
        <v/>
      </c>
      <c r="J127" s="35">
        <f t="shared" si="9"/>
        <v>-3</v>
      </c>
      <c r="K127" s="35">
        <f t="shared" si="7"/>
        <v>-30</v>
      </c>
      <c r="L127" s="35"/>
      <c r="M127" s="37">
        <f t="shared" si="8"/>
        <v>0</v>
      </c>
    </row>
    <row r="128" spans="1:13" x14ac:dyDescent="0.25">
      <c r="A128" s="76"/>
      <c r="G128" s="13"/>
      <c r="H128" s="35">
        <v>123</v>
      </c>
      <c r="I128" s="36" t="str">
        <f t="shared" si="6"/>
        <v/>
      </c>
      <c r="J128" s="35">
        <f t="shared" si="9"/>
        <v>-3</v>
      </c>
      <c r="K128" s="35">
        <f t="shared" si="7"/>
        <v>-30</v>
      </c>
      <c r="L128" s="35"/>
      <c r="M128" s="37">
        <f t="shared" si="8"/>
        <v>0</v>
      </c>
    </row>
    <row r="129" spans="1:13" x14ac:dyDescent="0.25">
      <c r="A129" s="77"/>
      <c r="G129" s="13"/>
      <c r="H129" s="35">
        <v>124</v>
      </c>
      <c r="I129" s="36" t="str">
        <f t="shared" si="6"/>
        <v/>
      </c>
      <c r="J129" s="35">
        <f t="shared" si="9"/>
        <v>-3</v>
      </c>
      <c r="K129" s="35">
        <f t="shared" si="7"/>
        <v>-30</v>
      </c>
      <c r="L129" s="35"/>
      <c r="M129" s="37">
        <f t="shared" si="8"/>
        <v>0</v>
      </c>
    </row>
    <row r="130" spans="1:13" x14ac:dyDescent="0.25">
      <c r="A130" s="76"/>
      <c r="G130" s="13"/>
      <c r="H130" s="35">
        <v>125</v>
      </c>
      <c r="I130" s="36" t="str">
        <f t="shared" si="6"/>
        <v/>
      </c>
      <c r="J130" s="35">
        <f t="shared" si="9"/>
        <v>-3</v>
      </c>
      <c r="K130" s="35">
        <f t="shared" si="7"/>
        <v>-30</v>
      </c>
      <c r="L130" s="35"/>
      <c r="M130" s="37">
        <f t="shared" si="8"/>
        <v>0</v>
      </c>
    </row>
    <row r="131" spans="1:13" x14ac:dyDescent="0.25">
      <c r="A131" s="77"/>
      <c r="G131" s="13"/>
      <c r="H131" s="35">
        <v>126</v>
      </c>
      <c r="I131" s="36" t="str">
        <f t="shared" si="6"/>
        <v/>
      </c>
      <c r="J131" s="35">
        <f t="shared" si="9"/>
        <v>-3</v>
      </c>
      <c r="K131" s="35">
        <f t="shared" si="7"/>
        <v>-30</v>
      </c>
      <c r="L131" s="35"/>
      <c r="M131" s="37">
        <f t="shared" si="8"/>
        <v>0</v>
      </c>
    </row>
    <row r="132" spans="1:13" x14ac:dyDescent="0.25">
      <c r="A132" s="76"/>
      <c r="G132" s="13"/>
      <c r="H132" s="35">
        <v>127</v>
      </c>
      <c r="I132" s="36" t="str">
        <f t="shared" si="6"/>
        <v/>
      </c>
      <c r="J132" s="35">
        <f t="shared" si="9"/>
        <v>-3</v>
      </c>
      <c r="K132" s="35">
        <f t="shared" si="7"/>
        <v>-30</v>
      </c>
      <c r="L132" s="35"/>
      <c r="M132" s="37">
        <f t="shared" si="8"/>
        <v>0</v>
      </c>
    </row>
    <row r="133" spans="1:13" x14ac:dyDescent="0.25">
      <c r="A133" s="77"/>
      <c r="G133" s="13"/>
      <c r="H133" s="35">
        <v>128</v>
      </c>
      <c r="I133" s="36" t="str">
        <f t="shared" si="6"/>
        <v/>
      </c>
      <c r="J133" s="35">
        <f t="shared" si="9"/>
        <v>-3</v>
      </c>
      <c r="K133" s="35">
        <f t="shared" si="7"/>
        <v>-30</v>
      </c>
      <c r="L133" s="35"/>
      <c r="M133" s="37">
        <f t="shared" si="8"/>
        <v>0</v>
      </c>
    </row>
    <row r="134" spans="1:13" x14ac:dyDescent="0.25">
      <c r="A134" s="76"/>
      <c r="G134" s="13"/>
      <c r="H134" s="35">
        <v>129</v>
      </c>
      <c r="I134" s="36" t="str">
        <f t="shared" ref="I134:I197" si="10">IF(H134&lt;$H$2+1,($I$2-($I$2-1)*(LOG(H134)/LOG($H$2))),"")</f>
        <v/>
      </c>
      <c r="J134" s="35">
        <f t="shared" si="9"/>
        <v>-4</v>
      </c>
      <c r="K134" s="35">
        <f t="shared" ref="K134:K197" si="11">J134*$J$2</f>
        <v>-40</v>
      </c>
      <c r="L134" s="35"/>
      <c r="M134" s="37">
        <f t="shared" ref="M134:M197" si="12">IF(I134&lt;&gt;"",K134+I134+L134,0)</f>
        <v>0</v>
      </c>
    </row>
    <row r="135" spans="1:13" x14ac:dyDescent="0.25">
      <c r="A135" s="77"/>
      <c r="G135" s="13"/>
      <c r="H135" s="35">
        <v>130</v>
      </c>
      <c r="I135" s="36" t="str">
        <f t="shared" si="10"/>
        <v/>
      </c>
      <c r="J135" s="35">
        <f t="shared" ref="J135:J198" si="13">INT(LOG($H$2,2))-ROUNDUP(LOG(H135,2),0)+IF(OR($H$2=1,$H$2=2,$H$2=4,$H$2=8,$H$2=16,$H$2=32,$H$2=64,$H$2=128,$H$2=256),0,1)</f>
        <v>-4</v>
      </c>
      <c r="K135" s="35">
        <f t="shared" si="11"/>
        <v>-40</v>
      </c>
      <c r="L135" s="35"/>
      <c r="M135" s="37">
        <f t="shared" si="12"/>
        <v>0</v>
      </c>
    </row>
    <row r="136" spans="1:13" x14ac:dyDescent="0.25">
      <c r="A136" s="76"/>
      <c r="G136" s="13"/>
      <c r="H136" s="35">
        <v>131</v>
      </c>
      <c r="I136" s="36" t="str">
        <f t="shared" si="10"/>
        <v/>
      </c>
      <c r="J136" s="35">
        <f t="shared" si="13"/>
        <v>-4</v>
      </c>
      <c r="K136" s="35">
        <f t="shared" si="11"/>
        <v>-40</v>
      </c>
      <c r="L136" s="35"/>
      <c r="M136" s="37">
        <f t="shared" si="12"/>
        <v>0</v>
      </c>
    </row>
    <row r="137" spans="1:13" x14ac:dyDescent="0.25">
      <c r="A137" s="77"/>
      <c r="G137" s="13"/>
      <c r="H137" s="35">
        <v>132</v>
      </c>
      <c r="I137" s="36" t="str">
        <f t="shared" si="10"/>
        <v/>
      </c>
      <c r="J137" s="35">
        <f t="shared" si="13"/>
        <v>-4</v>
      </c>
      <c r="K137" s="35">
        <f t="shared" si="11"/>
        <v>-40</v>
      </c>
      <c r="L137" s="35"/>
      <c r="M137" s="37">
        <f t="shared" si="12"/>
        <v>0</v>
      </c>
    </row>
    <row r="138" spans="1:13" x14ac:dyDescent="0.25">
      <c r="A138" s="76"/>
      <c r="G138" s="13"/>
      <c r="H138" s="35">
        <v>133</v>
      </c>
      <c r="I138" s="36" t="str">
        <f t="shared" si="10"/>
        <v/>
      </c>
      <c r="J138" s="35">
        <f t="shared" si="13"/>
        <v>-4</v>
      </c>
      <c r="K138" s="35">
        <f t="shared" si="11"/>
        <v>-40</v>
      </c>
      <c r="L138" s="35"/>
      <c r="M138" s="37">
        <f t="shared" si="12"/>
        <v>0</v>
      </c>
    </row>
    <row r="139" spans="1:13" x14ac:dyDescent="0.25">
      <c r="A139" s="77"/>
      <c r="G139" s="13"/>
      <c r="H139" s="35">
        <v>134</v>
      </c>
      <c r="I139" s="36" t="str">
        <f t="shared" si="10"/>
        <v/>
      </c>
      <c r="J139" s="35">
        <f t="shared" si="13"/>
        <v>-4</v>
      </c>
      <c r="K139" s="35">
        <f t="shared" si="11"/>
        <v>-40</v>
      </c>
      <c r="L139" s="35"/>
      <c r="M139" s="37">
        <f t="shared" si="12"/>
        <v>0</v>
      </c>
    </row>
    <row r="140" spans="1:13" x14ac:dyDescent="0.25">
      <c r="A140" s="76"/>
      <c r="G140" s="13"/>
      <c r="H140" s="35">
        <v>135</v>
      </c>
      <c r="I140" s="36" t="str">
        <f t="shared" si="10"/>
        <v/>
      </c>
      <c r="J140" s="35">
        <f t="shared" si="13"/>
        <v>-4</v>
      </c>
      <c r="K140" s="35">
        <f t="shared" si="11"/>
        <v>-40</v>
      </c>
      <c r="L140" s="35"/>
      <c r="M140" s="37">
        <f t="shared" si="12"/>
        <v>0</v>
      </c>
    </row>
    <row r="141" spans="1:13" x14ac:dyDescent="0.25">
      <c r="A141" s="77"/>
      <c r="G141" s="13"/>
      <c r="H141" s="35">
        <v>136</v>
      </c>
      <c r="I141" s="36" t="str">
        <f t="shared" si="10"/>
        <v/>
      </c>
      <c r="J141" s="35">
        <f t="shared" si="13"/>
        <v>-4</v>
      </c>
      <c r="K141" s="35">
        <f t="shared" si="11"/>
        <v>-40</v>
      </c>
      <c r="L141" s="35"/>
      <c r="M141" s="37">
        <f t="shared" si="12"/>
        <v>0</v>
      </c>
    </row>
    <row r="142" spans="1:13" x14ac:dyDescent="0.25">
      <c r="A142" s="76"/>
      <c r="G142" s="13"/>
      <c r="H142" s="35">
        <v>137</v>
      </c>
      <c r="I142" s="36" t="str">
        <f t="shared" si="10"/>
        <v/>
      </c>
      <c r="J142" s="35">
        <f t="shared" si="13"/>
        <v>-4</v>
      </c>
      <c r="K142" s="35">
        <f t="shared" si="11"/>
        <v>-40</v>
      </c>
      <c r="L142" s="35"/>
      <c r="M142" s="37">
        <f t="shared" si="12"/>
        <v>0</v>
      </c>
    </row>
    <row r="143" spans="1:13" x14ac:dyDescent="0.25">
      <c r="A143" s="77"/>
      <c r="G143" s="13"/>
      <c r="H143" s="35">
        <v>138</v>
      </c>
      <c r="I143" s="36" t="str">
        <f t="shared" si="10"/>
        <v/>
      </c>
      <c r="J143" s="35">
        <f t="shared" si="13"/>
        <v>-4</v>
      </c>
      <c r="K143" s="35">
        <f t="shared" si="11"/>
        <v>-40</v>
      </c>
      <c r="L143" s="35"/>
      <c r="M143" s="37">
        <f t="shared" si="12"/>
        <v>0</v>
      </c>
    </row>
    <row r="144" spans="1:13" x14ac:dyDescent="0.25">
      <c r="A144" s="76"/>
      <c r="G144" s="13"/>
      <c r="H144" s="35">
        <v>139</v>
      </c>
      <c r="I144" s="36" t="str">
        <f t="shared" si="10"/>
        <v/>
      </c>
      <c r="J144" s="35">
        <f t="shared" si="13"/>
        <v>-4</v>
      </c>
      <c r="K144" s="35">
        <f t="shared" si="11"/>
        <v>-40</v>
      </c>
      <c r="L144" s="35"/>
      <c r="M144" s="37">
        <f t="shared" si="12"/>
        <v>0</v>
      </c>
    </row>
    <row r="145" spans="1:13" x14ac:dyDescent="0.25">
      <c r="A145" s="77"/>
      <c r="G145" s="13"/>
      <c r="H145" s="35">
        <v>140</v>
      </c>
      <c r="I145" s="36" t="str">
        <f t="shared" si="10"/>
        <v/>
      </c>
      <c r="J145" s="35">
        <f t="shared" si="13"/>
        <v>-4</v>
      </c>
      <c r="K145" s="35">
        <f t="shared" si="11"/>
        <v>-40</v>
      </c>
      <c r="L145" s="35"/>
      <c r="M145" s="37">
        <f t="shared" si="12"/>
        <v>0</v>
      </c>
    </row>
    <row r="146" spans="1:13" x14ac:dyDescent="0.25">
      <c r="A146" s="76"/>
      <c r="G146" s="13"/>
      <c r="H146" s="35">
        <v>141</v>
      </c>
      <c r="I146" s="36" t="str">
        <f t="shared" si="10"/>
        <v/>
      </c>
      <c r="J146" s="35">
        <f t="shared" si="13"/>
        <v>-4</v>
      </c>
      <c r="K146" s="35">
        <f t="shared" si="11"/>
        <v>-40</v>
      </c>
      <c r="L146" s="35"/>
      <c r="M146" s="37">
        <f t="shared" si="12"/>
        <v>0</v>
      </c>
    </row>
    <row r="147" spans="1:13" x14ac:dyDescent="0.25">
      <c r="A147" s="77"/>
      <c r="G147" s="13"/>
      <c r="H147" s="35">
        <v>142</v>
      </c>
      <c r="I147" s="36" t="str">
        <f t="shared" si="10"/>
        <v/>
      </c>
      <c r="J147" s="35">
        <f t="shared" si="13"/>
        <v>-4</v>
      </c>
      <c r="K147" s="35">
        <f t="shared" si="11"/>
        <v>-40</v>
      </c>
      <c r="L147" s="35"/>
      <c r="M147" s="37">
        <f t="shared" si="12"/>
        <v>0</v>
      </c>
    </row>
    <row r="148" spans="1:13" x14ac:dyDescent="0.25">
      <c r="A148" s="76"/>
      <c r="G148" s="13"/>
      <c r="H148" s="35">
        <v>143</v>
      </c>
      <c r="I148" s="36" t="str">
        <f t="shared" si="10"/>
        <v/>
      </c>
      <c r="J148" s="35">
        <f t="shared" si="13"/>
        <v>-4</v>
      </c>
      <c r="K148" s="35">
        <f t="shared" si="11"/>
        <v>-40</v>
      </c>
      <c r="L148" s="35"/>
      <c r="M148" s="37">
        <f t="shared" si="12"/>
        <v>0</v>
      </c>
    </row>
    <row r="149" spans="1:13" x14ac:dyDescent="0.25">
      <c r="A149" s="77"/>
      <c r="G149" s="13"/>
      <c r="H149" s="35">
        <v>144</v>
      </c>
      <c r="I149" s="36" t="str">
        <f t="shared" si="10"/>
        <v/>
      </c>
      <c r="J149" s="35">
        <f t="shared" si="13"/>
        <v>-4</v>
      </c>
      <c r="K149" s="35">
        <f t="shared" si="11"/>
        <v>-40</v>
      </c>
      <c r="L149" s="35"/>
      <c r="M149" s="37">
        <f t="shared" si="12"/>
        <v>0</v>
      </c>
    </row>
    <row r="150" spans="1:13" x14ac:dyDescent="0.25">
      <c r="A150" s="76"/>
      <c r="G150" s="13"/>
      <c r="H150" s="35">
        <v>145</v>
      </c>
      <c r="I150" s="36" t="str">
        <f t="shared" si="10"/>
        <v/>
      </c>
      <c r="J150" s="35">
        <f t="shared" si="13"/>
        <v>-4</v>
      </c>
      <c r="K150" s="35">
        <f t="shared" si="11"/>
        <v>-40</v>
      </c>
      <c r="L150" s="35"/>
      <c r="M150" s="37">
        <f t="shared" si="12"/>
        <v>0</v>
      </c>
    </row>
    <row r="151" spans="1:13" x14ac:dyDescent="0.25">
      <c r="A151" s="56"/>
      <c r="G151" s="13"/>
      <c r="H151" s="35">
        <v>146</v>
      </c>
      <c r="I151" s="36" t="str">
        <f t="shared" si="10"/>
        <v/>
      </c>
      <c r="J151" s="35">
        <f t="shared" si="13"/>
        <v>-4</v>
      </c>
      <c r="K151" s="35">
        <f t="shared" si="11"/>
        <v>-40</v>
      </c>
      <c r="L151" s="35"/>
      <c r="M151" s="37">
        <f t="shared" si="12"/>
        <v>0</v>
      </c>
    </row>
    <row r="152" spans="1:13" x14ac:dyDescent="0.25">
      <c r="A152" s="56"/>
      <c r="G152" s="13"/>
      <c r="H152" s="35">
        <v>147</v>
      </c>
      <c r="I152" s="36" t="str">
        <f t="shared" si="10"/>
        <v/>
      </c>
      <c r="J152" s="35">
        <f t="shared" si="13"/>
        <v>-4</v>
      </c>
      <c r="K152" s="35">
        <f t="shared" si="11"/>
        <v>-40</v>
      </c>
      <c r="L152" s="35"/>
      <c r="M152" s="37">
        <f t="shared" si="12"/>
        <v>0</v>
      </c>
    </row>
    <row r="153" spans="1:13" x14ac:dyDescent="0.25">
      <c r="A153" s="56"/>
      <c r="G153" s="13"/>
      <c r="H153" s="35">
        <v>148</v>
      </c>
      <c r="I153" s="36" t="str">
        <f t="shared" si="10"/>
        <v/>
      </c>
      <c r="J153" s="35">
        <f t="shared" si="13"/>
        <v>-4</v>
      </c>
      <c r="K153" s="35">
        <f t="shared" si="11"/>
        <v>-40</v>
      </c>
      <c r="L153" s="35"/>
      <c r="M153" s="37">
        <f t="shared" si="12"/>
        <v>0</v>
      </c>
    </row>
    <row r="154" spans="1:13" x14ac:dyDescent="0.25">
      <c r="A154" s="56"/>
      <c r="G154" s="13"/>
      <c r="H154" s="35">
        <v>149</v>
      </c>
      <c r="I154" s="36" t="str">
        <f t="shared" si="10"/>
        <v/>
      </c>
      <c r="J154" s="35">
        <f t="shared" si="13"/>
        <v>-4</v>
      </c>
      <c r="K154" s="35">
        <f t="shared" si="11"/>
        <v>-40</v>
      </c>
      <c r="L154" s="35"/>
      <c r="M154" s="37">
        <f t="shared" si="12"/>
        <v>0</v>
      </c>
    </row>
    <row r="155" spans="1:13" x14ac:dyDescent="0.25">
      <c r="A155" s="56"/>
      <c r="G155" s="13"/>
      <c r="H155" s="35">
        <v>150</v>
      </c>
      <c r="I155" s="36" t="str">
        <f t="shared" si="10"/>
        <v/>
      </c>
      <c r="J155" s="35">
        <f t="shared" si="13"/>
        <v>-4</v>
      </c>
      <c r="K155" s="35">
        <f t="shared" si="11"/>
        <v>-40</v>
      </c>
      <c r="L155" s="35"/>
      <c r="M155" s="37">
        <f t="shared" si="12"/>
        <v>0</v>
      </c>
    </row>
    <row r="156" spans="1:13" x14ac:dyDescent="0.25">
      <c r="A156" s="56"/>
      <c r="G156" s="13"/>
      <c r="H156" s="35">
        <v>151</v>
      </c>
      <c r="I156" s="36" t="str">
        <f t="shared" si="10"/>
        <v/>
      </c>
      <c r="J156" s="35">
        <f t="shared" si="13"/>
        <v>-4</v>
      </c>
      <c r="K156" s="35">
        <f t="shared" si="11"/>
        <v>-40</v>
      </c>
      <c r="L156" s="35"/>
      <c r="M156" s="37">
        <f t="shared" si="12"/>
        <v>0</v>
      </c>
    </row>
    <row r="157" spans="1:13" x14ac:dyDescent="0.25">
      <c r="A157" s="56"/>
      <c r="G157" s="13"/>
      <c r="H157" s="35">
        <v>152</v>
      </c>
      <c r="I157" s="36" t="str">
        <f t="shared" si="10"/>
        <v/>
      </c>
      <c r="J157" s="35">
        <f t="shared" si="13"/>
        <v>-4</v>
      </c>
      <c r="K157" s="35">
        <f t="shared" si="11"/>
        <v>-40</v>
      </c>
      <c r="L157" s="35"/>
      <c r="M157" s="37">
        <f t="shared" si="12"/>
        <v>0</v>
      </c>
    </row>
    <row r="158" spans="1:13" x14ac:dyDescent="0.25">
      <c r="A158" s="56"/>
      <c r="G158" s="13"/>
      <c r="H158" s="35">
        <v>153</v>
      </c>
      <c r="I158" s="36" t="str">
        <f t="shared" si="10"/>
        <v/>
      </c>
      <c r="J158" s="35">
        <f t="shared" si="13"/>
        <v>-4</v>
      </c>
      <c r="K158" s="35">
        <f t="shared" si="11"/>
        <v>-40</v>
      </c>
      <c r="L158" s="35"/>
      <c r="M158" s="37">
        <f t="shared" si="12"/>
        <v>0</v>
      </c>
    </row>
    <row r="159" spans="1:13" x14ac:dyDescent="0.25">
      <c r="A159" s="56"/>
      <c r="G159" s="13"/>
      <c r="H159" s="35">
        <v>154</v>
      </c>
      <c r="I159" s="36" t="str">
        <f t="shared" si="10"/>
        <v/>
      </c>
      <c r="J159" s="35">
        <f t="shared" si="13"/>
        <v>-4</v>
      </c>
      <c r="K159" s="35">
        <f t="shared" si="11"/>
        <v>-40</v>
      </c>
      <c r="L159" s="35"/>
      <c r="M159" s="37">
        <f t="shared" si="12"/>
        <v>0</v>
      </c>
    </row>
    <row r="160" spans="1:13" x14ac:dyDescent="0.25">
      <c r="A160" s="56"/>
      <c r="G160" s="13"/>
      <c r="H160" s="35">
        <v>155</v>
      </c>
      <c r="I160" s="36" t="str">
        <f t="shared" si="10"/>
        <v/>
      </c>
      <c r="J160" s="35">
        <f t="shared" si="13"/>
        <v>-4</v>
      </c>
      <c r="K160" s="35">
        <f t="shared" si="11"/>
        <v>-40</v>
      </c>
      <c r="L160" s="35"/>
      <c r="M160" s="37">
        <f t="shared" si="12"/>
        <v>0</v>
      </c>
    </row>
    <row r="161" spans="1:13" x14ac:dyDescent="0.25">
      <c r="A161" s="56"/>
      <c r="G161" s="13"/>
      <c r="H161" s="35">
        <v>156</v>
      </c>
      <c r="I161" s="36" t="str">
        <f t="shared" si="10"/>
        <v/>
      </c>
      <c r="J161" s="35">
        <f t="shared" si="13"/>
        <v>-4</v>
      </c>
      <c r="K161" s="35">
        <f t="shared" si="11"/>
        <v>-40</v>
      </c>
      <c r="L161" s="35"/>
      <c r="M161" s="37">
        <f t="shared" si="12"/>
        <v>0</v>
      </c>
    </row>
    <row r="162" spans="1:13" x14ac:dyDescent="0.25">
      <c r="A162" s="56"/>
      <c r="G162" s="13"/>
      <c r="H162" s="35">
        <v>157</v>
      </c>
      <c r="I162" s="36" t="str">
        <f t="shared" si="10"/>
        <v/>
      </c>
      <c r="J162" s="35">
        <f t="shared" si="13"/>
        <v>-4</v>
      </c>
      <c r="K162" s="35">
        <f t="shared" si="11"/>
        <v>-40</v>
      </c>
      <c r="L162" s="35"/>
      <c r="M162" s="37">
        <f t="shared" si="12"/>
        <v>0</v>
      </c>
    </row>
    <row r="163" spans="1:13" x14ac:dyDescent="0.25">
      <c r="A163" s="56"/>
      <c r="G163" s="13"/>
      <c r="H163" s="35">
        <v>158</v>
      </c>
      <c r="I163" s="36" t="str">
        <f t="shared" si="10"/>
        <v/>
      </c>
      <c r="J163" s="35">
        <f t="shared" si="13"/>
        <v>-4</v>
      </c>
      <c r="K163" s="35">
        <f t="shared" si="11"/>
        <v>-40</v>
      </c>
      <c r="L163" s="35"/>
      <c r="M163" s="37">
        <f t="shared" si="12"/>
        <v>0</v>
      </c>
    </row>
    <row r="164" spans="1:13" x14ac:dyDescent="0.25">
      <c r="A164" s="56"/>
      <c r="G164" s="13"/>
      <c r="H164" s="35">
        <v>159</v>
      </c>
      <c r="I164" s="36" t="str">
        <f t="shared" si="10"/>
        <v/>
      </c>
      <c r="J164" s="35">
        <f t="shared" si="13"/>
        <v>-4</v>
      </c>
      <c r="K164" s="35">
        <f t="shared" si="11"/>
        <v>-40</v>
      </c>
      <c r="L164" s="35"/>
      <c r="M164" s="37">
        <f t="shared" si="12"/>
        <v>0</v>
      </c>
    </row>
    <row r="165" spans="1:13" x14ac:dyDescent="0.25">
      <c r="A165" s="56"/>
      <c r="G165" s="13"/>
      <c r="H165" s="35">
        <v>160</v>
      </c>
      <c r="I165" s="36" t="str">
        <f t="shared" si="10"/>
        <v/>
      </c>
      <c r="J165" s="35">
        <f t="shared" si="13"/>
        <v>-4</v>
      </c>
      <c r="K165" s="35">
        <f t="shared" si="11"/>
        <v>-40</v>
      </c>
      <c r="L165" s="35"/>
      <c r="M165" s="37">
        <f t="shared" si="12"/>
        <v>0</v>
      </c>
    </row>
    <row r="166" spans="1:13" x14ac:dyDescent="0.25">
      <c r="A166" s="56"/>
      <c r="G166" s="13"/>
      <c r="H166" s="35">
        <v>161</v>
      </c>
      <c r="I166" s="36" t="str">
        <f t="shared" si="10"/>
        <v/>
      </c>
      <c r="J166" s="35">
        <f t="shared" si="13"/>
        <v>-4</v>
      </c>
      <c r="K166" s="35">
        <f t="shared" si="11"/>
        <v>-40</v>
      </c>
      <c r="L166" s="35"/>
      <c r="M166" s="37">
        <f t="shared" si="12"/>
        <v>0</v>
      </c>
    </row>
    <row r="167" spans="1:13" x14ac:dyDescent="0.25">
      <c r="A167" s="56"/>
      <c r="G167" s="13"/>
      <c r="H167" s="35">
        <v>162</v>
      </c>
      <c r="I167" s="36" t="str">
        <f t="shared" si="10"/>
        <v/>
      </c>
      <c r="J167" s="35">
        <f t="shared" si="13"/>
        <v>-4</v>
      </c>
      <c r="K167" s="35">
        <f t="shared" si="11"/>
        <v>-40</v>
      </c>
      <c r="L167" s="35"/>
      <c r="M167" s="37">
        <f t="shared" si="12"/>
        <v>0</v>
      </c>
    </row>
    <row r="168" spans="1:13" x14ac:dyDescent="0.25">
      <c r="A168" s="56"/>
      <c r="G168" s="13"/>
      <c r="H168" s="35">
        <v>163</v>
      </c>
      <c r="I168" s="36" t="str">
        <f t="shared" si="10"/>
        <v/>
      </c>
      <c r="J168" s="35">
        <f t="shared" si="13"/>
        <v>-4</v>
      </c>
      <c r="K168" s="35">
        <f t="shared" si="11"/>
        <v>-40</v>
      </c>
      <c r="L168" s="35"/>
      <c r="M168" s="37">
        <f t="shared" si="12"/>
        <v>0</v>
      </c>
    </row>
    <row r="169" spans="1:13" x14ac:dyDescent="0.25">
      <c r="A169" s="56"/>
      <c r="G169" s="13"/>
      <c r="H169" s="35">
        <v>164</v>
      </c>
      <c r="I169" s="36" t="str">
        <f t="shared" si="10"/>
        <v/>
      </c>
      <c r="J169" s="35">
        <f t="shared" si="13"/>
        <v>-4</v>
      </c>
      <c r="K169" s="35">
        <f t="shared" si="11"/>
        <v>-40</v>
      </c>
      <c r="L169" s="35"/>
      <c r="M169" s="37">
        <f t="shared" si="12"/>
        <v>0</v>
      </c>
    </row>
    <row r="170" spans="1:13" x14ac:dyDescent="0.25">
      <c r="A170" s="56"/>
      <c r="G170" s="13"/>
      <c r="H170" s="35">
        <v>165</v>
      </c>
      <c r="I170" s="36" t="str">
        <f t="shared" si="10"/>
        <v/>
      </c>
      <c r="J170" s="35">
        <f t="shared" si="13"/>
        <v>-4</v>
      </c>
      <c r="K170" s="35">
        <f t="shared" si="11"/>
        <v>-40</v>
      </c>
      <c r="L170" s="35"/>
      <c r="M170" s="37">
        <f t="shared" si="12"/>
        <v>0</v>
      </c>
    </row>
    <row r="171" spans="1:13" x14ac:dyDescent="0.25">
      <c r="A171" s="56"/>
      <c r="G171" s="13"/>
      <c r="H171" s="35">
        <v>166</v>
      </c>
      <c r="I171" s="36" t="str">
        <f t="shared" si="10"/>
        <v/>
      </c>
      <c r="J171" s="35">
        <f t="shared" si="13"/>
        <v>-4</v>
      </c>
      <c r="K171" s="35">
        <f t="shared" si="11"/>
        <v>-40</v>
      </c>
      <c r="L171" s="35"/>
      <c r="M171" s="37">
        <f t="shared" si="12"/>
        <v>0</v>
      </c>
    </row>
    <row r="172" spans="1:13" x14ac:dyDescent="0.25">
      <c r="A172" s="56"/>
      <c r="G172" s="13"/>
      <c r="H172" s="35">
        <v>167</v>
      </c>
      <c r="I172" s="36" t="str">
        <f t="shared" si="10"/>
        <v/>
      </c>
      <c r="J172" s="35">
        <f t="shared" si="13"/>
        <v>-4</v>
      </c>
      <c r="K172" s="35">
        <f t="shared" si="11"/>
        <v>-40</v>
      </c>
      <c r="L172" s="35"/>
      <c r="M172" s="37">
        <f t="shared" si="12"/>
        <v>0</v>
      </c>
    </row>
    <row r="173" spans="1:13" x14ac:dyDescent="0.25">
      <c r="A173" s="56"/>
      <c r="G173" s="13"/>
      <c r="H173" s="35">
        <v>168</v>
      </c>
      <c r="I173" s="36" t="str">
        <f t="shared" si="10"/>
        <v/>
      </c>
      <c r="J173" s="35">
        <f t="shared" si="13"/>
        <v>-4</v>
      </c>
      <c r="K173" s="35">
        <f t="shared" si="11"/>
        <v>-40</v>
      </c>
      <c r="L173" s="35"/>
      <c r="M173" s="37">
        <f t="shared" si="12"/>
        <v>0</v>
      </c>
    </row>
    <row r="174" spans="1:13" x14ac:dyDescent="0.25">
      <c r="A174" s="56"/>
      <c r="G174" s="13"/>
      <c r="H174" s="35">
        <v>169</v>
      </c>
      <c r="I174" s="36" t="str">
        <f t="shared" si="10"/>
        <v/>
      </c>
      <c r="J174" s="35">
        <f t="shared" si="13"/>
        <v>-4</v>
      </c>
      <c r="K174" s="35">
        <f t="shared" si="11"/>
        <v>-40</v>
      </c>
      <c r="L174" s="35"/>
      <c r="M174" s="37">
        <f t="shared" si="12"/>
        <v>0</v>
      </c>
    </row>
    <row r="175" spans="1:13" x14ac:dyDescent="0.25">
      <c r="A175" s="56"/>
      <c r="G175" s="13"/>
      <c r="H175" s="35">
        <v>170</v>
      </c>
      <c r="I175" s="36" t="str">
        <f t="shared" si="10"/>
        <v/>
      </c>
      <c r="J175" s="35">
        <f t="shared" si="13"/>
        <v>-4</v>
      </c>
      <c r="K175" s="35">
        <f t="shared" si="11"/>
        <v>-40</v>
      </c>
      <c r="L175" s="35"/>
      <c r="M175" s="37">
        <f t="shared" si="12"/>
        <v>0</v>
      </c>
    </row>
    <row r="176" spans="1:13" x14ac:dyDescent="0.25">
      <c r="A176" s="56"/>
      <c r="G176" s="13"/>
      <c r="H176" s="35">
        <v>171</v>
      </c>
      <c r="I176" s="36" t="str">
        <f t="shared" si="10"/>
        <v/>
      </c>
      <c r="J176" s="35">
        <f t="shared" si="13"/>
        <v>-4</v>
      </c>
      <c r="K176" s="35">
        <f t="shared" si="11"/>
        <v>-40</v>
      </c>
      <c r="L176" s="35"/>
      <c r="M176" s="37">
        <f t="shared" si="12"/>
        <v>0</v>
      </c>
    </row>
    <row r="177" spans="1:13" x14ac:dyDescent="0.25">
      <c r="A177" s="56"/>
      <c r="G177" s="13"/>
      <c r="H177" s="35">
        <v>172</v>
      </c>
      <c r="I177" s="36" t="str">
        <f t="shared" si="10"/>
        <v/>
      </c>
      <c r="J177" s="35">
        <f t="shared" si="13"/>
        <v>-4</v>
      </c>
      <c r="K177" s="35">
        <f t="shared" si="11"/>
        <v>-40</v>
      </c>
      <c r="L177" s="35"/>
      <c r="M177" s="37">
        <f t="shared" si="12"/>
        <v>0</v>
      </c>
    </row>
    <row r="178" spans="1:13" x14ac:dyDescent="0.25">
      <c r="A178" s="56"/>
      <c r="G178" s="13"/>
      <c r="H178" s="35">
        <v>173</v>
      </c>
      <c r="I178" s="36" t="str">
        <f t="shared" si="10"/>
        <v/>
      </c>
      <c r="J178" s="35">
        <f t="shared" si="13"/>
        <v>-4</v>
      </c>
      <c r="K178" s="35">
        <f t="shared" si="11"/>
        <v>-40</v>
      </c>
      <c r="L178" s="35"/>
      <c r="M178" s="37">
        <f t="shared" si="12"/>
        <v>0</v>
      </c>
    </row>
    <row r="179" spans="1:13" x14ac:dyDescent="0.25">
      <c r="A179" s="56"/>
      <c r="G179" s="13"/>
      <c r="H179" s="35">
        <v>174</v>
      </c>
      <c r="I179" s="36" t="str">
        <f t="shared" si="10"/>
        <v/>
      </c>
      <c r="J179" s="35">
        <f t="shared" si="13"/>
        <v>-4</v>
      </c>
      <c r="K179" s="35">
        <f t="shared" si="11"/>
        <v>-40</v>
      </c>
      <c r="L179" s="35"/>
      <c r="M179" s="37">
        <f t="shared" si="12"/>
        <v>0</v>
      </c>
    </row>
    <row r="180" spans="1:13" x14ac:dyDescent="0.25">
      <c r="A180" s="56"/>
      <c r="G180" s="13"/>
      <c r="H180" s="35">
        <v>175</v>
      </c>
      <c r="I180" s="36" t="str">
        <f t="shared" si="10"/>
        <v/>
      </c>
      <c r="J180" s="35">
        <f t="shared" si="13"/>
        <v>-4</v>
      </c>
      <c r="K180" s="35">
        <f t="shared" si="11"/>
        <v>-40</v>
      </c>
      <c r="L180" s="35"/>
      <c r="M180" s="37">
        <f t="shared" si="12"/>
        <v>0</v>
      </c>
    </row>
    <row r="181" spans="1:13" x14ac:dyDescent="0.25">
      <c r="A181" s="56"/>
      <c r="G181" s="13"/>
      <c r="H181" s="35">
        <v>176</v>
      </c>
      <c r="I181" s="36" t="str">
        <f t="shared" si="10"/>
        <v/>
      </c>
      <c r="J181" s="35">
        <f t="shared" si="13"/>
        <v>-4</v>
      </c>
      <c r="K181" s="35">
        <f t="shared" si="11"/>
        <v>-40</v>
      </c>
      <c r="L181" s="35"/>
      <c r="M181" s="37">
        <f t="shared" si="12"/>
        <v>0</v>
      </c>
    </row>
    <row r="182" spans="1:13" x14ac:dyDescent="0.25">
      <c r="A182" s="56"/>
      <c r="G182" s="13"/>
      <c r="H182" s="35">
        <v>177</v>
      </c>
      <c r="I182" s="36" t="str">
        <f t="shared" si="10"/>
        <v/>
      </c>
      <c r="J182" s="35">
        <f t="shared" si="13"/>
        <v>-4</v>
      </c>
      <c r="K182" s="35">
        <f t="shared" si="11"/>
        <v>-40</v>
      </c>
      <c r="L182" s="35"/>
      <c r="M182" s="37">
        <f t="shared" si="12"/>
        <v>0</v>
      </c>
    </row>
    <row r="183" spans="1:13" x14ac:dyDescent="0.25">
      <c r="A183" s="56"/>
      <c r="G183" s="13"/>
      <c r="H183" s="35">
        <v>178</v>
      </c>
      <c r="I183" s="36" t="str">
        <f t="shared" si="10"/>
        <v/>
      </c>
      <c r="J183" s="35">
        <f t="shared" si="13"/>
        <v>-4</v>
      </c>
      <c r="K183" s="35">
        <f t="shared" si="11"/>
        <v>-40</v>
      </c>
      <c r="L183" s="35"/>
      <c r="M183" s="37">
        <f t="shared" si="12"/>
        <v>0</v>
      </c>
    </row>
    <row r="184" spans="1:13" x14ac:dyDescent="0.25">
      <c r="A184" s="56"/>
      <c r="G184" s="13"/>
      <c r="H184" s="35">
        <v>179</v>
      </c>
      <c r="I184" s="36" t="str">
        <f t="shared" si="10"/>
        <v/>
      </c>
      <c r="J184" s="35">
        <f t="shared" si="13"/>
        <v>-4</v>
      </c>
      <c r="K184" s="35">
        <f t="shared" si="11"/>
        <v>-40</v>
      </c>
      <c r="L184" s="35"/>
      <c r="M184" s="37">
        <f t="shared" si="12"/>
        <v>0</v>
      </c>
    </row>
    <row r="185" spans="1:13" x14ac:dyDescent="0.25">
      <c r="A185" s="56"/>
      <c r="G185" s="13"/>
      <c r="H185" s="35">
        <v>180</v>
      </c>
      <c r="I185" s="36" t="str">
        <f t="shared" si="10"/>
        <v/>
      </c>
      <c r="J185" s="35">
        <f t="shared" si="13"/>
        <v>-4</v>
      </c>
      <c r="K185" s="35">
        <f t="shared" si="11"/>
        <v>-40</v>
      </c>
      <c r="L185" s="35"/>
      <c r="M185" s="37">
        <f t="shared" si="12"/>
        <v>0</v>
      </c>
    </row>
    <row r="186" spans="1:13" x14ac:dyDescent="0.25">
      <c r="A186" s="56"/>
      <c r="G186" s="13"/>
      <c r="H186" s="35">
        <v>181</v>
      </c>
      <c r="I186" s="36" t="str">
        <f t="shared" si="10"/>
        <v/>
      </c>
      <c r="J186" s="35">
        <f t="shared" si="13"/>
        <v>-4</v>
      </c>
      <c r="K186" s="35">
        <f t="shared" si="11"/>
        <v>-40</v>
      </c>
      <c r="L186" s="35"/>
      <c r="M186" s="37">
        <f t="shared" si="12"/>
        <v>0</v>
      </c>
    </row>
    <row r="187" spans="1:13" x14ac:dyDescent="0.25">
      <c r="A187" s="56"/>
      <c r="G187" s="13"/>
      <c r="H187" s="35">
        <v>182</v>
      </c>
      <c r="I187" s="36" t="str">
        <f t="shared" si="10"/>
        <v/>
      </c>
      <c r="J187" s="35">
        <f t="shared" si="13"/>
        <v>-4</v>
      </c>
      <c r="K187" s="35">
        <f t="shared" si="11"/>
        <v>-40</v>
      </c>
      <c r="L187" s="35"/>
      <c r="M187" s="37">
        <f t="shared" si="12"/>
        <v>0</v>
      </c>
    </row>
    <row r="188" spans="1:13" x14ac:dyDescent="0.25">
      <c r="A188" s="56"/>
      <c r="G188" s="13"/>
      <c r="H188" s="35">
        <v>183</v>
      </c>
      <c r="I188" s="36" t="str">
        <f t="shared" si="10"/>
        <v/>
      </c>
      <c r="J188" s="35">
        <f t="shared" si="13"/>
        <v>-4</v>
      </c>
      <c r="K188" s="35">
        <f t="shared" si="11"/>
        <v>-40</v>
      </c>
      <c r="L188" s="35"/>
      <c r="M188" s="37">
        <f t="shared" si="12"/>
        <v>0</v>
      </c>
    </row>
    <row r="189" spans="1:13" x14ac:dyDescent="0.25">
      <c r="A189" s="56"/>
      <c r="G189" s="13"/>
      <c r="H189" s="35">
        <v>184</v>
      </c>
      <c r="I189" s="36" t="str">
        <f t="shared" si="10"/>
        <v/>
      </c>
      <c r="J189" s="35">
        <f t="shared" si="13"/>
        <v>-4</v>
      </c>
      <c r="K189" s="35">
        <f t="shared" si="11"/>
        <v>-40</v>
      </c>
      <c r="L189" s="35"/>
      <c r="M189" s="37">
        <f t="shared" si="12"/>
        <v>0</v>
      </c>
    </row>
    <row r="190" spans="1:13" x14ac:dyDescent="0.25">
      <c r="A190" s="56"/>
      <c r="G190" s="13"/>
      <c r="H190" s="35">
        <v>185</v>
      </c>
      <c r="I190" s="36" t="str">
        <f t="shared" si="10"/>
        <v/>
      </c>
      <c r="J190" s="35">
        <f t="shared" si="13"/>
        <v>-4</v>
      </c>
      <c r="K190" s="35">
        <f t="shared" si="11"/>
        <v>-40</v>
      </c>
      <c r="L190" s="35"/>
      <c r="M190" s="37">
        <f t="shared" si="12"/>
        <v>0</v>
      </c>
    </row>
    <row r="191" spans="1:13" x14ac:dyDescent="0.25">
      <c r="A191" s="56"/>
      <c r="G191" s="13"/>
      <c r="H191" s="35">
        <v>186</v>
      </c>
      <c r="I191" s="36" t="str">
        <f t="shared" si="10"/>
        <v/>
      </c>
      <c r="J191" s="35">
        <f t="shared" si="13"/>
        <v>-4</v>
      </c>
      <c r="K191" s="35">
        <f t="shared" si="11"/>
        <v>-40</v>
      </c>
      <c r="L191" s="35"/>
      <c r="M191" s="37">
        <f t="shared" si="12"/>
        <v>0</v>
      </c>
    </row>
    <row r="192" spans="1:13" x14ac:dyDescent="0.25">
      <c r="A192" s="56"/>
      <c r="G192" s="13"/>
      <c r="H192" s="35">
        <v>187</v>
      </c>
      <c r="I192" s="36" t="str">
        <f t="shared" si="10"/>
        <v/>
      </c>
      <c r="J192" s="35">
        <f t="shared" si="13"/>
        <v>-4</v>
      </c>
      <c r="K192" s="35">
        <f t="shared" si="11"/>
        <v>-40</v>
      </c>
      <c r="L192" s="35"/>
      <c r="M192" s="37">
        <f t="shared" si="12"/>
        <v>0</v>
      </c>
    </row>
    <row r="193" spans="1:13" x14ac:dyDescent="0.25">
      <c r="A193" s="56"/>
      <c r="G193" s="13"/>
      <c r="H193" s="35">
        <v>188</v>
      </c>
      <c r="I193" s="36" t="str">
        <f t="shared" si="10"/>
        <v/>
      </c>
      <c r="J193" s="35">
        <f t="shared" si="13"/>
        <v>-4</v>
      </c>
      <c r="K193" s="35">
        <f t="shared" si="11"/>
        <v>-40</v>
      </c>
      <c r="L193" s="35"/>
      <c r="M193" s="37">
        <f t="shared" si="12"/>
        <v>0</v>
      </c>
    </row>
    <row r="194" spans="1:13" x14ac:dyDescent="0.25">
      <c r="A194" s="56"/>
      <c r="G194" s="13"/>
      <c r="H194" s="35">
        <v>189</v>
      </c>
      <c r="I194" s="36" t="str">
        <f t="shared" si="10"/>
        <v/>
      </c>
      <c r="J194" s="35">
        <f t="shared" si="13"/>
        <v>-4</v>
      </c>
      <c r="K194" s="35">
        <f t="shared" si="11"/>
        <v>-40</v>
      </c>
      <c r="L194" s="35"/>
      <c r="M194" s="37">
        <f t="shared" si="12"/>
        <v>0</v>
      </c>
    </row>
    <row r="195" spans="1:13" x14ac:dyDescent="0.25">
      <c r="A195" s="56"/>
      <c r="G195" s="13"/>
      <c r="H195" s="35">
        <v>190</v>
      </c>
      <c r="I195" s="36" t="str">
        <f t="shared" si="10"/>
        <v/>
      </c>
      <c r="J195" s="35">
        <f t="shared" si="13"/>
        <v>-4</v>
      </c>
      <c r="K195" s="35">
        <f t="shared" si="11"/>
        <v>-40</v>
      </c>
      <c r="L195" s="35"/>
      <c r="M195" s="37">
        <f t="shared" si="12"/>
        <v>0</v>
      </c>
    </row>
    <row r="196" spans="1:13" x14ac:dyDescent="0.25">
      <c r="A196" s="56"/>
      <c r="G196" s="13"/>
      <c r="H196" s="35">
        <v>191</v>
      </c>
      <c r="I196" s="36" t="str">
        <f t="shared" si="10"/>
        <v/>
      </c>
      <c r="J196" s="35">
        <f t="shared" si="13"/>
        <v>-4</v>
      </c>
      <c r="K196" s="35">
        <f t="shared" si="11"/>
        <v>-40</v>
      </c>
      <c r="L196" s="35"/>
      <c r="M196" s="37">
        <f t="shared" si="12"/>
        <v>0</v>
      </c>
    </row>
    <row r="197" spans="1:13" x14ac:dyDescent="0.25">
      <c r="A197" s="56"/>
      <c r="G197" s="13"/>
      <c r="H197" s="35">
        <v>192</v>
      </c>
      <c r="I197" s="36" t="str">
        <f t="shared" si="10"/>
        <v/>
      </c>
      <c r="J197" s="35">
        <f t="shared" si="13"/>
        <v>-4</v>
      </c>
      <c r="K197" s="35">
        <f t="shared" si="11"/>
        <v>-40</v>
      </c>
      <c r="L197" s="35"/>
      <c r="M197" s="37">
        <f t="shared" si="12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4">IF(H198&lt;$H$2+1,($I$2-($I$2-1)*(LOG(H198)/LOG($H$2))),"")</f>
        <v/>
      </c>
      <c r="J198" s="35">
        <f t="shared" si="13"/>
        <v>-4</v>
      </c>
      <c r="K198" s="35">
        <f t="shared" ref="K198:K261" si="15">J198*$J$2</f>
        <v>-40</v>
      </c>
      <c r="L198" s="35"/>
      <c r="M198" s="37">
        <f t="shared" ref="M198:M261" si="16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4"/>
        <v/>
      </c>
      <c r="J199" s="35">
        <f t="shared" ref="J199:J262" si="17">INT(LOG($H$2,2))-ROUNDUP(LOG(H199,2),0)+IF(OR($H$2=1,$H$2=2,$H$2=4,$H$2=8,$H$2=16,$H$2=32,$H$2=64,$H$2=128,$H$2=256),0,1)</f>
        <v>-4</v>
      </c>
      <c r="K199" s="35">
        <f t="shared" si="15"/>
        <v>-40</v>
      </c>
      <c r="L199" s="35"/>
      <c r="M199" s="37">
        <f t="shared" si="16"/>
        <v>0</v>
      </c>
    </row>
    <row r="200" spans="1:13" x14ac:dyDescent="0.25">
      <c r="A200" s="56"/>
      <c r="G200" s="13"/>
      <c r="H200" s="35">
        <v>195</v>
      </c>
      <c r="I200" s="36" t="str">
        <f t="shared" si="14"/>
        <v/>
      </c>
      <c r="J200" s="35">
        <f t="shared" si="17"/>
        <v>-4</v>
      </c>
      <c r="K200" s="35">
        <f t="shared" si="15"/>
        <v>-40</v>
      </c>
      <c r="L200" s="35"/>
      <c r="M200" s="37">
        <f t="shared" si="16"/>
        <v>0</v>
      </c>
    </row>
    <row r="201" spans="1:13" x14ac:dyDescent="0.25">
      <c r="A201" s="56"/>
      <c r="G201" s="13"/>
      <c r="H201" s="35">
        <v>196</v>
      </c>
      <c r="I201" s="36" t="str">
        <f t="shared" si="14"/>
        <v/>
      </c>
      <c r="J201" s="35">
        <f t="shared" si="17"/>
        <v>-4</v>
      </c>
      <c r="K201" s="35">
        <f t="shared" si="15"/>
        <v>-40</v>
      </c>
      <c r="L201" s="35"/>
      <c r="M201" s="37">
        <f t="shared" si="16"/>
        <v>0</v>
      </c>
    </row>
    <row r="202" spans="1:13" x14ac:dyDescent="0.25">
      <c r="A202" s="56"/>
      <c r="G202" s="13"/>
      <c r="H202" s="35">
        <v>197</v>
      </c>
      <c r="I202" s="36" t="str">
        <f t="shared" si="14"/>
        <v/>
      </c>
      <c r="J202" s="35">
        <f t="shared" si="17"/>
        <v>-4</v>
      </c>
      <c r="K202" s="35">
        <f t="shared" si="15"/>
        <v>-40</v>
      </c>
      <c r="L202" s="35"/>
      <c r="M202" s="37">
        <f t="shared" si="16"/>
        <v>0</v>
      </c>
    </row>
    <row r="203" spans="1:13" x14ac:dyDescent="0.25">
      <c r="A203" s="56"/>
      <c r="G203" s="13"/>
      <c r="H203" s="35">
        <v>198</v>
      </c>
      <c r="I203" s="36" t="str">
        <f t="shared" si="14"/>
        <v/>
      </c>
      <c r="J203" s="35">
        <f t="shared" si="17"/>
        <v>-4</v>
      </c>
      <c r="K203" s="35">
        <f t="shared" si="15"/>
        <v>-40</v>
      </c>
      <c r="L203" s="35"/>
      <c r="M203" s="37">
        <f t="shared" si="16"/>
        <v>0</v>
      </c>
    </row>
    <row r="204" spans="1:13" x14ac:dyDescent="0.25">
      <c r="A204" s="56"/>
      <c r="G204" s="13"/>
      <c r="H204" s="35">
        <v>199</v>
      </c>
      <c r="I204" s="36" t="str">
        <f t="shared" si="14"/>
        <v/>
      </c>
      <c r="J204" s="35">
        <f t="shared" si="17"/>
        <v>-4</v>
      </c>
      <c r="K204" s="35">
        <f t="shared" si="15"/>
        <v>-40</v>
      </c>
      <c r="L204" s="35"/>
      <c r="M204" s="37">
        <f t="shared" si="16"/>
        <v>0</v>
      </c>
    </row>
    <row r="205" spans="1:13" x14ac:dyDescent="0.25">
      <c r="A205" s="56"/>
      <c r="G205" s="13"/>
      <c r="H205" s="35">
        <v>200</v>
      </c>
      <c r="I205" s="36" t="str">
        <f t="shared" si="14"/>
        <v/>
      </c>
      <c r="J205" s="35">
        <f t="shared" si="17"/>
        <v>-4</v>
      </c>
      <c r="K205" s="35">
        <f t="shared" si="15"/>
        <v>-40</v>
      </c>
      <c r="L205" s="35"/>
      <c r="M205" s="37">
        <f t="shared" si="16"/>
        <v>0</v>
      </c>
    </row>
    <row r="206" spans="1:13" x14ac:dyDescent="0.25">
      <c r="A206" s="56"/>
      <c r="G206" s="13"/>
      <c r="H206" s="35">
        <v>201</v>
      </c>
      <c r="I206" s="36" t="str">
        <f t="shared" si="14"/>
        <v/>
      </c>
      <c r="J206" s="35">
        <f t="shared" si="17"/>
        <v>-4</v>
      </c>
      <c r="K206" s="35">
        <f t="shared" si="15"/>
        <v>-40</v>
      </c>
      <c r="L206" s="35"/>
      <c r="M206" s="37">
        <f t="shared" si="16"/>
        <v>0</v>
      </c>
    </row>
    <row r="207" spans="1:13" x14ac:dyDescent="0.25">
      <c r="A207" s="56"/>
      <c r="G207" s="13"/>
      <c r="H207" s="35">
        <v>202</v>
      </c>
      <c r="I207" s="36" t="str">
        <f t="shared" si="14"/>
        <v/>
      </c>
      <c r="J207" s="35">
        <f t="shared" si="17"/>
        <v>-4</v>
      </c>
      <c r="K207" s="35">
        <f t="shared" si="15"/>
        <v>-40</v>
      </c>
      <c r="L207" s="35"/>
      <c r="M207" s="37">
        <f t="shared" si="16"/>
        <v>0</v>
      </c>
    </row>
    <row r="208" spans="1:13" x14ac:dyDescent="0.25">
      <c r="A208" s="56"/>
      <c r="G208" s="13"/>
      <c r="H208" s="35">
        <v>203</v>
      </c>
      <c r="I208" s="36" t="str">
        <f t="shared" si="14"/>
        <v/>
      </c>
      <c r="J208" s="35">
        <f t="shared" si="17"/>
        <v>-4</v>
      </c>
      <c r="K208" s="35">
        <f t="shared" si="15"/>
        <v>-40</v>
      </c>
      <c r="L208" s="35"/>
      <c r="M208" s="37">
        <f t="shared" si="16"/>
        <v>0</v>
      </c>
    </row>
    <row r="209" spans="1:13" x14ac:dyDescent="0.25">
      <c r="A209" s="56"/>
      <c r="G209" s="13"/>
      <c r="H209" s="35">
        <v>204</v>
      </c>
      <c r="I209" s="36" t="str">
        <f t="shared" si="14"/>
        <v/>
      </c>
      <c r="J209" s="35">
        <f t="shared" si="17"/>
        <v>-4</v>
      </c>
      <c r="K209" s="35">
        <f t="shared" si="15"/>
        <v>-40</v>
      </c>
      <c r="L209" s="35"/>
      <c r="M209" s="37">
        <f t="shared" si="16"/>
        <v>0</v>
      </c>
    </row>
    <row r="210" spans="1:13" x14ac:dyDescent="0.25">
      <c r="A210" s="56"/>
      <c r="G210" s="13"/>
      <c r="H210" s="35">
        <v>205</v>
      </c>
      <c r="I210" s="36" t="str">
        <f t="shared" si="14"/>
        <v/>
      </c>
      <c r="J210" s="35">
        <f t="shared" si="17"/>
        <v>-4</v>
      </c>
      <c r="K210" s="35">
        <f t="shared" si="15"/>
        <v>-40</v>
      </c>
      <c r="L210" s="35"/>
      <c r="M210" s="37">
        <f t="shared" si="16"/>
        <v>0</v>
      </c>
    </row>
    <row r="211" spans="1:13" x14ac:dyDescent="0.25">
      <c r="A211" s="56"/>
      <c r="G211" s="13"/>
      <c r="H211" s="35">
        <v>206</v>
      </c>
      <c r="I211" s="36" t="str">
        <f t="shared" si="14"/>
        <v/>
      </c>
      <c r="J211" s="35">
        <f t="shared" si="17"/>
        <v>-4</v>
      </c>
      <c r="K211" s="35">
        <f t="shared" si="15"/>
        <v>-40</v>
      </c>
      <c r="L211" s="35"/>
      <c r="M211" s="37">
        <f t="shared" si="16"/>
        <v>0</v>
      </c>
    </row>
    <row r="212" spans="1:13" x14ac:dyDescent="0.25">
      <c r="A212" s="56"/>
      <c r="G212" s="13"/>
      <c r="H212" s="35">
        <v>207</v>
      </c>
      <c r="I212" s="36" t="str">
        <f t="shared" si="14"/>
        <v/>
      </c>
      <c r="J212" s="35">
        <f t="shared" si="17"/>
        <v>-4</v>
      </c>
      <c r="K212" s="35">
        <f t="shared" si="15"/>
        <v>-40</v>
      </c>
      <c r="L212" s="35"/>
      <c r="M212" s="37">
        <f t="shared" si="16"/>
        <v>0</v>
      </c>
    </row>
    <row r="213" spans="1:13" x14ac:dyDescent="0.25">
      <c r="A213" s="56"/>
      <c r="G213" s="13"/>
      <c r="H213" s="35">
        <v>208</v>
      </c>
      <c r="I213" s="36" t="str">
        <f t="shared" si="14"/>
        <v/>
      </c>
      <c r="J213" s="35">
        <f t="shared" si="17"/>
        <v>-4</v>
      </c>
      <c r="K213" s="35">
        <f t="shared" si="15"/>
        <v>-40</v>
      </c>
      <c r="L213" s="35"/>
      <c r="M213" s="37">
        <f t="shared" si="16"/>
        <v>0</v>
      </c>
    </row>
    <row r="214" spans="1:13" x14ac:dyDescent="0.25">
      <c r="A214" s="56"/>
      <c r="G214" s="13"/>
      <c r="H214" s="35">
        <v>209</v>
      </c>
      <c r="I214" s="36" t="str">
        <f t="shared" si="14"/>
        <v/>
      </c>
      <c r="J214" s="35">
        <f t="shared" si="17"/>
        <v>-4</v>
      </c>
      <c r="K214" s="35">
        <f t="shared" si="15"/>
        <v>-40</v>
      </c>
      <c r="L214" s="35"/>
      <c r="M214" s="37">
        <f t="shared" si="16"/>
        <v>0</v>
      </c>
    </row>
    <row r="215" spans="1:13" x14ac:dyDescent="0.25">
      <c r="A215" s="56"/>
      <c r="G215" s="13"/>
      <c r="H215" s="35">
        <v>210</v>
      </c>
      <c r="I215" s="36" t="str">
        <f t="shared" si="14"/>
        <v/>
      </c>
      <c r="J215" s="35">
        <f t="shared" si="17"/>
        <v>-4</v>
      </c>
      <c r="K215" s="35">
        <f t="shared" si="15"/>
        <v>-40</v>
      </c>
      <c r="L215" s="35"/>
      <c r="M215" s="37">
        <f t="shared" si="16"/>
        <v>0</v>
      </c>
    </row>
    <row r="216" spans="1:13" x14ac:dyDescent="0.25">
      <c r="A216" s="56"/>
      <c r="G216" s="13"/>
      <c r="H216" s="35">
        <v>211</v>
      </c>
      <c r="I216" s="36" t="str">
        <f t="shared" si="14"/>
        <v/>
      </c>
      <c r="J216" s="35">
        <f t="shared" si="17"/>
        <v>-4</v>
      </c>
      <c r="K216" s="35">
        <f t="shared" si="15"/>
        <v>-40</v>
      </c>
      <c r="L216" s="35"/>
      <c r="M216" s="37">
        <f t="shared" si="16"/>
        <v>0</v>
      </c>
    </row>
    <row r="217" spans="1:13" x14ac:dyDescent="0.25">
      <c r="A217" s="56"/>
      <c r="G217" s="13"/>
      <c r="H217" s="35">
        <v>212</v>
      </c>
      <c r="I217" s="36" t="str">
        <f t="shared" si="14"/>
        <v/>
      </c>
      <c r="J217" s="35">
        <f t="shared" si="17"/>
        <v>-4</v>
      </c>
      <c r="K217" s="35">
        <f t="shared" si="15"/>
        <v>-40</v>
      </c>
      <c r="L217" s="35"/>
      <c r="M217" s="37">
        <f t="shared" si="16"/>
        <v>0</v>
      </c>
    </row>
    <row r="218" spans="1:13" x14ac:dyDescent="0.25">
      <c r="A218" s="56"/>
      <c r="G218" s="13"/>
      <c r="H218" s="35">
        <v>213</v>
      </c>
      <c r="I218" s="36" t="str">
        <f t="shared" si="14"/>
        <v/>
      </c>
      <c r="J218" s="35">
        <f t="shared" si="17"/>
        <v>-4</v>
      </c>
      <c r="K218" s="35">
        <f t="shared" si="15"/>
        <v>-40</v>
      </c>
      <c r="L218" s="35"/>
      <c r="M218" s="37">
        <f t="shared" si="16"/>
        <v>0</v>
      </c>
    </row>
    <row r="219" spans="1:13" x14ac:dyDescent="0.25">
      <c r="A219" s="56"/>
      <c r="G219" s="13"/>
      <c r="H219" s="35">
        <v>214</v>
      </c>
      <c r="I219" s="36" t="str">
        <f t="shared" si="14"/>
        <v/>
      </c>
      <c r="J219" s="35">
        <f t="shared" si="17"/>
        <v>-4</v>
      </c>
      <c r="K219" s="35">
        <f t="shared" si="15"/>
        <v>-40</v>
      </c>
      <c r="L219" s="35"/>
      <c r="M219" s="37">
        <f t="shared" si="16"/>
        <v>0</v>
      </c>
    </row>
    <row r="220" spans="1:13" x14ac:dyDescent="0.25">
      <c r="A220" s="56"/>
      <c r="G220" s="13"/>
      <c r="H220" s="35">
        <v>215</v>
      </c>
      <c r="I220" s="36" t="str">
        <f t="shared" si="14"/>
        <v/>
      </c>
      <c r="J220" s="35">
        <f t="shared" si="17"/>
        <v>-4</v>
      </c>
      <c r="K220" s="35">
        <f t="shared" si="15"/>
        <v>-40</v>
      </c>
      <c r="L220" s="35"/>
      <c r="M220" s="37">
        <f t="shared" si="16"/>
        <v>0</v>
      </c>
    </row>
    <row r="221" spans="1:13" x14ac:dyDescent="0.25">
      <c r="A221" s="56"/>
      <c r="G221" s="13"/>
      <c r="H221" s="35">
        <v>216</v>
      </c>
      <c r="I221" s="36" t="str">
        <f t="shared" si="14"/>
        <v/>
      </c>
      <c r="J221" s="35">
        <f t="shared" si="17"/>
        <v>-4</v>
      </c>
      <c r="K221" s="35">
        <f t="shared" si="15"/>
        <v>-40</v>
      </c>
      <c r="L221" s="35"/>
      <c r="M221" s="37">
        <f t="shared" si="16"/>
        <v>0</v>
      </c>
    </row>
    <row r="222" spans="1:13" x14ac:dyDescent="0.25">
      <c r="A222" s="56"/>
      <c r="G222" s="13"/>
      <c r="H222" s="35">
        <v>217</v>
      </c>
      <c r="I222" s="36" t="str">
        <f t="shared" si="14"/>
        <v/>
      </c>
      <c r="J222" s="35">
        <f t="shared" si="17"/>
        <v>-4</v>
      </c>
      <c r="K222" s="35">
        <f t="shared" si="15"/>
        <v>-40</v>
      </c>
      <c r="L222" s="35"/>
      <c r="M222" s="37">
        <f t="shared" si="16"/>
        <v>0</v>
      </c>
    </row>
    <row r="223" spans="1:13" x14ac:dyDescent="0.25">
      <c r="A223" s="56"/>
      <c r="G223" s="13"/>
      <c r="H223" s="35">
        <v>218</v>
      </c>
      <c r="I223" s="36" t="str">
        <f t="shared" si="14"/>
        <v/>
      </c>
      <c r="J223" s="35">
        <f t="shared" si="17"/>
        <v>-4</v>
      </c>
      <c r="K223" s="35">
        <f t="shared" si="15"/>
        <v>-40</v>
      </c>
      <c r="L223" s="35"/>
      <c r="M223" s="37">
        <f t="shared" si="16"/>
        <v>0</v>
      </c>
    </row>
    <row r="224" spans="1:13" x14ac:dyDescent="0.25">
      <c r="A224" s="56"/>
      <c r="G224" s="13"/>
      <c r="H224" s="35">
        <v>219</v>
      </c>
      <c r="I224" s="36" t="str">
        <f t="shared" si="14"/>
        <v/>
      </c>
      <c r="J224" s="35">
        <f t="shared" si="17"/>
        <v>-4</v>
      </c>
      <c r="K224" s="35">
        <f t="shared" si="15"/>
        <v>-40</v>
      </c>
      <c r="L224" s="35"/>
      <c r="M224" s="37">
        <f t="shared" si="16"/>
        <v>0</v>
      </c>
    </row>
    <row r="225" spans="1:13" x14ac:dyDescent="0.25">
      <c r="A225" s="56"/>
      <c r="G225" s="13"/>
      <c r="H225" s="35">
        <v>220</v>
      </c>
      <c r="I225" s="36" t="str">
        <f t="shared" si="14"/>
        <v/>
      </c>
      <c r="J225" s="35">
        <f t="shared" si="17"/>
        <v>-4</v>
      </c>
      <c r="K225" s="35">
        <f t="shared" si="15"/>
        <v>-40</v>
      </c>
      <c r="L225" s="35"/>
      <c r="M225" s="37">
        <f t="shared" si="16"/>
        <v>0</v>
      </c>
    </row>
    <row r="226" spans="1:13" x14ac:dyDescent="0.25">
      <c r="A226" s="56"/>
      <c r="G226" s="13"/>
      <c r="H226" s="35">
        <v>221</v>
      </c>
      <c r="I226" s="36" t="str">
        <f t="shared" si="14"/>
        <v/>
      </c>
      <c r="J226" s="35">
        <f t="shared" si="17"/>
        <v>-4</v>
      </c>
      <c r="K226" s="35">
        <f t="shared" si="15"/>
        <v>-40</v>
      </c>
      <c r="L226" s="35"/>
      <c r="M226" s="37">
        <f t="shared" si="16"/>
        <v>0</v>
      </c>
    </row>
    <row r="227" spans="1:13" x14ac:dyDescent="0.25">
      <c r="A227" s="56"/>
      <c r="G227" s="13"/>
      <c r="H227" s="35">
        <v>222</v>
      </c>
      <c r="I227" s="36" t="str">
        <f t="shared" si="14"/>
        <v/>
      </c>
      <c r="J227" s="35">
        <f t="shared" si="17"/>
        <v>-4</v>
      </c>
      <c r="K227" s="35">
        <f t="shared" si="15"/>
        <v>-40</v>
      </c>
      <c r="L227" s="35"/>
      <c r="M227" s="37">
        <f t="shared" si="16"/>
        <v>0</v>
      </c>
    </row>
    <row r="228" spans="1:13" x14ac:dyDescent="0.25">
      <c r="A228" s="56"/>
      <c r="G228" s="13"/>
      <c r="H228" s="35">
        <v>223</v>
      </c>
      <c r="I228" s="36" t="str">
        <f t="shared" si="14"/>
        <v/>
      </c>
      <c r="J228" s="35">
        <f t="shared" si="17"/>
        <v>-4</v>
      </c>
      <c r="K228" s="35">
        <f t="shared" si="15"/>
        <v>-40</v>
      </c>
      <c r="L228" s="35"/>
      <c r="M228" s="37">
        <f t="shared" si="16"/>
        <v>0</v>
      </c>
    </row>
    <row r="229" spans="1:13" x14ac:dyDescent="0.25">
      <c r="A229" s="56"/>
      <c r="G229" s="13"/>
      <c r="H229" s="35">
        <v>224</v>
      </c>
      <c r="I229" s="36" t="str">
        <f t="shared" si="14"/>
        <v/>
      </c>
      <c r="J229" s="35">
        <f t="shared" si="17"/>
        <v>-4</v>
      </c>
      <c r="K229" s="35">
        <f t="shared" si="15"/>
        <v>-40</v>
      </c>
      <c r="L229" s="35"/>
      <c r="M229" s="37">
        <f t="shared" si="16"/>
        <v>0</v>
      </c>
    </row>
    <row r="230" spans="1:13" x14ac:dyDescent="0.25">
      <c r="A230" s="56"/>
      <c r="G230" s="13"/>
      <c r="H230" s="35">
        <v>225</v>
      </c>
      <c r="I230" s="36" t="str">
        <f t="shared" si="14"/>
        <v/>
      </c>
      <c r="J230" s="35">
        <f t="shared" si="17"/>
        <v>-4</v>
      </c>
      <c r="K230" s="35">
        <f t="shared" si="15"/>
        <v>-40</v>
      </c>
      <c r="L230" s="35"/>
      <c r="M230" s="37">
        <f t="shared" si="16"/>
        <v>0</v>
      </c>
    </row>
    <row r="231" spans="1:13" x14ac:dyDescent="0.25">
      <c r="A231" s="56"/>
      <c r="G231" s="13"/>
      <c r="H231" s="35">
        <v>226</v>
      </c>
      <c r="I231" s="36" t="str">
        <f t="shared" si="14"/>
        <v/>
      </c>
      <c r="J231" s="35">
        <f t="shared" si="17"/>
        <v>-4</v>
      </c>
      <c r="K231" s="35">
        <f t="shared" si="15"/>
        <v>-40</v>
      </c>
      <c r="L231" s="35"/>
      <c r="M231" s="37">
        <f t="shared" si="16"/>
        <v>0</v>
      </c>
    </row>
    <row r="232" spans="1:13" x14ac:dyDescent="0.25">
      <c r="A232" s="56"/>
      <c r="G232" s="13"/>
      <c r="H232" s="35">
        <v>227</v>
      </c>
      <c r="I232" s="36" t="str">
        <f t="shared" si="14"/>
        <v/>
      </c>
      <c r="J232" s="35">
        <f t="shared" si="17"/>
        <v>-4</v>
      </c>
      <c r="K232" s="35">
        <f t="shared" si="15"/>
        <v>-40</v>
      </c>
      <c r="L232" s="35"/>
      <c r="M232" s="37">
        <f t="shared" si="16"/>
        <v>0</v>
      </c>
    </row>
    <row r="233" spans="1:13" x14ac:dyDescent="0.25">
      <c r="A233" s="56"/>
      <c r="G233" s="13"/>
      <c r="H233" s="35">
        <v>228</v>
      </c>
      <c r="I233" s="36" t="str">
        <f t="shared" si="14"/>
        <v/>
      </c>
      <c r="J233" s="35">
        <f t="shared" si="17"/>
        <v>-4</v>
      </c>
      <c r="K233" s="35">
        <f t="shared" si="15"/>
        <v>-40</v>
      </c>
      <c r="L233" s="35"/>
      <c r="M233" s="37">
        <f t="shared" si="16"/>
        <v>0</v>
      </c>
    </row>
    <row r="234" spans="1:13" x14ac:dyDescent="0.25">
      <c r="A234" s="56"/>
      <c r="G234" s="13"/>
      <c r="H234" s="35">
        <v>229</v>
      </c>
      <c r="I234" s="36" t="str">
        <f t="shared" si="14"/>
        <v/>
      </c>
      <c r="J234" s="35">
        <f t="shared" si="17"/>
        <v>-4</v>
      </c>
      <c r="K234" s="35">
        <f t="shared" si="15"/>
        <v>-40</v>
      </c>
      <c r="L234" s="35"/>
      <c r="M234" s="37">
        <f t="shared" si="16"/>
        <v>0</v>
      </c>
    </row>
    <row r="235" spans="1:13" x14ac:dyDescent="0.25">
      <c r="A235" s="56"/>
      <c r="G235" s="13"/>
      <c r="H235" s="35">
        <v>230</v>
      </c>
      <c r="I235" s="36" t="str">
        <f t="shared" si="14"/>
        <v/>
      </c>
      <c r="J235" s="35">
        <f t="shared" si="17"/>
        <v>-4</v>
      </c>
      <c r="K235" s="35">
        <f t="shared" si="15"/>
        <v>-40</v>
      </c>
      <c r="L235" s="35"/>
      <c r="M235" s="37">
        <f t="shared" si="16"/>
        <v>0</v>
      </c>
    </row>
    <row r="236" spans="1:13" x14ac:dyDescent="0.25">
      <c r="A236" s="56"/>
      <c r="G236" s="13"/>
      <c r="H236" s="35">
        <v>231</v>
      </c>
      <c r="I236" s="36" t="str">
        <f t="shared" si="14"/>
        <v/>
      </c>
      <c r="J236" s="35">
        <f t="shared" si="17"/>
        <v>-4</v>
      </c>
      <c r="K236" s="35">
        <f t="shared" si="15"/>
        <v>-40</v>
      </c>
      <c r="L236" s="35"/>
      <c r="M236" s="37">
        <f t="shared" si="16"/>
        <v>0</v>
      </c>
    </row>
    <row r="237" spans="1:13" x14ac:dyDescent="0.25">
      <c r="A237" s="56"/>
      <c r="G237" s="13"/>
      <c r="H237" s="35">
        <v>232</v>
      </c>
      <c r="I237" s="36" t="str">
        <f t="shared" si="14"/>
        <v/>
      </c>
      <c r="J237" s="35">
        <f t="shared" si="17"/>
        <v>-4</v>
      </c>
      <c r="K237" s="35">
        <f t="shared" si="15"/>
        <v>-40</v>
      </c>
      <c r="L237" s="35"/>
      <c r="M237" s="37">
        <f t="shared" si="16"/>
        <v>0</v>
      </c>
    </row>
    <row r="238" spans="1:13" x14ac:dyDescent="0.25">
      <c r="A238" s="56"/>
      <c r="G238" s="13"/>
      <c r="H238" s="35">
        <v>233</v>
      </c>
      <c r="I238" s="36" t="str">
        <f t="shared" si="14"/>
        <v/>
      </c>
      <c r="J238" s="35">
        <f t="shared" si="17"/>
        <v>-4</v>
      </c>
      <c r="K238" s="35">
        <f t="shared" si="15"/>
        <v>-40</v>
      </c>
      <c r="L238" s="35"/>
      <c r="M238" s="37">
        <f t="shared" si="16"/>
        <v>0</v>
      </c>
    </row>
    <row r="239" spans="1:13" x14ac:dyDescent="0.25">
      <c r="A239" s="56"/>
      <c r="G239" s="13"/>
      <c r="H239" s="35">
        <v>234</v>
      </c>
      <c r="I239" s="36" t="str">
        <f t="shared" si="14"/>
        <v/>
      </c>
      <c r="J239" s="35">
        <f t="shared" si="17"/>
        <v>-4</v>
      </c>
      <c r="K239" s="35">
        <f t="shared" si="15"/>
        <v>-40</v>
      </c>
      <c r="L239" s="35"/>
      <c r="M239" s="37">
        <f t="shared" si="16"/>
        <v>0</v>
      </c>
    </row>
    <row r="240" spans="1:13" x14ac:dyDescent="0.25">
      <c r="A240" s="56"/>
      <c r="G240" s="13"/>
      <c r="H240" s="35">
        <v>235</v>
      </c>
      <c r="I240" s="36" t="str">
        <f t="shared" si="14"/>
        <v/>
      </c>
      <c r="J240" s="35">
        <f t="shared" si="17"/>
        <v>-4</v>
      </c>
      <c r="K240" s="35">
        <f t="shared" si="15"/>
        <v>-40</v>
      </c>
      <c r="L240" s="35"/>
      <c r="M240" s="37">
        <f t="shared" si="16"/>
        <v>0</v>
      </c>
    </row>
    <row r="241" spans="1:13" x14ac:dyDescent="0.25">
      <c r="A241" s="56"/>
      <c r="G241" s="13"/>
      <c r="H241" s="35">
        <v>236</v>
      </c>
      <c r="I241" s="36" t="str">
        <f t="shared" si="14"/>
        <v/>
      </c>
      <c r="J241" s="35">
        <f t="shared" si="17"/>
        <v>-4</v>
      </c>
      <c r="K241" s="35">
        <f t="shared" si="15"/>
        <v>-40</v>
      </c>
      <c r="L241" s="35"/>
      <c r="M241" s="37">
        <f t="shared" si="16"/>
        <v>0</v>
      </c>
    </row>
    <row r="242" spans="1:13" x14ac:dyDescent="0.25">
      <c r="A242" s="56"/>
      <c r="G242" s="13"/>
      <c r="H242" s="35">
        <v>237</v>
      </c>
      <c r="I242" s="36" t="str">
        <f t="shared" si="14"/>
        <v/>
      </c>
      <c r="J242" s="35">
        <f t="shared" si="17"/>
        <v>-4</v>
      </c>
      <c r="K242" s="35">
        <f t="shared" si="15"/>
        <v>-40</v>
      </c>
      <c r="L242" s="35"/>
      <c r="M242" s="37">
        <f t="shared" si="16"/>
        <v>0</v>
      </c>
    </row>
    <row r="243" spans="1:13" x14ac:dyDescent="0.25">
      <c r="A243" s="56"/>
      <c r="G243" s="13"/>
      <c r="H243" s="35">
        <v>238</v>
      </c>
      <c r="I243" s="36" t="str">
        <f t="shared" si="14"/>
        <v/>
      </c>
      <c r="J243" s="35">
        <f t="shared" si="17"/>
        <v>-4</v>
      </c>
      <c r="K243" s="35">
        <f t="shared" si="15"/>
        <v>-40</v>
      </c>
      <c r="L243" s="35"/>
      <c r="M243" s="37">
        <f t="shared" si="16"/>
        <v>0</v>
      </c>
    </row>
    <row r="244" spans="1:13" x14ac:dyDescent="0.25">
      <c r="A244" s="56"/>
      <c r="G244" s="13"/>
      <c r="H244" s="35">
        <v>239</v>
      </c>
      <c r="I244" s="36" t="str">
        <f t="shared" si="14"/>
        <v/>
      </c>
      <c r="J244" s="35">
        <f t="shared" si="17"/>
        <v>-4</v>
      </c>
      <c r="K244" s="35">
        <f t="shared" si="15"/>
        <v>-40</v>
      </c>
      <c r="L244" s="35"/>
      <c r="M244" s="37">
        <f t="shared" si="16"/>
        <v>0</v>
      </c>
    </row>
    <row r="245" spans="1:13" x14ac:dyDescent="0.25">
      <c r="A245" s="56"/>
      <c r="G245" s="13"/>
      <c r="H245" s="35">
        <v>240</v>
      </c>
      <c r="I245" s="36" t="str">
        <f t="shared" si="14"/>
        <v/>
      </c>
      <c r="J245" s="35">
        <f t="shared" si="17"/>
        <v>-4</v>
      </c>
      <c r="K245" s="35">
        <f t="shared" si="15"/>
        <v>-40</v>
      </c>
      <c r="L245" s="35"/>
      <c r="M245" s="37">
        <f t="shared" si="16"/>
        <v>0</v>
      </c>
    </row>
    <row r="246" spans="1:13" x14ac:dyDescent="0.25">
      <c r="A246" s="56"/>
      <c r="G246" s="13"/>
      <c r="H246" s="35">
        <v>241</v>
      </c>
      <c r="I246" s="36" t="str">
        <f t="shared" si="14"/>
        <v/>
      </c>
      <c r="J246" s="35">
        <f t="shared" si="17"/>
        <v>-4</v>
      </c>
      <c r="K246" s="35">
        <f t="shared" si="15"/>
        <v>-40</v>
      </c>
      <c r="L246" s="35"/>
      <c r="M246" s="37">
        <f t="shared" si="16"/>
        <v>0</v>
      </c>
    </row>
    <row r="247" spans="1:13" x14ac:dyDescent="0.25">
      <c r="A247" s="56"/>
      <c r="G247" s="13"/>
      <c r="H247" s="35">
        <v>242</v>
      </c>
      <c r="I247" s="36" t="str">
        <f t="shared" si="14"/>
        <v/>
      </c>
      <c r="J247" s="35">
        <f t="shared" si="17"/>
        <v>-4</v>
      </c>
      <c r="K247" s="35">
        <f t="shared" si="15"/>
        <v>-40</v>
      </c>
      <c r="L247" s="35"/>
      <c r="M247" s="37">
        <f t="shared" si="16"/>
        <v>0</v>
      </c>
    </row>
    <row r="248" spans="1:13" x14ac:dyDescent="0.25">
      <c r="A248" s="56"/>
      <c r="G248" s="13"/>
      <c r="H248" s="35">
        <v>243</v>
      </c>
      <c r="I248" s="36" t="str">
        <f t="shared" si="14"/>
        <v/>
      </c>
      <c r="J248" s="35">
        <f t="shared" si="17"/>
        <v>-4</v>
      </c>
      <c r="K248" s="35">
        <f t="shared" si="15"/>
        <v>-40</v>
      </c>
      <c r="L248" s="35"/>
      <c r="M248" s="37">
        <f t="shared" si="16"/>
        <v>0</v>
      </c>
    </row>
    <row r="249" spans="1:13" x14ac:dyDescent="0.25">
      <c r="A249" s="56"/>
      <c r="G249" s="13"/>
      <c r="H249" s="35">
        <v>244</v>
      </c>
      <c r="I249" s="36" t="str">
        <f t="shared" si="14"/>
        <v/>
      </c>
      <c r="J249" s="35">
        <f t="shared" si="17"/>
        <v>-4</v>
      </c>
      <c r="K249" s="35">
        <f t="shared" si="15"/>
        <v>-40</v>
      </c>
      <c r="L249" s="35"/>
      <c r="M249" s="37">
        <f t="shared" si="16"/>
        <v>0</v>
      </c>
    </row>
    <row r="250" spans="1:13" x14ac:dyDescent="0.25">
      <c r="A250" s="56"/>
      <c r="G250" s="13"/>
      <c r="H250" s="35">
        <v>245</v>
      </c>
      <c r="I250" s="36" t="str">
        <f t="shared" si="14"/>
        <v/>
      </c>
      <c r="J250" s="35">
        <f t="shared" si="17"/>
        <v>-4</v>
      </c>
      <c r="K250" s="35">
        <f t="shared" si="15"/>
        <v>-40</v>
      </c>
      <c r="L250" s="35"/>
      <c r="M250" s="37">
        <f t="shared" si="16"/>
        <v>0</v>
      </c>
    </row>
    <row r="251" spans="1:13" x14ac:dyDescent="0.25">
      <c r="A251" s="56"/>
      <c r="G251" s="13"/>
      <c r="H251" s="35">
        <v>246</v>
      </c>
      <c r="I251" s="36" t="str">
        <f t="shared" si="14"/>
        <v/>
      </c>
      <c r="J251" s="35">
        <f t="shared" si="17"/>
        <v>-4</v>
      </c>
      <c r="K251" s="35">
        <f t="shared" si="15"/>
        <v>-40</v>
      </c>
      <c r="L251" s="35"/>
      <c r="M251" s="37">
        <f t="shared" si="16"/>
        <v>0</v>
      </c>
    </row>
    <row r="252" spans="1:13" x14ac:dyDescent="0.25">
      <c r="A252" s="56"/>
      <c r="G252" s="13"/>
      <c r="H252" s="35">
        <v>247</v>
      </c>
      <c r="I252" s="36" t="str">
        <f t="shared" si="14"/>
        <v/>
      </c>
      <c r="J252" s="35">
        <f t="shared" si="17"/>
        <v>-4</v>
      </c>
      <c r="K252" s="35">
        <f t="shared" si="15"/>
        <v>-40</v>
      </c>
      <c r="L252" s="35"/>
      <c r="M252" s="37">
        <f t="shared" si="16"/>
        <v>0</v>
      </c>
    </row>
    <row r="253" spans="1:13" x14ac:dyDescent="0.25">
      <c r="A253" s="56"/>
      <c r="G253" s="13"/>
      <c r="H253" s="35">
        <v>248</v>
      </c>
      <c r="I253" s="36" t="str">
        <f t="shared" si="14"/>
        <v/>
      </c>
      <c r="J253" s="35">
        <f t="shared" si="17"/>
        <v>-4</v>
      </c>
      <c r="K253" s="35">
        <f t="shared" si="15"/>
        <v>-40</v>
      </c>
      <c r="L253" s="35"/>
      <c r="M253" s="37">
        <f t="shared" si="16"/>
        <v>0</v>
      </c>
    </row>
    <row r="254" spans="1:13" x14ac:dyDescent="0.25">
      <c r="A254" s="56"/>
      <c r="G254" s="13"/>
      <c r="H254" s="35">
        <v>249</v>
      </c>
      <c r="I254" s="36" t="str">
        <f t="shared" si="14"/>
        <v/>
      </c>
      <c r="J254" s="35">
        <f t="shared" si="17"/>
        <v>-4</v>
      </c>
      <c r="K254" s="35">
        <f t="shared" si="15"/>
        <v>-40</v>
      </c>
      <c r="L254" s="35"/>
      <c r="M254" s="37">
        <f t="shared" si="16"/>
        <v>0</v>
      </c>
    </row>
    <row r="255" spans="1:13" x14ac:dyDescent="0.25">
      <c r="A255" s="56"/>
      <c r="G255" s="13"/>
      <c r="H255" s="35">
        <v>250</v>
      </c>
      <c r="I255" s="36" t="str">
        <f t="shared" si="14"/>
        <v/>
      </c>
      <c r="J255" s="35">
        <f t="shared" si="17"/>
        <v>-4</v>
      </c>
      <c r="K255" s="35">
        <f t="shared" si="15"/>
        <v>-40</v>
      </c>
      <c r="L255" s="35"/>
      <c r="M255" s="37">
        <f t="shared" si="16"/>
        <v>0</v>
      </c>
    </row>
    <row r="256" spans="1:13" x14ac:dyDescent="0.25">
      <c r="A256" s="56"/>
      <c r="G256" s="13"/>
      <c r="H256" s="35">
        <v>251</v>
      </c>
      <c r="I256" s="36" t="str">
        <f t="shared" si="14"/>
        <v/>
      </c>
      <c r="J256" s="35">
        <f t="shared" si="17"/>
        <v>-4</v>
      </c>
      <c r="K256" s="35">
        <f t="shared" si="15"/>
        <v>-40</v>
      </c>
      <c r="L256" s="35"/>
      <c r="M256" s="37">
        <f t="shared" si="16"/>
        <v>0</v>
      </c>
    </row>
    <row r="257" spans="1:13" x14ac:dyDescent="0.25">
      <c r="A257" s="56"/>
      <c r="G257" s="13"/>
      <c r="H257" s="35">
        <v>252</v>
      </c>
      <c r="I257" s="36" t="str">
        <f t="shared" si="14"/>
        <v/>
      </c>
      <c r="J257" s="35">
        <f t="shared" si="17"/>
        <v>-4</v>
      </c>
      <c r="K257" s="35">
        <f t="shared" si="15"/>
        <v>-40</v>
      </c>
      <c r="L257" s="35"/>
      <c r="M257" s="37">
        <f t="shared" si="16"/>
        <v>0</v>
      </c>
    </row>
    <row r="258" spans="1:13" x14ac:dyDescent="0.25">
      <c r="A258" s="56"/>
      <c r="G258" s="13"/>
      <c r="H258" s="35">
        <v>253</v>
      </c>
      <c r="I258" s="36" t="str">
        <f t="shared" si="14"/>
        <v/>
      </c>
      <c r="J258" s="35">
        <f t="shared" si="17"/>
        <v>-4</v>
      </c>
      <c r="K258" s="35">
        <f t="shared" si="15"/>
        <v>-40</v>
      </c>
      <c r="L258" s="35"/>
      <c r="M258" s="37">
        <f t="shared" si="16"/>
        <v>0</v>
      </c>
    </row>
    <row r="259" spans="1:13" x14ac:dyDescent="0.25">
      <c r="A259" s="56"/>
      <c r="G259" s="13"/>
      <c r="H259" s="35">
        <v>254</v>
      </c>
      <c r="I259" s="36" t="str">
        <f t="shared" si="14"/>
        <v/>
      </c>
      <c r="J259" s="35">
        <f t="shared" si="17"/>
        <v>-4</v>
      </c>
      <c r="K259" s="35">
        <f t="shared" si="15"/>
        <v>-40</v>
      </c>
      <c r="L259" s="35"/>
      <c r="M259" s="37">
        <f t="shared" si="16"/>
        <v>0</v>
      </c>
    </row>
    <row r="260" spans="1:13" x14ac:dyDescent="0.25">
      <c r="A260" s="56"/>
      <c r="G260" s="13"/>
      <c r="H260" s="35">
        <v>255</v>
      </c>
      <c r="I260" s="36" t="str">
        <f t="shared" si="14"/>
        <v/>
      </c>
      <c r="J260" s="35">
        <f t="shared" si="17"/>
        <v>-4</v>
      </c>
      <c r="K260" s="35">
        <f t="shared" si="15"/>
        <v>-40</v>
      </c>
      <c r="L260" s="35"/>
      <c r="M260" s="37">
        <f t="shared" si="16"/>
        <v>0</v>
      </c>
    </row>
    <row r="261" spans="1:13" x14ac:dyDescent="0.25">
      <c r="A261" s="56"/>
      <c r="G261" s="13"/>
      <c r="H261" s="35">
        <v>256</v>
      </c>
      <c r="I261" s="36" t="str">
        <f t="shared" si="14"/>
        <v/>
      </c>
      <c r="J261" s="35">
        <f t="shared" si="17"/>
        <v>-4</v>
      </c>
      <c r="K261" s="35">
        <f t="shared" si="15"/>
        <v>-40</v>
      </c>
      <c r="L261" s="35"/>
      <c r="M261" s="37">
        <f t="shared" si="16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8">IF(H262&lt;$H$2+1,($I$2-($I$2-1)*(LOG(H262)/LOG($H$2))),"")</f>
        <v/>
      </c>
      <c r="J262" s="35">
        <f t="shared" si="17"/>
        <v>-5</v>
      </c>
      <c r="K262" s="35">
        <f t="shared" ref="K262:K305" si="19">J262*$J$2</f>
        <v>-50</v>
      </c>
      <c r="L262" s="35"/>
      <c r="M262" s="37">
        <f t="shared" ref="M262:M305" si="20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8"/>
        <v/>
      </c>
      <c r="J263" s="35">
        <f t="shared" ref="J263:J305" si="21">INT(LOG($H$2,2))-ROUNDUP(LOG(H263,2),0)+IF(OR($H$2=1,$H$2=2,$H$2=4,$H$2=8,$H$2=16,$H$2=32,$H$2=64,$H$2=128,$H$2=256),0,1)</f>
        <v>-5</v>
      </c>
      <c r="K263" s="35">
        <f t="shared" si="19"/>
        <v>-50</v>
      </c>
      <c r="L263" s="35"/>
      <c r="M263" s="37">
        <f t="shared" si="20"/>
        <v>0</v>
      </c>
    </row>
    <row r="264" spans="1:13" x14ac:dyDescent="0.25">
      <c r="A264" s="56"/>
      <c r="G264" s="13"/>
      <c r="H264" s="35">
        <v>259</v>
      </c>
      <c r="I264" s="36" t="str">
        <f t="shared" si="18"/>
        <v/>
      </c>
      <c r="J264" s="35">
        <f t="shared" si="21"/>
        <v>-5</v>
      </c>
      <c r="K264" s="35">
        <f t="shared" si="19"/>
        <v>-50</v>
      </c>
      <c r="L264" s="35"/>
      <c r="M264" s="37">
        <f t="shared" si="20"/>
        <v>0</v>
      </c>
    </row>
    <row r="265" spans="1:13" x14ac:dyDescent="0.25">
      <c r="A265" s="56"/>
      <c r="G265" s="13"/>
      <c r="H265" s="35">
        <v>260</v>
      </c>
      <c r="I265" s="36" t="str">
        <f t="shared" si="18"/>
        <v/>
      </c>
      <c r="J265" s="35">
        <f t="shared" si="21"/>
        <v>-5</v>
      </c>
      <c r="K265" s="35">
        <f t="shared" si="19"/>
        <v>-50</v>
      </c>
      <c r="L265" s="35"/>
      <c r="M265" s="37">
        <f t="shared" si="20"/>
        <v>0</v>
      </c>
    </row>
    <row r="266" spans="1:13" x14ac:dyDescent="0.25">
      <c r="A266" s="56"/>
      <c r="G266" s="13"/>
      <c r="H266" s="35">
        <v>261</v>
      </c>
      <c r="I266" s="36" t="str">
        <f t="shared" si="18"/>
        <v/>
      </c>
      <c r="J266" s="35">
        <f t="shared" si="21"/>
        <v>-5</v>
      </c>
      <c r="K266" s="35">
        <f t="shared" si="19"/>
        <v>-50</v>
      </c>
      <c r="L266" s="35"/>
      <c r="M266" s="37">
        <f t="shared" si="20"/>
        <v>0</v>
      </c>
    </row>
    <row r="267" spans="1:13" x14ac:dyDescent="0.25">
      <c r="A267" s="56"/>
      <c r="G267" s="13"/>
      <c r="H267" s="35">
        <v>262</v>
      </c>
      <c r="I267" s="36" t="str">
        <f t="shared" si="18"/>
        <v/>
      </c>
      <c r="J267" s="35">
        <f t="shared" si="21"/>
        <v>-5</v>
      </c>
      <c r="K267" s="35">
        <f t="shared" si="19"/>
        <v>-50</v>
      </c>
      <c r="L267" s="35"/>
      <c r="M267" s="37">
        <f t="shared" si="20"/>
        <v>0</v>
      </c>
    </row>
    <row r="268" spans="1:13" x14ac:dyDescent="0.25">
      <c r="A268" s="56"/>
      <c r="G268" s="13"/>
      <c r="H268" s="35">
        <v>263</v>
      </c>
      <c r="I268" s="36" t="str">
        <f t="shared" si="18"/>
        <v/>
      </c>
      <c r="J268" s="35">
        <f t="shared" si="21"/>
        <v>-5</v>
      </c>
      <c r="K268" s="35">
        <f t="shared" si="19"/>
        <v>-50</v>
      </c>
      <c r="L268" s="35"/>
      <c r="M268" s="37">
        <f t="shared" si="20"/>
        <v>0</v>
      </c>
    </row>
    <row r="269" spans="1:13" x14ac:dyDescent="0.25">
      <c r="A269" s="56"/>
      <c r="G269" s="13"/>
      <c r="H269" s="35">
        <v>264</v>
      </c>
      <c r="I269" s="36" t="str">
        <f t="shared" si="18"/>
        <v/>
      </c>
      <c r="J269" s="35">
        <f t="shared" si="21"/>
        <v>-5</v>
      </c>
      <c r="K269" s="35">
        <f t="shared" si="19"/>
        <v>-50</v>
      </c>
      <c r="L269" s="35"/>
      <c r="M269" s="37">
        <f t="shared" si="20"/>
        <v>0</v>
      </c>
    </row>
    <row r="270" spans="1:13" x14ac:dyDescent="0.25">
      <c r="A270" s="56"/>
      <c r="G270" s="13"/>
      <c r="H270" s="35">
        <v>265</v>
      </c>
      <c r="I270" s="36" t="str">
        <f t="shared" si="18"/>
        <v/>
      </c>
      <c r="J270" s="35">
        <f t="shared" si="21"/>
        <v>-5</v>
      </c>
      <c r="K270" s="35">
        <f t="shared" si="19"/>
        <v>-50</v>
      </c>
      <c r="L270" s="35"/>
      <c r="M270" s="37">
        <f t="shared" si="20"/>
        <v>0</v>
      </c>
    </row>
    <row r="271" spans="1:13" x14ac:dyDescent="0.25">
      <c r="A271" s="56"/>
      <c r="G271" s="13"/>
      <c r="H271" s="35">
        <v>266</v>
      </c>
      <c r="I271" s="36" t="str">
        <f t="shared" si="18"/>
        <v/>
      </c>
      <c r="J271" s="35">
        <f t="shared" si="21"/>
        <v>-5</v>
      </c>
      <c r="K271" s="35">
        <f t="shared" si="19"/>
        <v>-50</v>
      </c>
      <c r="L271" s="35"/>
      <c r="M271" s="37">
        <f t="shared" si="20"/>
        <v>0</v>
      </c>
    </row>
    <row r="272" spans="1:13" x14ac:dyDescent="0.25">
      <c r="A272" s="56"/>
      <c r="G272" s="13"/>
      <c r="H272" s="35">
        <v>267</v>
      </c>
      <c r="I272" s="36" t="str">
        <f t="shared" si="18"/>
        <v/>
      </c>
      <c r="J272" s="35">
        <f t="shared" si="21"/>
        <v>-5</v>
      </c>
      <c r="K272" s="35">
        <f t="shared" si="19"/>
        <v>-50</v>
      </c>
      <c r="L272" s="35"/>
      <c r="M272" s="37">
        <f t="shared" si="20"/>
        <v>0</v>
      </c>
    </row>
    <row r="273" spans="1:13" x14ac:dyDescent="0.25">
      <c r="A273" s="56"/>
      <c r="G273" s="13"/>
      <c r="H273" s="35">
        <v>268</v>
      </c>
      <c r="I273" s="36" t="str">
        <f t="shared" si="18"/>
        <v/>
      </c>
      <c r="J273" s="35">
        <f t="shared" si="21"/>
        <v>-5</v>
      </c>
      <c r="K273" s="35">
        <f t="shared" si="19"/>
        <v>-50</v>
      </c>
      <c r="L273" s="35"/>
      <c r="M273" s="37">
        <f t="shared" si="20"/>
        <v>0</v>
      </c>
    </row>
    <row r="274" spans="1:13" x14ac:dyDescent="0.25">
      <c r="A274" s="56"/>
      <c r="G274" s="13"/>
      <c r="H274" s="35">
        <v>269</v>
      </c>
      <c r="I274" s="36" t="str">
        <f t="shared" si="18"/>
        <v/>
      </c>
      <c r="J274" s="35">
        <f t="shared" si="21"/>
        <v>-5</v>
      </c>
      <c r="K274" s="35">
        <f t="shared" si="19"/>
        <v>-50</v>
      </c>
      <c r="L274" s="35"/>
      <c r="M274" s="37">
        <f t="shared" si="20"/>
        <v>0</v>
      </c>
    </row>
    <row r="275" spans="1:13" x14ac:dyDescent="0.25">
      <c r="A275" s="56"/>
      <c r="G275" s="13"/>
      <c r="H275" s="35">
        <v>270</v>
      </c>
      <c r="I275" s="36" t="str">
        <f t="shared" si="18"/>
        <v/>
      </c>
      <c r="J275" s="35">
        <f t="shared" si="21"/>
        <v>-5</v>
      </c>
      <c r="K275" s="35">
        <f t="shared" si="19"/>
        <v>-50</v>
      </c>
      <c r="L275" s="35"/>
      <c r="M275" s="37">
        <f t="shared" si="20"/>
        <v>0</v>
      </c>
    </row>
    <row r="276" spans="1:13" x14ac:dyDescent="0.25">
      <c r="A276" s="56"/>
      <c r="G276" s="13"/>
      <c r="H276" s="35">
        <v>271</v>
      </c>
      <c r="I276" s="36" t="str">
        <f t="shared" si="18"/>
        <v/>
      </c>
      <c r="J276" s="35">
        <f t="shared" si="21"/>
        <v>-5</v>
      </c>
      <c r="K276" s="35">
        <f t="shared" si="19"/>
        <v>-50</v>
      </c>
      <c r="L276" s="35"/>
      <c r="M276" s="37">
        <f t="shared" si="20"/>
        <v>0</v>
      </c>
    </row>
    <row r="277" spans="1:13" x14ac:dyDescent="0.25">
      <c r="A277" s="56"/>
      <c r="G277" s="13"/>
      <c r="H277" s="35">
        <v>272</v>
      </c>
      <c r="I277" s="36" t="str">
        <f t="shared" si="18"/>
        <v/>
      </c>
      <c r="J277" s="35">
        <f t="shared" si="21"/>
        <v>-5</v>
      </c>
      <c r="K277" s="35">
        <f t="shared" si="19"/>
        <v>-50</v>
      </c>
      <c r="L277" s="35"/>
      <c r="M277" s="37">
        <f t="shared" si="20"/>
        <v>0</v>
      </c>
    </row>
    <row r="278" spans="1:13" x14ac:dyDescent="0.25">
      <c r="A278" s="56"/>
      <c r="G278" s="13"/>
      <c r="H278" s="35">
        <v>273</v>
      </c>
      <c r="I278" s="36" t="str">
        <f t="shared" si="18"/>
        <v/>
      </c>
      <c r="J278" s="35">
        <f t="shared" si="21"/>
        <v>-5</v>
      </c>
      <c r="K278" s="35">
        <f t="shared" si="19"/>
        <v>-50</v>
      </c>
      <c r="L278" s="35"/>
      <c r="M278" s="37">
        <f t="shared" si="20"/>
        <v>0</v>
      </c>
    </row>
    <row r="279" spans="1:13" x14ac:dyDescent="0.25">
      <c r="A279" s="56"/>
      <c r="G279" s="13"/>
      <c r="H279" s="35">
        <v>274</v>
      </c>
      <c r="I279" s="36" t="str">
        <f t="shared" si="18"/>
        <v/>
      </c>
      <c r="J279" s="35">
        <f t="shared" si="21"/>
        <v>-5</v>
      </c>
      <c r="K279" s="35">
        <f t="shared" si="19"/>
        <v>-50</v>
      </c>
      <c r="L279" s="35"/>
      <c r="M279" s="37">
        <f t="shared" si="20"/>
        <v>0</v>
      </c>
    </row>
    <row r="280" spans="1:13" x14ac:dyDescent="0.25">
      <c r="A280" s="56"/>
      <c r="G280" s="13"/>
      <c r="H280" s="35">
        <v>275</v>
      </c>
      <c r="I280" s="36" t="str">
        <f t="shared" si="18"/>
        <v/>
      </c>
      <c r="J280" s="35">
        <f t="shared" si="21"/>
        <v>-5</v>
      </c>
      <c r="K280" s="35">
        <f t="shared" si="19"/>
        <v>-50</v>
      </c>
      <c r="L280" s="35"/>
      <c r="M280" s="37">
        <f t="shared" si="20"/>
        <v>0</v>
      </c>
    </row>
    <row r="281" spans="1:13" x14ac:dyDescent="0.25">
      <c r="A281" s="56"/>
      <c r="G281" s="13"/>
      <c r="H281" s="35">
        <v>276</v>
      </c>
      <c r="I281" s="36" t="str">
        <f t="shared" si="18"/>
        <v/>
      </c>
      <c r="J281" s="35">
        <f t="shared" si="21"/>
        <v>-5</v>
      </c>
      <c r="K281" s="35">
        <f t="shared" si="19"/>
        <v>-50</v>
      </c>
      <c r="L281" s="35"/>
      <c r="M281" s="37">
        <f t="shared" si="20"/>
        <v>0</v>
      </c>
    </row>
    <row r="282" spans="1:13" x14ac:dyDescent="0.25">
      <c r="A282" s="56"/>
      <c r="G282" s="13"/>
      <c r="H282" s="35">
        <v>277</v>
      </c>
      <c r="I282" s="36" t="str">
        <f t="shared" si="18"/>
        <v/>
      </c>
      <c r="J282" s="35">
        <f t="shared" si="21"/>
        <v>-5</v>
      </c>
      <c r="K282" s="35">
        <f t="shared" si="19"/>
        <v>-50</v>
      </c>
      <c r="L282" s="35"/>
      <c r="M282" s="37">
        <f t="shared" si="20"/>
        <v>0</v>
      </c>
    </row>
    <row r="283" spans="1:13" x14ac:dyDescent="0.25">
      <c r="A283" s="56"/>
      <c r="G283" s="13"/>
      <c r="H283" s="35">
        <v>278</v>
      </c>
      <c r="I283" s="36" t="str">
        <f t="shared" si="18"/>
        <v/>
      </c>
      <c r="J283" s="35">
        <f t="shared" si="21"/>
        <v>-5</v>
      </c>
      <c r="K283" s="35">
        <f t="shared" si="19"/>
        <v>-50</v>
      </c>
      <c r="L283" s="35"/>
      <c r="M283" s="37">
        <f t="shared" si="20"/>
        <v>0</v>
      </c>
    </row>
    <row r="284" spans="1:13" x14ac:dyDescent="0.25">
      <c r="A284" s="56"/>
      <c r="G284" s="13"/>
      <c r="H284" s="35">
        <v>279</v>
      </c>
      <c r="I284" s="36" t="str">
        <f t="shared" si="18"/>
        <v/>
      </c>
      <c r="J284" s="35">
        <f t="shared" si="21"/>
        <v>-5</v>
      </c>
      <c r="K284" s="35">
        <f t="shared" si="19"/>
        <v>-50</v>
      </c>
      <c r="L284" s="35"/>
      <c r="M284" s="37">
        <f t="shared" si="20"/>
        <v>0</v>
      </c>
    </row>
    <row r="285" spans="1:13" x14ac:dyDescent="0.25">
      <c r="A285" s="56"/>
      <c r="G285" s="13"/>
      <c r="H285" s="35">
        <v>280</v>
      </c>
      <c r="I285" s="36" t="str">
        <f t="shared" si="18"/>
        <v/>
      </c>
      <c r="J285" s="35">
        <f t="shared" si="21"/>
        <v>-5</v>
      </c>
      <c r="K285" s="35">
        <f t="shared" si="19"/>
        <v>-50</v>
      </c>
      <c r="L285" s="35"/>
      <c r="M285" s="37">
        <f t="shared" si="20"/>
        <v>0</v>
      </c>
    </row>
    <row r="286" spans="1:13" x14ac:dyDescent="0.25">
      <c r="A286" s="56"/>
      <c r="G286" s="13"/>
      <c r="H286" s="35">
        <v>281</v>
      </c>
      <c r="I286" s="36" t="str">
        <f t="shared" si="18"/>
        <v/>
      </c>
      <c r="J286" s="35">
        <f t="shared" si="21"/>
        <v>-5</v>
      </c>
      <c r="K286" s="35">
        <f t="shared" si="19"/>
        <v>-50</v>
      </c>
      <c r="L286" s="35"/>
      <c r="M286" s="37">
        <f t="shared" si="20"/>
        <v>0</v>
      </c>
    </row>
    <row r="287" spans="1:13" x14ac:dyDescent="0.25">
      <c r="A287" s="56"/>
      <c r="G287" s="13"/>
      <c r="H287" s="35">
        <v>282</v>
      </c>
      <c r="I287" s="36" t="str">
        <f t="shared" si="18"/>
        <v/>
      </c>
      <c r="J287" s="35">
        <f t="shared" si="21"/>
        <v>-5</v>
      </c>
      <c r="K287" s="35">
        <f t="shared" si="19"/>
        <v>-50</v>
      </c>
      <c r="L287" s="35"/>
      <c r="M287" s="37">
        <f t="shared" si="20"/>
        <v>0</v>
      </c>
    </row>
    <row r="288" spans="1:13" x14ac:dyDescent="0.25">
      <c r="A288" s="56"/>
      <c r="G288" s="13"/>
      <c r="H288" s="35">
        <v>283</v>
      </c>
      <c r="I288" s="36" t="str">
        <f t="shared" si="18"/>
        <v/>
      </c>
      <c r="J288" s="35">
        <f t="shared" si="21"/>
        <v>-5</v>
      </c>
      <c r="K288" s="35">
        <f t="shared" si="19"/>
        <v>-50</v>
      </c>
      <c r="L288" s="35"/>
      <c r="M288" s="37">
        <f t="shared" si="20"/>
        <v>0</v>
      </c>
    </row>
    <row r="289" spans="1:13" x14ac:dyDescent="0.25">
      <c r="A289" s="56"/>
      <c r="G289" s="13"/>
      <c r="H289" s="35">
        <v>284</v>
      </c>
      <c r="I289" s="36" t="str">
        <f t="shared" si="18"/>
        <v/>
      </c>
      <c r="J289" s="35">
        <f t="shared" si="21"/>
        <v>-5</v>
      </c>
      <c r="K289" s="35">
        <f t="shared" si="19"/>
        <v>-50</v>
      </c>
      <c r="L289" s="35"/>
      <c r="M289" s="37">
        <f t="shared" si="20"/>
        <v>0</v>
      </c>
    </row>
    <row r="290" spans="1:13" x14ac:dyDescent="0.25">
      <c r="A290" s="56"/>
      <c r="G290" s="13"/>
      <c r="H290" s="35">
        <v>285</v>
      </c>
      <c r="I290" s="36" t="str">
        <f t="shared" si="18"/>
        <v/>
      </c>
      <c r="J290" s="35">
        <f t="shared" si="21"/>
        <v>-5</v>
      </c>
      <c r="K290" s="35">
        <f t="shared" si="19"/>
        <v>-50</v>
      </c>
      <c r="L290" s="35"/>
      <c r="M290" s="37">
        <f t="shared" si="20"/>
        <v>0</v>
      </c>
    </row>
    <row r="291" spans="1:13" x14ac:dyDescent="0.25">
      <c r="A291" s="56"/>
      <c r="G291" s="13"/>
      <c r="H291" s="35">
        <v>286</v>
      </c>
      <c r="I291" s="36" t="str">
        <f t="shared" si="18"/>
        <v/>
      </c>
      <c r="J291" s="35">
        <f t="shared" si="21"/>
        <v>-5</v>
      </c>
      <c r="K291" s="35">
        <f t="shared" si="19"/>
        <v>-50</v>
      </c>
      <c r="L291" s="35"/>
      <c r="M291" s="37">
        <f t="shared" si="20"/>
        <v>0</v>
      </c>
    </row>
    <row r="292" spans="1:13" x14ac:dyDescent="0.25">
      <c r="A292" s="56"/>
      <c r="G292" s="13"/>
      <c r="H292" s="35">
        <v>287</v>
      </c>
      <c r="I292" s="36" t="str">
        <f t="shared" si="18"/>
        <v/>
      </c>
      <c r="J292" s="35">
        <f t="shared" si="21"/>
        <v>-5</v>
      </c>
      <c r="K292" s="35">
        <f t="shared" si="19"/>
        <v>-50</v>
      </c>
      <c r="L292" s="35"/>
      <c r="M292" s="37">
        <f t="shared" si="20"/>
        <v>0</v>
      </c>
    </row>
    <row r="293" spans="1:13" x14ac:dyDescent="0.25">
      <c r="A293" s="56"/>
      <c r="G293" s="13"/>
      <c r="H293" s="35">
        <v>288</v>
      </c>
      <c r="I293" s="36" t="str">
        <f t="shared" si="18"/>
        <v/>
      </c>
      <c r="J293" s="35">
        <f t="shared" si="21"/>
        <v>-5</v>
      </c>
      <c r="K293" s="35">
        <f t="shared" si="19"/>
        <v>-50</v>
      </c>
      <c r="L293" s="35"/>
      <c r="M293" s="37">
        <f t="shared" si="20"/>
        <v>0</v>
      </c>
    </row>
    <row r="294" spans="1:13" x14ac:dyDescent="0.25">
      <c r="A294" s="56"/>
      <c r="G294" s="13"/>
      <c r="H294" s="35">
        <v>289</v>
      </c>
      <c r="I294" s="36" t="str">
        <f t="shared" si="18"/>
        <v/>
      </c>
      <c r="J294" s="35">
        <f t="shared" si="21"/>
        <v>-5</v>
      </c>
      <c r="K294" s="35">
        <f t="shared" si="19"/>
        <v>-50</v>
      </c>
      <c r="L294" s="35"/>
      <c r="M294" s="37">
        <f t="shared" si="20"/>
        <v>0</v>
      </c>
    </row>
    <row r="295" spans="1:13" x14ac:dyDescent="0.25">
      <c r="A295" s="56"/>
      <c r="G295" s="13"/>
      <c r="H295" s="35">
        <v>290</v>
      </c>
      <c r="I295" s="36" t="str">
        <f t="shared" si="18"/>
        <v/>
      </c>
      <c r="J295" s="35">
        <f t="shared" si="21"/>
        <v>-5</v>
      </c>
      <c r="K295" s="35">
        <f t="shared" si="19"/>
        <v>-50</v>
      </c>
      <c r="L295" s="35"/>
      <c r="M295" s="37">
        <f t="shared" si="20"/>
        <v>0</v>
      </c>
    </row>
    <row r="296" spans="1:13" x14ac:dyDescent="0.25">
      <c r="A296" s="56"/>
      <c r="G296" s="13"/>
      <c r="H296" s="35">
        <v>291</v>
      </c>
      <c r="I296" s="36" t="str">
        <f t="shared" si="18"/>
        <v/>
      </c>
      <c r="J296" s="35">
        <f t="shared" si="21"/>
        <v>-5</v>
      </c>
      <c r="K296" s="35">
        <f t="shared" si="19"/>
        <v>-50</v>
      </c>
      <c r="L296" s="35"/>
      <c r="M296" s="37">
        <f t="shared" si="20"/>
        <v>0</v>
      </c>
    </row>
    <row r="297" spans="1:13" x14ac:dyDescent="0.25">
      <c r="A297" s="56"/>
      <c r="G297" s="13"/>
      <c r="H297" s="35">
        <v>292</v>
      </c>
      <c r="I297" s="36" t="str">
        <f t="shared" si="18"/>
        <v/>
      </c>
      <c r="J297" s="35">
        <f t="shared" si="21"/>
        <v>-5</v>
      </c>
      <c r="K297" s="35">
        <f t="shared" si="19"/>
        <v>-50</v>
      </c>
      <c r="L297" s="35"/>
      <c r="M297" s="37">
        <f t="shared" si="20"/>
        <v>0</v>
      </c>
    </row>
    <row r="298" spans="1:13" x14ac:dyDescent="0.25">
      <c r="A298" s="56"/>
      <c r="G298" s="13"/>
      <c r="H298" s="35">
        <v>293</v>
      </c>
      <c r="I298" s="36" t="str">
        <f t="shared" si="18"/>
        <v/>
      </c>
      <c r="J298" s="35">
        <f t="shared" si="21"/>
        <v>-5</v>
      </c>
      <c r="K298" s="35">
        <f t="shared" si="19"/>
        <v>-50</v>
      </c>
      <c r="L298" s="35"/>
      <c r="M298" s="37">
        <f t="shared" si="20"/>
        <v>0</v>
      </c>
    </row>
    <row r="299" spans="1:13" x14ac:dyDescent="0.25">
      <c r="A299" s="56"/>
      <c r="G299" s="13"/>
      <c r="H299" s="35">
        <v>294</v>
      </c>
      <c r="I299" s="36" t="str">
        <f t="shared" si="18"/>
        <v/>
      </c>
      <c r="J299" s="35">
        <f t="shared" si="21"/>
        <v>-5</v>
      </c>
      <c r="K299" s="35">
        <f t="shared" si="19"/>
        <v>-50</v>
      </c>
      <c r="L299" s="35"/>
      <c r="M299" s="37">
        <f t="shared" si="20"/>
        <v>0</v>
      </c>
    </row>
    <row r="300" spans="1:13" x14ac:dyDescent="0.25">
      <c r="A300" s="56"/>
      <c r="G300" s="13"/>
      <c r="H300" s="35">
        <v>295</v>
      </c>
      <c r="I300" s="36" t="str">
        <f t="shared" si="18"/>
        <v/>
      </c>
      <c r="J300" s="35">
        <f t="shared" si="21"/>
        <v>-5</v>
      </c>
      <c r="K300" s="35">
        <f t="shared" si="19"/>
        <v>-50</v>
      </c>
      <c r="L300" s="35"/>
      <c r="M300" s="37">
        <f t="shared" si="20"/>
        <v>0</v>
      </c>
    </row>
    <row r="301" spans="1:13" x14ac:dyDescent="0.25">
      <c r="A301" s="56"/>
      <c r="G301" s="13"/>
      <c r="H301" s="35">
        <v>296</v>
      </c>
      <c r="I301" s="36" t="str">
        <f t="shared" si="18"/>
        <v/>
      </c>
      <c r="J301" s="35">
        <f t="shared" si="21"/>
        <v>-5</v>
      </c>
      <c r="K301" s="35">
        <f t="shared" si="19"/>
        <v>-50</v>
      </c>
      <c r="L301" s="35"/>
      <c r="M301" s="37">
        <f t="shared" si="20"/>
        <v>0</v>
      </c>
    </row>
    <row r="302" spans="1:13" x14ac:dyDescent="0.25">
      <c r="A302" s="56"/>
      <c r="G302" s="13"/>
      <c r="H302" s="35">
        <v>297</v>
      </c>
      <c r="I302" s="36" t="str">
        <f t="shared" si="18"/>
        <v/>
      </c>
      <c r="J302" s="35">
        <f t="shared" si="21"/>
        <v>-5</v>
      </c>
      <c r="K302" s="35">
        <f t="shared" si="19"/>
        <v>-50</v>
      </c>
      <c r="L302" s="35"/>
      <c r="M302" s="37">
        <f t="shared" si="20"/>
        <v>0</v>
      </c>
    </row>
    <row r="303" spans="1:13" x14ac:dyDescent="0.25">
      <c r="A303" s="56"/>
      <c r="G303" s="13"/>
      <c r="H303" s="35">
        <v>298</v>
      </c>
      <c r="I303" s="36" t="str">
        <f t="shared" si="18"/>
        <v/>
      </c>
      <c r="J303" s="35">
        <f t="shared" si="21"/>
        <v>-5</v>
      </c>
      <c r="K303" s="35">
        <f t="shared" si="19"/>
        <v>-50</v>
      </c>
      <c r="L303" s="35"/>
      <c r="M303" s="37">
        <f t="shared" si="20"/>
        <v>0</v>
      </c>
    </row>
    <row r="304" spans="1:13" x14ac:dyDescent="0.25">
      <c r="A304" s="56"/>
      <c r="G304" s="13"/>
      <c r="H304" s="35">
        <v>299</v>
      </c>
      <c r="I304" s="36" t="str">
        <f t="shared" si="18"/>
        <v/>
      </c>
      <c r="J304" s="35">
        <f t="shared" si="21"/>
        <v>-5</v>
      </c>
      <c r="K304" s="35">
        <f t="shared" si="19"/>
        <v>-50</v>
      </c>
      <c r="L304" s="35"/>
      <c r="M304" s="37">
        <f t="shared" si="20"/>
        <v>0</v>
      </c>
    </row>
    <row r="305" spans="1:16" x14ac:dyDescent="0.25">
      <c r="A305" s="56"/>
      <c r="G305" s="13"/>
      <c r="H305" s="35">
        <v>300</v>
      </c>
      <c r="I305" s="36" t="str">
        <f t="shared" si="18"/>
        <v/>
      </c>
      <c r="J305" s="35">
        <f t="shared" si="21"/>
        <v>-5</v>
      </c>
      <c r="K305" s="35">
        <f t="shared" si="19"/>
        <v>-50</v>
      </c>
      <c r="L305" s="35"/>
      <c r="M305" s="37">
        <f t="shared" si="20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11" priority="1" operator="lessThanOrEqual">
      <formula>0</formula>
    </cfRule>
  </conditionalFormatting>
  <dataValidations count="1">
    <dataValidation type="list" allowBlank="1" showInputMessage="1" showErrorMessage="1" sqref="C38:C69" xr:uid="{A5AA6189-5590-463E-9C31-856BA7133FF7}">
      <formula1>#REF!</formula1>
    </dataValidation>
  </dataValidations>
  <hyperlinks>
    <hyperlink ref="C2:D2" r:id="rId1" display="Budapeszt" xr:uid="{2A415B26-5BD5-472D-AC04-AE315312C9FE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EC87-04A8-4F47-B4CB-E845AB08C088}">
  <sheetPr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" style="59" customWidth="1"/>
    <col min="11" max="11" width="8.75" style="59" customWidth="1"/>
    <col min="12" max="12" width="11" style="59" customWidth="1"/>
    <col min="13" max="13" width="11.7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25</v>
      </c>
      <c r="I1" s="15" t="s">
        <v>26</v>
      </c>
      <c r="J1" s="15" t="s">
        <v>27</v>
      </c>
      <c r="K1" s="16" t="s">
        <v>28</v>
      </c>
      <c r="L1" s="17"/>
      <c r="M1" s="17"/>
    </row>
    <row r="2" spans="1:36" x14ac:dyDescent="0.25">
      <c r="A2" s="13"/>
      <c r="B2" s="19" t="s">
        <v>29</v>
      </c>
      <c r="C2" s="232" t="s">
        <v>101</v>
      </c>
      <c r="D2" s="232"/>
      <c r="E2" s="20"/>
      <c r="F2" s="20"/>
      <c r="G2" s="20"/>
      <c r="H2" s="21">
        <v>19</v>
      </c>
      <c r="I2" s="22">
        <v>50</v>
      </c>
      <c r="J2" s="22">
        <v>10</v>
      </c>
      <c r="K2" s="23">
        <f>3*H2^(1/3)</f>
        <v>8.0052049461658328</v>
      </c>
      <c r="L2" s="17"/>
      <c r="M2" s="17"/>
    </row>
    <row r="3" spans="1:36" ht="14.45" customHeight="1" x14ac:dyDescent="0.25">
      <c r="A3" s="13"/>
      <c r="B3" s="24" t="s">
        <v>31</v>
      </c>
      <c r="C3" s="233" t="s">
        <v>102</v>
      </c>
      <c r="D3" s="210"/>
      <c r="E3" s="25"/>
      <c r="F3" s="25"/>
      <c r="G3" s="25"/>
      <c r="H3" s="17"/>
      <c r="I3" s="17"/>
      <c r="J3" s="17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17"/>
      <c r="K4" s="17"/>
      <c r="L4" s="17"/>
      <c r="M4" s="17"/>
    </row>
    <row r="5" spans="1:36" ht="34.65" x14ac:dyDescent="0.25">
      <c r="A5" s="1" t="s">
        <v>33</v>
      </c>
      <c r="B5" s="28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7"/>
      <c r="H5" s="29" t="s">
        <v>39</v>
      </c>
      <c r="I5" s="30" t="s">
        <v>40</v>
      </c>
      <c r="J5" s="30" t="s">
        <v>41</v>
      </c>
      <c r="K5" s="30" t="s">
        <v>42</v>
      </c>
      <c r="L5" s="30" t="s">
        <v>43</v>
      </c>
      <c r="M5" s="29" t="s">
        <v>44</v>
      </c>
    </row>
    <row r="6" spans="1:36" ht="14.45" customHeight="1" x14ac:dyDescent="0.25">
      <c r="A6" s="76">
        <f>M6</f>
        <v>124.0156148384975</v>
      </c>
      <c r="B6" s="33">
        <f t="shared" ref="B6:B20" si="0">IF(H6&gt;$H$2,"",(ROW()-5))</f>
        <v>1</v>
      </c>
      <c r="C6" s="34" t="s">
        <v>50</v>
      </c>
      <c r="D6" s="34"/>
      <c r="E6" s="34"/>
      <c r="F6" s="34"/>
      <c r="G6" s="27"/>
      <c r="H6" s="35">
        <v>1</v>
      </c>
      <c r="I6" s="36">
        <f t="shared" ref="I6:I69" si="1">IF(H6&lt;$H$2+1,($I$2-($I$2-1)*(LOG(H6)/LOG($H$2))),"")</f>
        <v>50</v>
      </c>
      <c r="J6" s="36">
        <f>INT(LOG($H$2,2))-ROUNDUP(LOG(H6,2),0)+IF(OR($H$2=1,$H$2=2,$H$2=4,$H$2=8,$H$2=16,$H$2=32,$H$2=64,$H$2=128,$H$2=256),0,1)</f>
        <v>5</v>
      </c>
      <c r="K6" s="35">
        <f t="shared" ref="K6:K69" si="2">J6*$J$2</f>
        <v>50</v>
      </c>
      <c r="L6" s="37">
        <f>3*K2</f>
        <v>24.015614838497498</v>
      </c>
      <c r="M6" s="37">
        <f t="shared" ref="M6:M69" si="3">IF(I6&lt;&gt;"",K6+I6+L6,0)</f>
        <v>124.0156148384975</v>
      </c>
    </row>
    <row r="7" spans="1:36" ht="14.45" customHeight="1" x14ac:dyDescent="0.25">
      <c r="A7" s="77">
        <f t="shared" ref="A7:A37" si="4">M7</f>
        <v>94.47537313736639</v>
      </c>
      <c r="B7" s="39">
        <f t="shared" si="0"/>
        <v>2</v>
      </c>
      <c r="C7" s="40" t="s">
        <v>50</v>
      </c>
      <c r="D7" s="40"/>
      <c r="E7" s="40"/>
      <c r="F7" s="40"/>
      <c r="G7" s="27"/>
      <c r="H7" s="41">
        <v>2</v>
      </c>
      <c r="I7" s="42">
        <f t="shared" si="1"/>
        <v>38.464963245034724</v>
      </c>
      <c r="J7" s="42">
        <f t="shared" ref="J7:J70" si="5">INT(LOG($H$2,2))-ROUNDUP(LOG(H7,2),0)+IF(OR($H$2=1,$H$2=2,$H$2=4,$H$2=8,$H$2=16,$H$2=32,$H$2=64,$H$2=128,$H$2=256),0,1)</f>
        <v>4</v>
      </c>
      <c r="K7" s="41">
        <f t="shared" si="2"/>
        <v>40</v>
      </c>
      <c r="L7" s="43">
        <f>2*K2</f>
        <v>16.010409892331666</v>
      </c>
      <c r="M7" s="43">
        <f t="shared" si="3"/>
        <v>94.47537313736639</v>
      </c>
    </row>
    <row r="8" spans="1:36" ht="14.45" customHeight="1" x14ac:dyDescent="0.25">
      <c r="A8" s="76">
        <f t="shared" si="4"/>
        <v>69.722604245105629</v>
      </c>
      <c r="B8" s="33">
        <f t="shared" si="0"/>
        <v>3</v>
      </c>
      <c r="C8" s="34" t="s">
        <v>50</v>
      </c>
      <c r="D8" s="34"/>
      <c r="E8" s="34"/>
      <c r="F8" s="34"/>
      <c r="G8" s="27"/>
      <c r="H8" s="35">
        <v>3</v>
      </c>
      <c r="I8" s="36">
        <f t="shared" si="1"/>
        <v>31.717399298939789</v>
      </c>
      <c r="J8" s="36">
        <f t="shared" si="5"/>
        <v>3</v>
      </c>
      <c r="K8" s="35">
        <f t="shared" si="2"/>
        <v>30</v>
      </c>
      <c r="L8" s="37">
        <f>K2</f>
        <v>8.0052049461658328</v>
      </c>
      <c r="M8" s="37">
        <f t="shared" si="3"/>
        <v>69.722604245105629</v>
      </c>
    </row>
    <row r="9" spans="1:36" s="82" customFormat="1" ht="14.45" customHeight="1" x14ac:dyDescent="0.25">
      <c r="A9" s="76">
        <f t="shared" si="4"/>
        <v>69.722604245105629</v>
      </c>
      <c r="B9" s="39">
        <f>IF(H9&gt;$H$2,"",3)</f>
        <v>3</v>
      </c>
      <c r="C9" s="40" t="s">
        <v>50</v>
      </c>
      <c r="D9" s="40"/>
      <c r="E9" s="40"/>
      <c r="F9" s="40"/>
      <c r="G9" s="27"/>
      <c r="H9" s="78">
        <v>3</v>
      </c>
      <c r="I9" s="79">
        <f t="shared" si="1"/>
        <v>31.717399298939789</v>
      </c>
      <c r="J9" s="78">
        <f t="shared" si="5"/>
        <v>3</v>
      </c>
      <c r="K9" s="78">
        <f t="shared" si="2"/>
        <v>30</v>
      </c>
      <c r="L9" s="80">
        <f>K2</f>
        <v>8.0052049461658328</v>
      </c>
      <c r="M9" s="80">
        <f t="shared" si="3"/>
        <v>69.722604245105629</v>
      </c>
      <c r="N9" s="81"/>
      <c r="O9" s="81"/>
      <c r="P9" s="81"/>
      <c r="Q9" s="81"/>
      <c r="R9" s="81"/>
      <c r="V9" s="83"/>
      <c r="Z9" s="84"/>
      <c r="AA9" s="84"/>
      <c r="AG9" s="85"/>
      <c r="AH9" s="82" t="s">
        <v>50</v>
      </c>
      <c r="AI9" s="82">
        <v>23</v>
      </c>
    </row>
    <row r="10" spans="1:36" ht="14.45" customHeight="1" x14ac:dyDescent="0.25">
      <c r="A10" s="76">
        <f t="shared" si="4"/>
        <v>43.216474083087775</v>
      </c>
      <c r="B10" s="33">
        <f t="shared" si="0"/>
        <v>5</v>
      </c>
      <c r="C10" s="34" t="s">
        <v>50</v>
      </c>
      <c r="D10" s="34"/>
      <c r="E10" s="34"/>
      <c r="F10" s="34"/>
      <c r="G10" s="27"/>
      <c r="H10" s="35">
        <v>5</v>
      </c>
      <c r="I10" s="36">
        <f t="shared" si="1"/>
        <v>23.216474083087775</v>
      </c>
      <c r="J10" s="36">
        <f t="shared" si="5"/>
        <v>2</v>
      </c>
      <c r="K10" s="35">
        <f t="shared" si="2"/>
        <v>20</v>
      </c>
      <c r="L10" s="35"/>
      <c r="M10" s="37">
        <f t="shared" si="3"/>
        <v>43.216474083087775</v>
      </c>
      <c r="V10" s="44"/>
      <c r="Z10" s="45"/>
      <c r="AA10" s="45"/>
      <c r="AG10" s="46"/>
      <c r="AH10" s="18" t="s">
        <v>52</v>
      </c>
      <c r="AI10" s="18">
        <v>45</v>
      </c>
    </row>
    <row r="11" spans="1:36" ht="14.45" customHeight="1" x14ac:dyDescent="0.25">
      <c r="A11" s="77">
        <f t="shared" si="4"/>
        <v>40.18236254397452</v>
      </c>
      <c r="B11" s="39">
        <f t="shared" si="0"/>
        <v>6</v>
      </c>
      <c r="C11" s="40" t="s">
        <v>50</v>
      </c>
      <c r="D11" s="40"/>
      <c r="E11" s="40"/>
      <c r="F11" s="40"/>
      <c r="G11" s="27"/>
      <c r="H11" s="41">
        <v>6</v>
      </c>
      <c r="I11" s="42">
        <f t="shared" si="1"/>
        <v>20.182362543974516</v>
      </c>
      <c r="J11" s="42">
        <f t="shared" si="5"/>
        <v>2</v>
      </c>
      <c r="K11" s="41">
        <f t="shared" si="2"/>
        <v>20</v>
      </c>
      <c r="L11" s="41"/>
      <c r="M11" s="43">
        <f t="shared" si="3"/>
        <v>40.18236254397452</v>
      </c>
      <c r="V11" s="47"/>
      <c r="Z11" s="45"/>
      <c r="AA11" s="45"/>
      <c r="AG11" s="46"/>
      <c r="AH11" s="18" t="s">
        <v>53</v>
      </c>
      <c r="AI11" s="18">
        <v>50</v>
      </c>
    </row>
    <row r="12" spans="1:36" ht="14.45" customHeight="1" x14ac:dyDescent="0.25">
      <c r="A12" s="76">
        <f t="shared" si="4"/>
        <v>37.617057789832863</v>
      </c>
      <c r="B12" s="33">
        <f t="shared" si="0"/>
        <v>7</v>
      </c>
      <c r="C12" s="34" t="s">
        <v>16</v>
      </c>
      <c r="D12" s="34"/>
      <c r="E12" s="34"/>
      <c r="F12" s="34"/>
      <c r="G12" s="27"/>
      <c r="H12" s="35">
        <v>7</v>
      </c>
      <c r="I12" s="36">
        <f t="shared" si="1"/>
        <v>17.617057789832863</v>
      </c>
      <c r="J12" s="36">
        <f t="shared" si="5"/>
        <v>2</v>
      </c>
      <c r="K12" s="35">
        <f t="shared" si="2"/>
        <v>20</v>
      </c>
      <c r="L12" s="35"/>
      <c r="M12" s="37">
        <f t="shared" si="3"/>
        <v>37.617057789832863</v>
      </c>
      <c r="Z12" s="45"/>
      <c r="AA12" s="45"/>
      <c r="AG12" s="46"/>
      <c r="AH12" s="18" t="s">
        <v>54</v>
      </c>
      <c r="AI12" s="18">
        <f>AI11-1</f>
        <v>49</v>
      </c>
    </row>
    <row r="13" spans="1:36" ht="14.45" customHeight="1" x14ac:dyDescent="0.25">
      <c r="A13" s="77">
        <f t="shared" si="4"/>
        <v>35.394889735104179</v>
      </c>
      <c r="B13" s="39">
        <f t="shared" si="0"/>
        <v>8</v>
      </c>
      <c r="C13" s="40" t="s">
        <v>50</v>
      </c>
      <c r="D13" s="40"/>
      <c r="E13" s="40"/>
      <c r="F13" s="40"/>
      <c r="G13" s="27"/>
      <c r="H13" s="41">
        <v>8</v>
      </c>
      <c r="I13" s="42">
        <f t="shared" si="1"/>
        <v>15.394889735104179</v>
      </c>
      <c r="J13" s="42">
        <f t="shared" si="5"/>
        <v>2</v>
      </c>
      <c r="K13" s="41">
        <f t="shared" si="2"/>
        <v>20</v>
      </c>
      <c r="L13" s="41"/>
      <c r="M13" s="43">
        <f t="shared" si="3"/>
        <v>35.394889735104179</v>
      </c>
      <c r="X13" s="44"/>
      <c r="AG13" s="46"/>
      <c r="AH13" s="18" t="s">
        <v>55</v>
      </c>
      <c r="AI13" s="18">
        <f>LOG(AI9)</f>
        <v>1.3617278360175928</v>
      </c>
    </row>
    <row r="14" spans="1:36" x14ac:dyDescent="0.25">
      <c r="A14" s="76">
        <f t="shared" si="4"/>
        <v>23.434798597879578</v>
      </c>
      <c r="B14" s="33">
        <f t="shared" si="0"/>
        <v>9</v>
      </c>
      <c r="C14" s="34" t="s">
        <v>50</v>
      </c>
      <c r="D14" s="34"/>
      <c r="E14" s="34"/>
      <c r="F14" s="34"/>
      <c r="G14" s="27"/>
      <c r="H14" s="35">
        <v>9</v>
      </c>
      <c r="I14" s="36">
        <f t="shared" si="1"/>
        <v>13.434798597879578</v>
      </c>
      <c r="J14" s="36">
        <f t="shared" si="5"/>
        <v>1</v>
      </c>
      <c r="K14" s="35">
        <f t="shared" si="2"/>
        <v>10</v>
      </c>
      <c r="L14" s="35"/>
      <c r="M14" s="37">
        <f t="shared" si="3"/>
        <v>23.434798597879578</v>
      </c>
      <c r="X14" s="50"/>
      <c r="Z14" s="45"/>
      <c r="AA14" s="45"/>
      <c r="AG14" s="46"/>
      <c r="AH14" s="18" t="s">
        <v>56</v>
      </c>
      <c r="AI14" s="18">
        <f>LOG(AI10)</f>
        <v>1.6532125137753437</v>
      </c>
    </row>
    <row r="15" spans="1:36" x14ac:dyDescent="0.25">
      <c r="A15" s="77">
        <f t="shared" si="4"/>
        <v>21.681437328122506</v>
      </c>
      <c r="B15" s="39">
        <f t="shared" si="0"/>
        <v>10</v>
      </c>
      <c r="C15" s="40" t="s">
        <v>50</v>
      </c>
      <c r="D15" s="40"/>
      <c r="E15" s="40"/>
      <c r="F15" s="40"/>
      <c r="G15" s="27"/>
      <c r="H15" s="41">
        <v>10</v>
      </c>
      <c r="I15" s="42">
        <f t="shared" si="1"/>
        <v>11.681437328122506</v>
      </c>
      <c r="J15" s="42">
        <f t="shared" si="5"/>
        <v>1</v>
      </c>
      <c r="K15" s="41">
        <f t="shared" si="2"/>
        <v>10</v>
      </c>
      <c r="L15" s="41"/>
      <c r="M15" s="43">
        <f t="shared" si="3"/>
        <v>21.681437328122506</v>
      </c>
      <c r="X15" s="44"/>
      <c r="Z15" s="45"/>
      <c r="AA15" s="45"/>
    </row>
    <row r="16" spans="1:36" x14ac:dyDescent="0.25">
      <c r="A16" s="76">
        <f t="shared" si="4"/>
        <v>20.095329127729762</v>
      </c>
      <c r="B16" s="33">
        <f t="shared" si="0"/>
        <v>11</v>
      </c>
      <c r="C16" s="34" t="s">
        <v>50</v>
      </c>
      <c r="D16" s="34"/>
      <c r="E16" s="34"/>
      <c r="F16" s="34"/>
      <c r="G16" s="27"/>
      <c r="H16" s="35">
        <v>11</v>
      </c>
      <c r="I16" s="36">
        <f t="shared" si="1"/>
        <v>10.095329127729762</v>
      </c>
      <c r="J16" s="36">
        <f t="shared" si="5"/>
        <v>1</v>
      </c>
      <c r="K16" s="35">
        <f t="shared" si="2"/>
        <v>10</v>
      </c>
      <c r="L16" s="35"/>
      <c r="M16" s="37">
        <f t="shared" si="3"/>
        <v>20.095329127729762</v>
      </c>
      <c r="R16" s="51"/>
      <c r="Z16" s="45"/>
      <c r="AA16" s="45"/>
      <c r="AH16" s="52" t="s">
        <v>57</v>
      </c>
      <c r="AI16" s="18">
        <f>AI11-AI12*AI13/AI14</f>
        <v>9.6393909380186855</v>
      </c>
      <c r="AJ16" s="18" t="s">
        <v>58</v>
      </c>
    </row>
    <row r="17" spans="1:19" x14ac:dyDescent="0.25">
      <c r="A17" s="77">
        <f t="shared" si="4"/>
        <v>18.647325789009237</v>
      </c>
      <c r="B17" s="39">
        <f t="shared" si="0"/>
        <v>12</v>
      </c>
      <c r="C17" s="40" t="s">
        <v>50</v>
      </c>
      <c r="D17" s="40"/>
      <c r="E17" s="40"/>
      <c r="F17" s="40"/>
      <c r="G17" s="27"/>
      <c r="H17" s="41">
        <v>12</v>
      </c>
      <c r="I17" s="42">
        <f t="shared" si="1"/>
        <v>8.647325789009237</v>
      </c>
      <c r="J17" s="42">
        <f t="shared" si="5"/>
        <v>1</v>
      </c>
      <c r="K17" s="41">
        <f t="shared" si="2"/>
        <v>10</v>
      </c>
      <c r="L17" s="41"/>
      <c r="M17" s="43">
        <f t="shared" si="3"/>
        <v>18.647325789009237</v>
      </c>
    </row>
    <row r="18" spans="1:19" x14ac:dyDescent="0.25">
      <c r="A18" s="76">
        <f t="shared" si="4"/>
        <v>17.315291841709161</v>
      </c>
      <c r="B18" s="33">
        <f t="shared" si="0"/>
        <v>13</v>
      </c>
      <c r="C18" s="34" t="s">
        <v>50</v>
      </c>
      <c r="D18" s="34"/>
      <c r="E18" s="34"/>
      <c r="F18" s="34"/>
      <c r="G18" s="27"/>
      <c r="H18" s="35">
        <v>13</v>
      </c>
      <c r="I18" s="36">
        <f t="shared" si="1"/>
        <v>7.3152918417091612</v>
      </c>
      <c r="J18" s="36">
        <f t="shared" si="5"/>
        <v>1</v>
      </c>
      <c r="K18" s="35">
        <f t="shared" si="2"/>
        <v>10</v>
      </c>
      <c r="L18" s="35"/>
      <c r="M18" s="37">
        <f t="shared" si="3"/>
        <v>17.315291841709161</v>
      </c>
    </row>
    <row r="19" spans="1:19" x14ac:dyDescent="0.25">
      <c r="A19" s="77">
        <f t="shared" si="4"/>
        <v>16.082021034867594</v>
      </c>
      <c r="B19" s="39">
        <f t="shared" si="0"/>
        <v>14</v>
      </c>
      <c r="C19" s="40" t="s">
        <v>50</v>
      </c>
      <c r="D19" s="40"/>
      <c r="E19" s="40"/>
      <c r="F19" s="40"/>
      <c r="G19" s="27"/>
      <c r="H19" s="41">
        <v>14</v>
      </c>
      <c r="I19" s="42">
        <f t="shared" si="1"/>
        <v>6.0820210348675943</v>
      </c>
      <c r="J19" s="42">
        <f t="shared" si="5"/>
        <v>1</v>
      </c>
      <c r="K19" s="41">
        <f t="shared" si="2"/>
        <v>10</v>
      </c>
      <c r="L19" s="41"/>
      <c r="M19" s="43">
        <f t="shared" si="3"/>
        <v>16.082021034867594</v>
      </c>
    </row>
    <row r="20" spans="1:19" x14ac:dyDescent="0.25">
      <c r="A20" s="76">
        <f t="shared" si="4"/>
        <v>14.933873382027564</v>
      </c>
      <c r="B20" s="33">
        <f t="shared" si="0"/>
        <v>15</v>
      </c>
      <c r="C20" s="34" t="s">
        <v>50</v>
      </c>
      <c r="D20" s="34"/>
      <c r="E20" s="34"/>
      <c r="F20" s="34"/>
      <c r="G20" s="27"/>
      <c r="H20" s="35">
        <v>15</v>
      </c>
      <c r="I20" s="36">
        <f t="shared" si="1"/>
        <v>4.9338733820275635</v>
      </c>
      <c r="J20" s="36">
        <f t="shared" si="5"/>
        <v>1</v>
      </c>
      <c r="K20" s="35">
        <f t="shared" si="2"/>
        <v>10</v>
      </c>
      <c r="L20" s="35"/>
      <c r="M20" s="37">
        <f t="shared" si="3"/>
        <v>14.933873382027564</v>
      </c>
      <c r="R20" s="53"/>
      <c r="S20" s="54"/>
    </row>
    <row r="21" spans="1:19" x14ac:dyDescent="0.25">
      <c r="A21" s="77">
        <f t="shared" si="4"/>
        <v>13.859852980138903</v>
      </c>
      <c r="B21" s="39">
        <f t="shared" ref="B21:B65" si="6">IF(H21&gt;$H$2,"",(ROW()-5))</f>
        <v>16</v>
      </c>
      <c r="C21" s="40" t="s">
        <v>50</v>
      </c>
      <c r="D21" s="40"/>
      <c r="E21" s="40"/>
      <c r="F21" s="40"/>
      <c r="G21" s="27"/>
      <c r="H21" s="41">
        <v>16</v>
      </c>
      <c r="I21" s="42">
        <f t="shared" si="1"/>
        <v>3.8598529801389034</v>
      </c>
      <c r="J21" s="42">
        <f t="shared" si="5"/>
        <v>1</v>
      </c>
      <c r="K21" s="41">
        <f t="shared" si="2"/>
        <v>10</v>
      </c>
      <c r="L21" s="41"/>
      <c r="M21" s="43">
        <f t="shared" si="3"/>
        <v>13.859852980138903</v>
      </c>
    </row>
    <row r="22" spans="1:19" x14ac:dyDescent="0.25">
      <c r="A22" s="76">
        <f t="shared" si="4"/>
        <v>2.8509658916225433</v>
      </c>
      <c r="B22" s="33">
        <f t="shared" si="6"/>
        <v>17</v>
      </c>
      <c r="C22" s="34" t="s">
        <v>50</v>
      </c>
      <c r="D22" s="34"/>
      <c r="E22" s="34"/>
      <c r="F22" s="34"/>
      <c r="G22" s="27"/>
      <c r="H22" s="35">
        <v>17</v>
      </c>
      <c r="I22" s="36">
        <f t="shared" si="1"/>
        <v>2.8509658916225433</v>
      </c>
      <c r="J22" s="36">
        <f t="shared" si="5"/>
        <v>0</v>
      </c>
      <c r="K22" s="35">
        <f t="shared" si="2"/>
        <v>0</v>
      </c>
      <c r="L22" s="35"/>
      <c r="M22" s="37">
        <f t="shared" si="3"/>
        <v>2.8509658916225433</v>
      </c>
    </row>
    <row r="23" spans="1:19" x14ac:dyDescent="0.25">
      <c r="A23" s="77">
        <f t="shared" si="4"/>
        <v>1.8997618429143088</v>
      </c>
      <c r="B23" s="39">
        <f t="shared" si="6"/>
        <v>18</v>
      </c>
      <c r="C23" s="40" t="s">
        <v>50</v>
      </c>
      <c r="D23" s="40"/>
      <c r="E23" s="40"/>
      <c r="F23" s="40"/>
      <c r="G23" s="27"/>
      <c r="H23" s="41">
        <v>18</v>
      </c>
      <c r="I23" s="42">
        <f t="shared" si="1"/>
        <v>1.8997618429143088</v>
      </c>
      <c r="J23" s="42">
        <f t="shared" si="5"/>
        <v>0</v>
      </c>
      <c r="K23" s="41">
        <f t="shared" si="2"/>
        <v>0</v>
      </c>
      <c r="L23" s="41"/>
      <c r="M23" s="43">
        <f t="shared" si="3"/>
        <v>1.8997618429143088</v>
      </c>
    </row>
    <row r="24" spans="1:19" x14ac:dyDescent="0.25">
      <c r="A24" s="76">
        <f t="shared" si="4"/>
        <v>1</v>
      </c>
      <c r="B24" s="33">
        <f t="shared" si="6"/>
        <v>19</v>
      </c>
      <c r="C24" s="34" t="s">
        <v>50</v>
      </c>
      <c r="D24" s="34"/>
      <c r="E24" s="34"/>
      <c r="F24" s="34"/>
      <c r="G24" s="27"/>
      <c r="H24" s="35">
        <v>19</v>
      </c>
      <c r="I24" s="36">
        <f t="shared" si="1"/>
        <v>1</v>
      </c>
      <c r="J24" s="36">
        <f t="shared" si="5"/>
        <v>0</v>
      </c>
      <c r="K24" s="35">
        <f t="shared" si="2"/>
        <v>0</v>
      </c>
      <c r="L24" s="35"/>
      <c r="M24" s="37">
        <f t="shared" si="3"/>
        <v>1</v>
      </c>
      <c r="R24" s="53"/>
      <c r="S24" s="54"/>
    </row>
    <row r="25" spans="1:19" x14ac:dyDescent="0.25">
      <c r="A25" s="77">
        <f t="shared" si="4"/>
        <v>0</v>
      </c>
      <c r="B25" s="39" t="str">
        <f t="shared" si="6"/>
        <v/>
      </c>
      <c r="C25" s="40"/>
      <c r="D25" s="40"/>
      <c r="E25" s="40"/>
      <c r="F25" s="40"/>
      <c r="G25" s="27"/>
      <c r="H25" s="41">
        <v>20</v>
      </c>
      <c r="I25" s="42" t="str">
        <f t="shared" si="1"/>
        <v/>
      </c>
      <c r="J25" s="42">
        <f t="shared" si="5"/>
        <v>0</v>
      </c>
      <c r="K25" s="41">
        <f t="shared" si="2"/>
        <v>0</v>
      </c>
      <c r="L25" s="41"/>
      <c r="M25" s="43">
        <f t="shared" si="3"/>
        <v>0</v>
      </c>
    </row>
    <row r="26" spans="1:19" x14ac:dyDescent="0.25">
      <c r="A26" s="76">
        <f t="shared" si="4"/>
        <v>0</v>
      </c>
      <c r="B26" s="33" t="str">
        <f t="shared" si="6"/>
        <v/>
      </c>
      <c r="C26" s="34"/>
      <c r="D26" s="34"/>
      <c r="E26" s="34"/>
      <c r="F26" s="34"/>
      <c r="G26" s="27"/>
      <c r="H26" s="35">
        <v>21</v>
      </c>
      <c r="I26" s="36" t="str">
        <f t="shared" si="1"/>
        <v/>
      </c>
      <c r="J26" s="36">
        <f t="shared" si="5"/>
        <v>0</v>
      </c>
      <c r="K26" s="35">
        <f t="shared" si="2"/>
        <v>0</v>
      </c>
      <c r="L26" s="35"/>
      <c r="M26" s="37">
        <f t="shared" si="3"/>
        <v>0</v>
      </c>
    </row>
    <row r="27" spans="1:19" x14ac:dyDescent="0.25">
      <c r="A27" s="77">
        <f t="shared" si="4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1"/>
        <v/>
      </c>
      <c r="J27" s="42">
        <f t="shared" si="5"/>
        <v>0</v>
      </c>
      <c r="K27" s="41">
        <f t="shared" si="2"/>
        <v>0</v>
      </c>
      <c r="L27" s="41"/>
      <c r="M27" s="43">
        <f t="shared" si="3"/>
        <v>0</v>
      </c>
    </row>
    <row r="28" spans="1:19" x14ac:dyDescent="0.25">
      <c r="A28" s="76">
        <f t="shared" si="4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1"/>
        <v/>
      </c>
      <c r="J28" s="36">
        <f t="shared" si="5"/>
        <v>0</v>
      </c>
      <c r="K28" s="35">
        <f t="shared" si="2"/>
        <v>0</v>
      </c>
      <c r="L28" s="35"/>
      <c r="M28" s="37">
        <f t="shared" si="3"/>
        <v>0</v>
      </c>
      <c r="R28" s="53"/>
      <c r="S28" s="54"/>
    </row>
    <row r="29" spans="1:19" x14ac:dyDescent="0.25">
      <c r="A29" s="77">
        <f t="shared" si="4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1"/>
        <v/>
      </c>
      <c r="J29" s="42">
        <f t="shared" si="5"/>
        <v>0</v>
      </c>
      <c r="K29" s="41">
        <f t="shared" si="2"/>
        <v>0</v>
      </c>
      <c r="L29" s="41"/>
      <c r="M29" s="43">
        <f t="shared" si="3"/>
        <v>0</v>
      </c>
    </row>
    <row r="30" spans="1:19" x14ac:dyDescent="0.25">
      <c r="A30" s="76">
        <f t="shared" si="4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1"/>
        <v/>
      </c>
      <c r="J30" s="36">
        <f t="shared" si="5"/>
        <v>0</v>
      </c>
      <c r="K30" s="35">
        <f t="shared" si="2"/>
        <v>0</v>
      </c>
      <c r="L30" s="35"/>
      <c r="M30" s="37">
        <f t="shared" si="3"/>
        <v>0</v>
      </c>
    </row>
    <row r="31" spans="1:19" x14ac:dyDescent="0.25">
      <c r="A31" s="77">
        <f t="shared" si="4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1"/>
        <v/>
      </c>
      <c r="J31" s="42">
        <f t="shared" si="5"/>
        <v>0</v>
      </c>
      <c r="K31" s="41">
        <f t="shared" si="2"/>
        <v>0</v>
      </c>
      <c r="L31" s="41"/>
      <c r="M31" s="43">
        <f t="shared" si="3"/>
        <v>0</v>
      </c>
    </row>
    <row r="32" spans="1:19" x14ac:dyDescent="0.25">
      <c r="A32" s="76">
        <f t="shared" si="4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1"/>
        <v/>
      </c>
      <c r="J32" s="36">
        <f t="shared" si="5"/>
        <v>0</v>
      </c>
      <c r="K32" s="35">
        <f t="shared" si="2"/>
        <v>0</v>
      </c>
      <c r="L32" s="35"/>
      <c r="M32" s="37">
        <f t="shared" si="3"/>
        <v>0</v>
      </c>
      <c r="R32" s="53"/>
      <c r="S32" s="54"/>
    </row>
    <row r="33" spans="1:21" x14ac:dyDescent="0.25">
      <c r="A33" s="77">
        <f t="shared" si="4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1"/>
        <v/>
      </c>
      <c r="J33" s="42">
        <f t="shared" si="5"/>
        <v>0</v>
      </c>
      <c r="K33" s="41">
        <f t="shared" si="2"/>
        <v>0</v>
      </c>
      <c r="L33" s="41"/>
      <c r="M33" s="43">
        <f t="shared" si="3"/>
        <v>0</v>
      </c>
    </row>
    <row r="34" spans="1:21" x14ac:dyDescent="0.25">
      <c r="A34" s="76">
        <f t="shared" si="4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1"/>
        <v/>
      </c>
      <c r="J34" s="36">
        <f t="shared" si="5"/>
        <v>0</v>
      </c>
      <c r="K34" s="35">
        <f t="shared" si="2"/>
        <v>0</v>
      </c>
      <c r="L34" s="35"/>
      <c r="M34" s="37">
        <f t="shared" si="3"/>
        <v>0</v>
      </c>
    </row>
    <row r="35" spans="1:21" x14ac:dyDescent="0.25">
      <c r="A35" s="77">
        <f t="shared" si="4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1"/>
        <v/>
      </c>
      <c r="J35" s="42">
        <f t="shared" si="5"/>
        <v>0</v>
      </c>
      <c r="K35" s="41">
        <f t="shared" si="2"/>
        <v>0</v>
      </c>
      <c r="L35" s="41"/>
      <c r="M35" s="43">
        <f t="shared" si="3"/>
        <v>0</v>
      </c>
    </row>
    <row r="36" spans="1:21" x14ac:dyDescent="0.25">
      <c r="A36" s="76">
        <f t="shared" si="4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1"/>
        <v/>
      </c>
      <c r="J36" s="36">
        <f t="shared" si="5"/>
        <v>0</v>
      </c>
      <c r="K36" s="35">
        <f t="shared" si="2"/>
        <v>0</v>
      </c>
      <c r="L36" s="35"/>
      <c r="M36" s="37">
        <f t="shared" si="3"/>
        <v>0</v>
      </c>
      <c r="R36" s="53"/>
      <c r="S36" s="54"/>
    </row>
    <row r="37" spans="1:21" x14ac:dyDescent="0.25">
      <c r="A37" s="77">
        <f t="shared" si="4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1"/>
        <v/>
      </c>
      <c r="J37" s="42">
        <f t="shared" si="5"/>
        <v>0</v>
      </c>
      <c r="K37" s="41">
        <f t="shared" si="2"/>
        <v>0</v>
      </c>
      <c r="L37" s="41"/>
      <c r="M37" s="43">
        <f t="shared" si="3"/>
        <v>0</v>
      </c>
    </row>
    <row r="38" spans="1:21" x14ac:dyDescent="0.25">
      <c r="A38" s="76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1"/>
        <v/>
      </c>
      <c r="J38" s="36">
        <f t="shared" si="5"/>
        <v>-1</v>
      </c>
      <c r="K38" s="35">
        <f t="shared" si="2"/>
        <v>-10</v>
      </c>
      <c r="L38" s="35"/>
      <c r="M38" s="37">
        <f t="shared" si="3"/>
        <v>0</v>
      </c>
    </row>
    <row r="39" spans="1:21" x14ac:dyDescent="0.25">
      <c r="A39" s="77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1"/>
        <v/>
      </c>
      <c r="J39" s="42">
        <f t="shared" si="5"/>
        <v>-1</v>
      </c>
      <c r="K39" s="41">
        <f t="shared" si="2"/>
        <v>-10</v>
      </c>
      <c r="L39" s="41"/>
      <c r="M39" s="43">
        <f t="shared" si="3"/>
        <v>0</v>
      </c>
    </row>
    <row r="40" spans="1:21" x14ac:dyDescent="0.25">
      <c r="A40" s="76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1"/>
        <v/>
      </c>
      <c r="J40" s="36">
        <f t="shared" si="5"/>
        <v>-1</v>
      </c>
      <c r="K40" s="35">
        <f t="shared" si="2"/>
        <v>-10</v>
      </c>
      <c r="L40" s="35"/>
      <c r="M40" s="37">
        <f t="shared" si="3"/>
        <v>0</v>
      </c>
    </row>
    <row r="41" spans="1:21" x14ac:dyDescent="0.25">
      <c r="A41" s="77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1"/>
        <v/>
      </c>
      <c r="J41" s="42">
        <f t="shared" si="5"/>
        <v>-1</v>
      </c>
      <c r="K41" s="41">
        <f t="shared" si="2"/>
        <v>-10</v>
      </c>
      <c r="L41" s="41"/>
      <c r="M41" s="43">
        <f t="shared" si="3"/>
        <v>0</v>
      </c>
      <c r="S41" s="55"/>
    </row>
    <row r="42" spans="1:21" x14ac:dyDescent="0.25">
      <c r="A42" s="76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1"/>
        <v/>
      </c>
      <c r="J42" s="36">
        <f t="shared" si="5"/>
        <v>-1</v>
      </c>
      <c r="K42" s="35">
        <f t="shared" si="2"/>
        <v>-10</v>
      </c>
      <c r="L42" s="35"/>
      <c r="M42" s="37">
        <f t="shared" si="3"/>
        <v>0</v>
      </c>
    </row>
    <row r="43" spans="1:21" x14ac:dyDescent="0.25">
      <c r="A43" s="77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1"/>
        <v/>
      </c>
      <c r="J43" s="42">
        <f t="shared" si="5"/>
        <v>-1</v>
      </c>
      <c r="K43" s="41">
        <f t="shared" si="2"/>
        <v>-10</v>
      </c>
      <c r="L43" s="41"/>
      <c r="M43" s="43">
        <f t="shared" si="3"/>
        <v>0</v>
      </c>
    </row>
    <row r="44" spans="1:21" x14ac:dyDescent="0.25">
      <c r="A44" s="76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1"/>
        <v/>
      </c>
      <c r="J44" s="36">
        <f t="shared" si="5"/>
        <v>-1</v>
      </c>
      <c r="K44" s="35">
        <f t="shared" si="2"/>
        <v>-10</v>
      </c>
      <c r="L44" s="35"/>
      <c r="M44" s="37">
        <f t="shared" si="3"/>
        <v>0</v>
      </c>
    </row>
    <row r="45" spans="1:21" x14ac:dyDescent="0.25">
      <c r="A45" s="77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1"/>
        <v/>
      </c>
      <c r="J45" s="42">
        <f t="shared" si="5"/>
        <v>-1</v>
      </c>
      <c r="K45" s="41">
        <f t="shared" si="2"/>
        <v>-10</v>
      </c>
      <c r="L45" s="41"/>
      <c r="M45" s="43">
        <f t="shared" si="3"/>
        <v>0</v>
      </c>
    </row>
    <row r="46" spans="1:21" x14ac:dyDescent="0.25">
      <c r="A46" s="76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1"/>
        <v/>
      </c>
      <c r="J46" s="36">
        <f t="shared" si="5"/>
        <v>-1</v>
      </c>
      <c r="K46" s="35">
        <f t="shared" si="2"/>
        <v>-10</v>
      </c>
      <c r="L46" s="35"/>
      <c r="M46" s="37">
        <f t="shared" si="3"/>
        <v>0</v>
      </c>
      <c r="R46" s="13">
        <f>LOG($H$2,2)</f>
        <v>4.2479275134435852</v>
      </c>
      <c r="T46" s="18">
        <f>LOG(H38,2)</f>
        <v>5.0443941193584534</v>
      </c>
      <c r="U46" s="18">
        <f>R46-T46</f>
        <v>-0.79646660591486818</v>
      </c>
    </row>
    <row r="47" spans="1:21" x14ac:dyDescent="0.25">
      <c r="A47" s="77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1"/>
        <v/>
      </c>
      <c r="J47" s="42">
        <f t="shared" si="5"/>
        <v>-1</v>
      </c>
      <c r="K47" s="41">
        <f t="shared" si="2"/>
        <v>-10</v>
      </c>
      <c r="L47" s="41"/>
      <c r="M47" s="43">
        <f t="shared" si="3"/>
        <v>0</v>
      </c>
    </row>
    <row r="48" spans="1:21" x14ac:dyDescent="0.25">
      <c r="A48" s="76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1"/>
        <v/>
      </c>
      <c r="J48" s="36">
        <f t="shared" si="5"/>
        <v>-1</v>
      </c>
      <c r="K48" s="35">
        <f t="shared" si="2"/>
        <v>-10</v>
      </c>
      <c r="L48" s="35"/>
      <c r="M48" s="37">
        <f t="shared" si="3"/>
        <v>0</v>
      </c>
    </row>
    <row r="49" spans="1:13" x14ac:dyDescent="0.25">
      <c r="A49" s="77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1"/>
        <v/>
      </c>
      <c r="J49" s="42">
        <f t="shared" si="5"/>
        <v>-1</v>
      </c>
      <c r="K49" s="41">
        <f t="shared" si="2"/>
        <v>-10</v>
      </c>
      <c r="L49" s="41"/>
      <c r="M49" s="43">
        <f t="shared" si="3"/>
        <v>0</v>
      </c>
    </row>
    <row r="50" spans="1:13" x14ac:dyDescent="0.25">
      <c r="A50" s="76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1"/>
        <v/>
      </c>
      <c r="J50" s="36">
        <f t="shared" si="5"/>
        <v>-1</v>
      </c>
      <c r="K50" s="35">
        <f t="shared" si="2"/>
        <v>-10</v>
      </c>
      <c r="L50" s="35"/>
      <c r="M50" s="37">
        <f t="shared" si="3"/>
        <v>0</v>
      </c>
    </row>
    <row r="51" spans="1:13" x14ac:dyDescent="0.25">
      <c r="A51" s="77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1"/>
        <v/>
      </c>
      <c r="J51" s="42">
        <f t="shared" si="5"/>
        <v>-1</v>
      </c>
      <c r="K51" s="41">
        <f t="shared" si="2"/>
        <v>-10</v>
      </c>
      <c r="L51" s="41"/>
      <c r="M51" s="43">
        <f t="shared" si="3"/>
        <v>0</v>
      </c>
    </row>
    <row r="52" spans="1:13" x14ac:dyDescent="0.25">
      <c r="A52" s="76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1"/>
        <v/>
      </c>
      <c r="J52" s="36">
        <f t="shared" si="5"/>
        <v>-1</v>
      </c>
      <c r="K52" s="35">
        <f t="shared" si="2"/>
        <v>-10</v>
      </c>
      <c r="L52" s="35"/>
      <c r="M52" s="37">
        <f t="shared" si="3"/>
        <v>0</v>
      </c>
    </row>
    <row r="53" spans="1:13" x14ac:dyDescent="0.25">
      <c r="A53" s="77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1"/>
        <v/>
      </c>
      <c r="J53" s="42">
        <f t="shared" si="5"/>
        <v>-1</v>
      </c>
      <c r="K53" s="41">
        <f t="shared" si="2"/>
        <v>-10</v>
      </c>
      <c r="L53" s="41"/>
      <c r="M53" s="43">
        <f t="shared" si="3"/>
        <v>0</v>
      </c>
    </row>
    <row r="54" spans="1:13" x14ac:dyDescent="0.25">
      <c r="A54" s="76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1"/>
        <v/>
      </c>
      <c r="J54" s="36">
        <f t="shared" si="5"/>
        <v>-1</v>
      </c>
      <c r="K54" s="35">
        <f t="shared" si="2"/>
        <v>-10</v>
      </c>
      <c r="L54" s="35"/>
      <c r="M54" s="37">
        <f t="shared" si="3"/>
        <v>0</v>
      </c>
    </row>
    <row r="55" spans="1:13" x14ac:dyDescent="0.25">
      <c r="A55" s="77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1"/>
        <v/>
      </c>
      <c r="J55" s="42">
        <f t="shared" si="5"/>
        <v>-1</v>
      </c>
      <c r="K55" s="41">
        <f t="shared" si="2"/>
        <v>-10</v>
      </c>
      <c r="L55" s="41"/>
      <c r="M55" s="43">
        <f t="shared" si="3"/>
        <v>0</v>
      </c>
    </row>
    <row r="56" spans="1:13" x14ac:dyDescent="0.25">
      <c r="A56" s="76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1"/>
        <v/>
      </c>
      <c r="J56" s="36">
        <f t="shared" si="5"/>
        <v>-1</v>
      </c>
      <c r="K56" s="35">
        <f t="shared" si="2"/>
        <v>-10</v>
      </c>
      <c r="L56" s="35"/>
      <c r="M56" s="37">
        <f t="shared" si="3"/>
        <v>0</v>
      </c>
    </row>
    <row r="57" spans="1:13" x14ac:dyDescent="0.25">
      <c r="A57" s="77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1"/>
        <v/>
      </c>
      <c r="J57" s="42">
        <f t="shared" si="5"/>
        <v>-1</v>
      </c>
      <c r="K57" s="41">
        <f t="shared" si="2"/>
        <v>-10</v>
      </c>
      <c r="L57" s="41"/>
      <c r="M57" s="43">
        <f t="shared" si="3"/>
        <v>0</v>
      </c>
    </row>
    <row r="58" spans="1:13" x14ac:dyDescent="0.25">
      <c r="A58" s="76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1"/>
        <v/>
      </c>
      <c r="J58" s="36">
        <f t="shared" si="5"/>
        <v>-1</v>
      </c>
      <c r="K58" s="35">
        <f t="shared" si="2"/>
        <v>-10</v>
      </c>
      <c r="L58" s="35"/>
      <c r="M58" s="37">
        <f t="shared" si="3"/>
        <v>0</v>
      </c>
    </row>
    <row r="59" spans="1:13" x14ac:dyDescent="0.25">
      <c r="A59" s="77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1"/>
        <v/>
      </c>
      <c r="J59" s="42">
        <f t="shared" si="5"/>
        <v>-1</v>
      </c>
      <c r="K59" s="41">
        <f t="shared" si="2"/>
        <v>-10</v>
      </c>
      <c r="L59" s="41"/>
      <c r="M59" s="43">
        <f t="shared" si="3"/>
        <v>0</v>
      </c>
    </row>
    <row r="60" spans="1:13" x14ac:dyDescent="0.25">
      <c r="A60" s="76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1"/>
        <v/>
      </c>
      <c r="J60" s="36">
        <f t="shared" si="5"/>
        <v>-1</v>
      </c>
      <c r="K60" s="35">
        <f t="shared" si="2"/>
        <v>-10</v>
      </c>
      <c r="L60" s="35"/>
      <c r="M60" s="37">
        <f t="shared" si="3"/>
        <v>0</v>
      </c>
    </row>
    <row r="61" spans="1:13" x14ac:dyDescent="0.25">
      <c r="A61" s="77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1"/>
        <v/>
      </c>
      <c r="J61" s="42">
        <f t="shared" si="5"/>
        <v>-1</v>
      </c>
      <c r="K61" s="41">
        <f t="shared" si="2"/>
        <v>-10</v>
      </c>
      <c r="L61" s="41"/>
      <c r="M61" s="43">
        <f t="shared" si="3"/>
        <v>0</v>
      </c>
    </row>
    <row r="62" spans="1:13" x14ac:dyDescent="0.25">
      <c r="A62" s="76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1"/>
        <v/>
      </c>
      <c r="J62" s="36">
        <f t="shared" si="5"/>
        <v>-1</v>
      </c>
      <c r="K62" s="35">
        <f t="shared" si="2"/>
        <v>-10</v>
      </c>
      <c r="L62" s="35"/>
      <c r="M62" s="37">
        <f t="shared" si="3"/>
        <v>0</v>
      </c>
    </row>
    <row r="63" spans="1:13" x14ac:dyDescent="0.25">
      <c r="A63" s="77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1"/>
        <v/>
      </c>
      <c r="J63" s="42">
        <f t="shared" si="5"/>
        <v>-1</v>
      </c>
      <c r="K63" s="41">
        <f t="shared" si="2"/>
        <v>-10</v>
      </c>
      <c r="L63" s="41"/>
      <c r="M63" s="43">
        <f t="shared" si="3"/>
        <v>0</v>
      </c>
    </row>
    <row r="64" spans="1:13" x14ac:dyDescent="0.25">
      <c r="A64" s="76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1"/>
        <v/>
      </c>
      <c r="J64" s="36">
        <f t="shared" si="5"/>
        <v>-1</v>
      </c>
      <c r="K64" s="35">
        <f t="shared" si="2"/>
        <v>-10</v>
      </c>
      <c r="L64" s="35"/>
      <c r="M64" s="37">
        <f t="shared" si="3"/>
        <v>0</v>
      </c>
    </row>
    <row r="65" spans="1:13" x14ac:dyDescent="0.25">
      <c r="A65" s="77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1"/>
        <v/>
      </c>
      <c r="J65" s="42">
        <f t="shared" si="5"/>
        <v>-1</v>
      </c>
      <c r="K65" s="41">
        <f t="shared" si="2"/>
        <v>-10</v>
      </c>
      <c r="L65" s="41"/>
      <c r="M65" s="43">
        <f t="shared" si="3"/>
        <v>0</v>
      </c>
    </row>
    <row r="66" spans="1:13" x14ac:dyDescent="0.25">
      <c r="A66" s="76"/>
      <c r="B66" s="33"/>
      <c r="G66" s="13"/>
      <c r="H66" s="35">
        <v>61</v>
      </c>
      <c r="I66" s="36" t="str">
        <f t="shared" si="1"/>
        <v/>
      </c>
      <c r="J66" s="36">
        <f t="shared" si="5"/>
        <v>-1</v>
      </c>
      <c r="K66" s="35">
        <f t="shared" si="2"/>
        <v>-10</v>
      </c>
      <c r="L66" s="35"/>
      <c r="M66" s="37">
        <f t="shared" si="3"/>
        <v>0</v>
      </c>
    </row>
    <row r="67" spans="1:13" x14ac:dyDescent="0.25">
      <c r="A67" s="77"/>
      <c r="B67" s="39"/>
      <c r="G67" s="13"/>
      <c r="H67" s="35">
        <v>62</v>
      </c>
      <c r="I67" s="36" t="str">
        <f t="shared" si="1"/>
        <v/>
      </c>
      <c r="J67" s="36">
        <f t="shared" si="5"/>
        <v>-1</v>
      </c>
      <c r="K67" s="35">
        <f t="shared" si="2"/>
        <v>-10</v>
      </c>
      <c r="L67" s="35"/>
      <c r="M67" s="37">
        <f t="shared" si="3"/>
        <v>0</v>
      </c>
    </row>
    <row r="68" spans="1:13" x14ac:dyDescent="0.25">
      <c r="A68" s="76"/>
      <c r="B68" s="33"/>
      <c r="G68" s="13"/>
      <c r="H68" s="35">
        <v>63</v>
      </c>
      <c r="I68" s="36" t="str">
        <f t="shared" si="1"/>
        <v/>
      </c>
      <c r="J68" s="36">
        <f t="shared" si="5"/>
        <v>-1</v>
      </c>
      <c r="K68" s="35">
        <f t="shared" si="2"/>
        <v>-10</v>
      </c>
      <c r="L68" s="35"/>
      <c r="M68" s="37">
        <f t="shared" si="3"/>
        <v>0</v>
      </c>
    </row>
    <row r="69" spans="1:13" x14ac:dyDescent="0.25">
      <c r="A69" s="77"/>
      <c r="B69" s="39"/>
      <c r="G69" s="13"/>
      <c r="H69" s="35">
        <v>64</v>
      </c>
      <c r="I69" s="36" t="str">
        <f t="shared" si="1"/>
        <v/>
      </c>
      <c r="J69" s="36">
        <f t="shared" si="5"/>
        <v>-1</v>
      </c>
      <c r="K69" s="35">
        <f t="shared" si="2"/>
        <v>-10</v>
      </c>
      <c r="L69" s="35"/>
      <c r="M69" s="37">
        <f t="shared" si="3"/>
        <v>0</v>
      </c>
    </row>
    <row r="70" spans="1:13" x14ac:dyDescent="0.25">
      <c r="A70" s="76"/>
      <c r="G70" s="13"/>
      <c r="H70" s="35">
        <v>65</v>
      </c>
      <c r="I70" s="36" t="str">
        <f t="shared" ref="I70:I133" si="7">IF(H70&lt;$H$2+1,($I$2-($I$2-1)*(LOG(H70)/LOG($H$2))),"")</f>
        <v/>
      </c>
      <c r="J70" s="36">
        <f t="shared" si="5"/>
        <v>-2</v>
      </c>
      <c r="K70" s="35">
        <f t="shared" ref="K70:K133" si="8">J70*$J$2</f>
        <v>-20</v>
      </c>
      <c r="L70" s="35"/>
      <c r="M70" s="37">
        <f t="shared" ref="M70:M133" si="9">IF(I70&lt;&gt;"",K70+I70+L70,0)</f>
        <v>0</v>
      </c>
    </row>
    <row r="71" spans="1:13" x14ac:dyDescent="0.25">
      <c r="A71" s="77"/>
      <c r="G71" s="13"/>
      <c r="H71" s="35">
        <v>66</v>
      </c>
      <c r="I71" s="36" t="str">
        <f t="shared" si="7"/>
        <v/>
      </c>
      <c r="J71" s="36">
        <f t="shared" ref="J71:J134" si="10">INT(LOG($H$2,2))-ROUNDUP(LOG(H71,2),0)+IF(OR($H$2=1,$H$2=2,$H$2=4,$H$2=8,$H$2=16,$H$2=32,$H$2=64,$H$2=128,$H$2=256),0,1)</f>
        <v>-2</v>
      </c>
      <c r="K71" s="35">
        <f t="shared" si="8"/>
        <v>-20</v>
      </c>
      <c r="L71" s="35"/>
      <c r="M71" s="37">
        <f t="shared" si="9"/>
        <v>0</v>
      </c>
    </row>
    <row r="72" spans="1:13" x14ac:dyDescent="0.25">
      <c r="A72" s="76"/>
      <c r="G72" s="13"/>
      <c r="H72" s="35">
        <v>67</v>
      </c>
      <c r="I72" s="36" t="str">
        <f t="shared" si="7"/>
        <v/>
      </c>
      <c r="J72" s="36">
        <f t="shared" si="10"/>
        <v>-2</v>
      </c>
      <c r="K72" s="35">
        <f t="shared" si="8"/>
        <v>-20</v>
      </c>
      <c r="L72" s="35"/>
      <c r="M72" s="37">
        <f t="shared" si="9"/>
        <v>0</v>
      </c>
    </row>
    <row r="73" spans="1:13" x14ac:dyDescent="0.25">
      <c r="A73" s="77"/>
      <c r="G73" s="13"/>
      <c r="H73" s="35">
        <v>68</v>
      </c>
      <c r="I73" s="36" t="str">
        <f t="shared" si="7"/>
        <v/>
      </c>
      <c r="J73" s="36">
        <f t="shared" si="10"/>
        <v>-2</v>
      </c>
      <c r="K73" s="35">
        <f t="shared" si="8"/>
        <v>-20</v>
      </c>
      <c r="L73" s="35"/>
      <c r="M73" s="37">
        <f t="shared" si="9"/>
        <v>0</v>
      </c>
    </row>
    <row r="74" spans="1:13" x14ac:dyDescent="0.25">
      <c r="A74" s="76"/>
      <c r="G74" s="13"/>
      <c r="H74" s="35">
        <v>69</v>
      </c>
      <c r="I74" s="36" t="str">
        <f t="shared" si="7"/>
        <v/>
      </c>
      <c r="J74" s="36">
        <f t="shared" si="10"/>
        <v>-2</v>
      </c>
      <c r="K74" s="35">
        <f t="shared" si="8"/>
        <v>-20</v>
      </c>
      <c r="L74" s="35"/>
      <c r="M74" s="37">
        <f t="shared" si="9"/>
        <v>0</v>
      </c>
    </row>
    <row r="75" spans="1:13" x14ac:dyDescent="0.25">
      <c r="A75" s="77"/>
      <c r="G75" s="13"/>
      <c r="H75" s="35">
        <v>70</v>
      </c>
      <c r="I75" s="36" t="str">
        <f t="shared" si="7"/>
        <v/>
      </c>
      <c r="J75" s="36">
        <f t="shared" si="10"/>
        <v>-2</v>
      </c>
      <c r="K75" s="35">
        <f t="shared" si="8"/>
        <v>-20</v>
      </c>
      <c r="L75" s="35"/>
      <c r="M75" s="37">
        <f t="shared" si="9"/>
        <v>0</v>
      </c>
    </row>
    <row r="76" spans="1:13" x14ac:dyDescent="0.25">
      <c r="A76" s="76"/>
      <c r="G76" s="13"/>
      <c r="H76" s="35">
        <v>71</v>
      </c>
      <c r="I76" s="36" t="str">
        <f t="shared" si="7"/>
        <v/>
      </c>
      <c r="J76" s="36">
        <f t="shared" si="10"/>
        <v>-2</v>
      </c>
      <c r="K76" s="35">
        <f t="shared" si="8"/>
        <v>-20</v>
      </c>
      <c r="L76" s="35"/>
      <c r="M76" s="37">
        <f t="shared" si="9"/>
        <v>0</v>
      </c>
    </row>
    <row r="77" spans="1:13" x14ac:dyDescent="0.25">
      <c r="A77" s="77"/>
      <c r="G77" s="13"/>
      <c r="H77" s="35">
        <v>72</v>
      </c>
      <c r="I77" s="36" t="str">
        <f t="shared" si="7"/>
        <v/>
      </c>
      <c r="J77" s="36">
        <f t="shared" si="10"/>
        <v>-2</v>
      </c>
      <c r="K77" s="35">
        <f t="shared" si="8"/>
        <v>-20</v>
      </c>
      <c r="L77" s="35"/>
      <c r="M77" s="37">
        <f t="shared" si="9"/>
        <v>0</v>
      </c>
    </row>
    <row r="78" spans="1:13" x14ac:dyDescent="0.25">
      <c r="A78" s="76"/>
      <c r="G78" s="13"/>
      <c r="H78" s="35">
        <v>73</v>
      </c>
      <c r="I78" s="36" t="str">
        <f t="shared" si="7"/>
        <v/>
      </c>
      <c r="J78" s="36">
        <f t="shared" si="10"/>
        <v>-2</v>
      </c>
      <c r="K78" s="35">
        <f t="shared" si="8"/>
        <v>-20</v>
      </c>
      <c r="L78" s="35"/>
      <c r="M78" s="37">
        <f t="shared" si="9"/>
        <v>0</v>
      </c>
    </row>
    <row r="79" spans="1:13" x14ac:dyDescent="0.25">
      <c r="A79" s="77"/>
      <c r="G79" s="13"/>
      <c r="H79" s="35">
        <v>74</v>
      </c>
      <c r="I79" s="36" t="str">
        <f t="shared" si="7"/>
        <v/>
      </c>
      <c r="J79" s="36">
        <f t="shared" si="10"/>
        <v>-2</v>
      </c>
      <c r="K79" s="35">
        <f t="shared" si="8"/>
        <v>-20</v>
      </c>
      <c r="L79" s="35"/>
      <c r="M79" s="37">
        <f t="shared" si="9"/>
        <v>0</v>
      </c>
    </row>
    <row r="80" spans="1:13" x14ac:dyDescent="0.25">
      <c r="A80" s="76"/>
      <c r="G80" s="13"/>
      <c r="H80" s="35">
        <v>75</v>
      </c>
      <c r="I80" s="36" t="str">
        <f t="shared" si="7"/>
        <v/>
      </c>
      <c r="J80" s="36">
        <f t="shared" si="10"/>
        <v>-2</v>
      </c>
      <c r="K80" s="35">
        <f t="shared" si="8"/>
        <v>-20</v>
      </c>
      <c r="L80" s="35"/>
      <c r="M80" s="37">
        <f t="shared" si="9"/>
        <v>0</v>
      </c>
    </row>
    <row r="81" spans="1:13" x14ac:dyDescent="0.25">
      <c r="A81" s="77"/>
      <c r="G81" s="13"/>
      <c r="H81" s="35">
        <v>76</v>
      </c>
      <c r="I81" s="36" t="str">
        <f t="shared" si="7"/>
        <v/>
      </c>
      <c r="J81" s="36">
        <f t="shared" si="10"/>
        <v>-2</v>
      </c>
      <c r="K81" s="35">
        <f t="shared" si="8"/>
        <v>-20</v>
      </c>
      <c r="L81" s="35"/>
      <c r="M81" s="37">
        <f t="shared" si="9"/>
        <v>0</v>
      </c>
    </row>
    <row r="82" spans="1:13" x14ac:dyDescent="0.25">
      <c r="A82" s="76"/>
      <c r="G82" s="13"/>
      <c r="H82" s="35">
        <v>77</v>
      </c>
      <c r="I82" s="36" t="str">
        <f t="shared" si="7"/>
        <v/>
      </c>
      <c r="J82" s="36">
        <f t="shared" si="10"/>
        <v>-2</v>
      </c>
      <c r="K82" s="35">
        <f t="shared" si="8"/>
        <v>-20</v>
      </c>
      <c r="L82" s="35"/>
      <c r="M82" s="37">
        <f t="shared" si="9"/>
        <v>0</v>
      </c>
    </row>
    <row r="83" spans="1:13" x14ac:dyDescent="0.25">
      <c r="A83" s="77"/>
      <c r="G83" s="13"/>
      <c r="H83" s="35">
        <v>78</v>
      </c>
      <c r="I83" s="36" t="str">
        <f t="shared" si="7"/>
        <v/>
      </c>
      <c r="J83" s="36">
        <f t="shared" si="10"/>
        <v>-2</v>
      </c>
      <c r="K83" s="35">
        <f t="shared" si="8"/>
        <v>-20</v>
      </c>
      <c r="L83" s="35"/>
      <c r="M83" s="37">
        <f t="shared" si="9"/>
        <v>0</v>
      </c>
    </row>
    <row r="84" spans="1:13" x14ac:dyDescent="0.25">
      <c r="A84" s="76"/>
      <c r="G84" s="13"/>
      <c r="H84" s="35">
        <v>79</v>
      </c>
      <c r="I84" s="36" t="str">
        <f t="shared" si="7"/>
        <v/>
      </c>
      <c r="J84" s="36">
        <f t="shared" si="10"/>
        <v>-2</v>
      </c>
      <c r="K84" s="35">
        <f t="shared" si="8"/>
        <v>-20</v>
      </c>
      <c r="L84" s="35"/>
      <c r="M84" s="37">
        <f t="shared" si="9"/>
        <v>0</v>
      </c>
    </row>
    <row r="85" spans="1:13" x14ac:dyDescent="0.25">
      <c r="A85" s="77"/>
      <c r="G85" s="13"/>
      <c r="H85" s="35">
        <v>80</v>
      </c>
      <c r="I85" s="36" t="str">
        <f t="shared" si="7"/>
        <v/>
      </c>
      <c r="J85" s="36">
        <f t="shared" si="10"/>
        <v>-2</v>
      </c>
      <c r="K85" s="35">
        <f t="shared" si="8"/>
        <v>-20</v>
      </c>
      <c r="L85" s="35"/>
      <c r="M85" s="37">
        <f t="shared" si="9"/>
        <v>0</v>
      </c>
    </row>
    <row r="86" spans="1:13" x14ac:dyDescent="0.25">
      <c r="A86" s="76"/>
      <c r="G86" s="13"/>
      <c r="H86" s="35">
        <v>81</v>
      </c>
      <c r="I86" s="36" t="str">
        <f t="shared" si="7"/>
        <v/>
      </c>
      <c r="J86" s="36">
        <f t="shared" si="10"/>
        <v>-2</v>
      </c>
      <c r="K86" s="35">
        <f t="shared" si="8"/>
        <v>-20</v>
      </c>
      <c r="L86" s="35"/>
      <c r="M86" s="37">
        <f t="shared" si="9"/>
        <v>0</v>
      </c>
    </row>
    <row r="87" spans="1:13" x14ac:dyDescent="0.25">
      <c r="A87" s="77"/>
      <c r="G87" s="13"/>
      <c r="H87" s="35">
        <v>82</v>
      </c>
      <c r="I87" s="36" t="str">
        <f t="shared" si="7"/>
        <v/>
      </c>
      <c r="J87" s="36">
        <f t="shared" si="10"/>
        <v>-2</v>
      </c>
      <c r="K87" s="35">
        <f t="shared" si="8"/>
        <v>-20</v>
      </c>
      <c r="L87" s="35"/>
      <c r="M87" s="37">
        <f t="shared" si="9"/>
        <v>0</v>
      </c>
    </row>
    <row r="88" spans="1:13" x14ac:dyDescent="0.25">
      <c r="A88" s="76"/>
      <c r="G88" s="13"/>
      <c r="H88" s="35">
        <v>83</v>
      </c>
      <c r="I88" s="36" t="str">
        <f t="shared" si="7"/>
        <v/>
      </c>
      <c r="J88" s="36">
        <f t="shared" si="10"/>
        <v>-2</v>
      </c>
      <c r="K88" s="35">
        <f t="shared" si="8"/>
        <v>-20</v>
      </c>
      <c r="L88" s="35"/>
      <c r="M88" s="37">
        <f t="shared" si="9"/>
        <v>0</v>
      </c>
    </row>
    <row r="89" spans="1:13" x14ac:dyDescent="0.25">
      <c r="A89" s="77"/>
      <c r="G89" s="13"/>
      <c r="H89" s="35">
        <v>84</v>
      </c>
      <c r="I89" s="36" t="str">
        <f t="shared" si="7"/>
        <v/>
      </c>
      <c r="J89" s="36">
        <f t="shared" si="10"/>
        <v>-2</v>
      </c>
      <c r="K89" s="35">
        <f t="shared" si="8"/>
        <v>-20</v>
      </c>
      <c r="L89" s="35"/>
      <c r="M89" s="37">
        <f t="shared" si="9"/>
        <v>0</v>
      </c>
    </row>
    <row r="90" spans="1:13" x14ac:dyDescent="0.25">
      <c r="A90" s="76"/>
      <c r="G90" s="13"/>
      <c r="H90" s="35">
        <v>85</v>
      </c>
      <c r="I90" s="36" t="str">
        <f t="shared" si="7"/>
        <v/>
      </c>
      <c r="J90" s="36">
        <f t="shared" si="10"/>
        <v>-2</v>
      </c>
      <c r="K90" s="35">
        <f t="shared" si="8"/>
        <v>-20</v>
      </c>
      <c r="L90" s="35"/>
      <c r="M90" s="37">
        <f t="shared" si="9"/>
        <v>0</v>
      </c>
    </row>
    <row r="91" spans="1:13" x14ac:dyDescent="0.25">
      <c r="A91" s="77"/>
      <c r="G91" s="13"/>
      <c r="H91" s="35">
        <v>86</v>
      </c>
      <c r="I91" s="36" t="str">
        <f t="shared" si="7"/>
        <v/>
      </c>
      <c r="J91" s="36">
        <f t="shared" si="10"/>
        <v>-2</v>
      </c>
      <c r="K91" s="35">
        <f t="shared" si="8"/>
        <v>-20</v>
      </c>
      <c r="L91" s="35"/>
      <c r="M91" s="37">
        <f t="shared" si="9"/>
        <v>0</v>
      </c>
    </row>
    <row r="92" spans="1:13" x14ac:dyDescent="0.25">
      <c r="A92" s="76"/>
      <c r="G92" s="13"/>
      <c r="H92" s="35">
        <v>87</v>
      </c>
      <c r="I92" s="36" t="str">
        <f t="shared" si="7"/>
        <v/>
      </c>
      <c r="J92" s="36">
        <f t="shared" si="10"/>
        <v>-2</v>
      </c>
      <c r="K92" s="35">
        <f t="shared" si="8"/>
        <v>-20</v>
      </c>
      <c r="L92" s="35"/>
      <c r="M92" s="37">
        <f t="shared" si="9"/>
        <v>0</v>
      </c>
    </row>
    <row r="93" spans="1:13" x14ac:dyDescent="0.25">
      <c r="A93" s="77"/>
      <c r="G93" s="13"/>
      <c r="H93" s="35">
        <v>88</v>
      </c>
      <c r="I93" s="36" t="str">
        <f t="shared" si="7"/>
        <v/>
      </c>
      <c r="J93" s="36">
        <f t="shared" si="10"/>
        <v>-2</v>
      </c>
      <c r="K93" s="35">
        <f t="shared" si="8"/>
        <v>-20</v>
      </c>
      <c r="L93" s="35"/>
      <c r="M93" s="37">
        <f t="shared" si="9"/>
        <v>0</v>
      </c>
    </row>
    <row r="94" spans="1:13" x14ac:dyDescent="0.25">
      <c r="A94" s="76"/>
      <c r="G94" s="13"/>
      <c r="H94" s="35">
        <v>89</v>
      </c>
      <c r="I94" s="36" t="str">
        <f t="shared" si="7"/>
        <v/>
      </c>
      <c r="J94" s="36">
        <f t="shared" si="10"/>
        <v>-2</v>
      </c>
      <c r="K94" s="35">
        <f t="shared" si="8"/>
        <v>-20</v>
      </c>
      <c r="L94" s="35"/>
      <c r="M94" s="37">
        <f t="shared" si="9"/>
        <v>0</v>
      </c>
    </row>
    <row r="95" spans="1:13" x14ac:dyDescent="0.25">
      <c r="A95" s="77"/>
      <c r="G95" s="13"/>
      <c r="H95" s="35">
        <v>90</v>
      </c>
      <c r="I95" s="36" t="str">
        <f t="shared" si="7"/>
        <v/>
      </c>
      <c r="J95" s="36">
        <f t="shared" si="10"/>
        <v>-2</v>
      </c>
      <c r="K95" s="35">
        <f t="shared" si="8"/>
        <v>-20</v>
      </c>
      <c r="L95" s="35"/>
      <c r="M95" s="37">
        <f t="shared" si="9"/>
        <v>0</v>
      </c>
    </row>
    <row r="96" spans="1:13" x14ac:dyDescent="0.25">
      <c r="A96" s="76"/>
      <c r="G96" s="13"/>
      <c r="H96" s="35">
        <v>91</v>
      </c>
      <c r="I96" s="36" t="str">
        <f t="shared" si="7"/>
        <v/>
      </c>
      <c r="J96" s="36">
        <f t="shared" si="10"/>
        <v>-2</v>
      </c>
      <c r="K96" s="35">
        <f t="shared" si="8"/>
        <v>-20</v>
      </c>
      <c r="L96" s="35"/>
      <c r="M96" s="37">
        <f t="shared" si="9"/>
        <v>0</v>
      </c>
    </row>
    <row r="97" spans="1:13" x14ac:dyDescent="0.25">
      <c r="A97" s="77"/>
      <c r="G97" s="13"/>
      <c r="H97" s="35">
        <v>92</v>
      </c>
      <c r="I97" s="36" t="str">
        <f t="shared" si="7"/>
        <v/>
      </c>
      <c r="J97" s="36">
        <f t="shared" si="10"/>
        <v>-2</v>
      </c>
      <c r="K97" s="35">
        <f t="shared" si="8"/>
        <v>-20</v>
      </c>
      <c r="L97" s="35"/>
      <c r="M97" s="37">
        <f t="shared" si="9"/>
        <v>0</v>
      </c>
    </row>
    <row r="98" spans="1:13" x14ac:dyDescent="0.25">
      <c r="A98" s="76"/>
      <c r="G98" s="13"/>
      <c r="H98" s="35">
        <v>93</v>
      </c>
      <c r="I98" s="36" t="str">
        <f t="shared" si="7"/>
        <v/>
      </c>
      <c r="J98" s="36">
        <f t="shared" si="10"/>
        <v>-2</v>
      </c>
      <c r="K98" s="35">
        <f t="shared" si="8"/>
        <v>-20</v>
      </c>
      <c r="L98" s="35"/>
      <c r="M98" s="37">
        <f t="shared" si="9"/>
        <v>0</v>
      </c>
    </row>
    <row r="99" spans="1:13" x14ac:dyDescent="0.25">
      <c r="A99" s="77"/>
      <c r="G99" s="13"/>
      <c r="H99" s="35">
        <v>94</v>
      </c>
      <c r="I99" s="36" t="str">
        <f t="shared" si="7"/>
        <v/>
      </c>
      <c r="J99" s="36">
        <f t="shared" si="10"/>
        <v>-2</v>
      </c>
      <c r="K99" s="35">
        <f t="shared" si="8"/>
        <v>-20</v>
      </c>
      <c r="L99" s="35"/>
      <c r="M99" s="37">
        <f t="shared" si="9"/>
        <v>0</v>
      </c>
    </row>
    <row r="100" spans="1:13" x14ac:dyDescent="0.25">
      <c r="A100" s="76"/>
      <c r="G100" s="13"/>
      <c r="H100" s="35">
        <v>95</v>
      </c>
      <c r="I100" s="36" t="str">
        <f t="shared" si="7"/>
        <v/>
      </c>
      <c r="J100" s="36">
        <f t="shared" si="10"/>
        <v>-2</v>
      </c>
      <c r="K100" s="35">
        <f t="shared" si="8"/>
        <v>-20</v>
      </c>
      <c r="L100" s="35"/>
      <c r="M100" s="37">
        <f t="shared" si="9"/>
        <v>0</v>
      </c>
    </row>
    <row r="101" spans="1:13" x14ac:dyDescent="0.25">
      <c r="A101" s="77"/>
      <c r="G101" s="13"/>
      <c r="H101" s="35">
        <v>96</v>
      </c>
      <c r="I101" s="36" t="str">
        <f t="shared" si="7"/>
        <v/>
      </c>
      <c r="J101" s="36">
        <f t="shared" si="10"/>
        <v>-2</v>
      </c>
      <c r="K101" s="35">
        <f t="shared" si="8"/>
        <v>-20</v>
      </c>
      <c r="L101" s="35"/>
      <c r="M101" s="37">
        <f t="shared" si="9"/>
        <v>0</v>
      </c>
    </row>
    <row r="102" spans="1:13" x14ac:dyDescent="0.25">
      <c r="A102" s="76"/>
      <c r="G102" s="13"/>
      <c r="H102" s="35">
        <v>97</v>
      </c>
      <c r="I102" s="36" t="str">
        <f t="shared" si="7"/>
        <v/>
      </c>
      <c r="J102" s="36">
        <f t="shared" si="10"/>
        <v>-2</v>
      </c>
      <c r="K102" s="35">
        <f t="shared" si="8"/>
        <v>-20</v>
      </c>
      <c r="L102" s="35"/>
      <c r="M102" s="37">
        <f t="shared" si="9"/>
        <v>0</v>
      </c>
    </row>
    <row r="103" spans="1:13" x14ac:dyDescent="0.25">
      <c r="A103" s="77"/>
      <c r="G103" s="13"/>
      <c r="H103" s="35">
        <v>98</v>
      </c>
      <c r="I103" s="36" t="str">
        <f t="shared" si="7"/>
        <v/>
      </c>
      <c r="J103" s="36">
        <f t="shared" si="10"/>
        <v>-2</v>
      </c>
      <c r="K103" s="35">
        <f t="shared" si="8"/>
        <v>-20</v>
      </c>
      <c r="L103" s="35"/>
      <c r="M103" s="37">
        <f t="shared" si="9"/>
        <v>0</v>
      </c>
    </row>
    <row r="104" spans="1:13" x14ac:dyDescent="0.25">
      <c r="A104" s="76"/>
      <c r="G104" s="13"/>
      <c r="H104" s="35">
        <v>99</v>
      </c>
      <c r="I104" s="36" t="str">
        <f t="shared" si="7"/>
        <v/>
      </c>
      <c r="J104" s="36">
        <f t="shared" si="10"/>
        <v>-2</v>
      </c>
      <c r="K104" s="35">
        <f t="shared" si="8"/>
        <v>-20</v>
      </c>
      <c r="L104" s="35"/>
      <c r="M104" s="37">
        <f t="shared" si="9"/>
        <v>0</v>
      </c>
    </row>
    <row r="105" spans="1:13" x14ac:dyDescent="0.25">
      <c r="A105" s="77"/>
      <c r="G105" s="13"/>
      <c r="H105" s="35">
        <v>100</v>
      </c>
      <c r="I105" s="36" t="str">
        <f t="shared" si="7"/>
        <v/>
      </c>
      <c r="J105" s="36">
        <f t="shared" si="10"/>
        <v>-2</v>
      </c>
      <c r="K105" s="35">
        <f t="shared" si="8"/>
        <v>-20</v>
      </c>
      <c r="L105" s="35"/>
      <c r="M105" s="37">
        <f t="shared" si="9"/>
        <v>0</v>
      </c>
    </row>
    <row r="106" spans="1:13" x14ac:dyDescent="0.25">
      <c r="A106" s="76"/>
      <c r="G106" s="13"/>
      <c r="H106" s="35">
        <v>101</v>
      </c>
      <c r="I106" s="36" t="str">
        <f t="shared" si="7"/>
        <v/>
      </c>
      <c r="J106" s="36">
        <f t="shared" si="10"/>
        <v>-2</v>
      </c>
      <c r="K106" s="35">
        <f t="shared" si="8"/>
        <v>-20</v>
      </c>
      <c r="L106" s="35"/>
      <c r="M106" s="37">
        <f t="shared" si="9"/>
        <v>0</v>
      </c>
    </row>
    <row r="107" spans="1:13" x14ac:dyDescent="0.25">
      <c r="A107" s="77"/>
      <c r="G107" s="13"/>
      <c r="H107" s="35">
        <v>102</v>
      </c>
      <c r="I107" s="36" t="str">
        <f t="shared" si="7"/>
        <v/>
      </c>
      <c r="J107" s="36">
        <f t="shared" si="10"/>
        <v>-2</v>
      </c>
      <c r="K107" s="35">
        <f t="shared" si="8"/>
        <v>-20</v>
      </c>
      <c r="L107" s="35"/>
      <c r="M107" s="37">
        <f t="shared" si="9"/>
        <v>0</v>
      </c>
    </row>
    <row r="108" spans="1:13" x14ac:dyDescent="0.25">
      <c r="A108" s="76"/>
      <c r="G108" s="13"/>
      <c r="H108" s="35">
        <v>103</v>
      </c>
      <c r="I108" s="36" t="str">
        <f t="shared" si="7"/>
        <v/>
      </c>
      <c r="J108" s="36">
        <f t="shared" si="10"/>
        <v>-2</v>
      </c>
      <c r="K108" s="35">
        <f t="shared" si="8"/>
        <v>-20</v>
      </c>
      <c r="L108" s="35"/>
      <c r="M108" s="37">
        <f t="shared" si="9"/>
        <v>0</v>
      </c>
    </row>
    <row r="109" spans="1:13" x14ac:dyDescent="0.25">
      <c r="A109" s="77"/>
      <c r="G109" s="13"/>
      <c r="H109" s="35">
        <v>104</v>
      </c>
      <c r="I109" s="36" t="str">
        <f t="shared" si="7"/>
        <v/>
      </c>
      <c r="J109" s="36">
        <f t="shared" si="10"/>
        <v>-2</v>
      </c>
      <c r="K109" s="35">
        <f t="shared" si="8"/>
        <v>-20</v>
      </c>
      <c r="L109" s="35"/>
      <c r="M109" s="37">
        <f t="shared" si="9"/>
        <v>0</v>
      </c>
    </row>
    <row r="110" spans="1:13" x14ac:dyDescent="0.25">
      <c r="A110" s="76"/>
      <c r="G110" s="13"/>
      <c r="H110" s="35">
        <v>105</v>
      </c>
      <c r="I110" s="36" t="str">
        <f t="shared" si="7"/>
        <v/>
      </c>
      <c r="J110" s="36">
        <f t="shared" si="10"/>
        <v>-2</v>
      </c>
      <c r="K110" s="35">
        <f t="shared" si="8"/>
        <v>-20</v>
      </c>
      <c r="L110" s="35"/>
      <c r="M110" s="37">
        <f t="shared" si="9"/>
        <v>0</v>
      </c>
    </row>
    <row r="111" spans="1:13" x14ac:dyDescent="0.25">
      <c r="A111" s="77"/>
      <c r="G111" s="13"/>
      <c r="H111" s="35">
        <v>106</v>
      </c>
      <c r="I111" s="36" t="str">
        <f t="shared" si="7"/>
        <v/>
      </c>
      <c r="J111" s="36">
        <f t="shared" si="10"/>
        <v>-2</v>
      </c>
      <c r="K111" s="35">
        <f t="shared" si="8"/>
        <v>-20</v>
      </c>
      <c r="L111" s="35"/>
      <c r="M111" s="37">
        <f t="shared" si="9"/>
        <v>0</v>
      </c>
    </row>
    <row r="112" spans="1:13" x14ac:dyDescent="0.25">
      <c r="A112" s="76"/>
      <c r="G112" s="13"/>
      <c r="H112" s="35">
        <v>107</v>
      </c>
      <c r="I112" s="36" t="str">
        <f t="shared" si="7"/>
        <v/>
      </c>
      <c r="J112" s="36">
        <f t="shared" si="10"/>
        <v>-2</v>
      </c>
      <c r="K112" s="35">
        <f t="shared" si="8"/>
        <v>-20</v>
      </c>
      <c r="L112" s="35"/>
      <c r="M112" s="37">
        <f t="shared" si="9"/>
        <v>0</v>
      </c>
    </row>
    <row r="113" spans="1:13" x14ac:dyDescent="0.25">
      <c r="A113" s="77"/>
      <c r="G113" s="13"/>
      <c r="H113" s="35">
        <v>108</v>
      </c>
      <c r="I113" s="36" t="str">
        <f t="shared" si="7"/>
        <v/>
      </c>
      <c r="J113" s="36">
        <f t="shared" si="10"/>
        <v>-2</v>
      </c>
      <c r="K113" s="35">
        <f t="shared" si="8"/>
        <v>-20</v>
      </c>
      <c r="L113" s="35"/>
      <c r="M113" s="37">
        <f t="shared" si="9"/>
        <v>0</v>
      </c>
    </row>
    <row r="114" spans="1:13" x14ac:dyDescent="0.25">
      <c r="A114" s="76"/>
      <c r="G114" s="13"/>
      <c r="H114" s="35">
        <v>109</v>
      </c>
      <c r="I114" s="36" t="str">
        <f t="shared" si="7"/>
        <v/>
      </c>
      <c r="J114" s="36">
        <f t="shared" si="10"/>
        <v>-2</v>
      </c>
      <c r="K114" s="35">
        <f t="shared" si="8"/>
        <v>-20</v>
      </c>
      <c r="L114" s="35"/>
      <c r="M114" s="37">
        <f t="shared" si="9"/>
        <v>0</v>
      </c>
    </row>
    <row r="115" spans="1:13" x14ac:dyDescent="0.25">
      <c r="A115" s="77"/>
      <c r="G115" s="13"/>
      <c r="H115" s="35">
        <v>110</v>
      </c>
      <c r="I115" s="36" t="str">
        <f t="shared" si="7"/>
        <v/>
      </c>
      <c r="J115" s="36">
        <f t="shared" si="10"/>
        <v>-2</v>
      </c>
      <c r="K115" s="35">
        <f t="shared" si="8"/>
        <v>-20</v>
      </c>
      <c r="L115" s="35"/>
      <c r="M115" s="37">
        <f t="shared" si="9"/>
        <v>0</v>
      </c>
    </row>
    <row r="116" spans="1:13" x14ac:dyDescent="0.25">
      <c r="A116" s="76"/>
      <c r="G116" s="13"/>
      <c r="H116" s="35">
        <v>111</v>
      </c>
      <c r="I116" s="36" t="str">
        <f t="shared" si="7"/>
        <v/>
      </c>
      <c r="J116" s="36">
        <f t="shared" si="10"/>
        <v>-2</v>
      </c>
      <c r="K116" s="35">
        <f t="shared" si="8"/>
        <v>-20</v>
      </c>
      <c r="L116" s="35"/>
      <c r="M116" s="37">
        <f t="shared" si="9"/>
        <v>0</v>
      </c>
    </row>
    <row r="117" spans="1:13" x14ac:dyDescent="0.25">
      <c r="A117" s="77"/>
      <c r="G117" s="13"/>
      <c r="H117" s="35">
        <v>112</v>
      </c>
      <c r="I117" s="36" t="str">
        <f t="shared" si="7"/>
        <v/>
      </c>
      <c r="J117" s="36">
        <f t="shared" si="10"/>
        <v>-2</v>
      </c>
      <c r="K117" s="35">
        <f t="shared" si="8"/>
        <v>-20</v>
      </c>
      <c r="L117" s="35"/>
      <c r="M117" s="37">
        <f t="shared" si="9"/>
        <v>0</v>
      </c>
    </row>
    <row r="118" spans="1:13" x14ac:dyDescent="0.25">
      <c r="A118" s="76"/>
      <c r="G118" s="13"/>
      <c r="H118" s="35">
        <v>113</v>
      </c>
      <c r="I118" s="36" t="str">
        <f t="shared" si="7"/>
        <v/>
      </c>
      <c r="J118" s="36">
        <f t="shared" si="10"/>
        <v>-2</v>
      </c>
      <c r="K118" s="35">
        <f t="shared" si="8"/>
        <v>-20</v>
      </c>
      <c r="L118" s="35"/>
      <c r="M118" s="37">
        <f t="shared" si="9"/>
        <v>0</v>
      </c>
    </row>
    <row r="119" spans="1:13" x14ac:dyDescent="0.25">
      <c r="A119" s="77"/>
      <c r="G119" s="13"/>
      <c r="H119" s="35">
        <v>114</v>
      </c>
      <c r="I119" s="36" t="str">
        <f t="shared" si="7"/>
        <v/>
      </c>
      <c r="J119" s="36">
        <f t="shared" si="10"/>
        <v>-2</v>
      </c>
      <c r="K119" s="35">
        <f t="shared" si="8"/>
        <v>-20</v>
      </c>
      <c r="L119" s="35"/>
      <c r="M119" s="37">
        <f t="shared" si="9"/>
        <v>0</v>
      </c>
    </row>
    <row r="120" spans="1:13" x14ac:dyDescent="0.25">
      <c r="A120" s="76"/>
      <c r="G120" s="13"/>
      <c r="H120" s="35">
        <v>115</v>
      </c>
      <c r="I120" s="36" t="str">
        <f t="shared" si="7"/>
        <v/>
      </c>
      <c r="J120" s="36">
        <f t="shared" si="10"/>
        <v>-2</v>
      </c>
      <c r="K120" s="35">
        <f t="shared" si="8"/>
        <v>-20</v>
      </c>
      <c r="L120" s="35"/>
      <c r="M120" s="37">
        <f t="shared" si="9"/>
        <v>0</v>
      </c>
    </row>
    <row r="121" spans="1:13" x14ac:dyDescent="0.25">
      <c r="A121" s="77"/>
      <c r="G121" s="13"/>
      <c r="H121" s="35">
        <v>116</v>
      </c>
      <c r="I121" s="36" t="str">
        <f t="shared" si="7"/>
        <v/>
      </c>
      <c r="J121" s="36">
        <f t="shared" si="10"/>
        <v>-2</v>
      </c>
      <c r="K121" s="35">
        <f t="shared" si="8"/>
        <v>-20</v>
      </c>
      <c r="L121" s="35"/>
      <c r="M121" s="37">
        <f t="shared" si="9"/>
        <v>0</v>
      </c>
    </row>
    <row r="122" spans="1:13" x14ac:dyDescent="0.25">
      <c r="A122" s="76"/>
      <c r="G122" s="13"/>
      <c r="H122" s="35">
        <v>117</v>
      </c>
      <c r="I122" s="36" t="str">
        <f t="shared" si="7"/>
        <v/>
      </c>
      <c r="J122" s="36">
        <f t="shared" si="10"/>
        <v>-2</v>
      </c>
      <c r="K122" s="35">
        <f t="shared" si="8"/>
        <v>-20</v>
      </c>
      <c r="L122" s="35"/>
      <c r="M122" s="37">
        <f t="shared" si="9"/>
        <v>0</v>
      </c>
    </row>
    <row r="123" spans="1:13" x14ac:dyDescent="0.25">
      <c r="A123" s="77"/>
      <c r="G123" s="13"/>
      <c r="H123" s="35">
        <v>118</v>
      </c>
      <c r="I123" s="36" t="str">
        <f t="shared" si="7"/>
        <v/>
      </c>
      <c r="J123" s="36">
        <f t="shared" si="10"/>
        <v>-2</v>
      </c>
      <c r="K123" s="35">
        <f t="shared" si="8"/>
        <v>-20</v>
      </c>
      <c r="L123" s="35"/>
      <c r="M123" s="37">
        <f t="shared" si="9"/>
        <v>0</v>
      </c>
    </row>
    <row r="124" spans="1:13" x14ac:dyDescent="0.25">
      <c r="A124" s="76"/>
      <c r="G124" s="13"/>
      <c r="H124" s="35">
        <v>119</v>
      </c>
      <c r="I124" s="36" t="str">
        <f t="shared" si="7"/>
        <v/>
      </c>
      <c r="J124" s="36">
        <f t="shared" si="10"/>
        <v>-2</v>
      </c>
      <c r="K124" s="35">
        <f t="shared" si="8"/>
        <v>-20</v>
      </c>
      <c r="L124" s="35"/>
      <c r="M124" s="37">
        <f t="shared" si="9"/>
        <v>0</v>
      </c>
    </row>
    <row r="125" spans="1:13" x14ac:dyDescent="0.25">
      <c r="A125" s="77"/>
      <c r="G125" s="13"/>
      <c r="H125" s="35">
        <v>120</v>
      </c>
      <c r="I125" s="36" t="str">
        <f t="shared" si="7"/>
        <v/>
      </c>
      <c r="J125" s="36">
        <f t="shared" si="10"/>
        <v>-2</v>
      </c>
      <c r="K125" s="35">
        <f t="shared" si="8"/>
        <v>-20</v>
      </c>
      <c r="L125" s="35"/>
      <c r="M125" s="37">
        <f t="shared" si="9"/>
        <v>0</v>
      </c>
    </row>
    <row r="126" spans="1:13" x14ac:dyDescent="0.25">
      <c r="A126" s="76"/>
      <c r="G126" s="13"/>
      <c r="H126" s="35">
        <v>121</v>
      </c>
      <c r="I126" s="36" t="str">
        <f t="shared" si="7"/>
        <v/>
      </c>
      <c r="J126" s="36">
        <f t="shared" si="10"/>
        <v>-2</v>
      </c>
      <c r="K126" s="35">
        <f t="shared" si="8"/>
        <v>-20</v>
      </c>
      <c r="L126" s="35"/>
      <c r="M126" s="37">
        <f t="shared" si="9"/>
        <v>0</v>
      </c>
    </row>
    <row r="127" spans="1:13" x14ac:dyDescent="0.25">
      <c r="A127" s="77"/>
      <c r="G127" s="13"/>
      <c r="H127" s="35">
        <v>122</v>
      </c>
      <c r="I127" s="36" t="str">
        <f t="shared" si="7"/>
        <v/>
      </c>
      <c r="J127" s="36">
        <f t="shared" si="10"/>
        <v>-2</v>
      </c>
      <c r="K127" s="35">
        <f t="shared" si="8"/>
        <v>-20</v>
      </c>
      <c r="L127" s="35"/>
      <c r="M127" s="37">
        <f t="shared" si="9"/>
        <v>0</v>
      </c>
    </row>
    <row r="128" spans="1:13" x14ac:dyDescent="0.25">
      <c r="A128" s="76"/>
      <c r="G128" s="13"/>
      <c r="H128" s="35">
        <v>123</v>
      </c>
      <c r="I128" s="36" t="str">
        <f t="shared" si="7"/>
        <v/>
      </c>
      <c r="J128" s="36">
        <f t="shared" si="10"/>
        <v>-2</v>
      </c>
      <c r="K128" s="35">
        <f t="shared" si="8"/>
        <v>-20</v>
      </c>
      <c r="L128" s="35"/>
      <c r="M128" s="37">
        <f t="shared" si="9"/>
        <v>0</v>
      </c>
    </row>
    <row r="129" spans="1:13" x14ac:dyDescent="0.25">
      <c r="A129" s="77"/>
      <c r="G129" s="13"/>
      <c r="H129" s="35">
        <v>124</v>
      </c>
      <c r="I129" s="36" t="str">
        <f t="shared" si="7"/>
        <v/>
      </c>
      <c r="J129" s="36">
        <f t="shared" si="10"/>
        <v>-2</v>
      </c>
      <c r="K129" s="35">
        <f t="shared" si="8"/>
        <v>-20</v>
      </c>
      <c r="L129" s="35"/>
      <c r="M129" s="37">
        <f t="shared" si="9"/>
        <v>0</v>
      </c>
    </row>
    <row r="130" spans="1:13" x14ac:dyDescent="0.25">
      <c r="A130" s="76"/>
      <c r="G130" s="13"/>
      <c r="H130" s="35">
        <v>125</v>
      </c>
      <c r="I130" s="36" t="str">
        <f t="shared" si="7"/>
        <v/>
      </c>
      <c r="J130" s="36">
        <f t="shared" si="10"/>
        <v>-2</v>
      </c>
      <c r="K130" s="35">
        <f t="shared" si="8"/>
        <v>-20</v>
      </c>
      <c r="L130" s="35"/>
      <c r="M130" s="37">
        <f t="shared" si="9"/>
        <v>0</v>
      </c>
    </row>
    <row r="131" spans="1:13" x14ac:dyDescent="0.25">
      <c r="A131" s="77"/>
      <c r="G131" s="13"/>
      <c r="H131" s="35">
        <v>126</v>
      </c>
      <c r="I131" s="36" t="str">
        <f t="shared" si="7"/>
        <v/>
      </c>
      <c r="J131" s="36">
        <f t="shared" si="10"/>
        <v>-2</v>
      </c>
      <c r="K131" s="35">
        <f t="shared" si="8"/>
        <v>-20</v>
      </c>
      <c r="L131" s="35"/>
      <c r="M131" s="37">
        <f t="shared" si="9"/>
        <v>0</v>
      </c>
    </row>
    <row r="132" spans="1:13" x14ac:dyDescent="0.25">
      <c r="A132" s="76"/>
      <c r="G132" s="13"/>
      <c r="H132" s="35">
        <v>127</v>
      </c>
      <c r="I132" s="36" t="str">
        <f t="shared" si="7"/>
        <v/>
      </c>
      <c r="J132" s="36">
        <f t="shared" si="10"/>
        <v>-2</v>
      </c>
      <c r="K132" s="35">
        <f t="shared" si="8"/>
        <v>-20</v>
      </c>
      <c r="L132" s="35"/>
      <c r="M132" s="37">
        <f t="shared" si="9"/>
        <v>0</v>
      </c>
    </row>
    <row r="133" spans="1:13" x14ac:dyDescent="0.25">
      <c r="A133" s="77"/>
      <c r="G133" s="13"/>
      <c r="H133" s="35">
        <v>128</v>
      </c>
      <c r="I133" s="36" t="str">
        <f t="shared" si="7"/>
        <v/>
      </c>
      <c r="J133" s="36">
        <f t="shared" si="10"/>
        <v>-2</v>
      </c>
      <c r="K133" s="35">
        <f t="shared" si="8"/>
        <v>-20</v>
      </c>
      <c r="L133" s="35"/>
      <c r="M133" s="37">
        <f t="shared" si="9"/>
        <v>0</v>
      </c>
    </row>
    <row r="134" spans="1:13" x14ac:dyDescent="0.25">
      <c r="A134" s="76"/>
      <c r="G134" s="13"/>
      <c r="H134" s="35">
        <v>129</v>
      </c>
      <c r="I134" s="36" t="str">
        <f t="shared" ref="I134:I197" si="11">IF(H134&lt;$H$2+1,($I$2-($I$2-1)*(LOG(H134)/LOG($H$2))),"")</f>
        <v/>
      </c>
      <c r="J134" s="36">
        <f t="shared" si="10"/>
        <v>-3</v>
      </c>
      <c r="K134" s="35">
        <f t="shared" ref="K134:K197" si="12">J134*$J$2</f>
        <v>-30</v>
      </c>
      <c r="L134" s="35"/>
      <c r="M134" s="37">
        <f t="shared" ref="M134:M197" si="13">IF(I134&lt;&gt;"",K134+I134+L134,0)</f>
        <v>0</v>
      </c>
    </row>
    <row r="135" spans="1:13" x14ac:dyDescent="0.25">
      <c r="A135" s="77"/>
      <c r="G135" s="13"/>
      <c r="H135" s="35">
        <v>130</v>
      </c>
      <c r="I135" s="36" t="str">
        <f t="shared" si="11"/>
        <v/>
      </c>
      <c r="J135" s="36">
        <f t="shared" ref="J135:J198" si="14">INT(LOG($H$2,2))-ROUNDUP(LOG(H135,2),0)+IF(OR($H$2=1,$H$2=2,$H$2=4,$H$2=8,$H$2=16,$H$2=32,$H$2=64,$H$2=128,$H$2=256),0,1)</f>
        <v>-3</v>
      </c>
      <c r="K135" s="35">
        <f t="shared" si="12"/>
        <v>-30</v>
      </c>
      <c r="L135" s="35"/>
      <c r="M135" s="37">
        <f t="shared" si="13"/>
        <v>0</v>
      </c>
    </row>
    <row r="136" spans="1:13" x14ac:dyDescent="0.25">
      <c r="A136" s="76"/>
      <c r="G136" s="13"/>
      <c r="H136" s="35">
        <v>131</v>
      </c>
      <c r="I136" s="36" t="str">
        <f t="shared" si="11"/>
        <v/>
      </c>
      <c r="J136" s="36">
        <f t="shared" si="14"/>
        <v>-3</v>
      </c>
      <c r="K136" s="35">
        <f t="shared" si="12"/>
        <v>-30</v>
      </c>
      <c r="L136" s="35"/>
      <c r="M136" s="37">
        <f t="shared" si="13"/>
        <v>0</v>
      </c>
    </row>
    <row r="137" spans="1:13" x14ac:dyDescent="0.25">
      <c r="A137" s="77"/>
      <c r="G137" s="13"/>
      <c r="H137" s="35">
        <v>132</v>
      </c>
      <c r="I137" s="36" t="str">
        <f t="shared" si="11"/>
        <v/>
      </c>
      <c r="J137" s="36">
        <f t="shared" si="14"/>
        <v>-3</v>
      </c>
      <c r="K137" s="35">
        <f t="shared" si="12"/>
        <v>-30</v>
      </c>
      <c r="L137" s="35"/>
      <c r="M137" s="37">
        <f t="shared" si="13"/>
        <v>0</v>
      </c>
    </row>
    <row r="138" spans="1:13" x14ac:dyDescent="0.25">
      <c r="A138" s="76"/>
      <c r="G138" s="13"/>
      <c r="H138" s="35">
        <v>133</v>
      </c>
      <c r="I138" s="36" t="str">
        <f t="shared" si="11"/>
        <v/>
      </c>
      <c r="J138" s="36">
        <f t="shared" si="14"/>
        <v>-3</v>
      </c>
      <c r="K138" s="35">
        <f t="shared" si="12"/>
        <v>-30</v>
      </c>
      <c r="L138" s="35"/>
      <c r="M138" s="37">
        <f t="shared" si="13"/>
        <v>0</v>
      </c>
    </row>
    <row r="139" spans="1:13" x14ac:dyDescent="0.25">
      <c r="A139" s="77"/>
      <c r="G139" s="13"/>
      <c r="H139" s="35">
        <v>134</v>
      </c>
      <c r="I139" s="36" t="str">
        <f t="shared" si="11"/>
        <v/>
      </c>
      <c r="J139" s="36">
        <f t="shared" si="14"/>
        <v>-3</v>
      </c>
      <c r="K139" s="35">
        <f t="shared" si="12"/>
        <v>-30</v>
      </c>
      <c r="L139" s="35"/>
      <c r="M139" s="37">
        <f t="shared" si="13"/>
        <v>0</v>
      </c>
    </row>
    <row r="140" spans="1:13" x14ac:dyDescent="0.25">
      <c r="A140" s="76"/>
      <c r="G140" s="13"/>
      <c r="H140" s="35">
        <v>135</v>
      </c>
      <c r="I140" s="36" t="str">
        <f t="shared" si="11"/>
        <v/>
      </c>
      <c r="J140" s="36">
        <f t="shared" si="14"/>
        <v>-3</v>
      </c>
      <c r="K140" s="35">
        <f t="shared" si="12"/>
        <v>-30</v>
      </c>
      <c r="L140" s="35"/>
      <c r="M140" s="37">
        <f t="shared" si="13"/>
        <v>0</v>
      </c>
    </row>
    <row r="141" spans="1:13" x14ac:dyDescent="0.25">
      <c r="A141" s="77"/>
      <c r="G141" s="13"/>
      <c r="H141" s="35">
        <v>136</v>
      </c>
      <c r="I141" s="36" t="str">
        <f t="shared" si="11"/>
        <v/>
      </c>
      <c r="J141" s="36">
        <f t="shared" si="14"/>
        <v>-3</v>
      </c>
      <c r="K141" s="35">
        <f t="shared" si="12"/>
        <v>-30</v>
      </c>
      <c r="L141" s="35"/>
      <c r="M141" s="37">
        <f t="shared" si="13"/>
        <v>0</v>
      </c>
    </row>
    <row r="142" spans="1:13" x14ac:dyDescent="0.25">
      <c r="A142" s="76"/>
      <c r="G142" s="13"/>
      <c r="H142" s="35">
        <v>137</v>
      </c>
      <c r="I142" s="36" t="str">
        <f t="shared" si="11"/>
        <v/>
      </c>
      <c r="J142" s="36">
        <f t="shared" si="14"/>
        <v>-3</v>
      </c>
      <c r="K142" s="35">
        <f t="shared" si="12"/>
        <v>-30</v>
      </c>
      <c r="L142" s="35"/>
      <c r="M142" s="37">
        <f t="shared" si="13"/>
        <v>0</v>
      </c>
    </row>
    <row r="143" spans="1:13" x14ac:dyDescent="0.25">
      <c r="A143" s="77"/>
      <c r="G143" s="13"/>
      <c r="H143" s="35">
        <v>138</v>
      </c>
      <c r="I143" s="36" t="str">
        <f t="shared" si="11"/>
        <v/>
      </c>
      <c r="J143" s="36">
        <f t="shared" si="14"/>
        <v>-3</v>
      </c>
      <c r="K143" s="35">
        <f t="shared" si="12"/>
        <v>-30</v>
      </c>
      <c r="L143" s="35"/>
      <c r="M143" s="37">
        <f t="shared" si="13"/>
        <v>0</v>
      </c>
    </row>
    <row r="144" spans="1:13" x14ac:dyDescent="0.25">
      <c r="A144" s="76"/>
      <c r="G144" s="13"/>
      <c r="H144" s="35">
        <v>139</v>
      </c>
      <c r="I144" s="36" t="str">
        <f t="shared" si="11"/>
        <v/>
      </c>
      <c r="J144" s="36">
        <f t="shared" si="14"/>
        <v>-3</v>
      </c>
      <c r="K144" s="35">
        <f t="shared" si="12"/>
        <v>-30</v>
      </c>
      <c r="L144" s="35"/>
      <c r="M144" s="37">
        <f t="shared" si="13"/>
        <v>0</v>
      </c>
    </row>
    <row r="145" spans="1:13" x14ac:dyDescent="0.25">
      <c r="A145" s="77"/>
      <c r="G145" s="13"/>
      <c r="H145" s="35">
        <v>140</v>
      </c>
      <c r="I145" s="36" t="str">
        <f t="shared" si="11"/>
        <v/>
      </c>
      <c r="J145" s="36">
        <f t="shared" si="14"/>
        <v>-3</v>
      </c>
      <c r="K145" s="35">
        <f t="shared" si="12"/>
        <v>-30</v>
      </c>
      <c r="L145" s="35"/>
      <c r="M145" s="37">
        <f t="shared" si="13"/>
        <v>0</v>
      </c>
    </row>
    <row r="146" spans="1:13" x14ac:dyDescent="0.25">
      <c r="A146" s="76"/>
      <c r="G146" s="13"/>
      <c r="H146" s="35">
        <v>141</v>
      </c>
      <c r="I146" s="36" t="str">
        <f t="shared" si="11"/>
        <v/>
      </c>
      <c r="J146" s="36">
        <f t="shared" si="14"/>
        <v>-3</v>
      </c>
      <c r="K146" s="35">
        <f t="shared" si="12"/>
        <v>-30</v>
      </c>
      <c r="L146" s="35"/>
      <c r="M146" s="37">
        <f t="shared" si="13"/>
        <v>0</v>
      </c>
    </row>
    <row r="147" spans="1:13" x14ac:dyDescent="0.25">
      <c r="A147" s="77"/>
      <c r="G147" s="13"/>
      <c r="H147" s="35">
        <v>142</v>
      </c>
      <c r="I147" s="36" t="str">
        <f t="shared" si="11"/>
        <v/>
      </c>
      <c r="J147" s="36">
        <f t="shared" si="14"/>
        <v>-3</v>
      </c>
      <c r="K147" s="35">
        <f t="shared" si="12"/>
        <v>-30</v>
      </c>
      <c r="L147" s="35"/>
      <c r="M147" s="37">
        <f t="shared" si="13"/>
        <v>0</v>
      </c>
    </row>
    <row r="148" spans="1:13" x14ac:dyDescent="0.25">
      <c r="A148" s="76"/>
      <c r="G148" s="13"/>
      <c r="H148" s="35">
        <v>143</v>
      </c>
      <c r="I148" s="36" t="str">
        <f t="shared" si="11"/>
        <v/>
      </c>
      <c r="J148" s="36">
        <f t="shared" si="14"/>
        <v>-3</v>
      </c>
      <c r="K148" s="35">
        <f t="shared" si="12"/>
        <v>-30</v>
      </c>
      <c r="L148" s="35"/>
      <c r="M148" s="37">
        <f t="shared" si="13"/>
        <v>0</v>
      </c>
    </row>
    <row r="149" spans="1:13" x14ac:dyDescent="0.25">
      <c r="A149" s="77"/>
      <c r="G149" s="13"/>
      <c r="H149" s="35">
        <v>144</v>
      </c>
      <c r="I149" s="36" t="str">
        <f t="shared" si="11"/>
        <v/>
      </c>
      <c r="J149" s="36">
        <f t="shared" si="14"/>
        <v>-3</v>
      </c>
      <c r="K149" s="35">
        <f t="shared" si="12"/>
        <v>-30</v>
      </c>
      <c r="L149" s="35"/>
      <c r="M149" s="37">
        <f t="shared" si="13"/>
        <v>0</v>
      </c>
    </row>
    <row r="150" spans="1:13" x14ac:dyDescent="0.25">
      <c r="A150" s="76"/>
      <c r="G150" s="13"/>
      <c r="H150" s="35">
        <v>145</v>
      </c>
      <c r="I150" s="36" t="str">
        <f t="shared" si="11"/>
        <v/>
      </c>
      <c r="J150" s="36">
        <f t="shared" si="14"/>
        <v>-3</v>
      </c>
      <c r="K150" s="35">
        <f t="shared" si="12"/>
        <v>-30</v>
      </c>
      <c r="L150" s="35"/>
      <c r="M150" s="37">
        <f t="shared" si="13"/>
        <v>0</v>
      </c>
    </row>
    <row r="151" spans="1:13" x14ac:dyDescent="0.25">
      <c r="A151" s="77"/>
      <c r="G151" s="13"/>
      <c r="H151" s="35">
        <v>146</v>
      </c>
      <c r="I151" s="36" t="str">
        <f t="shared" si="11"/>
        <v/>
      </c>
      <c r="J151" s="36">
        <f t="shared" si="14"/>
        <v>-3</v>
      </c>
      <c r="K151" s="35">
        <f t="shared" si="12"/>
        <v>-30</v>
      </c>
      <c r="L151" s="35"/>
      <c r="M151" s="37">
        <f t="shared" si="13"/>
        <v>0</v>
      </c>
    </row>
    <row r="152" spans="1:13" x14ac:dyDescent="0.25">
      <c r="A152" s="76"/>
      <c r="G152" s="13"/>
      <c r="H152" s="35">
        <v>147</v>
      </c>
      <c r="I152" s="36" t="str">
        <f t="shared" si="11"/>
        <v/>
      </c>
      <c r="J152" s="36">
        <f t="shared" si="14"/>
        <v>-3</v>
      </c>
      <c r="K152" s="35">
        <f t="shared" si="12"/>
        <v>-30</v>
      </c>
      <c r="L152" s="35"/>
      <c r="M152" s="37">
        <f t="shared" si="13"/>
        <v>0</v>
      </c>
    </row>
    <row r="153" spans="1:13" x14ac:dyDescent="0.25">
      <c r="A153" s="77"/>
      <c r="G153" s="13"/>
      <c r="H153" s="35">
        <v>148</v>
      </c>
      <c r="I153" s="36" t="str">
        <f t="shared" si="11"/>
        <v/>
      </c>
      <c r="J153" s="36">
        <f t="shared" si="14"/>
        <v>-3</v>
      </c>
      <c r="K153" s="35">
        <f t="shared" si="12"/>
        <v>-30</v>
      </c>
      <c r="L153" s="35"/>
      <c r="M153" s="37">
        <f t="shared" si="13"/>
        <v>0</v>
      </c>
    </row>
    <row r="154" spans="1:13" x14ac:dyDescent="0.25">
      <c r="A154" s="76"/>
      <c r="G154" s="13"/>
      <c r="H154" s="35">
        <v>149</v>
      </c>
      <c r="I154" s="36" t="str">
        <f t="shared" si="11"/>
        <v/>
      </c>
      <c r="J154" s="36">
        <f t="shared" si="14"/>
        <v>-3</v>
      </c>
      <c r="K154" s="35">
        <f t="shared" si="12"/>
        <v>-30</v>
      </c>
      <c r="L154" s="35"/>
      <c r="M154" s="37">
        <f t="shared" si="13"/>
        <v>0</v>
      </c>
    </row>
    <row r="155" spans="1:13" x14ac:dyDescent="0.25">
      <c r="A155" s="77"/>
      <c r="G155" s="13"/>
      <c r="H155" s="35">
        <v>150</v>
      </c>
      <c r="I155" s="36" t="str">
        <f t="shared" si="11"/>
        <v/>
      </c>
      <c r="J155" s="36">
        <f t="shared" si="14"/>
        <v>-3</v>
      </c>
      <c r="K155" s="35">
        <f t="shared" si="12"/>
        <v>-30</v>
      </c>
      <c r="L155" s="35"/>
      <c r="M155" s="37">
        <f t="shared" si="13"/>
        <v>0</v>
      </c>
    </row>
    <row r="156" spans="1:13" x14ac:dyDescent="0.25">
      <c r="A156" s="76"/>
      <c r="G156" s="13"/>
      <c r="H156" s="35">
        <v>151</v>
      </c>
      <c r="I156" s="36" t="str">
        <f t="shared" si="11"/>
        <v/>
      </c>
      <c r="J156" s="36">
        <f t="shared" si="14"/>
        <v>-3</v>
      </c>
      <c r="K156" s="35">
        <f t="shared" si="12"/>
        <v>-30</v>
      </c>
      <c r="L156" s="35"/>
      <c r="M156" s="37">
        <f t="shared" si="13"/>
        <v>0</v>
      </c>
    </row>
    <row r="157" spans="1:13" x14ac:dyDescent="0.25">
      <c r="A157" s="77"/>
      <c r="G157" s="13"/>
      <c r="H157" s="35">
        <v>152</v>
      </c>
      <c r="I157" s="36" t="str">
        <f t="shared" si="11"/>
        <v/>
      </c>
      <c r="J157" s="36">
        <f t="shared" si="14"/>
        <v>-3</v>
      </c>
      <c r="K157" s="35">
        <f t="shared" si="12"/>
        <v>-30</v>
      </c>
      <c r="L157" s="35"/>
      <c r="M157" s="37">
        <f t="shared" si="13"/>
        <v>0</v>
      </c>
    </row>
    <row r="158" spans="1:13" x14ac:dyDescent="0.25">
      <c r="A158" s="76"/>
      <c r="G158" s="13"/>
      <c r="H158" s="35">
        <v>153</v>
      </c>
      <c r="I158" s="36" t="str">
        <f t="shared" si="11"/>
        <v/>
      </c>
      <c r="J158" s="36">
        <f t="shared" si="14"/>
        <v>-3</v>
      </c>
      <c r="K158" s="35">
        <f t="shared" si="12"/>
        <v>-30</v>
      </c>
      <c r="L158" s="35"/>
      <c r="M158" s="37">
        <f t="shared" si="13"/>
        <v>0</v>
      </c>
    </row>
    <row r="159" spans="1:13" x14ac:dyDescent="0.25">
      <c r="A159" s="77"/>
      <c r="G159" s="13"/>
      <c r="H159" s="35">
        <v>154</v>
      </c>
      <c r="I159" s="36" t="str">
        <f t="shared" si="11"/>
        <v/>
      </c>
      <c r="J159" s="36">
        <f t="shared" si="14"/>
        <v>-3</v>
      </c>
      <c r="K159" s="35">
        <f t="shared" si="12"/>
        <v>-30</v>
      </c>
      <c r="L159" s="35"/>
      <c r="M159" s="37">
        <f t="shared" si="13"/>
        <v>0</v>
      </c>
    </row>
    <row r="160" spans="1:13" x14ac:dyDescent="0.25">
      <c r="A160" s="76"/>
      <c r="G160" s="13"/>
      <c r="H160" s="35">
        <v>155</v>
      </c>
      <c r="I160" s="36" t="str">
        <f t="shared" si="11"/>
        <v/>
      </c>
      <c r="J160" s="36">
        <f t="shared" si="14"/>
        <v>-3</v>
      </c>
      <c r="K160" s="35">
        <f t="shared" si="12"/>
        <v>-30</v>
      </c>
      <c r="L160" s="35"/>
      <c r="M160" s="37">
        <f t="shared" si="13"/>
        <v>0</v>
      </c>
    </row>
    <row r="161" spans="1:13" x14ac:dyDescent="0.25">
      <c r="A161" s="77"/>
      <c r="G161" s="13"/>
      <c r="H161" s="35">
        <v>156</v>
      </c>
      <c r="I161" s="36" t="str">
        <f t="shared" si="11"/>
        <v/>
      </c>
      <c r="J161" s="36">
        <f t="shared" si="14"/>
        <v>-3</v>
      </c>
      <c r="K161" s="35">
        <f t="shared" si="12"/>
        <v>-30</v>
      </c>
      <c r="L161" s="35"/>
      <c r="M161" s="37">
        <f t="shared" si="13"/>
        <v>0</v>
      </c>
    </row>
    <row r="162" spans="1:13" x14ac:dyDescent="0.25">
      <c r="A162" s="76"/>
      <c r="G162" s="13"/>
      <c r="H162" s="35">
        <v>157</v>
      </c>
      <c r="I162" s="36" t="str">
        <f t="shared" si="11"/>
        <v/>
      </c>
      <c r="J162" s="36">
        <f t="shared" si="14"/>
        <v>-3</v>
      </c>
      <c r="K162" s="35">
        <f t="shared" si="12"/>
        <v>-30</v>
      </c>
      <c r="L162" s="35"/>
      <c r="M162" s="37">
        <f t="shared" si="13"/>
        <v>0</v>
      </c>
    </row>
    <row r="163" spans="1:13" x14ac:dyDescent="0.25">
      <c r="A163" s="77"/>
      <c r="G163" s="13"/>
      <c r="H163" s="35">
        <v>158</v>
      </c>
      <c r="I163" s="36" t="str">
        <f t="shared" si="11"/>
        <v/>
      </c>
      <c r="J163" s="36">
        <f t="shared" si="14"/>
        <v>-3</v>
      </c>
      <c r="K163" s="35">
        <f t="shared" si="12"/>
        <v>-30</v>
      </c>
      <c r="L163" s="35"/>
      <c r="M163" s="37">
        <f t="shared" si="13"/>
        <v>0</v>
      </c>
    </row>
    <row r="164" spans="1:13" x14ac:dyDescent="0.25">
      <c r="A164" s="76"/>
      <c r="G164" s="13"/>
      <c r="H164" s="35">
        <v>159</v>
      </c>
      <c r="I164" s="36" t="str">
        <f t="shared" si="11"/>
        <v/>
      </c>
      <c r="J164" s="36">
        <f t="shared" si="14"/>
        <v>-3</v>
      </c>
      <c r="K164" s="35">
        <f t="shared" si="12"/>
        <v>-30</v>
      </c>
      <c r="L164" s="35"/>
      <c r="M164" s="37">
        <f t="shared" si="13"/>
        <v>0</v>
      </c>
    </row>
    <row r="165" spans="1:13" x14ac:dyDescent="0.25">
      <c r="A165" s="77"/>
      <c r="G165" s="13"/>
      <c r="H165" s="35">
        <v>160</v>
      </c>
      <c r="I165" s="36" t="str">
        <f t="shared" si="11"/>
        <v/>
      </c>
      <c r="J165" s="36">
        <f t="shared" si="14"/>
        <v>-3</v>
      </c>
      <c r="K165" s="35">
        <f t="shared" si="12"/>
        <v>-30</v>
      </c>
      <c r="L165" s="35"/>
      <c r="M165" s="37">
        <f t="shared" si="13"/>
        <v>0</v>
      </c>
    </row>
    <row r="166" spans="1:13" x14ac:dyDescent="0.25">
      <c r="A166" s="76"/>
      <c r="G166" s="13"/>
      <c r="H166" s="35">
        <v>161</v>
      </c>
      <c r="I166" s="36" t="str">
        <f t="shared" si="11"/>
        <v/>
      </c>
      <c r="J166" s="36">
        <f t="shared" si="14"/>
        <v>-3</v>
      </c>
      <c r="K166" s="35">
        <f t="shared" si="12"/>
        <v>-30</v>
      </c>
      <c r="L166" s="35"/>
      <c r="M166" s="37">
        <f t="shared" si="13"/>
        <v>0</v>
      </c>
    </row>
    <row r="167" spans="1:13" x14ac:dyDescent="0.25">
      <c r="A167" s="77"/>
      <c r="G167" s="13"/>
      <c r="H167" s="35">
        <v>162</v>
      </c>
      <c r="I167" s="36" t="str">
        <f t="shared" si="11"/>
        <v/>
      </c>
      <c r="J167" s="36">
        <f t="shared" si="14"/>
        <v>-3</v>
      </c>
      <c r="K167" s="35">
        <f t="shared" si="12"/>
        <v>-30</v>
      </c>
      <c r="L167" s="35"/>
      <c r="M167" s="37">
        <f t="shared" si="13"/>
        <v>0</v>
      </c>
    </row>
    <row r="168" spans="1:13" x14ac:dyDescent="0.25">
      <c r="A168" s="76"/>
      <c r="G168" s="13"/>
      <c r="H168" s="35">
        <v>163</v>
      </c>
      <c r="I168" s="36" t="str">
        <f t="shared" si="11"/>
        <v/>
      </c>
      <c r="J168" s="36">
        <f t="shared" si="14"/>
        <v>-3</v>
      </c>
      <c r="K168" s="35">
        <f t="shared" si="12"/>
        <v>-30</v>
      </c>
      <c r="L168" s="35"/>
      <c r="M168" s="37">
        <f t="shared" si="13"/>
        <v>0</v>
      </c>
    </row>
    <row r="169" spans="1:13" x14ac:dyDescent="0.25">
      <c r="A169" s="77"/>
      <c r="G169" s="13"/>
      <c r="H169" s="35">
        <v>164</v>
      </c>
      <c r="I169" s="36" t="str">
        <f t="shared" si="11"/>
        <v/>
      </c>
      <c r="J169" s="36">
        <f t="shared" si="14"/>
        <v>-3</v>
      </c>
      <c r="K169" s="35">
        <f t="shared" si="12"/>
        <v>-30</v>
      </c>
      <c r="L169" s="35"/>
      <c r="M169" s="37">
        <f t="shared" si="13"/>
        <v>0</v>
      </c>
    </row>
    <row r="170" spans="1:13" x14ac:dyDescent="0.25">
      <c r="A170" s="76"/>
      <c r="G170" s="13"/>
      <c r="H170" s="35">
        <v>165</v>
      </c>
      <c r="I170" s="36" t="str">
        <f t="shared" si="11"/>
        <v/>
      </c>
      <c r="J170" s="36">
        <f t="shared" si="14"/>
        <v>-3</v>
      </c>
      <c r="K170" s="35">
        <f t="shared" si="12"/>
        <v>-30</v>
      </c>
      <c r="L170" s="35"/>
      <c r="M170" s="37">
        <f t="shared" si="13"/>
        <v>0</v>
      </c>
    </row>
    <row r="171" spans="1:13" x14ac:dyDescent="0.25">
      <c r="A171" s="77"/>
      <c r="G171" s="13"/>
      <c r="H171" s="35">
        <v>166</v>
      </c>
      <c r="I171" s="36" t="str">
        <f t="shared" si="11"/>
        <v/>
      </c>
      <c r="J171" s="36">
        <f t="shared" si="14"/>
        <v>-3</v>
      </c>
      <c r="K171" s="35">
        <f t="shared" si="12"/>
        <v>-30</v>
      </c>
      <c r="L171" s="35"/>
      <c r="M171" s="37">
        <f t="shared" si="13"/>
        <v>0</v>
      </c>
    </row>
    <row r="172" spans="1:13" x14ac:dyDescent="0.25">
      <c r="A172" s="76"/>
      <c r="G172" s="13"/>
      <c r="H172" s="35">
        <v>167</v>
      </c>
      <c r="I172" s="36" t="str">
        <f t="shared" si="11"/>
        <v/>
      </c>
      <c r="J172" s="36">
        <f t="shared" si="14"/>
        <v>-3</v>
      </c>
      <c r="K172" s="35">
        <f t="shared" si="12"/>
        <v>-30</v>
      </c>
      <c r="L172" s="35"/>
      <c r="M172" s="37">
        <f t="shared" si="13"/>
        <v>0</v>
      </c>
    </row>
    <row r="173" spans="1:13" x14ac:dyDescent="0.25">
      <c r="A173" s="77"/>
      <c r="G173" s="13"/>
      <c r="H173" s="35">
        <v>168</v>
      </c>
      <c r="I173" s="36" t="str">
        <f t="shared" si="11"/>
        <v/>
      </c>
      <c r="J173" s="36">
        <f t="shared" si="14"/>
        <v>-3</v>
      </c>
      <c r="K173" s="35">
        <f t="shared" si="12"/>
        <v>-30</v>
      </c>
      <c r="L173" s="35"/>
      <c r="M173" s="37">
        <f t="shared" si="13"/>
        <v>0</v>
      </c>
    </row>
    <row r="174" spans="1:13" x14ac:dyDescent="0.25">
      <c r="A174" s="76"/>
      <c r="G174" s="13"/>
      <c r="H174" s="35">
        <v>169</v>
      </c>
      <c r="I174" s="36" t="str">
        <f t="shared" si="11"/>
        <v/>
      </c>
      <c r="J174" s="36">
        <f t="shared" si="14"/>
        <v>-3</v>
      </c>
      <c r="K174" s="35">
        <f t="shared" si="12"/>
        <v>-30</v>
      </c>
      <c r="L174" s="35"/>
      <c r="M174" s="37">
        <f t="shared" si="13"/>
        <v>0</v>
      </c>
    </row>
    <row r="175" spans="1:13" x14ac:dyDescent="0.25">
      <c r="A175" s="77"/>
      <c r="G175" s="13"/>
      <c r="H175" s="35">
        <v>170</v>
      </c>
      <c r="I175" s="36" t="str">
        <f t="shared" si="11"/>
        <v/>
      </c>
      <c r="J175" s="36">
        <f t="shared" si="14"/>
        <v>-3</v>
      </c>
      <c r="K175" s="35">
        <f t="shared" si="12"/>
        <v>-30</v>
      </c>
      <c r="L175" s="35"/>
      <c r="M175" s="37">
        <f t="shared" si="13"/>
        <v>0</v>
      </c>
    </row>
    <row r="176" spans="1:13" x14ac:dyDescent="0.25">
      <c r="A176" s="76"/>
      <c r="G176" s="13"/>
      <c r="H176" s="35">
        <v>171</v>
      </c>
      <c r="I176" s="36" t="str">
        <f t="shared" si="11"/>
        <v/>
      </c>
      <c r="J176" s="36">
        <f t="shared" si="14"/>
        <v>-3</v>
      </c>
      <c r="K176" s="35">
        <f t="shared" si="12"/>
        <v>-30</v>
      </c>
      <c r="L176" s="35"/>
      <c r="M176" s="37">
        <f t="shared" si="13"/>
        <v>0</v>
      </c>
    </row>
    <row r="177" spans="1:13" x14ac:dyDescent="0.25">
      <c r="A177" s="77"/>
      <c r="G177" s="13"/>
      <c r="H177" s="35">
        <v>172</v>
      </c>
      <c r="I177" s="36" t="str">
        <f t="shared" si="11"/>
        <v/>
      </c>
      <c r="J177" s="36">
        <f t="shared" si="14"/>
        <v>-3</v>
      </c>
      <c r="K177" s="35">
        <f t="shared" si="12"/>
        <v>-30</v>
      </c>
      <c r="L177" s="35"/>
      <c r="M177" s="37">
        <f t="shared" si="13"/>
        <v>0</v>
      </c>
    </row>
    <row r="178" spans="1:13" x14ac:dyDescent="0.25">
      <c r="A178" s="76"/>
      <c r="G178" s="13"/>
      <c r="H178" s="35">
        <v>173</v>
      </c>
      <c r="I178" s="36" t="str">
        <f t="shared" si="11"/>
        <v/>
      </c>
      <c r="J178" s="36">
        <f t="shared" si="14"/>
        <v>-3</v>
      </c>
      <c r="K178" s="35">
        <f t="shared" si="12"/>
        <v>-30</v>
      </c>
      <c r="L178" s="35"/>
      <c r="M178" s="37">
        <f t="shared" si="13"/>
        <v>0</v>
      </c>
    </row>
    <row r="179" spans="1:13" x14ac:dyDescent="0.25">
      <c r="A179" s="77"/>
      <c r="G179" s="13"/>
      <c r="H179" s="35">
        <v>174</v>
      </c>
      <c r="I179" s="36" t="str">
        <f t="shared" si="11"/>
        <v/>
      </c>
      <c r="J179" s="36">
        <f t="shared" si="14"/>
        <v>-3</v>
      </c>
      <c r="K179" s="35">
        <f t="shared" si="12"/>
        <v>-30</v>
      </c>
      <c r="L179" s="35"/>
      <c r="M179" s="37">
        <f t="shared" si="13"/>
        <v>0</v>
      </c>
    </row>
    <row r="180" spans="1:13" x14ac:dyDescent="0.25">
      <c r="A180" s="76"/>
      <c r="G180" s="13"/>
      <c r="H180" s="35">
        <v>175</v>
      </c>
      <c r="I180" s="36" t="str">
        <f t="shared" si="11"/>
        <v/>
      </c>
      <c r="J180" s="36">
        <f t="shared" si="14"/>
        <v>-3</v>
      </c>
      <c r="K180" s="35">
        <f t="shared" si="12"/>
        <v>-30</v>
      </c>
      <c r="L180" s="35"/>
      <c r="M180" s="37">
        <f t="shared" si="13"/>
        <v>0</v>
      </c>
    </row>
    <row r="181" spans="1:13" x14ac:dyDescent="0.25">
      <c r="A181" s="77"/>
      <c r="G181" s="13"/>
      <c r="H181" s="35">
        <v>176</v>
      </c>
      <c r="I181" s="36" t="str">
        <f t="shared" si="11"/>
        <v/>
      </c>
      <c r="J181" s="36">
        <f t="shared" si="14"/>
        <v>-3</v>
      </c>
      <c r="K181" s="35">
        <f t="shared" si="12"/>
        <v>-30</v>
      </c>
      <c r="L181" s="35"/>
      <c r="M181" s="37">
        <f t="shared" si="13"/>
        <v>0</v>
      </c>
    </row>
    <row r="182" spans="1:13" x14ac:dyDescent="0.25">
      <c r="A182" s="76"/>
      <c r="G182" s="13"/>
      <c r="H182" s="35">
        <v>177</v>
      </c>
      <c r="I182" s="36" t="str">
        <f t="shared" si="11"/>
        <v/>
      </c>
      <c r="J182" s="36">
        <f t="shared" si="14"/>
        <v>-3</v>
      </c>
      <c r="K182" s="35">
        <f t="shared" si="12"/>
        <v>-30</v>
      </c>
      <c r="L182" s="35"/>
      <c r="M182" s="37">
        <f t="shared" si="13"/>
        <v>0</v>
      </c>
    </row>
    <row r="183" spans="1:13" x14ac:dyDescent="0.25">
      <c r="A183" s="77"/>
      <c r="G183" s="13"/>
      <c r="H183" s="35">
        <v>178</v>
      </c>
      <c r="I183" s="36" t="str">
        <f t="shared" si="11"/>
        <v/>
      </c>
      <c r="J183" s="36">
        <f t="shared" si="14"/>
        <v>-3</v>
      </c>
      <c r="K183" s="35">
        <f t="shared" si="12"/>
        <v>-30</v>
      </c>
      <c r="L183" s="35"/>
      <c r="M183" s="37">
        <f t="shared" si="13"/>
        <v>0</v>
      </c>
    </row>
    <row r="184" spans="1:13" x14ac:dyDescent="0.25">
      <c r="A184" s="76"/>
      <c r="G184" s="13"/>
      <c r="H184" s="35">
        <v>179</v>
      </c>
      <c r="I184" s="36" t="str">
        <f t="shared" si="11"/>
        <v/>
      </c>
      <c r="J184" s="36">
        <f t="shared" si="14"/>
        <v>-3</v>
      </c>
      <c r="K184" s="35">
        <f t="shared" si="12"/>
        <v>-30</v>
      </c>
      <c r="L184" s="35"/>
      <c r="M184" s="37">
        <f t="shared" si="13"/>
        <v>0</v>
      </c>
    </row>
    <row r="185" spans="1:13" x14ac:dyDescent="0.25">
      <c r="A185" s="77"/>
      <c r="G185" s="13"/>
      <c r="H185" s="35">
        <v>180</v>
      </c>
      <c r="I185" s="36" t="str">
        <f t="shared" si="11"/>
        <v/>
      </c>
      <c r="J185" s="36">
        <f t="shared" si="14"/>
        <v>-3</v>
      </c>
      <c r="K185" s="35">
        <f t="shared" si="12"/>
        <v>-30</v>
      </c>
      <c r="L185" s="35"/>
      <c r="M185" s="37">
        <f t="shared" si="13"/>
        <v>0</v>
      </c>
    </row>
    <row r="186" spans="1:13" x14ac:dyDescent="0.25">
      <c r="A186" s="76"/>
      <c r="G186" s="13"/>
      <c r="H186" s="35">
        <v>181</v>
      </c>
      <c r="I186" s="36" t="str">
        <f t="shared" si="11"/>
        <v/>
      </c>
      <c r="J186" s="36">
        <f t="shared" si="14"/>
        <v>-3</v>
      </c>
      <c r="K186" s="35">
        <f t="shared" si="12"/>
        <v>-30</v>
      </c>
      <c r="L186" s="35"/>
      <c r="M186" s="37">
        <f t="shared" si="13"/>
        <v>0</v>
      </c>
    </row>
    <row r="187" spans="1:13" x14ac:dyDescent="0.25">
      <c r="A187" s="77"/>
      <c r="G187" s="13"/>
      <c r="H187" s="35">
        <v>182</v>
      </c>
      <c r="I187" s="36" t="str">
        <f t="shared" si="11"/>
        <v/>
      </c>
      <c r="J187" s="36">
        <f t="shared" si="14"/>
        <v>-3</v>
      </c>
      <c r="K187" s="35">
        <f t="shared" si="12"/>
        <v>-30</v>
      </c>
      <c r="L187" s="35"/>
      <c r="M187" s="37">
        <f t="shared" si="13"/>
        <v>0</v>
      </c>
    </row>
    <row r="188" spans="1:13" x14ac:dyDescent="0.25">
      <c r="A188" s="76"/>
      <c r="G188" s="13"/>
      <c r="H188" s="35">
        <v>183</v>
      </c>
      <c r="I188" s="36" t="str">
        <f t="shared" si="11"/>
        <v/>
      </c>
      <c r="J188" s="36">
        <f t="shared" si="14"/>
        <v>-3</v>
      </c>
      <c r="K188" s="35">
        <f t="shared" si="12"/>
        <v>-30</v>
      </c>
      <c r="L188" s="35"/>
      <c r="M188" s="37">
        <f t="shared" si="13"/>
        <v>0</v>
      </c>
    </row>
    <row r="189" spans="1:13" x14ac:dyDescent="0.25">
      <c r="A189" s="77"/>
      <c r="G189" s="13"/>
      <c r="H189" s="35">
        <v>184</v>
      </c>
      <c r="I189" s="36" t="str">
        <f t="shared" si="11"/>
        <v/>
      </c>
      <c r="J189" s="36">
        <f t="shared" si="14"/>
        <v>-3</v>
      </c>
      <c r="K189" s="35">
        <f t="shared" si="12"/>
        <v>-30</v>
      </c>
      <c r="L189" s="35"/>
      <c r="M189" s="37">
        <f t="shared" si="13"/>
        <v>0</v>
      </c>
    </row>
    <row r="190" spans="1:13" x14ac:dyDescent="0.25">
      <c r="A190" s="76"/>
      <c r="G190" s="13"/>
      <c r="H190" s="35">
        <v>185</v>
      </c>
      <c r="I190" s="36" t="str">
        <f t="shared" si="11"/>
        <v/>
      </c>
      <c r="J190" s="36">
        <f t="shared" si="14"/>
        <v>-3</v>
      </c>
      <c r="K190" s="35">
        <f t="shared" si="12"/>
        <v>-30</v>
      </c>
      <c r="L190" s="35"/>
      <c r="M190" s="37">
        <f t="shared" si="13"/>
        <v>0</v>
      </c>
    </row>
    <row r="191" spans="1:13" x14ac:dyDescent="0.25">
      <c r="A191" s="77"/>
      <c r="G191" s="13"/>
      <c r="H191" s="35">
        <v>186</v>
      </c>
      <c r="I191" s="36" t="str">
        <f t="shared" si="11"/>
        <v/>
      </c>
      <c r="J191" s="36">
        <f t="shared" si="14"/>
        <v>-3</v>
      </c>
      <c r="K191" s="35">
        <f t="shared" si="12"/>
        <v>-30</v>
      </c>
      <c r="L191" s="35"/>
      <c r="M191" s="37">
        <f t="shared" si="13"/>
        <v>0</v>
      </c>
    </row>
    <row r="192" spans="1:13" x14ac:dyDescent="0.25">
      <c r="A192" s="76"/>
      <c r="G192" s="13"/>
      <c r="H192" s="35">
        <v>187</v>
      </c>
      <c r="I192" s="36" t="str">
        <f t="shared" si="11"/>
        <v/>
      </c>
      <c r="J192" s="36">
        <f t="shared" si="14"/>
        <v>-3</v>
      </c>
      <c r="K192" s="35">
        <f t="shared" si="12"/>
        <v>-30</v>
      </c>
      <c r="L192" s="35"/>
      <c r="M192" s="37">
        <f t="shared" si="13"/>
        <v>0</v>
      </c>
    </row>
    <row r="193" spans="1:13" x14ac:dyDescent="0.25">
      <c r="A193" s="77"/>
      <c r="G193" s="13"/>
      <c r="H193" s="35">
        <v>188</v>
      </c>
      <c r="I193" s="36" t="str">
        <f t="shared" si="11"/>
        <v/>
      </c>
      <c r="J193" s="36">
        <f t="shared" si="14"/>
        <v>-3</v>
      </c>
      <c r="K193" s="35">
        <f t="shared" si="12"/>
        <v>-30</v>
      </c>
      <c r="L193" s="35"/>
      <c r="M193" s="37">
        <f t="shared" si="13"/>
        <v>0</v>
      </c>
    </row>
    <row r="194" spans="1:13" x14ac:dyDescent="0.25">
      <c r="A194" s="76"/>
      <c r="G194" s="13"/>
      <c r="H194" s="35">
        <v>189</v>
      </c>
      <c r="I194" s="36" t="str">
        <f t="shared" si="11"/>
        <v/>
      </c>
      <c r="J194" s="36">
        <f t="shared" si="14"/>
        <v>-3</v>
      </c>
      <c r="K194" s="35">
        <f t="shared" si="12"/>
        <v>-30</v>
      </c>
      <c r="L194" s="35"/>
      <c r="M194" s="37">
        <f t="shared" si="13"/>
        <v>0</v>
      </c>
    </row>
    <row r="195" spans="1:13" x14ac:dyDescent="0.25">
      <c r="A195" s="77"/>
      <c r="G195" s="13"/>
      <c r="H195" s="35">
        <v>190</v>
      </c>
      <c r="I195" s="36" t="str">
        <f t="shared" si="11"/>
        <v/>
      </c>
      <c r="J195" s="36">
        <f t="shared" si="14"/>
        <v>-3</v>
      </c>
      <c r="K195" s="35">
        <f t="shared" si="12"/>
        <v>-30</v>
      </c>
      <c r="L195" s="35"/>
      <c r="M195" s="37">
        <f t="shared" si="13"/>
        <v>0</v>
      </c>
    </row>
    <row r="196" spans="1:13" x14ac:dyDescent="0.25">
      <c r="A196" s="76"/>
      <c r="G196" s="13"/>
      <c r="H196" s="35">
        <v>191</v>
      </c>
      <c r="I196" s="36" t="str">
        <f t="shared" si="11"/>
        <v/>
      </c>
      <c r="J196" s="36">
        <f t="shared" si="14"/>
        <v>-3</v>
      </c>
      <c r="K196" s="35">
        <f t="shared" si="12"/>
        <v>-30</v>
      </c>
      <c r="L196" s="35"/>
      <c r="M196" s="37">
        <f t="shared" si="13"/>
        <v>0</v>
      </c>
    </row>
    <row r="197" spans="1:13" x14ac:dyDescent="0.25">
      <c r="A197" s="77"/>
      <c r="G197" s="13"/>
      <c r="H197" s="35">
        <v>192</v>
      </c>
      <c r="I197" s="36" t="str">
        <f t="shared" si="11"/>
        <v/>
      </c>
      <c r="J197" s="36">
        <f t="shared" si="14"/>
        <v>-3</v>
      </c>
      <c r="K197" s="35">
        <f t="shared" si="12"/>
        <v>-30</v>
      </c>
      <c r="L197" s="35"/>
      <c r="M197" s="37">
        <f t="shared" si="13"/>
        <v>0</v>
      </c>
    </row>
    <row r="198" spans="1:13" x14ac:dyDescent="0.25">
      <c r="A198" s="76"/>
      <c r="G198" s="13"/>
      <c r="H198" s="35">
        <v>193</v>
      </c>
      <c r="I198" s="36" t="str">
        <f t="shared" ref="I198:I261" si="15">IF(H198&lt;$H$2+1,($I$2-($I$2-1)*(LOG(H198)/LOG($H$2))),"")</f>
        <v/>
      </c>
      <c r="J198" s="36">
        <f t="shared" si="14"/>
        <v>-3</v>
      </c>
      <c r="K198" s="35">
        <f t="shared" ref="K198:K261" si="16">J198*$J$2</f>
        <v>-30</v>
      </c>
      <c r="L198" s="35"/>
      <c r="M198" s="37">
        <f t="shared" ref="M198:M261" si="17">IF(I198&lt;&gt;"",K198+I198+L198,0)</f>
        <v>0</v>
      </c>
    </row>
    <row r="199" spans="1:13" x14ac:dyDescent="0.25">
      <c r="A199" s="77"/>
      <c r="G199" s="13"/>
      <c r="H199" s="35">
        <v>194</v>
      </c>
      <c r="I199" s="36" t="str">
        <f t="shared" si="15"/>
        <v/>
      </c>
      <c r="J199" s="36">
        <f t="shared" ref="J199:J262" si="18">INT(LOG($H$2,2))-ROUNDUP(LOG(H199,2),0)+IF(OR($H$2=1,$H$2=2,$H$2=4,$H$2=8,$H$2=16,$H$2=32,$H$2=64,$H$2=128,$H$2=256),0,1)</f>
        <v>-3</v>
      </c>
      <c r="K199" s="35">
        <f t="shared" si="16"/>
        <v>-30</v>
      </c>
      <c r="L199" s="35"/>
      <c r="M199" s="37">
        <f t="shared" si="17"/>
        <v>0</v>
      </c>
    </row>
    <row r="200" spans="1:13" x14ac:dyDescent="0.25">
      <c r="A200" s="76"/>
      <c r="G200" s="13"/>
      <c r="H200" s="35">
        <v>195</v>
      </c>
      <c r="I200" s="36" t="str">
        <f t="shared" si="15"/>
        <v/>
      </c>
      <c r="J200" s="36">
        <f t="shared" si="18"/>
        <v>-3</v>
      </c>
      <c r="K200" s="35">
        <f t="shared" si="16"/>
        <v>-30</v>
      </c>
      <c r="L200" s="35"/>
      <c r="M200" s="37">
        <f t="shared" si="17"/>
        <v>0</v>
      </c>
    </row>
    <row r="201" spans="1:13" x14ac:dyDescent="0.25">
      <c r="A201" s="77"/>
      <c r="G201" s="13"/>
      <c r="H201" s="35">
        <v>196</v>
      </c>
      <c r="I201" s="36" t="str">
        <f t="shared" si="15"/>
        <v/>
      </c>
      <c r="J201" s="36">
        <f t="shared" si="18"/>
        <v>-3</v>
      </c>
      <c r="K201" s="35">
        <f t="shared" si="16"/>
        <v>-30</v>
      </c>
      <c r="L201" s="35"/>
      <c r="M201" s="37">
        <f t="shared" si="17"/>
        <v>0</v>
      </c>
    </row>
    <row r="202" spans="1:13" x14ac:dyDescent="0.25">
      <c r="A202" s="76"/>
      <c r="G202" s="13"/>
      <c r="H202" s="35">
        <v>197</v>
      </c>
      <c r="I202" s="36" t="str">
        <f t="shared" si="15"/>
        <v/>
      </c>
      <c r="J202" s="36">
        <f t="shared" si="18"/>
        <v>-3</v>
      </c>
      <c r="K202" s="35">
        <f t="shared" si="16"/>
        <v>-30</v>
      </c>
      <c r="L202" s="35"/>
      <c r="M202" s="37">
        <f t="shared" si="17"/>
        <v>0</v>
      </c>
    </row>
    <row r="203" spans="1:13" x14ac:dyDescent="0.25">
      <c r="A203" s="77"/>
      <c r="G203" s="13"/>
      <c r="H203" s="35">
        <v>198</v>
      </c>
      <c r="I203" s="36" t="str">
        <f t="shared" si="15"/>
        <v/>
      </c>
      <c r="J203" s="36">
        <f t="shared" si="18"/>
        <v>-3</v>
      </c>
      <c r="K203" s="35">
        <f t="shared" si="16"/>
        <v>-30</v>
      </c>
      <c r="L203" s="35"/>
      <c r="M203" s="37">
        <f t="shared" si="17"/>
        <v>0</v>
      </c>
    </row>
    <row r="204" spans="1:13" x14ac:dyDescent="0.25">
      <c r="A204" s="76"/>
      <c r="G204" s="13"/>
      <c r="H204" s="35">
        <v>199</v>
      </c>
      <c r="I204" s="36" t="str">
        <f t="shared" si="15"/>
        <v/>
      </c>
      <c r="J204" s="36">
        <f t="shared" si="18"/>
        <v>-3</v>
      </c>
      <c r="K204" s="35">
        <f t="shared" si="16"/>
        <v>-30</v>
      </c>
      <c r="L204" s="35"/>
      <c r="M204" s="37">
        <f t="shared" si="17"/>
        <v>0</v>
      </c>
    </row>
    <row r="205" spans="1:13" x14ac:dyDescent="0.25">
      <c r="A205" s="77"/>
      <c r="G205" s="13"/>
      <c r="H205" s="35">
        <v>200</v>
      </c>
      <c r="I205" s="36" t="str">
        <f t="shared" si="15"/>
        <v/>
      </c>
      <c r="J205" s="36">
        <f t="shared" si="18"/>
        <v>-3</v>
      </c>
      <c r="K205" s="35">
        <f t="shared" si="16"/>
        <v>-30</v>
      </c>
      <c r="L205" s="35"/>
      <c r="M205" s="37">
        <f t="shared" si="17"/>
        <v>0</v>
      </c>
    </row>
    <row r="206" spans="1:13" x14ac:dyDescent="0.25">
      <c r="A206" s="76"/>
      <c r="G206" s="13"/>
      <c r="H206" s="35">
        <v>201</v>
      </c>
      <c r="I206" s="36" t="str">
        <f t="shared" si="15"/>
        <v/>
      </c>
      <c r="J206" s="36">
        <f t="shared" si="18"/>
        <v>-3</v>
      </c>
      <c r="K206" s="35">
        <f t="shared" si="16"/>
        <v>-30</v>
      </c>
      <c r="L206" s="35"/>
      <c r="M206" s="37">
        <f t="shared" si="17"/>
        <v>0</v>
      </c>
    </row>
    <row r="207" spans="1:13" x14ac:dyDescent="0.25">
      <c r="A207" s="77"/>
      <c r="G207" s="13"/>
      <c r="H207" s="35">
        <v>202</v>
      </c>
      <c r="I207" s="36" t="str">
        <f t="shared" si="15"/>
        <v/>
      </c>
      <c r="J207" s="36">
        <f t="shared" si="18"/>
        <v>-3</v>
      </c>
      <c r="K207" s="35">
        <f t="shared" si="16"/>
        <v>-30</v>
      </c>
      <c r="L207" s="35"/>
      <c r="M207" s="37">
        <f t="shared" si="17"/>
        <v>0</v>
      </c>
    </row>
    <row r="208" spans="1:13" x14ac:dyDescent="0.25">
      <c r="A208" s="76"/>
      <c r="G208" s="13"/>
      <c r="H208" s="35">
        <v>203</v>
      </c>
      <c r="I208" s="36" t="str">
        <f t="shared" si="15"/>
        <v/>
      </c>
      <c r="J208" s="36">
        <f t="shared" si="18"/>
        <v>-3</v>
      </c>
      <c r="K208" s="35">
        <f t="shared" si="16"/>
        <v>-30</v>
      </c>
      <c r="L208" s="35"/>
      <c r="M208" s="37">
        <f t="shared" si="17"/>
        <v>0</v>
      </c>
    </row>
    <row r="209" spans="1:13" x14ac:dyDescent="0.25">
      <c r="A209" s="77"/>
      <c r="G209" s="13"/>
      <c r="H209" s="35">
        <v>204</v>
      </c>
      <c r="I209" s="36" t="str">
        <f t="shared" si="15"/>
        <v/>
      </c>
      <c r="J209" s="36">
        <f t="shared" si="18"/>
        <v>-3</v>
      </c>
      <c r="K209" s="35">
        <f t="shared" si="16"/>
        <v>-30</v>
      </c>
      <c r="L209" s="35"/>
      <c r="M209" s="37">
        <f t="shared" si="17"/>
        <v>0</v>
      </c>
    </row>
    <row r="210" spans="1:13" x14ac:dyDescent="0.25">
      <c r="A210" s="76"/>
      <c r="G210" s="13"/>
      <c r="H210" s="35">
        <v>205</v>
      </c>
      <c r="I210" s="36" t="str">
        <f t="shared" si="15"/>
        <v/>
      </c>
      <c r="J210" s="36">
        <f t="shared" si="18"/>
        <v>-3</v>
      </c>
      <c r="K210" s="35">
        <f t="shared" si="16"/>
        <v>-30</v>
      </c>
      <c r="L210" s="35"/>
      <c r="M210" s="37">
        <f t="shared" si="17"/>
        <v>0</v>
      </c>
    </row>
    <row r="211" spans="1:13" x14ac:dyDescent="0.25">
      <c r="A211" s="77"/>
      <c r="G211" s="13"/>
      <c r="H211" s="35">
        <v>206</v>
      </c>
      <c r="I211" s="36" t="str">
        <f t="shared" si="15"/>
        <v/>
      </c>
      <c r="J211" s="36">
        <f t="shared" si="18"/>
        <v>-3</v>
      </c>
      <c r="K211" s="35">
        <f t="shared" si="16"/>
        <v>-30</v>
      </c>
      <c r="L211" s="35"/>
      <c r="M211" s="37">
        <f t="shared" si="17"/>
        <v>0</v>
      </c>
    </row>
    <row r="212" spans="1:13" x14ac:dyDescent="0.25">
      <c r="A212" s="76"/>
      <c r="G212" s="13"/>
      <c r="H212" s="35">
        <v>207</v>
      </c>
      <c r="I212" s="36" t="str">
        <f t="shared" si="15"/>
        <v/>
      </c>
      <c r="J212" s="36">
        <f t="shared" si="18"/>
        <v>-3</v>
      </c>
      <c r="K212" s="35">
        <f t="shared" si="16"/>
        <v>-30</v>
      </c>
      <c r="L212" s="35"/>
      <c r="M212" s="37">
        <f t="shared" si="17"/>
        <v>0</v>
      </c>
    </row>
    <row r="213" spans="1:13" x14ac:dyDescent="0.25">
      <c r="A213" s="77"/>
      <c r="G213" s="13"/>
      <c r="H213" s="35">
        <v>208</v>
      </c>
      <c r="I213" s="36" t="str">
        <f t="shared" si="15"/>
        <v/>
      </c>
      <c r="J213" s="36">
        <f t="shared" si="18"/>
        <v>-3</v>
      </c>
      <c r="K213" s="35">
        <f t="shared" si="16"/>
        <v>-30</v>
      </c>
      <c r="L213" s="35"/>
      <c r="M213" s="37">
        <f t="shared" si="17"/>
        <v>0</v>
      </c>
    </row>
    <row r="214" spans="1:13" x14ac:dyDescent="0.25">
      <c r="A214" s="76"/>
      <c r="G214" s="13"/>
      <c r="H214" s="35">
        <v>209</v>
      </c>
      <c r="I214" s="36" t="str">
        <f t="shared" si="15"/>
        <v/>
      </c>
      <c r="J214" s="36">
        <f t="shared" si="18"/>
        <v>-3</v>
      </c>
      <c r="K214" s="35">
        <f t="shared" si="16"/>
        <v>-30</v>
      </c>
      <c r="L214" s="35"/>
      <c r="M214" s="37">
        <f t="shared" si="17"/>
        <v>0</v>
      </c>
    </row>
    <row r="215" spans="1:13" x14ac:dyDescent="0.25">
      <c r="A215" s="77"/>
      <c r="G215" s="13"/>
      <c r="H215" s="35">
        <v>210</v>
      </c>
      <c r="I215" s="36" t="str">
        <f t="shared" si="15"/>
        <v/>
      </c>
      <c r="J215" s="36">
        <f t="shared" si="18"/>
        <v>-3</v>
      </c>
      <c r="K215" s="35">
        <f t="shared" si="16"/>
        <v>-30</v>
      </c>
      <c r="L215" s="35"/>
      <c r="M215" s="37">
        <f t="shared" si="17"/>
        <v>0</v>
      </c>
    </row>
    <row r="216" spans="1:13" x14ac:dyDescent="0.25">
      <c r="A216" s="76"/>
      <c r="G216" s="13"/>
      <c r="H216" s="35">
        <v>211</v>
      </c>
      <c r="I216" s="36" t="str">
        <f t="shared" si="15"/>
        <v/>
      </c>
      <c r="J216" s="36">
        <f t="shared" si="18"/>
        <v>-3</v>
      </c>
      <c r="K216" s="35">
        <f t="shared" si="16"/>
        <v>-30</v>
      </c>
      <c r="L216" s="35"/>
      <c r="M216" s="37">
        <f t="shared" si="17"/>
        <v>0</v>
      </c>
    </row>
    <row r="217" spans="1:13" x14ac:dyDescent="0.25">
      <c r="A217" s="77"/>
      <c r="G217" s="13"/>
      <c r="H217" s="35">
        <v>212</v>
      </c>
      <c r="I217" s="36" t="str">
        <f t="shared" si="15"/>
        <v/>
      </c>
      <c r="J217" s="36">
        <f t="shared" si="18"/>
        <v>-3</v>
      </c>
      <c r="K217" s="35">
        <f t="shared" si="16"/>
        <v>-30</v>
      </c>
      <c r="L217" s="35"/>
      <c r="M217" s="37">
        <f t="shared" si="17"/>
        <v>0</v>
      </c>
    </row>
    <row r="218" spans="1:13" x14ac:dyDescent="0.25">
      <c r="A218" s="76"/>
      <c r="G218" s="13"/>
      <c r="H218" s="35">
        <v>213</v>
      </c>
      <c r="I218" s="36" t="str">
        <f t="shared" si="15"/>
        <v/>
      </c>
      <c r="J218" s="36">
        <f t="shared" si="18"/>
        <v>-3</v>
      </c>
      <c r="K218" s="35">
        <f t="shared" si="16"/>
        <v>-30</v>
      </c>
      <c r="L218" s="35"/>
      <c r="M218" s="37">
        <f t="shared" si="17"/>
        <v>0</v>
      </c>
    </row>
    <row r="219" spans="1:13" x14ac:dyDescent="0.25">
      <c r="A219" s="77"/>
      <c r="G219" s="13"/>
      <c r="H219" s="35">
        <v>214</v>
      </c>
      <c r="I219" s="36" t="str">
        <f t="shared" si="15"/>
        <v/>
      </c>
      <c r="J219" s="36">
        <f t="shared" si="18"/>
        <v>-3</v>
      </c>
      <c r="K219" s="35">
        <f t="shared" si="16"/>
        <v>-30</v>
      </c>
      <c r="L219" s="35"/>
      <c r="M219" s="37">
        <f t="shared" si="17"/>
        <v>0</v>
      </c>
    </row>
    <row r="220" spans="1:13" x14ac:dyDescent="0.25">
      <c r="A220" s="76"/>
      <c r="G220" s="13"/>
      <c r="H220" s="35">
        <v>215</v>
      </c>
      <c r="I220" s="36" t="str">
        <f t="shared" si="15"/>
        <v/>
      </c>
      <c r="J220" s="36">
        <f t="shared" si="18"/>
        <v>-3</v>
      </c>
      <c r="K220" s="35">
        <f t="shared" si="16"/>
        <v>-30</v>
      </c>
      <c r="L220" s="35"/>
      <c r="M220" s="37">
        <f t="shared" si="17"/>
        <v>0</v>
      </c>
    </row>
    <row r="221" spans="1:13" x14ac:dyDescent="0.25">
      <c r="A221" s="77"/>
      <c r="G221" s="13"/>
      <c r="H221" s="35">
        <v>216</v>
      </c>
      <c r="I221" s="36" t="str">
        <f t="shared" si="15"/>
        <v/>
      </c>
      <c r="J221" s="36">
        <f t="shared" si="18"/>
        <v>-3</v>
      </c>
      <c r="K221" s="35">
        <f t="shared" si="16"/>
        <v>-30</v>
      </c>
      <c r="L221" s="35"/>
      <c r="M221" s="37">
        <f t="shared" si="17"/>
        <v>0</v>
      </c>
    </row>
    <row r="222" spans="1:13" x14ac:dyDescent="0.25">
      <c r="A222" s="76"/>
      <c r="G222" s="13"/>
      <c r="H222" s="35">
        <v>217</v>
      </c>
      <c r="I222" s="36" t="str">
        <f t="shared" si="15"/>
        <v/>
      </c>
      <c r="J222" s="36">
        <f t="shared" si="18"/>
        <v>-3</v>
      </c>
      <c r="K222" s="35">
        <f t="shared" si="16"/>
        <v>-30</v>
      </c>
      <c r="L222" s="35"/>
      <c r="M222" s="37">
        <f t="shared" si="17"/>
        <v>0</v>
      </c>
    </row>
    <row r="223" spans="1:13" x14ac:dyDescent="0.25">
      <c r="A223" s="77"/>
      <c r="G223" s="13"/>
      <c r="H223" s="35">
        <v>218</v>
      </c>
      <c r="I223" s="36" t="str">
        <f t="shared" si="15"/>
        <v/>
      </c>
      <c r="J223" s="36">
        <f t="shared" si="18"/>
        <v>-3</v>
      </c>
      <c r="K223" s="35">
        <f t="shared" si="16"/>
        <v>-30</v>
      </c>
      <c r="L223" s="35"/>
      <c r="M223" s="37">
        <f t="shared" si="17"/>
        <v>0</v>
      </c>
    </row>
    <row r="224" spans="1:13" x14ac:dyDescent="0.25">
      <c r="A224" s="76"/>
      <c r="G224" s="13"/>
      <c r="H224" s="35">
        <v>219</v>
      </c>
      <c r="I224" s="36" t="str">
        <f t="shared" si="15"/>
        <v/>
      </c>
      <c r="J224" s="36">
        <f t="shared" si="18"/>
        <v>-3</v>
      </c>
      <c r="K224" s="35">
        <f t="shared" si="16"/>
        <v>-30</v>
      </c>
      <c r="L224" s="35"/>
      <c r="M224" s="37">
        <f t="shared" si="17"/>
        <v>0</v>
      </c>
    </row>
    <row r="225" spans="1:13" x14ac:dyDescent="0.25">
      <c r="A225" s="77"/>
      <c r="G225" s="13"/>
      <c r="H225" s="35">
        <v>220</v>
      </c>
      <c r="I225" s="36" t="str">
        <f t="shared" si="15"/>
        <v/>
      </c>
      <c r="J225" s="36">
        <f t="shared" si="18"/>
        <v>-3</v>
      </c>
      <c r="K225" s="35">
        <f t="shared" si="16"/>
        <v>-30</v>
      </c>
      <c r="L225" s="35"/>
      <c r="M225" s="37">
        <f t="shared" si="17"/>
        <v>0</v>
      </c>
    </row>
    <row r="226" spans="1:13" x14ac:dyDescent="0.25">
      <c r="A226" s="76"/>
      <c r="G226" s="13"/>
      <c r="H226" s="35">
        <v>221</v>
      </c>
      <c r="I226" s="36" t="str">
        <f t="shared" si="15"/>
        <v/>
      </c>
      <c r="J226" s="36">
        <f t="shared" si="18"/>
        <v>-3</v>
      </c>
      <c r="K226" s="35">
        <f t="shared" si="16"/>
        <v>-30</v>
      </c>
      <c r="L226" s="35"/>
      <c r="M226" s="37">
        <f t="shared" si="17"/>
        <v>0</v>
      </c>
    </row>
    <row r="227" spans="1:13" x14ac:dyDescent="0.25">
      <c r="A227" s="77"/>
      <c r="G227" s="13"/>
      <c r="H227" s="35">
        <v>222</v>
      </c>
      <c r="I227" s="36" t="str">
        <f t="shared" si="15"/>
        <v/>
      </c>
      <c r="J227" s="36">
        <f t="shared" si="18"/>
        <v>-3</v>
      </c>
      <c r="K227" s="35">
        <f t="shared" si="16"/>
        <v>-30</v>
      </c>
      <c r="L227" s="35"/>
      <c r="M227" s="37">
        <f t="shared" si="17"/>
        <v>0</v>
      </c>
    </row>
    <row r="228" spans="1:13" x14ac:dyDescent="0.25">
      <c r="A228" s="76"/>
      <c r="G228" s="13"/>
      <c r="H228" s="35">
        <v>223</v>
      </c>
      <c r="I228" s="36" t="str">
        <f t="shared" si="15"/>
        <v/>
      </c>
      <c r="J228" s="36">
        <f t="shared" si="18"/>
        <v>-3</v>
      </c>
      <c r="K228" s="35">
        <f t="shared" si="16"/>
        <v>-30</v>
      </c>
      <c r="L228" s="35"/>
      <c r="M228" s="37">
        <f t="shared" si="17"/>
        <v>0</v>
      </c>
    </row>
    <row r="229" spans="1:13" x14ac:dyDescent="0.25">
      <c r="A229" s="77"/>
      <c r="G229" s="13"/>
      <c r="H229" s="35">
        <v>224</v>
      </c>
      <c r="I229" s="36" t="str">
        <f t="shared" si="15"/>
        <v/>
      </c>
      <c r="J229" s="36">
        <f t="shared" si="18"/>
        <v>-3</v>
      </c>
      <c r="K229" s="35">
        <f t="shared" si="16"/>
        <v>-30</v>
      </c>
      <c r="L229" s="35"/>
      <c r="M229" s="37">
        <f t="shared" si="17"/>
        <v>0</v>
      </c>
    </row>
    <row r="230" spans="1:13" x14ac:dyDescent="0.25">
      <c r="A230" s="76"/>
      <c r="G230" s="13"/>
      <c r="H230" s="35">
        <v>225</v>
      </c>
      <c r="I230" s="36" t="str">
        <f t="shared" si="15"/>
        <v/>
      </c>
      <c r="J230" s="36">
        <f t="shared" si="18"/>
        <v>-3</v>
      </c>
      <c r="K230" s="35">
        <f t="shared" si="16"/>
        <v>-30</v>
      </c>
      <c r="L230" s="35"/>
      <c r="M230" s="37">
        <f t="shared" si="17"/>
        <v>0</v>
      </c>
    </row>
    <row r="231" spans="1:13" x14ac:dyDescent="0.25">
      <c r="A231" s="77"/>
      <c r="G231" s="13"/>
      <c r="H231" s="35">
        <v>226</v>
      </c>
      <c r="I231" s="36" t="str">
        <f t="shared" si="15"/>
        <v/>
      </c>
      <c r="J231" s="36">
        <f t="shared" si="18"/>
        <v>-3</v>
      </c>
      <c r="K231" s="35">
        <f t="shared" si="16"/>
        <v>-30</v>
      </c>
      <c r="L231" s="35"/>
      <c r="M231" s="37">
        <f t="shared" si="17"/>
        <v>0</v>
      </c>
    </row>
    <row r="232" spans="1:13" x14ac:dyDescent="0.25">
      <c r="A232" s="76"/>
      <c r="G232" s="13"/>
      <c r="H232" s="35">
        <v>227</v>
      </c>
      <c r="I232" s="36" t="str">
        <f t="shared" si="15"/>
        <v/>
      </c>
      <c r="J232" s="36">
        <f t="shared" si="18"/>
        <v>-3</v>
      </c>
      <c r="K232" s="35">
        <f t="shared" si="16"/>
        <v>-30</v>
      </c>
      <c r="L232" s="35"/>
      <c r="M232" s="37">
        <f t="shared" si="17"/>
        <v>0</v>
      </c>
    </row>
    <row r="233" spans="1:13" x14ac:dyDescent="0.25">
      <c r="A233" s="77"/>
      <c r="G233" s="13"/>
      <c r="H233" s="35">
        <v>228</v>
      </c>
      <c r="I233" s="36" t="str">
        <f t="shared" si="15"/>
        <v/>
      </c>
      <c r="J233" s="36">
        <f t="shared" si="18"/>
        <v>-3</v>
      </c>
      <c r="K233" s="35">
        <f t="shared" si="16"/>
        <v>-30</v>
      </c>
      <c r="L233" s="35"/>
      <c r="M233" s="37">
        <f t="shared" si="17"/>
        <v>0</v>
      </c>
    </row>
    <row r="234" spans="1:13" x14ac:dyDescent="0.25">
      <c r="A234" s="76"/>
      <c r="G234" s="13"/>
      <c r="H234" s="35">
        <v>229</v>
      </c>
      <c r="I234" s="36" t="str">
        <f t="shared" si="15"/>
        <v/>
      </c>
      <c r="J234" s="36">
        <f t="shared" si="18"/>
        <v>-3</v>
      </c>
      <c r="K234" s="35">
        <f t="shared" si="16"/>
        <v>-30</v>
      </c>
      <c r="L234" s="35"/>
      <c r="M234" s="37">
        <f t="shared" si="17"/>
        <v>0</v>
      </c>
    </row>
    <row r="235" spans="1:13" x14ac:dyDescent="0.25">
      <c r="A235" s="77"/>
      <c r="G235" s="13"/>
      <c r="H235" s="35">
        <v>230</v>
      </c>
      <c r="I235" s="36" t="str">
        <f t="shared" si="15"/>
        <v/>
      </c>
      <c r="J235" s="36">
        <f t="shared" si="18"/>
        <v>-3</v>
      </c>
      <c r="K235" s="35">
        <f t="shared" si="16"/>
        <v>-30</v>
      </c>
      <c r="L235" s="35"/>
      <c r="M235" s="37">
        <f t="shared" si="17"/>
        <v>0</v>
      </c>
    </row>
    <row r="236" spans="1:13" x14ac:dyDescent="0.25">
      <c r="A236" s="76"/>
      <c r="G236" s="13"/>
      <c r="H236" s="35">
        <v>231</v>
      </c>
      <c r="I236" s="36" t="str">
        <f t="shared" si="15"/>
        <v/>
      </c>
      <c r="J236" s="36">
        <f t="shared" si="18"/>
        <v>-3</v>
      </c>
      <c r="K236" s="35">
        <f t="shared" si="16"/>
        <v>-30</v>
      </c>
      <c r="L236" s="35"/>
      <c r="M236" s="37">
        <f t="shared" si="17"/>
        <v>0</v>
      </c>
    </row>
    <row r="237" spans="1:13" x14ac:dyDescent="0.25">
      <c r="A237" s="77"/>
      <c r="G237" s="13"/>
      <c r="H237" s="35">
        <v>232</v>
      </c>
      <c r="I237" s="36" t="str">
        <f t="shared" si="15"/>
        <v/>
      </c>
      <c r="J237" s="36">
        <f t="shared" si="18"/>
        <v>-3</v>
      </c>
      <c r="K237" s="35">
        <f t="shared" si="16"/>
        <v>-30</v>
      </c>
      <c r="L237" s="35"/>
      <c r="M237" s="37">
        <f t="shared" si="17"/>
        <v>0</v>
      </c>
    </row>
    <row r="238" spans="1:13" x14ac:dyDescent="0.25">
      <c r="A238" s="76"/>
      <c r="G238" s="13"/>
      <c r="H238" s="35">
        <v>233</v>
      </c>
      <c r="I238" s="36" t="str">
        <f t="shared" si="15"/>
        <v/>
      </c>
      <c r="J238" s="36">
        <f t="shared" si="18"/>
        <v>-3</v>
      </c>
      <c r="K238" s="35">
        <f t="shared" si="16"/>
        <v>-30</v>
      </c>
      <c r="L238" s="35"/>
      <c r="M238" s="37">
        <f t="shared" si="17"/>
        <v>0</v>
      </c>
    </row>
    <row r="239" spans="1:13" x14ac:dyDescent="0.25">
      <c r="A239" s="77"/>
      <c r="G239" s="13"/>
      <c r="H239" s="35">
        <v>234</v>
      </c>
      <c r="I239" s="36" t="str">
        <f t="shared" si="15"/>
        <v/>
      </c>
      <c r="J239" s="36">
        <f t="shared" si="18"/>
        <v>-3</v>
      </c>
      <c r="K239" s="35">
        <f t="shared" si="16"/>
        <v>-30</v>
      </c>
      <c r="L239" s="35"/>
      <c r="M239" s="37">
        <f t="shared" si="17"/>
        <v>0</v>
      </c>
    </row>
    <row r="240" spans="1:13" x14ac:dyDescent="0.25">
      <c r="A240" s="76"/>
      <c r="G240" s="13"/>
      <c r="H240" s="35">
        <v>235</v>
      </c>
      <c r="I240" s="36" t="str">
        <f t="shared" si="15"/>
        <v/>
      </c>
      <c r="J240" s="36">
        <f t="shared" si="18"/>
        <v>-3</v>
      </c>
      <c r="K240" s="35">
        <f t="shared" si="16"/>
        <v>-30</v>
      </c>
      <c r="L240" s="35"/>
      <c r="M240" s="37">
        <f t="shared" si="17"/>
        <v>0</v>
      </c>
    </row>
    <row r="241" spans="1:13" x14ac:dyDescent="0.25">
      <c r="A241" s="77"/>
      <c r="G241" s="13"/>
      <c r="H241" s="35">
        <v>236</v>
      </c>
      <c r="I241" s="36" t="str">
        <f t="shared" si="15"/>
        <v/>
      </c>
      <c r="J241" s="36">
        <f t="shared" si="18"/>
        <v>-3</v>
      </c>
      <c r="K241" s="35">
        <f t="shared" si="16"/>
        <v>-30</v>
      </c>
      <c r="L241" s="35"/>
      <c r="M241" s="37">
        <f t="shared" si="17"/>
        <v>0</v>
      </c>
    </row>
    <row r="242" spans="1:13" x14ac:dyDescent="0.25">
      <c r="A242" s="76"/>
      <c r="G242" s="13"/>
      <c r="H242" s="35">
        <v>237</v>
      </c>
      <c r="I242" s="36" t="str">
        <f t="shared" si="15"/>
        <v/>
      </c>
      <c r="J242" s="36">
        <f t="shared" si="18"/>
        <v>-3</v>
      </c>
      <c r="K242" s="35">
        <f t="shared" si="16"/>
        <v>-30</v>
      </c>
      <c r="L242" s="35"/>
      <c r="M242" s="37">
        <f t="shared" si="17"/>
        <v>0</v>
      </c>
    </row>
    <row r="243" spans="1:13" x14ac:dyDescent="0.25">
      <c r="A243" s="77"/>
      <c r="G243" s="13"/>
      <c r="H243" s="35">
        <v>238</v>
      </c>
      <c r="I243" s="36" t="str">
        <f t="shared" si="15"/>
        <v/>
      </c>
      <c r="J243" s="36">
        <f t="shared" si="18"/>
        <v>-3</v>
      </c>
      <c r="K243" s="35">
        <f t="shared" si="16"/>
        <v>-30</v>
      </c>
      <c r="L243" s="35"/>
      <c r="M243" s="37">
        <f t="shared" si="17"/>
        <v>0</v>
      </c>
    </row>
    <row r="244" spans="1:13" x14ac:dyDescent="0.25">
      <c r="A244" s="76"/>
      <c r="G244" s="13"/>
      <c r="H244" s="35">
        <v>239</v>
      </c>
      <c r="I244" s="36" t="str">
        <f t="shared" si="15"/>
        <v/>
      </c>
      <c r="J244" s="36">
        <f t="shared" si="18"/>
        <v>-3</v>
      </c>
      <c r="K244" s="35">
        <f t="shared" si="16"/>
        <v>-30</v>
      </c>
      <c r="L244" s="35"/>
      <c r="M244" s="37">
        <f t="shared" si="17"/>
        <v>0</v>
      </c>
    </row>
    <row r="245" spans="1:13" x14ac:dyDescent="0.25">
      <c r="A245" s="77"/>
      <c r="G245" s="13"/>
      <c r="H245" s="35">
        <v>240</v>
      </c>
      <c r="I245" s="36" t="str">
        <f t="shared" si="15"/>
        <v/>
      </c>
      <c r="J245" s="36">
        <f t="shared" si="18"/>
        <v>-3</v>
      </c>
      <c r="K245" s="35">
        <f t="shared" si="16"/>
        <v>-30</v>
      </c>
      <c r="L245" s="35"/>
      <c r="M245" s="37">
        <f t="shared" si="17"/>
        <v>0</v>
      </c>
    </row>
    <row r="246" spans="1:13" x14ac:dyDescent="0.25">
      <c r="A246" s="76"/>
      <c r="G246" s="13"/>
      <c r="H246" s="35">
        <v>241</v>
      </c>
      <c r="I246" s="36" t="str">
        <f t="shared" si="15"/>
        <v/>
      </c>
      <c r="J246" s="36">
        <f t="shared" si="18"/>
        <v>-3</v>
      </c>
      <c r="K246" s="35">
        <f t="shared" si="16"/>
        <v>-30</v>
      </c>
      <c r="L246" s="35"/>
      <c r="M246" s="37">
        <f t="shared" si="17"/>
        <v>0</v>
      </c>
    </row>
    <row r="247" spans="1:13" x14ac:dyDescent="0.25">
      <c r="A247" s="77"/>
      <c r="G247" s="13"/>
      <c r="H247" s="35">
        <v>242</v>
      </c>
      <c r="I247" s="36" t="str">
        <f t="shared" si="15"/>
        <v/>
      </c>
      <c r="J247" s="36">
        <f t="shared" si="18"/>
        <v>-3</v>
      </c>
      <c r="K247" s="35">
        <f t="shared" si="16"/>
        <v>-30</v>
      </c>
      <c r="L247" s="35"/>
      <c r="M247" s="37">
        <f t="shared" si="17"/>
        <v>0</v>
      </c>
    </row>
    <row r="248" spans="1:13" x14ac:dyDescent="0.25">
      <c r="A248" s="76"/>
      <c r="G248" s="13"/>
      <c r="H248" s="35">
        <v>243</v>
      </c>
      <c r="I248" s="36" t="str">
        <f t="shared" si="15"/>
        <v/>
      </c>
      <c r="J248" s="36">
        <f t="shared" si="18"/>
        <v>-3</v>
      </c>
      <c r="K248" s="35">
        <f t="shared" si="16"/>
        <v>-30</v>
      </c>
      <c r="L248" s="35"/>
      <c r="M248" s="37">
        <f t="shared" si="17"/>
        <v>0</v>
      </c>
    </row>
    <row r="249" spans="1:13" x14ac:dyDescent="0.25">
      <c r="A249" s="77"/>
      <c r="G249" s="13"/>
      <c r="H249" s="35">
        <v>244</v>
      </c>
      <c r="I249" s="36" t="str">
        <f t="shared" si="15"/>
        <v/>
      </c>
      <c r="J249" s="36">
        <f t="shared" si="18"/>
        <v>-3</v>
      </c>
      <c r="K249" s="35">
        <f t="shared" si="16"/>
        <v>-30</v>
      </c>
      <c r="L249" s="35"/>
      <c r="M249" s="37">
        <f t="shared" si="17"/>
        <v>0</v>
      </c>
    </row>
    <row r="250" spans="1:13" x14ac:dyDescent="0.25">
      <c r="A250" s="76"/>
      <c r="G250" s="13"/>
      <c r="H250" s="35">
        <v>245</v>
      </c>
      <c r="I250" s="36" t="str">
        <f t="shared" si="15"/>
        <v/>
      </c>
      <c r="J250" s="36">
        <f t="shared" si="18"/>
        <v>-3</v>
      </c>
      <c r="K250" s="35">
        <f t="shared" si="16"/>
        <v>-30</v>
      </c>
      <c r="L250" s="35"/>
      <c r="M250" s="37">
        <f t="shared" si="17"/>
        <v>0</v>
      </c>
    </row>
    <row r="251" spans="1:13" x14ac:dyDescent="0.25">
      <c r="A251" s="56"/>
      <c r="G251" s="13"/>
      <c r="H251" s="35">
        <v>246</v>
      </c>
      <c r="I251" s="36" t="str">
        <f t="shared" si="15"/>
        <v/>
      </c>
      <c r="J251" s="36">
        <f t="shared" si="18"/>
        <v>-3</v>
      </c>
      <c r="K251" s="35">
        <f t="shared" si="16"/>
        <v>-30</v>
      </c>
      <c r="L251" s="35"/>
      <c r="M251" s="37">
        <f t="shared" si="17"/>
        <v>0</v>
      </c>
    </row>
    <row r="252" spans="1:13" x14ac:dyDescent="0.25">
      <c r="A252" s="56"/>
      <c r="G252" s="13"/>
      <c r="H252" s="35">
        <v>247</v>
      </c>
      <c r="I252" s="36" t="str">
        <f t="shared" si="15"/>
        <v/>
      </c>
      <c r="J252" s="36">
        <f t="shared" si="18"/>
        <v>-3</v>
      </c>
      <c r="K252" s="35">
        <f t="shared" si="16"/>
        <v>-30</v>
      </c>
      <c r="L252" s="35"/>
      <c r="M252" s="37">
        <f t="shared" si="17"/>
        <v>0</v>
      </c>
    </row>
    <row r="253" spans="1:13" x14ac:dyDescent="0.25">
      <c r="A253" s="56"/>
      <c r="G253" s="13"/>
      <c r="H253" s="35">
        <v>248</v>
      </c>
      <c r="I253" s="36" t="str">
        <f t="shared" si="15"/>
        <v/>
      </c>
      <c r="J253" s="36">
        <f t="shared" si="18"/>
        <v>-3</v>
      </c>
      <c r="K253" s="35">
        <f t="shared" si="16"/>
        <v>-30</v>
      </c>
      <c r="L253" s="35"/>
      <c r="M253" s="37">
        <f t="shared" si="17"/>
        <v>0</v>
      </c>
    </row>
    <row r="254" spans="1:13" x14ac:dyDescent="0.25">
      <c r="A254" s="56"/>
      <c r="G254" s="13"/>
      <c r="H254" s="35">
        <v>249</v>
      </c>
      <c r="I254" s="36" t="str">
        <f t="shared" si="15"/>
        <v/>
      </c>
      <c r="J254" s="36">
        <f t="shared" si="18"/>
        <v>-3</v>
      </c>
      <c r="K254" s="35">
        <f t="shared" si="16"/>
        <v>-30</v>
      </c>
      <c r="L254" s="35"/>
      <c r="M254" s="37">
        <f t="shared" si="17"/>
        <v>0</v>
      </c>
    </row>
    <row r="255" spans="1:13" x14ac:dyDescent="0.25">
      <c r="A255" s="56"/>
      <c r="G255" s="13"/>
      <c r="H255" s="35">
        <v>250</v>
      </c>
      <c r="I255" s="36" t="str">
        <f t="shared" si="15"/>
        <v/>
      </c>
      <c r="J255" s="36">
        <f t="shared" si="18"/>
        <v>-3</v>
      </c>
      <c r="K255" s="35">
        <f t="shared" si="16"/>
        <v>-30</v>
      </c>
      <c r="L255" s="35"/>
      <c r="M255" s="37">
        <f t="shared" si="17"/>
        <v>0</v>
      </c>
    </row>
    <row r="256" spans="1:13" x14ac:dyDescent="0.25">
      <c r="A256" s="56"/>
      <c r="G256" s="13"/>
      <c r="H256" s="35">
        <v>251</v>
      </c>
      <c r="I256" s="36" t="str">
        <f t="shared" si="15"/>
        <v/>
      </c>
      <c r="J256" s="36">
        <f t="shared" si="18"/>
        <v>-3</v>
      </c>
      <c r="K256" s="35">
        <f t="shared" si="16"/>
        <v>-30</v>
      </c>
      <c r="L256" s="35"/>
      <c r="M256" s="37">
        <f t="shared" si="17"/>
        <v>0</v>
      </c>
    </row>
    <row r="257" spans="1:13" x14ac:dyDescent="0.25">
      <c r="A257" s="56"/>
      <c r="G257" s="13"/>
      <c r="H257" s="35">
        <v>252</v>
      </c>
      <c r="I257" s="36" t="str">
        <f t="shared" si="15"/>
        <v/>
      </c>
      <c r="J257" s="36">
        <f t="shared" si="18"/>
        <v>-3</v>
      </c>
      <c r="K257" s="35">
        <f t="shared" si="16"/>
        <v>-30</v>
      </c>
      <c r="L257" s="35"/>
      <c r="M257" s="37">
        <f t="shared" si="17"/>
        <v>0</v>
      </c>
    </row>
    <row r="258" spans="1:13" x14ac:dyDescent="0.25">
      <c r="A258" s="56"/>
      <c r="G258" s="13"/>
      <c r="H258" s="35">
        <v>253</v>
      </c>
      <c r="I258" s="36" t="str">
        <f t="shared" si="15"/>
        <v/>
      </c>
      <c r="J258" s="36">
        <f t="shared" si="18"/>
        <v>-3</v>
      </c>
      <c r="K258" s="35">
        <f t="shared" si="16"/>
        <v>-30</v>
      </c>
      <c r="L258" s="35"/>
      <c r="M258" s="37">
        <f t="shared" si="17"/>
        <v>0</v>
      </c>
    </row>
    <row r="259" spans="1:13" x14ac:dyDescent="0.25">
      <c r="A259" s="56"/>
      <c r="G259" s="13"/>
      <c r="H259" s="35">
        <v>254</v>
      </c>
      <c r="I259" s="36" t="str">
        <f t="shared" si="15"/>
        <v/>
      </c>
      <c r="J259" s="36">
        <f t="shared" si="18"/>
        <v>-3</v>
      </c>
      <c r="K259" s="35">
        <f t="shared" si="16"/>
        <v>-30</v>
      </c>
      <c r="L259" s="35"/>
      <c r="M259" s="37">
        <f t="shared" si="17"/>
        <v>0</v>
      </c>
    </row>
    <row r="260" spans="1:13" x14ac:dyDescent="0.25">
      <c r="A260" s="56"/>
      <c r="G260" s="13"/>
      <c r="H260" s="35">
        <v>255</v>
      </c>
      <c r="I260" s="36" t="str">
        <f t="shared" si="15"/>
        <v/>
      </c>
      <c r="J260" s="36">
        <f t="shared" si="18"/>
        <v>-3</v>
      </c>
      <c r="K260" s="35">
        <f t="shared" si="16"/>
        <v>-30</v>
      </c>
      <c r="L260" s="35"/>
      <c r="M260" s="37">
        <f t="shared" si="17"/>
        <v>0</v>
      </c>
    </row>
    <row r="261" spans="1:13" x14ac:dyDescent="0.25">
      <c r="A261" s="56"/>
      <c r="G261" s="13"/>
      <c r="H261" s="35">
        <v>256</v>
      </c>
      <c r="I261" s="36" t="str">
        <f t="shared" si="15"/>
        <v/>
      </c>
      <c r="J261" s="36">
        <f t="shared" si="18"/>
        <v>-3</v>
      </c>
      <c r="K261" s="35">
        <f t="shared" si="16"/>
        <v>-30</v>
      </c>
      <c r="L261" s="35"/>
      <c r="M261" s="37">
        <f t="shared" si="17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6">
        <f t="shared" si="18"/>
        <v>-4</v>
      </c>
      <c r="K262" s="35">
        <f t="shared" ref="K262:K305" si="20">J262*$J$2</f>
        <v>-40</v>
      </c>
      <c r="L262" s="35"/>
      <c r="M262" s="37">
        <f t="shared" ref="M262:M305" si="21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9"/>
        <v/>
      </c>
      <c r="J263" s="36">
        <f t="shared" ref="J263:J305" si="22">INT(LOG($H$2,2))-ROUNDUP(LOG(H263,2),0)+IF(OR($H$2=1,$H$2=2,$H$2=4,$H$2=8,$H$2=16,$H$2=32,$H$2=64,$H$2=128,$H$2=256),0,1)</f>
        <v>-4</v>
      </c>
      <c r="K263" s="35">
        <f t="shared" si="20"/>
        <v>-40</v>
      </c>
      <c r="L263" s="35"/>
      <c r="M263" s="37">
        <f t="shared" si="21"/>
        <v>0</v>
      </c>
    </row>
    <row r="264" spans="1:13" x14ac:dyDescent="0.25">
      <c r="A264" s="56"/>
      <c r="G264" s="13"/>
      <c r="H264" s="35">
        <v>259</v>
      </c>
      <c r="I264" s="36" t="str">
        <f t="shared" si="19"/>
        <v/>
      </c>
      <c r="J264" s="36">
        <f t="shared" si="22"/>
        <v>-4</v>
      </c>
      <c r="K264" s="35">
        <f t="shared" si="20"/>
        <v>-40</v>
      </c>
      <c r="L264" s="35"/>
      <c r="M264" s="37">
        <f t="shared" si="21"/>
        <v>0</v>
      </c>
    </row>
    <row r="265" spans="1:13" x14ac:dyDescent="0.25">
      <c r="A265" s="56"/>
      <c r="G265" s="13"/>
      <c r="H265" s="35">
        <v>260</v>
      </c>
      <c r="I265" s="36" t="str">
        <f t="shared" si="19"/>
        <v/>
      </c>
      <c r="J265" s="36">
        <f t="shared" si="22"/>
        <v>-4</v>
      </c>
      <c r="K265" s="35">
        <f t="shared" si="20"/>
        <v>-40</v>
      </c>
      <c r="L265" s="35"/>
      <c r="M265" s="37">
        <f t="shared" si="21"/>
        <v>0</v>
      </c>
    </row>
    <row r="266" spans="1:13" x14ac:dyDescent="0.25">
      <c r="A266" s="56"/>
      <c r="G266" s="13"/>
      <c r="H266" s="35">
        <v>261</v>
      </c>
      <c r="I266" s="36" t="str">
        <f t="shared" si="19"/>
        <v/>
      </c>
      <c r="J266" s="36">
        <f t="shared" si="22"/>
        <v>-4</v>
      </c>
      <c r="K266" s="35">
        <f t="shared" si="20"/>
        <v>-40</v>
      </c>
      <c r="L266" s="35"/>
      <c r="M266" s="37">
        <f t="shared" si="21"/>
        <v>0</v>
      </c>
    </row>
    <row r="267" spans="1:13" x14ac:dyDescent="0.25">
      <c r="A267" s="56"/>
      <c r="G267" s="13"/>
      <c r="H267" s="35">
        <v>262</v>
      </c>
      <c r="I267" s="36" t="str">
        <f t="shared" si="19"/>
        <v/>
      </c>
      <c r="J267" s="36">
        <f t="shared" si="22"/>
        <v>-4</v>
      </c>
      <c r="K267" s="35">
        <f t="shared" si="20"/>
        <v>-40</v>
      </c>
      <c r="L267" s="35"/>
      <c r="M267" s="37">
        <f t="shared" si="21"/>
        <v>0</v>
      </c>
    </row>
    <row r="268" spans="1:13" x14ac:dyDescent="0.25">
      <c r="A268" s="56"/>
      <c r="G268" s="13"/>
      <c r="H268" s="35">
        <v>263</v>
      </c>
      <c r="I268" s="36" t="str">
        <f t="shared" si="19"/>
        <v/>
      </c>
      <c r="J268" s="36">
        <f t="shared" si="22"/>
        <v>-4</v>
      </c>
      <c r="K268" s="35">
        <f t="shared" si="20"/>
        <v>-40</v>
      </c>
      <c r="L268" s="35"/>
      <c r="M268" s="37">
        <f t="shared" si="21"/>
        <v>0</v>
      </c>
    </row>
    <row r="269" spans="1:13" x14ac:dyDescent="0.25">
      <c r="A269" s="56"/>
      <c r="G269" s="13"/>
      <c r="H269" s="35">
        <v>264</v>
      </c>
      <c r="I269" s="36" t="str">
        <f t="shared" si="19"/>
        <v/>
      </c>
      <c r="J269" s="36">
        <f t="shared" si="22"/>
        <v>-4</v>
      </c>
      <c r="K269" s="35">
        <f t="shared" si="20"/>
        <v>-40</v>
      </c>
      <c r="L269" s="35"/>
      <c r="M269" s="37">
        <f t="shared" si="21"/>
        <v>0</v>
      </c>
    </row>
    <row r="270" spans="1:13" x14ac:dyDescent="0.25">
      <c r="A270" s="56"/>
      <c r="G270" s="13"/>
      <c r="H270" s="35">
        <v>265</v>
      </c>
      <c r="I270" s="36" t="str">
        <f t="shared" si="19"/>
        <v/>
      </c>
      <c r="J270" s="36">
        <f t="shared" si="22"/>
        <v>-4</v>
      </c>
      <c r="K270" s="35">
        <f t="shared" si="20"/>
        <v>-40</v>
      </c>
      <c r="L270" s="35"/>
      <c r="M270" s="37">
        <f t="shared" si="21"/>
        <v>0</v>
      </c>
    </row>
    <row r="271" spans="1:13" x14ac:dyDescent="0.25">
      <c r="A271" s="56"/>
      <c r="G271" s="13"/>
      <c r="H271" s="35">
        <v>266</v>
      </c>
      <c r="I271" s="36" t="str">
        <f t="shared" si="19"/>
        <v/>
      </c>
      <c r="J271" s="36">
        <f t="shared" si="22"/>
        <v>-4</v>
      </c>
      <c r="K271" s="35">
        <f t="shared" si="20"/>
        <v>-40</v>
      </c>
      <c r="L271" s="35"/>
      <c r="M271" s="37">
        <f t="shared" si="21"/>
        <v>0</v>
      </c>
    </row>
    <row r="272" spans="1:13" x14ac:dyDescent="0.25">
      <c r="A272" s="56"/>
      <c r="G272" s="13"/>
      <c r="H272" s="35">
        <v>267</v>
      </c>
      <c r="I272" s="36" t="str">
        <f t="shared" si="19"/>
        <v/>
      </c>
      <c r="J272" s="36">
        <f t="shared" si="22"/>
        <v>-4</v>
      </c>
      <c r="K272" s="35">
        <f t="shared" si="20"/>
        <v>-40</v>
      </c>
      <c r="L272" s="35"/>
      <c r="M272" s="37">
        <f t="shared" si="21"/>
        <v>0</v>
      </c>
    </row>
    <row r="273" spans="1:13" x14ac:dyDescent="0.25">
      <c r="A273" s="56"/>
      <c r="G273" s="13"/>
      <c r="H273" s="35">
        <v>268</v>
      </c>
      <c r="I273" s="36" t="str">
        <f t="shared" si="19"/>
        <v/>
      </c>
      <c r="J273" s="36">
        <f t="shared" si="22"/>
        <v>-4</v>
      </c>
      <c r="K273" s="35">
        <f t="shared" si="20"/>
        <v>-40</v>
      </c>
      <c r="L273" s="35"/>
      <c r="M273" s="37">
        <f t="shared" si="21"/>
        <v>0</v>
      </c>
    </row>
    <row r="274" spans="1:13" x14ac:dyDescent="0.25">
      <c r="A274" s="56"/>
      <c r="G274" s="13"/>
      <c r="H274" s="35">
        <v>269</v>
      </c>
      <c r="I274" s="36" t="str">
        <f t="shared" si="19"/>
        <v/>
      </c>
      <c r="J274" s="36">
        <f t="shared" si="22"/>
        <v>-4</v>
      </c>
      <c r="K274" s="35">
        <f t="shared" si="20"/>
        <v>-40</v>
      </c>
      <c r="L274" s="35"/>
      <c r="M274" s="37">
        <f t="shared" si="21"/>
        <v>0</v>
      </c>
    </row>
    <row r="275" spans="1:13" x14ac:dyDescent="0.25">
      <c r="A275" s="56"/>
      <c r="G275" s="13"/>
      <c r="H275" s="35">
        <v>270</v>
      </c>
      <c r="I275" s="36" t="str">
        <f t="shared" si="19"/>
        <v/>
      </c>
      <c r="J275" s="36">
        <f t="shared" si="22"/>
        <v>-4</v>
      </c>
      <c r="K275" s="35">
        <f t="shared" si="20"/>
        <v>-40</v>
      </c>
      <c r="L275" s="35"/>
      <c r="M275" s="37">
        <f t="shared" si="21"/>
        <v>0</v>
      </c>
    </row>
    <row r="276" spans="1:13" x14ac:dyDescent="0.25">
      <c r="A276" s="56"/>
      <c r="G276" s="13"/>
      <c r="H276" s="35">
        <v>271</v>
      </c>
      <c r="I276" s="36" t="str">
        <f t="shared" si="19"/>
        <v/>
      </c>
      <c r="J276" s="36">
        <f t="shared" si="22"/>
        <v>-4</v>
      </c>
      <c r="K276" s="35">
        <f t="shared" si="20"/>
        <v>-40</v>
      </c>
      <c r="L276" s="35"/>
      <c r="M276" s="37">
        <f t="shared" si="21"/>
        <v>0</v>
      </c>
    </row>
    <row r="277" spans="1:13" x14ac:dyDescent="0.25">
      <c r="A277" s="56"/>
      <c r="G277" s="13"/>
      <c r="H277" s="35">
        <v>272</v>
      </c>
      <c r="I277" s="36" t="str">
        <f t="shared" si="19"/>
        <v/>
      </c>
      <c r="J277" s="36">
        <f t="shared" si="22"/>
        <v>-4</v>
      </c>
      <c r="K277" s="35">
        <f t="shared" si="20"/>
        <v>-40</v>
      </c>
      <c r="L277" s="35"/>
      <c r="M277" s="37">
        <f t="shared" si="21"/>
        <v>0</v>
      </c>
    </row>
    <row r="278" spans="1:13" x14ac:dyDescent="0.25">
      <c r="A278" s="56"/>
      <c r="G278" s="13"/>
      <c r="H278" s="35">
        <v>273</v>
      </c>
      <c r="I278" s="36" t="str">
        <f t="shared" si="19"/>
        <v/>
      </c>
      <c r="J278" s="36">
        <f t="shared" si="22"/>
        <v>-4</v>
      </c>
      <c r="K278" s="35">
        <f t="shared" si="20"/>
        <v>-40</v>
      </c>
      <c r="L278" s="35"/>
      <c r="M278" s="37">
        <f t="shared" si="21"/>
        <v>0</v>
      </c>
    </row>
    <row r="279" spans="1:13" x14ac:dyDescent="0.25">
      <c r="A279" s="56"/>
      <c r="G279" s="13"/>
      <c r="H279" s="35">
        <v>274</v>
      </c>
      <c r="I279" s="36" t="str">
        <f t="shared" si="19"/>
        <v/>
      </c>
      <c r="J279" s="36">
        <f t="shared" si="22"/>
        <v>-4</v>
      </c>
      <c r="K279" s="35">
        <f t="shared" si="20"/>
        <v>-40</v>
      </c>
      <c r="L279" s="35"/>
      <c r="M279" s="37">
        <f t="shared" si="21"/>
        <v>0</v>
      </c>
    </row>
    <row r="280" spans="1:13" x14ac:dyDescent="0.25">
      <c r="A280" s="56"/>
      <c r="G280" s="13"/>
      <c r="H280" s="35">
        <v>275</v>
      </c>
      <c r="I280" s="36" t="str">
        <f t="shared" si="19"/>
        <v/>
      </c>
      <c r="J280" s="36">
        <f t="shared" si="22"/>
        <v>-4</v>
      </c>
      <c r="K280" s="35">
        <f t="shared" si="20"/>
        <v>-40</v>
      </c>
      <c r="L280" s="35"/>
      <c r="M280" s="37">
        <f t="shared" si="21"/>
        <v>0</v>
      </c>
    </row>
    <row r="281" spans="1:13" x14ac:dyDescent="0.25">
      <c r="A281" s="56"/>
      <c r="G281" s="13"/>
      <c r="H281" s="35">
        <v>276</v>
      </c>
      <c r="I281" s="36" t="str">
        <f t="shared" si="19"/>
        <v/>
      </c>
      <c r="J281" s="36">
        <f t="shared" si="22"/>
        <v>-4</v>
      </c>
      <c r="K281" s="35">
        <f t="shared" si="20"/>
        <v>-40</v>
      </c>
      <c r="L281" s="35"/>
      <c r="M281" s="37">
        <f t="shared" si="21"/>
        <v>0</v>
      </c>
    </row>
    <row r="282" spans="1:13" x14ac:dyDescent="0.25">
      <c r="A282" s="56"/>
      <c r="G282" s="13"/>
      <c r="H282" s="35">
        <v>277</v>
      </c>
      <c r="I282" s="36" t="str">
        <f t="shared" si="19"/>
        <v/>
      </c>
      <c r="J282" s="36">
        <f t="shared" si="22"/>
        <v>-4</v>
      </c>
      <c r="K282" s="35">
        <f t="shared" si="20"/>
        <v>-40</v>
      </c>
      <c r="L282" s="35"/>
      <c r="M282" s="37">
        <f t="shared" si="21"/>
        <v>0</v>
      </c>
    </row>
    <row r="283" spans="1:13" x14ac:dyDescent="0.25">
      <c r="A283" s="56"/>
      <c r="G283" s="13"/>
      <c r="H283" s="35">
        <v>278</v>
      </c>
      <c r="I283" s="36" t="str">
        <f t="shared" si="19"/>
        <v/>
      </c>
      <c r="J283" s="36">
        <f t="shared" si="22"/>
        <v>-4</v>
      </c>
      <c r="K283" s="35">
        <f t="shared" si="20"/>
        <v>-40</v>
      </c>
      <c r="L283" s="35"/>
      <c r="M283" s="37">
        <f t="shared" si="21"/>
        <v>0</v>
      </c>
    </row>
    <row r="284" spans="1:13" x14ac:dyDescent="0.25">
      <c r="A284" s="56"/>
      <c r="G284" s="13"/>
      <c r="H284" s="35">
        <v>279</v>
      </c>
      <c r="I284" s="36" t="str">
        <f t="shared" si="19"/>
        <v/>
      </c>
      <c r="J284" s="36">
        <f t="shared" si="22"/>
        <v>-4</v>
      </c>
      <c r="K284" s="35">
        <f t="shared" si="20"/>
        <v>-40</v>
      </c>
      <c r="L284" s="35"/>
      <c r="M284" s="37">
        <f t="shared" si="21"/>
        <v>0</v>
      </c>
    </row>
    <row r="285" spans="1:13" x14ac:dyDescent="0.25">
      <c r="A285" s="56"/>
      <c r="G285" s="13"/>
      <c r="H285" s="35">
        <v>280</v>
      </c>
      <c r="I285" s="36" t="str">
        <f t="shared" si="19"/>
        <v/>
      </c>
      <c r="J285" s="36">
        <f t="shared" si="22"/>
        <v>-4</v>
      </c>
      <c r="K285" s="35">
        <f t="shared" si="20"/>
        <v>-40</v>
      </c>
      <c r="L285" s="35"/>
      <c r="M285" s="37">
        <f t="shared" si="21"/>
        <v>0</v>
      </c>
    </row>
    <row r="286" spans="1:13" x14ac:dyDescent="0.25">
      <c r="A286" s="56"/>
      <c r="G286" s="13"/>
      <c r="H286" s="35">
        <v>281</v>
      </c>
      <c r="I286" s="36" t="str">
        <f t="shared" si="19"/>
        <v/>
      </c>
      <c r="J286" s="36">
        <f t="shared" si="22"/>
        <v>-4</v>
      </c>
      <c r="K286" s="35">
        <f t="shared" si="20"/>
        <v>-40</v>
      </c>
      <c r="L286" s="35"/>
      <c r="M286" s="37">
        <f t="shared" si="21"/>
        <v>0</v>
      </c>
    </row>
    <row r="287" spans="1:13" x14ac:dyDescent="0.25">
      <c r="A287" s="56"/>
      <c r="G287" s="13"/>
      <c r="H287" s="35">
        <v>282</v>
      </c>
      <c r="I287" s="36" t="str">
        <f t="shared" si="19"/>
        <v/>
      </c>
      <c r="J287" s="36">
        <f t="shared" si="22"/>
        <v>-4</v>
      </c>
      <c r="K287" s="35">
        <f t="shared" si="20"/>
        <v>-40</v>
      </c>
      <c r="L287" s="35"/>
      <c r="M287" s="37">
        <f t="shared" si="21"/>
        <v>0</v>
      </c>
    </row>
    <row r="288" spans="1:13" x14ac:dyDescent="0.25">
      <c r="A288" s="56"/>
      <c r="G288" s="13"/>
      <c r="H288" s="35">
        <v>283</v>
      </c>
      <c r="I288" s="36" t="str">
        <f t="shared" si="19"/>
        <v/>
      </c>
      <c r="J288" s="36">
        <f t="shared" si="22"/>
        <v>-4</v>
      </c>
      <c r="K288" s="35">
        <f t="shared" si="20"/>
        <v>-40</v>
      </c>
      <c r="L288" s="35"/>
      <c r="M288" s="37">
        <f t="shared" si="21"/>
        <v>0</v>
      </c>
    </row>
    <row r="289" spans="1:13" x14ac:dyDescent="0.25">
      <c r="A289" s="56"/>
      <c r="G289" s="13"/>
      <c r="H289" s="35">
        <v>284</v>
      </c>
      <c r="I289" s="36" t="str">
        <f t="shared" si="19"/>
        <v/>
      </c>
      <c r="J289" s="36">
        <f t="shared" si="22"/>
        <v>-4</v>
      </c>
      <c r="K289" s="35">
        <f t="shared" si="20"/>
        <v>-40</v>
      </c>
      <c r="L289" s="35"/>
      <c r="M289" s="37">
        <f t="shared" si="21"/>
        <v>0</v>
      </c>
    </row>
    <row r="290" spans="1:13" x14ac:dyDescent="0.25">
      <c r="A290" s="56"/>
      <c r="G290" s="13"/>
      <c r="H290" s="35">
        <v>285</v>
      </c>
      <c r="I290" s="36" t="str">
        <f t="shared" si="19"/>
        <v/>
      </c>
      <c r="J290" s="36">
        <f t="shared" si="22"/>
        <v>-4</v>
      </c>
      <c r="K290" s="35">
        <f t="shared" si="20"/>
        <v>-40</v>
      </c>
      <c r="L290" s="35"/>
      <c r="M290" s="37">
        <f t="shared" si="21"/>
        <v>0</v>
      </c>
    </row>
    <row r="291" spans="1:13" x14ac:dyDescent="0.25">
      <c r="A291" s="56"/>
      <c r="G291" s="13"/>
      <c r="H291" s="35">
        <v>286</v>
      </c>
      <c r="I291" s="36" t="str">
        <f t="shared" si="19"/>
        <v/>
      </c>
      <c r="J291" s="36">
        <f t="shared" si="22"/>
        <v>-4</v>
      </c>
      <c r="K291" s="35">
        <f t="shared" si="20"/>
        <v>-40</v>
      </c>
      <c r="L291" s="35"/>
      <c r="M291" s="37">
        <f t="shared" si="21"/>
        <v>0</v>
      </c>
    </row>
    <row r="292" spans="1:13" x14ac:dyDescent="0.25">
      <c r="A292" s="56"/>
      <c r="G292" s="13"/>
      <c r="H292" s="35">
        <v>287</v>
      </c>
      <c r="I292" s="36" t="str">
        <f t="shared" si="19"/>
        <v/>
      </c>
      <c r="J292" s="36">
        <f t="shared" si="22"/>
        <v>-4</v>
      </c>
      <c r="K292" s="35">
        <f t="shared" si="20"/>
        <v>-40</v>
      </c>
      <c r="L292" s="35"/>
      <c r="M292" s="37">
        <f t="shared" si="21"/>
        <v>0</v>
      </c>
    </row>
    <row r="293" spans="1:13" x14ac:dyDescent="0.25">
      <c r="A293" s="56"/>
      <c r="G293" s="13"/>
      <c r="H293" s="35">
        <v>288</v>
      </c>
      <c r="I293" s="36" t="str">
        <f t="shared" si="19"/>
        <v/>
      </c>
      <c r="J293" s="36">
        <f t="shared" si="22"/>
        <v>-4</v>
      </c>
      <c r="K293" s="35">
        <f t="shared" si="20"/>
        <v>-40</v>
      </c>
      <c r="L293" s="35"/>
      <c r="M293" s="37">
        <f t="shared" si="21"/>
        <v>0</v>
      </c>
    </row>
    <row r="294" spans="1:13" x14ac:dyDescent="0.25">
      <c r="A294" s="56"/>
      <c r="G294" s="13"/>
      <c r="H294" s="35">
        <v>289</v>
      </c>
      <c r="I294" s="36" t="str">
        <f t="shared" si="19"/>
        <v/>
      </c>
      <c r="J294" s="36">
        <f t="shared" si="22"/>
        <v>-4</v>
      </c>
      <c r="K294" s="35">
        <f t="shared" si="20"/>
        <v>-40</v>
      </c>
      <c r="L294" s="35"/>
      <c r="M294" s="37">
        <f t="shared" si="21"/>
        <v>0</v>
      </c>
    </row>
    <row r="295" spans="1:13" x14ac:dyDescent="0.25">
      <c r="A295" s="56"/>
      <c r="G295" s="13"/>
      <c r="H295" s="35">
        <v>290</v>
      </c>
      <c r="I295" s="36" t="str">
        <f t="shared" si="19"/>
        <v/>
      </c>
      <c r="J295" s="36">
        <f t="shared" si="22"/>
        <v>-4</v>
      </c>
      <c r="K295" s="35">
        <f t="shared" si="20"/>
        <v>-40</v>
      </c>
      <c r="L295" s="35"/>
      <c r="M295" s="37">
        <f t="shared" si="21"/>
        <v>0</v>
      </c>
    </row>
    <row r="296" spans="1:13" x14ac:dyDescent="0.25">
      <c r="A296" s="56"/>
      <c r="G296" s="13"/>
      <c r="H296" s="35">
        <v>291</v>
      </c>
      <c r="I296" s="36" t="str">
        <f t="shared" si="19"/>
        <v/>
      </c>
      <c r="J296" s="36">
        <f t="shared" si="22"/>
        <v>-4</v>
      </c>
      <c r="K296" s="35">
        <f t="shared" si="20"/>
        <v>-40</v>
      </c>
      <c r="L296" s="35"/>
      <c r="M296" s="37">
        <f t="shared" si="21"/>
        <v>0</v>
      </c>
    </row>
    <row r="297" spans="1:13" x14ac:dyDescent="0.25">
      <c r="A297" s="56"/>
      <c r="G297" s="13"/>
      <c r="H297" s="35">
        <v>292</v>
      </c>
      <c r="I297" s="36" t="str">
        <f t="shared" si="19"/>
        <v/>
      </c>
      <c r="J297" s="36">
        <f t="shared" si="22"/>
        <v>-4</v>
      </c>
      <c r="K297" s="35">
        <f t="shared" si="20"/>
        <v>-40</v>
      </c>
      <c r="L297" s="35"/>
      <c r="M297" s="37">
        <f t="shared" si="21"/>
        <v>0</v>
      </c>
    </row>
    <row r="298" spans="1:13" x14ac:dyDescent="0.25">
      <c r="A298" s="56"/>
      <c r="G298" s="13"/>
      <c r="H298" s="35">
        <v>293</v>
      </c>
      <c r="I298" s="36" t="str">
        <f t="shared" si="19"/>
        <v/>
      </c>
      <c r="J298" s="36">
        <f t="shared" si="22"/>
        <v>-4</v>
      </c>
      <c r="K298" s="35">
        <f t="shared" si="20"/>
        <v>-40</v>
      </c>
      <c r="L298" s="35"/>
      <c r="M298" s="37">
        <f t="shared" si="21"/>
        <v>0</v>
      </c>
    </row>
    <row r="299" spans="1:13" x14ac:dyDescent="0.25">
      <c r="A299" s="56"/>
      <c r="G299" s="13"/>
      <c r="H299" s="35">
        <v>294</v>
      </c>
      <c r="I299" s="36" t="str">
        <f t="shared" si="19"/>
        <v/>
      </c>
      <c r="J299" s="36">
        <f t="shared" si="22"/>
        <v>-4</v>
      </c>
      <c r="K299" s="35">
        <f t="shared" si="20"/>
        <v>-40</v>
      </c>
      <c r="L299" s="35"/>
      <c r="M299" s="37">
        <f t="shared" si="21"/>
        <v>0</v>
      </c>
    </row>
    <row r="300" spans="1:13" x14ac:dyDescent="0.25">
      <c r="A300" s="56"/>
      <c r="G300" s="13"/>
      <c r="H300" s="35">
        <v>295</v>
      </c>
      <c r="I300" s="36" t="str">
        <f t="shared" si="19"/>
        <v/>
      </c>
      <c r="J300" s="36">
        <f t="shared" si="22"/>
        <v>-4</v>
      </c>
      <c r="K300" s="35">
        <f t="shared" si="20"/>
        <v>-40</v>
      </c>
      <c r="L300" s="35"/>
      <c r="M300" s="37">
        <f t="shared" si="21"/>
        <v>0</v>
      </c>
    </row>
    <row r="301" spans="1:13" x14ac:dyDescent="0.25">
      <c r="A301" s="56"/>
      <c r="G301" s="13"/>
      <c r="H301" s="35">
        <v>296</v>
      </c>
      <c r="I301" s="36" t="str">
        <f t="shared" si="19"/>
        <v/>
      </c>
      <c r="J301" s="36">
        <f t="shared" si="22"/>
        <v>-4</v>
      </c>
      <c r="K301" s="35">
        <f t="shared" si="20"/>
        <v>-40</v>
      </c>
      <c r="L301" s="35"/>
      <c r="M301" s="37">
        <f t="shared" si="21"/>
        <v>0</v>
      </c>
    </row>
    <row r="302" spans="1:13" x14ac:dyDescent="0.25">
      <c r="A302" s="56"/>
      <c r="G302" s="13"/>
      <c r="H302" s="35">
        <v>297</v>
      </c>
      <c r="I302" s="36" t="str">
        <f t="shared" si="19"/>
        <v/>
      </c>
      <c r="J302" s="36">
        <f t="shared" si="22"/>
        <v>-4</v>
      </c>
      <c r="K302" s="35">
        <f t="shared" si="20"/>
        <v>-40</v>
      </c>
      <c r="L302" s="35"/>
      <c r="M302" s="37">
        <f t="shared" si="21"/>
        <v>0</v>
      </c>
    </row>
    <row r="303" spans="1:13" x14ac:dyDescent="0.25">
      <c r="A303" s="56"/>
      <c r="G303" s="13"/>
      <c r="H303" s="35">
        <v>298</v>
      </c>
      <c r="I303" s="36" t="str">
        <f t="shared" si="19"/>
        <v/>
      </c>
      <c r="J303" s="36">
        <f t="shared" si="22"/>
        <v>-4</v>
      </c>
      <c r="K303" s="35">
        <f t="shared" si="20"/>
        <v>-40</v>
      </c>
      <c r="L303" s="35"/>
      <c r="M303" s="37">
        <f t="shared" si="21"/>
        <v>0</v>
      </c>
    </row>
    <row r="304" spans="1:13" x14ac:dyDescent="0.25">
      <c r="A304" s="56"/>
      <c r="G304" s="13"/>
      <c r="H304" s="35">
        <v>299</v>
      </c>
      <c r="I304" s="36" t="str">
        <f t="shared" si="19"/>
        <v/>
      </c>
      <c r="J304" s="36">
        <f t="shared" si="22"/>
        <v>-4</v>
      </c>
      <c r="K304" s="35">
        <f t="shared" si="20"/>
        <v>-40</v>
      </c>
      <c r="L304" s="35"/>
      <c r="M304" s="37">
        <f t="shared" si="21"/>
        <v>0</v>
      </c>
    </row>
    <row r="305" spans="1:16" x14ac:dyDescent="0.25">
      <c r="A305" s="56"/>
      <c r="G305" s="13"/>
      <c r="H305" s="35">
        <v>300</v>
      </c>
      <c r="I305" s="36" t="str">
        <f t="shared" si="19"/>
        <v/>
      </c>
      <c r="J305" s="36">
        <f t="shared" si="22"/>
        <v>-4</v>
      </c>
      <c r="K305" s="35">
        <f t="shared" si="20"/>
        <v>-40</v>
      </c>
      <c r="L305" s="35"/>
      <c r="M305" s="37">
        <f t="shared" si="21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dataValidations count="1">
    <dataValidation type="list" allowBlank="1" showInputMessage="1" showErrorMessage="1" sqref="C38:C69" xr:uid="{76AFDDDF-5474-4B3C-89C8-DF85EF54F17A}">
      <formula1>#REF!</formula1>
    </dataValidation>
  </dataValidations>
  <hyperlinks>
    <hyperlink ref="C2:D2" r:id="rId1" display="Madrid" xr:uid="{B933F736-78DE-4DE1-811B-C98311ED1DCE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D7C8-989F-4CB5-96F0-1EBEC179DBD7}">
  <sheetPr>
    <tabColor rgb="FF92D050"/>
  </sheetPr>
  <dimension ref="A1:AL317"/>
  <sheetViews>
    <sheetView workbookViewId="0">
      <selection activeCell="F30" sqref="F30"/>
    </sheetView>
  </sheetViews>
  <sheetFormatPr defaultColWidth="8.875" defaultRowHeight="14.3" x14ac:dyDescent="0.25"/>
  <cols>
    <col min="1" max="1" width="8" style="154" customWidth="1"/>
    <col min="2" max="2" width="8.25" style="154" customWidth="1"/>
    <col min="3" max="3" width="34.75" style="154" customWidth="1"/>
    <col min="4" max="4" width="11.25" style="154" customWidth="1"/>
    <col min="5" max="6" width="8.875" style="154"/>
    <col min="7" max="7" width="0.875" style="154" customWidth="1"/>
    <col min="8" max="8" width="8.875" style="157"/>
    <col min="9" max="9" width="11" style="157" customWidth="1"/>
    <col min="10" max="10" width="15" style="157" customWidth="1"/>
    <col min="11" max="11" width="8.75" style="157" customWidth="1"/>
    <col min="12" max="12" width="11" style="157" customWidth="1"/>
    <col min="13" max="13" width="11.75" style="158" customWidth="1"/>
    <col min="14" max="15" width="13.875" style="126" customWidth="1"/>
    <col min="16" max="18" width="8.875" style="126"/>
    <col min="19" max="20" width="8.875" style="131"/>
    <col min="21" max="21" width="12.125" style="131" customWidth="1"/>
    <col min="22" max="22" width="27.375" style="131" customWidth="1"/>
    <col min="23" max="38" width="8.875" style="131"/>
    <col min="39" max="16384" width="8.875" style="154"/>
  </cols>
  <sheetData>
    <row r="1" spans="1:36" x14ac:dyDescent="0.25">
      <c r="A1" s="126"/>
      <c r="B1" s="126"/>
      <c r="C1" s="126"/>
      <c r="D1" s="126"/>
      <c r="E1" s="126"/>
      <c r="F1" s="126"/>
      <c r="G1" s="126"/>
      <c r="H1" s="127" t="s">
        <v>25</v>
      </c>
      <c r="I1" s="128" t="s">
        <v>26</v>
      </c>
      <c r="J1" s="128" t="s">
        <v>27</v>
      </c>
      <c r="K1" s="129" t="s">
        <v>28</v>
      </c>
      <c r="L1" s="130"/>
      <c r="M1" s="130"/>
    </row>
    <row r="2" spans="1:36" x14ac:dyDescent="0.25">
      <c r="A2" s="126"/>
      <c r="B2" s="19" t="s">
        <v>29</v>
      </c>
      <c r="C2" s="174" t="s">
        <v>103</v>
      </c>
      <c r="D2" s="187"/>
      <c r="E2" s="20"/>
      <c r="F2" s="20"/>
      <c r="G2" s="20"/>
      <c r="H2" s="132">
        <v>20</v>
      </c>
      <c r="I2" s="133">
        <v>50</v>
      </c>
      <c r="J2" s="133">
        <v>10</v>
      </c>
      <c r="K2" s="134">
        <f>3*H2^(1/3)</f>
        <v>8.1432528497847194</v>
      </c>
      <c r="L2" s="130"/>
      <c r="M2" s="130"/>
    </row>
    <row r="3" spans="1:36" ht="14.45" customHeight="1" x14ac:dyDescent="0.25">
      <c r="A3" s="126"/>
      <c r="B3" s="135" t="s">
        <v>31</v>
      </c>
      <c r="C3" s="186" t="s">
        <v>104</v>
      </c>
      <c r="D3" s="186"/>
      <c r="E3" s="25"/>
      <c r="F3" s="25"/>
      <c r="G3" s="25"/>
      <c r="H3" s="130"/>
      <c r="I3" s="130"/>
      <c r="J3" s="130"/>
      <c r="K3" s="130"/>
      <c r="L3" s="130"/>
      <c r="M3" s="130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30"/>
      <c r="I4" s="130"/>
      <c r="J4" s="130"/>
      <c r="K4" s="130"/>
      <c r="L4" s="130"/>
      <c r="M4" s="130"/>
    </row>
    <row r="5" spans="1:36" ht="34.65" x14ac:dyDescent="0.25">
      <c r="A5" s="1" t="s">
        <v>33</v>
      </c>
      <c r="B5" s="28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7"/>
      <c r="H5" s="136" t="s">
        <v>39</v>
      </c>
      <c r="I5" s="137" t="s">
        <v>40</v>
      </c>
      <c r="J5" s="137" t="s">
        <v>41</v>
      </c>
      <c r="K5" s="137" t="s">
        <v>42</v>
      </c>
      <c r="L5" s="137" t="s">
        <v>43</v>
      </c>
      <c r="M5" s="136" t="s">
        <v>44</v>
      </c>
    </row>
    <row r="6" spans="1:36" ht="14.45" customHeight="1" x14ac:dyDescent="0.25">
      <c r="A6" s="76">
        <f>M6</f>
        <v>124.42975854935416</v>
      </c>
      <c r="B6" s="33">
        <f t="shared" ref="B6:B65" si="0">IF(H6&gt;$H$2,"",(ROW()-5))</f>
        <v>1</v>
      </c>
      <c r="C6" s="34" t="s">
        <v>50</v>
      </c>
      <c r="D6" s="34"/>
      <c r="E6" s="34"/>
      <c r="F6" s="34"/>
      <c r="G6" s="27"/>
      <c r="H6" s="138">
        <v>1</v>
      </c>
      <c r="I6" s="139">
        <f t="shared" ref="I6:I69" si="1">IF(H6&lt;$H$2+1,($I$2-($I$2-1)*(LOG(H6)/LOG($H$2))),"")</f>
        <v>50</v>
      </c>
      <c r="J6" s="139">
        <f>INT(LOG($H$2,2))-ROUNDUP(LOG(H6,2),0)+IF(OR($H$2=1,$H$2=2,$H$2=4,$H$2=8,$H$2=16,$H$2=32,$H$2=64,$H$2=128,$H$2=256),0,1)</f>
        <v>5</v>
      </c>
      <c r="K6" s="138">
        <f t="shared" ref="K6:K69" si="2">J6*$J$2</f>
        <v>50</v>
      </c>
      <c r="L6" s="140">
        <f>3*K2</f>
        <v>24.429758549354158</v>
      </c>
      <c r="M6" s="140">
        <f t="shared" ref="M6:M69" si="3">IF(I6&lt;&gt;"",K6+I6+L6,0)</f>
        <v>124.42975854935416</v>
      </c>
    </row>
    <row r="7" spans="1:36" ht="14.45" customHeight="1" x14ac:dyDescent="0.25">
      <c r="A7" s="77">
        <f t="shared" ref="A7:A70" si="4">M7</f>
        <v>94.948973254741247</v>
      </c>
      <c r="B7" s="39">
        <f t="shared" si="0"/>
        <v>2</v>
      </c>
      <c r="C7" s="40" t="s">
        <v>50</v>
      </c>
      <c r="D7" s="40"/>
      <c r="E7" s="40"/>
      <c r="F7" s="40"/>
      <c r="G7" s="27"/>
      <c r="H7" s="141">
        <v>2</v>
      </c>
      <c r="I7" s="142">
        <f t="shared" si="1"/>
        <v>38.662467555171801</v>
      </c>
      <c r="J7" s="142">
        <f t="shared" ref="J7:J70" si="5">INT(LOG($H$2,2))-ROUNDUP(LOG(H7,2),0)+IF(OR($H$2=1,$H$2=2,$H$2=4,$H$2=8,$H$2=16,$H$2=32,$H$2=64,$H$2=128,$H$2=256),0,1)</f>
        <v>4</v>
      </c>
      <c r="K7" s="141">
        <f t="shared" si="2"/>
        <v>40</v>
      </c>
      <c r="L7" s="143">
        <f>2*K2</f>
        <v>16.286505699569439</v>
      </c>
      <c r="M7" s="143">
        <f t="shared" si="3"/>
        <v>94.948973254741247</v>
      </c>
    </row>
    <row r="8" spans="1:36" ht="14.45" customHeight="1" x14ac:dyDescent="0.25">
      <c r="A8" s="76">
        <f t="shared" si="4"/>
        <v>70.173689074022576</v>
      </c>
      <c r="B8" s="33">
        <f t="shared" si="0"/>
        <v>3</v>
      </c>
      <c r="C8" s="34" t="s">
        <v>50</v>
      </c>
      <c r="D8" s="34"/>
      <c r="E8" s="34"/>
      <c r="F8" s="34"/>
      <c r="G8" s="27"/>
      <c r="H8" s="138">
        <v>3</v>
      </c>
      <c r="I8" s="139">
        <f t="shared" si="1"/>
        <v>32.030436224237853</v>
      </c>
      <c r="J8" s="139">
        <f t="shared" si="5"/>
        <v>3</v>
      </c>
      <c r="K8" s="138">
        <f t="shared" si="2"/>
        <v>30</v>
      </c>
      <c r="L8" s="140">
        <f>K2</f>
        <v>8.1432528497847194</v>
      </c>
      <c r="M8" s="140">
        <f t="shared" si="3"/>
        <v>70.173689074022576</v>
      </c>
    </row>
    <row r="9" spans="1:36" s="131" customFormat="1" ht="14.45" customHeight="1" x14ac:dyDescent="0.25">
      <c r="A9" s="77">
        <f t="shared" si="4"/>
        <v>70.173689074022576</v>
      </c>
      <c r="B9" s="39">
        <f>IF(H9&gt;$H$2,"",3)</f>
        <v>3</v>
      </c>
      <c r="C9" s="40" t="s">
        <v>50</v>
      </c>
      <c r="D9" s="40"/>
      <c r="E9" s="40"/>
      <c r="F9" s="40"/>
      <c r="G9" s="27"/>
      <c r="H9" s="141">
        <v>3</v>
      </c>
      <c r="I9" s="142">
        <f t="shared" si="1"/>
        <v>32.030436224237853</v>
      </c>
      <c r="J9" s="141">
        <f t="shared" si="5"/>
        <v>3</v>
      </c>
      <c r="K9" s="141">
        <f t="shared" si="2"/>
        <v>30</v>
      </c>
      <c r="L9" s="143">
        <f>K2</f>
        <v>8.1432528497847194</v>
      </c>
      <c r="M9" s="143">
        <f t="shared" si="3"/>
        <v>70.173689074022576</v>
      </c>
      <c r="N9" s="126"/>
      <c r="O9" s="126"/>
      <c r="P9" s="126"/>
      <c r="Q9" s="126"/>
      <c r="R9" s="126"/>
      <c r="V9" s="144"/>
      <c r="Z9" s="145"/>
      <c r="AA9" s="145"/>
      <c r="AG9" s="146"/>
      <c r="AH9" s="131" t="s">
        <v>50</v>
      </c>
      <c r="AI9" s="131">
        <v>23</v>
      </c>
    </row>
    <row r="10" spans="1:36" ht="14.45" customHeight="1" x14ac:dyDescent="0.25">
      <c r="A10" s="76">
        <f t="shared" si="4"/>
        <v>43.675064889656397</v>
      </c>
      <c r="B10" s="33">
        <f t="shared" si="0"/>
        <v>5</v>
      </c>
      <c r="C10" s="34" t="s">
        <v>50</v>
      </c>
      <c r="D10" s="34"/>
      <c r="E10" s="34"/>
      <c r="F10" s="34"/>
      <c r="G10" s="27"/>
      <c r="H10" s="138">
        <v>5</v>
      </c>
      <c r="I10" s="139">
        <f t="shared" si="1"/>
        <v>23.675064889656397</v>
      </c>
      <c r="J10" s="139">
        <f t="shared" si="5"/>
        <v>2</v>
      </c>
      <c r="K10" s="138">
        <f t="shared" si="2"/>
        <v>20</v>
      </c>
      <c r="L10" s="138"/>
      <c r="M10" s="140">
        <f t="shared" si="3"/>
        <v>43.675064889656397</v>
      </c>
      <c r="V10" s="144"/>
      <c r="Z10" s="145"/>
      <c r="AA10" s="145"/>
      <c r="AG10" s="146"/>
      <c r="AH10" s="131" t="s">
        <v>52</v>
      </c>
      <c r="AI10" s="131">
        <v>45</v>
      </c>
    </row>
    <row r="11" spans="1:36" ht="14.45" customHeight="1" x14ac:dyDescent="0.25">
      <c r="A11" s="77">
        <f t="shared" si="4"/>
        <v>40.692903779409654</v>
      </c>
      <c r="B11" s="39">
        <f t="shared" si="0"/>
        <v>6</v>
      </c>
      <c r="C11" s="40" t="s">
        <v>50</v>
      </c>
      <c r="D11" s="40"/>
      <c r="E11" s="40"/>
      <c r="F11" s="40"/>
      <c r="G11" s="27"/>
      <c r="H11" s="141">
        <v>6</v>
      </c>
      <c r="I11" s="142">
        <f t="shared" si="1"/>
        <v>20.692903779409654</v>
      </c>
      <c r="J11" s="142">
        <f t="shared" si="5"/>
        <v>2</v>
      </c>
      <c r="K11" s="141">
        <f t="shared" si="2"/>
        <v>20</v>
      </c>
      <c r="L11" s="141"/>
      <c r="M11" s="143">
        <f t="shared" si="3"/>
        <v>40.692903779409654</v>
      </c>
      <c r="V11" s="147"/>
      <c r="Z11" s="145"/>
      <c r="AA11" s="145"/>
      <c r="AG11" s="146"/>
      <c r="AH11" s="131" t="s">
        <v>53</v>
      </c>
      <c r="AI11" s="131">
        <v>50</v>
      </c>
    </row>
    <row r="12" spans="1:36" ht="14.45" customHeight="1" x14ac:dyDescent="0.25">
      <c r="A12" s="76">
        <f t="shared" si="4"/>
        <v>38.171522487023779</v>
      </c>
      <c r="B12" s="33">
        <f t="shared" si="0"/>
        <v>7</v>
      </c>
      <c r="C12" s="34" t="s">
        <v>50</v>
      </c>
      <c r="D12" s="34"/>
      <c r="E12" s="34"/>
      <c r="F12" s="34"/>
      <c r="G12" s="27"/>
      <c r="H12" s="138">
        <v>7</v>
      </c>
      <c r="I12" s="139">
        <f t="shared" si="1"/>
        <v>18.171522487023775</v>
      </c>
      <c r="J12" s="139">
        <f t="shared" si="5"/>
        <v>2</v>
      </c>
      <c r="K12" s="138">
        <f t="shared" si="2"/>
        <v>20</v>
      </c>
      <c r="L12" s="138"/>
      <c r="M12" s="140">
        <f t="shared" si="3"/>
        <v>38.171522487023779</v>
      </c>
      <c r="Z12" s="145"/>
      <c r="AA12" s="145"/>
      <c r="AG12" s="146"/>
      <c r="AH12" s="131" t="s">
        <v>54</v>
      </c>
      <c r="AI12" s="131">
        <f>AI11-1</f>
        <v>49</v>
      </c>
    </row>
    <row r="13" spans="1:36" ht="14.45" customHeight="1" x14ac:dyDescent="0.25">
      <c r="A13" s="77">
        <f t="shared" si="4"/>
        <v>35.987402665515404</v>
      </c>
      <c r="B13" s="39">
        <f t="shared" si="0"/>
        <v>8</v>
      </c>
      <c r="C13" s="40" t="s">
        <v>50</v>
      </c>
      <c r="D13" s="40"/>
      <c r="E13" s="40"/>
      <c r="F13" s="40"/>
      <c r="G13" s="27"/>
      <c r="H13" s="141">
        <v>8</v>
      </c>
      <c r="I13" s="142">
        <f t="shared" si="1"/>
        <v>15.987402665515404</v>
      </c>
      <c r="J13" s="142">
        <f t="shared" si="5"/>
        <v>2</v>
      </c>
      <c r="K13" s="141">
        <f t="shared" si="2"/>
        <v>20</v>
      </c>
      <c r="L13" s="141"/>
      <c r="M13" s="143">
        <f t="shared" si="3"/>
        <v>35.987402665515404</v>
      </c>
      <c r="X13" s="144"/>
      <c r="AG13" s="146"/>
      <c r="AH13" s="131" t="s">
        <v>55</v>
      </c>
      <c r="AI13" s="131">
        <f>LOG(AI9)</f>
        <v>1.3617278360175928</v>
      </c>
    </row>
    <row r="14" spans="1:36" x14ac:dyDescent="0.25">
      <c r="A14" s="76">
        <f t="shared" si="4"/>
        <v>24.060872448475706</v>
      </c>
      <c r="B14" s="33">
        <f t="shared" si="0"/>
        <v>9</v>
      </c>
      <c r="C14" s="34" t="s">
        <v>50</v>
      </c>
      <c r="D14" s="34"/>
      <c r="E14" s="34"/>
      <c r="F14" s="34"/>
      <c r="G14" s="27"/>
      <c r="H14" s="138">
        <v>9</v>
      </c>
      <c r="I14" s="139">
        <f t="shared" si="1"/>
        <v>14.060872448475706</v>
      </c>
      <c r="J14" s="139">
        <f t="shared" si="5"/>
        <v>1</v>
      </c>
      <c r="K14" s="138">
        <f t="shared" si="2"/>
        <v>10</v>
      </c>
      <c r="L14" s="138"/>
      <c r="M14" s="140">
        <f t="shared" si="3"/>
        <v>24.060872448475706</v>
      </c>
      <c r="X14" s="148"/>
      <c r="Z14" s="145"/>
      <c r="AA14" s="145"/>
      <c r="AG14" s="146"/>
      <c r="AH14" s="131" t="s">
        <v>56</v>
      </c>
      <c r="AI14" s="131">
        <f>LOG(AI10)</f>
        <v>1.6532125137753437</v>
      </c>
    </row>
    <row r="15" spans="1:36" x14ac:dyDescent="0.25">
      <c r="A15" s="77">
        <f t="shared" si="4"/>
        <v>22.337532444828206</v>
      </c>
      <c r="B15" s="39">
        <f t="shared" si="0"/>
        <v>10</v>
      </c>
      <c r="C15" s="40" t="s">
        <v>50</v>
      </c>
      <c r="D15" s="40"/>
      <c r="E15" s="40"/>
      <c r="F15" s="40"/>
      <c r="G15" s="27"/>
      <c r="H15" s="141">
        <v>10</v>
      </c>
      <c r="I15" s="142">
        <f t="shared" si="1"/>
        <v>12.337532444828206</v>
      </c>
      <c r="J15" s="142">
        <f t="shared" si="5"/>
        <v>1</v>
      </c>
      <c r="K15" s="141">
        <f t="shared" si="2"/>
        <v>10</v>
      </c>
      <c r="L15" s="141"/>
      <c r="M15" s="143">
        <f t="shared" si="3"/>
        <v>22.337532444828206</v>
      </c>
      <c r="X15" s="144"/>
      <c r="Z15" s="145"/>
      <c r="AA15" s="145"/>
    </row>
    <row r="16" spans="1:36" x14ac:dyDescent="0.25">
      <c r="A16" s="76">
        <f t="shared" si="4"/>
        <v>20.778581783035108</v>
      </c>
      <c r="B16" s="33">
        <f t="shared" si="0"/>
        <v>11</v>
      </c>
      <c r="C16" s="34" t="s">
        <v>50</v>
      </c>
      <c r="D16" s="34"/>
      <c r="E16" s="34"/>
      <c r="F16" s="34"/>
      <c r="G16" s="27"/>
      <c r="H16" s="138">
        <v>11</v>
      </c>
      <c r="I16" s="139">
        <f t="shared" si="1"/>
        <v>10.778581783035108</v>
      </c>
      <c r="J16" s="139">
        <f t="shared" si="5"/>
        <v>1</v>
      </c>
      <c r="K16" s="138">
        <f t="shared" si="2"/>
        <v>10</v>
      </c>
      <c r="L16" s="138"/>
      <c r="M16" s="140">
        <f t="shared" si="3"/>
        <v>20.778581783035108</v>
      </c>
      <c r="R16" s="149"/>
      <c r="Z16" s="145"/>
      <c r="AA16" s="145"/>
      <c r="AH16" s="150" t="s">
        <v>57</v>
      </c>
      <c r="AI16" s="131">
        <f>AI11-AI12*AI13/AI14</f>
        <v>9.6393909380186855</v>
      </c>
      <c r="AJ16" s="131" t="s">
        <v>58</v>
      </c>
    </row>
    <row r="17" spans="1:19" x14ac:dyDescent="0.25">
      <c r="A17" s="77">
        <f t="shared" si="4"/>
        <v>19.355371334581449</v>
      </c>
      <c r="B17" s="39">
        <f t="shared" si="0"/>
        <v>12</v>
      </c>
      <c r="C17" s="40" t="s">
        <v>16</v>
      </c>
      <c r="D17" s="40"/>
      <c r="E17" s="40"/>
      <c r="F17" s="40"/>
      <c r="G17" s="27"/>
      <c r="H17" s="141">
        <v>12</v>
      </c>
      <c r="I17" s="142">
        <f t="shared" si="1"/>
        <v>9.3553713345814487</v>
      </c>
      <c r="J17" s="142">
        <f t="shared" si="5"/>
        <v>1</v>
      </c>
      <c r="K17" s="141">
        <f t="shared" si="2"/>
        <v>10</v>
      </c>
      <c r="L17" s="141"/>
      <c r="M17" s="143">
        <f t="shared" si="3"/>
        <v>19.355371334581449</v>
      </c>
    </row>
    <row r="18" spans="1:19" x14ac:dyDescent="0.25">
      <c r="A18" s="76">
        <f t="shared" si="4"/>
        <v>18.046144635444449</v>
      </c>
      <c r="B18" s="33">
        <f t="shared" si="0"/>
        <v>13</v>
      </c>
      <c r="C18" s="34" t="s">
        <v>50</v>
      </c>
      <c r="D18" s="34"/>
      <c r="E18" s="34"/>
      <c r="F18" s="34"/>
      <c r="G18" s="27"/>
      <c r="H18" s="138">
        <v>13</v>
      </c>
      <c r="I18" s="139">
        <f t="shared" si="1"/>
        <v>8.046144635444449</v>
      </c>
      <c r="J18" s="139">
        <f t="shared" si="5"/>
        <v>1</v>
      </c>
      <c r="K18" s="138">
        <f t="shared" si="2"/>
        <v>10</v>
      </c>
      <c r="L18" s="138"/>
      <c r="M18" s="140">
        <f t="shared" si="3"/>
        <v>18.046144635444449</v>
      </c>
    </row>
    <row r="19" spans="1:19" x14ac:dyDescent="0.25">
      <c r="A19" s="77">
        <f t="shared" si="4"/>
        <v>16.83399004219558</v>
      </c>
      <c r="B19" s="39">
        <f t="shared" si="0"/>
        <v>14</v>
      </c>
      <c r="C19" s="40" t="s">
        <v>50</v>
      </c>
      <c r="D19" s="40"/>
      <c r="E19" s="40"/>
      <c r="F19" s="40"/>
      <c r="G19" s="27"/>
      <c r="H19" s="141">
        <v>14</v>
      </c>
      <c r="I19" s="142">
        <f t="shared" si="1"/>
        <v>6.8339900421955804</v>
      </c>
      <c r="J19" s="142">
        <f t="shared" si="5"/>
        <v>1</v>
      </c>
      <c r="K19" s="141">
        <f t="shared" si="2"/>
        <v>10</v>
      </c>
      <c r="L19" s="141"/>
      <c r="M19" s="143">
        <f t="shared" si="3"/>
        <v>16.83399004219558</v>
      </c>
    </row>
    <row r="20" spans="1:19" x14ac:dyDescent="0.25">
      <c r="A20" s="76">
        <f t="shared" si="4"/>
        <v>15.70550111389425</v>
      </c>
      <c r="B20" s="33">
        <f t="shared" si="0"/>
        <v>15</v>
      </c>
      <c r="C20" s="34" t="s">
        <v>50</v>
      </c>
      <c r="D20" s="34"/>
      <c r="E20" s="34"/>
      <c r="F20" s="34"/>
      <c r="G20" s="27"/>
      <c r="H20" s="138">
        <v>15</v>
      </c>
      <c r="I20" s="139">
        <f t="shared" si="1"/>
        <v>5.7055011138942504</v>
      </c>
      <c r="J20" s="139">
        <f t="shared" si="5"/>
        <v>1</v>
      </c>
      <c r="K20" s="138">
        <f t="shared" si="2"/>
        <v>10</v>
      </c>
      <c r="L20" s="138"/>
      <c r="M20" s="140">
        <f t="shared" si="3"/>
        <v>15.70550111389425</v>
      </c>
      <c r="R20" s="151"/>
      <c r="S20" s="152"/>
    </row>
    <row r="21" spans="1:19" x14ac:dyDescent="0.25">
      <c r="A21" s="77">
        <f t="shared" si="4"/>
        <v>14.649870220687198</v>
      </c>
      <c r="B21" s="39">
        <f t="shared" si="0"/>
        <v>16</v>
      </c>
      <c r="C21" s="40" t="s">
        <v>50</v>
      </c>
      <c r="D21" s="40"/>
      <c r="E21" s="40"/>
      <c r="F21" s="40"/>
      <c r="G21" s="27"/>
      <c r="H21" s="141">
        <v>16</v>
      </c>
      <c r="I21" s="142">
        <f t="shared" si="1"/>
        <v>4.6498702206871982</v>
      </c>
      <c r="J21" s="142">
        <f t="shared" si="5"/>
        <v>1</v>
      </c>
      <c r="K21" s="141">
        <f t="shared" si="2"/>
        <v>10</v>
      </c>
      <c r="L21" s="141"/>
      <c r="M21" s="143">
        <f t="shared" si="3"/>
        <v>14.649870220687198</v>
      </c>
    </row>
    <row r="22" spans="1:19" x14ac:dyDescent="0.25">
      <c r="A22" s="76">
        <f t="shared" si="4"/>
        <v>3.6582574202946248</v>
      </c>
      <c r="B22" s="33">
        <f t="shared" si="0"/>
        <v>17</v>
      </c>
      <c r="C22" s="34" t="s">
        <v>50</v>
      </c>
      <c r="D22" s="34"/>
      <c r="E22" s="34"/>
      <c r="F22" s="34"/>
      <c r="G22" s="27"/>
      <c r="H22" s="138">
        <v>17</v>
      </c>
      <c r="I22" s="139">
        <f t="shared" si="1"/>
        <v>3.6582574202946248</v>
      </c>
      <c r="J22" s="139">
        <f t="shared" si="5"/>
        <v>0</v>
      </c>
      <c r="K22" s="138">
        <f t="shared" si="2"/>
        <v>0</v>
      </c>
      <c r="L22" s="138"/>
      <c r="M22" s="140">
        <f t="shared" si="3"/>
        <v>3.6582574202946248</v>
      </c>
    </row>
    <row r="23" spans="1:19" x14ac:dyDescent="0.25">
      <c r="A23" s="77">
        <f t="shared" si="4"/>
        <v>2.7233400036475075</v>
      </c>
      <c r="B23" s="39">
        <f t="shared" si="0"/>
        <v>18</v>
      </c>
      <c r="C23" s="40" t="s">
        <v>50</v>
      </c>
      <c r="D23" s="40"/>
      <c r="E23" s="40"/>
      <c r="F23" s="40"/>
      <c r="G23" s="27"/>
      <c r="H23" s="141">
        <v>18</v>
      </c>
      <c r="I23" s="142">
        <f t="shared" si="1"/>
        <v>2.7233400036475075</v>
      </c>
      <c r="J23" s="142">
        <f t="shared" si="5"/>
        <v>0</v>
      </c>
      <c r="K23" s="141">
        <f t="shared" si="2"/>
        <v>0</v>
      </c>
      <c r="L23" s="141"/>
      <c r="M23" s="143">
        <f t="shared" si="3"/>
        <v>2.7233400036475075</v>
      </c>
    </row>
    <row r="24" spans="1:19" x14ac:dyDescent="0.25">
      <c r="A24" s="76">
        <f t="shared" si="4"/>
        <v>1.8389839930549741</v>
      </c>
      <c r="B24" s="33">
        <f t="shared" si="0"/>
        <v>19</v>
      </c>
      <c r="C24" s="34" t="s">
        <v>50</v>
      </c>
      <c r="D24" s="34"/>
      <c r="E24" s="34"/>
      <c r="F24" s="34"/>
      <c r="G24" s="27"/>
      <c r="H24" s="138">
        <v>19</v>
      </c>
      <c r="I24" s="139">
        <f t="shared" si="1"/>
        <v>1.8389839930549741</v>
      </c>
      <c r="J24" s="139">
        <f t="shared" si="5"/>
        <v>0</v>
      </c>
      <c r="K24" s="138">
        <f t="shared" si="2"/>
        <v>0</v>
      </c>
      <c r="L24" s="138"/>
      <c r="M24" s="140">
        <f t="shared" si="3"/>
        <v>1.8389839930549741</v>
      </c>
      <c r="R24" s="151"/>
      <c r="S24" s="152"/>
    </row>
    <row r="25" spans="1:19" x14ac:dyDescent="0.25">
      <c r="A25" s="77">
        <f t="shared" si="4"/>
        <v>1</v>
      </c>
      <c r="B25" s="39">
        <f t="shared" si="0"/>
        <v>20</v>
      </c>
      <c r="C25" s="40" t="s">
        <v>50</v>
      </c>
      <c r="D25" s="40"/>
      <c r="E25" s="40"/>
      <c r="F25" s="40"/>
      <c r="G25" s="27"/>
      <c r="H25" s="141">
        <v>20</v>
      </c>
      <c r="I25" s="142">
        <f t="shared" si="1"/>
        <v>1</v>
      </c>
      <c r="J25" s="142">
        <f t="shared" si="5"/>
        <v>0</v>
      </c>
      <c r="K25" s="141">
        <f t="shared" si="2"/>
        <v>0</v>
      </c>
      <c r="L25" s="141"/>
      <c r="M25" s="143">
        <f t="shared" si="3"/>
        <v>1</v>
      </c>
    </row>
    <row r="26" spans="1:19" x14ac:dyDescent="0.25">
      <c r="A26" s="76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38">
        <v>21</v>
      </c>
      <c r="I26" s="139" t="str">
        <f t="shared" si="1"/>
        <v/>
      </c>
      <c r="J26" s="139">
        <f t="shared" si="5"/>
        <v>0</v>
      </c>
      <c r="K26" s="138">
        <f t="shared" si="2"/>
        <v>0</v>
      </c>
      <c r="L26" s="138"/>
      <c r="M26" s="140">
        <f t="shared" si="3"/>
        <v>0</v>
      </c>
    </row>
    <row r="27" spans="1:19" x14ac:dyDescent="0.25">
      <c r="A27" s="77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41">
        <v>22</v>
      </c>
      <c r="I27" s="142" t="str">
        <f t="shared" si="1"/>
        <v/>
      </c>
      <c r="J27" s="142">
        <f t="shared" si="5"/>
        <v>0</v>
      </c>
      <c r="K27" s="141">
        <f t="shared" si="2"/>
        <v>0</v>
      </c>
      <c r="L27" s="141"/>
      <c r="M27" s="143">
        <f t="shared" si="3"/>
        <v>0</v>
      </c>
    </row>
    <row r="28" spans="1:19" x14ac:dyDescent="0.25">
      <c r="A28" s="76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38">
        <v>23</v>
      </c>
      <c r="I28" s="139" t="str">
        <f t="shared" si="1"/>
        <v/>
      </c>
      <c r="J28" s="139">
        <f t="shared" si="5"/>
        <v>0</v>
      </c>
      <c r="K28" s="138">
        <f t="shared" si="2"/>
        <v>0</v>
      </c>
      <c r="L28" s="138"/>
      <c r="M28" s="140">
        <f t="shared" si="3"/>
        <v>0</v>
      </c>
      <c r="R28" s="151"/>
      <c r="S28" s="152"/>
    </row>
    <row r="29" spans="1:19" x14ac:dyDescent="0.25">
      <c r="A29" s="77">
        <f t="shared" si="4"/>
        <v>0</v>
      </c>
      <c r="B29" s="39" t="str">
        <f t="shared" si="0"/>
        <v/>
      </c>
      <c r="C29" s="40"/>
      <c r="D29" s="40"/>
      <c r="E29" s="40"/>
      <c r="F29" s="40"/>
      <c r="G29" s="126"/>
      <c r="H29" s="141">
        <v>24</v>
      </c>
      <c r="I29" s="142" t="str">
        <f t="shared" si="1"/>
        <v/>
      </c>
      <c r="J29" s="142">
        <f t="shared" si="5"/>
        <v>0</v>
      </c>
      <c r="K29" s="141">
        <f t="shared" si="2"/>
        <v>0</v>
      </c>
      <c r="L29" s="141"/>
      <c r="M29" s="143">
        <f t="shared" si="3"/>
        <v>0</v>
      </c>
    </row>
    <row r="30" spans="1:19" x14ac:dyDescent="0.25">
      <c r="A30" s="76">
        <f t="shared" si="4"/>
        <v>0</v>
      </c>
      <c r="B30" s="33" t="str">
        <f t="shared" si="0"/>
        <v/>
      </c>
      <c r="C30" s="34"/>
      <c r="D30" s="34"/>
      <c r="E30" s="34"/>
      <c r="F30" s="34"/>
      <c r="G30" s="126"/>
      <c r="H30" s="138">
        <v>25</v>
      </c>
      <c r="I30" s="139" t="str">
        <f t="shared" si="1"/>
        <v/>
      </c>
      <c r="J30" s="139">
        <f t="shared" si="5"/>
        <v>0</v>
      </c>
      <c r="K30" s="138">
        <f t="shared" si="2"/>
        <v>0</v>
      </c>
      <c r="L30" s="138"/>
      <c r="M30" s="140">
        <f t="shared" si="3"/>
        <v>0</v>
      </c>
    </row>
    <row r="31" spans="1:19" x14ac:dyDescent="0.25">
      <c r="A31" s="77">
        <f t="shared" si="4"/>
        <v>0</v>
      </c>
      <c r="B31" s="39" t="str">
        <f t="shared" si="0"/>
        <v/>
      </c>
      <c r="C31" s="40"/>
      <c r="D31" s="40"/>
      <c r="E31" s="40"/>
      <c r="F31" s="40"/>
      <c r="G31" s="126"/>
      <c r="H31" s="141">
        <v>26</v>
      </c>
      <c r="I31" s="142" t="str">
        <f t="shared" si="1"/>
        <v/>
      </c>
      <c r="J31" s="142">
        <f t="shared" si="5"/>
        <v>0</v>
      </c>
      <c r="K31" s="141">
        <f t="shared" si="2"/>
        <v>0</v>
      </c>
      <c r="L31" s="141"/>
      <c r="M31" s="143">
        <f t="shared" si="3"/>
        <v>0</v>
      </c>
    </row>
    <row r="32" spans="1:19" x14ac:dyDescent="0.25">
      <c r="A32" s="76">
        <f t="shared" si="4"/>
        <v>0</v>
      </c>
      <c r="B32" s="33" t="str">
        <f t="shared" si="0"/>
        <v/>
      </c>
      <c r="C32" s="34"/>
      <c r="D32" s="34"/>
      <c r="E32" s="34"/>
      <c r="F32" s="34"/>
      <c r="G32" s="126"/>
      <c r="H32" s="138">
        <v>27</v>
      </c>
      <c r="I32" s="139" t="str">
        <f t="shared" si="1"/>
        <v/>
      </c>
      <c r="J32" s="139">
        <f t="shared" si="5"/>
        <v>0</v>
      </c>
      <c r="K32" s="138">
        <f t="shared" si="2"/>
        <v>0</v>
      </c>
      <c r="L32" s="138"/>
      <c r="M32" s="140">
        <f t="shared" si="3"/>
        <v>0</v>
      </c>
      <c r="R32" s="151"/>
      <c r="S32" s="152"/>
    </row>
    <row r="33" spans="1:21" x14ac:dyDescent="0.25">
      <c r="A33" s="77">
        <f t="shared" si="4"/>
        <v>0</v>
      </c>
      <c r="B33" s="39" t="str">
        <f t="shared" si="0"/>
        <v/>
      </c>
      <c r="C33" s="40"/>
      <c r="D33" s="40"/>
      <c r="E33" s="40"/>
      <c r="F33" s="40"/>
      <c r="G33" s="126"/>
      <c r="H33" s="141">
        <v>28</v>
      </c>
      <c r="I33" s="142" t="str">
        <f t="shared" si="1"/>
        <v/>
      </c>
      <c r="J33" s="142">
        <f t="shared" si="5"/>
        <v>0</v>
      </c>
      <c r="K33" s="141">
        <f t="shared" si="2"/>
        <v>0</v>
      </c>
      <c r="L33" s="141"/>
      <c r="M33" s="143">
        <f t="shared" si="3"/>
        <v>0</v>
      </c>
    </row>
    <row r="34" spans="1:21" x14ac:dyDescent="0.25">
      <c r="A34" s="76">
        <f t="shared" si="4"/>
        <v>0</v>
      </c>
      <c r="B34" s="33" t="str">
        <f t="shared" si="0"/>
        <v/>
      </c>
      <c r="C34" s="34"/>
      <c r="D34" s="34"/>
      <c r="E34" s="34"/>
      <c r="F34" s="34"/>
      <c r="G34" s="126"/>
      <c r="H34" s="138">
        <v>29</v>
      </c>
      <c r="I34" s="139" t="str">
        <f t="shared" si="1"/>
        <v/>
      </c>
      <c r="J34" s="139">
        <f t="shared" si="5"/>
        <v>0</v>
      </c>
      <c r="K34" s="138">
        <f t="shared" si="2"/>
        <v>0</v>
      </c>
      <c r="L34" s="138"/>
      <c r="M34" s="140">
        <f t="shared" si="3"/>
        <v>0</v>
      </c>
    </row>
    <row r="35" spans="1:21" x14ac:dyDescent="0.25">
      <c r="A35" s="77">
        <f t="shared" si="4"/>
        <v>0</v>
      </c>
      <c r="B35" s="39" t="str">
        <f t="shared" si="0"/>
        <v/>
      </c>
      <c r="C35" s="40"/>
      <c r="D35" s="40"/>
      <c r="E35" s="40"/>
      <c r="F35" s="40"/>
      <c r="G35" s="126"/>
      <c r="H35" s="141">
        <v>30</v>
      </c>
      <c r="I35" s="142" t="str">
        <f t="shared" si="1"/>
        <v/>
      </c>
      <c r="J35" s="142">
        <f t="shared" si="5"/>
        <v>0</v>
      </c>
      <c r="K35" s="141">
        <f t="shared" si="2"/>
        <v>0</v>
      </c>
      <c r="L35" s="141"/>
      <c r="M35" s="143">
        <f t="shared" si="3"/>
        <v>0</v>
      </c>
    </row>
    <row r="36" spans="1:21" x14ac:dyDescent="0.25">
      <c r="A36" s="76">
        <f t="shared" si="4"/>
        <v>0</v>
      </c>
      <c r="B36" s="33" t="str">
        <f t="shared" si="0"/>
        <v/>
      </c>
      <c r="C36" s="34"/>
      <c r="D36" s="34"/>
      <c r="E36" s="34"/>
      <c r="F36" s="34"/>
      <c r="G36" s="126"/>
      <c r="H36" s="138">
        <v>31</v>
      </c>
      <c r="I36" s="139" t="str">
        <f t="shared" si="1"/>
        <v/>
      </c>
      <c r="J36" s="139">
        <f t="shared" si="5"/>
        <v>0</v>
      </c>
      <c r="K36" s="138">
        <f t="shared" si="2"/>
        <v>0</v>
      </c>
      <c r="L36" s="138"/>
      <c r="M36" s="140">
        <f t="shared" si="3"/>
        <v>0</v>
      </c>
      <c r="R36" s="151"/>
      <c r="S36" s="152"/>
    </row>
    <row r="37" spans="1:21" x14ac:dyDescent="0.25">
      <c r="A37" s="77">
        <f t="shared" si="4"/>
        <v>0</v>
      </c>
      <c r="B37" s="39" t="str">
        <f t="shared" si="0"/>
        <v/>
      </c>
      <c r="C37" s="40"/>
      <c r="D37" s="40"/>
      <c r="E37" s="40"/>
      <c r="F37" s="40"/>
      <c r="G37" s="126"/>
      <c r="H37" s="141">
        <v>32</v>
      </c>
      <c r="I37" s="142" t="str">
        <f t="shared" si="1"/>
        <v/>
      </c>
      <c r="J37" s="142">
        <f t="shared" si="5"/>
        <v>0</v>
      </c>
      <c r="K37" s="141">
        <f t="shared" si="2"/>
        <v>0</v>
      </c>
      <c r="L37" s="141"/>
      <c r="M37" s="143">
        <f t="shared" si="3"/>
        <v>0</v>
      </c>
    </row>
    <row r="38" spans="1:21" x14ac:dyDescent="0.25">
      <c r="A38" s="77">
        <f t="shared" si="4"/>
        <v>0</v>
      </c>
      <c r="B38" s="33" t="str">
        <f t="shared" si="0"/>
        <v/>
      </c>
      <c r="C38" s="34"/>
      <c r="D38" s="34"/>
      <c r="E38" s="34"/>
      <c r="F38" s="34"/>
      <c r="G38" s="126"/>
      <c r="H38" s="138">
        <v>33</v>
      </c>
      <c r="I38" s="139" t="str">
        <f t="shared" si="1"/>
        <v/>
      </c>
      <c r="J38" s="139">
        <f t="shared" si="5"/>
        <v>-1</v>
      </c>
      <c r="K38" s="138">
        <f t="shared" si="2"/>
        <v>-10</v>
      </c>
      <c r="L38" s="138"/>
      <c r="M38" s="140">
        <f t="shared" si="3"/>
        <v>0</v>
      </c>
    </row>
    <row r="39" spans="1:21" x14ac:dyDescent="0.25">
      <c r="A39" s="77">
        <f t="shared" si="4"/>
        <v>0</v>
      </c>
      <c r="B39" s="39" t="str">
        <f t="shared" si="0"/>
        <v/>
      </c>
      <c r="C39" s="40"/>
      <c r="D39" s="40"/>
      <c r="E39" s="40"/>
      <c r="F39" s="40"/>
      <c r="G39" s="126"/>
      <c r="H39" s="141">
        <v>34</v>
      </c>
      <c r="I39" s="142" t="str">
        <f t="shared" si="1"/>
        <v/>
      </c>
      <c r="J39" s="142">
        <f t="shared" si="5"/>
        <v>-1</v>
      </c>
      <c r="K39" s="141">
        <f t="shared" si="2"/>
        <v>-10</v>
      </c>
      <c r="L39" s="141"/>
      <c r="M39" s="143">
        <f t="shared" si="3"/>
        <v>0</v>
      </c>
    </row>
    <row r="40" spans="1:21" x14ac:dyDescent="0.25">
      <c r="A40" s="77">
        <f t="shared" si="4"/>
        <v>0</v>
      </c>
      <c r="B40" s="33" t="str">
        <f t="shared" si="0"/>
        <v/>
      </c>
      <c r="C40" s="34"/>
      <c r="D40" s="34"/>
      <c r="E40" s="34"/>
      <c r="F40" s="34"/>
      <c r="G40" s="126"/>
      <c r="H40" s="138">
        <v>35</v>
      </c>
      <c r="I40" s="139" t="str">
        <f t="shared" si="1"/>
        <v/>
      </c>
      <c r="J40" s="139">
        <f t="shared" si="5"/>
        <v>-1</v>
      </c>
      <c r="K40" s="138">
        <f t="shared" si="2"/>
        <v>-10</v>
      </c>
      <c r="L40" s="138"/>
      <c r="M40" s="140">
        <f t="shared" si="3"/>
        <v>0</v>
      </c>
    </row>
    <row r="41" spans="1:21" x14ac:dyDescent="0.25">
      <c r="A41" s="77">
        <f t="shared" si="4"/>
        <v>0</v>
      </c>
      <c r="B41" s="39" t="str">
        <f t="shared" si="0"/>
        <v/>
      </c>
      <c r="C41" s="40"/>
      <c r="D41" s="40"/>
      <c r="E41" s="40"/>
      <c r="F41" s="40"/>
      <c r="G41" s="126"/>
      <c r="H41" s="141">
        <v>36</v>
      </c>
      <c r="I41" s="142" t="str">
        <f t="shared" si="1"/>
        <v/>
      </c>
      <c r="J41" s="142">
        <f t="shared" si="5"/>
        <v>-1</v>
      </c>
      <c r="K41" s="141">
        <f t="shared" si="2"/>
        <v>-10</v>
      </c>
      <c r="L41" s="141"/>
      <c r="M41" s="143">
        <f t="shared" si="3"/>
        <v>0</v>
      </c>
      <c r="S41" s="153"/>
    </row>
    <row r="42" spans="1:21" x14ac:dyDescent="0.25">
      <c r="A42" s="77">
        <f t="shared" si="4"/>
        <v>0</v>
      </c>
      <c r="B42" s="33" t="str">
        <f t="shared" si="0"/>
        <v/>
      </c>
      <c r="C42" s="34"/>
      <c r="D42" s="34"/>
      <c r="E42" s="34"/>
      <c r="F42" s="34"/>
      <c r="G42" s="126"/>
      <c r="H42" s="138">
        <v>37</v>
      </c>
      <c r="I42" s="139" t="str">
        <f t="shared" si="1"/>
        <v/>
      </c>
      <c r="J42" s="139">
        <f t="shared" si="5"/>
        <v>-1</v>
      </c>
      <c r="K42" s="138">
        <f t="shared" si="2"/>
        <v>-10</v>
      </c>
      <c r="L42" s="138"/>
      <c r="M42" s="140">
        <f t="shared" si="3"/>
        <v>0</v>
      </c>
    </row>
    <row r="43" spans="1:21" x14ac:dyDescent="0.25">
      <c r="A43" s="77">
        <f t="shared" si="4"/>
        <v>0</v>
      </c>
      <c r="B43" s="39" t="str">
        <f t="shared" si="0"/>
        <v/>
      </c>
      <c r="C43" s="40"/>
      <c r="D43" s="40"/>
      <c r="E43" s="40"/>
      <c r="F43" s="40"/>
      <c r="G43" s="126"/>
      <c r="H43" s="141">
        <v>38</v>
      </c>
      <c r="I43" s="142" t="str">
        <f t="shared" si="1"/>
        <v/>
      </c>
      <c r="J43" s="142">
        <f t="shared" si="5"/>
        <v>-1</v>
      </c>
      <c r="K43" s="141">
        <f t="shared" si="2"/>
        <v>-10</v>
      </c>
      <c r="L43" s="141"/>
      <c r="M43" s="143">
        <f t="shared" si="3"/>
        <v>0</v>
      </c>
    </row>
    <row r="44" spans="1:21" x14ac:dyDescent="0.25">
      <c r="A44" s="77">
        <f t="shared" si="4"/>
        <v>0</v>
      </c>
      <c r="B44" s="33" t="str">
        <f t="shared" si="0"/>
        <v/>
      </c>
      <c r="C44" s="34"/>
      <c r="D44" s="34"/>
      <c r="E44" s="34"/>
      <c r="F44" s="34"/>
      <c r="G44" s="126"/>
      <c r="H44" s="138">
        <v>39</v>
      </c>
      <c r="I44" s="139" t="str">
        <f t="shared" si="1"/>
        <v/>
      </c>
      <c r="J44" s="139">
        <f t="shared" si="5"/>
        <v>-1</v>
      </c>
      <c r="K44" s="138">
        <f t="shared" si="2"/>
        <v>-10</v>
      </c>
      <c r="L44" s="138"/>
      <c r="M44" s="140">
        <f t="shared" si="3"/>
        <v>0</v>
      </c>
    </row>
    <row r="45" spans="1:21" x14ac:dyDescent="0.25">
      <c r="A45" s="77">
        <f t="shared" si="4"/>
        <v>0</v>
      </c>
      <c r="B45" s="39" t="str">
        <f t="shared" si="0"/>
        <v/>
      </c>
      <c r="C45" s="40"/>
      <c r="D45" s="40"/>
      <c r="E45" s="40"/>
      <c r="F45" s="40"/>
      <c r="G45" s="126"/>
      <c r="H45" s="141">
        <v>40</v>
      </c>
      <c r="I45" s="142" t="str">
        <f t="shared" si="1"/>
        <v/>
      </c>
      <c r="J45" s="142">
        <f t="shared" si="5"/>
        <v>-1</v>
      </c>
      <c r="K45" s="141">
        <f t="shared" si="2"/>
        <v>-10</v>
      </c>
      <c r="L45" s="141"/>
      <c r="M45" s="143">
        <f t="shared" si="3"/>
        <v>0</v>
      </c>
    </row>
    <row r="46" spans="1:21" x14ac:dyDescent="0.25">
      <c r="A46" s="77">
        <f t="shared" si="4"/>
        <v>0</v>
      </c>
      <c r="B46" s="33" t="str">
        <f t="shared" si="0"/>
        <v/>
      </c>
      <c r="C46" s="34"/>
      <c r="D46" s="34"/>
      <c r="E46" s="34"/>
      <c r="F46" s="34"/>
      <c r="G46" s="126"/>
      <c r="H46" s="138">
        <v>41</v>
      </c>
      <c r="I46" s="139" t="str">
        <f t="shared" si="1"/>
        <v/>
      </c>
      <c r="J46" s="139">
        <f t="shared" si="5"/>
        <v>-1</v>
      </c>
      <c r="K46" s="138">
        <f t="shared" si="2"/>
        <v>-10</v>
      </c>
      <c r="L46" s="138"/>
      <c r="M46" s="140">
        <f t="shared" si="3"/>
        <v>0</v>
      </c>
      <c r="R46" s="126">
        <f>LOG($H$2,2)</f>
        <v>4.3219280948873626</v>
      </c>
      <c r="T46" s="131">
        <f>LOG(H38,2)</f>
        <v>5.0443941193584534</v>
      </c>
      <c r="U46" s="131">
        <f>R46-T46</f>
        <v>-0.72246602447109076</v>
      </c>
    </row>
    <row r="47" spans="1:21" x14ac:dyDescent="0.25">
      <c r="A47" s="77">
        <f t="shared" si="4"/>
        <v>0</v>
      </c>
      <c r="B47" s="39" t="str">
        <f t="shared" si="0"/>
        <v/>
      </c>
      <c r="C47" s="40"/>
      <c r="D47" s="40"/>
      <c r="E47" s="40"/>
      <c r="F47" s="40"/>
      <c r="G47" s="126"/>
      <c r="H47" s="141">
        <v>42</v>
      </c>
      <c r="I47" s="142" t="str">
        <f t="shared" si="1"/>
        <v/>
      </c>
      <c r="J47" s="142">
        <f t="shared" si="5"/>
        <v>-1</v>
      </c>
      <c r="K47" s="141">
        <f t="shared" si="2"/>
        <v>-10</v>
      </c>
      <c r="L47" s="141"/>
      <c r="M47" s="143">
        <f t="shared" si="3"/>
        <v>0</v>
      </c>
    </row>
    <row r="48" spans="1:21" x14ac:dyDescent="0.25">
      <c r="A48" s="77">
        <f t="shared" si="4"/>
        <v>0</v>
      </c>
      <c r="B48" s="33" t="str">
        <f t="shared" si="0"/>
        <v/>
      </c>
      <c r="C48" s="34"/>
      <c r="D48" s="34"/>
      <c r="E48" s="34"/>
      <c r="F48" s="34"/>
      <c r="G48" s="126"/>
      <c r="H48" s="138">
        <v>43</v>
      </c>
      <c r="I48" s="139" t="str">
        <f t="shared" si="1"/>
        <v/>
      </c>
      <c r="J48" s="139">
        <f t="shared" si="5"/>
        <v>-1</v>
      </c>
      <c r="K48" s="138">
        <f t="shared" si="2"/>
        <v>-10</v>
      </c>
      <c r="L48" s="138"/>
      <c r="M48" s="140">
        <f t="shared" si="3"/>
        <v>0</v>
      </c>
    </row>
    <row r="49" spans="1:13" x14ac:dyDescent="0.25">
      <c r="A49" s="77">
        <f t="shared" si="4"/>
        <v>0</v>
      </c>
      <c r="B49" s="39" t="str">
        <f t="shared" si="0"/>
        <v/>
      </c>
      <c r="C49" s="40"/>
      <c r="D49" s="40"/>
      <c r="E49" s="40"/>
      <c r="F49" s="40"/>
      <c r="G49" s="126"/>
      <c r="H49" s="141">
        <v>44</v>
      </c>
      <c r="I49" s="142" t="str">
        <f t="shared" si="1"/>
        <v/>
      </c>
      <c r="J49" s="142">
        <f t="shared" si="5"/>
        <v>-1</v>
      </c>
      <c r="K49" s="141">
        <f t="shared" si="2"/>
        <v>-10</v>
      </c>
      <c r="L49" s="141"/>
      <c r="M49" s="143">
        <f t="shared" si="3"/>
        <v>0</v>
      </c>
    </row>
    <row r="50" spans="1:13" x14ac:dyDescent="0.25">
      <c r="A50" s="77">
        <f t="shared" si="4"/>
        <v>0</v>
      </c>
      <c r="B50" s="33" t="str">
        <f t="shared" si="0"/>
        <v/>
      </c>
      <c r="C50" s="34"/>
      <c r="D50" s="34"/>
      <c r="E50" s="34"/>
      <c r="F50" s="34"/>
      <c r="G50" s="126"/>
      <c r="H50" s="138">
        <v>45</v>
      </c>
      <c r="I50" s="139" t="str">
        <f t="shared" si="1"/>
        <v/>
      </c>
      <c r="J50" s="139">
        <f t="shared" si="5"/>
        <v>-1</v>
      </c>
      <c r="K50" s="138">
        <f t="shared" si="2"/>
        <v>-10</v>
      </c>
      <c r="L50" s="138"/>
      <c r="M50" s="140">
        <f t="shared" si="3"/>
        <v>0</v>
      </c>
    </row>
    <row r="51" spans="1:13" x14ac:dyDescent="0.25">
      <c r="A51" s="77">
        <f t="shared" si="4"/>
        <v>0</v>
      </c>
      <c r="B51" s="39" t="str">
        <f t="shared" si="0"/>
        <v/>
      </c>
      <c r="C51" s="40"/>
      <c r="D51" s="40"/>
      <c r="E51" s="40"/>
      <c r="F51" s="40"/>
      <c r="G51" s="126"/>
      <c r="H51" s="141">
        <v>46</v>
      </c>
      <c r="I51" s="142" t="str">
        <f t="shared" si="1"/>
        <v/>
      </c>
      <c r="J51" s="142">
        <f t="shared" si="5"/>
        <v>-1</v>
      </c>
      <c r="K51" s="141">
        <f t="shared" si="2"/>
        <v>-10</v>
      </c>
      <c r="L51" s="141"/>
      <c r="M51" s="143">
        <f t="shared" si="3"/>
        <v>0</v>
      </c>
    </row>
    <row r="52" spans="1:13" x14ac:dyDescent="0.25">
      <c r="A52" s="77">
        <f t="shared" si="4"/>
        <v>0</v>
      </c>
      <c r="B52" s="33" t="str">
        <f t="shared" si="0"/>
        <v/>
      </c>
      <c r="C52" s="34"/>
      <c r="D52" s="34"/>
      <c r="E52" s="34"/>
      <c r="F52" s="34"/>
      <c r="G52" s="126"/>
      <c r="H52" s="138">
        <v>47</v>
      </c>
      <c r="I52" s="139" t="str">
        <f t="shared" si="1"/>
        <v/>
      </c>
      <c r="J52" s="139">
        <f t="shared" si="5"/>
        <v>-1</v>
      </c>
      <c r="K52" s="138">
        <f t="shared" si="2"/>
        <v>-10</v>
      </c>
      <c r="L52" s="138"/>
      <c r="M52" s="140">
        <f t="shared" si="3"/>
        <v>0</v>
      </c>
    </row>
    <row r="53" spans="1:13" x14ac:dyDescent="0.25">
      <c r="A53" s="77">
        <f t="shared" si="4"/>
        <v>0</v>
      </c>
      <c r="B53" s="39" t="str">
        <f t="shared" si="0"/>
        <v/>
      </c>
      <c r="C53" s="40"/>
      <c r="D53" s="40"/>
      <c r="E53" s="40"/>
      <c r="F53" s="40"/>
      <c r="G53" s="126"/>
      <c r="H53" s="141">
        <v>48</v>
      </c>
      <c r="I53" s="142" t="str">
        <f t="shared" si="1"/>
        <v/>
      </c>
      <c r="J53" s="142">
        <f t="shared" si="5"/>
        <v>-1</v>
      </c>
      <c r="K53" s="141">
        <f t="shared" si="2"/>
        <v>-10</v>
      </c>
      <c r="L53" s="141"/>
      <c r="M53" s="143">
        <f t="shared" si="3"/>
        <v>0</v>
      </c>
    </row>
    <row r="54" spans="1:13" x14ac:dyDescent="0.25">
      <c r="A54" s="77">
        <f t="shared" si="4"/>
        <v>0</v>
      </c>
      <c r="B54" s="33" t="str">
        <f t="shared" si="0"/>
        <v/>
      </c>
      <c r="C54" s="34"/>
      <c r="D54" s="34"/>
      <c r="E54" s="34"/>
      <c r="F54" s="34"/>
      <c r="G54" s="126"/>
      <c r="H54" s="138">
        <v>49</v>
      </c>
      <c r="I54" s="139" t="str">
        <f t="shared" si="1"/>
        <v/>
      </c>
      <c r="J54" s="139">
        <f t="shared" si="5"/>
        <v>-1</v>
      </c>
      <c r="K54" s="138">
        <f t="shared" si="2"/>
        <v>-10</v>
      </c>
      <c r="L54" s="138"/>
      <c r="M54" s="140">
        <f t="shared" si="3"/>
        <v>0</v>
      </c>
    </row>
    <row r="55" spans="1:13" x14ac:dyDescent="0.25">
      <c r="A55" s="77">
        <f t="shared" si="4"/>
        <v>0</v>
      </c>
      <c r="B55" s="39" t="str">
        <f t="shared" si="0"/>
        <v/>
      </c>
      <c r="C55" s="40"/>
      <c r="D55" s="40"/>
      <c r="E55" s="40"/>
      <c r="F55" s="40"/>
      <c r="G55" s="126"/>
      <c r="H55" s="141">
        <v>50</v>
      </c>
      <c r="I55" s="142" t="str">
        <f t="shared" si="1"/>
        <v/>
      </c>
      <c r="J55" s="142">
        <f t="shared" si="5"/>
        <v>-1</v>
      </c>
      <c r="K55" s="141">
        <f t="shared" si="2"/>
        <v>-10</v>
      </c>
      <c r="L55" s="141"/>
      <c r="M55" s="143">
        <f t="shared" si="3"/>
        <v>0</v>
      </c>
    </row>
    <row r="56" spans="1:13" x14ac:dyDescent="0.25">
      <c r="A56" s="77">
        <f t="shared" si="4"/>
        <v>0</v>
      </c>
      <c r="B56" s="33" t="str">
        <f t="shared" si="0"/>
        <v/>
      </c>
      <c r="C56" s="34"/>
      <c r="D56" s="34"/>
      <c r="E56" s="34"/>
      <c r="F56" s="34"/>
      <c r="G56" s="126"/>
      <c r="H56" s="138">
        <v>51</v>
      </c>
      <c r="I56" s="139" t="str">
        <f t="shared" si="1"/>
        <v/>
      </c>
      <c r="J56" s="139">
        <f t="shared" si="5"/>
        <v>-1</v>
      </c>
      <c r="K56" s="138">
        <f t="shared" si="2"/>
        <v>-10</v>
      </c>
      <c r="L56" s="138"/>
      <c r="M56" s="140">
        <f t="shared" si="3"/>
        <v>0</v>
      </c>
    </row>
    <row r="57" spans="1:13" x14ac:dyDescent="0.25">
      <c r="A57" s="77">
        <f t="shared" si="4"/>
        <v>0</v>
      </c>
      <c r="B57" s="39" t="str">
        <f t="shared" si="0"/>
        <v/>
      </c>
      <c r="C57" s="40"/>
      <c r="D57" s="40"/>
      <c r="E57" s="40"/>
      <c r="F57" s="40"/>
      <c r="G57" s="126"/>
      <c r="H57" s="141">
        <v>52</v>
      </c>
      <c r="I57" s="142" t="str">
        <f t="shared" si="1"/>
        <v/>
      </c>
      <c r="J57" s="142">
        <f t="shared" si="5"/>
        <v>-1</v>
      </c>
      <c r="K57" s="141">
        <f t="shared" si="2"/>
        <v>-10</v>
      </c>
      <c r="L57" s="141"/>
      <c r="M57" s="143">
        <f t="shared" si="3"/>
        <v>0</v>
      </c>
    </row>
    <row r="58" spans="1:13" x14ac:dyDescent="0.25">
      <c r="A58" s="77">
        <f t="shared" si="4"/>
        <v>0</v>
      </c>
      <c r="B58" s="33" t="str">
        <f t="shared" si="0"/>
        <v/>
      </c>
      <c r="C58" s="34"/>
      <c r="D58" s="34"/>
      <c r="E58" s="34"/>
      <c r="F58" s="34"/>
      <c r="G58" s="126"/>
      <c r="H58" s="138">
        <v>53</v>
      </c>
      <c r="I58" s="139" t="str">
        <f t="shared" si="1"/>
        <v/>
      </c>
      <c r="J58" s="139">
        <f t="shared" si="5"/>
        <v>-1</v>
      </c>
      <c r="K58" s="138">
        <f t="shared" si="2"/>
        <v>-10</v>
      </c>
      <c r="L58" s="138"/>
      <c r="M58" s="140">
        <f t="shared" si="3"/>
        <v>0</v>
      </c>
    </row>
    <row r="59" spans="1:13" x14ac:dyDescent="0.25">
      <c r="A59" s="77">
        <f t="shared" si="4"/>
        <v>0</v>
      </c>
      <c r="B59" s="39" t="str">
        <f t="shared" si="0"/>
        <v/>
      </c>
      <c r="C59" s="40"/>
      <c r="D59" s="40"/>
      <c r="E59" s="40"/>
      <c r="F59" s="40"/>
      <c r="G59" s="126"/>
      <c r="H59" s="141">
        <v>54</v>
      </c>
      <c r="I59" s="142" t="str">
        <f t="shared" si="1"/>
        <v/>
      </c>
      <c r="J59" s="142">
        <f t="shared" si="5"/>
        <v>-1</v>
      </c>
      <c r="K59" s="141">
        <f t="shared" si="2"/>
        <v>-10</v>
      </c>
      <c r="L59" s="141"/>
      <c r="M59" s="143">
        <f t="shared" si="3"/>
        <v>0</v>
      </c>
    </row>
    <row r="60" spans="1:13" x14ac:dyDescent="0.25">
      <c r="A60" s="77">
        <f t="shared" si="4"/>
        <v>0</v>
      </c>
      <c r="B60" s="33" t="str">
        <f t="shared" si="0"/>
        <v/>
      </c>
      <c r="C60" s="34"/>
      <c r="D60" s="34"/>
      <c r="E60" s="34"/>
      <c r="F60" s="34"/>
      <c r="G60" s="126"/>
      <c r="H60" s="138">
        <v>55</v>
      </c>
      <c r="I60" s="139" t="str">
        <f t="shared" si="1"/>
        <v/>
      </c>
      <c r="J60" s="139">
        <f t="shared" si="5"/>
        <v>-1</v>
      </c>
      <c r="K60" s="138">
        <f t="shared" si="2"/>
        <v>-10</v>
      </c>
      <c r="L60" s="138"/>
      <c r="M60" s="140">
        <f t="shared" si="3"/>
        <v>0</v>
      </c>
    </row>
    <row r="61" spans="1:13" x14ac:dyDescent="0.25">
      <c r="A61" s="77">
        <f t="shared" si="4"/>
        <v>0</v>
      </c>
      <c r="B61" s="39" t="str">
        <f t="shared" si="0"/>
        <v/>
      </c>
      <c r="C61" s="40"/>
      <c r="D61" s="40"/>
      <c r="E61" s="40"/>
      <c r="F61" s="40"/>
      <c r="G61" s="126"/>
      <c r="H61" s="141">
        <v>56</v>
      </c>
      <c r="I61" s="142" t="str">
        <f t="shared" si="1"/>
        <v/>
      </c>
      <c r="J61" s="142">
        <f t="shared" si="5"/>
        <v>-1</v>
      </c>
      <c r="K61" s="141">
        <f t="shared" si="2"/>
        <v>-10</v>
      </c>
      <c r="L61" s="141"/>
      <c r="M61" s="143">
        <f t="shared" si="3"/>
        <v>0</v>
      </c>
    </row>
    <row r="62" spans="1:13" x14ac:dyDescent="0.25">
      <c r="A62" s="77">
        <f t="shared" si="4"/>
        <v>0</v>
      </c>
      <c r="B62" s="33" t="str">
        <f t="shared" si="0"/>
        <v/>
      </c>
      <c r="C62" s="34"/>
      <c r="D62" s="34"/>
      <c r="E62" s="34"/>
      <c r="F62" s="34"/>
      <c r="G62" s="126"/>
      <c r="H62" s="138">
        <v>57</v>
      </c>
      <c r="I62" s="139" t="str">
        <f t="shared" si="1"/>
        <v/>
      </c>
      <c r="J62" s="139">
        <f t="shared" si="5"/>
        <v>-1</v>
      </c>
      <c r="K62" s="138">
        <f t="shared" si="2"/>
        <v>-10</v>
      </c>
      <c r="L62" s="138"/>
      <c r="M62" s="140">
        <f t="shared" si="3"/>
        <v>0</v>
      </c>
    </row>
    <row r="63" spans="1:13" x14ac:dyDescent="0.25">
      <c r="A63" s="77">
        <f t="shared" si="4"/>
        <v>0</v>
      </c>
      <c r="B63" s="39" t="str">
        <f t="shared" si="0"/>
        <v/>
      </c>
      <c r="C63" s="40"/>
      <c r="D63" s="40"/>
      <c r="E63" s="40"/>
      <c r="F63" s="40"/>
      <c r="G63" s="126"/>
      <c r="H63" s="141">
        <v>58</v>
      </c>
      <c r="I63" s="142" t="str">
        <f t="shared" si="1"/>
        <v/>
      </c>
      <c r="J63" s="142">
        <f t="shared" si="5"/>
        <v>-1</v>
      </c>
      <c r="K63" s="141">
        <f t="shared" si="2"/>
        <v>-10</v>
      </c>
      <c r="L63" s="141"/>
      <c r="M63" s="143">
        <f t="shared" si="3"/>
        <v>0</v>
      </c>
    </row>
    <row r="64" spans="1:13" x14ac:dyDescent="0.25">
      <c r="A64" s="77">
        <f t="shared" si="4"/>
        <v>0</v>
      </c>
      <c r="B64" s="33" t="str">
        <f t="shared" si="0"/>
        <v/>
      </c>
      <c r="C64" s="34"/>
      <c r="D64" s="34"/>
      <c r="E64" s="34"/>
      <c r="F64" s="34"/>
      <c r="G64" s="126"/>
      <c r="H64" s="138">
        <v>59</v>
      </c>
      <c r="I64" s="139" t="str">
        <f t="shared" si="1"/>
        <v/>
      </c>
      <c r="J64" s="139">
        <f t="shared" si="5"/>
        <v>-1</v>
      </c>
      <c r="K64" s="138">
        <f t="shared" si="2"/>
        <v>-10</v>
      </c>
      <c r="L64" s="138"/>
      <c r="M64" s="140">
        <f t="shared" si="3"/>
        <v>0</v>
      </c>
    </row>
    <row r="65" spans="1:13" x14ac:dyDescent="0.25">
      <c r="A65" s="77">
        <f t="shared" si="4"/>
        <v>0</v>
      </c>
      <c r="B65" s="39" t="str">
        <f t="shared" si="0"/>
        <v/>
      </c>
      <c r="C65" s="40"/>
      <c r="D65" s="40"/>
      <c r="E65" s="40"/>
      <c r="F65" s="40"/>
      <c r="G65" s="126"/>
      <c r="H65" s="141">
        <v>60</v>
      </c>
      <c r="I65" s="142" t="str">
        <f t="shared" si="1"/>
        <v/>
      </c>
      <c r="J65" s="142">
        <f t="shared" si="5"/>
        <v>-1</v>
      </c>
      <c r="K65" s="141">
        <f t="shared" si="2"/>
        <v>-10</v>
      </c>
      <c r="L65" s="141"/>
      <c r="M65" s="143">
        <f t="shared" si="3"/>
        <v>0</v>
      </c>
    </row>
    <row r="66" spans="1:13" x14ac:dyDescent="0.25">
      <c r="A66" s="77">
        <f t="shared" si="4"/>
        <v>0</v>
      </c>
      <c r="B66" s="33"/>
      <c r="G66" s="126"/>
      <c r="H66" s="138">
        <v>61</v>
      </c>
      <c r="I66" s="139" t="str">
        <f t="shared" si="1"/>
        <v/>
      </c>
      <c r="J66" s="139">
        <f t="shared" si="5"/>
        <v>-1</v>
      </c>
      <c r="K66" s="138">
        <f t="shared" si="2"/>
        <v>-10</v>
      </c>
      <c r="L66" s="138"/>
      <c r="M66" s="140">
        <f t="shared" si="3"/>
        <v>0</v>
      </c>
    </row>
    <row r="67" spans="1:13" x14ac:dyDescent="0.25">
      <c r="A67" s="77">
        <f t="shared" si="4"/>
        <v>0</v>
      </c>
      <c r="B67" s="39"/>
      <c r="G67" s="126"/>
      <c r="H67" s="138">
        <v>62</v>
      </c>
      <c r="I67" s="139" t="str">
        <f t="shared" si="1"/>
        <v/>
      </c>
      <c r="J67" s="139">
        <f t="shared" si="5"/>
        <v>-1</v>
      </c>
      <c r="K67" s="138">
        <f t="shared" si="2"/>
        <v>-10</v>
      </c>
      <c r="L67" s="138"/>
      <c r="M67" s="140">
        <f t="shared" si="3"/>
        <v>0</v>
      </c>
    </row>
    <row r="68" spans="1:13" x14ac:dyDescent="0.25">
      <c r="A68" s="77">
        <f t="shared" si="4"/>
        <v>0</v>
      </c>
      <c r="B68" s="33"/>
      <c r="G68" s="126"/>
      <c r="H68" s="138">
        <v>63</v>
      </c>
      <c r="I68" s="139" t="str">
        <f t="shared" si="1"/>
        <v/>
      </c>
      <c r="J68" s="139">
        <f t="shared" si="5"/>
        <v>-1</v>
      </c>
      <c r="K68" s="138">
        <f t="shared" si="2"/>
        <v>-10</v>
      </c>
      <c r="L68" s="138"/>
      <c r="M68" s="140">
        <f t="shared" si="3"/>
        <v>0</v>
      </c>
    </row>
    <row r="69" spans="1:13" x14ac:dyDescent="0.25">
      <c r="A69" s="77">
        <f t="shared" si="4"/>
        <v>0</v>
      </c>
      <c r="B69" s="39"/>
      <c r="G69" s="126"/>
      <c r="H69" s="138">
        <v>64</v>
      </c>
      <c r="I69" s="139" t="str">
        <f t="shared" si="1"/>
        <v/>
      </c>
      <c r="J69" s="139">
        <f t="shared" si="5"/>
        <v>-1</v>
      </c>
      <c r="K69" s="138">
        <f t="shared" si="2"/>
        <v>-10</v>
      </c>
      <c r="L69" s="138"/>
      <c r="M69" s="140">
        <f t="shared" si="3"/>
        <v>0</v>
      </c>
    </row>
    <row r="70" spans="1:13" x14ac:dyDescent="0.25">
      <c r="A70" s="77">
        <f t="shared" si="4"/>
        <v>0</v>
      </c>
      <c r="G70" s="126"/>
      <c r="H70" s="138">
        <v>65</v>
      </c>
      <c r="I70" s="139" t="str">
        <f t="shared" ref="I70:I133" si="6">IF(H70&lt;$H$2+1,($I$2-($I$2-1)*(LOG(H70)/LOG($H$2))),"")</f>
        <v/>
      </c>
      <c r="J70" s="139">
        <f t="shared" si="5"/>
        <v>-2</v>
      </c>
      <c r="K70" s="138">
        <f t="shared" ref="K70:K133" si="7">J70*$J$2</f>
        <v>-20</v>
      </c>
      <c r="L70" s="138"/>
      <c r="M70" s="140">
        <f t="shared" ref="M70:M133" si="8">IF(I70&lt;&gt;"",K70+I70+L70,0)</f>
        <v>0</v>
      </c>
    </row>
    <row r="71" spans="1:13" x14ac:dyDescent="0.25">
      <c r="A71" s="77">
        <f t="shared" ref="A71:A79" si="9">M71</f>
        <v>0</v>
      </c>
      <c r="G71" s="126"/>
      <c r="H71" s="138">
        <v>66</v>
      </c>
      <c r="I71" s="139" t="str">
        <f t="shared" si="6"/>
        <v/>
      </c>
      <c r="J71" s="139">
        <f t="shared" ref="J71:J134" si="10">INT(LOG($H$2,2))-ROUNDUP(LOG(H71,2),0)+IF(OR($H$2=1,$H$2=2,$H$2=4,$H$2=8,$H$2=16,$H$2=32,$H$2=64,$H$2=128,$H$2=256),0,1)</f>
        <v>-2</v>
      </c>
      <c r="K71" s="138">
        <f t="shared" si="7"/>
        <v>-20</v>
      </c>
      <c r="L71" s="138"/>
      <c r="M71" s="140">
        <f t="shared" si="8"/>
        <v>0</v>
      </c>
    </row>
    <row r="72" spans="1:13" x14ac:dyDescent="0.25">
      <c r="A72" s="77">
        <f t="shared" si="9"/>
        <v>0</v>
      </c>
      <c r="G72" s="126"/>
      <c r="H72" s="138">
        <v>67</v>
      </c>
      <c r="I72" s="139" t="str">
        <f t="shared" si="6"/>
        <v/>
      </c>
      <c r="J72" s="139">
        <f t="shared" si="10"/>
        <v>-2</v>
      </c>
      <c r="K72" s="138">
        <f t="shared" si="7"/>
        <v>-20</v>
      </c>
      <c r="L72" s="138"/>
      <c r="M72" s="140">
        <f t="shared" si="8"/>
        <v>0</v>
      </c>
    </row>
    <row r="73" spans="1:13" x14ac:dyDescent="0.25">
      <c r="A73" s="77">
        <f t="shared" si="9"/>
        <v>0</v>
      </c>
      <c r="G73" s="126"/>
      <c r="H73" s="138">
        <v>68</v>
      </c>
      <c r="I73" s="139" t="str">
        <f t="shared" si="6"/>
        <v/>
      </c>
      <c r="J73" s="139">
        <f t="shared" si="10"/>
        <v>-2</v>
      </c>
      <c r="K73" s="138">
        <f t="shared" si="7"/>
        <v>-20</v>
      </c>
      <c r="L73" s="138"/>
      <c r="M73" s="140">
        <f t="shared" si="8"/>
        <v>0</v>
      </c>
    </row>
    <row r="74" spans="1:13" x14ac:dyDescent="0.25">
      <c r="A74" s="77">
        <f t="shared" si="9"/>
        <v>0</v>
      </c>
      <c r="G74" s="126"/>
      <c r="H74" s="138">
        <v>69</v>
      </c>
      <c r="I74" s="139" t="str">
        <f t="shared" si="6"/>
        <v/>
      </c>
      <c r="J74" s="139">
        <f t="shared" si="10"/>
        <v>-2</v>
      </c>
      <c r="K74" s="138">
        <f t="shared" si="7"/>
        <v>-20</v>
      </c>
      <c r="L74" s="138"/>
      <c r="M74" s="140">
        <f t="shared" si="8"/>
        <v>0</v>
      </c>
    </row>
    <row r="75" spans="1:13" x14ac:dyDescent="0.25">
      <c r="A75" s="77">
        <f t="shared" si="9"/>
        <v>0</v>
      </c>
      <c r="G75" s="126"/>
      <c r="H75" s="138">
        <v>70</v>
      </c>
      <c r="I75" s="139" t="str">
        <f t="shared" si="6"/>
        <v/>
      </c>
      <c r="J75" s="139">
        <f t="shared" si="10"/>
        <v>-2</v>
      </c>
      <c r="K75" s="138">
        <f t="shared" si="7"/>
        <v>-20</v>
      </c>
      <c r="L75" s="138"/>
      <c r="M75" s="140">
        <f t="shared" si="8"/>
        <v>0</v>
      </c>
    </row>
    <row r="76" spans="1:13" x14ac:dyDescent="0.25">
      <c r="A76" s="77">
        <f t="shared" si="9"/>
        <v>0</v>
      </c>
      <c r="G76" s="126"/>
      <c r="H76" s="138">
        <v>71</v>
      </c>
      <c r="I76" s="139" t="str">
        <f t="shared" si="6"/>
        <v/>
      </c>
      <c r="J76" s="139">
        <f t="shared" si="10"/>
        <v>-2</v>
      </c>
      <c r="K76" s="138">
        <f t="shared" si="7"/>
        <v>-20</v>
      </c>
      <c r="L76" s="138"/>
      <c r="M76" s="140">
        <f t="shared" si="8"/>
        <v>0</v>
      </c>
    </row>
    <row r="77" spans="1:13" x14ac:dyDescent="0.25">
      <c r="A77" s="77">
        <f t="shared" si="9"/>
        <v>0</v>
      </c>
      <c r="G77" s="126"/>
      <c r="H77" s="138">
        <v>72</v>
      </c>
      <c r="I77" s="139" t="str">
        <f t="shared" si="6"/>
        <v/>
      </c>
      <c r="J77" s="139">
        <f t="shared" si="10"/>
        <v>-2</v>
      </c>
      <c r="K77" s="138">
        <f t="shared" si="7"/>
        <v>-20</v>
      </c>
      <c r="L77" s="138"/>
      <c r="M77" s="140">
        <f t="shared" si="8"/>
        <v>0</v>
      </c>
    </row>
    <row r="78" spans="1:13" x14ac:dyDescent="0.25">
      <c r="A78" s="77">
        <f t="shared" si="9"/>
        <v>0</v>
      </c>
      <c r="G78" s="126"/>
      <c r="H78" s="138">
        <v>73</v>
      </c>
      <c r="I78" s="139" t="str">
        <f t="shared" si="6"/>
        <v/>
      </c>
      <c r="J78" s="139">
        <f t="shared" si="10"/>
        <v>-2</v>
      </c>
      <c r="K78" s="138">
        <f t="shared" si="7"/>
        <v>-20</v>
      </c>
      <c r="L78" s="138"/>
      <c r="M78" s="140">
        <f t="shared" si="8"/>
        <v>0</v>
      </c>
    </row>
    <row r="79" spans="1:13" x14ac:dyDescent="0.25">
      <c r="A79" s="77">
        <f t="shared" si="9"/>
        <v>0</v>
      </c>
      <c r="G79" s="126"/>
      <c r="H79" s="138">
        <v>74</v>
      </c>
      <c r="I79" s="139" t="str">
        <f t="shared" si="6"/>
        <v/>
      </c>
      <c r="J79" s="139">
        <f t="shared" si="10"/>
        <v>-2</v>
      </c>
      <c r="K79" s="138">
        <f t="shared" si="7"/>
        <v>-20</v>
      </c>
      <c r="L79" s="138"/>
      <c r="M79" s="140">
        <f t="shared" si="8"/>
        <v>0</v>
      </c>
    </row>
    <row r="80" spans="1:13" x14ac:dyDescent="0.25">
      <c r="A80" s="76"/>
      <c r="G80" s="126"/>
      <c r="H80" s="138">
        <v>75</v>
      </c>
      <c r="I80" s="139" t="str">
        <f t="shared" si="6"/>
        <v/>
      </c>
      <c r="J80" s="139">
        <f t="shared" si="10"/>
        <v>-2</v>
      </c>
      <c r="K80" s="138">
        <f t="shared" si="7"/>
        <v>-20</v>
      </c>
      <c r="L80" s="138"/>
      <c r="M80" s="140">
        <f t="shared" si="8"/>
        <v>0</v>
      </c>
    </row>
    <row r="81" spans="1:13" x14ac:dyDescent="0.25">
      <c r="A81" s="155"/>
      <c r="G81" s="126"/>
      <c r="H81" s="138">
        <v>76</v>
      </c>
      <c r="I81" s="139" t="str">
        <f t="shared" si="6"/>
        <v/>
      </c>
      <c r="J81" s="139">
        <f t="shared" si="10"/>
        <v>-2</v>
      </c>
      <c r="K81" s="138">
        <f t="shared" si="7"/>
        <v>-20</v>
      </c>
      <c r="L81" s="138"/>
      <c r="M81" s="140">
        <f t="shared" si="8"/>
        <v>0</v>
      </c>
    </row>
    <row r="82" spans="1:13" x14ac:dyDescent="0.25">
      <c r="A82" s="155"/>
      <c r="G82" s="126"/>
      <c r="H82" s="138">
        <v>77</v>
      </c>
      <c r="I82" s="139" t="str">
        <f t="shared" si="6"/>
        <v/>
      </c>
      <c r="J82" s="139">
        <f t="shared" si="10"/>
        <v>-2</v>
      </c>
      <c r="K82" s="138">
        <f t="shared" si="7"/>
        <v>-20</v>
      </c>
      <c r="L82" s="138"/>
      <c r="M82" s="140">
        <f t="shared" si="8"/>
        <v>0</v>
      </c>
    </row>
    <row r="83" spans="1:13" x14ac:dyDescent="0.25">
      <c r="A83" s="155"/>
      <c r="G83" s="126"/>
      <c r="H83" s="138">
        <v>78</v>
      </c>
      <c r="I83" s="139" t="str">
        <f t="shared" si="6"/>
        <v/>
      </c>
      <c r="J83" s="139">
        <f t="shared" si="10"/>
        <v>-2</v>
      </c>
      <c r="K83" s="138">
        <f t="shared" si="7"/>
        <v>-20</v>
      </c>
      <c r="L83" s="138"/>
      <c r="M83" s="140">
        <f t="shared" si="8"/>
        <v>0</v>
      </c>
    </row>
    <row r="84" spans="1:13" x14ac:dyDescent="0.25">
      <c r="A84" s="155"/>
      <c r="G84" s="126"/>
      <c r="H84" s="138">
        <v>79</v>
      </c>
      <c r="I84" s="139" t="str">
        <f t="shared" si="6"/>
        <v/>
      </c>
      <c r="J84" s="139">
        <f t="shared" si="10"/>
        <v>-2</v>
      </c>
      <c r="K84" s="138">
        <f t="shared" si="7"/>
        <v>-20</v>
      </c>
      <c r="L84" s="138"/>
      <c r="M84" s="140">
        <f t="shared" si="8"/>
        <v>0</v>
      </c>
    </row>
    <row r="85" spans="1:13" x14ac:dyDescent="0.25">
      <c r="A85" s="155"/>
      <c r="G85" s="126"/>
      <c r="H85" s="138">
        <v>80</v>
      </c>
      <c r="I85" s="139" t="str">
        <f t="shared" si="6"/>
        <v/>
      </c>
      <c r="J85" s="139">
        <f t="shared" si="10"/>
        <v>-2</v>
      </c>
      <c r="K85" s="138">
        <f t="shared" si="7"/>
        <v>-20</v>
      </c>
      <c r="L85" s="138"/>
      <c r="M85" s="140">
        <f t="shared" si="8"/>
        <v>0</v>
      </c>
    </row>
    <row r="86" spans="1:13" x14ac:dyDescent="0.25">
      <c r="A86" s="155"/>
      <c r="G86" s="126"/>
      <c r="H86" s="138">
        <v>81</v>
      </c>
      <c r="I86" s="139" t="str">
        <f t="shared" si="6"/>
        <v/>
      </c>
      <c r="J86" s="139">
        <f t="shared" si="10"/>
        <v>-2</v>
      </c>
      <c r="K86" s="138">
        <f t="shared" si="7"/>
        <v>-20</v>
      </c>
      <c r="L86" s="138"/>
      <c r="M86" s="140">
        <f t="shared" si="8"/>
        <v>0</v>
      </c>
    </row>
    <row r="87" spans="1:13" x14ac:dyDescent="0.25">
      <c r="A87" s="155"/>
      <c r="G87" s="126"/>
      <c r="H87" s="138">
        <v>82</v>
      </c>
      <c r="I87" s="139" t="str">
        <f t="shared" si="6"/>
        <v/>
      </c>
      <c r="J87" s="139">
        <f t="shared" si="10"/>
        <v>-2</v>
      </c>
      <c r="K87" s="138">
        <f t="shared" si="7"/>
        <v>-20</v>
      </c>
      <c r="L87" s="138"/>
      <c r="M87" s="140">
        <f t="shared" si="8"/>
        <v>0</v>
      </c>
    </row>
    <row r="88" spans="1:13" x14ac:dyDescent="0.25">
      <c r="A88" s="155"/>
      <c r="G88" s="126"/>
      <c r="H88" s="138">
        <v>83</v>
      </c>
      <c r="I88" s="139" t="str">
        <f t="shared" si="6"/>
        <v/>
      </c>
      <c r="J88" s="139">
        <f t="shared" si="10"/>
        <v>-2</v>
      </c>
      <c r="K88" s="138">
        <f t="shared" si="7"/>
        <v>-20</v>
      </c>
      <c r="L88" s="138"/>
      <c r="M88" s="140">
        <f t="shared" si="8"/>
        <v>0</v>
      </c>
    </row>
    <row r="89" spans="1:13" x14ac:dyDescent="0.25">
      <c r="A89" s="155"/>
      <c r="G89" s="126"/>
      <c r="H89" s="138">
        <v>84</v>
      </c>
      <c r="I89" s="139" t="str">
        <f t="shared" si="6"/>
        <v/>
      </c>
      <c r="J89" s="139">
        <f t="shared" si="10"/>
        <v>-2</v>
      </c>
      <c r="K89" s="138">
        <f t="shared" si="7"/>
        <v>-20</v>
      </c>
      <c r="L89" s="138"/>
      <c r="M89" s="140">
        <f t="shared" si="8"/>
        <v>0</v>
      </c>
    </row>
    <row r="90" spans="1:13" x14ac:dyDescent="0.25">
      <c r="A90" s="155"/>
      <c r="G90" s="126"/>
      <c r="H90" s="138">
        <v>85</v>
      </c>
      <c r="I90" s="139" t="str">
        <f t="shared" si="6"/>
        <v/>
      </c>
      <c r="J90" s="139">
        <f t="shared" si="10"/>
        <v>-2</v>
      </c>
      <c r="K90" s="138">
        <f t="shared" si="7"/>
        <v>-20</v>
      </c>
      <c r="L90" s="138"/>
      <c r="M90" s="140">
        <f t="shared" si="8"/>
        <v>0</v>
      </c>
    </row>
    <row r="91" spans="1:13" x14ac:dyDescent="0.25">
      <c r="A91" s="155"/>
      <c r="G91" s="126"/>
      <c r="H91" s="138">
        <v>86</v>
      </c>
      <c r="I91" s="139" t="str">
        <f t="shared" si="6"/>
        <v/>
      </c>
      <c r="J91" s="139">
        <f t="shared" si="10"/>
        <v>-2</v>
      </c>
      <c r="K91" s="138">
        <f t="shared" si="7"/>
        <v>-20</v>
      </c>
      <c r="L91" s="138"/>
      <c r="M91" s="140">
        <f t="shared" si="8"/>
        <v>0</v>
      </c>
    </row>
    <row r="92" spans="1:13" x14ac:dyDescent="0.25">
      <c r="A92" s="155"/>
      <c r="G92" s="126"/>
      <c r="H92" s="138">
        <v>87</v>
      </c>
      <c r="I92" s="139" t="str">
        <f t="shared" si="6"/>
        <v/>
      </c>
      <c r="J92" s="139">
        <f t="shared" si="10"/>
        <v>-2</v>
      </c>
      <c r="K92" s="138">
        <f t="shared" si="7"/>
        <v>-20</v>
      </c>
      <c r="L92" s="138"/>
      <c r="M92" s="140">
        <f t="shared" si="8"/>
        <v>0</v>
      </c>
    </row>
    <row r="93" spans="1:13" x14ac:dyDescent="0.25">
      <c r="A93" s="155"/>
      <c r="G93" s="126"/>
      <c r="H93" s="138">
        <v>88</v>
      </c>
      <c r="I93" s="139" t="str">
        <f t="shared" si="6"/>
        <v/>
      </c>
      <c r="J93" s="139">
        <f t="shared" si="10"/>
        <v>-2</v>
      </c>
      <c r="K93" s="138">
        <f t="shared" si="7"/>
        <v>-20</v>
      </c>
      <c r="L93" s="138"/>
      <c r="M93" s="140">
        <f t="shared" si="8"/>
        <v>0</v>
      </c>
    </row>
    <row r="94" spans="1:13" x14ac:dyDescent="0.25">
      <c r="A94" s="155"/>
      <c r="G94" s="126"/>
      <c r="H94" s="138">
        <v>89</v>
      </c>
      <c r="I94" s="139" t="str">
        <f t="shared" si="6"/>
        <v/>
      </c>
      <c r="J94" s="139">
        <f t="shared" si="10"/>
        <v>-2</v>
      </c>
      <c r="K94" s="138">
        <f t="shared" si="7"/>
        <v>-20</v>
      </c>
      <c r="L94" s="138"/>
      <c r="M94" s="140">
        <f t="shared" si="8"/>
        <v>0</v>
      </c>
    </row>
    <row r="95" spans="1:13" x14ac:dyDescent="0.25">
      <c r="A95" s="155"/>
      <c r="G95" s="126"/>
      <c r="H95" s="138">
        <v>90</v>
      </c>
      <c r="I95" s="139" t="str">
        <f t="shared" si="6"/>
        <v/>
      </c>
      <c r="J95" s="139">
        <f t="shared" si="10"/>
        <v>-2</v>
      </c>
      <c r="K95" s="138">
        <f t="shared" si="7"/>
        <v>-20</v>
      </c>
      <c r="L95" s="138"/>
      <c r="M95" s="140">
        <f t="shared" si="8"/>
        <v>0</v>
      </c>
    </row>
    <row r="96" spans="1:13" x14ac:dyDescent="0.25">
      <c r="A96" s="155"/>
      <c r="G96" s="126"/>
      <c r="H96" s="138">
        <v>91</v>
      </c>
      <c r="I96" s="139" t="str">
        <f t="shared" si="6"/>
        <v/>
      </c>
      <c r="J96" s="139">
        <f t="shared" si="10"/>
        <v>-2</v>
      </c>
      <c r="K96" s="138">
        <f t="shared" si="7"/>
        <v>-20</v>
      </c>
      <c r="L96" s="138"/>
      <c r="M96" s="140">
        <f t="shared" si="8"/>
        <v>0</v>
      </c>
    </row>
    <row r="97" spans="1:13" x14ac:dyDescent="0.25">
      <c r="A97" s="155"/>
      <c r="G97" s="126"/>
      <c r="H97" s="138">
        <v>92</v>
      </c>
      <c r="I97" s="139" t="str">
        <f t="shared" si="6"/>
        <v/>
      </c>
      <c r="J97" s="139">
        <f t="shared" si="10"/>
        <v>-2</v>
      </c>
      <c r="K97" s="138">
        <f t="shared" si="7"/>
        <v>-20</v>
      </c>
      <c r="L97" s="138"/>
      <c r="M97" s="140">
        <f t="shared" si="8"/>
        <v>0</v>
      </c>
    </row>
    <row r="98" spans="1:13" x14ac:dyDescent="0.25">
      <c r="A98" s="155"/>
      <c r="G98" s="126"/>
      <c r="H98" s="138">
        <v>93</v>
      </c>
      <c r="I98" s="139" t="str">
        <f t="shared" si="6"/>
        <v/>
      </c>
      <c r="J98" s="139">
        <f t="shared" si="10"/>
        <v>-2</v>
      </c>
      <c r="K98" s="138">
        <f t="shared" si="7"/>
        <v>-20</v>
      </c>
      <c r="L98" s="138"/>
      <c r="M98" s="140">
        <f t="shared" si="8"/>
        <v>0</v>
      </c>
    </row>
    <row r="99" spans="1:13" x14ac:dyDescent="0.25">
      <c r="A99" s="155"/>
      <c r="G99" s="126"/>
      <c r="H99" s="138">
        <v>94</v>
      </c>
      <c r="I99" s="139" t="str">
        <f t="shared" si="6"/>
        <v/>
      </c>
      <c r="J99" s="139">
        <f t="shared" si="10"/>
        <v>-2</v>
      </c>
      <c r="K99" s="138">
        <f t="shared" si="7"/>
        <v>-20</v>
      </c>
      <c r="L99" s="138"/>
      <c r="M99" s="140">
        <f t="shared" si="8"/>
        <v>0</v>
      </c>
    </row>
    <row r="100" spans="1:13" x14ac:dyDescent="0.25">
      <c r="A100" s="155"/>
      <c r="G100" s="126"/>
      <c r="H100" s="138">
        <v>95</v>
      </c>
      <c r="I100" s="139" t="str">
        <f t="shared" si="6"/>
        <v/>
      </c>
      <c r="J100" s="139">
        <f t="shared" si="10"/>
        <v>-2</v>
      </c>
      <c r="K100" s="138">
        <f t="shared" si="7"/>
        <v>-20</v>
      </c>
      <c r="L100" s="138"/>
      <c r="M100" s="140">
        <f t="shared" si="8"/>
        <v>0</v>
      </c>
    </row>
    <row r="101" spans="1:13" x14ac:dyDescent="0.25">
      <c r="A101" s="155"/>
      <c r="G101" s="126"/>
      <c r="H101" s="138">
        <v>96</v>
      </c>
      <c r="I101" s="139" t="str">
        <f t="shared" si="6"/>
        <v/>
      </c>
      <c r="J101" s="139">
        <f t="shared" si="10"/>
        <v>-2</v>
      </c>
      <c r="K101" s="138">
        <f t="shared" si="7"/>
        <v>-20</v>
      </c>
      <c r="L101" s="138"/>
      <c r="M101" s="140">
        <f t="shared" si="8"/>
        <v>0</v>
      </c>
    </row>
    <row r="102" spans="1:13" x14ac:dyDescent="0.25">
      <c r="A102" s="155"/>
      <c r="G102" s="126"/>
      <c r="H102" s="138">
        <v>97</v>
      </c>
      <c r="I102" s="139" t="str">
        <f t="shared" si="6"/>
        <v/>
      </c>
      <c r="J102" s="139">
        <f t="shared" si="10"/>
        <v>-2</v>
      </c>
      <c r="K102" s="138">
        <f t="shared" si="7"/>
        <v>-20</v>
      </c>
      <c r="L102" s="138"/>
      <c r="M102" s="140">
        <f t="shared" si="8"/>
        <v>0</v>
      </c>
    </row>
    <row r="103" spans="1:13" x14ac:dyDescent="0.25">
      <c r="A103" s="155"/>
      <c r="G103" s="126"/>
      <c r="H103" s="138">
        <v>98</v>
      </c>
      <c r="I103" s="139" t="str">
        <f t="shared" si="6"/>
        <v/>
      </c>
      <c r="J103" s="139">
        <f t="shared" si="10"/>
        <v>-2</v>
      </c>
      <c r="K103" s="138">
        <f t="shared" si="7"/>
        <v>-20</v>
      </c>
      <c r="L103" s="138"/>
      <c r="M103" s="140">
        <f t="shared" si="8"/>
        <v>0</v>
      </c>
    </row>
    <row r="104" spans="1:13" x14ac:dyDescent="0.25">
      <c r="A104" s="155"/>
      <c r="G104" s="126"/>
      <c r="H104" s="138">
        <v>99</v>
      </c>
      <c r="I104" s="139" t="str">
        <f t="shared" si="6"/>
        <v/>
      </c>
      <c r="J104" s="139">
        <f t="shared" si="10"/>
        <v>-2</v>
      </c>
      <c r="K104" s="138">
        <f t="shared" si="7"/>
        <v>-20</v>
      </c>
      <c r="L104" s="138"/>
      <c r="M104" s="140">
        <f t="shared" si="8"/>
        <v>0</v>
      </c>
    </row>
    <row r="105" spans="1:13" x14ac:dyDescent="0.25">
      <c r="A105" s="155"/>
      <c r="G105" s="126"/>
      <c r="H105" s="138">
        <v>100</v>
      </c>
      <c r="I105" s="139" t="str">
        <f t="shared" si="6"/>
        <v/>
      </c>
      <c r="J105" s="139">
        <f t="shared" si="10"/>
        <v>-2</v>
      </c>
      <c r="K105" s="138">
        <f t="shared" si="7"/>
        <v>-20</v>
      </c>
      <c r="L105" s="138"/>
      <c r="M105" s="140">
        <f t="shared" si="8"/>
        <v>0</v>
      </c>
    </row>
    <row r="106" spans="1:13" x14ac:dyDescent="0.25">
      <c r="A106" s="155"/>
      <c r="G106" s="126"/>
      <c r="H106" s="138">
        <v>101</v>
      </c>
      <c r="I106" s="139" t="str">
        <f t="shared" si="6"/>
        <v/>
      </c>
      <c r="J106" s="139">
        <f t="shared" si="10"/>
        <v>-2</v>
      </c>
      <c r="K106" s="138">
        <f t="shared" si="7"/>
        <v>-20</v>
      </c>
      <c r="L106" s="138"/>
      <c r="M106" s="140">
        <f t="shared" si="8"/>
        <v>0</v>
      </c>
    </row>
    <row r="107" spans="1:13" x14ac:dyDescent="0.25">
      <c r="A107" s="155"/>
      <c r="G107" s="126"/>
      <c r="H107" s="138">
        <v>102</v>
      </c>
      <c r="I107" s="139" t="str">
        <f t="shared" si="6"/>
        <v/>
      </c>
      <c r="J107" s="139">
        <f t="shared" si="10"/>
        <v>-2</v>
      </c>
      <c r="K107" s="138">
        <f t="shared" si="7"/>
        <v>-20</v>
      </c>
      <c r="L107" s="138"/>
      <c r="M107" s="140">
        <f t="shared" si="8"/>
        <v>0</v>
      </c>
    </row>
    <row r="108" spans="1:13" x14ac:dyDescent="0.25">
      <c r="A108" s="155"/>
      <c r="G108" s="126"/>
      <c r="H108" s="138">
        <v>103</v>
      </c>
      <c r="I108" s="139" t="str">
        <f t="shared" si="6"/>
        <v/>
      </c>
      <c r="J108" s="139">
        <f t="shared" si="10"/>
        <v>-2</v>
      </c>
      <c r="K108" s="138">
        <f t="shared" si="7"/>
        <v>-20</v>
      </c>
      <c r="L108" s="138"/>
      <c r="M108" s="140">
        <f t="shared" si="8"/>
        <v>0</v>
      </c>
    </row>
    <row r="109" spans="1:13" x14ac:dyDescent="0.25">
      <c r="A109" s="155"/>
      <c r="G109" s="126"/>
      <c r="H109" s="138">
        <v>104</v>
      </c>
      <c r="I109" s="139" t="str">
        <f t="shared" si="6"/>
        <v/>
      </c>
      <c r="J109" s="139">
        <f t="shared" si="10"/>
        <v>-2</v>
      </c>
      <c r="K109" s="138">
        <f t="shared" si="7"/>
        <v>-20</v>
      </c>
      <c r="L109" s="138"/>
      <c r="M109" s="140">
        <f t="shared" si="8"/>
        <v>0</v>
      </c>
    </row>
    <row r="110" spans="1:13" x14ac:dyDescent="0.25">
      <c r="A110" s="155"/>
      <c r="G110" s="126"/>
      <c r="H110" s="138">
        <v>105</v>
      </c>
      <c r="I110" s="139" t="str">
        <f t="shared" si="6"/>
        <v/>
      </c>
      <c r="J110" s="139">
        <f t="shared" si="10"/>
        <v>-2</v>
      </c>
      <c r="K110" s="138">
        <f t="shared" si="7"/>
        <v>-20</v>
      </c>
      <c r="L110" s="138"/>
      <c r="M110" s="140">
        <f t="shared" si="8"/>
        <v>0</v>
      </c>
    </row>
    <row r="111" spans="1:13" x14ac:dyDescent="0.25">
      <c r="A111" s="155"/>
      <c r="G111" s="126"/>
      <c r="H111" s="138">
        <v>106</v>
      </c>
      <c r="I111" s="139" t="str">
        <f t="shared" si="6"/>
        <v/>
      </c>
      <c r="J111" s="139">
        <f t="shared" si="10"/>
        <v>-2</v>
      </c>
      <c r="K111" s="138">
        <f t="shared" si="7"/>
        <v>-20</v>
      </c>
      <c r="L111" s="138"/>
      <c r="M111" s="140">
        <f t="shared" si="8"/>
        <v>0</v>
      </c>
    </row>
    <row r="112" spans="1:13" x14ac:dyDescent="0.25">
      <c r="A112" s="155"/>
      <c r="G112" s="126"/>
      <c r="H112" s="138">
        <v>107</v>
      </c>
      <c r="I112" s="139" t="str">
        <f t="shared" si="6"/>
        <v/>
      </c>
      <c r="J112" s="139">
        <f t="shared" si="10"/>
        <v>-2</v>
      </c>
      <c r="K112" s="138">
        <f t="shared" si="7"/>
        <v>-20</v>
      </c>
      <c r="L112" s="138"/>
      <c r="M112" s="140">
        <f t="shared" si="8"/>
        <v>0</v>
      </c>
    </row>
    <row r="113" spans="1:13" x14ac:dyDescent="0.25">
      <c r="A113" s="155"/>
      <c r="G113" s="126"/>
      <c r="H113" s="138">
        <v>108</v>
      </c>
      <c r="I113" s="139" t="str">
        <f t="shared" si="6"/>
        <v/>
      </c>
      <c r="J113" s="139">
        <f t="shared" si="10"/>
        <v>-2</v>
      </c>
      <c r="K113" s="138">
        <f t="shared" si="7"/>
        <v>-20</v>
      </c>
      <c r="L113" s="138"/>
      <c r="M113" s="140">
        <f t="shared" si="8"/>
        <v>0</v>
      </c>
    </row>
    <row r="114" spans="1:13" x14ac:dyDescent="0.25">
      <c r="A114" s="155"/>
      <c r="G114" s="126"/>
      <c r="H114" s="138">
        <v>109</v>
      </c>
      <c r="I114" s="139" t="str">
        <f t="shared" si="6"/>
        <v/>
      </c>
      <c r="J114" s="139">
        <f t="shared" si="10"/>
        <v>-2</v>
      </c>
      <c r="K114" s="138">
        <f t="shared" si="7"/>
        <v>-20</v>
      </c>
      <c r="L114" s="138"/>
      <c r="M114" s="140">
        <f t="shared" si="8"/>
        <v>0</v>
      </c>
    </row>
    <row r="115" spans="1:13" x14ac:dyDescent="0.25">
      <c r="A115" s="155"/>
      <c r="G115" s="126"/>
      <c r="H115" s="138">
        <v>110</v>
      </c>
      <c r="I115" s="139" t="str">
        <f t="shared" si="6"/>
        <v/>
      </c>
      <c r="J115" s="139">
        <f t="shared" si="10"/>
        <v>-2</v>
      </c>
      <c r="K115" s="138">
        <f t="shared" si="7"/>
        <v>-20</v>
      </c>
      <c r="L115" s="138"/>
      <c r="M115" s="140">
        <f t="shared" si="8"/>
        <v>0</v>
      </c>
    </row>
    <row r="116" spans="1:13" x14ac:dyDescent="0.25">
      <c r="A116" s="155"/>
      <c r="G116" s="126"/>
      <c r="H116" s="138">
        <v>111</v>
      </c>
      <c r="I116" s="139" t="str">
        <f t="shared" si="6"/>
        <v/>
      </c>
      <c r="J116" s="139">
        <f t="shared" si="10"/>
        <v>-2</v>
      </c>
      <c r="K116" s="138">
        <f t="shared" si="7"/>
        <v>-20</v>
      </c>
      <c r="L116" s="138"/>
      <c r="M116" s="140">
        <f t="shared" si="8"/>
        <v>0</v>
      </c>
    </row>
    <row r="117" spans="1:13" x14ac:dyDescent="0.25">
      <c r="A117" s="155"/>
      <c r="G117" s="126"/>
      <c r="H117" s="138">
        <v>112</v>
      </c>
      <c r="I117" s="139" t="str">
        <f t="shared" si="6"/>
        <v/>
      </c>
      <c r="J117" s="139">
        <f t="shared" si="10"/>
        <v>-2</v>
      </c>
      <c r="K117" s="138">
        <f t="shared" si="7"/>
        <v>-20</v>
      </c>
      <c r="L117" s="138"/>
      <c r="M117" s="140">
        <f t="shared" si="8"/>
        <v>0</v>
      </c>
    </row>
    <row r="118" spans="1:13" x14ac:dyDescent="0.25">
      <c r="A118" s="155"/>
      <c r="G118" s="126"/>
      <c r="H118" s="138">
        <v>113</v>
      </c>
      <c r="I118" s="139" t="str">
        <f t="shared" si="6"/>
        <v/>
      </c>
      <c r="J118" s="139">
        <f t="shared" si="10"/>
        <v>-2</v>
      </c>
      <c r="K118" s="138">
        <f t="shared" si="7"/>
        <v>-20</v>
      </c>
      <c r="L118" s="138"/>
      <c r="M118" s="140">
        <f t="shared" si="8"/>
        <v>0</v>
      </c>
    </row>
    <row r="119" spans="1:13" x14ac:dyDescent="0.25">
      <c r="A119" s="155"/>
      <c r="G119" s="126"/>
      <c r="H119" s="138">
        <v>114</v>
      </c>
      <c r="I119" s="139" t="str">
        <f t="shared" si="6"/>
        <v/>
      </c>
      <c r="J119" s="139">
        <f t="shared" si="10"/>
        <v>-2</v>
      </c>
      <c r="K119" s="138">
        <f t="shared" si="7"/>
        <v>-20</v>
      </c>
      <c r="L119" s="138"/>
      <c r="M119" s="140">
        <f t="shared" si="8"/>
        <v>0</v>
      </c>
    </row>
    <row r="120" spans="1:13" x14ac:dyDescent="0.25">
      <c r="A120" s="155"/>
      <c r="G120" s="126"/>
      <c r="H120" s="138">
        <v>115</v>
      </c>
      <c r="I120" s="139" t="str">
        <f t="shared" si="6"/>
        <v/>
      </c>
      <c r="J120" s="139">
        <f t="shared" si="10"/>
        <v>-2</v>
      </c>
      <c r="K120" s="138">
        <f t="shared" si="7"/>
        <v>-20</v>
      </c>
      <c r="L120" s="138"/>
      <c r="M120" s="140">
        <f t="shared" si="8"/>
        <v>0</v>
      </c>
    </row>
    <row r="121" spans="1:13" x14ac:dyDescent="0.25">
      <c r="A121" s="155"/>
      <c r="G121" s="126"/>
      <c r="H121" s="138">
        <v>116</v>
      </c>
      <c r="I121" s="139" t="str">
        <f t="shared" si="6"/>
        <v/>
      </c>
      <c r="J121" s="139">
        <f t="shared" si="10"/>
        <v>-2</v>
      </c>
      <c r="K121" s="138">
        <f t="shared" si="7"/>
        <v>-20</v>
      </c>
      <c r="L121" s="138"/>
      <c r="M121" s="140">
        <f t="shared" si="8"/>
        <v>0</v>
      </c>
    </row>
    <row r="122" spans="1:13" x14ac:dyDescent="0.25">
      <c r="A122" s="155"/>
      <c r="G122" s="126"/>
      <c r="H122" s="138">
        <v>117</v>
      </c>
      <c r="I122" s="139" t="str">
        <f t="shared" si="6"/>
        <v/>
      </c>
      <c r="J122" s="139">
        <f t="shared" si="10"/>
        <v>-2</v>
      </c>
      <c r="K122" s="138">
        <f t="shared" si="7"/>
        <v>-20</v>
      </c>
      <c r="L122" s="138"/>
      <c r="M122" s="140">
        <f t="shared" si="8"/>
        <v>0</v>
      </c>
    </row>
    <row r="123" spans="1:13" x14ac:dyDescent="0.25">
      <c r="A123" s="155"/>
      <c r="G123" s="126"/>
      <c r="H123" s="138">
        <v>118</v>
      </c>
      <c r="I123" s="139" t="str">
        <f t="shared" si="6"/>
        <v/>
      </c>
      <c r="J123" s="139">
        <f t="shared" si="10"/>
        <v>-2</v>
      </c>
      <c r="K123" s="138">
        <f t="shared" si="7"/>
        <v>-20</v>
      </c>
      <c r="L123" s="138"/>
      <c r="M123" s="140">
        <f t="shared" si="8"/>
        <v>0</v>
      </c>
    </row>
    <row r="124" spans="1:13" x14ac:dyDescent="0.25">
      <c r="A124" s="155"/>
      <c r="G124" s="126"/>
      <c r="H124" s="138">
        <v>119</v>
      </c>
      <c r="I124" s="139" t="str">
        <f t="shared" si="6"/>
        <v/>
      </c>
      <c r="J124" s="139">
        <f t="shared" si="10"/>
        <v>-2</v>
      </c>
      <c r="K124" s="138">
        <f t="shared" si="7"/>
        <v>-20</v>
      </c>
      <c r="L124" s="138"/>
      <c r="M124" s="140">
        <f t="shared" si="8"/>
        <v>0</v>
      </c>
    </row>
    <row r="125" spans="1:13" x14ac:dyDescent="0.25">
      <c r="A125" s="155"/>
      <c r="G125" s="126"/>
      <c r="H125" s="138">
        <v>120</v>
      </c>
      <c r="I125" s="139" t="str">
        <f t="shared" si="6"/>
        <v/>
      </c>
      <c r="J125" s="139">
        <f t="shared" si="10"/>
        <v>-2</v>
      </c>
      <c r="K125" s="138">
        <f t="shared" si="7"/>
        <v>-20</v>
      </c>
      <c r="L125" s="138"/>
      <c r="M125" s="140">
        <f t="shared" si="8"/>
        <v>0</v>
      </c>
    </row>
    <row r="126" spans="1:13" x14ac:dyDescent="0.25">
      <c r="A126" s="155"/>
      <c r="G126" s="126"/>
      <c r="H126" s="138">
        <v>121</v>
      </c>
      <c r="I126" s="139" t="str">
        <f t="shared" si="6"/>
        <v/>
      </c>
      <c r="J126" s="139">
        <f t="shared" si="10"/>
        <v>-2</v>
      </c>
      <c r="K126" s="138">
        <f t="shared" si="7"/>
        <v>-20</v>
      </c>
      <c r="L126" s="138"/>
      <c r="M126" s="140">
        <f t="shared" si="8"/>
        <v>0</v>
      </c>
    </row>
    <row r="127" spans="1:13" x14ac:dyDescent="0.25">
      <c r="A127" s="155"/>
      <c r="G127" s="126"/>
      <c r="H127" s="138">
        <v>122</v>
      </c>
      <c r="I127" s="139" t="str">
        <f t="shared" si="6"/>
        <v/>
      </c>
      <c r="J127" s="139">
        <f t="shared" si="10"/>
        <v>-2</v>
      </c>
      <c r="K127" s="138">
        <f t="shared" si="7"/>
        <v>-20</v>
      </c>
      <c r="L127" s="138"/>
      <c r="M127" s="140">
        <f t="shared" si="8"/>
        <v>0</v>
      </c>
    </row>
    <row r="128" spans="1:13" x14ac:dyDescent="0.25">
      <c r="A128" s="155"/>
      <c r="G128" s="126"/>
      <c r="H128" s="138">
        <v>123</v>
      </c>
      <c r="I128" s="139" t="str">
        <f t="shared" si="6"/>
        <v/>
      </c>
      <c r="J128" s="139">
        <f t="shared" si="10"/>
        <v>-2</v>
      </c>
      <c r="K128" s="138">
        <f t="shared" si="7"/>
        <v>-20</v>
      </c>
      <c r="L128" s="138"/>
      <c r="M128" s="140">
        <f t="shared" si="8"/>
        <v>0</v>
      </c>
    </row>
    <row r="129" spans="1:13" x14ac:dyDescent="0.25">
      <c r="A129" s="155"/>
      <c r="G129" s="126"/>
      <c r="H129" s="138">
        <v>124</v>
      </c>
      <c r="I129" s="139" t="str">
        <f t="shared" si="6"/>
        <v/>
      </c>
      <c r="J129" s="139">
        <f t="shared" si="10"/>
        <v>-2</v>
      </c>
      <c r="K129" s="138">
        <f t="shared" si="7"/>
        <v>-20</v>
      </c>
      <c r="L129" s="138"/>
      <c r="M129" s="140">
        <f t="shared" si="8"/>
        <v>0</v>
      </c>
    </row>
    <row r="130" spans="1:13" x14ac:dyDescent="0.25">
      <c r="A130" s="155"/>
      <c r="G130" s="126"/>
      <c r="H130" s="138">
        <v>125</v>
      </c>
      <c r="I130" s="139" t="str">
        <f t="shared" si="6"/>
        <v/>
      </c>
      <c r="J130" s="139">
        <f t="shared" si="10"/>
        <v>-2</v>
      </c>
      <c r="K130" s="138">
        <f t="shared" si="7"/>
        <v>-20</v>
      </c>
      <c r="L130" s="138"/>
      <c r="M130" s="140">
        <f t="shared" si="8"/>
        <v>0</v>
      </c>
    </row>
    <row r="131" spans="1:13" x14ac:dyDescent="0.25">
      <c r="A131" s="155"/>
      <c r="G131" s="126"/>
      <c r="H131" s="138">
        <v>126</v>
      </c>
      <c r="I131" s="139" t="str">
        <f t="shared" si="6"/>
        <v/>
      </c>
      <c r="J131" s="139">
        <f t="shared" si="10"/>
        <v>-2</v>
      </c>
      <c r="K131" s="138">
        <f t="shared" si="7"/>
        <v>-20</v>
      </c>
      <c r="L131" s="138"/>
      <c r="M131" s="140">
        <f t="shared" si="8"/>
        <v>0</v>
      </c>
    </row>
    <row r="132" spans="1:13" x14ac:dyDescent="0.25">
      <c r="A132" s="155"/>
      <c r="G132" s="126"/>
      <c r="H132" s="138">
        <v>127</v>
      </c>
      <c r="I132" s="139" t="str">
        <f t="shared" si="6"/>
        <v/>
      </c>
      <c r="J132" s="139">
        <f t="shared" si="10"/>
        <v>-2</v>
      </c>
      <c r="K132" s="138">
        <f t="shared" si="7"/>
        <v>-20</v>
      </c>
      <c r="L132" s="138"/>
      <c r="M132" s="140">
        <f t="shared" si="8"/>
        <v>0</v>
      </c>
    </row>
    <row r="133" spans="1:13" x14ac:dyDescent="0.25">
      <c r="A133" s="155"/>
      <c r="G133" s="126"/>
      <c r="H133" s="138">
        <v>128</v>
      </c>
      <c r="I133" s="139" t="str">
        <f t="shared" si="6"/>
        <v/>
      </c>
      <c r="J133" s="139">
        <f t="shared" si="10"/>
        <v>-2</v>
      </c>
      <c r="K133" s="138">
        <f t="shared" si="7"/>
        <v>-20</v>
      </c>
      <c r="L133" s="138"/>
      <c r="M133" s="140">
        <f t="shared" si="8"/>
        <v>0</v>
      </c>
    </row>
    <row r="134" spans="1:13" x14ac:dyDescent="0.25">
      <c r="A134" s="155"/>
      <c r="G134" s="126"/>
      <c r="H134" s="138">
        <v>129</v>
      </c>
      <c r="I134" s="139" t="str">
        <f t="shared" ref="I134:I197" si="11">IF(H134&lt;$H$2+1,($I$2-($I$2-1)*(LOG(H134)/LOG($H$2))),"")</f>
        <v/>
      </c>
      <c r="J134" s="139">
        <f t="shared" si="10"/>
        <v>-3</v>
      </c>
      <c r="K134" s="138">
        <f t="shared" ref="K134:K197" si="12">J134*$J$2</f>
        <v>-30</v>
      </c>
      <c r="L134" s="138"/>
      <c r="M134" s="140">
        <f t="shared" ref="M134:M197" si="13">IF(I134&lt;&gt;"",K134+I134+L134,0)</f>
        <v>0</v>
      </c>
    </row>
    <row r="135" spans="1:13" x14ac:dyDescent="0.25">
      <c r="A135" s="155"/>
      <c r="G135" s="126"/>
      <c r="H135" s="138">
        <v>130</v>
      </c>
      <c r="I135" s="139" t="str">
        <f t="shared" si="11"/>
        <v/>
      </c>
      <c r="J135" s="139">
        <f t="shared" ref="J135:J198" si="14">INT(LOG($H$2,2))-ROUNDUP(LOG(H135,2),0)+IF(OR($H$2=1,$H$2=2,$H$2=4,$H$2=8,$H$2=16,$H$2=32,$H$2=64,$H$2=128,$H$2=256),0,1)</f>
        <v>-3</v>
      </c>
      <c r="K135" s="138">
        <f t="shared" si="12"/>
        <v>-30</v>
      </c>
      <c r="L135" s="138"/>
      <c r="M135" s="140">
        <f t="shared" si="13"/>
        <v>0</v>
      </c>
    </row>
    <row r="136" spans="1:13" x14ac:dyDescent="0.25">
      <c r="A136" s="155"/>
      <c r="G136" s="126"/>
      <c r="H136" s="138">
        <v>131</v>
      </c>
      <c r="I136" s="139" t="str">
        <f t="shared" si="11"/>
        <v/>
      </c>
      <c r="J136" s="139">
        <f t="shared" si="14"/>
        <v>-3</v>
      </c>
      <c r="K136" s="138">
        <f t="shared" si="12"/>
        <v>-30</v>
      </c>
      <c r="L136" s="138"/>
      <c r="M136" s="140">
        <f t="shared" si="13"/>
        <v>0</v>
      </c>
    </row>
    <row r="137" spans="1:13" x14ac:dyDescent="0.25">
      <c r="A137" s="155"/>
      <c r="G137" s="126"/>
      <c r="H137" s="138">
        <v>132</v>
      </c>
      <c r="I137" s="139" t="str">
        <f t="shared" si="11"/>
        <v/>
      </c>
      <c r="J137" s="139">
        <f t="shared" si="14"/>
        <v>-3</v>
      </c>
      <c r="K137" s="138">
        <f t="shared" si="12"/>
        <v>-30</v>
      </c>
      <c r="L137" s="138"/>
      <c r="M137" s="140">
        <f t="shared" si="13"/>
        <v>0</v>
      </c>
    </row>
    <row r="138" spans="1:13" x14ac:dyDescent="0.25">
      <c r="A138" s="155"/>
      <c r="G138" s="126"/>
      <c r="H138" s="138">
        <v>133</v>
      </c>
      <c r="I138" s="139" t="str">
        <f t="shared" si="11"/>
        <v/>
      </c>
      <c r="J138" s="139">
        <f t="shared" si="14"/>
        <v>-3</v>
      </c>
      <c r="K138" s="138">
        <f t="shared" si="12"/>
        <v>-30</v>
      </c>
      <c r="L138" s="138"/>
      <c r="M138" s="140">
        <f t="shared" si="13"/>
        <v>0</v>
      </c>
    </row>
    <row r="139" spans="1:13" x14ac:dyDescent="0.25">
      <c r="A139" s="155"/>
      <c r="G139" s="126"/>
      <c r="H139" s="138">
        <v>134</v>
      </c>
      <c r="I139" s="139" t="str">
        <f t="shared" si="11"/>
        <v/>
      </c>
      <c r="J139" s="139">
        <f t="shared" si="14"/>
        <v>-3</v>
      </c>
      <c r="K139" s="138">
        <f t="shared" si="12"/>
        <v>-30</v>
      </c>
      <c r="L139" s="138"/>
      <c r="M139" s="140">
        <f t="shared" si="13"/>
        <v>0</v>
      </c>
    </row>
    <row r="140" spans="1:13" x14ac:dyDescent="0.25">
      <c r="A140" s="155"/>
      <c r="G140" s="126"/>
      <c r="H140" s="138">
        <v>135</v>
      </c>
      <c r="I140" s="139" t="str">
        <f t="shared" si="11"/>
        <v/>
      </c>
      <c r="J140" s="139">
        <f t="shared" si="14"/>
        <v>-3</v>
      </c>
      <c r="K140" s="138">
        <f t="shared" si="12"/>
        <v>-30</v>
      </c>
      <c r="L140" s="138"/>
      <c r="M140" s="140">
        <f t="shared" si="13"/>
        <v>0</v>
      </c>
    </row>
    <row r="141" spans="1:13" x14ac:dyDescent="0.25">
      <c r="A141" s="155"/>
      <c r="G141" s="126"/>
      <c r="H141" s="138">
        <v>136</v>
      </c>
      <c r="I141" s="139" t="str">
        <f t="shared" si="11"/>
        <v/>
      </c>
      <c r="J141" s="139">
        <f t="shared" si="14"/>
        <v>-3</v>
      </c>
      <c r="K141" s="138">
        <f t="shared" si="12"/>
        <v>-30</v>
      </c>
      <c r="L141" s="138"/>
      <c r="M141" s="140">
        <f t="shared" si="13"/>
        <v>0</v>
      </c>
    </row>
    <row r="142" spans="1:13" x14ac:dyDescent="0.25">
      <c r="A142" s="155"/>
      <c r="G142" s="126"/>
      <c r="H142" s="138">
        <v>137</v>
      </c>
      <c r="I142" s="139" t="str">
        <f t="shared" si="11"/>
        <v/>
      </c>
      <c r="J142" s="139">
        <f t="shared" si="14"/>
        <v>-3</v>
      </c>
      <c r="K142" s="138">
        <f t="shared" si="12"/>
        <v>-30</v>
      </c>
      <c r="L142" s="138"/>
      <c r="M142" s="140">
        <f t="shared" si="13"/>
        <v>0</v>
      </c>
    </row>
    <row r="143" spans="1:13" x14ac:dyDescent="0.25">
      <c r="A143" s="155"/>
      <c r="G143" s="126"/>
      <c r="H143" s="138">
        <v>138</v>
      </c>
      <c r="I143" s="139" t="str">
        <f t="shared" si="11"/>
        <v/>
      </c>
      <c r="J143" s="139">
        <f t="shared" si="14"/>
        <v>-3</v>
      </c>
      <c r="K143" s="138">
        <f t="shared" si="12"/>
        <v>-30</v>
      </c>
      <c r="L143" s="138"/>
      <c r="M143" s="140">
        <f t="shared" si="13"/>
        <v>0</v>
      </c>
    </row>
    <row r="144" spans="1:13" x14ac:dyDescent="0.25">
      <c r="A144" s="155"/>
      <c r="G144" s="126"/>
      <c r="H144" s="138">
        <v>139</v>
      </c>
      <c r="I144" s="139" t="str">
        <f t="shared" si="11"/>
        <v/>
      </c>
      <c r="J144" s="139">
        <f t="shared" si="14"/>
        <v>-3</v>
      </c>
      <c r="K144" s="138">
        <f t="shared" si="12"/>
        <v>-30</v>
      </c>
      <c r="L144" s="138"/>
      <c r="M144" s="140">
        <f t="shared" si="13"/>
        <v>0</v>
      </c>
    </row>
    <row r="145" spans="1:13" x14ac:dyDescent="0.25">
      <c r="A145" s="155"/>
      <c r="G145" s="126"/>
      <c r="H145" s="138">
        <v>140</v>
      </c>
      <c r="I145" s="139" t="str">
        <f t="shared" si="11"/>
        <v/>
      </c>
      <c r="J145" s="139">
        <f t="shared" si="14"/>
        <v>-3</v>
      </c>
      <c r="K145" s="138">
        <f t="shared" si="12"/>
        <v>-30</v>
      </c>
      <c r="L145" s="138"/>
      <c r="M145" s="140">
        <f t="shared" si="13"/>
        <v>0</v>
      </c>
    </row>
    <row r="146" spans="1:13" x14ac:dyDescent="0.25">
      <c r="A146" s="155"/>
      <c r="G146" s="126"/>
      <c r="H146" s="138">
        <v>141</v>
      </c>
      <c r="I146" s="139" t="str">
        <f t="shared" si="11"/>
        <v/>
      </c>
      <c r="J146" s="139">
        <f t="shared" si="14"/>
        <v>-3</v>
      </c>
      <c r="K146" s="138">
        <f t="shared" si="12"/>
        <v>-30</v>
      </c>
      <c r="L146" s="138"/>
      <c r="M146" s="140">
        <f t="shared" si="13"/>
        <v>0</v>
      </c>
    </row>
    <row r="147" spans="1:13" x14ac:dyDescent="0.25">
      <c r="A147" s="155"/>
      <c r="G147" s="126"/>
      <c r="H147" s="138">
        <v>142</v>
      </c>
      <c r="I147" s="139" t="str">
        <f t="shared" si="11"/>
        <v/>
      </c>
      <c r="J147" s="139">
        <f t="shared" si="14"/>
        <v>-3</v>
      </c>
      <c r="K147" s="138">
        <f t="shared" si="12"/>
        <v>-30</v>
      </c>
      <c r="L147" s="138"/>
      <c r="M147" s="140">
        <f t="shared" si="13"/>
        <v>0</v>
      </c>
    </row>
    <row r="148" spans="1:13" x14ac:dyDescent="0.25">
      <c r="A148" s="155"/>
      <c r="G148" s="126"/>
      <c r="H148" s="138">
        <v>143</v>
      </c>
      <c r="I148" s="139" t="str">
        <f t="shared" si="11"/>
        <v/>
      </c>
      <c r="J148" s="139">
        <f t="shared" si="14"/>
        <v>-3</v>
      </c>
      <c r="K148" s="138">
        <f t="shared" si="12"/>
        <v>-30</v>
      </c>
      <c r="L148" s="138"/>
      <c r="M148" s="140">
        <f t="shared" si="13"/>
        <v>0</v>
      </c>
    </row>
    <row r="149" spans="1:13" x14ac:dyDescent="0.25">
      <c r="A149" s="155"/>
      <c r="G149" s="126"/>
      <c r="H149" s="138">
        <v>144</v>
      </c>
      <c r="I149" s="139" t="str">
        <f t="shared" si="11"/>
        <v/>
      </c>
      <c r="J149" s="139">
        <f t="shared" si="14"/>
        <v>-3</v>
      </c>
      <c r="K149" s="138">
        <f t="shared" si="12"/>
        <v>-30</v>
      </c>
      <c r="L149" s="138"/>
      <c r="M149" s="140">
        <f t="shared" si="13"/>
        <v>0</v>
      </c>
    </row>
    <row r="150" spans="1:13" x14ac:dyDescent="0.25">
      <c r="A150" s="155"/>
      <c r="G150" s="126"/>
      <c r="H150" s="138">
        <v>145</v>
      </c>
      <c r="I150" s="139" t="str">
        <f t="shared" si="11"/>
        <v/>
      </c>
      <c r="J150" s="139">
        <f t="shared" si="14"/>
        <v>-3</v>
      </c>
      <c r="K150" s="138">
        <f t="shared" si="12"/>
        <v>-30</v>
      </c>
      <c r="L150" s="138"/>
      <c r="M150" s="140">
        <f t="shared" si="13"/>
        <v>0</v>
      </c>
    </row>
    <row r="151" spans="1:13" x14ac:dyDescent="0.25">
      <c r="A151" s="155"/>
      <c r="G151" s="126"/>
      <c r="H151" s="138">
        <v>146</v>
      </c>
      <c r="I151" s="139" t="str">
        <f t="shared" si="11"/>
        <v/>
      </c>
      <c r="J151" s="139">
        <f t="shared" si="14"/>
        <v>-3</v>
      </c>
      <c r="K151" s="138">
        <f t="shared" si="12"/>
        <v>-30</v>
      </c>
      <c r="L151" s="138"/>
      <c r="M151" s="140">
        <f t="shared" si="13"/>
        <v>0</v>
      </c>
    </row>
    <row r="152" spans="1:13" x14ac:dyDescent="0.25">
      <c r="A152" s="155"/>
      <c r="G152" s="126"/>
      <c r="H152" s="138">
        <v>147</v>
      </c>
      <c r="I152" s="139" t="str">
        <f t="shared" si="11"/>
        <v/>
      </c>
      <c r="J152" s="139">
        <f t="shared" si="14"/>
        <v>-3</v>
      </c>
      <c r="K152" s="138">
        <f t="shared" si="12"/>
        <v>-30</v>
      </c>
      <c r="L152" s="138"/>
      <c r="M152" s="140">
        <f t="shared" si="13"/>
        <v>0</v>
      </c>
    </row>
    <row r="153" spans="1:13" x14ac:dyDescent="0.25">
      <c r="A153" s="155"/>
      <c r="G153" s="126"/>
      <c r="H153" s="138">
        <v>148</v>
      </c>
      <c r="I153" s="139" t="str">
        <f t="shared" si="11"/>
        <v/>
      </c>
      <c r="J153" s="139">
        <f t="shared" si="14"/>
        <v>-3</v>
      </c>
      <c r="K153" s="138">
        <f t="shared" si="12"/>
        <v>-30</v>
      </c>
      <c r="L153" s="138"/>
      <c r="M153" s="140">
        <f t="shared" si="13"/>
        <v>0</v>
      </c>
    </row>
    <row r="154" spans="1:13" x14ac:dyDescent="0.25">
      <c r="A154" s="155"/>
      <c r="G154" s="126"/>
      <c r="H154" s="138">
        <v>149</v>
      </c>
      <c r="I154" s="139" t="str">
        <f t="shared" si="11"/>
        <v/>
      </c>
      <c r="J154" s="139">
        <f t="shared" si="14"/>
        <v>-3</v>
      </c>
      <c r="K154" s="138">
        <f t="shared" si="12"/>
        <v>-30</v>
      </c>
      <c r="L154" s="138"/>
      <c r="M154" s="140">
        <f t="shared" si="13"/>
        <v>0</v>
      </c>
    </row>
    <row r="155" spans="1:13" x14ac:dyDescent="0.25">
      <c r="A155" s="155"/>
      <c r="G155" s="126"/>
      <c r="H155" s="138">
        <v>150</v>
      </c>
      <c r="I155" s="139" t="str">
        <f t="shared" si="11"/>
        <v/>
      </c>
      <c r="J155" s="139">
        <f t="shared" si="14"/>
        <v>-3</v>
      </c>
      <c r="K155" s="138">
        <f t="shared" si="12"/>
        <v>-30</v>
      </c>
      <c r="L155" s="138"/>
      <c r="M155" s="140">
        <f t="shared" si="13"/>
        <v>0</v>
      </c>
    </row>
    <row r="156" spans="1:13" x14ac:dyDescent="0.25">
      <c r="A156" s="155"/>
      <c r="G156" s="126"/>
      <c r="H156" s="138">
        <v>151</v>
      </c>
      <c r="I156" s="139" t="str">
        <f t="shared" si="11"/>
        <v/>
      </c>
      <c r="J156" s="139">
        <f t="shared" si="14"/>
        <v>-3</v>
      </c>
      <c r="K156" s="138">
        <f t="shared" si="12"/>
        <v>-30</v>
      </c>
      <c r="L156" s="138"/>
      <c r="M156" s="140">
        <f t="shared" si="13"/>
        <v>0</v>
      </c>
    </row>
    <row r="157" spans="1:13" x14ac:dyDescent="0.25">
      <c r="A157" s="155"/>
      <c r="G157" s="126"/>
      <c r="H157" s="138">
        <v>152</v>
      </c>
      <c r="I157" s="139" t="str">
        <f t="shared" si="11"/>
        <v/>
      </c>
      <c r="J157" s="139">
        <f t="shared" si="14"/>
        <v>-3</v>
      </c>
      <c r="K157" s="138">
        <f t="shared" si="12"/>
        <v>-30</v>
      </c>
      <c r="L157" s="138"/>
      <c r="M157" s="140">
        <f t="shared" si="13"/>
        <v>0</v>
      </c>
    </row>
    <row r="158" spans="1:13" x14ac:dyDescent="0.25">
      <c r="A158" s="155"/>
      <c r="G158" s="126"/>
      <c r="H158" s="138">
        <v>153</v>
      </c>
      <c r="I158" s="139" t="str">
        <f t="shared" si="11"/>
        <v/>
      </c>
      <c r="J158" s="139">
        <f t="shared" si="14"/>
        <v>-3</v>
      </c>
      <c r="K158" s="138">
        <f t="shared" si="12"/>
        <v>-30</v>
      </c>
      <c r="L158" s="138"/>
      <c r="M158" s="140">
        <f t="shared" si="13"/>
        <v>0</v>
      </c>
    </row>
    <row r="159" spans="1:13" x14ac:dyDescent="0.25">
      <c r="A159" s="155"/>
      <c r="G159" s="126"/>
      <c r="H159" s="138">
        <v>154</v>
      </c>
      <c r="I159" s="139" t="str">
        <f t="shared" si="11"/>
        <v/>
      </c>
      <c r="J159" s="139">
        <f t="shared" si="14"/>
        <v>-3</v>
      </c>
      <c r="K159" s="138">
        <f t="shared" si="12"/>
        <v>-30</v>
      </c>
      <c r="L159" s="138"/>
      <c r="M159" s="140">
        <f t="shared" si="13"/>
        <v>0</v>
      </c>
    </row>
    <row r="160" spans="1:13" x14ac:dyDescent="0.25">
      <c r="A160" s="155"/>
      <c r="G160" s="126"/>
      <c r="H160" s="138">
        <v>155</v>
      </c>
      <c r="I160" s="139" t="str">
        <f t="shared" si="11"/>
        <v/>
      </c>
      <c r="J160" s="139">
        <f t="shared" si="14"/>
        <v>-3</v>
      </c>
      <c r="K160" s="138">
        <f t="shared" si="12"/>
        <v>-30</v>
      </c>
      <c r="L160" s="138"/>
      <c r="M160" s="140">
        <f t="shared" si="13"/>
        <v>0</v>
      </c>
    </row>
    <row r="161" spans="1:13" x14ac:dyDescent="0.25">
      <c r="A161" s="155"/>
      <c r="G161" s="126"/>
      <c r="H161" s="138">
        <v>156</v>
      </c>
      <c r="I161" s="139" t="str">
        <f t="shared" si="11"/>
        <v/>
      </c>
      <c r="J161" s="139">
        <f t="shared" si="14"/>
        <v>-3</v>
      </c>
      <c r="K161" s="138">
        <f t="shared" si="12"/>
        <v>-30</v>
      </c>
      <c r="L161" s="138"/>
      <c r="M161" s="140">
        <f t="shared" si="13"/>
        <v>0</v>
      </c>
    </row>
    <row r="162" spans="1:13" x14ac:dyDescent="0.25">
      <c r="A162" s="155"/>
      <c r="G162" s="126"/>
      <c r="H162" s="138">
        <v>157</v>
      </c>
      <c r="I162" s="139" t="str">
        <f t="shared" si="11"/>
        <v/>
      </c>
      <c r="J162" s="139">
        <f t="shared" si="14"/>
        <v>-3</v>
      </c>
      <c r="K162" s="138">
        <f t="shared" si="12"/>
        <v>-30</v>
      </c>
      <c r="L162" s="138"/>
      <c r="M162" s="140">
        <f t="shared" si="13"/>
        <v>0</v>
      </c>
    </row>
    <row r="163" spans="1:13" x14ac:dyDescent="0.25">
      <c r="A163" s="155"/>
      <c r="G163" s="126"/>
      <c r="H163" s="138">
        <v>158</v>
      </c>
      <c r="I163" s="139" t="str">
        <f t="shared" si="11"/>
        <v/>
      </c>
      <c r="J163" s="139">
        <f t="shared" si="14"/>
        <v>-3</v>
      </c>
      <c r="K163" s="138">
        <f t="shared" si="12"/>
        <v>-30</v>
      </c>
      <c r="L163" s="138"/>
      <c r="M163" s="140">
        <f t="shared" si="13"/>
        <v>0</v>
      </c>
    </row>
    <row r="164" spans="1:13" x14ac:dyDescent="0.25">
      <c r="A164" s="155"/>
      <c r="G164" s="126"/>
      <c r="H164" s="138">
        <v>159</v>
      </c>
      <c r="I164" s="139" t="str">
        <f t="shared" si="11"/>
        <v/>
      </c>
      <c r="J164" s="139">
        <f t="shared" si="14"/>
        <v>-3</v>
      </c>
      <c r="K164" s="138">
        <f t="shared" si="12"/>
        <v>-30</v>
      </c>
      <c r="L164" s="138"/>
      <c r="M164" s="140">
        <f t="shared" si="13"/>
        <v>0</v>
      </c>
    </row>
    <row r="165" spans="1:13" x14ac:dyDescent="0.25">
      <c r="A165" s="155"/>
      <c r="G165" s="126"/>
      <c r="H165" s="138">
        <v>160</v>
      </c>
      <c r="I165" s="139" t="str">
        <f t="shared" si="11"/>
        <v/>
      </c>
      <c r="J165" s="139">
        <f t="shared" si="14"/>
        <v>-3</v>
      </c>
      <c r="K165" s="138">
        <f t="shared" si="12"/>
        <v>-30</v>
      </c>
      <c r="L165" s="138"/>
      <c r="M165" s="140">
        <f t="shared" si="13"/>
        <v>0</v>
      </c>
    </row>
    <row r="166" spans="1:13" x14ac:dyDescent="0.25">
      <c r="A166" s="155"/>
      <c r="G166" s="126"/>
      <c r="H166" s="138">
        <v>161</v>
      </c>
      <c r="I166" s="139" t="str">
        <f t="shared" si="11"/>
        <v/>
      </c>
      <c r="J166" s="139">
        <f t="shared" si="14"/>
        <v>-3</v>
      </c>
      <c r="K166" s="138">
        <f t="shared" si="12"/>
        <v>-30</v>
      </c>
      <c r="L166" s="138"/>
      <c r="M166" s="140">
        <f t="shared" si="13"/>
        <v>0</v>
      </c>
    </row>
    <row r="167" spans="1:13" x14ac:dyDescent="0.25">
      <c r="A167" s="155"/>
      <c r="G167" s="126"/>
      <c r="H167" s="138">
        <v>162</v>
      </c>
      <c r="I167" s="139" t="str">
        <f t="shared" si="11"/>
        <v/>
      </c>
      <c r="J167" s="139">
        <f t="shared" si="14"/>
        <v>-3</v>
      </c>
      <c r="K167" s="138">
        <f t="shared" si="12"/>
        <v>-30</v>
      </c>
      <c r="L167" s="138"/>
      <c r="M167" s="140">
        <f t="shared" si="13"/>
        <v>0</v>
      </c>
    </row>
    <row r="168" spans="1:13" x14ac:dyDescent="0.25">
      <c r="A168" s="155"/>
      <c r="G168" s="126"/>
      <c r="H168" s="138">
        <v>163</v>
      </c>
      <c r="I168" s="139" t="str">
        <f t="shared" si="11"/>
        <v/>
      </c>
      <c r="J168" s="139">
        <f t="shared" si="14"/>
        <v>-3</v>
      </c>
      <c r="K168" s="138">
        <f t="shared" si="12"/>
        <v>-30</v>
      </c>
      <c r="L168" s="138"/>
      <c r="M168" s="140">
        <f t="shared" si="13"/>
        <v>0</v>
      </c>
    </row>
    <row r="169" spans="1:13" x14ac:dyDescent="0.25">
      <c r="A169" s="155"/>
      <c r="C169" s="154" t="s">
        <v>50</v>
      </c>
      <c r="G169" s="126"/>
      <c r="H169" s="138">
        <v>164</v>
      </c>
      <c r="I169" s="139" t="str">
        <f t="shared" si="11"/>
        <v/>
      </c>
      <c r="J169" s="139">
        <f t="shared" si="14"/>
        <v>-3</v>
      </c>
      <c r="K169" s="138">
        <f t="shared" si="12"/>
        <v>-30</v>
      </c>
      <c r="L169" s="138"/>
      <c r="M169" s="140">
        <f t="shared" si="13"/>
        <v>0</v>
      </c>
    </row>
    <row r="170" spans="1:13" x14ac:dyDescent="0.25">
      <c r="A170" s="155"/>
      <c r="G170" s="126"/>
      <c r="H170" s="138">
        <v>165</v>
      </c>
      <c r="I170" s="139" t="str">
        <f t="shared" si="11"/>
        <v/>
      </c>
      <c r="J170" s="139">
        <f t="shared" si="14"/>
        <v>-3</v>
      </c>
      <c r="K170" s="138">
        <f t="shared" si="12"/>
        <v>-30</v>
      </c>
      <c r="L170" s="138"/>
      <c r="M170" s="140">
        <f t="shared" si="13"/>
        <v>0</v>
      </c>
    </row>
    <row r="171" spans="1:13" x14ac:dyDescent="0.25">
      <c r="A171" s="155"/>
      <c r="G171" s="126"/>
      <c r="H171" s="138">
        <v>166</v>
      </c>
      <c r="I171" s="139" t="str">
        <f t="shared" si="11"/>
        <v/>
      </c>
      <c r="J171" s="139">
        <f t="shared" si="14"/>
        <v>-3</v>
      </c>
      <c r="K171" s="138">
        <f t="shared" si="12"/>
        <v>-30</v>
      </c>
      <c r="L171" s="138"/>
      <c r="M171" s="140">
        <f t="shared" si="13"/>
        <v>0</v>
      </c>
    </row>
    <row r="172" spans="1:13" x14ac:dyDescent="0.25">
      <c r="A172" s="155"/>
      <c r="G172" s="126"/>
      <c r="H172" s="138">
        <v>167</v>
      </c>
      <c r="I172" s="139" t="str">
        <f t="shared" si="11"/>
        <v/>
      </c>
      <c r="J172" s="139">
        <f t="shared" si="14"/>
        <v>-3</v>
      </c>
      <c r="K172" s="138">
        <f t="shared" si="12"/>
        <v>-30</v>
      </c>
      <c r="L172" s="138"/>
      <c r="M172" s="140">
        <f t="shared" si="13"/>
        <v>0</v>
      </c>
    </row>
    <row r="173" spans="1:13" x14ac:dyDescent="0.25">
      <c r="A173" s="155"/>
      <c r="G173" s="126"/>
      <c r="H173" s="138">
        <v>168</v>
      </c>
      <c r="I173" s="139" t="str">
        <f t="shared" si="11"/>
        <v/>
      </c>
      <c r="J173" s="139">
        <f t="shared" si="14"/>
        <v>-3</v>
      </c>
      <c r="K173" s="138">
        <f t="shared" si="12"/>
        <v>-30</v>
      </c>
      <c r="L173" s="138"/>
      <c r="M173" s="140">
        <f t="shared" si="13"/>
        <v>0</v>
      </c>
    </row>
    <row r="174" spans="1:13" x14ac:dyDescent="0.25">
      <c r="A174" s="155"/>
      <c r="G174" s="126"/>
      <c r="H174" s="138">
        <v>169</v>
      </c>
      <c r="I174" s="139" t="str">
        <f t="shared" si="11"/>
        <v/>
      </c>
      <c r="J174" s="139">
        <f t="shared" si="14"/>
        <v>-3</v>
      </c>
      <c r="K174" s="138">
        <f t="shared" si="12"/>
        <v>-30</v>
      </c>
      <c r="L174" s="138"/>
      <c r="M174" s="140">
        <f t="shared" si="13"/>
        <v>0</v>
      </c>
    </row>
    <row r="175" spans="1:13" x14ac:dyDescent="0.25">
      <c r="A175" s="155"/>
      <c r="G175" s="126"/>
      <c r="H175" s="138">
        <v>170</v>
      </c>
      <c r="I175" s="139" t="str">
        <f t="shared" si="11"/>
        <v/>
      </c>
      <c r="J175" s="139">
        <f t="shared" si="14"/>
        <v>-3</v>
      </c>
      <c r="K175" s="138">
        <f t="shared" si="12"/>
        <v>-30</v>
      </c>
      <c r="L175" s="138"/>
      <c r="M175" s="140">
        <f t="shared" si="13"/>
        <v>0</v>
      </c>
    </row>
    <row r="176" spans="1:13" x14ac:dyDescent="0.25">
      <c r="A176" s="155"/>
      <c r="G176" s="126"/>
      <c r="H176" s="138">
        <v>171</v>
      </c>
      <c r="I176" s="139" t="str">
        <f t="shared" si="11"/>
        <v/>
      </c>
      <c r="J176" s="139">
        <f t="shared" si="14"/>
        <v>-3</v>
      </c>
      <c r="K176" s="138">
        <f t="shared" si="12"/>
        <v>-30</v>
      </c>
      <c r="L176" s="138"/>
      <c r="M176" s="140">
        <f t="shared" si="13"/>
        <v>0</v>
      </c>
    </row>
    <row r="177" spans="1:13" x14ac:dyDescent="0.25">
      <c r="A177" s="155"/>
      <c r="G177" s="126"/>
      <c r="H177" s="138">
        <v>172</v>
      </c>
      <c r="I177" s="139" t="str">
        <f t="shared" si="11"/>
        <v/>
      </c>
      <c r="J177" s="139">
        <f t="shared" si="14"/>
        <v>-3</v>
      </c>
      <c r="K177" s="138">
        <f t="shared" si="12"/>
        <v>-30</v>
      </c>
      <c r="L177" s="138"/>
      <c r="M177" s="140">
        <f t="shared" si="13"/>
        <v>0</v>
      </c>
    </row>
    <row r="178" spans="1:13" x14ac:dyDescent="0.25">
      <c r="A178" s="155"/>
      <c r="G178" s="126"/>
      <c r="H178" s="138">
        <v>173</v>
      </c>
      <c r="I178" s="139" t="str">
        <f t="shared" si="11"/>
        <v/>
      </c>
      <c r="J178" s="139">
        <f t="shared" si="14"/>
        <v>-3</v>
      </c>
      <c r="K178" s="138">
        <f t="shared" si="12"/>
        <v>-30</v>
      </c>
      <c r="L178" s="138"/>
      <c r="M178" s="140">
        <f t="shared" si="13"/>
        <v>0</v>
      </c>
    </row>
    <row r="179" spans="1:13" x14ac:dyDescent="0.25">
      <c r="A179" s="155"/>
      <c r="G179" s="126"/>
      <c r="H179" s="138">
        <v>174</v>
      </c>
      <c r="I179" s="139" t="str">
        <f t="shared" si="11"/>
        <v/>
      </c>
      <c r="J179" s="139">
        <f t="shared" si="14"/>
        <v>-3</v>
      </c>
      <c r="K179" s="138">
        <f t="shared" si="12"/>
        <v>-30</v>
      </c>
      <c r="L179" s="138"/>
      <c r="M179" s="140">
        <f t="shared" si="13"/>
        <v>0</v>
      </c>
    </row>
    <row r="180" spans="1:13" x14ac:dyDescent="0.25">
      <c r="A180" s="155"/>
      <c r="G180" s="126"/>
      <c r="H180" s="138">
        <v>175</v>
      </c>
      <c r="I180" s="139" t="str">
        <f t="shared" si="11"/>
        <v/>
      </c>
      <c r="J180" s="139">
        <f t="shared" si="14"/>
        <v>-3</v>
      </c>
      <c r="K180" s="138">
        <f t="shared" si="12"/>
        <v>-30</v>
      </c>
      <c r="L180" s="138"/>
      <c r="M180" s="140">
        <f t="shared" si="13"/>
        <v>0</v>
      </c>
    </row>
    <row r="181" spans="1:13" x14ac:dyDescent="0.25">
      <c r="A181" s="155"/>
      <c r="G181" s="126"/>
      <c r="H181" s="138">
        <v>176</v>
      </c>
      <c r="I181" s="139" t="str">
        <f t="shared" si="11"/>
        <v/>
      </c>
      <c r="J181" s="139">
        <f t="shared" si="14"/>
        <v>-3</v>
      </c>
      <c r="K181" s="138">
        <f t="shared" si="12"/>
        <v>-30</v>
      </c>
      <c r="L181" s="138"/>
      <c r="M181" s="140">
        <f t="shared" si="13"/>
        <v>0</v>
      </c>
    </row>
    <row r="182" spans="1:13" x14ac:dyDescent="0.25">
      <c r="A182" s="155"/>
      <c r="G182" s="126"/>
      <c r="H182" s="138">
        <v>177</v>
      </c>
      <c r="I182" s="139" t="str">
        <f t="shared" si="11"/>
        <v/>
      </c>
      <c r="J182" s="139">
        <f t="shared" si="14"/>
        <v>-3</v>
      </c>
      <c r="K182" s="138">
        <f t="shared" si="12"/>
        <v>-30</v>
      </c>
      <c r="L182" s="138"/>
      <c r="M182" s="140">
        <f t="shared" si="13"/>
        <v>0</v>
      </c>
    </row>
    <row r="183" spans="1:13" x14ac:dyDescent="0.25">
      <c r="A183" s="155"/>
      <c r="G183" s="126"/>
      <c r="H183" s="138">
        <v>178</v>
      </c>
      <c r="I183" s="139" t="str">
        <f t="shared" si="11"/>
        <v/>
      </c>
      <c r="J183" s="139">
        <f t="shared" si="14"/>
        <v>-3</v>
      </c>
      <c r="K183" s="138">
        <f t="shared" si="12"/>
        <v>-30</v>
      </c>
      <c r="L183" s="138"/>
      <c r="M183" s="140">
        <f t="shared" si="13"/>
        <v>0</v>
      </c>
    </row>
    <row r="184" spans="1:13" x14ac:dyDescent="0.25">
      <c r="A184" s="155"/>
      <c r="G184" s="126"/>
      <c r="H184" s="138">
        <v>179</v>
      </c>
      <c r="I184" s="139" t="str">
        <f t="shared" si="11"/>
        <v/>
      </c>
      <c r="J184" s="139">
        <f t="shared" si="14"/>
        <v>-3</v>
      </c>
      <c r="K184" s="138">
        <f t="shared" si="12"/>
        <v>-30</v>
      </c>
      <c r="L184" s="138"/>
      <c r="M184" s="140">
        <f t="shared" si="13"/>
        <v>0</v>
      </c>
    </row>
    <row r="185" spans="1:13" x14ac:dyDescent="0.25">
      <c r="A185" s="155"/>
      <c r="G185" s="126"/>
      <c r="H185" s="138">
        <v>180</v>
      </c>
      <c r="I185" s="139" t="str">
        <f t="shared" si="11"/>
        <v/>
      </c>
      <c r="J185" s="139">
        <f t="shared" si="14"/>
        <v>-3</v>
      </c>
      <c r="K185" s="138">
        <f t="shared" si="12"/>
        <v>-30</v>
      </c>
      <c r="L185" s="138"/>
      <c r="M185" s="140">
        <f t="shared" si="13"/>
        <v>0</v>
      </c>
    </row>
    <row r="186" spans="1:13" x14ac:dyDescent="0.25">
      <c r="A186" s="155"/>
      <c r="G186" s="126"/>
      <c r="H186" s="138">
        <v>181</v>
      </c>
      <c r="I186" s="139" t="str">
        <f t="shared" si="11"/>
        <v/>
      </c>
      <c r="J186" s="139">
        <f t="shared" si="14"/>
        <v>-3</v>
      </c>
      <c r="K186" s="138">
        <f t="shared" si="12"/>
        <v>-30</v>
      </c>
      <c r="L186" s="138"/>
      <c r="M186" s="140">
        <f t="shared" si="13"/>
        <v>0</v>
      </c>
    </row>
    <row r="187" spans="1:13" x14ac:dyDescent="0.25">
      <c r="A187" s="155"/>
      <c r="G187" s="126"/>
      <c r="H187" s="138">
        <v>182</v>
      </c>
      <c r="I187" s="139" t="str">
        <f t="shared" si="11"/>
        <v/>
      </c>
      <c r="J187" s="139">
        <f t="shared" si="14"/>
        <v>-3</v>
      </c>
      <c r="K187" s="138">
        <f t="shared" si="12"/>
        <v>-30</v>
      </c>
      <c r="L187" s="138"/>
      <c r="M187" s="140">
        <f t="shared" si="13"/>
        <v>0</v>
      </c>
    </row>
    <row r="188" spans="1:13" x14ac:dyDescent="0.25">
      <c r="A188" s="155"/>
      <c r="G188" s="126"/>
      <c r="H188" s="138">
        <v>183</v>
      </c>
      <c r="I188" s="139" t="str">
        <f t="shared" si="11"/>
        <v/>
      </c>
      <c r="J188" s="139">
        <f t="shared" si="14"/>
        <v>-3</v>
      </c>
      <c r="K188" s="138">
        <f t="shared" si="12"/>
        <v>-30</v>
      </c>
      <c r="L188" s="138"/>
      <c r="M188" s="140">
        <f t="shared" si="13"/>
        <v>0</v>
      </c>
    </row>
    <row r="189" spans="1:13" x14ac:dyDescent="0.25">
      <c r="A189" s="155"/>
      <c r="G189" s="126"/>
      <c r="H189" s="138">
        <v>184</v>
      </c>
      <c r="I189" s="139" t="str">
        <f t="shared" si="11"/>
        <v/>
      </c>
      <c r="J189" s="139">
        <f t="shared" si="14"/>
        <v>-3</v>
      </c>
      <c r="K189" s="138">
        <f t="shared" si="12"/>
        <v>-30</v>
      </c>
      <c r="L189" s="138"/>
      <c r="M189" s="140">
        <f t="shared" si="13"/>
        <v>0</v>
      </c>
    </row>
    <row r="190" spans="1:13" x14ac:dyDescent="0.25">
      <c r="A190" s="155"/>
      <c r="G190" s="126"/>
      <c r="H190" s="138">
        <v>185</v>
      </c>
      <c r="I190" s="139" t="str">
        <f t="shared" si="11"/>
        <v/>
      </c>
      <c r="J190" s="139">
        <f t="shared" si="14"/>
        <v>-3</v>
      </c>
      <c r="K190" s="138">
        <f t="shared" si="12"/>
        <v>-30</v>
      </c>
      <c r="L190" s="138"/>
      <c r="M190" s="140">
        <f t="shared" si="13"/>
        <v>0</v>
      </c>
    </row>
    <row r="191" spans="1:13" x14ac:dyDescent="0.25">
      <c r="A191" s="155"/>
      <c r="G191" s="126"/>
      <c r="H191" s="138">
        <v>186</v>
      </c>
      <c r="I191" s="139" t="str">
        <f t="shared" si="11"/>
        <v/>
      </c>
      <c r="J191" s="139">
        <f t="shared" si="14"/>
        <v>-3</v>
      </c>
      <c r="K191" s="138">
        <f t="shared" si="12"/>
        <v>-30</v>
      </c>
      <c r="L191" s="138"/>
      <c r="M191" s="140">
        <f t="shared" si="13"/>
        <v>0</v>
      </c>
    </row>
    <row r="192" spans="1:13" x14ac:dyDescent="0.25">
      <c r="A192" s="155"/>
      <c r="G192" s="126"/>
      <c r="H192" s="138">
        <v>187</v>
      </c>
      <c r="I192" s="139" t="str">
        <f t="shared" si="11"/>
        <v/>
      </c>
      <c r="J192" s="139">
        <f t="shared" si="14"/>
        <v>-3</v>
      </c>
      <c r="K192" s="138">
        <f t="shared" si="12"/>
        <v>-30</v>
      </c>
      <c r="L192" s="138"/>
      <c r="M192" s="140">
        <f t="shared" si="13"/>
        <v>0</v>
      </c>
    </row>
    <row r="193" spans="1:13" x14ac:dyDescent="0.25">
      <c r="A193" s="155"/>
      <c r="G193" s="126"/>
      <c r="H193" s="138">
        <v>188</v>
      </c>
      <c r="I193" s="139" t="str">
        <f t="shared" si="11"/>
        <v/>
      </c>
      <c r="J193" s="139">
        <f t="shared" si="14"/>
        <v>-3</v>
      </c>
      <c r="K193" s="138">
        <f t="shared" si="12"/>
        <v>-30</v>
      </c>
      <c r="L193" s="138"/>
      <c r="M193" s="140">
        <f t="shared" si="13"/>
        <v>0</v>
      </c>
    </row>
    <row r="194" spans="1:13" x14ac:dyDescent="0.25">
      <c r="A194" s="155"/>
      <c r="G194" s="126"/>
      <c r="H194" s="138">
        <v>189</v>
      </c>
      <c r="I194" s="139" t="str">
        <f t="shared" si="11"/>
        <v/>
      </c>
      <c r="J194" s="139">
        <f t="shared" si="14"/>
        <v>-3</v>
      </c>
      <c r="K194" s="138">
        <f t="shared" si="12"/>
        <v>-30</v>
      </c>
      <c r="L194" s="138"/>
      <c r="M194" s="140">
        <f t="shared" si="13"/>
        <v>0</v>
      </c>
    </row>
    <row r="195" spans="1:13" x14ac:dyDescent="0.25">
      <c r="A195" s="155"/>
      <c r="G195" s="126"/>
      <c r="H195" s="138">
        <v>190</v>
      </c>
      <c r="I195" s="139" t="str">
        <f t="shared" si="11"/>
        <v/>
      </c>
      <c r="J195" s="139">
        <f t="shared" si="14"/>
        <v>-3</v>
      </c>
      <c r="K195" s="138">
        <f t="shared" si="12"/>
        <v>-30</v>
      </c>
      <c r="L195" s="138"/>
      <c r="M195" s="140">
        <f t="shared" si="13"/>
        <v>0</v>
      </c>
    </row>
    <row r="196" spans="1:13" x14ac:dyDescent="0.25">
      <c r="A196" s="155"/>
      <c r="G196" s="126"/>
      <c r="H196" s="138">
        <v>191</v>
      </c>
      <c r="I196" s="139" t="str">
        <f t="shared" si="11"/>
        <v/>
      </c>
      <c r="J196" s="139">
        <f t="shared" si="14"/>
        <v>-3</v>
      </c>
      <c r="K196" s="138">
        <f t="shared" si="12"/>
        <v>-30</v>
      </c>
      <c r="L196" s="138"/>
      <c r="M196" s="140">
        <f t="shared" si="13"/>
        <v>0</v>
      </c>
    </row>
    <row r="197" spans="1:13" x14ac:dyDescent="0.25">
      <c r="A197" s="155"/>
      <c r="G197" s="126"/>
      <c r="H197" s="138">
        <v>192</v>
      </c>
      <c r="I197" s="139" t="str">
        <f t="shared" si="11"/>
        <v/>
      </c>
      <c r="J197" s="139">
        <f t="shared" si="14"/>
        <v>-3</v>
      </c>
      <c r="K197" s="138">
        <f t="shared" si="12"/>
        <v>-30</v>
      </c>
      <c r="L197" s="138"/>
      <c r="M197" s="140">
        <f t="shared" si="13"/>
        <v>0</v>
      </c>
    </row>
    <row r="198" spans="1:13" x14ac:dyDescent="0.25">
      <c r="A198" s="155"/>
      <c r="G198" s="126"/>
      <c r="H198" s="138">
        <v>193</v>
      </c>
      <c r="I198" s="139" t="str">
        <f t="shared" ref="I198:I261" si="15">IF(H198&lt;$H$2+1,($I$2-($I$2-1)*(LOG(H198)/LOG($H$2))),"")</f>
        <v/>
      </c>
      <c r="J198" s="139">
        <f t="shared" si="14"/>
        <v>-3</v>
      </c>
      <c r="K198" s="138">
        <f t="shared" ref="K198:K261" si="16">J198*$J$2</f>
        <v>-30</v>
      </c>
      <c r="L198" s="138"/>
      <c r="M198" s="140">
        <f t="shared" ref="M198:M261" si="17">IF(I198&lt;&gt;"",K198+I198+L198,0)</f>
        <v>0</v>
      </c>
    </row>
    <row r="199" spans="1:13" x14ac:dyDescent="0.25">
      <c r="A199" s="155"/>
      <c r="G199" s="126"/>
      <c r="H199" s="138">
        <v>194</v>
      </c>
      <c r="I199" s="139" t="str">
        <f t="shared" si="15"/>
        <v/>
      </c>
      <c r="J199" s="139">
        <f t="shared" ref="J199:J262" si="18">INT(LOG($H$2,2))-ROUNDUP(LOG(H199,2),0)+IF(OR($H$2=1,$H$2=2,$H$2=4,$H$2=8,$H$2=16,$H$2=32,$H$2=64,$H$2=128,$H$2=256),0,1)</f>
        <v>-3</v>
      </c>
      <c r="K199" s="138">
        <f t="shared" si="16"/>
        <v>-30</v>
      </c>
      <c r="L199" s="138"/>
      <c r="M199" s="140">
        <f t="shared" si="17"/>
        <v>0</v>
      </c>
    </row>
    <row r="200" spans="1:13" x14ac:dyDescent="0.25">
      <c r="A200" s="155"/>
      <c r="G200" s="126"/>
      <c r="H200" s="138">
        <v>195</v>
      </c>
      <c r="I200" s="139" t="str">
        <f t="shared" si="15"/>
        <v/>
      </c>
      <c r="J200" s="139">
        <f t="shared" si="18"/>
        <v>-3</v>
      </c>
      <c r="K200" s="138">
        <f t="shared" si="16"/>
        <v>-30</v>
      </c>
      <c r="L200" s="138"/>
      <c r="M200" s="140">
        <f t="shared" si="17"/>
        <v>0</v>
      </c>
    </row>
    <row r="201" spans="1:13" x14ac:dyDescent="0.25">
      <c r="A201" s="155"/>
      <c r="G201" s="126"/>
      <c r="H201" s="138">
        <v>196</v>
      </c>
      <c r="I201" s="139" t="str">
        <f t="shared" si="15"/>
        <v/>
      </c>
      <c r="J201" s="139">
        <f t="shared" si="18"/>
        <v>-3</v>
      </c>
      <c r="K201" s="138">
        <f t="shared" si="16"/>
        <v>-30</v>
      </c>
      <c r="L201" s="138"/>
      <c r="M201" s="140">
        <f t="shared" si="17"/>
        <v>0</v>
      </c>
    </row>
    <row r="202" spans="1:13" x14ac:dyDescent="0.25">
      <c r="A202" s="155"/>
      <c r="G202" s="126"/>
      <c r="H202" s="138">
        <v>197</v>
      </c>
      <c r="I202" s="139" t="str">
        <f t="shared" si="15"/>
        <v/>
      </c>
      <c r="J202" s="139">
        <f t="shared" si="18"/>
        <v>-3</v>
      </c>
      <c r="K202" s="138">
        <f t="shared" si="16"/>
        <v>-30</v>
      </c>
      <c r="L202" s="138"/>
      <c r="M202" s="140">
        <f t="shared" si="17"/>
        <v>0</v>
      </c>
    </row>
    <row r="203" spans="1:13" x14ac:dyDescent="0.25">
      <c r="A203" s="155"/>
      <c r="G203" s="126"/>
      <c r="H203" s="138">
        <v>198</v>
      </c>
      <c r="I203" s="139" t="str">
        <f t="shared" si="15"/>
        <v/>
      </c>
      <c r="J203" s="139">
        <f t="shared" si="18"/>
        <v>-3</v>
      </c>
      <c r="K203" s="138">
        <f t="shared" si="16"/>
        <v>-30</v>
      </c>
      <c r="L203" s="138"/>
      <c r="M203" s="140">
        <f t="shared" si="17"/>
        <v>0</v>
      </c>
    </row>
    <row r="204" spans="1:13" x14ac:dyDescent="0.25">
      <c r="A204" s="155"/>
      <c r="G204" s="126"/>
      <c r="H204" s="138">
        <v>199</v>
      </c>
      <c r="I204" s="139" t="str">
        <f t="shared" si="15"/>
        <v/>
      </c>
      <c r="J204" s="139">
        <f t="shared" si="18"/>
        <v>-3</v>
      </c>
      <c r="K204" s="138">
        <f t="shared" si="16"/>
        <v>-30</v>
      </c>
      <c r="L204" s="138"/>
      <c r="M204" s="140">
        <f t="shared" si="17"/>
        <v>0</v>
      </c>
    </row>
    <row r="205" spans="1:13" x14ac:dyDescent="0.25">
      <c r="A205" s="155"/>
      <c r="G205" s="126"/>
      <c r="H205" s="138">
        <v>200</v>
      </c>
      <c r="I205" s="139" t="str">
        <f t="shared" si="15"/>
        <v/>
      </c>
      <c r="J205" s="139">
        <f t="shared" si="18"/>
        <v>-3</v>
      </c>
      <c r="K205" s="138">
        <f t="shared" si="16"/>
        <v>-30</v>
      </c>
      <c r="L205" s="138"/>
      <c r="M205" s="140">
        <f t="shared" si="17"/>
        <v>0</v>
      </c>
    </row>
    <row r="206" spans="1:13" x14ac:dyDescent="0.25">
      <c r="A206" s="155"/>
      <c r="G206" s="126"/>
      <c r="H206" s="138">
        <v>201</v>
      </c>
      <c r="I206" s="139" t="str">
        <f t="shared" si="15"/>
        <v/>
      </c>
      <c r="J206" s="139">
        <f t="shared" si="18"/>
        <v>-3</v>
      </c>
      <c r="K206" s="138">
        <f t="shared" si="16"/>
        <v>-30</v>
      </c>
      <c r="L206" s="138"/>
      <c r="M206" s="140">
        <f t="shared" si="17"/>
        <v>0</v>
      </c>
    </row>
    <row r="207" spans="1:13" x14ac:dyDescent="0.25">
      <c r="A207" s="155"/>
      <c r="G207" s="126"/>
      <c r="H207" s="138">
        <v>202</v>
      </c>
      <c r="I207" s="139" t="str">
        <f t="shared" si="15"/>
        <v/>
      </c>
      <c r="J207" s="139">
        <f t="shared" si="18"/>
        <v>-3</v>
      </c>
      <c r="K207" s="138">
        <f t="shared" si="16"/>
        <v>-30</v>
      </c>
      <c r="L207" s="138"/>
      <c r="M207" s="140">
        <f t="shared" si="17"/>
        <v>0</v>
      </c>
    </row>
    <row r="208" spans="1:13" x14ac:dyDescent="0.25">
      <c r="A208" s="155"/>
      <c r="G208" s="126"/>
      <c r="H208" s="138">
        <v>203</v>
      </c>
      <c r="I208" s="139" t="str">
        <f t="shared" si="15"/>
        <v/>
      </c>
      <c r="J208" s="139">
        <f t="shared" si="18"/>
        <v>-3</v>
      </c>
      <c r="K208" s="138">
        <f t="shared" si="16"/>
        <v>-30</v>
      </c>
      <c r="L208" s="138"/>
      <c r="M208" s="140">
        <f t="shared" si="17"/>
        <v>0</v>
      </c>
    </row>
    <row r="209" spans="1:13" x14ac:dyDescent="0.25">
      <c r="A209" s="155"/>
      <c r="G209" s="126"/>
      <c r="H209" s="138">
        <v>204</v>
      </c>
      <c r="I209" s="139" t="str">
        <f t="shared" si="15"/>
        <v/>
      </c>
      <c r="J209" s="139">
        <f t="shared" si="18"/>
        <v>-3</v>
      </c>
      <c r="K209" s="138">
        <f t="shared" si="16"/>
        <v>-30</v>
      </c>
      <c r="L209" s="138"/>
      <c r="M209" s="140">
        <f t="shared" si="17"/>
        <v>0</v>
      </c>
    </row>
    <row r="210" spans="1:13" x14ac:dyDescent="0.25">
      <c r="A210" s="155"/>
      <c r="G210" s="126"/>
      <c r="H210" s="138">
        <v>205</v>
      </c>
      <c r="I210" s="139" t="str">
        <f t="shared" si="15"/>
        <v/>
      </c>
      <c r="J210" s="139">
        <f t="shared" si="18"/>
        <v>-3</v>
      </c>
      <c r="K210" s="138">
        <f t="shared" si="16"/>
        <v>-30</v>
      </c>
      <c r="L210" s="138"/>
      <c r="M210" s="140">
        <f t="shared" si="17"/>
        <v>0</v>
      </c>
    </row>
    <row r="211" spans="1:13" x14ac:dyDescent="0.25">
      <c r="A211" s="155"/>
      <c r="G211" s="126"/>
      <c r="H211" s="138">
        <v>206</v>
      </c>
      <c r="I211" s="139" t="str">
        <f t="shared" si="15"/>
        <v/>
      </c>
      <c r="J211" s="139">
        <f t="shared" si="18"/>
        <v>-3</v>
      </c>
      <c r="K211" s="138">
        <f t="shared" si="16"/>
        <v>-30</v>
      </c>
      <c r="L211" s="138"/>
      <c r="M211" s="140">
        <f t="shared" si="17"/>
        <v>0</v>
      </c>
    </row>
    <row r="212" spans="1:13" x14ac:dyDescent="0.25">
      <c r="A212" s="155"/>
      <c r="G212" s="126"/>
      <c r="H212" s="138">
        <v>207</v>
      </c>
      <c r="I212" s="139" t="str">
        <f t="shared" si="15"/>
        <v/>
      </c>
      <c r="J212" s="139">
        <f t="shared" si="18"/>
        <v>-3</v>
      </c>
      <c r="K212" s="138">
        <f t="shared" si="16"/>
        <v>-30</v>
      </c>
      <c r="L212" s="138"/>
      <c r="M212" s="140">
        <f t="shared" si="17"/>
        <v>0</v>
      </c>
    </row>
    <row r="213" spans="1:13" x14ac:dyDescent="0.25">
      <c r="A213" s="155"/>
      <c r="G213" s="126"/>
      <c r="H213" s="138">
        <v>208</v>
      </c>
      <c r="I213" s="139" t="str">
        <f t="shared" si="15"/>
        <v/>
      </c>
      <c r="J213" s="139">
        <f t="shared" si="18"/>
        <v>-3</v>
      </c>
      <c r="K213" s="138">
        <f t="shared" si="16"/>
        <v>-30</v>
      </c>
      <c r="L213" s="138"/>
      <c r="M213" s="140">
        <f t="shared" si="17"/>
        <v>0</v>
      </c>
    </row>
    <row r="214" spans="1:13" x14ac:dyDescent="0.25">
      <c r="A214" s="155"/>
      <c r="G214" s="126"/>
      <c r="H214" s="138">
        <v>209</v>
      </c>
      <c r="I214" s="139" t="str">
        <f t="shared" si="15"/>
        <v/>
      </c>
      <c r="J214" s="139">
        <f t="shared" si="18"/>
        <v>-3</v>
      </c>
      <c r="K214" s="138">
        <f t="shared" si="16"/>
        <v>-30</v>
      </c>
      <c r="L214" s="138"/>
      <c r="M214" s="140">
        <f t="shared" si="17"/>
        <v>0</v>
      </c>
    </row>
    <row r="215" spans="1:13" x14ac:dyDescent="0.25">
      <c r="A215" s="155"/>
      <c r="G215" s="126"/>
      <c r="H215" s="138">
        <v>210</v>
      </c>
      <c r="I215" s="139" t="str">
        <f t="shared" si="15"/>
        <v/>
      </c>
      <c r="J215" s="139">
        <f t="shared" si="18"/>
        <v>-3</v>
      </c>
      <c r="K215" s="138">
        <f t="shared" si="16"/>
        <v>-30</v>
      </c>
      <c r="L215" s="138"/>
      <c r="M215" s="140">
        <f t="shared" si="17"/>
        <v>0</v>
      </c>
    </row>
    <row r="216" spans="1:13" x14ac:dyDescent="0.25">
      <c r="A216" s="155"/>
      <c r="G216" s="126"/>
      <c r="H216" s="138">
        <v>211</v>
      </c>
      <c r="I216" s="139" t="str">
        <f t="shared" si="15"/>
        <v/>
      </c>
      <c r="J216" s="139">
        <f t="shared" si="18"/>
        <v>-3</v>
      </c>
      <c r="K216" s="138">
        <f t="shared" si="16"/>
        <v>-30</v>
      </c>
      <c r="L216" s="138"/>
      <c r="M216" s="140">
        <f t="shared" si="17"/>
        <v>0</v>
      </c>
    </row>
    <row r="217" spans="1:13" x14ac:dyDescent="0.25">
      <c r="A217" s="155"/>
      <c r="G217" s="126"/>
      <c r="H217" s="138">
        <v>212</v>
      </c>
      <c r="I217" s="139" t="str">
        <f t="shared" si="15"/>
        <v/>
      </c>
      <c r="J217" s="139">
        <f t="shared" si="18"/>
        <v>-3</v>
      </c>
      <c r="K217" s="138">
        <f t="shared" si="16"/>
        <v>-30</v>
      </c>
      <c r="L217" s="138"/>
      <c r="M217" s="140">
        <f t="shared" si="17"/>
        <v>0</v>
      </c>
    </row>
    <row r="218" spans="1:13" x14ac:dyDescent="0.25">
      <c r="A218" s="155"/>
      <c r="G218" s="126"/>
      <c r="H218" s="138">
        <v>213</v>
      </c>
      <c r="I218" s="139" t="str">
        <f t="shared" si="15"/>
        <v/>
      </c>
      <c r="J218" s="139">
        <f t="shared" si="18"/>
        <v>-3</v>
      </c>
      <c r="K218" s="138">
        <f t="shared" si="16"/>
        <v>-30</v>
      </c>
      <c r="L218" s="138"/>
      <c r="M218" s="140">
        <f t="shared" si="17"/>
        <v>0</v>
      </c>
    </row>
    <row r="219" spans="1:13" x14ac:dyDescent="0.25">
      <c r="A219" s="155"/>
      <c r="G219" s="126"/>
      <c r="H219" s="138">
        <v>214</v>
      </c>
      <c r="I219" s="139" t="str">
        <f t="shared" si="15"/>
        <v/>
      </c>
      <c r="J219" s="139">
        <f t="shared" si="18"/>
        <v>-3</v>
      </c>
      <c r="K219" s="138">
        <f t="shared" si="16"/>
        <v>-30</v>
      </c>
      <c r="L219" s="138"/>
      <c r="M219" s="140">
        <f t="shared" si="17"/>
        <v>0</v>
      </c>
    </row>
    <row r="220" spans="1:13" x14ac:dyDescent="0.25">
      <c r="A220" s="155"/>
      <c r="G220" s="126"/>
      <c r="H220" s="138">
        <v>215</v>
      </c>
      <c r="I220" s="139" t="str">
        <f t="shared" si="15"/>
        <v/>
      </c>
      <c r="J220" s="139">
        <f t="shared" si="18"/>
        <v>-3</v>
      </c>
      <c r="K220" s="138">
        <f t="shared" si="16"/>
        <v>-30</v>
      </c>
      <c r="L220" s="138"/>
      <c r="M220" s="140">
        <f t="shared" si="17"/>
        <v>0</v>
      </c>
    </row>
    <row r="221" spans="1:13" x14ac:dyDescent="0.25">
      <c r="A221" s="155"/>
      <c r="G221" s="126"/>
      <c r="H221" s="138">
        <v>216</v>
      </c>
      <c r="I221" s="139" t="str">
        <f t="shared" si="15"/>
        <v/>
      </c>
      <c r="J221" s="139">
        <f t="shared" si="18"/>
        <v>-3</v>
      </c>
      <c r="K221" s="138">
        <f t="shared" si="16"/>
        <v>-30</v>
      </c>
      <c r="L221" s="138"/>
      <c r="M221" s="140">
        <f t="shared" si="17"/>
        <v>0</v>
      </c>
    </row>
    <row r="222" spans="1:13" x14ac:dyDescent="0.25">
      <c r="A222" s="155"/>
      <c r="G222" s="126"/>
      <c r="H222" s="138">
        <v>217</v>
      </c>
      <c r="I222" s="139" t="str">
        <f t="shared" si="15"/>
        <v/>
      </c>
      <c r="J222" s="139">
        <f t="shared" si="18"/>
        <v>-3</v>
      </c>
      <c r="K222" s="138">
        <f t="shared" si="16"/>
        <v>-30</v>
      </c>
      <c r="L222" s="138"/>
      <c r="M222" s="140">
        <f t="shared" si="17"/>
        <v>0</v>
      </c>
    </row>
    <row r="223" spans="1:13" x14ac:dyDescent="0.25">
      <c r="A223" s="155"/>
      <c r="G223" s="126"/>
      <c r="H223" s="138">
        <v>218</v>
      </c>
      <c r="I223" s="139" t="str">
        <f t="shared" si="15"/>
        <v/>
      </c>
      <c r="J223" s="139">
        <f t="shared" si="18"/>
        <v>-3</v>
      </c>
      <c r="K223" s="138">
        <f t="shared" si="16"/>
        <v>-30</v>
      </c>
      <c r="L223" s="138"/>
      <c r="M223" s="140">
        <f t="shared" si="17"/>
        <v>0</v>
      </c>
    </row>
    <row r="224" spans="1:13" x14ac:dyDescent="0.25">
      <c r="A224" s="155"/>
      <c r="G224" s="126"/>
      <c r="H224" s="138">
        <v>219</v>
      </c>
      <c r="I224" s="139" t="str">
        <f t="shared" si="15"/>
        <v/>
      </c>
      <c r="J224" s="139">
        <f t="shared" si="18"/>
        <v>-3</v>
      </c>
      <c r="K224" s="138">
        <f t="shared" si="16"/>
        <v>-30</v>
      </c>
      <c r="L224" s="138"/>
      <c r="M224" s="140">
        <f t="shared" si="17"/>
        <v>0</v>
      </c>
    </row>
    <row r="225" spans="1:13" x14ac:dyDescent="0.25">
      <c r="A225" s="155"/>
      <c r="G225" s="126"/>
      <c r="H225" s="138">
        <v>220</v>
      </c>
      <c r="I225" s="139" t="str">
        <f t="shared" si="15"/>
        <v/>
      </c>
      <c r="J225" s="139">
        <f t="shared" si="18"/>
        <v>-3</v>
      </c>
      <c r="K225" s="138">
        <f t="shared" si="16"/>
        <v>-30</v>
      </c>
      <c r="L225" s="138"/>
      <c r="M225" s="140">
        <f t="shared" si="17"/>
        <v>0</v>
      </c>
    </row>
    <row r="226" spans="1:13" x14ac:dyDescent="0.25">
      <c r="A226" s="155"/>
      <c r="G226" s="126"/>
      <c r="H226" s="138">
        <v>221</v>
      </c>
      <c r="I226" s="139" t="str">
        <f t="shared" si="15"/>
        <v/>
      </c>
      <c r="J226" s="139">
        <f t="shared" si="18"/>
        <v>-3</v>
      </c>
      <c r="K226" s="138">
        <f t="shared" si="16"/>
        <v>-30</v>
      </c>
      <c r="L226" s="138"/>
      <c r="M226" s="140">
        <f t="shared" si="17"/>
        <v>0</v>
      </c>
    </row>
    <row r="227" spans="1:13" x14ac:dyDescent="0.25">
      <c r="A227" s="155"/>
      <c r="G227" s="126"/>
      <c r="H227" s="138">
        <v>222</v>
      </c>
      <c r="I227" s="139" t="str">
        <f t="shared" si="15"/>
        <v/>
      </c>
      <c r="J227" s="139">
        <f t="shared" si="18"/>
        <v>-3</v>
      </c>
      <c r="K227" s="138">
        <f t="shared" si="16"/>
        <v>-30</v>
      </c>
      <c r="L227" s="138"/>
      <c r="M227" s="140">
        <f t="shared" si="17"/>
        <v>0</v>
      </c>
    </row>
    <row r="228" spans="1:13" x14ac:dyDescent="0.25">
      <c r="A228" s="155"/>
      <c r="G228" s="126"/>
      <c r="H228" s="138">
        <v>223</v>
      </c>
      <c r="I228" s="139" t="str">
        <f t="shared" si="15"/>
        <v/>
      </c>
      <c r="J228" s="139">
        <f t="shared" si="18"/>
        <v>-3</v>
      </c>
      <c r="K228" s="138">
        <f t="shared" si="16"/>
        <v>-30</v>
      </c>
      <c r="L228" s="138"/>
      <c r="M228" s="140">
        <f t="shared" si="17"/>
        <v>0</v>
      </c>
    </row>
    <row r="229" spans="1:13" x14ac:dyDescent="0.25">
      <c r="A229" s="155"/>
      <c r="G229" s="126"/>
      <c r="H229" s="138">
        <v>224</v>
      </c>
      <c r="I229" s="139" t="str">
        <f t="shared" si="15"/>
        <v/>
      </c>
      <c r="J229" s="139">
        <f t="shared" si="18"/>
        <v>-3</v>
      </c>
      <c r="K229" s="138">
        <f t="shared" si="16"/>
        <v>-30</v>
      </c>
      <c r="L229" s="138"/>
      <c r="M229" s="140">
        <f t="shared" si="17"/>
        <v>0</v>
      </c>
    </row>
    <row r="230" spans="1:13" x14ac:dyDescent="0.25">
      <c r="A230" s="155"/>
      <c r="G230" s="126"/>
      <c r="H230" s="138">
        <v>225</v>
      </c>
      <c r="I230" s="139" t="str">
        <f t="shared" si="15"/>
        <v/>
      </c>
      <c r="J230" s="139">
        <f t="shared" si="18"/>
        <v>-3</v>
      </c>
      <c r="K230" s="138">
        <f t="shared" si="16"/>
        <v>-30</v>
      </c>
      <c r="L230" s="138"/>
      <c r="M230" s="140">
        <f t="shared" si="17"/>
        <v>0</v>
      </c>
    </row>
    <row r="231" spans="1:13" x14ac:dyDescent="0.25">
      <c r="A231" s="155"/>
      <c r="G231" s="126"/>
      <c r="H231" s="138">
        <v>226</v>
      </c>
      <c r="I231" s="139" t="str">
        <f t="shared" si="15"/>
        <v/>
      </c>
      <c r="J231" s="139">
        <f t="shared" si="18"/>
        <v>-3</v>
      </c>
      <c r="K231" s="138">
        <f t="shared" si="16"/>
        <v>-30</v>
      </c>
      <c r="L231" s="138"/>
      <c r="M231" s="140">
        <f t="shared" si="17"/>
        <v>0</v>
      </c>
    </row>
    <row r="232" spans="1:13" x14ac:dyDescent="0.25">
      <c r="A232" s="155"/>
      <c r="G232" s="126"/>
      <c r="H232" s="138">
        <v>227</v>
      </c>
      <c r="I232" s="139" t="str">
        <f t="shared" si="15"/>
        <v/>
      </c>
      <c r="J232" s="139">
        <f t="shared" si="18"/>
        <v>-3</v>
      </c>
      <c r="K232" s="138">
        <f t="shared" si="16"/>
        <v>-30</v>
      </c>
      <c r="L232" s="138"/>
      <c r="M232" s="140">
        <f t="shared" si="17"/>
        <v>0</v>
      </c>
    </row>
    <row r="233" spans="1:13" x14ac:dyDescent="0.25">
      <c r="A233" s="155"/>
      <c r="G233" s="126"/>
      <c r="H233" s="138">
        <v>228</v>
      </c>
      <c r="I233" s="139" t="str">
        <f t="shared" si="15"/>
        <v/>
      </c>
      <c r="J233" s="139">
        <f t="shared" si="18"/>
        <v>-3</v>
      </c>
      <c r="K233" s="138">
        <f t="shared" si="16"/>
        <v>-30</v>
      </c>
      <c r="L233" s="138"/>
      <c r="M233" s="140">
        <f t="shared" si="17"/>
        <v>0</v>
      </c>
    </row>
    <row r="234" spans="1:13" x14ac:dyDescent="0.25">
      <c r="A234" s="155"/>
      <c r="G234" s="126"/>
      <c r="H234" s="138">
        <v>229</v>
      </c>
      <c r="I234" s="139" t="str">
        <f t="shared" si="15"/>
        <v/>
      </c>
      <c r="J234" s="139">
        <f t="shared" si="18"/>
        <v>-3</v>
      </c>
      <c r="K234" s="138">
        <f t="shared" si="16"/>
        <v>-30</v>
      </c>
      <c r="L234" s="138"/>
      <c r="M234" s="140">
        <f t="shared" si="17"/>
        <v>0</v>
      </c>
    </row>
    <row r="235" spans="1:13" x14ac:dyDescent="0.25">
      <c r="A235" s="155"/>
      <c r="G235" s="126"/>
      <c r="H235" s="138">
        <v>230</v>
      </c>
      <c r="I235" s="139" t="str">
        <f t="shared" si="15"/>
        <v/>
      </c>
      <c r="J235" s="139">
        <f t="shared" si="18"/>
        <v>-3</v>
      </c>
      <c r="K235" s="138">
        <f t="shared" si="16"/>
        <v>-30</v>
      </c>
      <c r="L235" s="138"/>
      <c r="M235" s="140">
        <f t="shared" si="17"/>
        <v>0</v>
      </c>
    </row>
    <row r="236" spans="1:13" x14ac:dyDescent="0.25">
      <c r="A236" s="155"/>
      <c r="G236" s="126"/>
      <c r="H236" s="138">
        <v>231</v>
      </c>
      <c r="I236" s="139" t="str">
        <f t="shared" si="15"/>
        <v/>
      </c>
      <c r="J236" s="139">
        <f t="shared" si="18"/>
        <v>-3</v>
      </c>
      <c r="K236" s="138">
        <f t="shared" si="16"/>
        <v>-30</v>
      </c>
      <c r="L236" s="138"/>
      <c r="M236" s="140">
        <f t="shared" si="17"/>
        <v>0</v>
      </c>
    </row>
    <row r="237" spans="1:13" x14ac:dyDescent="0.25">
      <c r="A237" s="155"/>
      <c r="G237" s="126"/>
      <c r="H237" s="138">
        <v>232</v>
      </c>
      <c r="I237" s="139" t="str">
        <f t="shared" si="15"/>
        <v/>
      </c>
      <c r="J237" s="139">
        <f t="shared" si="18"/>
        <v>-3</v>
      </c>
      <c r="K237" s="138">
        <f t="shared" si="16"/>
        <v>-30</v>
      </c>
      <c r="L237" s="138"/>
      <c r="M237" s="140">
        <f t="shared" si="17"/>
        <v>0</v>
      </c>
    </row>
    <row r="238" spans="1:13" x14ac:dyDescent="0.25">
      <c r="A238" s="155"/>
      <c r="G238" s="126"/>
      <c r="H238" s="138">
        <v>233</v>
      </c>
      <c r="I238" s="139" t="str">
        <f t="shared" si="15"/>
        <v/>
      </c>
      <c r="J238" s="139">
        <f t="shared" si="18"/>
        <v>-3</v>
      </c>
      <c r="K238" s="138">
        <f t="shared" si="16"/>
        <v>-30</v>
      </c>
      <c r="L238" s="138"/>
      <c r="M238" s="140">
        <f t="shared" si="17"/>
        <v>0</v>
      </c>
    </row>
    <row r="239" spans="1:13" x14ac:dyDescent="0.25">
      <c r="A239" s="155"/>
      <c r="G239" s="126"/>
      <c r="H239" s="138">
        <v>234</v>
      </c>
      <c r="I239" s="139" t="str">
        <f t="shared" si="15"/>
        <v/>
      </c>
      <c r="J239" s="139">
        <f t="shared" si="18"/>
        <v>-3</v>
      </c>
      <c r="K239" s="138">
        <f t="shared" si="16"/>
        <v>-30</v>
      </c>
      <c r="L239" s="138"/>
      <c r="M239" s="140">
        <f t="shared" si="17"/>
        <v>0</v>
      </c>
    </row>
    <row r="240" spans="1:13" x14ac:dyDescent="0.25">
      <c r="A240" s="155"/>
      <c r="G240" s="126"/>
      <c r="H240" s="138">
        <v>235</v>
      </c>
      <c r="I240" s="139" t="str">
        <f t="shared" si="15"/>
        <v/>
      </c>
      <c r="J240" s="139">
        <f t="shared" si="18"/>
        <v>-3</v>
      </c>
      <c r="K240" s="138">
        <f t="shared" si="16"/>
        <v>-30</v>
      </c>
      <c r="L240" s="138"/>
      <c r="M240" s="140">
        <f t="shared" si="17"/>
        <v>0</v>
      </c>
    </row>
    <row r="241" spans="1:13" x14ac:dyDescent="0.25">
      <c r="A241" s="155"/>
      <c r="G241" s="126"/>
      <c r="H241" s="138">
        <v>236</v>
      </c>
      <c r="I241" s="139" t="str">
        <f t="shared" si="15"/>
        <v/>
      </c>
      <c r="J241" s="139">
        <f t="shared" si="18"/>
        <v>-3</v>
      </c>
      <c r="K241" s="138">
        <f t="shared" si="16"/>
        <v>-30</v>
      </c>
      <c r="L241" s="138"/>
      <c r="M241" s="140">
        <f t="shared" si="17"/>
        <v>0</v>
      </c>
    </row>
    <row r="242" spans="1:13" x14ac:dyDescent="0.25">
      <c r="A242" s="155"/>
      <c r="G242" s="126"/>
      <c r="H242" s="138">
        <v>237</v>
      </c>
      <c r="I242" s="139" t="str">
        <f t="shared" si="15"/>
        <v/>
      </c>
      <c r="J242" s="139">
        <f t="shared" si="18"/>
        <v>-3</v>
      </c>
      <c r="K242" s="138">
        <f t="shared" si="16"/>
        <v>-30</v>
      </c>
      <c r="L242" s="138"/>
      <c r="M242" s="140">
        <f t="shared" si="17"/>
        <v>0</v>
      </c>
    </row>
    <row r="243" spans="1:13" x14ac:dyDescent="0.25">
      <c r="A243" s="155"/>
      <c r="G243" s="126"/>
      <c r="H243" s="138">
        <v>238</v>
      </c>
      <c r="I243" s="139" t="str">
        <f t="shared" si="15"/>
        <v/>
      </c>
      <c r="J243" s="139">
        <f t="shared" si="18"/>
        <v>-3</v>
      </c>
      <c r="K243" s="138">
        <f t="shared" si="16"/>
        <v>-30</v>
      </c>
      <c r="L243" s="138"/>
      <c r="M243" s="140">
        <f t="shared" si="17"/>
        <v>0</v>
      </c>
    </row>
    <row r="244" spans="1:13" x14ac:dyDescent="0.25">
      <c r="A244" s="155"/>
      <c r="G244" s="126"/>
      <c r="H244" s="138">
        <v>239</v>
      </c>
      <c r="I244" s="139" t="str">
        <f t="shared" si="15"/>
        <v/>
      </c>
      <c r="J244" s="139">
        <f t="shared" si="18"/>
        <v>-3</v>
      </c>
      <c r="K244" s="138">
        <f t="shared" si="16"/>
        <v>-30</v>
      </c>
      <c r="L244" s="138"/>
      <c r="M244" s="140">
        <f t="shared" si="17"/>
        <v>0</v>
      </c>
    </row>
    <row r="245" spans="1:13" x14ac:dyDescent="0.25">
      <c r="A245" s="155"/>
      <c r="G245" s="126"/>
      <c r="H245" s="138">
        <v>240</v>
      </c>
      <c r="I245" s="139" t="str">
        <f t="shared" si="15"/>
        <v/>
      </c>
      <c r="J245" s="139">
        <f t="shared" si="18"/>
        <v>-3</v>
      </c>
      <c r="K245" s="138">
        <f t="shared" si="16"/>
        <v>-30</v>
      </c>
      <c r="L245" s="138"/>
      <c r="M245" s="140">
        <f t="shared" si="17"/>
        <v>0</v>
      </c>
    </row>
    <row r="246" spans="1:13" x14ac:dyDescent="0.25">
      <c r="A246" s="155"/>
      <c r="G246" s="126"/>
      <c r="H246" s="138">
        <v>241</v>
      </c>
      <c r="I246" s="139" t="str">
        <f t="shared" si="15"/>
        <v/>
      </c>
      <c r="J246" s="139">
        <f t="shared" si="18"/>
        <v>-3</v>
      </c>
      <c r="K246" s="138">
        <f t="shared" si="16"/>
        <v>-30</v>
      </c>
      <c r="L246" s="138"/>
      <c r="M246" s="140">
        <f t="shared" si="17"/>
        <v>0</v>
      </c>
    </row>
    <row r="247" spans="1:13" x14ac:dyDescent="0.25">
      <c r="A247" s="155"/>
      <c r="G247" s="126"/>
      <c r="H247" s="138">
        <v>242</v>
      </c>
      <c r="I247" s="139" t="str">
        <f t="shared" si="15"/>
        <v/>
      </c>
      <c r="J247" s="139">
        <f t="shared" si="18"/>
        <v>-3</v>
      </c>
      <c r="K247" s="138">
        <f t="shared" si="16"/>
        <v>-30</v>
      </c>
      <c r="L247" s="138"/>
      <c r="M247" s="140">
        <f t="shared" si="17"/>
        <v>0</v>
      </c>
    </row>
    <row r="248" spans="1:13" x14ac:dyDescent="0.25">
      <c r="A248" s="155"/>
      <c r="G248" s="126"/>
      <c r="H248" s="138">
        <v>243</v>
      </c>
      <c r="I248" s="139" t="str">
        <f t="shared" si="15"/>
        <v/>
      </c>
      <c r="J248" s="139">
        <f t="shared" si="18"/>
        <v>-3</v>
      </c>
      <c r="K248" s="138">
        <f t="shared" si="16"/>
        <v>-30</v>
      </c>
      <c r="L248" s="138"/>
      <c r="M248" s="140">
        <f t="shared" si="17"/>
        <v>0</v>
      </c>
    </row>
    <row r="249" spans="1:13" x14ac:dyDescent="0.25">
      <c r="A249" s="155"/>
      <c r="G249" s="126"/>
      <c r="H249" s="138">
        <v>244</v>
      </c>
      <c r="I249" s="139" t="str">
        <f t="shared" si="15"/>
        <v/>
      </c>
      <c r="J249" s="139">
        <f t="shared" si="18"/>
        <v>-3</v>
      </c>
      <c r="K249" s="138">
        <f t="shared" si="16"/>
        <v>-30</v>
      </c>
      <c r="L249" s="138"/>
      <c r="M249" s="140">
        <f t="shared" si="17"/>
        <v>0</v>
      </c>
    </row>
    <row r="250" spans="1:13" x14ac:dyDescent="0.25">
      <c r="A250" s="155"/>
      <c r="G250" s="126"/>
      <c r="H250" s="138">
        <v>245</v>
      </c>
      <c r="I250" s="139" t="str">
        <f t="shared" si="15"/>
        <v/>
      </c>
      <c r="J250" s="139">
        <f t="shared" si="18"/>
        <v>-3</v>
      </c>
      <c r="K250" s="138">
        <f t="shared" si="16"/>
        <v>-30</v>
      </c>
      <c r="L250" s="138"/>
      <c r="M250" s="140">
        <f t="shared" si="17"/>
        <v>0</v>
      </c>
    </row>
    <row r="251" spans="1:13" x14ac:dyDescent="0.25">
      <c r="A251" s="155"/>
      <c r="G251" s="126"/>
      <c r="H251" s="138">
        <v>246</v>
      </c>
      <c r="I251" s="139" t="str">
        <f t="shared" si="15"/>
        <v/>
      </c>
      <c r="J251" s="139">
        <f t="shared" si="18"/>
        <v>-3</v>
      </c>
      <c r="K251" s="138">
        <f t="shared" si="16"/>
        <v>-30</v>
      </c>
      <c r="L251" s="138"/>
      <c r="M251" s="140">
        <f t="shared" si="17"/>
        <v>0</v>
      </c>
    </row>
    <row r="252" spans="1:13" x14ac:dyDescent="0.25">
      <c r="A252" s="155"/>
      <c r="G252" s="126"/>
      <c r="H252" s="138">
        <v>247</v>
      </c>
      <c r="I252" s="139" t="str">
        <f t="shared" si="15"/>
        <v/>
      </c>
      <c r="J252" s="139">
        <f t="shared" si="18"/>
        <v>-3</v>
      </c>
      <c r="K252" s="138">
        <f t="shared" si="16"/>
        <v>-30</v>
      </c>
      <c r="L252" s="138"/>
      <c r="M252" s="140">
        <f t="shared" si="17"/>
        <v>0</v>
      </c>
    </row>
    <row r="253" spans="1:13" x14ac:dyDescent="0.25">
      <c r="A253" s="155"/>
      <c r="G253" s="126"/>
      <c r="H253" s="138">
        <v>248</v>
      </c>
      <c r="I253" s="139" t="str">
        <f t="shared" si="15"/>
        <v/>
      </c>
      <c r="J253" s="139">
        <f t="shared" si="18"/>
        <v>-3</v>
      </c>
      <c r="K253" s="138">
        <f t="shared" si="16"/>
        <v>-30</v>
      </c>
      <c r="L253" s="138"/>
      <c r="M253" s="140">
        <f t="shared" si="17"/>
        <v>0</v>
      </c>
    </row>
    <row r="254" spans="1:13" x14ac:dyDescent="0.25">
      <c r="A254" s="155"/>
      <c r="G254" s="126"/>
      <c r="H254" s="138">
        <v>249</v>
      </c>
      <c r="I254" s="139" t="str">
        <f t="shared" si="15"/>
        <v/>
      </c>
      <c r="J254" s="139">
        <f t="shared" si="18"/>
        <v>-3</v>
      </c>
      <c r="K254" s="138">
        <f t="shared" si="16"/>
        <v>-30</v>
      </c>
      <c r="L254" s="138"/>
      <c r="M254" s="140">
        <f t="shared" si="17"/>
        <v>0</v>
      </c>
    </row>
    <row r="255" spans="1:13" x14ac:dyDescent="0.25">
      <c r="A255" s="155"/>
      <c r="G255" s="126"/>
      <c r="H255" s="138">
        <v>250</v>
      </c>
      <c r="I255" s="139" t="str">
        <f t="shared" si="15"/>
        <v/>
      </c>
      <c r="J255" s="139">
        <f t="shared" si="18"/>
        <v>-3</v>
      </c>
      <c r="K255" s="138">
        <f t="shared" si="16"/>
        <v>-30</v>
      </c>
      <c r="L255" s="138"/>
      <c r="M255" s="140">
        <f t="shared" si="17"/>
        <v>0</v>
      </c>
    </row>
    <row r="256" spans="1:13" x14ac:dyDescent="0.25">
      <c r="A256" s="155"/>
      <c r="G256" s="126"/>
      <c r="H256" s="138">
        <v>251</v>
      </c>
      <c r="I256" s="139" t="str">
        <f t="shared" si="15"/>
        <v/>
      </c>
      <c r="J256" s="139">
        <f t="shared" si="18"/>
        <v>-3</v>
      </c>
      <c r="K256" s="138">
        <f t="shared" si="16"/>
        <v>-30</v>
      </c>
      <c r="L256" s="138"/>
      <c r="M256" s="140">
        <f t="shared" si="17"/>
        <v>0</v>
      </c>
    </row>
    <row r="257" spans="1:13" x14ac:dyDescent="0.25">
      <c r="A257" s="155"/>
      <c r="G257" s="126"/>
      <c r="H257" s="138">
        <v>252</v>
      </c>
      <c r="I257" s="139" t="str">
        <f t="shared" si="15"/>
        <v/>
      </c>
      <c r="J257" s="139">
        <f t="shared" si="18"/>
        <v>-3</v>
      </c>
      <c r="K257" s="138">
        <f t="shared" si="16"/>
        <v>-30</v>
      </c>
      <c r="L257" s="138"/>
      <c r="M257" s="140">
        <f t="shared" si="17"/>
        <v>0</v>
      </c>
    </row>
    <row r="258" spans="1:13" x14ac:dyDescent="0.25">
      <c r="A258" s="155"/>
      <c r="G258" s="126"/>
      <c r="H258" s="138">
        <v>253</v>
      </c>
      <c r="I258" s="139" t="str">
        <f t="shared" si="15"/>
        <v/>
      </c>
      <c r="J258" s="139">
        <f t="shared" si="18"/>
        <v>-3</v>
      </c>
      <c r="K258" s="138">
        <f t="shared" si="16"/>
        <v>-30</v>
      </c>
      <c r="L258" s="138"/>
      <c r="M258" s="140">
        <f t="shared" si="17"/>
        <v>0</v>
      </c>
    </row>
    <row r="259" spans="1:13" x14ac:dyDescent="0.25">
      <c r="A259" s="155"/>
      <c r="G259" s="126"/>
      <c r="H259" s="138">
        <v>254</v>
      </c>
      <c r="I259" s="139" t="str">
        <f t="shared" si="15"/>
        <v/>
      </c>
      <c r="J259" s="139">
        <f t="shared" si="18"/>
        <v>-3</v>
      </c>
      <c r="K259" s="138">
        <f t="shared" si="16"/>
        <v>-30</v>
      </c>
      <c r="L259" s="138"/>
      <c r="M259" s="140">
        <f t="shared" si="17"/>
        <v>0</v>
      </c>
    </row>
    <row r="260" spans="1:13" x14ac:dyDescent="0.25">
      <c r="A260" s="155"/>
      <c r="G260" s="126"/>
      <c r="H260" s="138">
        <v>255</v>
      </c>
      <c r="I260" s="139" t="str">
        <f t="shared" si="15"/>
        <v/>
      </c>
      <c r="J260" s="139">
        <f t="shared" si="18"/>
        <v>-3</v>
      </c>
      <c r="K260" s="138">
        <f t="shared" si="16"/>
        <v>-30</v>
      </c>
      <c r="L260" s="138"/>
      <c r="M260" s="140">
        <f t="shared" si="17"/>
        <v>0</v>
      </c>
    </row>
    <row r="261" spans="1:13" x14ac:dyDescent="0.25">
      <c r="A261" s="155"/>
      <c r="G261" s="126"/>
      <c r="H261" s="138">
        <v>256</v>
      </c>
      <c r="I261" s="139" t="str">
        <f t="shared" si="15"/>
        <v/>
      </c>
      <c r="J261" s="139">
        <f t="shared" si="18"/>
        <v>-3</v>
      </c>
      <c r="K261" s="138">
        <f t="shared" si="16"/>
        <v>-30</v>
      </c>
      <c r="L261" s="138"/>
      <c r="M261" s="140">
        <f t="shared" si="17"/>
        <v>0</v>
      </c>
    </row>
    <row r="262" spans="1:13" x14ac:dyDescent="0.25">
      <c r="A262" s="155"/>
      <c r="G262" s="126"/>
      <c r="H262" s="138">
        <v>257</v>
      </c>
      <c r="I262" s="139" t="str">
        <f t="shared" ref="I262:I305" si="19">IF(H262&lt;$H$2+1,($I$2-($I$2-1)*(LOG(H262)/LOG($H$2))),"")</f>
        <v/>
      </c>
      <c r="J262" s="139">
        <f t="shared" si="18"/>
        <v>-4</v>
      </c>
      <c r="K262" s="138">
        <f t="shared" ref="K262:K305" si="20">J262*$J$2</f>
        <v>-40</v>
      </c>
      <c r="L262" s="138"/>
      <c r="M262" s="140">
        <f t="shared" ref="M262:M305" si="21">IF(I262&lt;&gt;"",K262+I262+L262,0)</f>
        <v>0</v>
      </c>
    </row>
    <row r="263" spans="1:13" x14ac:dyDescent="0.25">
      <c r="A263" s="155"/>
      <c r="G263" s="126"/>
      <c r="H263" s="138">
        <v>258</v>
      </c>
      <c r="I263" s="139" t="str">
        <f t="shared" si="19"/>
        <v/>
      </c>
      <c r="J263" s="139">
        <f t="shared" ref="J263:J305" si="22">INT(LOG($H$2,2))-ROUNDUP(LOG(H263,2),0)+IF(OR($H$2=1,$H$2=2,$H$2=4,$H$2=8,$H$2=16,$H$2=32,$H$2=64,$H$2=128,$H$2=256),0,1)</f>
        <v>-4</v>
      </c>
      <c r="K263" s="138">
        <f t="shared" si="20"/>
        <v>-40</v>
      </c>
      <c r="L263" s="138"/>
      <c r="M263" s="140">
        <f t="shared" si="21"/>
        <v>0</v>
      </c>
    </row>
    <row r="264" spans="1:13" x14ac:dyDescent="0.25">
      <c r="A264" s="155"/>
      <c r="G264" s="126"/>
      <c r="H264" s="138">
        <v>259</v>
      </c>
      <c r="I264" s="139" t="str">
        <f t="shared" si="19"/>
        <v/>
      </c>
      <c r="J264" s="139">
        <f t="shared" si="22"/>
        <v>-4</v>
      </c>
      <c r="K264" s="138">
        <f t="shared" si="20"/>
        <v>-40</v>
      </c>
      <c r="L264" s="138"/>
      <c r="M264" s="140">
        <f t="shared" si="21"/>
        <v>0</v>
      </c>
    </row>
    <row r="265" spans="1:13" x14ac:dyDescent="0.25">
      <c r="A265" s="155"/>
      <c r="G265" s="126"/>
      <c r="H265" s="138">
        <v>260</v>
      </c>
      <c r="I265" s="139" t="str">
        <f t="shared" si="19"/>
        <v/>
      </c>
      <c r="J265" s="139">
        <f t="shared" si="22"/>
        <v>-4</v>
      </c>
      <c r="K265" s="138">
        <f t="shared" si="20"/>
        <v>-40</v>
      </c>
      <c r="L265" s="138"/>
      <c r="M265" s="140">
        <f t="shared" si="21"/>
        <v>0</v>
      </c>
    </row>
    <row r="266" spans="1:13" x14ac:dyDescent="0.25">
      <c r="A266" s="155"/>
      <c r="G266" s="126"/>
      <c r="H266" s="138">
        <v>261</v>
      </c>
      <c r="I266" s="139" t="str">
        <f t="shared" si="19"/>
        <v/>
      </c>
      <c r="J266" s="139">
        <f t="shared" si="22"/>
        <v>-4</v>
      </c>
      <c r="K266" s="138">
        <f t="shared" si="20"/>
        <v>-40</v>
      </c>
      <c r="L266" s="138"/>
      <c r="M266" s="140">
        <f t="shared" si="21"/>
        <v>0</v>
      </c>
    </row>
    <row r="267" spans="1:13" x14ac:dyDescent="0.25">
      <c r="A267" s="155"/>
      <c r="G267" s="126"/>
      <c r="H267" s="138">
        <v>262</v>
      </c>
      <c r="I267" s="139" t="str">
        <f t="shared" si="19"/>
        <v/>
      </c>
      <c r="J267" s="139">
        <f t="shared" si="22"/>
        <v>-4</v>
      </c>
      <c r="K267" s="138">
        <f t="shared" si="20"/>
        <v>-40</v>
      </c>
      <c r="L267" s="138"/>
      <c r="M267" s="140">
        <f t="shared" si="21"/>
        <v>0</v>
      </c>
    </row>
    <row r="268" spans="1:13" x14ac:dyDescent="0.25">
      <c r="A268" s="155"/>
      <c r="G268" s="126"/>
      <c r="H268" s="138">
        <v>263</v>
      </c>
      <c r="I268" s="139" t="str">
        <f t="shared" si="19"/>
        <v/>
      </c>
      <c r="J268" s="139">
        <f t="shared" si="22"/>
        <v>-4</v>
      </c>
      <c r="K268" s="138">
        <f t="shared" si="20"/>
        <v>-40</v>
      </c>
      <c r="L268" s="138"/>
      <c r="M268" s="140">
        <f t="shared" si="21"/>
        <v>0</v>
      </c>
    </row>
    <row r="269" spans="1:13" x14ac:dyDescent="0.25">
      <c r="A269" s="155"/>
      <c r="G269" s="126"/>
      <c r="H269" s="138">
        <v>264</v>
      </c>
      <c r="I269" s="139" t="str">
        <f t="shared" si="19"/>
        <v/>
      </c>
      <c r="J269" s="139">
        <f t="shared" si="22"/>
        <v>-4</v>
      </c>
      <c r="K269" s="138">
        <f t="shared" si="20"/>
        <v>-40</v>
      </c>
      <c r="L269" s="138"/>
      <c r="M269" s="140">
        <f t="shared" si="21"/>
        <v>0</v>
      </c>
    </row>
    <row r="270" spans="1:13" x14ac:dyDescent="0.25">
      <c r="A270" s="155"/>
      <c r="G270" s="126"/>
      <c r="H270" s="138">
        <v>265</v>
      </c>
      <c r="I270" s="139" t="str">
        <f t="shared" si="19"/>
        <v/>
      </c>
      <c r="J270" s="139">
        <f t="shared" si="22"/>
        <v>-4</v>
      </c>
      <c r="K270" s="138">
        <f t="shared" si="20"/>
        <v>-40</v>
      </c>
      <c r="L270" s="138"/>
      <c r="M270" s="140">
        <f t="shared" si="21"/>
        <v>0</v>
      </c>
    </row>
    <row r="271" spans="1:13" x14ac:dyDescent="0.25">
      <c r="A271" s="155"/>
      <c r="G271" s="126"/>
      <c r="H271" s="138">
        <v>266</v>
      </c>
      <c r="I271" s="139" t="str">
        <f t="shared" si="19"/>
        <v/>
      </c>
      <c r="J271" s="139">
        <f t="shared" si="22"/>
        <v>-4</v>
      </c>
      <c r="K271" s="138">
        <f t="shared" si="20"/>
        <v>-40</v>
      </c>
      <c r="L271" s="138"/>
      <c r="M271" s="140">
        <f t="shared" si="21"/>
        <v>0</v>
      </c>
    </row>
    <row r="272" spans="1:13" x14ac:dyDescent="0.25">
      <c r="A272" s="155"/>
      <c r="G272" s="126"/>
      <c r="H272" s="138">
        <v>267</v>
      </c>
      <c r="I272" s="139" t="str">
        <f t="shared" si="19"/>
        <v/>
      </c>
      <c r="J272" s="139">
        <f t="shared" si="22"/>
        <v>-4</v>
      </c>
      <c r="K272" s="138">
        <f t="shared" si="20"/>
        <v>-40</v>
      </c>
      <c r="L272" s="138"/>
      <c r="M272" s="140">
        <f t="shared" si="21"/>
        <v>0</v>
      </c>
    </row>
    <row r="273" spans="1:13" x14ac:dyDescent="0.25">
      <c r="A273" s="155"/>
      <c r="G273" s="126"/>
      <c r="H273" s="138">
        <v>268</v>
      </c>
      <c r="I273" s="139" t="str">
        <f t="shared" si="19"/>
        <v/>
      </c>
      <c r="J273" s="139">
        <f t="shared" si="22"/>
        <v>-4</v>
      </c>
      <c r="K273" s="138">
        <f t="shared" si="20"/>
        <v>-40</v>
      </c>
      <c r="L273" s="138"/>
      <c r="M273" s="140">
        <f t="shared" si="21"/>
        <v>0</v>
      </c>
    </row>
    <row r="274" spans="1:13" x14ac:dyDescent="0.25">
      <c r="A274" s="155"/>
      <c r="G274" s="126"/>
      <c r="H274" s="138">
        <v>269</v>
      </c>
      <c r="I274" s="139" t="str">
        <f t="shared" si="19"/>
        <v/>
      </c>
      <c r="J274" s="139">
        <f t="shared" si="22"/>
        <v>-4</v>
      </c>
      <c r="K274" s="138">
        <f t="shared" si="20"/>
        <v>-40</v>
      </c>
      <c r="L274" s="138"/>
      <c r="M274" s="140">
        <f t="shared" si="21"/>
        <v>0</v>
      </c>
    </row>
    <row r="275" spans="1:13" x14ac:dyDescent="0.25">
      <c r="A275" s="155"/>
      <c r="G275" s="126"/>
      <c r="H275" s="138">
        <v>270</v>
      </c>
      <c r="I275" s="139" t="str">
        <f t="shared" si="19"/>
        <v/>
      </c>
      <c r="J275" s="139">
        <f t="shared" si="22"/>
        <v>-4</v>
      </c>
      <c r="K275" s="138">
        <f t="shared" si="20"/>
        <v>-40</v>
      </c>
      <c r="L275" s="138"/>
      <c r="M275" s="140">
        <f t="shared" si="21"/>
        <v>0</v>
      </c>
    </row>
    <row r="276" spans="1:13" x14ac:dyDescent="0.25">
      <c r="A276" s="155"/>
      <c r="G276" s="126"/>
      <c r="H276" s="138">
        <v>271</v>
      </c>
      <c r="I276" s="139" t="str">
        <f t="shared" si="19"/>
        <v/>
      </c>
      <c r="J276" s="139">
        <f t="shared" si="22"/>
        <v>-4</v>
      </c>
      <c r="K276" s="138">
        <f t="shared" si="20"/>
        <v>-40</v>
      </c>
      <c r="L276" s="138"/>
      <c r="M276" s="140">
        <f t="shared" si="21"/>
        <v>0</v>
      </c>
    </row>
    <row r="277" spans="1:13" x14ac:dyDescent="0.25">
      <c r="A277" s="155"/>
      <c r="G277" s="126"/>
      <c r="H277" s="138">
        <v>272</v>
      </c>
      <c r="I277" s="139" t="str">
        <f t="shared" si="19"/>
        <v/>
      </c>
      <c r="J277" s="139">
        <f t="shared" si="22"/>
        <v>-4</v>
      </c>
      <c r="K277" s="138">
        <f t="shared" si="20"/>
        <v>-40</v>
      </c>
      <c r="L277" s="138"/>
      <c r="M277" s="140">
        <f t="shared" si="21"/>
        <v>0</v>
      </c>
    </row>
    <row r="278" spans="1:13" x14ac:dyDescent="0.25">
      <c r="A278" s="155"/>
      <c r="G278" s="126"/>
      <c r="H278" s="138">
        <v>273</v>
      </c>
      <c r="I278" s="139" t="str">
        <f t="shared" si="19"/>
        <v/>
      </c>
      <c r="J278" s="139">
        <f t="shared" si="22"/>
        <v>-4</v>
      </c>
      <c r="K278" s="138">
        <f t="shared" si="20"/>
        <v>-40</v>
      </c>
      <c r="L278" s="138"/>
      <c r="M278" s="140">
        <f t="shared" si="21"/>
        <v>0</v>
      </c>
    </row>
    <row r="279" spans="1:13" x14ac:dyDescent="0.25">
      <c r="A279" s="155"/>
      <c r="G279" s="126"/>
      <c r="H279" s="138">
        <v>274</v>
      </c>
      <c r="I279" s="139" t="str">
        <f t="shared" si="19"/>
        <v/>
      </c>
      <c r="J279" s="139">
        <f t="shared" si="22"/>
        <v>-4</v>
      </c>
      <c r="K279" s="138">
        <f t="shared" si="20"/>
        <v>-40</v>
      </c>
      <c r="L279" s="138"/>
      <c r="M279" s="140">
        <f t="shared" si="21"/>
        <v>0</v>
      </c>
    </row>
    <row r="280" spans="1:13" x14ac:dyDescent="0.25">
      <c r="A280" s="155"/>
      <c r="G280" s="126"/>
      <c r="H280" s="138">
        <v>275</v>
      </c>
      <c r="I280" s="139" t="str">
        <f t="shared" si="19"/>
        <v/>
      </c>
      <c r="J280" s="139">
        <f t="shared" si="22"/>
        <v>-4</v>
      </c>
      <c r="K280" s="138">
        <f t="shared" si="20"/>
        <v>-40</v>
      </c>
      <c r="L280" s="138"/>
      <c r="M280" s="140">
        <f t="shared" si="21"/>
        <v>0</v>
      </c>
    </row>
    <row r="281" spans="1:13" x14ac:dyDescent="0.25">
      <c r="A281" s="155"/>
      <c r="G281" s="126"/>
      <c r="H281" s="138">
        <v>276</v>
      </c>
      <c r="I281" s="139" t="str">
        <f t="shared" si="19"/>
        <v/>
      </c>
      <c r="J281" s="139">
        <f t="shared" si="22"/>
        <v>-4</v>
      </c>
      <c r="K281" s="138">
        <f t="shared" si="20"/>
        <v>-40</v>
      </c>
      <c r="L281" s="138"/>
      <c r="M281" s="140">
        <f t="shared" si="21"/>
        <v>0</v>
      </c>
    </row>
    <row r="282" spans="1:13" x14ac:dyDescent="0.25">
      <c r="A282" s="155"/>
      <c r="G282" s="126"/>
      <c r="H282" s="138">
        <v>277</v>
      </c>
      <c r="I282" s="139" t="str">
        <f t="shared" si="19"/>
        <v/>
      </c>
      <c r="J282" s="139">
        <f t="shared" si="22"/>
        <v>-4</v>
      </c>
      <c r="K282" s="138">
        <f t="shared" si="20"/>
        <v>-40</v>
      </c>
      <c r="L282" s="138"/>
      <c r="M282" s="140">
        <f t="shared" si="21"/>
        <v>0</v>
      </c>
    </row>
    <row r="283" spans="1:13" x14ac:dyDescent="0.25">
      <c r="A283" s="155"/>
      <c r="G283" s="126"/>
      <c r="H283" s="138">
        <v>278</v>
      </c>
      <c r="I283" s="139" t="str">
        <f t="shared" si="19"/>
        <v/>
      </c>
      <c r="J283" s="139">
        <f t="shared" si="22"/>
        <v>-4</v>
      </c>
      <c r="K283" s="138">
        <f t="shared" si="20"/>
        <v>-40</v>
      </c>
      <c r="L283" s="138"/>
      <c r="M283" s="140">
        <f t="shared" si="21"/>
        <v>0</v>
      </c>
    </row>
    <row r="284" spans="1:13" x14ac:dyDescent="0.25">
      <c r="A284" s="155"/>
      <c r="G284" s="126"/>
      <c r="H284" s="138">
        <v>279</v>
      </c>
      <c r="I284" s="139" t="str">
        <f t="shared" si="19"/>
        <v/>
      </c>
      <c r="J284" s="139">
        <f t="shared" si="22"/>
        <v>-4</v>
      </c>
      <c r="K284" s="138">
        <f t="shared" si="20"/>
        <v>-40</v>
      </c>
      <c r="L284" s="138"/>
      <c r="M284" s="140">
        <f t="shared" si="21"/>
        <v>0</v>
      </c>
    </row>
    <row r="285" spans="1:13" x14ac:dyDescent="0.25">
      <c r="A285" s="155"/>
      <c r="G285" s="126"/>
      <c r="H285" s="138">
        <v>280</v>
      </c>
      <c r="I285" s="139" t="str">
        <f t="shared" si="19"/>
        <v/>
      </c>
      <c r="J285" s="139">
        <f t="shared" si="22"/>
        <v>-4</v>
      </c>
      <c r="K285" s="138">
        <f t="shared" si="20"/>
        <v>-40</v>
      </c>
      <c r="L285" s="138"/>
      <c r="M285" s="140">
        <f t="shared" si="21"/>
        <v>0</v>
      </c>
    </row>
    <row r="286" spans="1:13" x14ac:dyDescent="0.25">
      <c r="A286" s="155"/>
      <c r="G286" s="126"/>
      <c r="H286" s="138">
        <v>281</v>
      </c>
      <c r="I286" s="139" t="str">
        <f t="shared" si="19"/>
        <v/>
      </c>
      <c r="J286" s="139">
        <f t="shared" si="22"/>
        <v>-4</v>
      </c>
      <c r="K286" s="138">
        <f t="shared" si="20"/>
        <v>-40</v>
      </c>
      <c r="L286" s="138"/>
      <c r="M286" s="140">
        <f t="shared" si="21"/>
        <v>0</v>
      </c>
    </row>
    <row r="287" spans="1:13" x14ac:dyDescent="0.25">
      <c r="A287" s="155"/>
      <c r="G287" s="126"/>
      <c r="H287" s="138">
        <v>282</v>
      </c>
      <c r="I287" s="139" t="str">
        <f t="shared" si="19"/>
        <v/>
      </c>
      <c r="J287" s="139">
        <f t="shared" si="22"/>
        <v>-4</v>
      </c>
      <c r="K287" s="138">
        <f t="shared" si="20"/>
        <v>-40</v>
      </c>
      <c r="L287" s="138"/>
      <c r="M287" s="140">
        <f t="shared" si="21"/>
        <v>0</v>
      </c>
    </row>
    <row r="288" spans="1:13" x14ac:dyDescent="0.25">
      <c r="A288" s="155"/>
      <c r="G288" s="126"/>
      <c r="H288" s="138">
        <v>283</v>
      </c>
      <c r="I288" s="139" t="str">
        <f t="shared" si="19"/>
        <v/>
      </c>
      <c r="J288" s="139">
        <f t="shared" si="22"/>
        <v>-4</v>
      </c>
      <c r="K288" s="138">
        <f t="shared" si="20"/>
        <v>-40</v>
      </c>
      <c r="L288" s="138"/>
      <c r="M288" s="140">
        <f t="shared" si="21"/>
        <v>0</v>
      </c>
    </row>
    <row r="289" spans="1:13" x14ac:dyDescent="0.25">
      <c r="A289" s="155"/>
      <c r="G289" s="126"/>
      <c r="H289" s="138">
        <v>284</v>
      </c>
      <c r="I289" s="139" t="str">
        <f t="shared" si="19"/>
        <v/>
      </c>
      <c r="J289" s="139">
        <f t="shared" si="22"/>
        <v>-4</v>
      </c>
      <c r="K289" s="138">
        <f t="shared" si="20"/>
        <v>-40</v>
      </c>
      <c r="L289" s="138"/>
      <c r="M289" s="140">
        <f t="shared" si="21"/>
        <v>0</v>
      </c>
    </row>
    <row r="290" spans="1:13" x14ac:dyDescent="0.25">
      <c r="A290" s="155"/>
      <c r="G290" s="126"/>
      <c r="H290" s="138">
        <v>285</v>
      </c>
      <c r="I290" s="139" t="str">
        <f t="shared" si="19"/>
        <v/>
      </c>
      <c r="J290" s="139">
        <f t="shared" si="22"/>
        <v>-4</v>
      </c>
      <c r="K290" s="138">
        <f t="shared" si="20"/>
        <v>-40</v>
      </c>
      <c r="L290" s="138"/>
      <c r="M290" s="140">
        <f t="shared" si="21"/>
        <v>0</v>
      </c>
    </row>
    <row r="291" spans="1:13" x14ac:dyDescent="0.25">
      <c r="A291" s="155"/>
      <c r="G291" s="126"/>
      <c r="H291" s="138">
        <v>286</v>
      </c>
      <c r="I291" s="139" t="str">
        <f t="shared" si="19"/>
        <v/>
      </c>
      <c r="J291" s="139">
        <f t="shared" si="22"/>
        <v>-4</v>
      </c>
      <c r="K291" s="138">
        <f t="shared" si="20"/>
        <v>-40</v>
      </c>
      <c r="L291" s="138"/>
      <c r="M291" s="140">
        <f t="shared" si="21"/>
        <v>0</v>
      </c>
    </row>
    <row r="292" spans="1:13" x14ac:dyDescent="0.25">
      <c r="A292" s="155"/>
      <c r="G292" s="126"/>
      <c r="H292" s="138">
        <v>287</v>
      </c>
      <c r="I292" s="139" t="str">
        <f t="shared" si="19"/>
        <v/>
      </c>
      <c r="J292" s="139">
        <f t="shared" si="22"/>
        <v>-4</v>
      </c>
      <c r="K292" s="138">
        <f t="shared" si="20"/>
        <v>-40</v>
      </c>
      <c r="L292" s="138"/>
      <c r="M292" s="140">
        <f t="shared" si="21"/>
        <v>0</v>
      </c>
    </row>
    <row r="293" spans="1:13" x14ac:dyDescent="0.25">
      <c r="A293" s="155"/>
      <c r="G293" s="126"/>
      <c r="H293" s="138">
        <v>288</v>
      </c>
      <c r="I293" s="139" t="str">
        <f t="shared" si="19"/>
        <v/>
      </c>
      <c r="J293" s="139">
        <f t="shared" si="22"/>
        <v>-4</v>
      </c>
      <c r="K293" s="138">
        <f t="shared" si="20"/>
        <v>-40</v>
      </c>
      <c r="L293" s="138"/>
      <c r="M293" s="140">
        <f t="shared" si="21"/>
        <v>0</v>
      </c>
    </row>
    <row r="294" spans="1:13" x14ac:dyDescent="0.25">
      <c r="A294" s="155"/>
      <c r="G294" s="126"/>
      <c r="H294" s="138">
        <v>289</v>
      </c>
      <c r="I294" s="139" t="str">
        <f t="shared" si="19"/>
        <v/>
      </c>
      <c r="J294" s="139">
        <f t="shared" si="22"/>
        <v>-4</v>
      </c>
      <c r="K294" s="138">
        <f t="shared" si="20"/>
        <v>-40</v>
      </c>
      <c r="L294" s="138"/>
      <c r="M294" s="140">
        <f t="shared" si="21"/>
        <v>0</v>
      </c>
    </row>
    <row r="295" spans="1:13" x14ac:dyDescent="0.25">
      <c r="A295" s="155"/>
      <c r="G295" s="126"/>
      <c r="H295" s="138">
        <v>290</v>
      </c>
      <c r="I295" s="139" t="str">
        <f t="shared" si="19"/>
        <v/>
      </c>
      <c r="J295" s="139">
        <f t="shared" si="22"/>
        <v>-4</v>
      </c>
      <c r="K295" s="138">
        <f t="shared" si="20"/>
        <v>-40</v>
      </c>
      <c r="L295" s="138"/>
      <c r="M295" s="140">
        <f t="shared" si="21"/>
        <v>0</v>
      </c>
    </row>
    <row r="296" spans="1:13" x14ac:dyDescent="0.25">
      <c r="A296" s="155"/>
      <c r="G296" s="126"/>
      <c r="H296" s="138">
        <v>291</v>
      </c>
      <c r="I296" s="139" t="str">
        <f t="shared" si="19"/>
        <v/>
      </c>
      <c r="J296" s="139">
        <f t="shared" si="22"/>
        <v>-4</v>
      </c>
      <c r="K296" s="138">
        <f t="shared" si="20"/>
        <v>-40</v>
      </c>
      <c r="L296" s="138"/>
      <c r="M296" s="140">
        <f t="shared" si="21"/>
        <v>0</v>
      </c>
    </row>
    <row r="297" spans="1:13" x14ac:dyDescent="0.25">
      <c r="A297" s="155"/>
      <c r="G297" s="126"/>
      <c r="H297" s="138">
        <v>292</v>
      </c>
      <c r="I297" s="139" t="str">
        <f t="shared" si="19"/>
        <v/>
      </c>
      <c r="J297" s="139">
        <f t="shared" si="22"/>
        <v>-4</v>
      </c>
      <c r="K297" s="138">
        <f t="shared" si="20"/>
        <v>-40</v>
      </c>
      <c r="L297" s="138"/>
      <c r="M297" s="140">
        <f t="shared" si="21"/>
        <v>0</v>
      </c>
    </row>
    <row r="298" spans="1:13" x14ac:dyDescent="0.25">
      <c r="A298" s="155"/>
      <c r="G298" s="126"/>
      <c r="H298" s="138">
        <v>293</v>
      </c>
      <c r="I298" s="139" t="str">
        <f t="shared" si="19"/>
        <v/>
      </c>
      <c r="J298" s="139">
        <f t="shared" si="22"/>
        <v>-4</v>
      </c>
      <c r="K298" s="138">
        <f t="shared" si="20"/>
        <v>-40</v>
      </c>
      <c r="L298" s="138"/>
      <c r="M298" s="140">
        <f t="shared" si="21"/>
        <v>0</v>
      </c>
    </row>
    <row r="299" spans="1:13" x14ac:dyDescent="0.25">
      <c r="A299" s="155"/>
      <c r="G299" s="126"/>
      <c r="H299" s="138">
        <v>294</v>
      </c>
      <c r="I299" s="139" t="str">
        <f t="shared" si="19"/>
        <v/>
      </c>
      <c r="J299" s="139">
        <f t="shared" si="22"/>
        <v>-4</v>
      </c>
      <c r="K299" s="138">
        <f t="shared" si="20"/>
        <v>-40</v>
      </c>
      <c r="L299" s="138"/>
      <c r="M299" s="140">
        <f t="shared" si="21"/>
        <v>0</v>
      </c>
    </row>
    <row r="300" spans="1:13" x14ac:dyDescent="0.25">
      <c r="A300" s="155"/>
      <c r="G300" s="126"/>
      <c r="H300" s="138">
        <v>295</v>
      </c>
      <c r="I300" s="139" t="str">
        <f t="shared" si="19"/>
        <v/>
      </c>
      <c r="J300" s="139">
        <f t="shared" si="22"/>
        <v>-4</v>
      </c>
      <c r="K300" s="138">
        <f t="shared" si="20"/>
        <v>-40</v>
      </c>
      <c r="L300" s="138"/>
      <c r="M300" s="140">
        <f t="shared" si="21"/>
        <v>0</v>
      </c>
    </row>
    <row r="301" spans="1:13" x14ac:dyDescent="0.25">
      <c r="A301" s="155"/>
      <c r="G301" s="126"/>
      <c r="H301" s="138">
        <v>296</v>
      </c>
      <c r="I301" s="139" t="str">
        <f t="shared" si="19"/>
        <v/>
      </c>
      <c r="J301" s="139">
        <f t="shared" si="22"/>
        <v>-4</v>
      </c>
      <c r="K301" s="138">
        <f t="shared" si="20"/>
        <v>-40</v>
      </c>
      <c r="L301" s="138"/>
      <c r="M301" s="140">
        <f t="shared" si="21"/>
        <v>0</v>
      </c>
    </row>
    <row r="302" spans="1:13" x14ac:dyDescent="0.25">
      <c r="A302" s="155"/>
      <c r="G302" s="126"/>
      <c r="H302" s="138">
        <v>297</v>
      </c>
      <c r="I302" s="139" t="str">
        <f t="shared" si="19"/>
        <v/>
      </c>
      <c r="J302" s="139">
        <f t="shared" si="22"/>
        <v>-4</v>
      </c>
      <c r="K302" s="138">
        <f t="shared" si="20"/>
        <v>-40</v>
      </c>
      <c r="L302" s="138"/>
      <c r="M302" s="140">
        <f t="shared" si="21"/>
        <v>0</v>
      </c>
    </row>
    <row r="303" spans="1:13" x14ac:dyDescent="0.25">
      <c r="A303" s="155"/>
      <c r="G303" s="126"/>
      <c r="H303" s="138">
        <v>298</v>
      </c>
      <c r="I303" s="139" t="str">
        <f t="shared" si="19"/>
        <v/>
      </c>
      <c r="J303" s="139">
        <f t="shared" si="22"/>
        <v>-4</v>
      </c>
      <c r="K303" s="138">
        <f t="shared" si="20"/>
        <v>-40</v>
      </c>
      <c r="L303" s="138"/>
      <c r="M303" s="140">
        <f t="shared" si="21"/>
        <v>0</v>
      </c>
    </row>
    <row r="304" spans="1:13" x14ac:dyDescent="0.25">
      <c r="A304" s="155"/>
      <c r="G304" s="126"/>
      <c r="H304" s="138">
        <v>299</v>
      </c>
      <c r="I304" s="139" t="str">
        <f t="shared" si="19"/>
        <v/>
      </c>
      <c r="J304" s="139">
        <f t="shared" si="22"/>
        <v>-4</v>
      </c>
      <c r="K304" s="138">
        <f t="shared" si="20"/>
        <v>-40</v>
      </c>
      <c r="L304" s="138"/>
      <c r="M304" s="140">
        <f t="shared" si="21"/>
        <v>0</v>
      </c>
    </row>
    <row r="305" spans="1:16" x14ac:dyDescent="0.25">
      <c r="A305" s="155"/>
      <c r="G305" s="126"/>
      <c r="H305" s="138">
        <v>300</v>
      </c>
      <c r="I305" s="139" t="str">
        <f t="shared" si="19"/>
        <v/>
      </c>
      <c r="J305" s="139">
        <f t="shared" si="22"/>
        <v>-4</v>
      </c>
      <c r="K305" s="138">
        <f t="shared" si="20"/>
        <v>-40</v>
      </c>
      <c r="L305" s="138"/>
      <c r="M305" s="140">
        <f t="shared" si="21"/>
        <v>0</v>
      </c>
    </row>
    <row r="306" spans="1:16" x14ac:dyDescent="0.25">
      <c r="A306" s="156"/>
    </row>
    <row r="314" spans="1:16" x14ac:dyDescent="0.25">
      <c r="L314" s="159"/>
      <c r="P314" s="149"/>
    </row>
    <row r="315" spans="1:16" x14ac:dyDescent="0.25">
      <c r="L315" s="159"/>
      <c r="P315" s="149"/>
    </row>
    <row r="316" spans="1:16" x14ac:dyDescent="0.25">
      <c r="L316" s="159"/>
      <c r="P316" s="149"/>
    </row>
    <row r="317" spans="1:16" x14ac:dyDescent="0.25">
      <c r="L317" s="159"/>
      <c r="P317" s="149"/>
    </row>
  </sheetData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hyperlinks>
    <hyperlink ref="C2" r:id="rId1" xr:uid="{41CA52E6-D7E7-4CC5-A71A-BBD65C486D0C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D873-E5C4-412C-AE36-0CC7AD012371}">
  <sheetPr>
    <tabColor rgb="FF92D050"/>
  </sheetPr>
  <dimension ref="A1:AL317"/>
  <sheetViews>
    <sheetView workbookViewId="0">
      <selection activeCell="C32" sqref="C32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" style="59" customWidth="1"/>
    <col min="11" max="11" width="8.75" style="59" customWidth="1"/>
    <col min="12" max="12" width="11" style="59" customWidth="1"/>
    <col min="13" max="13" width="11.7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25</v>
      </c>
      <c r="I1" s="15" t="s">
        <v>26</v>
      </c>
      <c r="J1" s="15" t="s">
        <v>27</v>
      </c>
      <c r="K1" s="16" t="s">
        <v>28</v>
      </c>
      <c r="L1" s="17"/>
      <c r="M1" s="17"/>
    </row>
    <row r="2" spans="1:36" x14ac:dyDescent="0.25">
      <c r="A2" s="13"/>
      <c r="B2" s="19" t="s">
        <v>29</v>
      </c>
      <c r="C2" s="232" t="s">
        <v>105</v>
      </c>
      <c r="D2" s="232"/>
      <c r="E2" s="20"/>
      <c r="F2" s="20"/>
      <c r="G2" s="20"/>
      <c r="H2" s="21">
        <v>26</v>
      </c>
      <c r="I2" s="22">
        <v>50</v>
      </c>
      <c r="J2" s="22">
        <v>10</v>
      </c>
      <c r="K2" s="23">
        <f>3*H2^(1/3)</f>
        <v>8.8874882052221107</v>
      </c>
      <c r="L2" s="17"/>
      <c r="M2" s="17"/>
    </row>
    <row r="3" spans="1:36" ht="14.45" customHeight="1" x14ac:dyDescent="0.25">
      <c r="A3" s="13"/>
      <c r="B3" s="24" t="s">
        <v>31</v>
      </c>
      <c r="C3" s="210" t="s">
        <v>106</v>
      </c>
      <c r="D3" s="210"/>
      <c r="E3" s="25"/>
      <c r="F3" s="25"/>
      <c r="G3" s="25"/>
      <c r="H3" s="17"/>
      <c r="I3" s="17"/>
      <c r="J3" s="17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17"/>
      <c r="K4" s="17"/>
      <c r="L4" s="17"/>
      <c r="M4" s="17"/>
    </row>
    <row r="5" spans="1:36" ht="34.65" x14ac:dyDescent="0.25">
      <c r="A5" s="1" t="s">
        <v>33</v>
      </c>
      <c r="B5" s="28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7"/>
      <c r="H5" s="29" t="s">
        <v>39</v>
      </c>
      <c r="I5" s="30" t="s">
        <v>40</v>
      </c>
      <c r="J5" s="30" t="s">
        <v>41</v>
      </c>
      <c r="K5" s="30" t="s">
        <v>42</v>
      </c>
      <c r="L5" s="30" t="s">
        <v>43</v>
      </c>
      <c r="M5" s="29" t="s">
        <v>44</v>
      </c>
    </row>
    <row r="6" spans="1:36" ht="14.45" customHeight="1" x14ac:dyDescent="0.25">
      <c r="A6" s="76">
        <f>M6</f>
        <v>126.66246461566632</v>
      </c>
      <c r="B6" s="33">
        <f t="shared" ref="B6:B17" si="0">IF(H6&gt;$H$2,"",(ROW()-5))</f>
        <v>1</v>
      </c>
      <c r="C6" s="34" t="s">
        <v>50</v>
      </c>
      <c r="D6" s="34"/>
      <c r="E6" s="34"/>
      <c r="F6" s="34"/>
      <c r="G6" s="27"/>
      <c r="H6" s="35">
        <v>1</v>
      </c>
      <c r="I6" s="36">
        <f t="shared" ref="I6:I69" si="1">IF(H6&lt;$H$2+1,($I$2-($I$2-1)*(LOG(H6)/LOG($H$2))),"")</f>
        <v>50</v>
      </c>
      <c r="J6" s="36">
        <f>INT(LOG($H$2,2))-ROUNDUP(LOG(H6,2),0)+IF(OR($H$2=1,$H$2=2,$H$2=4,$H$2=8,$H$2=16,$H$2=32,$H$2=64,$H$2=128,$H$2=256),0,1)</f>
        <v>5</v>
      </c>
      <c r="K6" s="35">
        <f t="shared" ref="K6:K69" si="2">J6*$J$2</f>
        <v>50</v>
      </c>
      <c r="L6" s="37">
        <f>3*K2</f>
        <v>26.66246461566633</v>
      </c>
      <c r="M6" s="37">
        <f t="shared" ref="M6:M69" si="3">IF(I6&lt;&gt;"",K6+I6+L6,0)</f>
        <v>126.66246461566632</v>
      </c>
    </row>
    <row r="7" spans="1:36" ht="14.45" customHeight="1" x14ac:dyDescent="0.25">
      <c r="A7" s="77">
        <f t="shared" ref="A7:A37" si="4">M7</f>
        <v>97.350419786329439</v>
      </c>
      <c r="B7" s="39">
        <f t="shared" si="0"/>
        <v>2</v>
      </c>
      <c r="C7" s="40" t="s">
        <v>50</v>
      </c>
      <c r="D7" s="40"/>
      <c r="E7" s="40"/>
      <c r="F7" s="40"/>
      <c r="G7" s="27"/>
      <c r="H7" s="41">
        <v>2</v>
      </c>
      <c r="I7" s="42">
        <f t="shared" si="1"/>
        <v>39.575443375885207</v>
      </c>
      <c r="J7" s="42">
        <f t="shared" ref="J7:J70" si="5">INT(LOG($H$2,2))-ROUNDUP(LOG(H7,2),0)+IF(OR($H$2=1,$H$2=2,$H$2=4,$H$2=8,$H$2=16,$H$2=32,$H$2=64,$H$2=128,$H$2=256),0,1)</f>
        <v>4</v>
      </c>
      <c r="K7" s="41">
        <f t="shared" si="2"/>
        <v>40</v>
      </c>
      <c r="L7" s="43">
        <f>2*K2</f>
        <v>17.774976410444221</v>
      </c>
      <c r="M7" s="43">
        <f t="shared" si="3"/>
        <v>97.350419786329439</v>
      </c>
    </row>
    <row r="8" spans="1:36" ht="14.45" customHeight="1" x14ac:dyDescent="0.25">
      <c r="A8" s="76">
        <f t="shared" si="4"/>
        <v>72.364956869355836</v>
      </c>
      <c r="B8" s="33">
        <f t="shared" si="0"/>
        <v>3</v>
      </c>
      <c r="C8" s="34" t="s">
        <v>50</v>
      </c>
      <c r="D8" s="34"/>
      <c r="E8" s="34"/>
      <c r="F8" s="34"/>
      <c r="G8" s="27"/>
      <c r="H8" s="35">
        <v>3</v>
      </c>
      <c r="I8" s="36">
        <f t="shared" si="1"/>
        <v>33.477468664133724</v>
      </c>
      <c r="J8" s="36">
        <f t="shared" si="5"/>
        <v>3</v>
      </c>
      <c r="K8" s="35">
        <f t="shared" si="2"/>
        <v>30</v>
      </c>
      <c r="L8" s="37">
        <f>K2</f>
        <v>8.8874882052221107</v>
      </c>
      <c r="M8" s="37">
        <f t="shared" si="3"/>
        <v>72.364956869355836</v>
      </c>
    </row>
    <row r="9" spans="1:36" s="82" customFormat="1" ht="14.45" customHeight="1" x14ac:dyDescent="0.25">
      <c r="A9" s="76">
        <f t="shared" si="4"/>
        <v>72.364956869355836</v>
      </c>
      <c r="B9" s="39">
        <f>IF(H9&gt;$H$2,"",3)</f>
        <v>3</v>
      </c>
      <c r="C9" s="40" t="s">
        <v>50</v>
      </c>
      <c r="D9" s="40"/>
      <c r="E9" s="40"/>
      <c r="F9" s="40"/>
      <c r="G9" s="27"/>
      <c r="H9" s="78">
        <v>3</v>
      </c>
      <c r="I9" s="79">
        <f t="shared" si="1"/>
        <v>33.477468664133724</v>
      </c>
      <c r="J9" s="78">
        <f t="shared" si="5"/>
        <v>3</v>
      </c>
      <c r="K9" s="78">
        <f t="shared" si="2"/>
        <v>30</v>
      </c>
      <c r="L9" s="80">
        <f>K2</f>
        <v>8.8874882052221107</v>
      </c>
      <c r="M9" s="80">
        <f t="shared" si="3"/>
        <v>72.364956869355836</v>
      </c>
      <c r="N9" s="81"/>
      <c r="O9" s="81"/>
      <c r="P9" s="81"/>
      <c r="Q9" s="81"/>
      <c r="R9" s="81"/>
      <c r="V9" s="83"/>
      <c r="Z9" s="84"/>
      <c r="AA9" s="84"/>
      <c r="AG9" s="85"/>
      <c r="AH9" s="82" t="s">
        <v>50</v>
      </c>
      <c r="AI9" s="82">
        <v>23</v>
      </c>
    </row>
    <row r="10" spans="1:36" ht="14.45" customHeight="1" x14ac:dyDescent="0.25">
      <c r="A10" s="76">
        <f t="shared" si="4"/>
        <v>45.794929097723696</v>
      </c>
      <c r="B10" s="33">
        <f t="shared" si="0"/>
        <v>5</v>
      </c>
      <c r="C10" s="34" t="s">
        <v>16</v>
      </c>
      <c r="D10" s="34"/>
      <c r="E10" s="34"/>
      <c r="F10" s="34"/>
      <c r="G10" s="27"/>
      <c r="H10" s="35">
        <v>5</v>
      </c>
      <c r="I10" s="36">
        <f t="shared" si="1"/>
        <v>25.794929097723699</v>
      </c>
      <c r="J10" s="36">
        <f t="shared" si="5"/>
        <v>2</v>
      </c>
      <c r="K10" s="35">
        <f t="shared" si="2"/>
        <v>20</v>
      </c>
      <c r="L10" s="35"/>
      <c r="M10" s="37">
        <f t="shared" si="3"/>
        <v>45.794929097723696</v>
      </c>
      <c r="V10" s="44"/>
      <c r="Z10" s="45"/>
      <c r="AA10" s="45"/>
      <c r="AG10" s="46"/>
      <c r="AH10" s="18" t="s">
        <v>52</v>
      </c>
      <c r="AI10" s="18">
        <v>45</v>
      </c>
    </row>
    <row r="11" spans="1:36" ht="14.45" customHeight="1" x14ac:dyDescent="0.25">
      <c r="A11" s="77">
        <f t="shared" si="4"/>
        <v>43.052912040018924</v>
      </c>
      <c r="B11" s="39">
        <f t="shared" si="0"/>
        <v>6</v>
      </c>
      <c r="C11" s="40" t="s">
        <v>50</v>
      </c>
      <c r="D11" s="40"/>
      <c r="E11" s="40"/>
      <c r="F11" s="40"/>
      <c r="G11" s="27"/>
      <c r="H11" s="41">
        <v>6</v>
      </c>
      <c r="I11" s="42">
        <f t="shared" si="1"/>
        <v>23.052912040018928</v>
      </c>
      <c r="J11" s="42">
        <f t="shared" si="5"/>
        <v>2</v>
      </c>
      <c r="K11" s="41">
        <f t="shared" si="2"/>
        <v>20</v>
      </c>
      <c r="L11" s="41"/>
      <c r="M11" s="43">
        <f t="shared" si="3"/>
        <v>43.052912040018924</v>
      </c>
      <c r="V11" s="47"/>
      <c r="Z11" s="45"/>
      <c r="AA11" s="45"/>
      <c r="AG11" s="46"/>
      <c r="AH11" s="18" t="s">
        <v>53</v>
      </c>
      <c r="AI11" s="18">
        <v>50</v>
      </c>
    </row>
    <row r="12" spans="1:36" ht="14.45" customHeight="1" x14ac:dyDescent="0.25">
      <c r="A12" s="76">
        <f t="shared" si="4"/>
        <v>40.734569651023136</v>
      </c>
      <c r="B12" s="33">
        <f t="shared" si="0"/>
        <v>7</v>
      </c>
      <c r="C12" s="34" t="s">
        <v>50</v>
      </c>
      <c r="D12" s="34"/>
      <c r="E12" s="34"/>
      <c r="F12" s="34"/>
      <c r="G12" s="27"/>
      <c r="H12" s="35">
        <v>7</v>
      </c>
      <c r="I12" s="36">
        <f t="shared" si="1"/>
        <v>20.734569651023133</v>
      </c>
      <c r="J12" s="36">
        <f t="shared" si="5"/>
        <v>2</v>
      </c>
      <c r="K12" s="35">
        <f t="shared" si="2"/>
        <v>20</v>
      </c>
      <c r="L12" s="35"/>
      <c r="M12" s="37">
        <f t="shared" si="3"/>
        <v>40.734569651023136</v>
      </c>
      <c r="Z12" s="45"/>
      <c r="AA12" s="45"/>
      <c r="AG12" s="46"/>
      <c r="AH12" s="18" t="s">
        <v>54</v>
      </c>
      <c r="AI12" s="18">
        <f>AI11-1</f>
        <v>49</v>
      </c>
    </row>
    <row r="13" spans="1:36" ht="14.45" customHeight="1" x14ac:dyDescent="0.25">
      <c r="A13" s="77">
        <f t="shared" si="4"/>
        <v>38.726330127655615</v>
      </c>
      <c r="B13" s="39">
        <f t="shared" si="0"/>
        <v>8</v>
      </c>
      <c r="C13" s="40" t="s">
        <v>50</v>
      </c>
      <c r="D13" s="40"/>
      <c r="E13" s="40"/>
      <c r="F13" s="40"/>
      <c r="G13" s="27"/>
      <c r="H13" s="41">
        <v>8</v>
      </c>
      <c r="I13" s="42">
        <f t="shared" si="1"/>
        <v>18.726330127655618</v>
      </c>
      <c r="J13" s="42">
        <f t="shared" si="5"/>
        <v>2</v>
      </c>
      <c r="K13" s="41">
        <f t="shared" si="2"/>
        <v>20</v>
      </c>
      <c r="L13" s="41"/>
      <c r="M13" s="43">
        <f t="shared" si="3"/>
        <v>38.726330127655615</v>
      </c>
      <c r="X13" s="44"/>
      <c r="AG13" s="46"/>
      <c r="AH13" s="18" t="s">
        <v>55</v>
      </c>
      <c r="AI13" s="18">
        <f>LOG(AI9)</f>
        <v>1.3617278360175928</v>
      </c>
    </row>
    <row r="14" spans="1:36" x14ac:dyDescent="0.25">
      <c r="A14" s="76">
        <f t="shared" si="4"/>
        <v>26.954937328267448</v>
      </c>
      <c r="B14" s="33">
        <f t="shared" si="0"/>
        <v>9</v>
      </c>
      <c r="C14" s="34" t="s">
        <v>50</v>
      </c>
      <c r="D14" s="34"/>
      <c r="E14" s="34"/>
      <c r="F14" s="34"/>
      <c r="G14" s="27"/>
      <c r="H14" s="35">
        <v>9</v>
      </c>
      <c r="I14" s="36">
        <f t="shared" si="1"/>
        <v>16.954937328267448</v>
      </c>
      <c r="J14" s="36">
        <f t="shared" si="5"/>
        <v>1</v>
      </c>
      <c r="K14" s="35">
        <f t="shared" si="2"/>
        <v>10</v>
      </c>
      <c r="L14" s="35"/>
      <c r="M14" s="37">
        <f t="shared" si="3"/>
        <v>26.954937328267448</v>
      </c>
      <c r="X14" s="50"/>
      <c r="Z14" s="45"/>
      <c r="AA14" s="45"/>
      <c r="AG14" s="46"/>
      <c r="AH14" s="18" t="s">
        <v>56</v>
      </c>
      <c r="AI14" s="18">
        <f>LOG(AI10)</f>
        <v>1.6532125137753437</v>
      </c>
    </row>
    <row r="15" spans="1:36" x14ac:dyDescent="0.25">
      <c r="A15" s="77">
        <f t="shared" si="4"/>
        <v>25.37037247360891</v>
      </c>
      <c r="B15" s="39">
        <f t="shared" si="0"/>
        <v>10</v>
      </c>
      <c r="C15" s="40" t="s">
        <v>50</v>
      </c>
      <c r="D15" s="40"/>
      <c r="E15" s="40"/>
      <c r="F15" s="40"/>
      <c r="G15" s="27"/>
      <c r="H15" s="41">
        <v>10</v>
      </c>
      <c r="I15" s="42">
        <f t="shared" si="1"/>
        <v>15.37037247360891</v>
      </c>
      <c r="J15" s="42">
        <f t="shared" si="5"/>
        <v>1</v>
      </c>
      <c r="K15" s="41">
        <f t="shared" si="2"/>
        <v>10</v>
      </c>
      <c r="L15" s="41"/>
      <c r="M15" s="43">
        <f t="shared" si="3"/>
        <v>25.37037247360891</v>
      </c>
      <c r="X15" s="44"/>
      <c r="Z15" s="45"/>
      <c r="AA15" s="45"/>
    </row>
    <row r="16" spans="1:36" x14ac:dyDescent="0.25">
      <c r="A16" s="76">
        <f t="shared" si="4"/>
        <v>23.936959204262394</v>
      </c>
      <c r="B16" s="33">
        <f t="shared" si="0"/>
        <v>11</v>
      </c>
      <c r="C16" s="34" t="s">
        <v>50</v>
      </c>
      <c r="D16" s="34"/>
      <c r="E16" s="34"/>
      <c r="F16" s="34"/>
      <c r="G16" s="27"/>
      <c r="H16" s="35">
        <v>11</v>
      </c>
      <c r="I16" s="36">
        <f t="shared" si="1"/>
        <v>13.936959204262394</v>
      </c>
      <c r="J16" s="36">
        <f t="shared" si="5"/>
        <v>1</v>
      </c>
      <c r="K16" s="35">
        <f t="shared" si="2"/>
        <v>10</v>
      </c>
      <c r="L16" s="35"/>
      <c r="M16" s="37">
        <f t="shared" si="3"/>
        <v>23.936959204262394</v>
      </c>
      <c r="R16" s="51"/>
      <c r="Z16" s="45"/>
      <c r="AA16" s="45"/>
      <c r="AH16" s="52" t="s">
        <v>57</v>
      </c>
      <c r="AI16" s="18">
        <f>AI11-AI12*AI13/AI14</f>
        <v>9.6393909380186855</v>
      </c>
      <c r="AJ16" s="18" t="s">
        <v>58</v>
      </c>
    </row>
    <row r="17" spans="1:19" x14ac:dyDescent="0.25">
      <c r="A17" s="77">
        <f t="shared" si="4"/>
        <v>22.628355415904132</v>
      </c>
      <c r="B17" s="39">
        <f t="shared" si="0"/>
        <v>12</v>
      </c>
      <c r="C17" s="40" t="s">
        <v>50</v>
      </c>
      <c r="D17" s="40"/>
      <c r="E17" s="40"/>
      <c r="F17" s="40"/>
      <c r="G17" s="27"/>
      <c r="H17" s="41">
        <v>12</v>
      </c>
      <c r="I17" s="42">
        <f t="shared" si="1"/>
        <v>12.628355415904132</v>
      </c>
      <c r="J17" s="42">
        <f t="shared" si="5"/>
        <v>1</v>
      </c>
      <c r="K17" s="41">
        <f t="shared" si="2"/>
        <v>10</v>
      </c>
      <c r="L17" s="41"/>
      <c r="M17" s="43">
        <f t="shared" si="3"/>
        <v>22.628355415904132</v>
      </c>
    </row>
    <row r="18" spans="1:19" x14ac:dyDescent="0.25">
      <c r="A18" s="76">
        <f t="shared" si="4"/>
        <v>21.424556624114793</v>
      </c>
      <c r="B18" s="33">
        <f t="shared" ref="B18:B65" si="6">IF(H18&gt;$H$2,"",(ROW()-5))</f>
        <v>13</v>
      </c>
      <c r="C18" s="34" t="s">
        <v>50</v>
      </c>
      <c r="D18" s="34"/>
      <c r="E18" s="34"/>
      <c r="F18" s="34"/>
      <c r="G18" s="27"/>
      <c r="H18" s="35">
        <v>13</v>
      </c>
      <c r="I18" s="36">
        <f t="shared" si="1"/>
        <v>11.424556624114793</v>
      </c>
      <c r="J18" s="36">
        <f t="shared" si="5"/>
        <v>1</v>
      </c>
      <c r="K18" s="35">
        <f t="shared" si="2"/>
        <v>10</v>
      </c>
      <c r="L18" s="35"/>
      <c r="M18" s="37">
        <f t="shared" si="3"/>
        <v>21.424556624114793</v>
      </c>
    </row>
    <row r="19" spans="1:19" x14ac:dyDescent="0.25">
      <c r="A19" s="77">
        <f t="shared" si="4"/>
        <v>20.310013026908337</v>
      </c>
      <c r="B19" s="39">
        <f t="shared" si="6"/>
        <v>14</v>
      </c>
      <c r="C19" s="40" t="s">
        <v>50</v>
      </c>
      <c r="D19" s="40"/>
      <c r="E19" s="40"/>
      <c r="F19" s="40"/>
      <c r="G19" s="27"/>
      <c r="H19" s="41">
        <v>14</v>
      </c>
      <c r="I19" s="42">
        <f t="shared" si="1"/>
        <v>10.310013026908337</v>
      </c>
      <c r="J19" s="42">
        <f t="shared" si="5"/>
        <v>1</v>
      </c>
      <c r="K19" s="41">
        <f t="shared" si="2"/>
        <v>10</v>
      </c>
      <c r="L19" s="41"/>
      <c r="M19" s="43">
        <f t="shared" si="3"/>
        <v>20.310013026908337</v>
      </c>
    </row>
    <row r="20" spans="1:19" x14ac:dyDescent="0.25">
      <c r="A20" s="76">
        <f t="shared" si="4"/>
        <v>19.27239776185742</v>
      </c>
      <c r="B20" s="33">
        <f t="shared" si="6"/>
        <v>15</v>
      </c>
      <c r="C20" s="34" t="s">
        <v>50</v>
      </c>
      <c r="D20" s="34"/>
      <c r="E20" s="34"/>
      <c r="F20" s="34"/>
      <c r="G20" s="27"/>
      <c r="H20" s="35">
        <v>15</v>
      </c>
      <c r="I20" s="36">
        <f t="shared" si="1"/>
        <v>9.2723977618574196</v>
      </c>
      <c r="J20" s="36">
        <f t="shared" si="5"/>
        <v>1</v>
      </c>
      <c r="K20" s="35">
        <f t="shared" si="2"/>
        <v>10</v>
      </c>
      <c r="L20" s="35"/>
      <c r="M20" s="37">
        <f t="shared" si="3"/>
        <v>19.27239776185742</v>
      </c>
      <c r="R20" s="53"/>
      <c r="S20" s="54"/>
    </row>
    <row r="21" spans="1:19" x14ac:dyDescent="0.25">
      <c r="A21" s="77">
        <f t="shared" si="4"/>
        <v>18.301773503540822</v>
      </c>
      <c r="B21" s="39">
        <f t="shared" si="6"/>
        <v>16</v>
      </c>
      <c r="C21" s="40" t="s">
        <v>50</v>
      </c>
      <c r="D21" s="40"/>
      <c r="E21" s="40"/>
      <c r="F21" s="40"/>
      <c r="G21" s="27"/>
      <c r="H21" s="41">
        <v>16</v>
      </c>
      <c r="I21" s="42">
        <f t="shared" si="1"/>
        <v>8.3017735035408222</v>
      </c>
      <c r="J21" s="42">
        <f t="shared" si="5"/>
        <v>1</v>
      </c>
      <c r="K21" s="41">
        <f t="shared" si="2"/>
        <v>10</v>
      </c>
      <c r="L21" s="41"/>
      <c r="M21" s="43">
        <f t="shared" si="3"/>
        <v>18.301773503540822</v>
      </c>
    </row>
    <row r="22" spans="1:19" x14ac:dyDescent="0.25">
      <c r="A22" s="76">
        <f t="shared" si="4"/>
        <v>7.390012162420696</v>
      </c>
      <c r="B22" s="33">
        <f t="shared" si="6"/>
        <v>17</v>
      </c>
      <c r="C22" s="34" t="s">
        <v>50</v>
      </c>
      <c r="D22" s="34"/>
      <c r="E22" s="34"/>
      <c r="F22" s="34"/>
      <c r="G22" s="27"/>
      <c r="H22" s="35">
        <v>17</v>
      </c>
      <c r="I22" s="36">
        <f t="shared" si="1"/>
        <v>7.390012162420696</v>
      </c>
      <c r="J22" s="36">
        <f t="shared" si="5"/>
        <v>0</v>
      </c>
      <c r="K22" s="35">
        <f t="shared" si="2"/>
        <v>0</v>
      </c>
      <c r="L22" s="35"/>
      <c r="M22" s="37">
        <f t="shared" si="3"/>
        <v>7.390012162420696</v>
      </c>
    </row>
    <row r="23" spans="1:19" x14ac:dyDescent="0.25">
      <c r="A23" s="77">
        <f t="shared" si="4"/>
        <v>6.5303807041526483</v>
      </c>
      <c r="B23" s="39">
        <f t="shared" si="6"/>
        <v>18</v>
      </c>
      <c r="C23" s="40" t="s">
        <v>50</v>
      </c>
      <c r="D23" s="40"/>
      <c r="E23" s="40"/>
      <c r="F23" s="40"/>
      <c r="G23" s="27"/>
      <c r="H23" s="41">
        <v>18</v>
      </c>
      <c r="I23" s="42">
        <f t="shared" si="1"/>
        <v>6.5303807041526483</v>
      </c>
      <c r="J23" s="42">
        <f t="shared" si="5"/>
        <v>0</v>
      </c>
      <c r="K23" s="41">
        <f t="shared" si="2"/>
        <v>0</v>
      </c>
      <c r="L23" s="41"/>
      <c r="M23" s="43">
        <f t="shared" si="3"/>
        <v>6.5303807041526483</v>
      </c>
    </row>
    <row r="24" spans="1:19" x14ac:dyDescent="0.25">
      <c r="A24" s="76">
        <f t="shared" si="4"/>
        <v>5.7172391009721863</v>
      </c>
      <c r="B24" s="33">
        <f t="shared" si="6"/>
        <v>19</v>
      </c>
      <c r="C24" s="34" t="s">
        <v>50</v>
      </c>
      <c r="D24" s="34"/>
      <c r="E24" s="34"/>
      <c r="F24" s="34"/>
      <c r="G24" s="27"/>
      <c r="H24" s="35">
        <v>19</v>
      </c>
      <c r="I24" s="36">
        <f t="shared" si="1"/>
        <v>5.7172391009721863</v>
      </c>
      <c r="J24" s="36">
        <f t="shared" si="5"/>
        <v>0</v>
      </c>
      <c r="K24" s="35">
        <f t="shared" si="2"/>
        <v>0</v>
      </c>
      <c r="L24" s="35"/>
      <c r="M24" s="37">
        <f t="shared" si="3"/>
        <v>5.7172391009721863</v>
      </c>
      <c r="R24" s="53"/>
      <c r="S24" s="54"/>
    </row>
    <row r="25" spans="1:19" x14ac:dyDescent="0.25">
      <c r="A25" s="77">
        <f t="shared" si="4"/>
        <v>4.9458158494941102</v>
      </c>
      <c r="B25" s="39">
        <f t="shared" si="6"/>
        <v>20</v>
      </c>
      <c r="C25" s="40" t="s">
        <v>50</v>
      </c>
      <c r="D25" s="40"/>
      <c r="E25" s="40"/>
      <c r="F25" s="40"/>
      <c r="G25" s="27"/>
      <c r="H25" s="41">
        <v>20</v>
      </c>
      <c r="I25" s="42">
        <f t="shared" si="1"/>
        <v>4.9458158494941102</v>
      </c>
      <c r="J25" s="42">
        <f t="shared" si="5"/>
        <v>0</v>
      </c>
      <c r="K25" s="41">
        <f t="shared" si="2"/>
        <v>0</v>
      </c>
      <c r="L25" s="41"/>
      <c r="M25" s="43">
        <f t="shared" si="3"/>
        <v>4.9458158494941102</v>
      </c>
    </row>
    <row r="26" spans="1:19" x14ac:dyDescent="0.25">
      <c r="A26" s="76">
        <f t="shared" si="4"/>
        <v>4.2120383151568532</v>
      </c>
      <c r="B26" s="33">
        <f t="shared" si="6"/>
        <v>21</v>
      </c>
      <c r="C26" s="34" t="s">
        <v>50</v>
      </c>
      <c r="D26" s="34"/>
      <c r="E26" s="34"/>
      <c r="F26" s="34"/>
      <c r="G26" s="27"/>
      <c r="H26" s="35">
        <v>21</v>
      </c>
      <c r="I26" s="36">
        <f t="shared" si="1"/>
        <v>4.2120383151568532</v>
      </c>
      <c r="J26" s="36">
        <f t="shared" si="5"/>
        <v>0</v>
      </c>
      <c r="K26" s="35">
        <f t="shared" si="2"/>
        <v>0</v>
      </c>
      <c r="L26" s="35"/>
      <c r="M26" s="37">
        <f t="shared" si="3"/>
        <v>4.2120383151568532</v>
      </c>
    </row>
    <row r="27" spans="1:19" x14ac:dyDescent="0.25">
      <c r="A27" s="77">
        <f t="shared" si="4"/>
        <v>3.5124025801476009</v>
      </c>
      <c r="B27" s="39">
        <f t="shared" si="6"/>
        <v>22</v>
      </c>
      <c r="C27" s="40" t="s">
        <v>50</v>
      </c>
      <c r="D27" s="40"/>
      <c r="E27" s="40"/>
      <c r="F27" s="40"/>
      <c r="G27" s="27"/>
      <c r="H27" s="41">
        <v>22</v>
      </c>
      <c r="I27" s="42">
        <f t="shared" si="1"/>
        <v>3.5124025801476009</v>
      </c>
      <c r="J27" s="42">
        <f t="shared" si="5"/>
        <v>0</v>
      </c>
      <c r="K27" s="41">
        <f t="shared" si="2"/>
        <v>0</v>
      </c>
      <c r="L27" s="41"/>
      <c r="M27" s="43">
        <f t="shared" si="3"/>
        <v>3.5124025801476009</v>
      </c>
    </row>
    <row r="28" spans="1:19" x14ac:dyDescent="0.25">
      <c r="A28" s="76">
        <f t="shared" si="4"/>
        <v>2.8438722463921948</v>
      </c>
      <c r="B28" s="33">
        <f t="shared" si="6"/>
        <v>23</v>
      </c>
      <c r="C28" s="34" t="s">
        <v>50</v>
      </c>
      <c r="D28" s="34"/>
      <c r="E28" s="34"/>
      <c r="F28" s="34"/>
      <c r="G28" s="27"/>
      <c r="H28" s="35">
        <v>23</v>
      </c>
      <c r="I28" s="36">
        <f t="shared" si="1"/>
        <v>2.8438722463921948</v>
      </c>
      <c r="J28" s="36">
        <f t="shared" si="5"/>
        <v>0</v>
      </c>
      <c r="K28" s="35">
        <f t="shared" si="2"/>
        <v>0</v>
      </c>
      <c r="L28" s="35"/>
      <c r="M28" s="37">
        <f t="shared" si="3"/>
        <v>2.8438722463921948</v>
      </c>
      <c r="R28" s="53"/>
      <c r="S28" s="54"/>
    </row>
    <row r="29" spans="1:19" x14ac:dyDescent="0.25">
      <c r="A29" s="77">
        <f t="shared" si="4"/>
        <v>2.2037987917893389</v>
      </c>
      <c r="B29" s="39">
        <f t="shared" si="6"/>
        <v>24</v>
      </c>
      <c r="C29" s="40" t="s">
        <v>50</v>
      </c>
      <c r="D29" s="40"/>
      <c r="E29" s="40"/>
      <c r="F29" s="40"/>
      <c r="G29" s="13"/>
      <c r="H29" s="41">
        <v>24</v>
      </c>
      <c r="I29" s="42">
        <f t="shared" si="1"/>
        <v>2.2037987917893389</v>
      </c>
      <c r="J29" s="42">
        <f t="shared" si="5"/>
        <v>0</v>
      </c>
      <c r="K29" s="41">
        <f t="shared" si="2"/>
        <v>0</v>
      </c>
      <c r="L29" s="41"/>
      <c r="M29" s="43">
        <f t="shared" si="3"/>
        <v>2.2037987917893389</v>
      </c>
    </row>
    <row r="30" spans="1:19" x14ac:dyDescent="0.25">
      <c r="A30" s="76">
        <f t="shared" si="4"/>
        <v>1.5898581954473983</v>
      </c>
      <c r="B30" s="33">
        <f t="shared" si="6"/>
        <v>25</v>
      </c>
      <c r="C30" s="34" t="s">
        <v>50</v>
      </c>
      <c r="D30" s="34"/>
      <c r="E30" s="34"/>
      <c r="F30" s="34"/>
      <c r="G30" s="13"/>
      <c r="H30" s="35">
        <v>25</v>
      </c>
      <c r="I30" s="36">
        <f t="shared" si="1"/>
        <v>1.5898581954473983</v>
      </c>
      <c r="J30" s="36">
        <f t="shared" si="5"/>
        <v>0</v>
      </c>
      <c r="K30" s="35">
        <f t="shared" si="2"/>
        <v>0</v>
      </c>
      <c r="L30" s="35"/>
      <c r="M30" s="37">
        <f t="shared" si="3"/>
        <v>1.5898581954473983</v>
      </c>
    </row>
    <row r="31" spans="1:19" x14ac:dyDescent="0.25">
      <c r="A31" s="77">
        <f t="shared" si="4"/>
        <v>1</v>
      </c>
      <c r="B31" s="39">
        <f t="shared" si="6"/>
        <v>26</v>
      </c>
      <c r="C31" s="40" t="s">
        <v>50</v>
      </c>
      <c r="D31" s="40"/>
      <c r="E31" s="40"/>
      <c r="F31" s="40"/>
      <c r="G31" s="13"/>
      <c r="H31" s="41">
        <v>26</v>
      </c>
      <c r="I31" s="42">
        <f t="shared" si="1"/>
        <v>1</v>
      </c>
      <c r="J31" s="42">
        <f t="shared" si="5"/>
        <v>0</v>
      </c>
      <c r="K31" s="41">
        <f t="shared" si="2"/>
        <v>0</v>
      </c>
      <c r="L31" s="41"/>
      <c r="M31" s="43">
        <f t="shared" si="3"/>
        <v>1</v>
      </c>
    </row>
    <row r="32" spans="1:19" x14ac:dyDescent="0.25">
      <c r="A32" s="76">
        <f t="shared" si="4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1"/>
        <v/>
      </c>
      <c r="J32" s="36">
        <f t="shared" si="5"/>
        <v>0</v>
      </c>
      <c r="K32" s="35">
        <f t="shared" si="2"/>
        <v>0</v>
      </c>
      <c r="L32" s="35"/>
      <c r="M32" s="37">
        <f t="shared" si="3"/>
        <v>0</v>
      </c>
      <c r="R32" s="53"/>
      <c r="S32" s="54"/>
    </row>
    <row r="33" spans="1:21" x14ac:dyDescent="0.25">
      <c r="A33" s="77">
        <f t="shared" si="4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1"/>
        <v/>
      </c>
      <c r="J33" s="42">
        <f t="shared" si="5"/>
        <v>0</v>
      </c>
      <c r="K33" s="41">
        <f t="shared" si="2"/>
        <v>0</v>
      </c>
      <c r="L33" s="41"/>
      <c r="M33" s="43">
        <f t="shared" si="3"/>
        <v>0</v>
      </c>
    </row>
    <row r="34" spans="1:21" x14ac:dyDescent="0.25">
      <c r="A34" s="76">
        <f t="shared" si="4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1"/>
        <v/>
      </c>
      <c r="J34" s="36">
        <f t="shared" si="5"/>
        <v>0</v>
      </c>
      <c r="K34" s="35">
        <f t="shared" si="2"/>
        <v>0</v>
      </c>
      <c r="L34" s="35"/>
      <c r="M34" s="37">
        <f t="shared" si="3"/>
        <v>0</v>
      </c>
    </row>
    <row r="35" spans="1:21" x14ac:dyDescent="0.25">
      <c r="A35" s="77">
        <f t="shared" si="4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1"/>
        <v/>
      </c>
      <c r="J35" s="42">
        <f t="shared" si="5"/>
        <v>0</v>
      </c>
      <c r="K35" s="41">
        <f t="shared" si="2"/>
        <v>0</v>
      </c>
      <c r="L35" s="41"/>
      <c r="M35" s="43">
        <f t="shared" si="3"/>
        <v>0</v>
      </c>
    </row>
    <row r="36" spans="1:21" x14ac:dyDescent="0.25">
      <c r="A36" s="76">
        <f t="shared" si="4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1"/>
        <v/>
      </c>
      <c r="J36" s="36">
        <f t="shared" si="5"/>
        <v>0</v>
      </c>
      <c r="K36" s="35">
        <f t="shared" si="2"/>
        <v>0</v>
      </c>
      <c r="L36" s="35"/>
      <c r="M36" s="37">
        <f t="shared" si="3"/>
        <v>0</v>
      </c>
      <c r="R36" s="53"/>
      <c r="S36" s="54"/>
    </row>
    <row r="37" spans="1:21" x14ac:dyDescent="0.25">
      <c r="A37" s="77">
        <f t="shared" si="4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1"/>
        <v/>
      </c>
      <c r="J37" s="42">
        <f t="shared" si="5"/>
        <v>0</v>
      </c>
      <c r="K37" s="41">
        <f t="shared" si="2"/>
        <v>0</v>
      </c>
      <c r="L37" s="41"/>
      <c r="M37" s="43">
        <f t="shared" si="3"/>
        <v>0</v>
      </c>
    </row>
    <row r="38" spans="1:21" x14ac:dyDescent="0.25">
      <c r="A38" s="76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1"/>
        <v/>
      </c>
      <c r="J38" s="36">
        <f t="shared" si="5"/>
        <v>-1</v>
      </c>
      <c r="K38" s="35">
        <f t="shared" si="2"/>
        <v>-10</v>
      </c>
      <c r="L38" s="35"/>
      <c r="M38" s="37">
        <f t="shared" si="3"/>
        <v>0</v>
      </c>
    </row>
    <row r="39" spans="1:21" x14ac:dyDescent="0.25">
      <c r="A39" s="77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1"/>
        <v/>
      </c>
      <c r="J39" s="42">
        <f t="shared" si="5"/>
        <v>-1</v>
      </c>
      <c r="K39" s="41">
        <f t="shared" si="2"/>
        <v>-10</v>
      </c>
      <c r="L39" s="41"/>
      <c r="M39" s="43">
        <f t="shared" si="3"/>
        <v>0</v>
      </c>
    </row>
    <row r="40" spans="1:21" x14ac:dyDescent="0.25">
      <c r="A40" s="76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1"/>
        <v/>
      </c>
      <c r="J40" s="36">
        <f t="shared" si="5"/>
        <v>-1</v>
      </c>
      <c r="K40" s="35">
        <f t="shared" si="2"/>
        <v>-10</v>
      </c>
      <c r="L40" s="35"/>
      <c r="M40" s="37">
        <f t="shared" si="3"/>
        <v>0</v>
      </c>
    </row>
    <row r="41" spans="1:21" x14ac:dyDescent="0.25">
      <c r="A41" s="77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1"/>
        <v/>
      </c>
      <c r="J41" s="42">
        <f t="shared" si="5"/>
        <v>-1</v>
      </c>
      <c r="K41" s="41">
        <f t="shared" si="2"/>
        <v>-10</v>
      </c>
      <c r="L41" s="41"/>
      <c r="M41" s="43">
        <f t="shared" si="3"/>
        <v>0</v>
      </c>
      <c r="S41" s="55"/>
    </row>
    <row r="42" spans="1:21" x14ac:dyDescent="0.25">
      <c r="A42" s="76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1"/>
        <v/>
      </c>
      <c r="J42" s="36">
        <f t="shared" si="5"/>
        <v>-1</v>
      </c>
      <c r="K42" s="35">
        <f t="shared" si="2"/>
        <v>-10</v>
      </c>
      <c r="L42" s="35"/>
      <c r="M42" s="37">
        <f t="shared" si="3"/>
        <v>0</v>
      </c>
    </row>
    <row r="43" spans="1:21" x14ac:dyDescent="0.25">
      <c r="A43" s="77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1"/>
        <v/>
      </c>
      <c r="J43" s="42">
        <f t="shared" si="5"/>
        <v>-1</v>
      </c>
      <c r="K43" s="41">
        <f t="shared" si="2"/>
        <v>-10</v>
      </c>
      <c r="L43" s="41"/>
      <c r="M43" s="43">
        <f t="shared" si="3"/>
        <v>0</v>
      </c>
    </row>
    <row r="44" spans="1:21" x14ac:dyDescent="0.25">
      <c r="A44" s="76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1"/>
        <v/>
      </c>
      <c r="J44" s="36">
        <f t="shared" si="5"/>
        <v>-1</v>
      </c>
      <c r="K44" s="35">
        <f t="shared" si="2"/>
        <v>-10</v>
      </c>
      <c r="L44" s="35"/>
      <c r="M44" s="37">
        <f t="shared" si="3"/>
        <v>0</v>
      </c>
    </row>
    <row r="45" spans="1:21" x14ac:dyDescent="0.25">
      <c r="A45" s="77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1"/>
        <v/>
      </c>
      <c r="J45" s="42">
        <f t="shared" si="5"/>
        <v>-1</v>
      </c>
      <c r="K45" s="41">
        <f t="shared" si="2"/>
        <v>-10</v>
      </c>
      <c r="L45" s="41"/>
      <c r="M45" s="43">
        <f t="shared" si="3"/>
        <v>0</v>
      </c>
    </row>
    <row r="46" spans="1:21" x14ac:dyDescent="0.25">
      <c r="A46" s="76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1"/>
        <v/>
      </c>
      <c r="J46" s="36">
        <f t="shared" si="5"/>
        <v>-1</v>
      </c>
      <c r="K46" s="35">
        <f t="shared" si="2"/>
        <v>-10</v>
      </c>
      <c r="L46" s="35"/>
      <c r="M46" s="37">
        <f t="shared" si="3"/>
        <v>0</v>
      </c>
      <c r="R46" s="13">
        <f>LOG($H$2,2)</f>
        <v>4.7004397181410926</v>
      </c>
      <c r="T46" s="18">
        <f>LOG(H38,2)</f>
        <v>5.0443941193584534</v>
      </c>
      <c r="U46" s="18">
        <f>R46-T46</f>
        <v>-0.34395440121736076</v>
      </c>
    </row>
    <row r="47" spans="1:21" x14ac:dyDescent="0.25">
      <c r="A47" s="77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1"/>
        <v/>
      </c>
      <c r="J47" s="42">
        <f t="shared" si="5"/>
        <v>-1</v>
      </c>
      <c r="K47" s="41">
        <f t="shared" si="2"/>
        <v>-10</v>
      </c>
      <c r="L47" s="41"/>
      <c r="M47" s="43">
        <f t="shared" si="3"/>
        <v>0</v>
      </c>
    </row>
    <row r="48" spans="1:21" x14ac:dyDescent="0.25">
      <c r="A48" s="76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1"/>
        <v/>
      </c>
      <c r="J48" s="36">
        <f t="shared" si="5"/>
        <v>-1</v>
      </c>
      <c r="K48" s="35">
        <f t="shared" si="2"/>
        <v>-10</v>
      </c>
      <c r="L48" s="35"/>
      <c r="M48" s="37">
        <f t="shared" si="3"/>
        <v>0</v>
      </c>
    </row>
    <row r="49" spans="1:13" x14ac:dyDescent="0.25">
      <c r="A49" s="77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1"/>
        <v/>
      </c>
      <c r="J49" s="42">
        <f t="shared" si="5"/>
        <v>-1</v>
      </c>
      <c r="K49" s="41">
        <f t="shared" si="2"/>
        <v>-10</v>
      </c>
      <c r="L49" s="41"/>
      <c r="M49" s="43">
        <f t="shared" si="3"/>
        <v>0</v>
      </c>
    </row>
    <row r="50" spans="1:13" x14ac:dyDescent="0.25">
      <c r="A50" s="76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1"/>
        <v/>
      </c>
      <c r="J50" s="36">
        <f t="shared" si="5"/>
        <v>-1</v>
      </c>
      <c r="K50" s="35">
        <f t="shared" si="2"/>
        <v>-10</v>
      </c>
      <c r="L50" s="35"/>
      <c r="M50" s="37">
        <f t="shared" si="3"/>
        <v>0</v>
      </c>
    </row>
    <row r="51" spans="1:13" x14ac:dyDescent="0.25">
      <c r="A51" s="77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1"/>
        <v/>
      </c>
      <c r="J51" s="42">
        <f t="shared" si="5"/>
        <v>-1</v>
      </c>
      <c r="K51" s="41">
        <f t="shared" si="2"/>
        <v>-10</v>
      </c>
      <c r="L51" s="41"/>
      <c r="M51" s="43">
        <f t="shared" si="3"/>
        <v>0</v>
      </c>
    </row>
    <row r="52" spans="1:13" x14ac:dyDescent="0.25">
      <c r="A52" s="76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1"/>
        <v/>
      </c>
      <c r="J52" s="36">
        <f t="shared" si="5"/>
        <v>-1</v>
      </c>
      <c r="K52" s="35">
        <f t="shared" si="2"/>
        <v>-10</v>
      </c>
      <c r="L52" s="35"/>
      <c r="M52" s="37">
        <f t="shared" si="3"/>
        <v>0</v>
      </c>
    </row>
    <row r="53" spans="1:13" x14ac:dyDescent="0.25">
      <c r="A53" s="77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1"/>
        <v/>
      </c>
      <c r="J53" s="42">
        <f t="shared" si="5"/>
        <v>-1</v>
      </c>
      <c r="K53" s="41">
        <f t="shared" si="2"/>
        <v>-10</v>
      </c>
      <c r="L53" s="41"/>
      <c r="M53" s="43">
        <f t="shared" si="3"/>
        <v>0</v>
      </c>
    </row>
    <row r="54" spans="1:13" x14ac:dyDescent="0.25">
      <c r="A54" s="76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1"/>
        <v/>
      </c>
      <c r="J54" s="36">
        <f t="shared" si="5"/>
        <v>-1</v>
      </c>
      <c r="K54" s="35">
        <f t="shared" si="2"/>
        <v>-10</v>
      </c>
      <c r="L54" s="35"/>
      <c r="M54" s="37">
        <f t="shared" si="3"/>
        <v>0</v>
      </c>
    </row>
    <row r="55" spans="1:13" x14ac:dyDescent="0.25">
      <c r="A55" s="77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1"/>
        <v/>
      </c>
      <c r="J55" s="42">
        <f t="shared" si="5"/>
        <v>-1</v>
      </c>
      <c r="K55" s="41">
        <f t="shared" si="2"/>
        <v>-10</v>
      </c>
      <c r="L55" s="41"/>
      <c r="M55" s="43">
        <f t="shared" si="3"/>
        <v>0</v>
      </c>
    </row>
    <row r="56" spans="1:13" x14ac:dyDescent="0.25">
      <c r="A56" s="76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1"/>
        <v/>
      </c>
      <c r="J56" s="36">
        <f t="shared" si="5"/>
        <v>-1</v>
      </c>
      <c r="K56" s="35">
        <f t="shared" si="2"/>
        <v>-10</v>
      </c>
      <c r="L56" s="35"/>
      <c r="M56" s="37">
        <f t="shared" si="3"/>
        <v>0</v>
      </c>
    </row>
    <row r="57" spans="1:13" x14ac:dyDescent="0.25">
      <c r="A57" s="77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1"/>
        <v/>
      </c>
      <c r="J57" s="42">
        <f t="shared" si="5"/>
        <v>-1</v>
      </c>
      <c r="K57" s="41">
        <f t="shared" si="2"/>
        <v>-10</v>
      </c>
      <c r="L57" s="41"/>
      <c r="M57" s="43">
        <f t="shared" si="3"/>
        <v>0</v>
      </c>
    </row>
    <row r="58" spans="1:13" x14ac:dyDescent="0.25">
      <c r="A58" s="76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1"/>
        <v/>
      </c>
      <c r="J58" s="36">
        <f t="shared" si="5"/>
        <v>-1</v>
      </c>
      <c r="K58" s="35">
        <f t="shared" si="2"/>
        <v>-10</v>
      </c>
      <c r="L58" s="35"/>
      <c r="M58" s="37">
        <f t="shared" si="3"/>
        <v>0</v>
      </c>
    </row>
    <row r="59" spans="1:13" x14ac:dyDescent="0.25">
      <c r="A59" s="77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1"/>
        <v/>
      </c>
      <c r="J59" s="42">
        <f t="shared" si="5"/>
        <v>-1</v>
      </c>
      <c r="K59" s="41">
        <f t="shared" si="2"/>
        <v>-10</v>
      </c>
      <c r="L59" s="41"/>
      <c r="M59" s="43">
        <f t="shared" si="3"/>
        <v>0</v>
      </c>
    </row>
    <row r="60" spans="1:13" x14ac:dyDescent="0.25">
      <c r="A60" s="76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1"/>
        <v/>
      </c>
      <c r="J60" s="36">
        <f t="shared" si="5"/>
        <v>-1</v>
      </c>
      <c r="K60" s="35">
        <f t="shared" si="2"/>
        <v>-10</v>
      </c>
      <c r="L60" s="35"/>
      <c r="M60" s="37">
        <f t="shared" si="3"/>
        <v>0</v>
      </c>
    </row>
    <row r="61" spans="1:13" x14ac:dyDescent="0.25">
      <c r="A61" s="77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1"/>
        <v/>
      </c>
      <c r="J61" s="42">
        <f t="shared" si="5"/>
        <v>-1</v>
      </c>
      <c r="K61" s="41">
        <f t="shared" si="2"/>
        <v>-10</v>
      </c>
      <c r="L61" s="41"/>
      <c r="M61" s="43">
        <f t="shared" si="3"/>
        <v>0</v>
      </c>
    </row>
    <row r="62" spans="1:13" x14ac:dyDescent="0.25">
      <c r="A62" s="76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1"/>
        <v/>
      </c>
      <c r="J62" s="36">
        <f t="shared" si="5"/>
        <v>-1</v>
      </c>
      <c r="K62" s="35">
        <f t="shared" si="2"/>
        <v>-10</v>
      </c>
      <c r="L62" s="35"/>
      <c r="M62" s="37">
        <f t="shared" si="3"/>
        <v>0</v>
      </c>
    </row>
    <row r="63" spans="1:13" x14ac:dyDescent="0.25">
      <c r="A63" s="77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1"/>
        <v/>
      </c>
      <c r="J63" s="42">
        <f t="shared" si="5"/>
        <v>-1</v>
      </c>
      <c r="K63" s="41">
        <f t="shared" si="2"/>
        <v>-10</v>
      </c>
      <c r="L63" s="41"/>
      <c r="M63" s="43">
        <f t="shared" si="3"/>
        <v>0</v>
      </c>
    </row>
    <row r="64" spans="1:13" x14ac:dyDescent="0.25">
      <c r="A64" s="76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1"/>
        <v/>
      </c>
      <c r="J64" s="36">
        <f t="shared" si="5"/>
        <v>-1</v>
      </c>
      <c r="K64" s="35">
        <f t="shared" si="2"/>
        <v>-10</v>
      </c>
      <c r="L64" s="35"/>
      <c r="M64" s="37">
        <f t="shared" si="3"/>
        <v>0</v>
      </c>
    </row>
    <row r="65" spans="1:13" x14ac:dyDescent="0.25">
      <c r="A65" s="77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1"/>
        <v/>
      </c>
      <c r="J65" s="42">
        <f t="shared" si="5"/>
        <v>-1</v>
      </c>
      <c r="K65" s="41">
        <f t="shared" si="2"/>
        <v>-10</v>
      </c>
      <c r="L65" s="41"/>
      <c r="M65" s="43">
        <f t="shared" si="3"/>
        <v>0</v>
      </c>
    </row>
    <row r="66" spans="1:13" x14ac:dyDescent="0.25">
      <c r="A66" s="76"/>
      <c r="B66" s="33"/>
      <c r="G66" s="13"/>
      <c r="H66" s="35">
        <v>61</v>
      </c>
      <c r="I66" s="36" t="str">
        <f t="shared" si="1"/>
        <v/>
      </c>
      <c r="J66" s="36">
        <f t="shared" si="5"/>
        <v>-1</v>
      </c>
      <c r="K66" s="35">
        <f t="shared" si="2"/>
        <v>-10</v>
      </c>
      <c r="L66" s="35"/>
      <c r="M66" s="37">
        <f t="shared" si="3"/>
        <v>0</v>
      </c>
    </row>
    <row r="67" spans="1:13" x14ac:dyDescent="0.25">
      <c r="A67" s="77"/>
      <c r="B67" s="39"/>
      <c r="G67" s="13"/>
      <c r="H67" s="35">
        <v>62</v>
      </c>
      <c r="I67" s="36" t="str">
        <f t="shared" si="1"/>
        <v/>
      </c>
      <c r="J67" s="36">
        <f t="shared" si="5"/>
        <v>-1</v>
      </c>
      <c r="K67" s="35">
        <f t="shared" si="2"/>
        <v>-10</v>
      </c>
      <c r="L67" s="35"/>
      <c r="M67" s="37">
        <f t="shared" si="3"/>
        <v>0</v>
      </c>
    </row>
    <row r="68" spans="1:13" x14ac:dyDescent="0.25">
      <c r="A68" s="76"/>
      <c r="B68" s="33"/>
      <c r="G68" s="13"/>
      <c r="H68" s="35">
        <v>63</v>
      </c>
      <c r="I68" s="36" t="str">
        <f t="shared" si="1"/>
        <v/>
      </c>
      <c r="J68" s="36">
        <f t="shared" si="5"/>
        <v>-1</v>
      </c>
      <c r="K68" s="35">
        <f t="shared" si="2"/>
        <v>-10</v>
      </c>
      <c r="L68" s="35"/>
      <c r="M68" s="37">
        <f t="shared" si="3"/>
        <v>0</v>
      </c>
    </row>
    <row r="69" spans="1:13" x14ac:dyDescent="0.25">
      <c r="A69" s="77"/>
      <c r="B69" s="39"/>
      <c r="G69" s="13"/>
      <c r="H69" s="35">
        <v>64</v>
      </c>
      <c r="I69" s="36" t="str">
        <f t="shared" si="1"/>
        <v/>
      </c>
      <c r="J69" s="36">
        <f t="shared" si="5"/>
        <v>-1</v>
      </c>
      <c r="K69" s="35">
        <f t="shared" si="2"/>
        <v>-10</v>
      </c>
      <c r="L69" s="35"/>
      <c r="M69" s="37">
        <f t="shared" si="3"/>
        <v>0</v>
      </c>
    </row>
    <row r="70" spans="1:13" x14ac:dyDescent="0.25">
      <c r="A70" s="76"/>
      <c r="G70" s="13"/>
      <c r="H70" s="35">
        <v>65</v>
      </c>
      <c r="I70" s="36" t="str">
        <f t="shared" ref="I70:I133" si="7">IF(H70&lt;$H$2+1,($I$2-($I$2-1)*(LOG(H70)/LOG($H$2))),"")</f>
        <v/>
      </c>
      <c r="J70" s="36">
        <f t="shared" si="5"/>
        <v>-2</v>
      </c>
      <c r="K70" s="35">
        <f t="shared" ref="K70:K133" si="8">J70*$J$2</f>
        <v>-20</v>
      </c>
      <c r="L70" s="35"/>
      <c r="M70" s="37">
        <f t="shared" ref="M70:M133" si="9">IF(I70&lt;&gt;"",K70+I70+L70,0)</f>
        <v>0</v>
      </c>
    </row>
    <row r="71" spans="1:13" x14ac:dyDescent="0.25">
      <c r="A71" s="77"/>
      <c r="G71" s="13"/>
      <c r="H71" s="35">
        <v>66</v>
      </c>
      <c r="I71" s="36" t="str">
        <f t="shared" si="7"/>
        <v/>
      </c>
      <c r="J71" s="36">
        <f t="shared" ref="J71:J134" si="10">INT(LOG($H$2,2))-ROUNDUP(LOG(H71,2),0)+IF(OR($H$2=1,$H$2=2,$H$2=4,$H$2=8,$H$2=16,$H$2=32,$H$2=64,$H$2=128,$H$2=256),0,1)</f>
        <v>-2</v>
      </c>
      <c r="K71" s="35">
        <f t="shared" si="8"/>
        <v>-20</v>
      </c>
      <c r="L71" s="35"/>
      <c r="M71" s="37">
        <f t="shared" si="9"/>
        <v>0</v>
      </c>
    </row>
    <row r="72" spans="1:13" x14ac:dyDescent="0.25">
      <c r="A72" s="76"/>
      <c r="G72" s="13"/>
      <c r="H72" s="35">
        <v>67</v>
      </c>
      <c r="I72" s="36" t="str">
        <f t="shared" si="7"/>
        <v/>
      </c>
      <c r="J72" s="36">
        <f t="shared" si="10"/>
        <v>-2</v>
      </c>
      <c r="K72" s="35">
        <f t="shared" si="8"/>
        <v>-20</v>
      </c>
      <c r="L72" s="35"/>
      <c r="M72" s="37">
        <f t="shared" si="9"/>
        <v>0</v>
      </c>
    </row>
    <row r="73" spans="1:13" x14ac:dyDescent="0.25">
      <c r="A73" s="77"/>
      <c r="G73" s="13"/>
      <c r="H73" s="35">
        <v>68</v>
      </c>
      <c r="I73" s="36" t="str">
        <f t="shared" si="7"/>
        <v/>
      </c>
      <c r="J73" s="36">
        <f t="shared" si="10"/>
        <v>-2</v>
      </c>
      <c r="K73" s="35">
        <f t="shared" si="8"/>
        <v>-20</v>
      </c>
      <c r="L73" s="35"/>
      <c r="M73" s="37">
        <f t="shared" si="9"/>
        <v>0</v>
      </c>
    </row>
    <row r="74" spans="1:13" x14ac:dyDescent="0.25">
      <c r="A74" s="76"/>
      <c r="G74" s="13"/>
      <c r="H74" s="35">
        <v>69</v>
      </c>
      <c r="I74" s="36" t="str">
        <f t="shared" si="7"/>
        <v/>
      </c>
      <c r="J74" s="36">
        <f t="shared" si="10"/>
        <v>-2</v>
      </c>
      <c r="K74" s="35">
        <f t="shared" si="8"/>
        <v>-20</v>
      </c>
      <c r="L74" s="35"/>
      <c r="M74" s="37">
        <f t="shared" si="9"/>
        <v>0</v>
      </c>
    </row>
    <row r="75" spans="1:13" x14ac:dyDescent="0.25">
      <c r="A75" s="77"/>
      <c r="G75" s="13"/>
      <c r="H75" s="35">
        <v>70</v>
      </c>
      <c r="I75" s="36" t="str">
        <f t="shared" si="7"/>
        <v/>
      </c>
      <c r="J75" s="36">
        <f t="shared" si="10"/>
        <v>-2</v>
      </c>
      <c r="K75" s="35">
        <f t="shared" si="8"/>
        <v>-20</v>
      </c>
      <c r="L75" s="35"/>
      <c r="M75" s="37">
        <f t="shared" si="9"/>
        <v>0</v>
      </c>
    </row>
    <row r="76" spans="1:13" x14ac:dyDescent="0.25">
      <c r="A76" s="76"/>
      <c r="G76" s="13"/>
      <c r="H76" s="35">
        <v>71</v>
      </c>
      <c r="I76" s="36" t="str">
        <f t="shared" si="7"/>
        <v/>
      </c>
      <c r="J76" s="36">
        <f t="shared" si="10"/>
        <v>-2</v>
      </c>
      <c r="K76" s="35">
        <f t="shared" si="8"/>
        <v>-20</v>
      </c>
      <c r="L76" s="35"/>
      <c r="M76" s="37">
        <f t="shared" si="9"/>
        <v>0</v>
      </c>
    </row>
    <row r="77" spans="1:13" x14ac:dyDescent="0.25">
      <c r="A77" s="77"/>
      <c r="G77" s="13"/>
      <c r="H77" s="35">
        <v>72</v>
      </c>
      <c r="I77" s="36" t="str">
        <f t="shared" si="7"/>
        <v/>
      </c>
      <c r="J77" s="36">
        <f t="shared" si="10"/>
        <v>-2</v>
      </c>
      <c r="K77" s="35">
        <f t="shared" si="8"/>
        <v>-20</v>
      </c>
      <c r="L77" s="35"/>
      <c r="M77" s="37">
        <f t="shared" si="9"/>
        <v>0</v>
      </c>
    </row>
    <row r="78" spans="1:13" x14ac:dyDescent="0.25">
      <c r="A78" s="76"/>
      <c r="G78" s="13"/>
      <c r="H78" s="35">
        <v>73</v>
      </c>
      <c r="I78" s="36" t="str">
        <f t="shared" si="7"/>
        <v/>
      </c>
      <c r="J78" s="36">
        <f t="shared" si="10"/>
        <v>-2</v>
      </c>
      <c r="K78" s="35">
        <f t="shared" si="8"/>
        <v>-20</v>
      </c>
      <c r="L78" s="35"/>
      <c r="M78" s="37">
        <f t="shared" si="9"/>
        <v>0</v>
      </c>
    </row>
    <row r="79" spans="1:13" x14ac:dyDescent="0.25">
      <c r="A79" s="77"/>
      <c r="G79" s="13"/>
      <c r="H79" s="35">
        <v>74</v>
      </c>
      <c r="I79" s="36" t="str">
        <f t="shared" si="7"/>
        <v/>
      </c>
      <c r="J79" s="36">
        <f t="shared" si="10"/>
        <v>-2</v>
      </c>
      <c r="K79" s="35">
        <f t="shared" si="8"/>
        <v>-20</v>
      </c>
      <c r="L79" s="35"/>
      <c r="M79" s="37">
        <f t="shared" si="9"/>
        <v>0</v>
      </c>
    </row>
    <row r="80" spans="1:13" x14ac:dyDescent="0.25">
      <c r="A80" s="76"/>
      <c r="G80" s="13"/>
      <c r="H80" s="35">
        <v>75</v>
      </c>
      <c r="I80" s="36" t="str">
        <f t="shared" si="7"/>
        <v/>
      </c>
      <c r="J80" s="36">
        <f t="shared" si="10"/>
        <v>-2</v>
      </c>
      <c r="K80" s="35">
        <f t="shared" si="8"/>
        <v>-20</v>
      </c>
      <c r="L80" s="35"/>
      <c r="M80" s="37">
        <f t="shared" si="9"/>
        <v>0</v>
      </c>
    </row>
    <row r="81" spans="1:13" x14ac:dyDescent="0.25">
      <c r="A81" s="77"/>
      <c r="G81" s="13"/>
      <c r="H81" s="35">
        <v>76</v>
      </c>
      <c r="I81" s="36" t="str">
        <f t="shared" si="7"/>
        <v/>
      </c>
      <c r="J81" s="36">
        <f t="shared" si="10"/>
        <v>-2</v>
      </c>
      <c r="K81" s="35">
        <f t="shared" si="8"/>
        <v>-20</v>
      </c>
      <c r="L81" s="35"/>
      <c r="M81" s="37">
        <f t="shared" si="9"/>
        <v>0</v>
      </c>
    </row>
    <row r="82" spans="1:13" x14ac:dyDescent="0.25">
      <c r="A82" s="76"/>
      <c r="G82" s="13"/>
      <c r="H82" s="35">
        <v>77</v>
      </c>
      <c r="I82" s="36" t="str">
        <f t="shared" si="7"/>
        <v/>
      </c>
      <c r="J82" s="36">
        <f t="shared" si="10"/>
        <v>-2</v>
      </c>
      <c r="K82" s="35">
        <f t="shared" si="8"/>
        <v>-20</v>
      </c>
      <c r="L82" s="35"/>
      <c r="M82" s="37">
        <f t="shared" si="9"/>
        <v>0</v>
      </c>
    </row>
    <row r="83" spans="1:13" x14ac:dyDescent="0.25">
      <c r="A83" s="77"/>
      <c r="G83" s="13"/>
      <c r="H83" s="35">
        <v>78</v>
      </c>
      <c r="I83" s="36" t="str">
        <f t="shared" si="7"/>
        <v/>
      </c>
      <c r="J83" s="36">
        <f t="shared" si="10"/>
        <v>-2</v>
      </c>
      <c r="K83" s="35">
        <f t="shared" si="8"/>
        <v>-20</v>
      </c>
      <c r="L83" s="35"/>
      <c r="M83" s="37">
        <f t="shared" si="9"/>
        <v>0</v>
      </c>
    </row>
    <row r="84" spans="1:13" x14ac:dyDescent="0.25">
      <c r="A84" s="76"/>
      <c r="G84" s="13"/>
      <c r="H84" s="35">
        <v>79</v>
      </c>
      <c r="I84" s="36" t="str">
        <f t="shared" si="7"/>
        <v/>
      </c>
      <c r="J84" s="36">
        <f t="shared" si="10"/>
        <v>-2</v>
      </c>
      <c r="K84" s="35">
        <f t="shared" si="8"/>
        <v>-20</v>
      </c>
      <c r="L84" s="35"/>
      <c r="M84" s="37">
        <f t="shared" si="9"/>
        <v>0</v>
      </c>
    </row>
    <row r="85" spans="1:13" x14ac:dyDescent="0.25">
      <c r="A85" s="77"/>
      <c r="G85" s="13"/>
      <c r="H85" s="35">
        <v>80</v>
      </c>
      <c r="I85" s="36" t="str">
        <f t="shared" si="7"/>
        <v/>
      </c>
      <c r="J85" s="36">
        <f t="shared" si="10"/>
        <v>-2</v>
      </c>
      <c r="K85" s="35">
        <f t="shared" si="8"/>
        <v>-20</v>
      </c>
      <c r="L85" s="35"/>
      <c r="M85" s="37">
        <f t="shared" si="9"/>
        <v>0</v>
      </c>
    </row>
    <row r="86" spans="1:13" x14ac:dyDescent="0.25">
      <c r="A86" s="76"/>
      <c r="G86" s="13"/>
      <c r="H86" s="35">
        <v>81</v>
      </c>
      <c r="I86" s="36" t="str">
        <f t="shared" si="7"/>
        <v/>
      </c>
      <c r="J86" s="36">
        <f t="shared" si="10"/>
        <v>-2</v>
      </c>
      <c r="K86" s="35">
        <f t="shared" si="8"/>
        <v>-20</v>
      </c>
      <c r="L86" s="35"/>
      <c r="M86" s="37">
        <f t="shared" si="9"/>
        <v>0</v>
      </c>
    </row>
    <row r="87" spans="1:13" x14ac:dyDescent="0.25">
      <c r="A87" s="77"/>
      <c r="G87" s="13"/>
      <c r="H87" s="35">
        <v>82</v>
      </c>
      <c r="I87" s="36" t="str">
        <f t="shared" si="7"/>
        <v/>
      </c>
      <c r="J87" s="36">
        <f t="shared" si="10"/>
        <v>-2</v>
      </c>
      <c r="K87" s="35">
        <f t="shared" si="8"/>
        <v>-20</v>
      </c>
      <c r="L87" s="35"/>
      <c r="M87" s="37">
        <f t="shared" si="9"/>
        <v>0</v>
      </c>
    </row>
    <row r="88" spans="1:13" x14ac:dyDescent="0.25">
      <c r="A88" s="76"/>
      <c r="G88" s="13"/>
      <c r="H88" s="35">
        <v>83</v>
      </c>
      <c r="I88" s="36" t="str">
        <f t="shared" si="7"/>
        <v/>
      </c>
      <c r="J88" s="36">
        <f t="shared" si="10"/>
        <v>-2</v>
      </c>
      <c r="K88" s="35">
        <f t="shared" si="8"/>
        <v>-20</v>
      </c>
      <c r="L88" s="35"/>
      <c r="M88" s="37">
        <f t="shared" si="9"/>
        <v>0</v>
      </c>
    </row>
    <row r="89" spans="1:13" x14ac:dyDescent="0.25">
      <c r="A89" s="77"/>
      <c r="G89" s="13"/>
      <c r="H89" s="35">
        <v>84</v>
      </c>
      <c r="I89" s="36" t="str">
        <f t="shared" si="7"/>
        <v/>
      </c>
      <c r="J89" s="36">
        <f t="shared" si="10"/>
        <v>-2</v>
      </c>
      <c r="K89" s="35">
        <f t="shared" si="8"/>
        <v>-20</v>
      </c>
      <c r="L89" s="35"/>
      <c r="M89" s="37">
        <f t="shared" si="9"/>
        <v>0</v>
      </c>
    </row>
    <row r="90" spans="1:13" x14ac:dyDescent="0.25">
      <c r="A90" s="76"/>
      <c r="G90" s="13"/>
      <c r="H90" s="35">
        <v>85</v>
      </c>
      <c r="I90" s="36" t="str">
        <f t="shared" si="7"/>
        <v/>
      </c>
      <c r="J90" s="36">
        <f t="shared" si="10"/>
        <v>-2</v>
      </c>
      <c r="K90" s="35">
        <f t="shared" si="8"/>
        <v>-20</v>
      </c>
      <c r="L90" s="35"/>
      <c r="M90" s="37">
        <f t="shared" si="9"/>
        <v>0</v>
      </c>
    </row>
    <row r="91" spans="1:13" x14ac:dyDescent="0.25">
      <c r="A91" s="77"/>
      <c r="G91" s="13"/>
      <c r="H91" s="35">
        <v>86</v>
      </c>
      <c r="I91" s="36" t="str">
        <f t="shared" si="7"/>
        <v/>
      </c>
      <c r="J91" s="36">
        <f t="shared" si="10"/>
        <v>-2</v>
      </c>
      <c r="K91" s="35">
        <f t="shared" si="8"/>
        <v>-20</v>
      </c>
      <c r="L91" s="35"/>
      <c r="M91" s="37">
        <f t="shared" si="9"/>
        <v>0</v>
      </c>
    </row>
    <row r="92" spans="1:13" x14ac:dyDescent="0.25">
      <c r="A92" s="76"/>
      <c r="G92" s="13"/>
      <c r="H92" s="35">
        <v>87</v>
      </c>
      <c r="I92" s="36" t="str">
        <f t="shared" si="7"/>
        <v/>
      </c>
      <c r="J92" s="36">
        <f t="shared" si="10"/>
        <v>-2</v>
      </c>
      <c r="K92" s="35">
        <f t="shared" si="8"/>
        <v>-20</v>
      </c>
      <c r="L92" s="35"/>
      <c r="M92" s="37">
        <f t="shared" si="9"/>
        <v>0</v>
      </c>
    </row>
    <row r="93" spans="1:13" x14ac:dyDescent="0.25">
      <c r="A93" s="77"/>
      <c r="G93" s="13"/>
      <c r="H93" s="35">
        <v>88</v>
      </c>
      <c r="I93" s="36" t="str">
        <f t="shared" si="7"/>
        <v/>
      </c>
      <c r="J93" s="36">
        <f t="shared" si="10"/>
        <v>-2</v>
      </c>
      <c r="K93" s="35">
        <f t="shared" si="8"/>
        <v>-20</v>
      </c>
      <c r="L93" s="35"/>
      <c r="M93" s="37">
        <f t="shared" si="9"/>
        <v>0</v>
      </c>
    </row>
    <row r="94" spans="1:13" x14ac:dyDescent="0.25">
      <c r="A94" s="76"/>
      <c r="G94" s="13"/>
      <c r="H94" s="35">
        <v>89</v>
      </c>
      <c r="I94" s="36" t="str">
        <f t="shared" si="7"/>
        <v/>
      </c>
      <c r="J94" s="36">
        <f t="shared" si="10"/>
        <v>-2</v>
      </c>
      <c r="K94" s="35">
        <f t="shared" si="8"/>
        <v>-20</v>
      </c>
      <c r="L94" s="35"/>
      <c r="M94" s="37">
        <f t="shared" si="9"/>
        <v>0</v>
      </c>
    </row>
    <row r="95" spans="1:13" x14ac:dyDescent="0.25">
      <c r="A95" s="77"/>
      <c r="G95" s="13"/>
      <c r="H95" s="35">
        <v>90</v>
      </c>
      <c r="I95" s="36" t="str">
        <f t="shared" si="7"/>
        <v/>
      </c>
      <c r="J95" s="36">
        <f t="shared" si="10"/>
        <v>-2</v>
      </c>
      <c r="K95" s="35">
        <f t="shared" si="8"/>
        <v>-20</v>
      </c>
      <c r="L95" s="35"/>
      <c r="M95" s="37">
        <f t="shared" si="9"/>
        <v>0</v>
      </c>
    </row>
    <row r="96" spans="1:13" x14ac:dyDescent="0.25">
      <c r="A96" s="76"/>
      <c r="G96" s="13"/>
      <c r="H96" s="35">
        <v>91</v>
      </c>
      <c r="I96" s="36" t="str">
        <f t="shared" si="7"/>
        <v/>
      </c>
      <c r="J96" s="36">
        <f t="shared" si="10"/>
        <v>-2</v>
      </c>
      <c r="K96" s="35">
        <f t="shared" si="8"/>
        <v>-20</v>
      </c>
      <c r="L96" s="35"/>
      <c r="M96" s="37">
        <f t="shared" si="9"/>
        <v>0</v>
      </c>
    </row>
    <row r="97" spans="1:13" x14ac:dyDescent="0.25">
      <c r="A97" s="77"/>
      <c r="G97" s="13"/>
      <c r="H97" s="35">
        <v>92</v>
      </c>
      <c r="I97" s="36" t="str">
        <f t="shared" si="7"/>
        <v/>
      </c>
      <c r="J97" s="36">
        <f t="shared" si="10"/>
        <v>-2</v>
      </c>
      <c r="K97" s="35">
        <f t="shared" si="8"/>
        <v>-20</v>
      </c>
      <c r="L97" s="35"/>
      <c r="M97" s="37">
        <f t="shared" si="9"/>
        <v>0</v>
      </c>
    </row>
    <row r="98" spans="1:13" x14ac:dyDescent="0.25">
      <c r="A98" s="76"/>
      <c r="G98" s="13"/>
      <c r="H98" s="35">
        <v>93</v>
      </c>
      <c r="I98" s="36" t="str">
        <f t="shared" si="7"/>
        <v/>
      </c>
      <c r="J98" s="36">
        <f t="shared" si="10"/>
        <v>-2</v>
      </c>
      <c r="K98" s="35">
        <f t="shared" si="8"/>
        <v>-20</v>
      </c>
      <c r="L98" s="35"/>
      <c r="M98" s="37">
        <f t="shared" si="9"/>
        <v>0</v>
      </c>
    </row>
    <row r="99" spans="1:13" x14ac:dyDescent="0.25">
      <c r="A99" s="77"/>
      <c r="G99" s="13"/>
      <c r="H99" s="35">
        <v>94</v>
      </c>
      <c r="I99" s="36" t="str">
        <f t="shared" si="7"/>
        <v/>
      </c>
      <c r="J99" s="36">
        <f t="shared" si="10"/>
        <v>-2</v>
      </c>
      <c r="K99" s="35">
        <f t="shared" si="8"/>
        <v>-20</v>
      </c>
      <c r="L99" s="35"/>
      <c r="M99" s="37">
        <f t="shared" si="9"/>
        <v>0</v>
      </c>
    </row>
    <row r="100" spans="1:13" x14ac:dyDescent="0.25">
      <c r="A100" s="76"/>
      <c r="G100" s="13"/>
      <c r="H100" s="35">
        <v>95</v>
      </c>
      <c r="I100" s="36" t="str">
        <f t="shared" si="7"/>
        <v/>
      </c>
      <c r="J100" s="36">
        <f t="shared" si="10"/>
        <v>-2</v>
      </c>
      <c r="K100" s="35">
        <f t="shared" si="8"/>
        <v>-20</v>
      </c>
      <c r="L100" s="35"/>
      <c r="M100" s="37">
        <f t="shared" si="9"/>
        <v>0</v>
      </c>
    </row>
    <row r="101" spans="1:13" x14ac:dyDescent="0.25">
      <c r="A101" s="77"/>
      <c r="G101" s="13"/>
      <c r="H101" s="35">
        <v>96</v>
      </c>
      <c r="I101" s="36" t="str">
        <f t="shared" si="7"/>
        <v/>
      </c>
      <c r="J101" s="36">
        <f t="shared" si="10"/>
        <v>-2</v>
      </c>
      <c r="K101" s="35">
        <f t="shared" si="8"/>
        <v>-20</v>
      </c>
      <c r="L101" s="35"/>
      <c r="M101" s="37">
        <f t="shared" si="9"/>
        <v>0</v>
      </c>
    </row>
    <row r="102" spans="1:13" x14ac:dyDescent="0.25">
      <c r="A102" s="76"/>
      <c r="G102" s="13"/>
      <c r="H102" s="35">
        <v>97</v>
      </c>
      <c r="I102" s="36" t="str">
        <f t="shared" si="7"/>
        <v/>
      </c>
      <c r="J102" s="36">
        <f t="shared" si="10"/>
        <v>-2</v>
      </c>
      <c r="K102" s="35">
        <f t="shared" si="8"/>
        <v>-20</v>
      </c>
      <c r="L102" s="35"/>
      <c r="M102" s="37">
        <f t="shared" si="9"/>
        <v>0</v>
      </c>
    </row>
    <row r="103" spans="1:13" x14ac:dyDescent="0.25">
      <c r="A103" s="77"/>
      <c r="G103" s="13"/>
      <c r="H103" s="35">
        <v>98</v>
      </c>
      <c r="I103" s="36" t="str">
        <f t="shared" si="7"/>
        <v/>
      </c>
      <c r="J103" s="36">
        <f t="shared" si="10"/>
        <v>-2</v>
      </c>
      <c r="K103" s="35">
        <f t="shared" si="8"/>
        <v>-20</v>
      </c>
      <c r="L103" s="35"/>
      <c r="M103" s="37">
        <f t="shared" si="9"/>
        <v>0</v>
      </c>
    </row>
    <row r="104" spans="1:13" x14ac:dyDescent="0.25">
      <c r="A104" s="76"/>
      <c r="G104" s="13"/>
      <c r="H104" s="35">
        <v>99</v>
      </c>
      <c r="I104" s="36" t="str">
        <f t="shared" si="7"/>
        <v/>
      </c>
      <c r="J104" s="36">
        <f t="shared" si="10"/>
        <v>-2</v>
      </c>
      <c r="K104" s="35">
        <f t="shared" si="8"/>
        <v>-20</v>
      </c>
      <c r="L104" s="35"/>
      <c r="M104" s="37">
        <f t="shared" si="9"/>
        <v>0</v>
      </c>
    </row>
    <row r="105" spans="1:13" x14ac:dyDescent="0.25">
      <c r="A105" s="77"/>
      <c r="G105" s="13"/>
      <c r="H105" s="35">
        <v>100</v>
      </c>
      <c r="I105" s="36" t="str">
        <f t="shared" si="7"/>
        <v/>
      </c>
      <c r="J105" s="36">
        <f t="shared" si="10"/>
        <v>-2</v>
      </c>
      <c r="K105" s="35">
        <f t="shared" si="8"/>
        <v>-20</v>
      </c>
      <c r="L105" s="35"/>
      <c r="M105" s="37">
        <f t="shared" si="9"/>
        <v>0</v>
      </c>
    </row>
    <row r="106" spans="1:13" x14ac:dyDescent="0.25">
      <c r="A106" s="76"/>
      <c r="G106" s="13"/>
      <c r="H106" s="35">
        <v>101</v>
      </c>
      <c r="I106" s="36" t="str">
        <f t="shared" si="7"/>
        <v/>
      </c>
      <c r="J106" s="36">
        <f t="shared" si="10"/>
        <v>-2</v>
      </c>
      <c r="K106" s="35">
        <f t="shared" si="8"/>
        <v>-20</v>
      </c>
      <c r="L106" s="35"/>
      <c r="M106" s="37">
        <f t="shared" si="9"/>
        <v>0</v>
      </c>
    </row>
    <row r="107" spans="1:13" x14ac:dyDescent="0.25">
      <c r="A107" s="77"/>
      <c r="G107" s="13"/>
      <c r="H107" s="35">
        <v>102</v>
      </c>
      <c r="I107" s="36" t="str">
        <f t="shared" si="7"/>
        <v/>
      </c>
      <c r="J107" s="36">
        <f t="shared" si="10"/>
        <v>-2</v>
      </c>
      <c r="K107" s="35">
        <f t="shared" si="8"/>
        <v>-20</v>
      </c>
      <c r="L107" s="35"/>
      <c r="M107" s="37">
        <f t="shared" si="9"/>
        <v>0</v>
      </c>
    </row>
    <row r="108" spans="1:13" x14ac:dyDescent="0.25">
      <c r="A108" s="76"/>
      <c r="G108" s="13"/>
      <c r="H108" s="35">
        <v>103</v>
      </c>
      <c r="I108" s="36" t="str">
        <f t="shared" si="7"/>
        <v/>
      </c>
      <c r="J108" s="36">
        <f t="shared" si="10"/>
        <v>-2</v>
      </c>
      <c r="K108" s="35">
        <f t="shared" si="8"/>
        <v>-20</v>
      </c>
      <c r="L108" s="35"/>
      <c r="M108" s="37">
        <f t="shared" si="9"/>
        <v>0</v>
      </c>
    </row>
    <row r="109" spans="1:13" x14ac:dyDescent="0.25">
      <c r="A109" s="77"/>
      <c r="G109" s="13"/>
      <c r="H109" s="35">
        <v>104</v>
      </c>
      <c r="I109" s="36" t="str">
        <f t="shared" si="7"/>
        <v/>
      </c>
      <c r="J109" s="36">
        <f t="shared" si="10"/>
        <v>-2</v>
      </c>
      <c r="K109" s="35">
        <f t="shared" si="8"/>
        <v>-20</v>
      </c>
      <c r="L109" s="35"/>
      <c r="M109" s="37">
        <f t="shared" si="9"/>
        <v>0</v>
      </c>
    </row>
    <row r="110" spans="1:13" x14ac:dyDescent="0.25">
      <c r="A110" s="76"/>
      <c r="G110" s="13"/>
      <c r="H110" s="35">
        <v>105</v>
      </c>
      <c r="I110" s="36" t="str">
        <f t="shared" si="7"/>
        <v/>
      </c>
      <c r="J110" s="36">
        <f t="shared" si="10"/>
        <v>-2</v>
      </c>
      <c r="K110" s="35">
        <f t="shared" si="8"/>
        <v>-20</v>
      </c>
      <c r="L110" s="35"/>
      <c r="M110" s="37">
        <f t="shared" si="9"/>
        <v>0</v>
      </c>
    </row>
    <row r="111" spans="1:13" x14ac:dyDescent="0.25">
      <c r="A111" s="77"/>
      <c r="G111" s="13"/>
      <c r="H111" s="35">
        <v>106</v>
      </c>
      <c r="I111" s="36" t="str">
        <f t="shared" si="7"/>
        <v/>
      </c>
      <c r="J111" s="36">
        <f t="shared" si="10"/>
        <v>-2</v>
      </c>
      <c r="K111" s="35">
        <f t="shared" si="8"/>
        <v>-20</v>
      </c>
      <c r="L111" s="35"/>
      <c r="M111" s="37">
        <f t="shared" si="9"/>
        <v>0</v>
      </c>
    </row>
    <row r="112" spans="1:13" x14ac:dyDescent="0.25">
      <c r="A112" s="76"/>
      <c r="G112" s="13"/>
      <c r="H112" s="35">
        <v>107</v>
      </c>
      <c r="I112" s="36" t="str">
        <f t="shared" si="7"/>
        <v/>
      </c>
      <c r="J112" s="36">
        <f t="shared" si="10"/>
        <v>-2</v>
      </c>
      <c r="K112" s="35">
        <f t="shared" si="8"/>
        <v>-20</v>
      </c>
      <c r="L112" s="35"/>
      <c r="M112" s="37">
        <f t="shared" si="9"/>
        <v>0</v>
      </c>
    </row>
    <row r="113" spans="1:13" x14ac:dyDescent="0.25">
      <c r="A113" s="77"/>
      <c r="G113" s="13"/>
      <c r="H113" s="35">
        <v>108</v>
      </c>
      <c r="I113" s="36" t="str">
        <f t="shared" si="7"/>
        <v/>
      </c>
      <c r="J113" s="36">
        <f t="shared" si="10"/>
        <v>-2</v>
      </c>
      <c r="K113" s="35">
        <f t="shared" si="8"/>
        <v>-20</v>
      </c>
      <c r="L113" s="35"/>
      <c r="M113" s="37">
        <f t="shared" si="9"/>
        <v>0</v>
      </c>
    </row>
    <row r="114" spans="1:13" x14ac:dyDescent="0.25">
      <c r="A114" s="76"/>
      <c r="G114" s="13"/>
      <c r="H114" s="35">
        <v>109</v>
      </c>
      <c r="I114" s="36" t="str">
        <f t="shared" si="7"/>
        <v/>
      </c>
      <c r="J114" s="36">
        <f t="shared" si="10"/>
        <v>-2</v>
      </c>
      <c r="K114" s="35">
        <f t="shared" si="8"/>
        <v>-20</v>
      </c>
      <c r="L114" s="35"/>
      <c r="M114" s="37">
        <f t="shared" si="9"/>
        <v>0</v>
      </c>
    </row>
    <row r="115" spans="1:13" x14ac:dyDescent="0.25">
      <c r="A115" s="77"/>
      <c r="G115" s="13"/>
      <c r="H115" s="35">
        <v>110</v>
      </c>
      <c r="I115" s="36" t="str">
        <f t="shared" si="7"/>
        <v/>
      </c>
      <c r="J115" s="36">
        <f t="shared" si="10"/>
        <v>-2</v>
      </c>
      <c r="K115" s="35">
        <f t="shared" si="8"/>
        <v>-20</v>
      </c>
      <c r="L115" s="35"/>
      <c r="M115" s="37">
        <f t="shared" si="9"/>
        <v>0</v>
      </c>
    </row>
    <row r="116" spans="1:13" x14ac:dyDescent="0.25">
      <c r="A116" s="76"/>
      <c r="G116" s="13"/>
      <c r="H116" s="35">
        <v>111</v>
      </c>
      <c r="I116" s="36" t="str">
        <f t="shared" si="7"/>
        <v/>
      </c>
      <c r="J116" s="36">
        <f t="shared" si="10"/>
        <v>-2</v>
      </c>
      <c r="K116" s="35">
        <f t="shared" si="8"/>
        <v>-20</v>
      </c>
      <c r="L116" s="35"/>
      <c r="M116" s="37">
        <f t="shared" si="9"/>
        <v>0</v>
      </c>
    </row>
    <row r="117" spans="1:13" x14ac:dyDescent="0.25">
      <c r="A117" s="77"/>
      <c r="G117" s="13"/>
      <c r="H117" s="35">
        <v>112</v>
      </c>
      <c r="I117" s="36" t="str">
        <f t="shared" si="7"/>
        <v/>
      </c>
      <c r="J117" s="36">
        <f t="shared" si="10"/>
        <v>-2</v>
      </c>
      <c r="K117" s="35">
        <f t="shared" si="8"/>
        <v>-20</v>
      </c>
      <c r="L117" s="35"/>
      <c r="M117" s="37">
        <f t="shared" si="9"/>
        <v>0</v>
      </c>
    </row>
    <row r="118" spans="1:13" x14ac:dyDescent="0.25">
      <c r="A118" s="76"/>
      <c r="G118" s="13"/>
      <c r="H118" s="35">
        <v>113</v>
      </c>
      <c r="I118" s="36" t="str">
        <f t="shared" si="7"/>
        <v/>
      </c>
      <c r="J118" s="36">
        <f t="shared" si="10"/>
        <v>-2</v>
      </c>
      <c r="K118" s="35">
        <f t="shared" si="8"/>
        <v>-20</v>
      </c>
      <c r="L118" s="35"/>
      <c r="M118" s="37">
        <f t="shared" si="9"/>
        <v>0</v>
      </c>
    </row>
    <row r="119" spans="1:13" x14ac:dyDescent="0.25">
      <c r="A119" s="77"/>
      <c r="G119" s="13"/>
      <c r="H119" s="35">
        <v>114</v>
      </c>
      <c r="I119" s="36" t="str">
        <f t="shared" si="7"/>
        <v/>
      </c>
      <c r="J119" s="36">
        <f t="shared" si="10"/>
        <v>-2</v>
      </c>
      <c r="K119" s="35">
        <f t="shared" si="8"/>
        <v>-20</v>
      </c>
      <c r="L119" s="35"/>
      <c r="M119" s="37">
        <f t="shared" si="9"/>
        <v>0</v>
      </c>
    </row>
    <row r="120" spans="1:13" x14ac:dyDescent="0.25">
      <c r="A120" s="76"/>
      <c r="G120" s="13"/>
      <c r="H120" s="35">
        <v>115</v>
      </c>
      <c r="I120" s="36" t="str">
        <f t="shared" si="7"/>
        <v/>
      </c>
      <c r="J120" s="36">
        <f t="shared" si="10"/>
        <v>-2</v>
      </c>
      <c r="K120" s="35">
        <f t="shared" si="8"/>
        <v>-20</v>
      </c>
      <c r="L120" s="35"/>
      <c r="M120" s="37">
        <f t="shared" si="9"/>
        <v>0</v>
      </c>
    </row>
    <row r="121" spans="1:13" x14ac:dyDescent="0.25">
      <c r="A121" s="77"/>
      <c r="G121" s="13"/>
      <c r="H121" s="35">
        <v>116</v>
      </c>
      <c r="I121" s="36" t="str">
        <f t="shared" si="7"/>
        <v/>
      </c>
      <c r="J121" s="36">
        <f t="shared" si="10"/>
        <v>-2</v>
      </c>
      <c r="K121" s="35">
        <f t="shared" si="8"/>
        <v>-20</v>
      </c>
      <c r="L121" s="35"/>
      <c r="M121" s="37">
        <f t="shared" si="9"/>
        <v>0</v>
      </c>
    </row>
    <row r="122" spans="1:13" x14ac:dyDescent="0.25">
      <c r="A122" s="76"/>
      <c r="G122" s="13"/>
      <c r="H122" s="35">
        <v>117</v>
      </c>
      <c r="I122" s="36" t="str">
        <f t="shared" si="7"/>
        <v/>
      </c>
      <c r="J122" s="36">
        <f t="shared" si="10"/>
        <v>-2</v>
      </c>
      <c r="K122" s="35">
        <f t="shared" si="8"/>
        <v>-20</v>
      </c>
      <c r="L122" s="35"/>
      <c r="M122" s="37">
        <f t="shared" si="9"/>
        <v>0</v>
      </c>
    </row>
    <row r="123" spans="1:13" x14ac:dyDescent="0.25">
      <c r="A123" s="77"/>
      <c r="G123" s="13"/>
      <c r="H123" s="35">
        <v>118</v>
      </c>
      <c r="I123" s="36" t="str">
        <f t="shared" si="7"/>
        <v/>
      </c>
      <c r="J123" s="36">
        <f t="shared" si="10"/>
        <v>-2</v>
      </c>
      <c r="K123" s="35">
        <f t="shared" si="8"/>
        <v>-20</v>
      </c>
      <c r="L123" s="35"/>
      <c r="M123" s="37">
        <f t="shared" si="9"/>
        <v>0</v>
      </c>
    </row>
    <row r="124" spans="1:13" x14ac:dyDescent="0.25">
      <c r="A124" s="76"/>
      <c r="G124" s="13"/>
      <c r="H124" s="35">
        <v>119</v>
      </c>
      <c r="I124" s="36" t="str">
        <f t="shared" si="7"/>
        <v/>
      </c>
      <c r="J124" s="36">
        <f t="shared" si="10"/>
        <v>-2</v>
      </c>
      <c r="K124" s="35">
        <f t="shared" si="8"/>
        <v>-20</v>
      </c>
      <c r="L124" s="35"/>
      <c r="M124" s="37">
        <f t="shared" si="9"/>
        <v>0</v>
      </c>
    </row>
    <row r="125" spans="1:13" x14ac:dyDescent="0.25">
      <c r="A125" s="77"/>
      <c r="G125" s="13"/>
      <c r="H125" s="35">
        <v>120</v>
      </c>
      <c r="I125" s="36" t="str">
        <f t="shared" si="7"/>
        <v/>
      </c>
      <c r="J125" s="36">
        <f t="shared" si="10"/>
        <v>-2</v>
      </c>
      <c r="K125" s="35">
        <f t="shared" si="8"/>
        <v>-20</v>
      </c>
      <c r="L125" s="35"/>
      <c r="M125" s="37">
        <f t="shared" si="9"/>
        <v>0</v>
      </c>
    </row>
    <row r="126" spans="1:13" x14ac:dyDescent="0.25">
      <c r="A126" s="76"/>
      <c r="G126" s="13"/>
      <c r="H126" s="35">
        <v>121</v>
      </c>
      <c r="I126" s="36" t="str">
        <f t="shared" si="7"/>
        <v/>
      </c>
      <c r="J126" s="36">
        <f t="shared" si="10"/>
        <v>-2</v>
      </c>
      <c r="K126" s="35">
        <f t="shared" si="8"/>
        <v>-20</v>
      </c>
      <c r="L126" s="35"/>
      <c r="M126" s="37">
        <f t="shared" si="9"/>
        <v>0</v>
      </c>
    </row>
    <row r="127" spans="1:13" x14ac:dyDescent="0.25">
      <c r="A127" s="77"/>
      <c r="G127" s="13"/>
      <c r="H127" s="35">
        <v>122</v>
      </c>
      <c r="I127" s="36" t="str">
        <f t="shared" si="7"/>
        <v/>
      </c>
      <c r="J127" s="36">
        <f t="shared" si="10"/>
        <v>-2</v>
      </c>
      <c r="K127" s="35">
        <f t="shared" si="8"/>
        <v>-20</v>
      </c>
      <c r="L127" s="35"/>
      <c r="M127" s="37">
        <f t="shared" si="9"/>
        <v>0</v>
      </c>
    </row>
    <row r="128" spans="1:13" x14ac:dyDescent="0.25">
      <c r="A128" s="76"/>
      <c r="G128" s="13"/>
      <c r="H128" s="35">
        <v>123</v>
      </c>
      <c r="I128" s="36" t="str">
        <f t="shared" si="7"/>
        <v/>
      </c>
      <c r="J128" s="36">
        <f t="shared" si="10"/>
        <v>-2</v>
      </c>
      <c r="K128" s="35">
        <f t="shared" si="8"/>
        <v>-20</v>
      </c>
      <c r="L128" s="35"/>
      <c r="M128" s="37">
        <f t="shared" si="9"/>
        <v>0</v>
      </c>
    </row>
    <row r="129" spans="1:13" x14ac:dyDescent="0.25">
      <c r="A129" s="77"/>
      <c r="G129" s="13"/>
      <c r="H129" s="35">
        <v>124</v>
      </c>
      <c r="I129" s="36" t="str">
        <f t="shared" si="7"/>
        <v/>
      </c>
      <c r="J129" s="36">
        <f t="shared" si="10"/>
        <v>-2</v>
      </c>
      <c r="K129" s="35">
        <f t="shared" si="8"/>
        <v>-20</v>
      </c>
      <c r="L129" s="35"/>
      <c r="M129" s="37">
        <f t="shared" si="9"/>
        <v>0</v>
      </c>
    </row>
    <row r="130" spans="1:13" x14ac:dyDescent="0.25">
      <c r="A130" s="76"/>
      <c r="G130" s="13"/>
      <c r="H130" s="35">
        <v>125</v>
      </c>
      <c r="I130" s="36" t="str">
        <f t="shared" si="7"/>
        <v/>
      </c>
      <c r="J130" s="36">
        <f t="shared" si="10"/>
        <v>-2</v>
      </c>
      <c r="K130" s="35">
        <f t="shared" si="8"/>
        <v>-20</v>
      </c>
      <c r="L130" s="35"/>
      <c r="M130" s="37">
        <f t="shared" si="9"/>
        <v>0</v>
      </c>
    </row>
    <row r="131" spans="1:13" x14ac:dyDescent="0.25">
      <c r="A131" s="77"/>
      <c r="G131" s="13"/>
      <c r="H131" s="35">
        <v>126</v>
      </c>
      <c r="I131" s="36" t="str">
        <f t="shared" si="7"/>
        <v/>
      </c>
      <c r="J131" s="36">
        <f t="shared" si="10"/>
        <v>-2</v>
      </c>
      <c r="K131" s="35">
        <f t="shared" si="8"/>
        <v>-20</v>
      </c>
      <c r="L131" s="35"/>
      <c r="M131" s="37">
        <f t="shared" si="9"/>
        <v>0</v>
      </c>
    </row>
    <row r="132" spans="1:13" x14ac:dyDescent="0.25">
      <c r="A132" s="76"/>
      <c r="G132" s="13"/>
      <c r="H132" s="35">
        <v>127</v>
      </c>
      <c r="I132" s="36" t="str">
        <f t="shared" si="7"/>
        <v/>
      </c>
      <c r="J132" s="36">
        <f t="shared" si="10"/>
        <v>-2</v>
      </c>
      <c r="K132" s="35">
        <f t="shared" si="8"/>
        <v>-20</v>
      </c>
      <c r="L132" s="35"/>
      <c r="M132" s="37">
        <f t="shared" si="9"/>
        <v>0</v>
      </c>
    </row>
    <row r="133" spans="1:13" x14ac:dyDescent="0.25">
      <c r="A133" s="77"/>
      <c r="G133" s="13"/>
      <c r="H133" s="35">
        <v>128</v>
      </c>
      <c r="I133" s="36" t="str">
        <f t="shared" si="7"/>
        <v/>
      </c>
      <c r="J133" s="36">
        <f t="shared" si="10"/>
        <v>-2</v>
      </c>
      <c r="K133" s="35">
        <f t="shared" si="8"/>
        <v>-20</v>
      </c>
      <c r="L133" s="35"/>
      <c r="M133" s="37">
        <f t="shared" si="9"/>
        <v>0</v>
      </c>
    </row>
    <row r="134" spans="1:13" x14ac:dyDescent="0.25">
      <c r="A134" s="76"/>
      <c r="G134" s="13"/>
      <c r="H134" s="35">
        <v>129</v>
      </c>
      <c r="I134" s="36" t="str">
        <f t="shared" ref="I134:I197" si="11">IF(H134&lt;$H$2+1,($I$2-($I$2-1)*(LOG(H134)/LOG($H$2))),"")</f>
        <v/>
      </c>
      <c r="J134" s="36">
        <f t="shared" si="10"/>
        <v>-3</v>
      </c>
      <c r="K134" s="35">
        <f t="shared" ref="K134:K197" si="12">J134*$J$2</f>
        <v>-30</v>
      </c>
      <c r="L134" s="35"/>
      <c r="M134" s="37">
        <f t="shared" ref="M134:M197" si="13">IF(I134&lt;&gt;"",K134+I134+L134,0)</f>
        <v>0</v>
      </c>
    </row>
    <row r="135" spans="1:13" x14ac:dyDescent="0.25">
      <c r="A135" s="77"/>
      <c r="G135" s="13"/>
      <c r="H135" s="35">
        <v>130</v>
      </c>
      <c r="I135" s="36" t="str">
        <f t="shared" si="11"/>
        <v/>
      </c>
      <c r="J135" s="36">
        <f t="shared" ref="J135:J198" si="14">INT(LOG($H$2,2))-ROUNDUP(LOG(H135,2),0)+IF(OR($H$2=1,$H$2=2,$H$2=4,$H$2=8,$H$2=16,$H$2=32,$H$2=64,$H$2=128,$H$2=256),0,1)</f>
        <v>-3</v>
      </c>
      <c r="K135" s="35">
        <f t="shared" si="12"/>
        <v>-30</v>
      </c>
      <c r="L135" s="35"/>
      <c r="M135" s="37">
        <f t="shared" si="13"/>
        <v>0</v>
      </c>
    </row>
    <row r="136" spans="1:13" x14ac:dyDescent="0.25">
      <c r="A136" s="76"/>
      <c r="G136" s="13"/>
      <c r="H136" s="35">
        <v>131</v>
      </c>
      <c r="I136" s="36" t="str">
        <f t="shared" si="11"/>
        <v/>
      </c>
      <c r="J136" s="36">
        <f t="shared" si="14"/>
        <v>-3</v>
      </c>
      <c r="K136" s="35">
        <f t="shared" si="12"/>
        <v>-30</v>
      </c>
      <c r="L136" s="35"/>
      <c r="M136" s="37">
        <f t="shared" si="13"/>
        <v>0</v>
      </c>
    </row>
    <row r="137" spans="1:13" x14ac:dyDescent="0.25">
      <c r="A137" s="77"/>
      <c r="G137" s="13"/>
      <c r="H137" s="35">
        <v>132</v>
      </c>
      <c r="I137" s="36" t="str">
        <f t="shared" si="11"/>
        <v/>
      </c>
      <c r="J137" s="36">
        <f t="shared" si="14"/>
        <v>-3</v>
      </c>
      <c r="K137" s="35">
        <f t="shared" si="12"/>
        <v>-30</v>
      </c>
      <c r="L137" s="35"/>
      <c r="M137" s="37">
        <f t="shared" si="13"/>
        <v>0</v>
      </c>
    </row>
    <row r="138" spans="1:13" x14ac:dyDescent="0.25">
      <c r="A138" s="76"/>
      <c r="G138" s="13"/>
      <c r="H138" s="35">
        <v>133</v>
      </c>
      <c r="I138" s="36" t="str">
        <f t="shared" si="11"/>
        <v/>
      </c>
      <c r="J138" s="36">
        <f t="shared" si="14"/>
        <v>-3</v>
      </c>
      <c r="K138" s="35">
        <f t="shared" si="12"/>
        <v>-30</v>
      </c>
      <c r="L138" s="35"/>
      <c r="M138" s="37">
        <f t="shared" si="13"/>
        <v>0</v>
      </c>
    </row>
    <row r="139" spans="1:13" x14ac:dyDescent="0.25">
      <c r="A139" s="77"/>
      <c r="G139" s="13"/>
      <c r="H139" s="35">
        <v>134</v>
      </c>
      <c r="I139" s="36" t="str">
        <f t="shared" si="11"/>
        <v/>
      </c>
      <c r="J139" s="36">
        <f t="shared" si="14"/>
        <v>-3</v>
      </c>
      <c r="K139" s="35">
        <f t="shared" si="12"/>
        <v>-30</v>
      </c>
      <c r="L139" s="35"/>
      <c r="M139" s="37">
        <f t="shared" si="13"/>
        <v>0</v>
      </c>
    </row>
    <row r="140" spans="1:13" x14ac:dyDescent="0.25">
      <c r="A140" s="76"/>
      <c r="G140" s="13"/>
      <c r="H140" s="35">
        <v>135</v>
      </c>
      <c r="I140" s="36" t="str">
        <f t="shared" si="11"/>
        <v/>
      </c>
      <c r="J140" s="36">
        <f t="shared" si="14"/>
        <v>-3</v>
      </c>
      <c r="K140" s="35">
        <f t="shared" si="12"/>
        <v>-30</v>
      </c>
      <c r="L140" s="35"/>
      <c r="M140" s="37">
        <f t="shared" si="13"/>
        <v>0</v>
      </c>
    </row>
    <row r="141" spans="1:13" x14ac:dyDescent="0.25">
      <c r="A141" s="77"/>
      <c r="G141" s="13"/>
      <c r="H141" s="35">
        <v>136</v>
      </c>
      <c r="I141" s="36" t="str">
        <f t="shared" si="11"/>
        <v/>
      </c>
      <c r="J141" s="36">
        <f t="shared" si="14"/>
        <v>-3</v>
      </c>
      <c r="K141" s="35">
        <f t="shared" si="12"/>
        <v>-30</v>
      </c>
      <c r="L141" s="35"/>
      <c r="M141" s="37">
        <f t="shared" si="13"/>
        <v>0</v>
      </c>
    </row>
    <row r="142" spans="1:13" x14ac:dyDescent="0.25">
      <c r="A142" s="76"/>
      <c r="G142" s="13"/>
      <c r="H142" s="35">
        <v>137</v>
      </c>
      <c r="I142" s="36" t="str">
        <f t="shared" si="11"/>
        <v/>
      </c>
      <c r="J142" s="36">
        <f t="shared" si="14"/>
        <v>-3</v>
      </c>
      <c r="K142" s="35">
        <f t="shared" si="12"/>
        <v>-30</v>
      </c>
      <c r="L142" s="35"/>
      <c r="M142" s="37">
        <f t="shared" si="13"/>
        <v>0</v>
      </c>
    </row>
    <row r="143" spans="1:13" x14ac:dyDescent="0.25">
      <c r="A143" s="77"/>
      <c r="G143" s="13"/>
      <c r="H143" s="35">
        <v>138</v>
      </c>
      <c r="I143" s="36" t="str">
        <f t="shared" si="11"/>
        <v/>
      </c>
      <c r="J143" s="36">
        <f t="shared" si="14"/>
        <v>-3</v>
      </c>
      <c r="K143" s="35">
        <f t="shared" si="12"/>
        <v>-30</v>
      </c>
      <c r="L143" s="35"/>
      <c r="M143" s="37">
        <f t="shared" si="13"/>
        <v>0</v>
      </c>
    </row>
    <row r="144" spans="1:13" x14ac:dyDescent="0.25">
      <c r="A144" s="76"/>
      <c r="G144" s="13"/>
      <c r="H144" s="35">
        <v>139</v>
      </c>
      <c r="I144" s="36" t="str">
        <f t="shared" si="11"/>
        <v/>
      </c>
      <c r="J144" s="36">
        <f t="shared" si="14"/>
        <v>-3</v>
      </c>
      <c r="K144" s="35">
        <f t="shared" si="12"/>
        <v>-30</v>
      </c>
      <c r="L144" s="35"/>
      <c r="M144" s="37">
        <f t="shared" si="13"/>
        <v>0</v>
      </c>
    </row>
    <row r="145" spans="1:13" x14ac:dyDescent="0.25">
      <c r="A145" s="77"/>
      <c r="G145" s="13"/>
      <c r="H145" s="35">
        <v>140</v>
      </c>
      <c r="I145" s="36" t="str">
        <f t="shared" si="11"/>
        <v/>
      </c>
      <c r="J145" s="36">
        <f t="shared" si="14"/>
        <v>-3</v>
      </c>
      <c r="K145" s="35">
        <f t="shared" si="12"/>
        <v>-30</v>
      </c>
      <c r="L145" s="35"/>
      <c r="M145" s="37">
        <f t="shared" si="13"/>
        <v>0</v>
      </c>
    </row>
    <row r="146" spans="1:13" x14ac:dyDescent="0.25">
      <c r="A146" s="76"/>
      <c r="G146" s="13"/>
      <c r="H146" s="35">
        <v>141</v>
      </c>
      <c r="I146" s="36" t="str">
        <f t="shared" si="11"/>
        <v/>
      </c>
      <c r="J146" s="36">
        <f t="shared" si="14"/>
        <v>-3</v>
      </c>
      <c r="K146" s="35">
        <f t="shared" si="12"/>
        <v>-30</v>
      </c>
      <c r="L146" s="35"/>
      <c r="M146" s="37">
        <f t="shared" si="13"/>
        <v>0</v>
      </c>
    </row>
    <row r="147" spans="1:13" x14ac:dyDescent="0.25">
      <c r="A147" s="77"/>
      <c r="G147" s="13"/>
      <c r="H147" s="35">
        <v>142</v>
      </c>
      <c r="I147" s="36" t="str">
        <f t="shared" si="11"/>
        <v/>
      </c>
      <c r="J147" s="36">
        <f t="shared" si="14"/>
        <v>-3</v>
      </c>
      <c r="K147" s="35">
        <f t="shared" si="12"/>
        <v>-30</v>
      </c>
      <c r="L147" s="35"/>
      <c r="M147" s="37">
        <f t="shared" si="13"/>
        <v>0</v>
      </c>
    </row>
    <row r="148" spans="1:13" x14ac:dyDescent="0.25">
      <c r="A148" s="76"/>
      <c r="G148" s="13"/>
      <c r="H148" s="35">
        <v>143</v>
      </c>
      <c r="I148" s="36" t="str">
        <f t="shared" si="11"/>
        <v/>
      </c>
      <c r="J148" s="36">
        <f t="shared" si="14"/>
        <v>-3</v>
      </c>
      <c r="K148" s="35">
        <f t="shared" si="12"/>
        <v>-30</v>
      </c>
      <c r="L148" s="35"/>
      <c r="M148" s="37">
        <f t="shared" si="13"/>
        <v>0</v>
      </c>
    </row>
    <row r="149" spans="1:13" x14ac:dyDescent="0.25">
      <c r="A149" s="77"/>
      <c r="G149" s="13"/>
      <c r="H149" s="35">
        <v>144</v>
      </c>
      <c r="I149" s="36" t="str">
        <f t="shared" si="11"/>
        <v/>
      </c>
      <c r="J149" s="36">
        <f t="shared" si="14"/>
        <v>-3</v>
      </c>
      <c r="K149" s="35">
        <f t="shared" si="12"/>
        <v>-30</v>
      </c>
      <c r="L149" s="35"/>
      <c r="M149" s="37">
        <f t="shared" si="13"/>
        <v>0</v>
      </c>
    </row>
    <row r="150" spans="1:13" x14ac:dyDescent="0.25">
      <c r="A150" s="76"/>
      <c r="G150" s="13"/>
      <c r="H150" s="35">
        <v>145</v>
      </c>
      <c r="I150" s="36" t="str">
        <f t="shared" si="11"/>
        <v/>
      </c>
      <c r="J150" s="36">
        <f t="shared" si="14"/>
        <v>-3</v>
      </c>
      <c r="K150" s="35">
        <f t="shared" si="12"/>
        <v>-30</v>
      </c>
      <c r="L150" s="35"/>
      <c r="M150" s="37">
        <f t="shared" si="13"/>
        <v>0</v>
      </c>
    </row>
    <row r="151" spans="1:13" x14ac:dyDescent="0.25">
      <c r="A151" s="77"/>
      <c r="G151" s="13"/>
      <c r="H151" s="35">
        <v>146</v>
      </c>
      <c r="I151" s="36" t="str">
        <f t="shared" si="11"/>
        <v/>
      </c>
      <c r="J151" s="36">
        <f t="shared" si="14"/>
        <v>-3</v>
      </c>
      <c r="K151" s="35">
        <f t="shared" si="12"/>
        <v>-30</v>
      </c>
      <c r="L151" s="35"/>
      <c r="M151" s="37">
        <f t="shared" si="13"/>
        <v>0</v>
      </c>
    </row>
    <row r="152" spans="1:13" x14ac:dyDescent="0.25">
      <c r="A152" s="76"/>
      <c r="G152" s="13"/>
      <c r="H152" s="35">
        <v>147</v>
      </c>
      <c r="I152" s="36" t="str">
        <f t="shared" si="11"/>
        <v/>
      </c>
      <c r="J152" s="36">
        <f t="shared" si="14"/>
        <v>-3</v>
      </c>
      <c r="K152" s="35">
        <f t="shared" si="12"/>
        <v>-30</v>
      </c>
      <c r="L152" s="35"/>
      <c r="M152" s="37">
        <f t="shared" si="13"/>
        <v>0</v>
      </c>
    </row>
    <row r="153" spans="1:13" x14ac:dyDescent="0.25">
      <c r="A153" s="77"/>
      <c r="G153" s="13"/>
      <c r="H153" s="35">
        <v>148</v>
      </c>
      <c r="I153" s="36" t="str">
        <f t="shared" si="11"/>
        <v/>
      </c>
      <c r="J153" s="36">
        <f t="shared" si="14"/>
        <v>-3</v>
      </c>
      <c r="K153" s="35">
        <f t="shared" si="12"/>
        <v>-30</v>
      </c>
      <c r="L153" s="35"/>
      <c r="M153" s="37">
        <f t="shared" si="13"/>
        <v>0</v>
      </c>
    </row>
    <row r="154" spans="1:13" x14ac:dyDescent="0.25">
      <c r="A154" s="76"/>
      <c r="G154" s="13"/>
      <c r="H154" s="35">
        <v>149</v>
      </c>
      <c r="I154" s="36" t="str">
        <f t="shared" si="11"/>
        <v/>
      </c>
      <c r="J154" s="36">
        <f t="shared" si="14"/>
        <v>-3</v>
      </c>
      <c r="K154" s="35">
        <f t="shared" si="12"/>
        <v>-30</v>
      </c>
      <c r="L154" s="35"/>
      <c r="M154" s="37">
        <f t="shared" si="13"/>
        <v>0</v>
      </c>
    </row>
    <row r="155" spans="1:13" x14ac:dyDescent="0.25">
      <c r="A155" s="77"/>
      <c r="G155" s="13"/>
      <c r="H155" s="35">
        <v>150</v>
      </c>
      <c r="I155" s="36" t="str">
        <f t="shared" si="11"/>
        <v/>
      </c>
      <c r="J155" s="36">
        <f t="shared" si="14"/>
        <v>-3</v>
      </c>
      <c r="K155" s="35">
        <f t="shared" si="12"/>
        <v>-30</v>
      </c>
      <c r="L155" s="35"/>
      <c r="M155" s="37">
        <f t="shared" si="13"/>
        <v>0</v>
      </c>
    </row>
    <row r="156" spans="1:13" x14ac:dyDescent="0.25">
      <c r="A156" s="76"/>
      <c r="G156" s="13"/>
      <c r="H156" s="35">
        <v>151</v>
      </c>
      <c r="I156" s="36" t="str">
        <f t="shared" si="11"/>
        <v/>
      </c>
      <c r="J156" s="36">
        <f t="shared" si="14"/>
        <v>-3</v>
      </c>
      <c r="K156" s="35">
        <f t="shared" si="12"/>
        <v>-30</v>
      </c>
      <c r="L156" s="35"/>
      <c r="M156" s="37">
        <f t="shared" si="13"/>
        <v>0</v>
      </c>
    </row>
    <row r="157" spans="1:13" x14ac:dyDescent="0.25">
      <c r="A157" s="77"/>
      <c r="G157" s="13"/>
      <c r="H157" s="35">
        <v>152</v>
      </c>
      <c r="I157" s="36" t="str">
        <f t="shared" si="11"/>
        <v/>
      </c>
      <c r="J157" s="36">
        <f t="shared" si="14"/>
        <v>-3</v>
      </c>
      <c r="K157" s="35">
        <f t="shared" si="12"/>
        <v>-30</v>
      </c>
      <c r="L157" s="35"/>
      <c r="M157" s="37">
        <f t="shared" si="13"/>
        <v>0</v>
      </c>
    </row>
    <row r="158" spans="1:13" x14ac:dyDescent="0.25">
      <c r="A158" s="76"/>
      <c r="G158" s="13"/>
      <c r="H158" s="35">
        <v>153</v>
      </c>
      <c r="I158" s="36" t="str">
        <f t="shared" si="11"/>
        <v/>
      </c>
      <c r="J158" s="36">
        <f t="shared" si="14"/>
        <v>-3</v>
      </c>
      <c r="K158" s="35">
        <f t="shared" si="12"/>
        <v>-30</v>
      </c>
      <c r="L158" s="35"/>
      <c r="M158" s="37">
        <f t="shared" si="13"/>
        <v>0</v>
      </c>
    </row>
    <row r="159" spans="1:13" x14ac:dyDescent="0.25">
      <c r="A159" s="77"/>
      <c r="G159" s="13"/>
      <c r="H159" s="35">
        <v>154</v>
      </c>
      <c r="I159" s="36" t="str">
        <f t="shared" si="11"/>
        <v/>
      </c>
      <c r="J159" s="36">
        <f t="shared" si="14"/>
        <v>-3</v>
      </c>
      <c r="K159" s="35">
        <f t="shared" si="12"/>
        <v>-30</v>
      </c>
      <c r="L159" s="35"/>
      <c r="M159" s="37">
        <f t="shared" si="13"/>
        <v>0</v>
      </c>
    </row>
    <row r="160" spans="1:13" x14ac:dyDescent="0.25">
      <c r="A160" s="76"/>
      <c r="G160" s="13"/>
      <c r="H160" s="35">
        <v>155</v>
      </c>
      <c r="I160" s="36" t="str">
        <f t="shared" si="11"/>
        <v/>
      </c>
      <c r="J160" s="36">
        <f t="shared" si="14"/>
        <v>-3</v>
      </c>
      <c r="K160" s="35">
        <f t="shared" si="12"/>
        <v>-30</v>
      </c>
      <c r="L160" s="35"/>
      <c r="M160" s="37">
        <f t="shared" si="13"/>
        <v>0</v>
      </c>
    </row>
    <row r="161" spans="1:13" x14ac:dyDescent="0.25">
      <c r="A161" s="77"/>
      <c r="G161" s="13"/>
      <c r="H161" s="35">
        <v>156</v>
      </c>
      <c r="I161" s="36" t="str">
        <f t="shared" si="11"/>
        <v/>
      </c>
      <c r="J161" s="36">
        <f t="shared" si="14"/>
        <v>-3</v>
      </c>
      <c r="K161" s="35">
        <f t="shared" si="12"/>
        <v>-30</v>
      </c>
      <c r="L161" s="35"/>
      <c r="M161" s="37">
        <f t="shared" si="13"/>
        <v>0</v>
      </c>
    </row>
    <row r="162" spans="1:13" x14ac:dyDescent="0.25">
      <c r="A162" s="76"/>
      <c r="G162" s="13"/>
      <c r="H162" s="35">
        <v>157</v>
      </c>
      <c r="I162" s="36" t="str">
        <f t="shared" si="11"/>
        <v/>
      </c>
      <c r="J162" s="36">
        <f t="shared" si="14"/>
        <v>-3</v>
      </c>
      <c r="K162" s="35">
        <f t="shared" si="12"/>
        <v>-30</v>
      </c>
      <c r="L162" s="35"/>
      <c r="M162" s="37">
        <f t="shared" si="13"/>
        <v>0</v>
      </c>
    </row>
    <row r="163" spans="1:13" x14ac:dyDescent="0.25">
      <c r="A163" s="77"/>
      <c r="G163" s="13"/>
      <c r="H163" s="35">
        <v>158</v>
      </c>
      <c r="I163" s="36" t="str">
        <f t="shared" si="11"/>
        <v/>
      </c>
      <c r="J163" s="36">
        <f t="shared" si="14"/>
        <v>-3</v>
      </c>
      <c r="K163" s="35">
        <f t="shared" si="12"/>
        <v>-30</v>
      </c>
      <c r="L163" s="35"/>
      <c r="M163" s="37">
        <f t="shared" si="13"/>
        <v>0</v>
      </c>
    </row>
    <row r="164" spans="1:13" x14ac:dyDescent="0.25">
      <c r="A164" s="76"/>
      <c r="G164" s="13"/>
      <c r="H164" s="35">
        <v>159</v>
      </c>
      <c r="I164" s="36" t="str">
        <f t="shared" si="11"/>
        <v/>
      </c>
      <c r="J164" s="36">
        <f t="shared" si="14"/>
        <v>-3</v>
      </c>
      <c r="K164" s="35">
        <f t="shared" si="12"/>
        <v>-30</v>
      </c>
      <c r="L164" s="35"/>
      <c r="M164" s="37">
        <f t="shared" si="13"/>
        <v>0</v>
      </c>
    </row>
    <row r="165" spans="1:13" x14ac:dyDescent="0.25">
      <c r="A165" s="77"/>
      <c r="G165" s="13"/>
      <c r="H165" s="35">
        <v>160</v>
      </c>
      <c r="I165" s="36" t="str">
        <f t="shared" si="11"/>
        <v/>
      </c>
      <c r="J165" s="36">
        <f t="shared" si="14"/>
        <v>-3</v>
      </c>
      <c r="K165" s="35">
        <f t="shared" si="12"/>
        <v>-30</v>
      </c>
      <c r="L165" s="35"/>
      <c r="M165" s="37">
        <f t="shared" si="13"/>
        <v>0</v>
      </c>
    </row>
    <row r="166" spans="1:13" x14ac:dyDescent="0.25">
      <c r="A166" s="76"/>
      <c r="G166" s="13"/>
      <c r="H166" s="35">
        <v>161</v>
      </c>
      <c r="I166" s="36" t="str">
        <f t="shared" si="11"/>
        <v/>
      </c>
      <c r="J166" s="36">
        <f t="shared" si="14"/>
        <v>-3</v>
      </c>
      <c r="K166" s="35">
        <f t="shared" si="12"/>
        <v>-30</v>
      </c>
      <c r="L166" s="35"/>
      <c r="M166" s="37">
        <f t="shared" si="13"/>
        <v>0</v>
      </c>
    </row>
    <row r="167" spans="1:13" x14ac:dyDescent="0.25">
      <c r="A167" s="77"/>
      <c r="G167" s="13"/>
      <c r="H167" s="35">
        <v>162</v>
      </c>
      <c r="I167" s="36" t="str">
        <f t="shared" si="11"/>
        <v/>
      </c>
      <c r="J167" s="36">
        <f t="shared" si="14"/>
        <v>-3</v>
      </c>
      <c r="K167" s="35">
        <f t="shared" si="12"/>
        <v>-30</v>
      </c>
      <c r="L167" s="35"/>
      <c r="M167" s="37">
        <f t="shared" si="13"/>
        <v>0</v>
      </c>
    </row>
    <row r="168" spans="1:13" x14ac:dyDescent="0.25">
      <c r="A168" s="76"/>
      <c r="G168" s="13"/>
      <c r="H168" s="35">
        <v>163</v>
      </c>
      <c r="I168" s="36" t="str">
        <f t="shared" si="11"/>
        <v/>
      </c>
      <c r="J168" s="36">
        <f t="shared" si="14"/>
        <v>-3</v>
      </c>
      <c r="K168" s="35">
        <f t="shared" si="12"/>
        <v>-30</v>
      </c>
      <c r="L168" s="35"/>
      <c r="M168" s="37">
        <f t="shared" si="13"/>
        <v>0</v>
      </c>
    </row>
    <row r="169" spans="1:13" x14ac:dyDescent="0.25">
      <c r="A169" s="77"/>
      <c r="G169" s="13"/>
      <c r="H169" s="35">
        <v>164</v>
      </c>
      <c r="I169" s="36" t="str">
        <f t="shared" si="11"/>
        <v/>
      </c>
      <c r="J169" s="36">
        <f t="shared" si="14"/>
        <v>-3</v>
      </c>
      <c r="K169" s="35">
        <f t="shared" si="12"/>
        <v>-30</v>
      </c>
      <c r="L169" s="35"/>
      <c r="M169" s="37">
        <f t="shared" si="13"/>
        <v>0</v>
      </c>
    </row>
    <row r="170" spans="1:13" x14ac:dyDescent="0.25">
      <c r="A170" s="76"/>
      <c r="G170" s="13"/>
      <c r="H170" s="35">
        <v>165</v>
      </c>
      <c r="I170" s="36" t="str">
        <f t="shared" si="11"/>
        <v/>
      </c>
      <c r="J170" s="36">
        <f t="shared" si="14"/>
        <v>-3</v>
      </c>
      <c r="K170" s="35">
        <f t="shared" si="12"/>
        <v>-30</v>
      </c>
      <c r="L170" s="35"/>
      <c r="M170" s="37">
        <f t="shared" si="13"/>
        <v>0</v>
      </c>
    </row>
    <row r="171" spans="1:13" x14ac:dyDescent="0.25">
      <c r="A171" s="77"/>
      <c r="G171" s="13"/>
      <c r="H171" s="35">
        <v>166</v>
      </c>
      <c r="I171" s="36" t="str">
        <f t="shared" si="11"/>
        <v/>
      </c>
      <c r="J171" s="36">
        <f t="shared" si="14"/>
        <v>-3</v>
      </c>
      <c r="K171" s="35">
        <f t="shared" si="12"/>
        <v>-30</v>
      </c>
      <c r="L171" s="35"/>
      <c r="M171" s="37">
        <f t="shared" si="13"/>
        <v>0</v>
      </c>
    </row>
    <row r="172" spans="1:13" x14ac:dyDescent="0.25">
      <c r="A172" s="76"/>
      <c r="G172" s="13"/>
      <c r="H172" s="35">
        <v>167</v>
      </c>
      <c r="I172" s="36" t="str">
        <f t="shared" si="11"/>
        <v/>
      </c>
      <c r="J172" s="36">
        <f t="shared" si="14"/>
        <v>-3</v>
      </c>
      <c r="K172" s="35">
        <f t="shared" si="12"/>
        <v>-30</v>
      </c>
      <c r="L172" s="35"/>
      <c r="M172" s="37">
        <f t="shared" si="13"/>
        <v>0</v>
      </c>
    </row>
    <row r="173" spans="1:13" x14ac:dyDescent="0.25">
      <c r="A173" s="77"/>
      <c r="G173" s="13"/>
      <c r="H173" s="35">
        <v>168</v>
      </c>
      <c r="I173" s="36" t="str">
        <f t="shared" si="11"/>
        <v/>
      </c>
      <c r="J173" s="36">
        <f t="shared" si="14"/>
        <v>-3</v>
      </c>
      <c r="K173" s="35">
        <f t="shared" si="12"/>
        <v>-30</v>
      </c>
      <c r="L173" s="35"/>
      <c r="M173" s="37">
        <f t="shared" si="13"/>
        <v>0</v>
      </c>
    </row>
    <row r="174" spans="1:13" x14ac:dyDescent="0.25">
      <c r="A174" s="76"/>
      <c r="G174" s="13"/>
      <c r="H174" s="35">
        <v>169</v>
      </c>
      <c r="I174" s="36" t="str">
        <f t="shared" si="11"/>
        <v/>
      </c>
      <c r="J174" s="36">
        <f t="shared" si="14"/>
        <v>-3</v>
      </c>
      <c r="K174" s="35">
        <f t="shared" si="12"/>
        <v>-30</v>
      </c>
      <c r="L174" s="35"/>
      <c r="M174" s="37">
        <f t="shared" si="13"/>
        <v>0</v>
      </c>
    </row>
    <row r="175" spans="1:13" x14ac:dyDescent="0.25">
      <c r="A175" s="77"/>
      <c r="G175" s="13"/>
      <c r="H175" s="35">
        <v>170</v>
      </c>
      <c r="I175" s="36" t="str">
        <f t="shared" si="11"/>
        <v/>
      </c>
      <c r="J175" s="36">
        <f t="shared" si="14"/>
        <v>-3</v>
      </c>
      <c r="K175" s="35">
        <f t="shared" si="12"/>
        <v>-30</v>
      </c>
      <c r="L175" s="35"/>
      <c r="M175" s="37">
        <f t="shared" si="13"/>
        <v>0</v>
      </c>
    </row>
    <row r="176" spans="1:13" x14ac:dyDescent="0.25">
      <c r="A176" s="76"/>
      <c r="G176" s="13"/>
      <c r="H176" s="35">
        <v>171</v>
      </c>
      <c r="I176" s="36" t="str">
        <f t="shared" si="11"/>
        <v/>
      </c>
      <c r="J176" s="36">
        <f t="shared" si="14"/>
        <v>-3</v>
      </c>
      <c r="K176" s="35">
        <f t="shared" si="12"/>
        <v>-30</v>
      </c>
      <c r="L176" s="35"/>
      <c r="M176" s="37">
        <f t="shared" si="13"/>
        <v>0</v>
      </c>
    </row>
    <row r="177" spans="1:13" x14ac:dyDescent="0.25">
      <c r="A177" s="77"/>
      <c r="G177" s="13"/>
      <c r="H177" s="35">
        <v>172</v>
      </c>
      <c r="I177" s="36" t="str">
        <f t="shared" si="11"/>
        <v/>
      </c>
      <c r="J177" s="36">
        <f t="shared" si="14"/>
        <v>-3</v>
      </c>
      <c r="K177" s="35">
        <f t="shared" si="12"/>
        <v>-30</v>
      </c>
      <c r="L177" s="35"/>
      <c r="M177" s="37">
        <f t="shared" si="13"/>
        <v>0</v>
      </c>
    </row>
    <row r="178" spans="1:13" x14ac:dyDescent="0.25">
      <c r="A178" s="76"/>
      <c r="G178" s="13"/>
      <c r="H178" s="35">
        <v>173</v>
      </c>
      <c r="I178" s="36" t="str">
        <f t="shared" si="11"/>
        <v/>
      </c>
      <c r="J178" s="36">
        <f t="shared" si="14"/>
        <v>-3</v>
      </c>
      <c r="K178" s="35">
        <f t="shared" si="12"/>
        <v>-30</v>
      </c>
      <c r="L178" s="35"/>
      <c r="M178" s="37">
        <f t="shared" si="13"/>
        <v>0</v>
      </c>
    </row>
    <row r="179" spans="1:13" x14ac:dyDescent="0.25">
      <c r="A179" s="77"/>
      <c r="G179" s="13"/>
      <c r="H179" s="35">
        <v>174</v>
      </c>
      <c r="I179" s="36" t="str">
        <f t="shared" si="11"/>
        <v/>
      </c>
      <c r="J179" s="36">
        <f t="shared" si="14"/>
        <v>-3</v>
      </c>
      <c r="K179" s="35">
        <f t="shared" si="12"/>
        <v>-30</v>
      </c>
      <c r="L179" s="35"/>
      <c r="M179" s="37">
        <f t="shared" si="13"/>
        <v>0</v>
      </c>
    </row>
    <row r="180" spans="1:13" x14ac:dyDescent="0.25">
      <c r="A180" s="76"/>
      <c r="G180" s="13"/>
      <c r="H180" s="35">
        <v>175</v>
      </c>
      <c r="I180" s="36" t="str">
        <f t="shared" si="11"/>
        <v/>
      </c>
      <c r="J180" s="36">
        <f t="shared" si="14"/>
        <v>-3</v>
      </c>
      <c r="K180" s="35">
        <f t="shared" si="12"/>
        <v>-30</v>
      </c>
      <c r="L180" s="35"/>
      <c r="M180" s="37">
        <f t="shared" si="13"/>
        <v>0</v>
      </c>
    </row>
    <row r="181" spans="1:13" x14ac:dyDescent="0.25">
      <c r="A181" s="77"/>
      <c r="G181" s="13"/>
      <c r="H181" s="35">
        <v>176</v>
      </c>
      <c r="I181" s="36" t="str">
        <f t="shared" si="11"/>
        <v/>
      </c>
      <c r="J181" s="36">
        <f t="shared" si="14"/>
        <v>-3</v>
      </c>
      <c r="K181" s="35">
        <f t="shared" si="12"/>
        <v>-30</v>
      </c>
      <c r="L181" s="35"/>
      <c r="M181" s="37">
        <f t="shared" si="13"/>
        <v>0</v>
      </c>
    </row>
    <row r="182" spans="1:13" x14ac:dyDescent="0.25">
      <c r="A182" s="76"/>
      <c r="G182" s="13"/>
      <c r="H182" s="35">
        <v>177</v>
      </c>
      <c r="I182" s="36" t="str">
        <f t="shared" si="11"/>
        <v/>
      </c>
      <c r="J182" s="36">
        <f t="shared" si="14"/>
        <v>-3</v>
      </c>
      <c r="K182" s="35">
        <f t="shared" si="12"/>
        <v>-30</v>
      </c>
      <c r="L182" s="35"/>
      <c r="M182" s="37">
        <f t="shared" si="13"/>
        <v>0</v>
      </c>
    </row>
    <row r="183" spans="1:13" x14ac:dyDescent="0.25">
      <c r="A183" s="77"/>
      <c r="G183" s="13"/>
      <c r="H183" s="35">
        <v>178</v>
      </c>
      <c r="I183" s="36" t="str">
        <f t="shared" si="11"/>
        <v/>
      </c>
      <c r="J183" s="36">
        <f t="shared" si="14"/>
        <v>-3</v>
      </c>
      <c r="K183" s="35">
        <f t="shared" si="12"/>
        <v>-30</v>
      </c>
      <c r="L183" s="35"/>
      <c r="M183" s="37">
        <f t="shared" si="13"/>
        <v>0</v>
      </c>
    </row>
    <row r="184" spans="1:13" x14ac:dyDescent="0.25">
      <c r="A184" s="76"/>
      <c r="G184" s="13"/>
      <c r="H184" s="35">
        <v>179</v>
      </c>
      <c r="I184" s="36" t="str">
        <f t="shared" si="11"/>
        <v/>
      </c>
      <c r="J184" s="36">
        <f t="shared" si="14"/>
        <v>-3</v>
      </c>
      <c r="K184" s="35">
        <f t="shared" si="12"/>
        <v>-30</v>
      </c>
      <c r="L184" s="35"/>
      <c r="M184" s="37">
        <f t="shared" si="13"/>
        <v>0</v>
      </c>
    </row>
    <row r="185" spans="1:13" x14ac:dyDescent="0.25">
      <c r="A185" s="77"/>
      <c r="G185" s="13"/>
      <c r="H185" s="35">
        <v>180</v>
      </c>
      <c r="I185" s="36" t="str">
        <f t="shared" si="11"/>
        <v/>
      </c>
      <c r="J185" s="36">
        <f t="shared" si="14"/>
        <v>-3</v>
      </c>
      <c r="K185" s="35">
        <f t="shared" si="12"/>
        <v>-30</v>
      </c>
      <c r="L185" s="35"/>
      <c r="M185" s="37">
        <f t="shared" si="13"/>
        <v>0</v>
      </c>
    </row>
    <row r="186" spans="1:13" x14ac:dyDescent="0.25">
      <c r="A186" s="76"/>
      <c r="G186" s="13"/>
      <c r="H186" s="35">
        <v>181</v>
      </c>
      <c r="I186" s="36" t="str">
        <f t="shared" si="11"/>
        <v/>
      </c>
      <c r="J186" s="36">
        <f t="shared" si="14"/>
        <v>-3</v>
      </c>
      <c r="K186" s="35">
        <f t="shared" si="12"/>
        <v>-30</v>
      </c>
      <c r="L186" s="35"/>
      <c r="M186" s="37">
        <f t="shared" si="13"/>
        <v>0</v>
      </c>
    </row>
    <row r="187" spans="1:13" x14ac:dyDescent="0.25">
      <c r="A187" s="77"/>
      <c r="G187" s="13"/>
      <c r="H187" s="35">
        <v>182</v>
      </c>
      <c r="I187" s="36" t="str">
        <f t="shared" si="11"/>
        <v/>
      </c>
      <c r="J187" s="36">
        <f t="shared" si="14"/>
        <v>-3</v>
      </c>
      <c r="K187" s="35">
        <f t="shared" si="12"/>
        <v>-30</v>
      </c>
      <c r="L187" s="35"/>
      <c r="M187" s="37">
        <f t="shared" si="13"/>
        <v>0</v>
      </c>
    </row>
    <row r="188" spans="1:13" x14ac:dyDescent="0.25">
      <c r="A188" s="76"/>
      <c r="G188" s="13"/>
      <c r="H188" s="35">
        <v>183</v>
      </c>
      <c r="I188" s="36" t="str">
        <f t="shared" si="11"/>
        <v/>
      </c>
      <c r="J188" s="36">
        <f t="shared" si="14"/>
        <v>-3</v>
      </c>
      <c r="K188" s="35">
        <f t="shared" si="12"/>
        <v>-30</v>
      </c>
      <c r="L188" s="35"/>
      <c r="M188" s="37">
        <f t="shared" si="13"/>
        <v>0</v>
      </c>
    </row>
    <row r="189" spans="1:13" x14ac:dyDescent="0.25">
      <c r="A189" s="77"/>
      <c r="G189" s="13"/>
      <c r="H189" s="35">
        <v>184</v>
      </c>
      <c r="I189" s="36" t="str">
        <f t="shared" si="11"/>
        <v/>
      </c>
      <c r="J189" s="36">
        <f t="shared" si="14"/>
        <v>-3</v>
      </c>
      <c r="K189" s="35">
        <f t="shared" si="12"/>
        <v>-30</v>
      </c>
      <c r="L189" s="35"/>
      <c r="M189" s="37">
        <f t="shared" si="13"/>
        <v>0</v>
      </c>
    </row>
    <row r="190" spans="1:13" x14ac:dyDescent="0.25">
      <c r="A190" s="76"/>
      <c r="G190" s="13"/>
      <c r="H190" s="35">
        <v>185</v>
      </c>
      <c r="I190" s="36" t="str">
        <f t="shared" si="11"/>
        <v/>
      </c>
      <c r="J190" s="36">
        <f t="shared" si="14"/>
        <v>-3</v>
      </c>
      <c r="K190" s="35">
        <f t="shared" si="12"/>
        <v>-30</v>
      </c>
      <c r="L190" s="35"/>
      <c r="M190" s="37">
        <f t="shared" si="13"/>
        <v>0</v>
      </c>
    </row>
    <row r="191" spans="1:13" x14ac:dyDescent="0.25">
      <c r="A191" s="77"/>
      <c r="G191" s="13"/>
      <c r="H191" s="35">
        <v>186</v>
      </c>
      <c r="I191" s="36" t="str">
        <f t="shared" si="11"/>
        <v/>
      </c>
      <c r="J191" s="36">
        <f t="shared" si="14"/>
        <v>-3</v>
      </c>
      <c r="K191" s="35">
        <f t="shared" si="12"/>
        <v>-30</v>
      </c>
      <c r="L191" s="35"/>
      <c r="M191" s="37">
        <f t="shared" si="13"/>
        <v>0</v>
      </c>
    </row>
    <row r="192" spans="1:13" x14ac:dyDescent="0.25">
      <c r="A192" s="76"/>
      <c r="G192" s="13"/>
      <c r="H192" s="35">
        <v>187</v>
      </c>
      <c r="I192" s="36" t="str">
        <f t="shared" si="11"/>
        <v/>
      </c>
      <c r="J192" s="36">
        <f t="shared" si="14"/>
        <v>-3</v>
      </c>
      <c r="K192" s="35">
        <f t="shared" si="12"/>
        <v>-30</v>
      </c>
      <c r="L192" s="35"/>
      <c r="M192" s="37">
        <f t="shared" si="13"/>
        <v>0</v>
      </c>
    </row>
    <row r="193" spans="1:13" x14ac:dyDescent="0.25">
      <c r="A193" s="77"/>
      <c r="G193" s="13"/>
      <c r="H193" s="35">
        <v>188</v>
      </c>
      <c r="I193" s="36" t="str">
        <f t="shared" si="11"/>
        <v/>
      </c>
      <c r="J193" s="36">
        <f t="shared" si="14"/>
        <v>-3</v>
      </c>
      <c r="K193" s="35">
        <f t="shared" si="12"/>
        <v>-30</v>
      </c>
      <c r="L193" s="35"/>
      <c r="M193" s="37">
        <f t="shared" si="13"/>
        <v>0</v>
      </c>
    </row>
    <row r="194" spans="1:13" x14ac:dyDescent="0.25">
      <c r="A194" s="76"/>
      <c r="G194" s="13"/>
      <c r="H194" s="35">
        <v>189</v>
      </c>
      <c r="I194" s="36" t="str">
        <f t="shared" si="11"/>
        <v/>
      </c>
      <c r="J194" s="36">
        <f t="shared" si="14"/>
        <v>-3</v>
      </c>
      <c r="K194" s="35">
        <f t="shared" si="12"/>
        <v>-30</v>
      </c>
      <c r="L194" s="35"/>
      <c r="M194" s="37">
        <f t="shared" si="13"/>
        <v>0</v>
      </c>
    </row>
    <row r="195" spans="1:13" x14ac:dyDescent="0.25">
      <c r="A195" s="77"/>
      <c r="G195" s="13"/>
      <c r="H195" s="35">
        <v>190</v>
      </c>
      <c r="I195" s="36" t="str">
        <f t="shared" si="11"/>
        <v/>
      </c>
      <c r="J195" s="36">
        <f t="shared" si="14"/>
        <v>-3</v>
      </c>
      <c r="K195" s="35">
        <f t="shared" si="12"/>
        <v>-30</v>
      </c>
      <c r="L195" s="35"/>
      <c r="M195" s="37">
        <f t="shared" si="13"/>
        <v>0</v>
      </c>
    </row>
    <row r="196" spans="1:13" x14ac:dyDescent="0.25">
      <c r="A196" s="76"/>
      <c r="G196" s="13"/>
      <c r="H196" s="35">
        <v>191</v>
      </c>
      <c r="I196" s="36" t="str">
        <f t="shared" si="11"/>
        <v/>
      </c>
      <c r="J196" s="36">
        <f t="shared" si="14"/>
        <v>-3</v>
      </c>
      <c r="K196" s="35">
        <f t="shared" si="12"/>
        <v>-30</v>
      </c>
      <c r="L196" s="35"/>
      <c r="M196" s="37">
        <f t="shared" si="13"/>
        <v>0</v>
      </c>
    </row>
    <row r="197" spans="1:13" x14ac:dyDescent="0.25">
      <c r="A197" s="77"/>
      <c r="G197" s="13"/>
      <c r="H197" s="35">
        <v>192</v>
      </c>
      <c r="I197" s="36" t="str">
        <f t="shared" si="11"/>
        <v/>
      </c>
      <c r="J197" s="36">
        <f t="shared" si="14"/>
        <v>-3</v>
      </c>
      <c r="K197" s="35">
        <f t="shared" si="12"/>
        <v>-30</v>
      </c>
      <c r="L197" s="35"/>
      <c r="M197" s="37">
        <f t="shared" si="13"/>
        <v>0</v>
      </c>
    </row>
    <row r="198" spans="1:13" x14ac:dyDescent="0.25">
      <c r="A198" s="76"/>
      <c r="G198" s="13"/>
      <c r="H198" s="35">
        <v>193</v>
      </c>
      <c r="I198" s="36" t="str">
        <f t="shared" ref="I198:I261" si="15">IF(H198&lt;$H$2+1,($I$2-($I$2-1)*(LOG(H198)/LOG($H$2))),"")</f>
        <v/>
      </c>
      <c r="J198" s="36">
        <f t="shared" si="14"/>
        <v>-3</v>
      </c>
      <c r="K198" s="35">
        <f t="shared" ref="K198:K261" si="16">J198*$J$2</f>
        <v>-30</v>
      </c>
      <c r="L198" s="35"/>
      <c r="M198" s="37">
        <f t="shared" ref="M198:M261" si="17">IF(I198&lt;&gt;"",K198+I198+L198,0)</f>
        <v>0</v>
      </c>
    </row>
    <row r="199" spans="1:13" x14ac:dyDescent="0.25">
      <c r="A199" s="77"/>
      <c r="G199" s="13"/>
      <c r="H199" s="35">
        <v>194</v>
      </c>
      <c r="I199" s="36" t="str">
        <f t="shared" si="15"/>
        <v/>
      </c>
      <c r="J199" s="36">
        <f t="shared" ref="J199:J262" si="18">INT(LOG($H$2,2))-ROUNDUP(LOG(H199,2),0)+IF(OR($H$2=1,$H$2=2,$H$2=4,$H$2=8,$H$2=16,$H$2=32,$H$2=64,$H$2=128,$H$2=256),0,1)</f>
        <v>-3</v>
      </c>
      <c r="K199" s="35">
        <f t="shared" si="16"/>
        <v>-30</v>
      </c>
      <c r="L199" s="35"/>
      <c r="M199" s="37">
        <f t="shared" si="17"/>
        <v>0</v>
      </c>
    </row>
    <row r="200" spans="1:13" x14ac:dyDescent="0.25">
      <c r="A200" s="76"/>
      <c r="G200" s="13"/>
      <c r="H200" s="35">
        <v>195</v>
      </c>
      <c r="I200" s="36" t="str">
        <f t="shared" si="15"/>
        <v/>
      </c>
      <c r="J200" s="36">
        <f t="shared" si="18"/>
        <v>-3</v>
      </c>
      <c r="K200" s="35">
        <f t="shared" si="16"/>
        <v>-30</v>
      </c>
      <c r="L200" s="35"/>
      <c r="M200" s="37">
        <f t="shared" si="17"/>
        <v>0</v>
      </c>
    </row>
    <row r="201" spans="1:13" x14ac:dyDescent="0.25">
      <c r="A201" s="56"/>
      <c r="G201" s="13"/>
      <c r="H201" s="35">
        <v>196</v>
      </c>
      <c r="I201" s="36" t="str">
        <f t="shared" si="15"/>
        <v/>
      </c>
      <c r="J201" s="36">
        <f t="shared" si="18"/>
        <v>-3</v>
      </c>
      <c r="K201" s="35">
        <f t="shared" si="16"/>
        <v>-30</v>
      </c>
      <c r="L201" s="35"/>
      <c r="M201" s="37">
        <f t="shared" si="17"/>
        <v>0</v>
      </c>
    </row>
    <row r="202" spans="1:13" x14ac:dyDescent="0.25">
      <c r="A202" s="56"/>
      <c r="G202" s="13"/>
      <c r="H202" s="35">
        <v>197</v>
      </c>
      <c r="I202" s="36" t="str">
        <f t="shared" si="15"/>
        <v/>
      </c>
      <c r="J202" s="36">
        <f t="shared" si="18"/>
        <v>-3</v>
      </c>
      <c r="K202" s="35">
        <f t="shared" si="16"/>
        <v>-30</v>
      </c>
      <c r="L202" s="35"/>
      <c r="M202" s="37">
        <f t="shared" si="17"/>
        <v>0</v>
      </c>
    </row>
    <row r="203" spans="1:13" x14ac:dyDescent="0.25">
      <c r="A203" s="56"/>
      <c r="G203" s="13"/>
      <c r="H203" s="35">
        <v>198</v>
      </c>
      <c r="I203" s="36" t="str">
        <f t="shared" si="15"/>
        <v/>
      </c>
      <c r="J203" s="36">
        <f t="shared" si="18"/>
        <v>-3</v>
      </c>
      <c r="K203" s="35">
        <f t="shared" si="16"/>
        <v>-30</v>
      </c>
      <c r="L203" s="35"/>
      <c r="M203" s="37">
        <f t="shared" si="17"/>
        <v>0</v>
      </c>
    </row>
    <row r="204" spans="1:13" x14ac:dyDescent="0.25">
      <c r="A204" s="56"/>
      <c r="G204" s="13"/>
      <c r="H204" s="35">
        <v>199</v>
      </c>
      <c r="I204" s="36" t="str">
        <f t="shared" si="15"/>
        <v/>
      </c>
      <c r="J204" s="36">
        <f t="shared" si="18"/>
        <v>-3</v>
      </c>
      <c r="K204" s="35">
        <f t="shared" si="16"/>
        <v>-30</v>
      </c>
      <c r="L204" s="35"/>
      <c r="M204" s="37">
        <f t="shared" si="17"/>
        <v>0</v>
      </c>
    </row>
    <row r="205" spans="1:13" x14ac:dyDescent="0.25">
      <c r="A205" s="56"/>
      <c r="G205" s="13"/>
      <c r="H205" s="35">
        <v>200</v>
      </c>
      <c r="I205" s="36" t="str">
        <f t="shared" si="15"/>
        <v/>
      </c>
      <c r="J205" s="36">
        <f t="shared" si="18"/>
        <v>-3</v>
      </c>
      <c r="K205" s="35">
        <f t="shared" si="16"/>
        <v>-30</v>
      </c>
      <c r="L205" s="35"/>
      <c r="M205" s="37">
        <f t="shared" si="17"/>
        <v>0</v>
      </c>
    </row>
    <row r="206" spans="1:13" x14ac:dyDescent="0.25">
      <c r="A206" s="56"/>
      <c r="G206" s="13"/>
      <c r="H206" s="35">
        <v>201</v>
      </c>
      <c r="I206" s="36" t="str">
        <f t="shared" si="15"/>
        <v/>
      </c>
      <c r="J206" s="36">
        <f t="shared" si="18"/>
        <v>-3</v>
      </c>
      <c r="K206" s="35">
        <f t="shared" si="16"/>
        <v>-30</v>
      </c>
      <c r="L206" s="35"/>
      <c r="M206" s="37">
        <f t="shared" si="17"/>
        <v>0</v>
      </c>
    </row>
    <row r="207" spans="1:13" x14ac:dyDescent="0.25">
      <c r="A207" s="56"/>
      <c r="G207" s="13"/>
      <c r="H207" s="35">
        <v>202</v>
      </c>
      <c r="I207" s="36" t="str">
        <f t="shared" si="15"/>
        <v/>
      </c>
      <c r="J207" s="36">
        <f t="shared" si="18"/>
        <v>-3</v>
      </c>
      <c r="K207" s="35">
        <f t="shared" si="16"/>
        <v>-30</v>
      </c>
      <c r="L207" s="35"/>
      <c r="M207" s="37">
        <f t="shared" si="17"/>
        <v>0</v>
      </c>
    </row>
    <row r="208" spans="1:13" x14ac:dyDescent="0.25">
      <c r="A208" s="56"/>
      <c r="G208" s="13"/>
      <c r="H208" s="35">
        <v>203</v>
      </c>
      <c r="I208" s="36" t="str">
        <f t="shared" si="15"/>
        <v/>
      </c>
      <c r="J208" s="36">
        <f t="shared" si="18"/>
        <v>-3</v>
      </c>
      <c r="K208" s="35">
        <f t="shared" si="16"/>
        <v>-30</v>
      </c>
      <c r="L208" s="35"/>
      <c r="M208" s="37">
        <f t="shared" si="17"/>
        <v>0</v>
      </c>
    </row>
    <row r="209" spans="1:13" x14ac:dyDescent="0.25">
      <c r="A209" s="56"/>
      <c r="G209" s="13"/>
      <c r="H209" s="35">
        <v>204</v>
      </c>
      <c r="I209" s="36" t="str">
        <f t="shared" si="15"/>
        <v/>
      </c>
      <c r="J209" s="36">
        <f t="shared" si="18"/>
        <v>-3</v>
      </c>
      <c r="K209" s="35">
        <f t="shared" si="16"/>
        <v>-30</v>
      </c>
      <c r="L209" s="35"/>
      <c r="M209" s="37">
        <f t="shared" si="17"/>
        <v>0</v>
      </c>
    </row>
    <row r="210" spans="1:13" x14ac:dyDescent="0.25">
      <c r="A210" s="56"/>
      <c r="G210" s="13"/>
      <c r="H210" s="35">
        <v>205</v>
      </c>
      <c r="I210" s="36" t="str">
        <f t="shared" si="15"/>
        <v/>
      </c>
      <c r="J210" s="36">
        <f t="shared" si="18"/>
        <v>-3</v>
      </c>
      <c r="K210" s="35">
        <f t="shared" si="16"/>
        <v>-30</v>
      </c>
      <c r="L210" s="35"/>
      <c r="M210" s="37">
        <f t="shared" si="17"/>
        <v>0</v>
      </c>
    </row>
    <row r="211" spans="1:13" x14ac:dyDescent="0.25">
      <c r="A211" s="56"/>
      <c r="G211" s="13"/>
      <c r="H211" s="35">
        <v>206</v>
      </c>
      <c r="I211" s="36" t="str">
        <f t="shared" si="15"/>
        <v/>
      </c>
      <c r="J211" s="36">
        <f t="shared" si="18"/>
        <v>-3</v>
      </c>
      <c r="K211" s="35">
        <f t="shared" si="16"/>
        <v>-30</v>
      </c>
      <c r="L211" s="35"/>
      <c r="M211" s="37">
        <f t="shared" si="17"/>
        <v>0</v>
      </c>
    </row>
    <row r="212" spans="1:13" x14ac:dyDescent="0.25">
      <c r="A212" s="56"/>
      <c r="G212" s="13"/>
      <c r="H212" s="35">
        <v>207</v>
      </c>
      <c r="I212" s="36" t="str">
        <f t="shared" si="15"/>
        <v/>
      </c>
      <c r="J212" s="36">
        <f t="shared" si="18"/>
        <v>-3</v>
      </c>
      <c r="K212" s="35">
        <f t="shared" si="16"/>
        <v>-30</v>
      </c>
      <c r="L212" s="35"/>
      <c r="M212" s="37">
        <f t="shared" si="17"/>
        <v>0</v>
      </c>
    </row>
    <row r="213" spans="1:13" x14ac:dyDescent="0.25">
      <c r="A213" s="56"/>
      <c r="G213" s="13"/>
      <c r="H213" s="35">
        <v>208</v>
      </c>
      <c r="I213" s="36" t="str">
        <f t="shared" si="15"/>
        <v/>
      </c>
      <c r="J213" s="36">
        <f t="shared" si="18"/>
        <v>-3</v>
      </c>
      <c r="K213" s="35">
        <f t="shared" si="16"/>
        <v>-30</v>
      </c>
      <c r="L213" s="35"/>
      <c r="M213" s="37">
        <f t="shared" si="17"/>
        <v>0</v>
      </c>
    </row>
    <row r="214" spans="1:13" x14ac:dyDescent="0.25">
      <c r="A214" s="56"/>
      <c r="G214" s="13"/>
      <c r="H214" s="35">
        <v>209</v>
      </c>
      <c r="I214" s="36" t="str">
        <f t="shared" si="15"/>
        <v/>
      </c>
      <c r="J214" s="36">
        <f t="shared" si="18"/>
        <v>-3</v>
      </c>
      <c r="K214" s="35">
        <f t="shared" si="16"/>
        <v>-30</v>
      </c>
      <c r="L214" s="35"/>
      <c r="M214" s="37">
        <f t="shared" si="17"/>
        <v>0</v>
      </c>
    </row>
    <row r="215" spans="1:13" x14ac:dyDescent="0.25">
      <c r="A215" s="56"/>
      <c r="G215" s="13"/>
      <c r="H215" s="35">
        <v>210</v>
      </c>
      <c r="I215" s="36" t="str">
        <f t="shared" si="15"/>
        <v/>
      </c>
      <c r="J215" s="36">
        <f t="shared" si="18"/>
        <v>-3</v>
      </c>
      <c r="K215" s="35">
        <f t="shared" si="16"/>
        <v>-30</v>
      </c>
      <c r="L215" s="35"/>
      <c r="M215" s="37">
        <f t="shared" si="17"/>
        <v>0</v>
      </c>
    </row>
    <row r="216" spans="1:13" x14ac:dyDescent="0.25">
      <c r="A216" s="56"/>
      <c r="G216" s="13"/>
      <c r="H216" s="35">
        <v>211</v>
      </c>
      <c r="I216" s="36" t="str">
        <f t="shared" si="15"/>
        <v/>
      </c>
      <c r="J216" s="36">
        <f t="shared" si="18"/>
        <v>-3</v>
      </c>
      <c r="K216" s="35">
        <f t="shared" si="16"/>
        <v>-30</v>
      </c>
      <c r="L216" s="35"/>
      <c r="M216" s="37">
        <f t="shared" si="17"/>
        <v>0</v>
      </c>
    </row>
    <row r="217" spans="1:13" x14ac:dyDescent="0.25">
      <c r="A217" s="56"/>
      <c r="G217" s="13"/>
      <c r="H217" s="35">
        <v>212</v>
      </c>
      <c r="I217" s="36" t="str">
        <f t="shared" si="15"/>
        <v/>
      </c>
      <c r="J217" s="36">
        <f t="shared" si="18"/>
        <v>-3</v>
      </c>
      <c r="K217" s="35">
        <f t="shared" si="16"/>
        <v>-30</v>
      </c>
      <c r="L217" s="35"/>
      <c r="M217" s="37">
        <f t="shared" si="17"/>
        <v>0</v>
      </c>
    </row>
    <row r="218" spans="1:13" x14ac:dyDescent="0.25">
      <c r="A218" s="56"/>
      <c r="G218" s="13"/>
      <c r="H218" s="35">
        <v>213</v>
      </c>
      <c r="I218" s="36" t="str">
        <f t="shared" si="15"/>
        <v/>
      </c>
      <c r="J218" s="36">
        <f t="shared" si="18"/>
        <v>-3</v>
      </c>
      <c r="K218" s="35">
        <f t="shared" si="16"/>
        <v>-30</v>
      </c>
      <c r="L218" s="35"/>
      <c r="M218" s="37">
        <f t="shared" si="17"/>
        <v>0</v>
      </c>
    </row>
    <row r="219" spans="1:13" x14ac:dyDescent="0.25">
      <c r="A219" s="56"/>
      <c r="G219" s="13"/>
      <c r="H219" s="35">
        <v>214</v>
      </c>
      <c r="I219" s="36" t="str">
        <f t="shared" si="15"/>
        <v/>
      </c>
      <c r="J219" s="36">
        <f t="shared" si="18"/>
        <v>-3</v>
      </c>
      <c r="K219" s="35">
        <f t="shared" si="16"/>
        <v>-30</v>
      </c>
      <c r="L219" s="35"/>
      <c r="M219" s="37">
        <f t="shared" si="17"/>
        <v>0</v>
      </c>
    </row>
    <row r="220" spans="1:13" x14ac:dyDescent="0.25">
      <c r="A220" s="56"/>
      <c r="G220" s="13"/>
      <c r="H220" s="35">
        <v>215</v>
      </c>
      <c r="I220" s="36" t="str">
        <f t="shared" si="15"/>
        <v/>
      </c>
      <c r="J220" s="36">
        <f t="shared" si="18"/>
        <v>-3</v>
      </c>
      <c r="K220" s="35">
        <f t="shared" si="16"/>
        <v>-30</v>
      </c>
      <c r="L220" s="35"/>
      <c r="M220" s="37">
        <f t="shared" si="17"/>
        <v>0</v>
      </c>
    </row>
    <row r="221" spans="1:13" x14ac:dyDescent="0.25">
      <c r="A221" s="56"/>
      <c r="G221" s="13"/>
      <c r="H221" s="35">
        <v>216</v>
      </c>
      <c r="I221" s="36" t="str">
        <f t="shared" si="15"/>
        <v/>
      </c>
      <c r="J221" s="36">
        <f t="shared" si="18"/>
        <v>-3</v>
      </c>
      <c r="K221" s="35">
        <f t="shared" si="16"/>
        <v>-30</v>
      </c>
      <c r="L221" s="35"/>
      <c r="M221" s="37">
        <f t="shared" si="17"/>
        <v>0</v>
      </c>
    </row>
    <row r="222" spans="1:13" x14ac:dyDescent="0.25">
      <c r="A222" s="56"/>
      <c r="G222" s="13"/>
      <c r="H222" s="35">
        <v>217</v>
      </c>
      <c r="I222" s="36" t="str">
        <f t="shared" si="15"/>
        <v/>
      </c>
      <c r="J222" s="36">
        <f t="shared" si="18"/>
        <v>-3</v>
      </c>
      <c r="K222" s="35">
        <f t="shared" si="16"/>
        <v>-30</v>
      </c>
      <c r="L222" s="35"/>
      <c r="M222" s="37">
        <f t="shared" si="17"/>
        <v>0</v>
      </c>
    </row>
    <row r="223" spans="1:13" x14ac:dyDescent="0.25">
      <c r="A223" s="56"/>
      <c r="G223" s="13"/>
      <c r="H223" s="35">
        <v>218</v>
      </c>
      <c r="I223" s="36" t="str">
        <f t="shared" si="15"/>
        <v/>
      </c>
      <c r="J223" s="36">
        <f t="shared" si="18"/>
        <v>-3</v>
      </c>
      <c r="K223" s="35">
        <f t="shared" si="16"/>
        <v>-30</v>
      </c>
      <c r="L223" s="35"/>
      <c r="M223" s="37">
        <f t="shared" si="17"/>
        <v>0</v>
      </c>
    </row>
    <row r="224" spans="1:13" x14ac:dyDescent="0.25">
      <c r="A224" s="56"/>
      <c r="G224" s="13"/>
      <c r="H224" s="35">
        <v>219</v>
      </c>
      <c r="I224" s="36" t="str">
        <f t="shared" si="15"/>
        <v/>
      </c>
      <c r="J224" s="36">
        <f t="shared" si="18"/>
        <v>-3</v>
      </c>
      <c r="K224" s="35">
        <f t="shared" si="16"/>
        <v>-30</v>
      </c>
      <c r="L224" s="35"/>
      <c r="M224" s="37">
        <f t="shared" si="17"/>
        <v>0</v>
      </c>
    </row>
    <row r="225" spans="1:13" x14ac:dyDescent="0.25">
      <c r="A225" s="56"/>
      <c r="G225" s="13"/>
      <c r="H225" s="35">
        <v>220</v>
      </c>
      <c r="I225" s="36" t="str">
        <f t="shared" si="15"/>
        <v/>
      </c>
      <c r="J225" s="36">
        <f t="shared" si="18"/>
        <v>-3</v>
      </c>
      <c r="K225" s="35">
        <f t="shared" si="16"/>
        <v>-30</v>
      </c>
      <c r="L225" s="35"/>
      <c r="M225" s="37">
        <f t="shared" si="17"/>
        <v>0</v>
      </c>
    </row>
    <row r="226" spans="1:13" x14ac:dyDescent="0.25">
      <c r="A226" s="56"/>
      <c r="G226" s="13"/>
      <c r="H226" s="35">
        <v>221</v>
      </c>
      <c r="I226" s="36" t="str">
        <f t="shared" si="15"/>
        <v/>
      </c>
      <c r="J226" s="36">
        <f t="shared" si="18"/>
        <v>-3</v>
      </c>
      <c r="K226" s="35">
        <f t="shared" si="16"/>
        <v>-30</v>
      </c>
      <c r="L226" s="35"/>
      <c r="M226" s="37">
        <f t="shared" si="17"/>
        <v>0</v>
      </c>
    </row>
    <row r="227" spans="1:13" x14ac:dyDescent="0.25">
      <c r="A227" s="56"/>
      <c r="G227" s="13"/>
      <c r="H227" s="35">
        <v>222</v>
      </c>
      <c r="I227" s="36" t="str">
        <f t="shared" si="15"/>
        <v/>
      </c>
      <c r="J227" s="36">
        <f t="shared" si="18"/>
        <v>-3</v>
      </c>
      <c r="K227" s="35">
        <f t="shared" si="16"/>
        <v>-30</v>
      </c>
      <c r="L227" s="35"/>
      <c r="M227" s="37">
        <f t="shared" si="17"/>
        <v>0</v>
      </c>
    </row>
    <row r="228" spans="1:13" x14ac:dyDescent="0.25">
      <c r="A228" s="56"/>
      <c r="G228" s="13"/>
      <c r="H228" s="35">
        <v>223</v>
      </c>
      <c r="I228" s="36" t="str">
        <f t="shared" si="15"/>
        <v/>
      </c>
      <c r="J228" s="36">
        <f t="shared" si="18"/>
        <v>-3</v>
      </c>
      <c r="K228" s="35">
        <f t="shared" si="16"/>
        <v>-30</v>
      </c>
      <c r="L228" s="35"/>
      <c r="M228" s="37">
        <f t="shared" si="17"/>
        <v>0</v>
      </c>
    </row>
    <row r="229" spans="1:13" x14ac:dyDescent="0.25">
      <c r="A229" s="56"/>
      <c r="G229" s="13"/>
      <c r="H229" s="35">
        <v>224</v>
      </c>
      <c r="I229" s="36" t="str">
        <f t="shared" si="15"/>
        <v/>
      </c>
      <c r="J229" s="36">
        <f t="shared" si="18"/>
        <v>-3</v>
      </c>
      <c r="K229" s="35">
        <f t="shared" si="16"/>
        <v>-30</v>
      </c>
      <c r="L229" s="35"/>
      <c r="M229" s="37">
        <f t="shared" si="17"/>
        <v>0</v>
      </c>
    </row>
    <row r="230" spans="1:13" x14ac:dyDescent="0.25">
      <c r="A230" s="56"/>
      <c r="G230" s="13"/>
      <c r="H230" s="35">
        <v>225</v>
      </c>
      <c r="I230" s="36" t="str">
        <f t="shared" si="15"/>
        <v/>
      </c>
      <c r="J230" s="36">
        <f t="shared" si="18"/>
        <v>-3</v>
      </c>
      <c r="K230" s="35">
        <f t="shared" si="16"/>
        <v>-30</v>
      </c>
      <c r="L230" s="35"/>
      <c r="M230" s="37">
        <f t="shared" si="17"/>
        <v>0</v>
      </c>
    </row>
    <row r="231" spans="1:13" x14ac:dyDescent="0.25">
      <c r="A231" s="56"/>
      <c r="G231" s="13"/>
      <c r="H231" s="35">
        <v>226</v>
      </c>
      <c r="I231" s="36" t="str">
        <f t="shared" si="15"/>
        <v/>
      </c>
      <c r="J231" s="36">
        <f t="shared" si="18"/>
        <v>-3</v>
      </c>
      <c r="K231" s="35">
        <f t="shared" si="16"/>
        <v>-30</v>
      </c>
      <c r="L231" s="35"/>
      <c r="M231" s="37">
        <f t="shared" si="17"/>
        <v>0</v>
      </c>
    </row>
    <row r="232" spans="1:13" x14ac:dyDescent="0.25">
      <c r="A232" s="56"/>
      <c r="G232" s="13"/>
      <c r="H232" s="35">
        <v>227</v>
      </c>
      <c r="I232" s="36" t="str">
        <f t="shared" si="15"/>
        <v/>
      </c>
      <c r="J232" s="36">
        <f t="shared" si="18"/>
        <v>-3</v>
      </c>
      <c r="K232" s="35">
        <f t="shared" si="16"/>
        <v>-30</v>
      </c>
      <c r="L232" s="35"/>
      <c r="M232" s="37">
        <f t="shared" si="17"/>
        <v>0</v>
      </c>
    </row>
    <row r="233" spans="1:13" x14ac:dyDescent="0.25">
      <c r="A233" s="56"/>
      <c r="G233" s="13"/>
      <c r="H233" s="35">
        <v>228</v>
      </c>
      <c r="I233" s="36" t="str">
        <f t="shared" si="15"/>
        <v/>
      </c>
      <c r="J233" s="36">
        <f t="shared" si="18"/>
        <v>-3</v>
      </c>
      <c r="K233" s="35">
        <f t="shared" si="16"/>
        <v>-30</v>
      </c>
      <c r="L233" s="35"/>
      <c r="M233" s="37">
        <f t="shared" si="17"/>
        <v>0</v>
      </c>
    </row>
    <row r="234" spans="1:13" x14ac:dyDescent="0.25">
      <c r="A234" s="56"/>
      <c r="G234" s="13"/>
      <c r="H234" s="35">
        <v>229</v>
      </c>
      <c r="I234" s="36" t="str">
        <f t="shared" si="15"/>
        <v/>
      </c>
      <c r="J234" s="36">
        <f t="shared" si="18"/>
        <v>-3</v>
      </c>
      <c r="K234" s="35">
        <f t="shared" si="16"/>
        <v>-30</v>
      </c>
      <c r="L234" s="35"/>
      <c r="M234" s="37">
        <f t="shared" si="17"/>
        <v>0</v>
      </c>
    </row>
    <row r="235" spans="1:13" x14ac:dyDescent="0.25">
      <c r="A235" s="56"/>
      <c r="G235" s="13"/>
      <c r="H235" s="35">
        <v>230</v>
      </c>
      <c r="I235" s="36" t="str">
        <f t="shared" si="15"/>
        <v/>
      </c>
      <c r="J235" s="36">
        <f t="shared" si="18"/>
        <v>-3</v>
      </c>
      <c r="K235" s="35">
        <f t="shared" si="16"/>
        <v>-30</v>
      </c>
      <c r="L235" s="35"/>
      <c r="M235" s="37">
        <f t="shared" si="17"/>
        <v>0</v>
      </c>
    </row>
    <row r="236" spans="1:13" x14ac:dyDescent="0.25">
      <c r="A236" s="56"/>
      <c r="G236" s="13"/>
      <c r="H236" s="35">
        <v>231</v>
      </c>
      <c r="I236" s="36" t="str">
        <f t="shared" si="15"/>
        <v/>
      </c>
      <c r="J236" s="36">
        <f t="shared" si="18"/>
        <v>-3</v>
      </c>
      <c r="K236" s="35">
        <f t="shared" si="16"/>
        <v>-30</v>
      </c>
      <c r="L236" s="35"/>
      <c r="M236" s="37">
        <f t="shared" si="17"/>
        <v>0</v>
      </c>
    </row>
    <row r="237" spans="1:13" x14ac:dyDescent="0.25">
      <c r="A237" s="56"/>
      <c r="G237" s="13"/>
      <c r="H237" s="35">
        <v>232</v>
      </c>
      <c r="I237" s="36" t="str">
        <f t="shared" si="15"/>
        <v/>
      </c>
      <c r="J237" s="36">
        <f t="shared" si="18"/>
        <v>-3</v>
      </c>
      <c r="K237" s="35">
        <f t="shared" si="16"/>
        <v>-30</v>
      </c>
      <c r="L237" s="35"/>
      <c r="M237" s="37">
        <f t="shared" si="17"/>
        <v>0</v>
      </c>
    </row>
    <row r="238" spans="1:13" x14ac:dyDescent="0.25">
      <c r="A238" s="56"/>
      <c r="G238" s="13"/>
      <c r="H238" s="35">
        <v>233</v>
      </c>
      <c r="I238" s="36" t="str">
        <f t="shared" si="15"/>
        <v/>
      </c>
      <c r="J238" s="36">
        <f t="shared" si="18"/>
        <v>-3</v>
      </c>
      <c r="K238" s="35">
        <f t="shared" si="16"/>
        <v>-30</v>
      </c>
      <c r="L238" s="35"/>
      <c r="M238" s="37">
        <f t="shared" si="17"/>
        <v>0</v>
      </c>
    </row>
    <row r="239" spans="1:13" x14ac:dyDescent="0.25">
      <c r="A239" s="56"/>
      <c r="G239" s="13"/>
      <c r="H239" s="35">
        <v>234</v>
      </c>
      <c r="I239" s="36" t="str">
        <f t="shared" si="15"/>
        <v/>
      </c>
      <c r="J239" s="36">
        <f t="shared" si="18"/>
        <v>-3</v>
      </c>
      <c r="K239" s="35">
        <f t="shared" si="16"/>
        <v>-30</v>
      </c>
      <c r="L239" s="35"/>
      <c r="M239" s="37">
        <f t="shared" si="17"/>
        <v>0</v>
      </c>
    </row>
    <row r="240" spans="1:13" x14ac:dyDescent="0.25">
      <c r="A240" s="56"/>
      <c r="G240" s="13"/>
      <c r="H240" s="35">
        <v>235</v>
      </c>
      <c r="I240" s="36" t="str">
        <f t="shared" si="15"/>
        <v/>
      </c>
      <c r="J240" s="36">
        <f t="shared" si="18"/>
        <v>-3</v>
      </c>
      <c r="K240" s="35">
        <f t="shared" si="16"/>
        <v>-30</v>
      </c>
      <c r="L240" s="35"/>
      <c r="M240" s="37">
        <f t="shared" si="17"/>
        <v>0</v>
      </c>
    </row>
    <row r="241" spans="1:13" x14ac:dyDescent="0.25">
      <c r="A241" s="56"/>
      <c r="G241" s="13"/>
      <c r="H241" s="35">
        <v>236</v>
      </c>
      <c r="I241" s="36" t="str">
        <f t="shared" si="15"/>
        <v/>
      </c>
      <c r="J241" s="36">
        <f t="shared" si="18"/>
        <v>-3</v>
      </c>
      <c r="K241" s="35">
        <f t="shared" si="16"/>
        <v>-30</v>
      </c>
      <c r="L241" s="35"/>
      <c r="M241" s="37">
        <f t="shared" si="17"/>
        <v>0</v>
      </c>
    </row>
    <row r="242" spans="1:13" x14ac:dyDescent="0.25">
      <c r="A242" s="56"/>
      <c r="G242" s="13"/>
      <c r="H242" s="35">
        <v>237</v>
      </c>
      <c r="I242" s="36" t="str">
        <f t="shared" si="15"/>
        <v/>
      </c>
      <c r="J242" s="36">
        <f t="shared" si="18"/>
        <v>-3</v>
      </c>
      <c r="K242" s="35">
        <f t="shared" si="16"/>
        <v>-30</v>
      </c>
      <c r="L242" s="35"/>
      <c r="M242" s="37">
        <f t="shared" si="17"/>
        <v>0</v>
      </c>
    </row>
    <row r="243" spans="1:13" x14ac:dyDescent="0.25">
      <c r="A243" s="56"/>
      <c r="G243" s="13"/>
      <c r="H243" s="35">
        <v>238</v>
      </c>
      <c r="I243" s="36" t="str">
        <f t="shared" si="15"/>
        <v/>
      </c>
      <c r="J243" s="36">
        <f t="shared" si="18"/>
        <v>-3</v>
      </c>
      <c r="K243" s="35">
        <f t="shared" si="16"/>
        <v>-30</v>
      </c>
      <c r="L243" s="35"/>
      <c r="M243" s="37">
        <f t="shared" si="17"/>
        <v>0</v>
      </c>
    </row>
    <row r="244" spans="1:13" x14ac:dyDescent="0.25">
      <c r="A244" s="56"/>
      <c r="G244" s="13"/>
      <c r="H244" s="35">
        <v>239</v>
      </c>
      <c r="I244" s="36" t="str">
        <f t="shared" si="15"/>
        <v/>
      </c>
      <c r="J244" s="36">
        <f t="shared" si="18"/>
        <v>-3</v>
      </c>
      <c r="K244" s="35">
        <f t="shared" si="16"/>
        <v>-30</v>
      </c>
      <c r="L244" s="35"/>
      <c r="M244" s="37">
        <f t="shared" si="17"/>
        <v>0</v>
      </c>
    </row>
    <row r="245" spans="1:13" x14ac:dyDescent="0.25">
      <c r="A245" s="56"/>
      <c r="G245" s="13"/>
      <c r="H245" s="35">
        <v>240</v>
      </c>
      <c r="I245" s="36" t="str">
        <f t="shared" si="15"/>
        <v/>
      </c>
      <c r="J245" s="36">
        <f t="shared" si="18"/>
        <v>-3</v>
      </c>
      <c r="K245" s="35">
        <f t="shared" si="16"/>
        <v>-30</v>
      </c>
      <c r="L245" s="35"/>
      <c r="M245" s="37">
        <f t="shared" si="17"/>
        <v>0</v>
      </c>
    </row>
    <row r="246" spans="1:13" x14ac:dyDescent="0.25">
      <c r="A246" s="56"/>
      <c r="G246" s="13"/>
      <c r="H246" s="35">
        <v>241</v>
      </c>
      <c r="I246" s="36" t="str">
        <f t="shared" si="15"/>
        <v/>
      </c>
      <c r="J246" s="36">
        <f t="shared" si="18"/>
        <v>-3</v>
      </c>
      <c r="K246" s="35">
        <f t="shared" si="16"/>
        <v>-30</v>
      </c>
      <c r="L246" s="35"/>
      <c r="M246" s="37">
        <f t="shared" si="17"/>
        <v>0</v>
      </c>
    </row>
    <row r="247" spans="1:13" x14ac:dyDescent="0.25">
      <c r="A247" s="56"/>
      <c r="G247" s="13"/>
      <c r="H247" s="35">
        <v>242</v>
      </c>
      <c r="I247" s="36" t="str">
        <f t="shared" si="15"/>
        <v/>
      </c>
      <c r="J247" s="36">
        <f t="shared" si="18"/>
        <v>-3</v>
      </c>
      <c r="K247" s="35">
        <f t="shared" si="16"/>
        <v>-30</v>
      </c>
      <c r="L247" s="35"/>
      <c r="M247" s="37">
        <f t="shared" si="17"/>
        <v>0</v>
      </c>
    </row>
    <row r="248" spans="1:13" x14ac:dyDescent="0.25">
      <c r="A248" s="56"/>
      <c r="G248" s="13"/>
      <c r="H248" s="35">
        <v>243</v>
      </c>
      <c r="I248" s="36" t="str">
        <f t="shared" si="15"/>
        <v/>
      </c>
      <c r="J248" s="36">
        <f t="shared" si="18"/>
        <v>-3</v>
      </c>
      <c r="K248" s="35">
        <f t="shared" si="16"/>
        <v>-30</v>
      </c>
      <c r="L248" s="35"/>
      <c r="M248" s="37">
        <f t="shared" si="17"/>
        <v>0</v>
      </c>
    </row>
    <row r="249" spans="1:13" x14ac:dyDescent="0.25">
      <c r="A249" s="56"/>
      <c r="G249" s="13"/>
      <c r="H249" s="35">
        <v>244</v>
      </c>
      <c r="I249" s="36" t="str">
        <f t="shared" si="15"/>
        <v/>
      </c>
      <c r="J249" s="36">
        <f t="shared" si="18"/>
        <v>-3</v>
      </c>
      <c r="K249" s="35">
        <f t="shared" si="16"/>
        <v>-30</v>
      </c>
      <c r="L249" s="35"/>
      <c r="M249" s="37">
        <f t="shared" si="17"/>
        <v>0</v>
      </c>
    </row>
    <row r="250" spans="1:13" x14ac:dyDescent="0.25">
      <c r="A250" s="56"/>
      <c r="G250" s="13"/>
      <c r="H250" s="35">
        <v>245</v>
      </c>
      <c r="I250" s="36" t="str">
        <f t="shared" si="15"/>
        <v/>
      </c>
      <c r="J250" s="36">
        <f t="shared" si="18"/>
        <v>-3</v>
      </c>
      <c r="K250" s="35">
        <f t="shared" si="16"/>
        <v>-30</v>
      </c>
      <c r="L250" s="35"/>
      <c r="M250" s="37">
        <f t="shared" si="17"/>
        <v>0</v>
      </c>
    </row>
    <row r="251" spans="1:13" x14ac:dyDescent="0.25">
      <c r="A251" s="56"/>
      <c r="G251" s="13"/>
      <c r="H251" s="35">
        <v>246</v>
      </c>
      <c r="I251" s="36" t="str">
        <f t="shared" si="15"/>
        <v/>
      </c>
      <c r="J251" s="36">
        <f t="shared" si="18"/>
        <v>-3</v>
      </c>
      <c r="K251" s="35">
        <f t="shared" si="16"/>
        <v>-30</v>
      </c>
      <c r="L251" s="35"/>
      <c r="M251" s="37">
        <f t="shared" si="17"/>
        <v>0</v>
      </c>
    </row>
    <row r="252" spans="1:13" x14ac:dyDescent="0.25">
      <c r="A252" s="56"/>
      <c r="G252" s="13"/>
      <c r="H252" s="35">
        <v>247</v>
      </c>
      <c r="I252" s="36" t="str">
        <f t="shared" si="15"/>
        <v/>
      </c>
      <c r="J252" s="36">
        <f t="shared" si="18"/>
        <v>-3</v>
      </c>
      <c r="K252" s="35">
        <f t="shared" si="16"/>
        <v>-30</v>
      </c>
      <c r="L252" s="35"/>
      <c r="M252" s="37">
        <f t="shared" si="17"/>
        <v>0</v>
      </c>
    </row>
    <row r="253" spans="1:13" x14ac:dyDescent="0.25">
      <c r="A253" s="56"/>
      <c r="G253" s="13"/>
      <c r="H253" s="35">
        <v>248</v>
      </c>
      <c r="I253" s="36" t="str">
        <f t="shared" si="15"/>
        <v/>
      </c>
      <c r="J253" s="36">
        <f t="shared" si="18"/>
        <v>-3</v>
      </c>
      <c r="K253" s="35">
        <f t="shared" si="16"/>
        <v>-30</v>
      </c>
      <c r="L253" s="35"/>
      <c r="M253" s="37">
        <f t="shared" si="17"/>
        <v>0</v>
      </c>
    </row>
    <row r="254" spans="1:13" x14ac:dyDescent="0.25">
      <c r="A254" s="56"/>
      <c r="G254" s="13"/>
      <c r="H254" s="35">
        <v>249</v>
      </c>
      <c r="I254" s="36" t="str">
        <f t="shared" si="15"/>
        <v/>
      </c>
      <c r="J254" s="36">
        <f t="shared" si="18"/>
        <v>-3</v>
      </c>
      <c r="K254" s="35">
        <f t="shared" si="16"/>
        <v>-30</v>
      </c>
      <c r="L254" s="35"/>
      <c r="M254" s="37">
        <f t="shared" si="17"/>
        <v>0</v>
      </c>
    </row>
    <row r="255" spans="1:13" x14ac:dyDescent="0.25">
      <c r="A255" s="56"/>
      <c r="G255" s="13"/>
      <c r="H255" s="35">
        <v>250</v>
      </c>
      <c r="I255" s="36" t="str">
        <f t="shared" si="15"/>
        <v/>
      </c>
      <c r="J255" s="36">
        <f t="shared" si="18"/>
        <v>-3</v>
      </c>
      <c r="K255" s="35">
        <f t="shared" si="16"/>
        <v>-30</v>
      </c>
      <c r="L255" s="35"/>
      <c r="M255" s="37">
        <f t="shared" si="17"/>
        <v>0</v>
      </c>
    </row>
    <row r="256" spans="1:13" x14ac:dyDescent="0.25">
      <c r="A256" s="56"/>
      <c r="G256" s="13"/>
      <c r="H256" s="35">
        <v>251</v>
      </c>
      <c r="I256" s="36" t="str">
        <f t="shared" si="15"/>
        <v/>
      </c>
      <c r="J256" s="36">
        <f t="shared" si="18"/>
        <v>-3</v>
      </c>
      <c r="K256" s="35">
        <f t="shared" si="16"/>
        <v>-30</v>
      </c>
      <c r="L256" s="35"/>
      <c r="M256" s="37">
        <f t="shared" si="17"/>
        <v>0</v>
      </c>
    </row>
    <row r="257" spans="1:13" x14ac:dyDescent="0.25">
      <c r="A257" s="56"/>
      <c r="G257" s="13"/>
      <c r="H257" s="35">
        <v>252</v>
      </c>
      <c r="I257" s="36" t="str">
        <f t="shared" si="15"/>
        <v/>
      </c>
      <c r="J257" s="36">
        <f t="shared" si="18"/>
        <v>-3</v>
      </c>
      <c r="K257" s="35">
        <f t="shared" si="16"/>
        <v>-30</v>
      </c>
      <c r="L257" s="35"/>
      <c r="M257" s="37">
        <f t="shared" si="17"/>
        <v>0</v>
      </c>
    </row>
    <row r="258" spans="1:13" x14ac:dyDescent="0.25">
      <c r="A258" s="56"/>
      <c r="G258" s="13"/>
      <c r="H258" s="35">
        <v>253</v>
      </c>
      <c r="I258" s="36" t="str">
        <f t="shared" si="15"/>
        <v/>
      </c>
      <c r="J258" s="36">
        <f t="shared" si="18"/>
        <v>-3</v>
      </c>
      <c r="K258" s="35">
        <f t="shared" si="16"/>
        <v>-30</v>
      </c>
      <c r="L258" s="35"/>
      <c r="M258" s="37">
        <f t="shared" si="17"/>
        <v>0</v>
      </c>
    </row>
    <row r="259" spans="1:13" x14ac:dyDescent="0.25">
      <c r="A259" s="56"/>
      <c r="G259" s="13"/>
      <c r="H259" s="35">
        <v>254</v>
      </c>
      <c r="I259" s="36" t="str">
        <f t="shared" si="15"/>
        <v/>
      </c>
      <c r="J259" s="36">
        <f t="shared" si="18"/>
        <v>-3</v>
      </c>
      <c r="K259" s="35">
        <f t="shared" si="16"/>
        <v>-30</v>
      </c>
      <c r="L259" s="35"/>
      <c r="M259" s="37">
        <f t="shared" si="17"/>
        <v>0</v>
      </c>
    </row>
    <row r="260" spans="1:13" x14ac:dyDescent="0.25">
      <c r="A260" s="56"/>
      <c r="G260" s="13"/>
      <c r="H260" s="35">
        <v>255</v>
      </c>
      <c r="I260" s="36" t="str">
        <f t="shared" si="15"/>
        <v/>
      </c>
      <c r="J260" s="36">
        <f t="shared" si="18"/>
        <v>-3</v>
      </c>
      <c r="K260" s="35">
        <f t="shared" si="16"/>
        <v>-30</v>
      </c>
      <c r="L260" s="35"/>
      <c r="M260" s="37">
        <f t="shared" si="17"/>
        <v>0</v>
      </c>
    </row>
    <row r="261" spans="1:13" x14ac:dyDescent="0.25">
      <c r="A261" s="56"/>
      <c r="G261" s="13"/>
      <c r="H261" s="35">
        <v>256</v>
      </c>
      <c r="I261" s="36" t="str">
        <f t="shared" si="15"/>
        <v/>
      </c>
      <c r="J261" s="36">
        <f t="shared" si="18"/>
        <v>-3</v>
      </c>
      <c r="K261" s="35">
        <f t="shared" si="16"/>
        <v>-30</v>
      </c>
      <c r="L261" s="35"/>
      <c r="M261" s="37">
        <f t="shared" si="17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6">
        <f t="shared" si="18"/>
        <v>-4</v>
      </c>
      <c r="K262" s="35">
        <f t="shared" ref="K262:K305" si="20">J262*$J$2</f>
        <v>-40</v>
      </c>
      <c r="L262" s="35"/>
      <c r="M262" s="37">
        <f t="shared" ref="M262:M305" si="21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9"/>
        <v/>
      </c>
      <c r="J263" s="36">
        <f t="shared" ref="J263:J305" si="22">INT(LOG($H$2,2))-ROUNDUP(LOG(H263,2),0)+IF(OR($H$2=1,$H$2=2,$H$2=4,$H$2=8,$H$2=16,$H$2=32,$H$2=64,$H$2=128,$H$2=256),0,1)</f>
        <v>-4</v>
      </c>
      <c r="K263" s="35">
        <f t="shared" si="20"/>
        <v>-40</v>
      </c>
      <c r="L263" s="35"/>
      <c r="M263" s="37">
        <f t="shared" si="21"/>
        <v>0</v>
      </c>
    </row>
    <row r="264" spans="1:13" x14ac:dyDescent="0.25">
      <c r="A264" s="56"/>
      <c r="G264" s="13"/>
      <c r="H264" s="35">
        <v>259</v>
      </c>
      <c r="I264" s="36" t="str">
        <f t="shared" si="19"/>
        <v/>
      </c>
      <c r="J264" s="36">
        <f t="shared" si="22"/>
        <v>-4</v>
      </c>
      <c r="K264" s="35">
        <f t="shared" si="20"/>
        <v>-40</v>
      </c>
      <c r="L264" s="35"/>
      <c r="M264" s="37">
        <f t="shared" si="21"/>
        <v>0</v>
      </c>
    </row>
    <row r="265" spans="1:13" x14ac:dyDescent="0.25">
      <c r="A265" s="56"/>
      <c r="G265" s="13"/>
      <c r="H265" s="35">
        <v>260</v>
      </c>
      <c r="I265" s="36" t="str">
        <f t="shared" si="19"/>
        <v/>
      </c>
      <c r="J265" s="36">
        <f t="shared" si="22"/>
        <v>-4</v>
      </c>
      <c r="K265" s="35">
        <f t="shared" si="20"/>
        <v>-40</v>
      </c>
      <c r="L265" s="35"/>
      <c r="M265" s="37">
        <f t="shared" si="21"/>
        <v>0</v>
      </c>
    </row>
    <row r="266" spans="1:13" x14ac:dyDescent="0.25">
      <c r="A266" s="56"/>
      <c r="G266" s="13"/>
      <c r="H266" s="35">
        <v>261</v>
      </c>
      <c r="I266" s="36" t="str">
        <f t="shared" si="19"/>
        <v/>
      </c>
      <c r="J266" s="36">
        <f t="shared" si="22"/>
        <v>-4</v>
      </c>
      <c r="K266" s="35">
        <f t="shared" si="20"/>
        <v>-40</v>
      </c>
      <c r="L266" s="35"/>
      <c r="M266" s="37">
        <f t="shared" si="21"/>
        <v>0</v>
      </c>
    </row>
    <row r="267" spans="1:13" x14ac:dyDescent="0.25">
      <c r="A267" s="56"/>
      <c r="G267" s="13"/>
      <c r="H267" s="35">
        <v>262</v>
      </c>
      <c r="I267" s="36" t="str">
        <f t="shared" si="19"/>
        <v/>
      </c>
      <c r="J267" s="36">
        <f t="shared" si="22"/>
        <v>-4</v>
      </c>
      <c r="K267" s="35">
        <f t="shared" si="20"/>
        <v>-40</v>
      </c>
      <c r="L267" s="35"/>
      <c r="M267" s="37">
        <f t="shared" si="21"/>
        <v>0</v>
      </c>
    </row>
    <row r="268" spans="1:13" x14ac:dyDescent="0.25">
      <c r="A268" s="56"/>
      <c r="G268" s="13"/>
      <c r="H268" s="35">
        <v>263</v>
      </c>
      <c r="I268" s="36" t="str">
        <f t="shared" si="19"/>
        <v/>
      </c>
      <c r="J268" s="36">
        <f t="shared" si="22"/>
        <v>-4</v>
      </c>
      <c r="K268" s="35">
        <f t="shared" si="20"/>
        <v>-40</v>
      </c>
      <c r="L268" s="35"/>
      <c r="M268" s="37">
        <f t="shared" si="21"/>
        <v>0</v>
      </c>
    </row>
    <row r="269" spans="1:13" x14ac:dyDescent="0.25">
      <c r="A269" s="56"/>
      <c r="G269" s="13"/>
      <c r="H269" s="35">
        <v>264</v>
      </c>
      <c r="I269" s="36" t="str">
        <f t="shared" si="19"/>
        <v/>
      </c>
      <c r="J269" s="36">
        <f t="shared" si="22"/>
        <v>-4</v>
      </c>
      <c r="K269" s="35">
        <f t="shared" si="20"/>
        <v>-40</v>
      </c>
      <c r="L269" s="35"/>
      <c r="M269" s="37">
        <f t="shared" si="21"/>
        <v>0</v>
      </c>
    </row>
    <row r="270" spans="1:13" x14ac:dyDescent="0.25">
      <c r="A270" s="56"/>
      <c r="G270" s="13"/>
      <c r="H270" s="35">
        <v>265</v>
      </c>
      <c r="I270" s="36" t="str">
        <f t="shared" si="19"/>
        <v/>
      </c>
      <c r="J270" s="36">
        <f t="shared" si="22"/>
        <v>-4</v>
      </c>
      <c r="K270" s="35">
        <f t="shared" si="20"/>
        <v>-40</v>
      </c>
      <c r="L270" s="35"/>
      <c r="M270" s="37">
        <f t="shared" si="21"/>
        <v>0</v>
      </c>
    </row>
    <row r="271" spans="1:13" x14ac:dyDescent="0.25">
      <c r="A271" s="56"/>
      <c r="G271" s="13"/>
      <c r="H271" s="35">
        <v>266</v>
      </c>
      <c r="I271" s="36" t="str">
        <f t="shared" si="19"/>
        <v/>
      </c>
      <c r="J271" s="36">
        <f t="shared" si="22"/>
        <v>-4</v>
      </c>
      <c r="K271" s="35">
        <f t="shared" si="20"/>
        <v>-40</v>
      </c>
      <c r="L271" s="35"/>
      <c r="M271" s="37">
        <f t="shared" si="21"/>
        <v>0</v>
      </c>
    </row>
    <row r="272" spans="1:13" x14ac:dyDescent="0.25">
      <c r="A272" s="56"/>
      <c r="G272" s="13"/>
      <c r="H272" s="35">
        <v>267</v>
      </c>
      <c r="I272" s="36" t="str">
        <f t="shared" si="19"/>
        <v/>
      </c>
      <c r="J272" s="36">
        <f t="shared" si="22"/>
        <v>-4</v>
      </c>
      <c r="K272" s="35">
        <f t="shared" si="20"/>
        <v>-40</v>
      </c>
      <c r="L272" s="35"/>
      <c r="M272" s="37">
        <f t="shared" si="21"/>
        <v>0</v>
      </c>
    </row>
    <row r="273" spans="1:13" x14ac:dyDescent="0.25">
      <c r="A273" s="56"/>
      <c r="G273" s="13"/>
      <c r="H273" s="35">
        <v>268</v>
      </c>
      <c r="I273" s="36" t="str">
        <f t="shared" si="19"/>
        <v/>
      </c>
      <c r="J273" s="36">
        <f t="shared" si="22"/>
        <v>-4</v>
      </c>
      <c r="K273" s="35">
        <f t="shared" si="20"/>
        <v>-40</v>
      </c>
      <c r="L273" s="35"/>
      <c r="M273" s="37">
        <f t="shared" si="21"/>
        <v>0</v>
      </c>
    </row>
    <row r="274" spans="1:13" x14ac:dyDescent="0.25">
      <c r="A274" s="56"/>
      <c r="G274" s="13"/>
      <c r="H274" s="35">
        <v>269</v>
      </c>
      <c r="I274" s="36" t="str">
        <f t="shared" si="19"/>
        <v/>
      </c>
      <c r="J274" s="36">
        <f t="shared" si="22"/>
        <v>-4</v>
      </c>
      <c r="K274" s="35">
        <f t="shared" si="20"/>
        <v>-40</v>
      </c>
      <c r="L274" s="35"/>
      <c r="M274" s="37">
        <f t="shared" si="21"/>
        <v>0</v>
      </c>
    </row>
    <row r="275" spans="1:13" x14ac:dyDescent="0.25">
      <c r="A275" s="56"/>
      <c r="G275" s="13"/>
      <c r="H275" s="35">
        <v>270</v>
      </c>
      <c r="I275" s="36" t="str">
        <f t="shared" si="19"/>
        <v/>
      </c>
      <c r="J275" s="36">
        <f t="shared" si="22"/>
        <v>-4</v>
      </c>
      <c r="K275" s="35">
        <f t="shared" si="20"/>
        <v>-40</v>
      </c>
      <c r="L275" s="35"/>
      <c r="M275" s="37">
        <f t="shared" si="21"/>
        <v>0</v>
      </c>
    </row>
    <row r="276" spans="1:13" x14ac:dyDescent="0.25">
      <c r="A276" s="56"/>
      <c r="G276" s="13"/>
      <c r="H276" s="35">
        <v>271</v>
      </c>
      <c r="I276" s="36" t="str">
        <f t="shared" si="19"/>
        <v/>
      </c>
      <c r="J276" s="36">
        <f t="shared" si="22"/>
        <v>-4</v>
      </c>
      <c r="K276" s="35">
        <f t="shared" si="20"/>
        <v>-40</v>
      </c>
      <c r="L276" s="35"/>
      <c r="M276" s="37">
        <f t="shared" si="21"/>
        <v>0</v>
      </c>
    </row>
    <row r="277" spans="1:13" x14ac:dyDescent="0.25">
      <c r="A277" s="56"/>
      <c r="G277" s="13"/>
      <c r="H277" s="35">
        <v>272</v>
      </c>
      <c r="I277" s="36" t="str">
        <f t="shared" si="19"/>
        <v/>
      </c>
      <c r="J277" s="36">
        <f t="shared" si="22"/>
        <v>-4</v>
      </c>
      <c r="K277" s="35">
        <f t="shared" si="20"/>
        <v>-40</v>
      </c>
      <c r="L277" s="35"/>
      <c r="M277" s="37">
        <f t="shared" si="21"/>
        <v>0</v>
      </c>
    </row>
    <row r="278" spans="1:13" x14ac:dyDescent="0.25">
      <c r="A278" s="56"/>
      <c r="G278" s="13"/>
      <c r="H278" s="35">
        <v>273</v>
      </c>
      <c r="I278" s="36" t="str">
        <f t="shared" si="19"/>
        <v/>
      </c>
      <c r="J278" s="36">
        <f t="shared" si="22"/>
        <v>-4</v>
      </c>
      <c r="K278" s="35">
        <f t="shared" si="20"/>
        <v>-40</v>
      </c>
      <c r="L278" s="35"/>
      <c r="M278" s="37">
        <f t="shared" si="21"/>
        <v>0</v>
      </c>
    </row>
    <row r="279" spans="1:13" x14ac:dyDescent="0.25">
      <c r="A279" s="56"/>
      <c r="G279" s="13"/>
      <c r="H279" s="35">
        <v>274</v>
      </c>
      <c r="I279" s="36" t="str">
        <f t="shared" si="19"/>
        <v/>
      </c>
      <c r="J279" s="36">
        <f t="shared" si="22"/>
        <v>-4</v>
      </c>
      <c r="K279" s="35">
        <f t="shared" si="20"/>
        <v>-40</v>
      </c>
      <c r="L279" s="35"/>
      <c r="M279" s="37">
        <f t="shared" si="21"/>
        <v>0</v>
      </c>
    </row>
    <row r="280" spans="1:13" x14ac:dyDescent="0.25">
      <c r="A280" s="56"/>
      <c r="G280" s="13"/>
      <c r="H280" s="35">
        <v>275</v>
      </c>
      <c r="I280" s="36" t="str">
        <f t="shared" si="19"/>
        <v/>
      </c>
      <c r="J280" s="36">
        <f t="shared" si="22"/>
        <v>-4</v>
      </c>
      <c r="K280" s="35">
        <f t="shared" si="20"/>
        <v>-40</v>
      </c>
      <c r="L280" s="35"/>
      <c r="M280" s="37">
        <f t="shared" si="21"/>
        <v>0</v>
      </c>
    </row>
    <row r="281" spans="1:13" x14ac:dyDescent="0.25">
      <c r="A281" s="56"/>
      <c r="G281" s="13"/>
      <c r="H281" s="35">
        <v>276</v>
      </c>
      <c r="I281" s="36" t="str">
        <f t="shared" si="19"/>
        <v/>
      </c>
      <c r="J281" s="36">
        <f t="shared" si="22"/>
        <v>-4</v>
      </c>
      <c r="K281" s="35">
        <f t="shared" si="20"/>
        <v>-40</v>
      </c>
      <c r="L281" s="35"/>
      <c r="M281" s="37">
        <f t="shared" si="21"/>
        <v>0</v>
      </c>
    </row>
    <row r="282" spans="1:13" x14ac:dyDescent="0.25">
      <c r="A282" s="56"/>
      <c r="G282" s="13"/>
      <c r="H282" s="35">
        <v>277</v>
      </c>
      <c r="I282" s="36" t="str">
        <f t="shared" si="19"/>
        <v/>
      </c>
      <c r="J282" s="36">
        <f t="shared" si="22"/>
        <v>-4</v>
      </c>
      <c r="K282" s="35">
        <f t="shared" si="20"/>
        <v>-40</v>
      </c>
      <c r="L282" s="35"/>
      <c r="M282" s="37">
        <f t="shared" si="21"/>
        <v>0</v>
      </c>
    </row>
    <row r="283" spans="1:13" x14ac:dyDescent="0.25">
      <c r="A283" s="56"/>
      <c r="G283" s="13"/>
      <c r="H283" s="35">
        <v>278</v>
      </c>
      <c r="I283" s="36" t="str">
        <f t="shared" si="19"/>
        <v/>
      </c>
      <c r="J283" s="36">
        <f t="shared" si="22"/>
        <v>-4</v>
      </c>
      <c r="K283" s="35">
        <f t="shared" si="20"/>
        <v>-40</v>
      </c>
      <c r="L283" s="35"/>
      <c r="M283" s="37">
        <f t="shared" si="21"/>
        <v>0</v>
      </c>
    </row>
    <row r="284" spans="1:13" x14ac:dyDescent="0.25">
      <c r="A284" s="56"/>
      <c r="G284" s="13"/>
      <c r="H284" s="35">
        <v>279</v>
      </c>
      <c r="I284" s="36" t="str">
        <f t="shared" si="19"/>
        <v/>
      </c>
      <c r="J284" s="36">
        <f t="shared" si="22"/>
        <v>-4</v>
      </c>
      <c r="K284" s="35">
        <f t="shared" si="20"/>
        <v>-40</v>
      </c>
      <c r="L284" s="35"/>
      <c r="M284" s="37">
        <f t="shared" si="21"/>
        <v>0</v>
      </c>
    </row>
    <row r="285" spans="1:13" x14ac:dyDescent="0.25">
      <c r="A285" s="56"/>
      <c r="G285" s="13"/>
      <c r="H285" s="35">
        <v>280</v>
      </c>
      <c r="I285" s="36" t="str">
        <f t="shared" si="19"/>
        <v/>
      </c>
      <c r="J285" s="36">
        <f t="shared" si="22"/>
        <v>-4</v>
      </c>
      <c r="K285" s="35">
        <f t="shared" si="20"/>
        <v>-40</v>
      </c>
      <c r="L285" s="35"/>
      <c r="M285" s="37">
        <f t="shared" si="21"/>
        <v>0</v>
      </c>
    </row>
    <row r="286" spans="1:13" x14ac:dyDescent="0.25">
      <c r="A286" s="56"/>
      <c r="G286" s="13"/>
      <c r="H286" s="35">
        <v>281</v>
      </c>
      <c r="I286" s="36" t="str">
        <f t="shared" si="19"/>
        <v/>
      </c>
      <c r="J286" s="36">
        <f t="shared" si="22"/>
        <v>-4</v>
      </c>
      <c r="K286" s="35">
        <f t="shared" si="20"/>
        <v>-40</v>
      </c>
      <c r="L286" s="35"/>
      <c r="M286" s="37">
        <f t="shared" si="21"/>
        <v>0</v>
      </c>
    </row>
    <row r="287" spans="1:13" x14ac:dyDescent="0.25">
      <c r="A287" s="56"/>
      <c r="G287" s="13"/>
      <c r="H287" s="35">
        <v>282</v>
      </c>
      <c r="I287" s="36" t="str">
        <f t="shared" si="19"/>
        <v/>
      </c>
      <c r="J287" s="36">
        <f t="shared" si="22"/>
        <v>-4</v>
      </c>
      <c r="K287" s="35">
        <f t="shared" si="20"/>
        <v>-40</v>
      </c>
      <c r="L287" s="35"/>
      <c r="M287" s="37">
        <f t="shared" si="21"/>
        <v>0</v>
      </c>
    </row>
    <row r="288" spans="1:13" x14ac:dyDescent="0.25">
      <c r="A288" s="56"/>
      <c r="G288" s="13"/>
      <c r="H288" s="35">
        <v>283</v>
      </c>
      <c r="I288" s="36" t="str">
        <f t="shared" si="19"/>
        <v/>
      </c>
      <c r="J288" s="36">
        <f t="shared" si="22"/>
        <v>-4</v>
      </c>
      <c r="K288" s="35">
        <f t="shared" si="20"/>
        <v>-40</v>
      </c>
      <c r="L288" s="35"/>
      <c r="M288" s="37">
        <f t="shared" si="21"/>
        <v>0</v>
      </c>
    </row>
    <row r="289" spans="1:13" x14ac:dyDescent="0.25">
      <c r="A289" s="56"/>
      <c r="G289" s="13"/>
      <c r="H289" s="35">
        <v>284</v>
      </c>
      <c r="I289" s="36" t="str">
        <f t="shared" si="19"/>
        <v/>
      </c>
      <c r="J289" s="36">
        <f t="shared" si="22"/>
        <v>-4</v>
      </c>
      <c r="K289" s="35">
        <f t="shared" si="20"/>
        <v>-40</v>
      </c>
      <c r="L289" s="35"/>
      <c r="M289" s="37">
        <f t="shared" si="21"/>
        <v>0</v>
      </c>
    </row>
    <row r="290" spans="1:13" x14ac:dyDescent="0.25">
      <c r="A290" s="56"/>
      <c r="G290" s="13"/>
      <c r="H290" s="35">
        <v>285</v>
      </c>
      <c r="I290" s="36" t="str">
        <f t="shared" si="19"/>
        <v/>
      </c>
      <c r="J290" s="36">
        <f t="shared" si="22"/>
        <v>-4</v>
      </c>
      <c r="K290" s="35">
        <f t="shared" si="20"/>
        <v>-40</v>
      </c>
      <c r="L290" s="35"/>
      <c r="M290" s="37">
        <f t="shared" si="21"/>
        <v>0</v>
      </c>
    </row>
    <row r="291" spans="1:13" x14ac:dyDescent="0.25">
      <c r="A291" s="56"/>
      <c r="G291" s="13"/>
      <c r="H291" s="35">
        <v>286</v>
      </c>
      <c r="I291" s="36" t="str">
        <f t="shared" si="19"/>
        <v/>
      </c>
      <c r="J291" s="36">
        <f t="shared" si="22"/>
        <v>-4</v>
      </c>
      <c r="K291" s="35">
        <f t="shared" si="20"/>
        <v>-40</v>
      </c>
      <c r="L291" s="35"/>
      <c r="M291" s="37">
        <f t="shared" si="21"/>
        <v>0</v>
      </c>
    </row>
    <row r="292" spans="1:13" x14ac:dyDescent="0.25">
      <c r="A292" s="56"/>
      <c r="G292" s="13"/>
      <c r="H292" s="35">
        <v>287</v>
      </c>
      <c r="I292" s="36" t="str">
        <f t="shared" si="19"/>
        <v/>
      </c>
      <c r="J292" s="36">
        <f t="shared" si="22"/>
        <v>-4</v>
      </c>
      <c r="K292" s="35">
        <f t="shared" si="20"/>
        <v>-40</v>
      </c>
      <c r="L292" s="35"/>
      <c r="M292" s="37">
        <f t="shared" si="21"/>
        <v>0</v>
      </c>
    </row>
    <row r="293" spans="1:13" x14ac:dyDescent="0.25">
      <c r="A293" s="56"/>
      <c r="G293" s="13"/>
      <c r="H293" s="35">
        <v>288</v>
      </c>
      <c r="I293" s="36" t="str">
        <f t="shared" si="19"/>
        <v/>
      </c>
      <c r="J293" s="36">
        <f t="shared" si="22"/>
        <v>-4</v>
      </c>
      <c r="K293" s="35">
        <f t="shared" si="20"/>
        <v>-40</v>
      </c>
      <c r="L293" s="35"/>
      <c r="M293" s="37">
        <f t="shared" si="21"/>
        <v>0</v>
      </c>
    </row>
    <row r="294" spans="1:13" x14ac:dyDescent="0.25">
      <c r="A294" s="56"/>
      <c r="G294" s="13"/>
      <c r="H294" s="35">
        <v>289</v>
      </c>
      <c r="I294" s="36" t="str">
        <f t="shared" si="19"/>
        <v/>
      </c>
      <c r="J294" s="36">
        <f t="shared" si="22"/>
        <v>-4</v>
      </c>
      <c r="K294" s="35">
        <f t="shared" si="20"/>
        <v>-40</v>
      </c>
      <c r="L294" s="35"/>
      <c r="M294" s="37">
        <f t="shared" si="21"/>
        <v>0</v>
      </c>
    </row>
    <row r="295" spans="1:13" x14ac:dyDescent="0.25">
      <c r="A295" s="56"/>
      <c r="G295" s="13"/>
      <c r="H295" s="35">
        <v>290</v>
      </c>
      <c r="I295" s="36" t="str">
        <f t="shared" si="19"/>
        <v/>
      </c>
      <c r="J295" s="36">
        <f t="shared" si="22"/>
        <v>-4</v>
      </c>
      <c r="K295" s="35">
        <f t="shared" si="20"/>
        <v>-40</v>
      </c>
      <c r="L295" s="35"/>
      <c r="M295" s="37">
        <f t="shared" si="21"/>
        <v>0</v>
      </c>
    </row>
    <row r="296" spans="1:13" x14ac:dyDescent="0.25">
      <c r="A296" s="56"/>
      <c r="G296" s="13"/>
      <c r="H296" s="35">
        <v>291</v>
      </c>
      <c r="I296" s="36" t="str">
        <f t="shared" si="19"/>
        <v/>
      </c>
      <c r="J296" s="36">
        <f t="shared" si="22"/>
        <v>-4</v>
      </c>
      <c r="K296" s="35">
        <f t="shared" si="20"/>
        <v>-40</v>
      </c>
      <c r="L296" s="35"/>
      <c r="M296" s="37">
        <f t="shared" si="21"/>
        <v>0</v>
      </c>
    </row>
    <row r="297" spans="1:13" x14ac:dyDescent="0.25">
      <c r="A297" s="56"/>
      <c r="G297" s="13"/>
      <c r="H297" s="35">
        <v>292</v>
      </c>
      <c r="I297" s="36" t="str">
        <f t="shared" si="19"/>
        <v/>
      </c>
      <c r="J297" s="36">
        <f t="shared" si="22"/>
        <v>-4</v>
      </c>
      <c r="K297" s="35">
        <f t="shared" si="20"/>
        <v>-40</v>
      </c>
      <c r="L297" s="35"/>
      <c r="M297" s="37">
        <f t="shared" si="21"/>
        <v>0</v>
      </c>
    </row>
    <row r="298" spans="1:13" x14ac:dyDescent="0.25">
      <c r="A298" s="56"/>
      <c r="G298" s="13"/>
      <c r="H298" s="35">
        <v>293</v>
      </c>
      <c r="I298" s="36" t="str">
        <f t="shared" si="19"/>
        <v/>
      </c>
      <c r="J298" s="36">
        <f t="shared" si="22"/>
        <v>-4</v>
      </c>
      <c r="K298" s="35">
        <f t="shared" si="20"/>
        <v>-40</v>
      </c>
      <c r="L298" s="35"/>
      <c r="M298" s="37">
        <f t="shared" si="21"/>
        <v>0</v>
      </c>
    </row>
    <row r="299" spans="1:13" x14ac:dyDescent="0.25">
      <c r="A299" s="56"/>
      <c r="G299" s="13"/>
      <c r="H299" s="35">
        <v>294</v>
      </c>
      <c r="I299" s="36" t="str">
        <f t="shared" si="19"/>
        <v/>
      </c>
      <c r="J299" s="36">
        <f t="shared" si="22"/>
        <v>-4</v>
      </c>
      <c r="K299" s="35">
        <f t="shared" si="20"/>
        <v>-40</v>
      </c>
      <c r="L299" s="35"/>
      <c r="M299" s="37">
        <f t="shared" si="21"/>
        <v>0</v>
      </c>
    </row>
    <row r="300" spans="1:13" x14ac:dyDescent="0.25">
      <c r="A300" s="56"/>
      <c r="G300" s="13"/>
      <c r="H300" s="35">
        <v>295</v>
      </c>
      <c r="I300" s="36" t="str">
        <f t="shared" si="19"/>
        <v/>
      </c>
      <c r="J300" s="36">
        <f t="shared" si="22"/>
        <v>-4</v>
      </c>
      <c r="K300" s="35">
        <f t="shared" si="20"/>
        <v>-40</v>
      </c>
      <c r="L300" s="35"/>
      <c r="M300" s="37">
        <f t="shared" si="21"/>
        <v>0</v>
      </c>
    </row>
    <row r="301" spans="1:13" x14ac:dyDescent="0.25">
      <c r="A301" s="56"/>
      <c r="G301" s="13"/>
      <c r="H301" s="35">
        <v>296</v>
      </c>
      <c r="I301" s="36" t="str">
        <f t="shared" si="19"/>
        <v/>
      </c>
      <c r="J301" s="36">
        <f t="shared" si="22"/>
        <v>-4</v>
      </c>
      <c r="K301" s="35">
        <f t="shared" si="20"/>
        <v>-40</v>
      </c>
      <c r="L301" s="35"/>
      <c r="M301" s="37">
        <f t="shared" si="21"/>
        <v>0</v>
      </c>
    </row>
    <row r="302" spans="1:13" x14ac:dyDescent="0.25">
      <c r="A302" s="56"/>
      <c r="G302" s="13"/>
      <c r="H302" s="35">
        <v>297</v>
      </c>
      <c r="I302" s="36" t="str">
        <f t="shared" si="19"/>
        <v/>
      </c>
      <c r="J302" s="36">
        <f t="shared" si="22"/>
        <v>-4</v>
      </c>
      <c r="K302" s="35">
        <f t="shared" si="20"/>
        <v>-40</v>
      </c>
      <c r="L302" s="35"/>
      <c r="M302" s="37">
        <f t="shared" si="21"/>
        <v>0</v>
      </c>
    </row>
    <row r="303" spans="1:13" x14ac:dyDescent="0.25">
      <c r="A303" s="56"/>
      <c r="G303" s="13"/>
      <c r="H303" s="35">
        <v>298</v>
      </c>
      <c r="I303" s="36" t="str">
        <f t="shared" si="19"/>
        <v/>
      </c>
      <c r="J303" s="36">
        <f t="shared" si="22"/>
        <v>-4</v>
      </c>
      <c r="K303" s="35">
        <f t="shared" si="20"/>
        <v>-40</v>
      </c>
      <c r="L303" s="35"/>
      <c r="M303" s="37">
        <f t="shared" si="21"/>
        <v>0</v>
      </c>
    </row>
    <row r="304" spans="1:13" x14ac:dyDescent="0.25">
      <c r="A304" s="56"/>
      <c r="G304" s="13"/>
      <c r="H304" s="35">
        <v>299</v>
      </c>
      <c r="I304" s="36" t="str">
        <f t="shared" si="19"/>
        <v/>
      </c>
      <c r="J304" s="36">
        <f t="shared" si="22"/>
        <v>-4</v>
      </c>
      <c r="K304" s="35">
        <f t="shared" si="20"/>
        <v>-40</v>
      </c>
      <c r="L304" s="35"/>
      <c r="M304" s="37">
        <f t="shared" si="21"/>
        <v>0</v>
      </c>
    </row>
    <row r="305" spans="1:16" x14ac:dyDescent="0.25">
      <c r="A305" s="56"/>
      <c r="G305" s="13"/>
      <c r="H305" s="35">
        <v>300</v>
      </c>
      <c r="I305" s="36" t="str">
        <f t="shared" si="19"/>
        <v/>
      </c>
      <c r="J305" s="36">
        <f t="shared" si="22"/>
        <v>-4</v>
      </c>
      <c r="K305" s="35">
        <f t="shared" si="20"/>
        <v>-40</v>
      </c>
      <c r="L305" s="35"/>
      <c r="M305" s="37">
        <f t="shared" si="21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E7122B07-E314-4461-82F9-D15939D25209}">
      <formula1>#REF!</formula1>
    </dataValidation>
  </dataValidations>
  <hyperlinks>
    <hyperlink ref="C2:D2" r:id="rId1" display="Terni" xr:uid="{0BA482D6-1AF0-4018-AE8C-6D8E77B7ADD8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EB44F-1F43-4EE8-B5B1-425398A7EA16}">
  <sheetPr>
    <tabColor rgb="FF92D050"/>
  </sheetPr>
  <dimension ref="A1:AL374"/>
  <sheetViews>
    <sheetView zoomScaleNormal="100" workbookViewId="0">
      <selection activeCell="C6" sqref="C6"/>
    </sheetView>
  </sheetViews>
  <sheetFormatPr defaultColWidth="8.875" defaultRowHeight="14.3" x14ac:dyDescent="0.25"/>
  <cols>
    <col min="1" max="1" width="8" style="154" customWidth="1"/>
    <col min="2" max="2" width="8.25" style="154" customWidth="1"/>
    <col min="3" max="3" width="34.75" style="154" customWidth="1"/>
    <col min="4" max="4" width="11.25" style="154" customWidth="1"/>
    <col min="5" max="6" width="8.875" style="154"/>
    <col min="7" max="7" width="0.875" style="154" customWidth="1"/>
    <col min="8" max="8" width="8.875" style="157"/>
    <col min="9" max="9" width="11" style="157" customWidth="1"/>
    <col min="10" max="10" width="15.25" style="157" customWidth="1"/>
    <col min="11" max="11" width="8.75" style="157" customWidth="1"/>
    <col min="12" max="12" width="11" style="157" customWidth="1"/>
    <col min="13" max="13" width="12.25" style="158" customWidth="1"/>
    <col min="14" max="15" width="13.875" style="126" customWidth="1"/>
    <col min="16" max="18" width="8.875" style="126"/>
    <col min="19" max="20" width="8.875" style="131"/>
    <col min="21" max="21" width="12.125" style="131" customWidth="1"/>
    <col min="22" max="22" width="27.375" style="131" customWidth="1"/>
    <col min="23" max="38" width="8.875" style="131"/>
    <col min="39" max="16384" width="8.875" style="154"/>
  </cols>
  <sheetData>
    <row r="1" spans="1:36" x14ac:dyDescent="0.25">
      <c r="A1" s="126"/>
      <c r="B1" s="126"/>
      <c r="C1" s="126"/>
      <c r="D1" s="126"/>
      <c r="E1" s="126"/>
      <c r="F1" s="126"/>
      <c r="G1" s="126"/>
      <c r="H1" s="127" t="s">
        <v>25</v>
      </c>
      <c r="I1" s="128" t="s">
        <v>26</v>
      </c>
      <c r="J1" s="128" t="s">
        <v>27</v>
      </c>
      <c r="K1" s="129" t="s">
        <v>28</v>
      </c>
      <c r="L1" s="130"/>
      <c r="M1" s="130"/>
    </row>
    <row r="2" spans="1:36" x14ac:dyDescent="0.25">
      <c r="A2" s="126"/>
      <c r="B2" s="19" t="s">
        <v>29</v>
      </c>
      <c r="C2" s="187" t="s">
        <v>107</v>
      </c>
      <c r="D2" s="185"/>
      <c r="E2" s="20"/>
      <c r="F2" s="20"/>
      <c r="G2" s="20"/>
      <c r="H2" s="132">
        <v>0</v>
      </c>
      <c r="I2" s="133">
        <v>50</v>
      </c>
      <c r="J2" s="133">
        <v>10</v>
      </c>
      <c r="K2" s="160">
        <f>3*H2^(1/3)</f>
        <v>0</v>
      </c>
      <c r="L2" s="130"/>
      <c r="M2" s="130"/>
    </row>
    <row r="3" spans="1:36" x14ac:dyDescent="0.25">
      <c r="A3" s="126"/>
      <c r="B3" s="135" t="s">
        <v>31</v>
      </c>
      <c r="C3" s="186" t="s">
        <v>108</v>
      </c>
      <c r="D3" s="186"/>
      <c r="E3" s="25"/>
      <c r="F3" s="25"/>
      <c r="G3" s="25"/>
      <c r="H3" s="130"/>
      <c r="I3" s="130"/>
      <c r="J3" s="161"/>
      <c r="K3" s="130"/>
      <c r="L3" s="130"/>
      <c r="M3" s="130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30"/>
      <c r="I4" s="130"/>
      <c r="J4" s="161"/>
      <c r="K4" s="130"/>
      <c r="L4" s="130"/>
      <c r="M4" s="130"/>
    </row>
    <row r="5" spans="1:36" ht="34.65" x14ac:dyDescent="0.25">
      <c r="A5" s="1" t="s">
        <v>33</v>
      </c>
      <c r="B5" s="28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7"/>
      <c r="H5" s="136" t="s">
        <v>39</v>
      </c>
      <c r="I5" s="137" t="s">
        <v>40</v>
      </c>
      <c r="J5" s="162" t="s">
        <v>41</v>
      </c>
      <c r="K5" s="137" t="s">
        <v>42</v>
      </c>
      <c r="L5" s="137" t="s">
        <v>43</v>
      </c>
      <c r="M5" s="136" t="s">
        <v>44</v>
      </c>
    </row>
    <row r="6" spans="1:36" ht="14.45" customHeight="1" x14ac:dyDescent="0.25">
      <c r="A6" s="76">
        <f>M6</f>
        <v>0</v>
      </c>
      <c r="B6" s="33" t="str">
        <f>IF(H6&gt;$H$2,"",(ROW()-5))</f>
        <v/>
      </c>
      <c r="C6" s="34"/>
      <c r="D6" s="34"/>
      <c r="E6" s="34"/>
      <c r="F6" s="34"/>
      <c r="G6" s="27"/>
      <c r="H6" s="138">
        <v>1</v>
      </c>
      <c r="I6" s="139" t="str">
        <f t="shared" ref="I6:I69" si="0">IF(H6&lt;$H$2+1,($I$2-($I$2-1)*(LOG(H6)/LOG($H$2))),"")</f>
        <v/>
      </c>
      <c r="J6" s="138" t="e">
        <f>INT(LOG($H$2,2))-ROUNDUP(LOG(H6,2),0)+IF(OR($H$2=1,$H$2=2,$H$2=4,$H$2=8,$H$2=16,$H$2=32,$H$2=64,$H$2=128,$H$2=256),0,1)</f>
        <v>#NUM!</v>
      </c>
      <c r="K6" s="138" t="e">
        <f t="shared" ref="K6:K69" si="1">J6*$J$2</f>
        <v>#NUM!</v>
      </c>
      <c r="L6" s="140">
        <f>3*K2</f>
        <v>0</v>
      </c>
      <c r="M6" s="140">
        <f t="shared" ref="M6:M69" si="2">IF(I6&lt;&gt;"",K6+I6+L6,0)</f>
        <v>0</v>
      </c>
    </row>
    <row r="7" spans="1:36" ht="14.45" customHeight="1" x14ac:dyDescent="0.25">
      <c r="A7" s="77">
        <f t="shared" ref="A7:A37" si="3">M7</f>
        <v>0</v>
      </c>
      <c r="B7" s="39" t="str">
        <f t="shared" ref="B7:B65" si="4">IF(H7&gt;$H$2,"",(ROW()-5))</f>
        <v/>
      </c>
      <c r="C7" s="40"/>
      <c r="D7" s="40"/>
      <c r="E7" s="40"/>
      <c r="F7" s="40"/>
      <c r="G7" s="27"/>
      <c r="H7" s="141">
        <v>2</v>
      </c>
      <c r="I7" s="142" t="str">
        <f t="shared" si="0"/>
        <v/>
      </c>
      <c r="J7" s="141" t="e">
        <f t="shared" ref="J7:J70" si="5">INT(LOG($H$2,2))-ROUNDUP(LOG(H7,2),0)+IF(OR($H$2=1,$H$2=2,$H$2=4,$H$2=8,$H$2=16,$H$2=32,$H$2=64,$H$2=128,$H$2=256),0,1)</f>
        <v>#NUM!</v>
      </c>
      <c r="K7" s="141" t="e">
        <f t="shared" si="1"/>
        <v>#NUM!</v>
      </c>
      <c r="L7" s="143">
        <f>2*K2</f>
        <v>0</v>
      </c>
      <c r="M7" s="143">
        <f t="shared" si="2"/>
        <v>0</v>
      </c>
    </row>
    <row r="8" spans="1:36" ht="14.45" customHeight="1" x14ac:dyDescent="0.25">
      <c r="A8" s="76">
        <f t="shared" si="3"/>
        <v>0</v>
      </c>
      <c r="B8" s="33" t="str">
        <f t="shared" si="4"/>
        <v/>
      </c>
      <c r="C8" s="34"/>
      <c r="D8" s="34"/>
      <c r="E8" s="34"/>
      <c r="F8" s="34"/>
      <c r="G8" s="27"/>
      <c r="H8" s="138">
        <v>3</v>
      </c>
      <c r="I8" s="139" t="str">
        <f t="shared" si="0"/>
        <v/>
      </c>
      <c r="J8" s="138" t="e">
        <f t="shared" si="5"/>
        <v>#NUM!</v>
      </c>
      <c r="K8" s="138" t="e">
        <f t="shared" si="1"/>
        <v>#NUM!</v>
      </c>
      <c r="L8" s="140">
        <f>K2</f>
        <v>0</v>
      </c>
      <c r="M8" s="140">
        <f t="shared" si="2"/>
        <v>0</v>
      </c>
    </row>
    <row r="9" spans="1:36" s="131" customFormat="1" ht="14.45" customHeight="1" x14ac:dyDescent="0.25">
      <c r="A9" s="77">
        <f t="shared" si="3"/>
        <v>0</v>
      </c>
      <c r="B9" s="39" t="str">
        <f>IF(H9&gt;$H$2,"",3)</f>
        <v/>
      </c>
      <c r="C9" s="40"/>
      <c r="D9" s="40"/>
      <c r="E9" s="40"/>
      <c r="F9" s="40"/>
      <c r="G9" s="27"/>
      <c r="H9" s="141">
        <v>3</v>
      </c>
      <c r="I9" s="142" t="str">
        <f t="shared" si="0"/>
        <v/>
      </c>
      <c r="J9" s="141" t="e">
        <f t="shared" si="5"/>
        <v>#NUM!</v>
      </c>
      <c r="K9" s="141" t="e">
        <f t="shared" si="1"/>
        <v>#NUM!</v>
      </c>
      <c r="L9" s="143">
        <f>K2</f>
        <v>0</v>
      </c>
      <c r="M9" s="143">
        <f t="shared" si="2"/>
        <v>0</v>
      </c>
      <c r="N9" s="126"/>
      <c r="O9" s="126"/>
      <c r="P9" s="126"/>
      <c r="Q9" s="126"/>
      <c r="R9" s="126"/>
      <c r="V9" s="144"/>
      <c r="Z9" s="145"/>
      <c r="AA9" s="145"/>
      <c r="AG9" s="146"/>
      <c r="AH9" s="131" t="s">
        <v>50</v>
      </c>
      <c r="AI9" s="131">
        <v>23</v>
      </c>
    </row>
    <row r="10" spans="1:36" ht="14.45" customHeight="1" x14ac:dyDescent="0.25">
      <c r="A10" s="76">
        <f t="shared" si="3"/>
        <v>0</v>
      </c>
      <c r="B10" s="33" t="str">
        <f t="shared" si="4"/>
        <v/>
      </c>
      <c r="C10" s="34"/>
      <c r="D10" s="34"/>
      <c r="E10" s="34"/>
      <c r="F10" s="34"/>
      <c r="G10" s="27"/>
      <c r="H10" s="138">
        <v>5</v>
      </c>
      <c r="I10" s="139" t="str">
        <f t="shared" si="0"/>
        <v/>
      </c>
      <c r="J10" s="138" t="e">
        <f t="shared" si="5"/>
        <v>#NUM!</v>
      </c>
      <c r="K10" s="138" t="e">
        <f t="shared" si="1"/>
        <v>#NUM!</v>
      </c>
      <c r="L10" s="138"/>
      <c r="M10" s="140">
        <f t="shared" si="2"/>
        <v>0</v>
      </c>
      <c r="V10" s="144"/>
      <c r="Z10" s="145"/>
      <c r="AA10" s="145"/>
      <c r="AG10" s="146"/>
      <c r="AH10" s="131" t="s">
        <v>52</v>
      </c>
      <c r="AI10" s="131">
        <v>45</v>
      </c>
    </row>
    <row r="11" spans="1:36" ht="14.45" customHeight="1" x14ac:dyDescent="0.25">
      <c r="A11" s="77">
        <f t="shared" si="3"/>
        <v>0</v>
      </c>
      <c r="B11" s="39" t="str">
        <f t="shared" si="4"/>
        <v/>
      </c>
      <c r="C11" s="40"/>
      <c r="D11" s="40"/>
      <c r="E11" s="40"/>
      <c r="F11" s="40"/>
      <c r="G11" s="27"/>
      <c r="H11" s="141">
        <v>6</v>
      </c>
      <c r="I11" s="142" t="str">
        <f t="shared" si="0"/>
        <v/>
      </c>
      <c r="J11" s="141" t="e">
        <f t="shared" si="5"/>
        <v>#NUM!</v>
      </c>
      <c r="K11" s="141" t="e">
        <f t="shared" si="1"/>
        <v>#NUM!</v>
      </c>
      <c r="L11" s="141"/>
      <c r="M11" s="143">
        <f t="shared" si="2"/>
        <v>0</v>
      </c>
      <c r="V11" s="147"/>
      <c r="Z11" s="145"/>
      <c r="AA11" s="145"/>
      <c r="AG11" s="146"/>
      <c r="AH11" s="131" t="s">
        <v>53</v>
      </c>
      <c r="AI11" s="131">
        <v>50</v>
      </c>
    </row>
    <row r="12" spans="1:36" ht="14.45" customHeight="1" x14ac:dyDescent="0.25">
      <c r="A12" s="76">
        <f t="shared" si="3"/>
        <v>0</v>
      </c>
      <c r="B12" s="33" t="str">
        <f t="shared" si="4"/>
        <v/>
      </c>
      <c r="C12" s="34"/>
      <c r="D12" s="34"/>
      <c r="E12" s="34"/>
      <c r="F12" s="34"/>
      <c r="G12" s="27"/>
      <c r="H12" s="138">
        <v>7</v>
      </c>
      <c r="I12" s="139" t="str">
        <f t="shared" si="0"/>
        <v/>
      </c>
      <c r="J12" s="138" t="e">
        <f t="shared" si="5"/>
        <v>#NUM!</v>
      </c>
      <c r="K12" s="138" t="e">
        <f t="shared" si="1"/>
        <v>#NUM!</v>
      </c>
      <c r="L12" s="138"/>
      <c r="M12" s="140">
        <f t="shared" si="2"/>
        <v>0</v>
      </c>
      <c r="Z12" s="145"/>
      <c r="AA12" s="145"/>
      <c r="AG12" s="146"/>
      <c r="AH12" s="131" t="s">
        <v>54</v>
      </c>
      <c r="AI12" s="131">
        <f>AI11-1</f>
        <v>49</v>
      </c>
    </row>
    <row r="13" spans="1:36" ht="14.45" customHeight="1" x14ac:dyDescent="0.25">
      <c r="A13" s="77">
        <f t="shared" si="3"/>
        <v>0</v>
      </c>
      <c r="B13" s="39" t="str">
        <f t="shared" si="4"/>
        <v/>
      </c>
      <c r="C13" s="40"/>
      <c r="D13" s="40"/>
      <c r="E13" s="40"/>
      <c r="F13" s="40"/>
      <c r="G13" s="27"/>
      <c r="H13" s="141">
        <v>8</v>
      </c>
      <c r="I13" s="142" t="str">
        <f t="shared" si="0"/>
        <v/>
      </c>
      <c r="J13" s="141" t="e">
        <f t="shared" si="5"/>
        <v>#NUM!</v>
      </c>
      <c r="K13" s="141" t="e">
        <f t="shared" si="1"/>
        <v>#NUM!</v>
      </c>
      <c r="L13" s="141"/>
      <c r="M13" s="143">
        <f t="shared" si="2"/>
        <v>0</v>
      </c>
      <c r="X13" s="144"/>
      <c r="AG13" s="146"/>
      <c r="AH13" s="131" t="s">
        <v>55</v>
      </c>
      <c r="AI13" s="131">
        <f>LOG(AI9)</f>
        <v>1.3617278360175928</v>
      </c>
    </row>
    <row r="14" spans="1:36" x14ac:dyDescent="0.25">
      <c r="A14" s="76">
        <f t="shared" si="3"/>
        <v>0</v>
      </c>
      <c r="B14" s="33" t="str">
        <f t="shared" si="4"/>
        <v/>
      </c>
      <c r="C14" s="34"/>
      <c r="D14" s="34"/>
      <c r="E14" s="34"/>
      <c r="F14" s="34"/>
      <c r="G14" s="27"/>
      <c r="H14" s="138">
        <v>9</v>
      </c>
      <c r="I14" s="139" t="str">
        <f t="shared" si="0"/>
        <v/>
      </c>
      <c r="J14" s="138" t="e">
        <f t="shared" si="5"/>
        <v>#NUM!</v>
      </c>
      <c r="K14" s="138" t="e">
        <f t="shared" si="1"/>
        <v>#NUM!</v>
      </c>
      <c r="L14" s="138"/>
      <c r="M14" s="140">
        <f t="shared" si="2"/>
        <v>0</v>
      </c>
      <c r="X14" s="148"/>
      <c r="Z14" s="145"/>
      <c r="AA14" s="145"/>
      <c r="AG14" s="146"/>
      <c r="AH14" s="131" t="s">
        <v>56</v>
      </c>
      <c r="AI14" s="131">
        <f>LOG(AI10)</f>
        <v>1.6532125137753437</v>
      </c>
    </row>
    <row r="15" spans="1:36" x14ac:dyDescent="0.25">
      <c r="A15" s="77">
        <f t="shared" si="3"/>
        <v>0</v>
      </c>
      <c r="B15" s="39" t="str">
        <f t="shared" si="4"/>
        <v/>
      </c>
      <c r="C15" s="40"/>
      <c r="D15" s="40"/>
      <c r="E15" s="40"/>
      <c r="F15" s="40"/>
      <c r="G15" s="27"/>
      <c r="H15" s="141">
        <v>10</v>
      </c>
      <c r="I15" s="142" t="str">
        <f t="shared" si="0"/>
        <v/>
      </c>
      <c r="J15" s="141" t="e">
        <f t="shared" si="5"/>
        <v>#NUM!</v>
      </c>
      <c r="K15" s="141" t="e">
        <f t="shared" si="1"/>
        <v>#NUM!</v>
      </c>
      <c r="L15" s="141"/>
      <c r="M15" s="143">
        <f t="shared" si="2"/>
        <v>0</v>
      </c>
      <c r="X15" s="144"/>
      <c r="Z15" s="145"/>
      <c r="AA15" s="145"/>
    </row>
    <row r="16" spans="1:36" x14ac:dyDescent="0.25">
      <c r="A16" s="76">
        <f t="shared" si="3"/>
        <v>0</v>
      </c>
      <c r="B16" s="33" t="str">
        <f t="shared" si="4"/>
        <v/>
      </c>
      <c r="C16" s="34"/>
      <c r="D16" s="34"/>
      <c r="E16" s="34"/>
      <c r="F16" s="34"/>
      <c r="G16" s="27"/>
      <c r="H16" s="138">
        <v>11</v>
      </c>
      <c r="I16" s="139" t="str">
        <f t="shared" si="0"/>
        <v/>
      </c>
      <c r="J16" s="138" t="e">
        <f t="shared" si="5"/>
        <v>#NUM!</v>
      </c>
      <c r="K16" s="138" t="e">
        <f t="shared" si="1"/>
        <v>#NUM!</v>
      </c>
      <c r="L16" s="138"/>
      <c r="M16" s="140">
        <f t="shared" si="2"/>
        <v>0</v>
      </c>
      <c r="R16" s="149"/>
      <c r="Z16" s="145"/>
      <c r="AA16" s="145"/>
      <c r="AH16" s="150" t="s">
        <v>57</v>
      </c>
      <c r="AI16" s="131">
        <f>AI11-AI12*AI13/AI14</f>
        <v>9.6393909380186855</v>
      </c>
      <c r="AJ16" s="131" t="s">
        <v>58</v>
      </c>
    </row>
    <row r="17" spans="1:19" x14ac:dyDescent="0.25">
      <c r="A17" s="77">
        <f t="shared" si="3"/>
        <v>0</v>
      </c>
      <c r="B17" s="39" t="str">
        <f t="shared" si="4"/>
        <v/>
      </c>
      <c r="C17" s="40"/>
      <c r="D17" s="40"/>
      <c r="E17" s="40"/>
      <c r="F17" s="40"/>
      <c r="G17" s="27"/>
      <c r="H17" s="141">
        <v>12</v>
      </c>
      <c r="I17" s="142" t="str">
        <f t="shared" si="0"/>
        <v/>
      </c>
      <c r="J17" s="141" t="e">
        <f t="shared" si="5"/>
        <v>#NUM!</v>
      </c>
      <c r="K17" s="141" t="e">
        <f t="shared" si="1"/>
        <v>#NUM!</v>
      </c>
      <c r="L17" s="141"/>
      <c r="M17" s="143">
        <f t="shared" si="2"/>
        <v>0</v>
      </c>
    </row>
    <row r="18" spans="1:19" x14ac:dyDescent="0.25">
      <c r="A18" s="76">
        <f t="shared" si="3"/>
        <v>0</v>
      </c>
      <c r="B18" s="33" t="str">
        <f t="shared" si="4"/>
        <v/>
      </c>
      <c r="C18" s="34"/>
      <c r="D18" s="34"/>
      <c r="E18" s="34"/>
      <c r="F18" s="34"/>
      <c r="G18" s="27"/>
      <c r="H18" s="138">
        <v>13</v>
      </c>
      <c r="I18" s="139" t="str">
        <f t="shared" si="0"/>
        <v/>
      </c>
      <c r="J18" s="138" t="e">
        <f t="shared" si="5"/>
        <v>#NUM!</v>
      </c>
      <c r="K18" s="138" t="e">
        <f t="shared" si="1"/>
        <v>#NUM!</v>
      </c>
      <c r="L18" s="138"/>
      <c r="M18" s="140">
        <f t="shared" si="2"/>
        <v>0</v>
      </c>
    </row>
    <row r="19" spans="1:19" x14ac:dyDescent="0.25">
      <c r="A19" s="77">
        <f t="shared" si="3"/>
        <v>0</v>
      </c>
      <c r="B19" s="39" t="str">
        <f t="shared" si="4"/>
        <v/>
      </c>
      <c r="C19" s="40"/>
      <c r="D19" s="40"/>
      <c r="E19" s="40"/>
      <c r="F19" s="40"/>
      <c r="G19" s="27"/>
      <c r="H19" s="141">
        <v>14</v>
      </c>
      <c r="I19" s="142" t="str">
        <f t="shared" si="0"/>
        <v/>
      </c>
      <c r="J19" s="141" t="e">
        <f t="shared" si="5"/>
        <v>#NUM!</v>
      </c>
      <c r="K19" s="141" t="e">
        <f t="shared" si="1"/>
        <v>#NUM!</v>
      </c>
      <c r="L19" s="141"/>
      <c r="M19" s="143">
        <f t="shared" si="2"/>
        <v>0</v>
      </c>
    </row>
    <row r="20" spans="1:19" x14ac:dyDescent="0.25">
      <c r="A20" s="76">
        <f t="shared" si="3"/>
        <v>0</v>
      </c>
      <c r="B20" s="33" t="str">
        <f t="shared" si="4"/>
        <v/>
      </c>
      <c r="C20" s="34"/>
      <c r="D20" s="34"/>
      <c r="E20" s="34"/>
      <c r="F20" s="34"/>
      <c r="G20" s="27"/>
      <c r="H20" s="138">
        <v>15</v>
      </c>
      <c r="I20" s="139" t="str">
        <f t="shared" si="0"/>
        <v/>
      </c>
      <c r="J20" s="138" t="e">
        <f t="shared" si="5"/>
        <v>#NUM!</v>
      </c>
      <c r="K20" s="138" t="e">
        <f t="shared" si="1"/>
        <v>#NUM!</v>
      </c>
      <c r="L20" s="138"/>
      <c r="M20" s="140">
        <f t="shared" si="2"/>
        <v>0</v>
      </c>
      <c r="R20" s="151"/>
      <c r="S20" s="152"/>
    </row>
    <row r="21" spans="1:19" x14ac:dyDescent="0.25">
      <c r="A21" s="77">
        <f t="shared" si="3"/>
        <v>0</v>
      </c>
      <c r="B21" s="39" t="str">
        <f t="shared" si="4"/>
        <v/>
      </c>
      <c r="C21" s="40"/>
      <c r="D21" s="40"/>
      <c r="E21" s="40"/>
      <c r="F21" s="40"/>
      <c r="G21" s="27"/>
      <c r="H21" s="141">
        <v>16</v>
      </c>
      <c r="I21" s="142" t="str">
        <f t="shared" si="0"/>
        <v/>
      </c>
      <c r="J21" s="141" t="e">
        <f t="shared" si="5"/>
        <v>#NUM!</v>
      </c>
      <c r="K21" s="141" t="e">
        <f t="shared" si="1"/>
        <v>#NUM!</v>
      </c>
      <c r="L21" s="141"/>
      <c r="M21" s="143">
        <f t="shared" si="2"/>
        <v>0</v>
      </c>
    </row>
    <row r="22" spans="1:19" x14ac:dyDescent="0.25">
      <c r="A22" s="76">
        <f t="shared" si="3"/>
        <v>0</v>
      </c>
      <c r="B22" s="33" t="str">
        <f t="shared" si="4"/>
        <v/>
      </c>
      <c r="C22" s="34"/>
      <c r="D22" s="34"/>
      <c r="E22" s="34"/>
      <c r="F22" s="34"/>
      <c r="G22" s="27"/>
      <c r="H22" s="138">
        <v>17</v>
      </c>
      <c r="I22" s="139" t="str">
        <f t="shared" si="0"/>
        <v/>
      </c>
      <c r="J22" s="138" t="e">
        <f t="shared" si="5"/>
        <v>#NUM!</v>
      </c>
      <c r="K22" s="138" t="e">
        <f t="shared" si="1"/>
        <v>#NUM!</v>
      </c>
      <c r="L22" s="138"/>
      <c r="M22" s="140">
        <f t="shared" si="2"/>
        <v>0</v>
      </c>
    </row>
    <row r="23" spans="1:19" x14ac:dyDescent="0.25">
      <c r="A23" s="77">
        <f t="shared" si="3"/>
        <v>0</v>
      </c>
      <c r="B23" s="39" t="str">
        <f t="shared" si="4"/>
        <v/>
      </c>
      <c r="C23" s="40"/>
      <c r="D23" s="40"/>
      <c r="E23" s="40"/>
      <c r="F23" s="40"/>
      <c r="G23" s="27"/>
      <c r="H23" s="141">
        <v>18</v>
      </c>
      <c r="I23" s="142" t="str">
        <f t="shared" si="0"/>
        <v/>
      </c>
      <c r="J23" s="141" t="e">
        <f t="shared" si="5"/>
        <v>#NUM!</v>
      </c>
      <c r="K23" s="141" t="e">
        <f t="shared" si="1"/>
        <v>#NUM!</v>
      </c>
      <c r="L23" s="141"/>
      <c r="M23" s="143">
        <f t="shared" si="2"/>
        <v>0</v>
      </c>
    </row>
    <row r="24" spans="1:19" x14ac:dyDescent="0.25">
      <c r="A24" s="76">
        <f t="shared" si="3"/>
        <v>0</v>
      </c>
      <c r="B24" s="33" t="str">
        <f t="shared" si="4"/>
        <v/>
      </c>
      <c r="C24" s="34"/>
      <c r="D24" s="34"/>
      <c r="E24" s="34"/>
      <c r="F24" s="34"/>
      <c r="G24" s="27"/>
      <c r="H24" s="138">
        <v>19</v>
      </c>
      <c r="I24" s="139" t="str">
        <f t="shared" si="0"/>
        <v/>
      </c>
      <c r="J24" s="138" t="e">
        <f t="shared" si="5"/>
        <v>#NUM!</v>
      </c>
      <c r="K24" s="138" t="e">
        <f t="shared" si="1"/>
        <v>#NUM!</v>
      </c>
      <c r="L24" s="138"/>
      <c r="M24" s="140">
        <f t="shared" si="2"/>
        <v>0</v>
      </c>
      <c r="R24" s="151"/>
      <c r="S24" s="152"/>
    </row>
    <row r="25" spans="1:19" x14ac:dyDescent="0.25">
      <c r="A25" s="77">
        <f t="shared" si="3"/>
        <v>0</v>
      </c>
      <c r="B25" s="39" t="str">
        <f t="shared" si="4"/>
        <v/>
      </c>
      <c r="C25" s="40"/>
      <c r="D25" s="40"/>
      <c r="E25" s="40"/>
      <c r="F25" s="40"/>
      <c r="G25" s="27"/>
      <c r="H25" s="141">
        <v>20</v>
      </c>
      <c r="I25" s="142" t="str">
        <f t="shared" si="0"/>
        <v/>
      </c>
      <c r="J25" s="141" t="e">
        <f t="shared" si="5"/>
        <v>#NUM!</v>
      </c>
      <c r="K25" s="141" t="e">
        <f t="shared" si="1"/>
        <v>#NUM!</v>
      </c>
      <c r="L25" s="141"/>
      <c r="M25" s="143">
        <f t="shared" si="2"/>
        <v>0</v>
      </c>
    </row>
    <row r="26" spans="1:19" x14ac:dyDescent="0.25">
      <c r="A26" s="76">
        <f t="shared" si="3"/>
        <v>0</v>
      </c>
      <c r="B26" s="33" t="str">
        <f t="shared" si="4"/>
        <v/>
      </c>
      <c r="C26" s="34"/>
      <c r="D26" s="34"/>
      <c r="E26" s="34"/>
      <c r="F26" s="34"/>
      <c r="G26" s="27"/>
      <c r="H26" s="138">
        <v>21</v>
      </c>
      <c r="I26" s="139" t="str">
        <f t="shared" si="0"/>
        <v/>
      </c>
      <c r="J26" s="138" t="e">
        <f t="shared" si="5"/>
        <v>#NUM!</v>
      </c>
      <c r="K26" s="138" t="e">
        <f t="shared" si="1"/>
        <v>#NUM!</v>
      </c>
      <c r="L26" s="138"/>
      <c r="M26" s="140">
        <f t="shared" si="2"/>
        <v>0</v>
      </c>
    </row>
    <row r="27" spans="1:19" x14ac:dyDescent="0.25">
      <c r="A27" s="77">
        <f t="shared" si="3"/>
        <v>0</v>
      </c>
      <c r="B27" s="39" t="str">
        <f t="shared" si="4"/>
        <v/>
      </c>
      <c r="C27" s="40"/>
      <c r="D27" s="40"/>
      <c r="E27" s="40"/>
      <c r="F27" s="40"/>
      <c r="G27" s="27"/>
      <c r="H27" s="141">
        <v>22</v>
      </c>
      <c r="I27" s="142" t="str">
        <f t="shared" si="0"/>
        <v/>
      </c>
      <c r="J27" s="141" t="e">
        <f t="shared" si="5"/>
        <v>#NUM!</v>
      </c>
      <c r="K27" s="141" t="e">
        <f t="shared" si="1"/>
        <v>#NUM!</v>
      </c>
      <c r="L27" s="141"/>
      <c r="M27" s="143">
        <f t="shared" si="2"/>
        <v>0</v>
      </c>
    </row>
    <row r="28" spans="1:19" x14ac:dyDescent="0.25">
      <c r="A28" s="76">
        <f t="shared" si="3"/>
        <v>0</v>
      </c>
      <c r="B28" s="33" t="str">
        <f t="shared" si="4"/>
        <v/>
      </c>
      <c r="C28" s="34"/>
      <c r="D28" s="34"/>
      <c r="E28" s="34"/>
      <c r="F28" s="34"/>
      <c r="G28" s="27"/>
      <c r="H28" s="138">
        <v>23</v>
      </c>
      <c r="I28" s="139" t="str">
        <f t="shared" si="0"/>
        <v/>
      </c>
      <c r="J28" s="138" t="e">
        <f t="shared" si="5"/>
        <v>#NUM!</v>
      </c>
      <c r="K28" s="138" t="e">
        <f t="shared" si="1"/>
        <v>#NUM!</v>
      </c>
      <c r="L28" s="138"/>
      <c r="M28" s="140">
        <f t="shared" si="2"/>
        <v>0</v>
      </c>
      <c r="R28" s="151"/>
      <c r="S28" s="152"/>
    </row>
    <row r="29" spans="1:19" x14ac:dyDescent="0.25">
      <c r="A29" s="77">
        <f t="shared" si="3"/>
        <v>0</v>
      </c>
      <c r="B29" s="39" t="str">
        <f t="shared" si="4"/>
        <v/>
      </c>
      <c r="C29" s="40"/>
      <c r="D29" s="40"/>
      <c r="E29" s="40"/>
      <c r="F29" s="40"/>
      <c r="G29" s="126"/>
      <c r="H29" s="141">
        <v>24</v>
      </c>
      <c r="I29" s="142" t="str">
        <f t="shared" si="0"/>
        <v/>
      </c>
      <c r="J29" s="141" t="e">
        <f t="shared" si="5"/>
        <v>#NUM!</v>
      </c>
      <c r="K29" s="141" t="e">
        <f t="shared" si="1"/>
        <v>#NUM!</v>
      </c>
      <c r="L29" s="141"/>
      <c r="M29" s="143">
        <f t="shared" si="2"/>
        <v>0</v>
      </c>
    </row>
    <row r="30" spans="1:19" x14ac:dyDescent="0.25">
      <c r="A30" s="76">
        <f t="shared" si="3"/>
        <v>0</v>
      </c>
      <c r="B30" s="33" t="str">
        <f t="shared" si="4"/>
        <v/>
      </c>
      <c r="C30" s="34"/>
      <c r="D30" s="34"/>
      <c r="E30" s="34"/>
      <c r="F30" s="34"/>
      <c r="G30" s="126"/>
      <c r="H30" s="138">
        <v>25</v>
      </c>
      <c r="I30" s="139" t="str">
        <f t="shared" si="0"/>
        <v/>
      </c>
      <c r="J30" s="138" t="e">
        <f t="shared" si="5"/>
        <v>#NUM!</v>
      </c>
      <c r="K30" s="138" t="e">
        <f t="shared" si="1"/>
        <v>#NUM!</v>
      </c>
      <c r="L30" s="138"/>
      <c r="M30" s="140">
        <f t="shared" si="2"/>
        <v>0</v>
      </c>
    </row>
    <row r="31" spans="1:19" x14ac:dyDescent="0.25">
      <c r="A31" s="77">
        <f t="shared" si="3"/>
        <v>0</v>
      </c>
      <c r="B31" s="39" t="str">
        <f t="shared" si="4"/>
        <v/>
      </c>
      <c r="C31" s="40"/>
      <c r="D31" s="40"/>
      <c r="E31" s="40"/>
      <c r="F31" s="40"/>
      <c r="G31" s="126"/>
      <c r="H31" s="141">
        <v>26</v>
      </c>
      <c r="I31" s="142" t="str">
        <f t="shared" si="0"/>
        <v/>
      </c>
      <c r="J31" s="141" t="e">
        <f t="shared" si="5"/>
        <v>#NUM!</v>
      </c>
      <c r="K31" s="141" t="e">
        <f t="shared" si="1"/>
        <v>#NUM!</v>
      </c>
      <c r="L31" s="141"/>
      <c r="M31" s="143">
        <f t="shared" si="2"/>
        <v>0</v>
      </c>
    </row>
    <row r="32" spans="1:19" x14ac:dyDescent="0.25">
      <c r="A32" s="76">
        <f t="shared" si="3"/>
        <v>0</v>
      </c>
      <c r="B32" s="33" t="str">
        <f t="shared" si="4"/>
        <v/>
      </c>
      <c r="C32" s="34"/>
      <c r="D32" s="34"/>
      <c r="E32" s="34"/>
      <c r="F32" s="34"/>
      <c r="G32" s="126"/>
      <c r="H32" s="138">
        <v>27</v>
      </c>
      <c r="I32" s="139" t="str">
        <f t="shared" si="0"/>
        <v/>
      </c>
      <c r="J32" s="138" t="e">
        <f t="shared" si="5"/>
        <v>#NUM!</v>
      </c>
      <c r="K32" s="138" t="e">
        <f t="shared" si="1"/>
        <v>#NUM!</v>
      </c>
      <c r="L32" s="138"/>
      <c r="M32" s="140">
        <f t="shared" si="2"/>
        <v>0</v>
      </c>
      <c r="R32" s="151"/>
      <c r="S32" s="152"/>
    </row>
    <row r="33" spans="1:21" x14ac:dyDescent="0.25">
      <c r="A33" s="77">
        <f t="shared" si="3"/>
        <v>0</v>
      </c>
      <c r="B33" s="39" t="str">
        <f t="shared" si="4"/>
        <v/>
      </c>
      <c r="C33" s="40"/>
      <c r="D33" s="40"/>
      <c r="E33" s="40"/>
      <c r="F33" s="40"/>
      <c r="G33" s="126"/>
      <c r="H33" s="141">
        <v>28</v>
      </c>
      <c r="I33" s="142" t="str">
        <f t="shared" si="0"/>
        <v/>
      </c>
      <c r="J33" s="141" t="e">
        <f t="shared" si="5"/>
        <v>#NUM!</v>
      </c>
      <c r="K33" s="141" t="e">
        <f t="shared" si="1"/>
        <v>#NUM!</v>
      </c>
      <c r="L33" s="141"/>
      <c r="M33" s="143">
        <f t="shared" si="2"/>
        <v>0</v>
      </c>
    </row>
    <row r="34" spans="1:21" x14ac:dyDescent="0.25">
      <c r="A34" s="76">
        <f t="shared" si="3"/>
        <v>0</v>
      </c>
      <c r="B34" s="33" t="str">
        <f t="shared" si="4"/>
        <v/>
      </c>
      <c r="C34" s="34"/>
      <c r="D34" s="34"/>
      <c r="E34" s="34"/>
      <c r="F34" s="34"/>
      <c r="G34" s="126"/>
      <c r="H34" s="138">
        <v>29</v>
      </c>
      <c r="I34" s="139" t="str">
        <f t="shared" si="0"/>
        <v/>
      </c>
      <c r="J34" s="138" t="e">
        <f t="shared" si="5"/>
        <v>#NUM!</v>
      </c>
      <c r="K34" s="138" t="e">
        <f t="shared" si="1"/>
        <v>#NUM!</v>
      </c>
      <c r="L34" s="138"/>
      <c r="M34" s="140">
        <f t="shared" si="2"/>
        <v>0</v>
      </c>
    </row>
    <row r="35" spans="1:21" x14ac:dyDescent="0.25">
      <c r="A35" s="77">
        <f t="shared" si="3"/>
        <v>0</v>
      </c>
      <c r="B35" s="39" t="str">
        <f t="shared" si="4"/>
        <v/>
      </c>
      <c r="C35" s="40"/>
      <c r="D35" s="40"/>
      <c r="E35" s="40"/>
      <c r="F35" s="40"/>
      <c r="G35" s="126"/>
      <c r="H35" s="141">
        <v>30</v>
      </c>
      <c r="I35" s="142" t="str">
        <f t="shared" si="0"/>
        <v/>
      </c>
      <c r="J35" s="141" t="e">
        <f t="shared" si="5"/>
        <v>#NUM!</v>
      </c>
      <c r="K35" s="141" t="e">
        <f t="shared" si="1"/>
        <v>#NUM!</v>
      </c>
      <c r="L35" s="141"/>
      <c r="M35" s="143">
        <f t="shared" si="2"/>
        <v>0</v>
      </c>
    </row>
    <row r="36" spans="1:21" x14ac:dyDescent="0.25">
      <c r="A36" s="76">
        <f t="shared" si="3"/>
        <v>0</v>
      </c>
      <c r="B36" s="33" t="str">
        <f t="shared" si="4"/>
        <v/>
      </c>
      <c r="C36" s="34"/>
      <c r="D36" s="34"/>
      <c r="E36" s="34"/>
      <c r="F36" s="34"/>
      <c r="G36" s="126"/>
      <c r="H36" s="138">
        <v>31</v>
      </c>
      <c r="I36" s="139" t="str">
        <f t="shared" si="0"/>
        <v/>
      </c>
      <c r="J36" s="138" t="e">
        <f t="shared" si="5"/>
        <v>#NUM!</v>
      </c>
      <c r="K36" s="138" t="e">
        <f t="shared" si="1"/>
        <v>#NUM!</v>
      </c>
      <c r="L36" s="138"/>
      <c r="M36" s="140">
        <f t="shared" si="2"/>
        <v>0</v>
      </c>
      <c r="R36" s="151"/>
      <c r="S36" s="152"/>
    </row>
    <row r="37" spans="1:21" x14ac:dyDescent="0.25">
      <c r="A37" s="77">
        <f t="shared" si="3"/>
        <v>0</v>
      </c>
      <c r="B37" s="39" t="str">
        <f t="shared" si="4"/>
        <v/>
      </c>
      <c r="C37" s="40"/>
      <c r="D37" s="40"/>
      <c r="E37" s="40"/>
      <c r="F37" s="40"/>
      <c r="G37" s="126"/>
      <c r="H37" s="141">
        <v>32</v>
      </c>
      <c r="I37" s="142" t="str">
        <f t="shared" si="0"/>
        <v/>
      </c>
      <c r="J37" s="141" t="e">
        <f t="shared" si="5"/>
        <v>#NUM!</v>
      </c>
      <c r="K37" s="141" t="e">
        <f t="shared" si="1"/>
        <v>#NUM!</v>
      </c>
      <c r="L37" s="141"/>
      <c r="M37" s="143">
        <f t="shared" si="2"/>
        <v>0</v>
      </c>
    </row>
    <row r="38" spans="1:21" x14ac:dyDescent="0.25">
      <c r="A38" s="76"/>
      <c r="B38" s="33" t="str">
        <f t="shared" si="4"/>
        <v/>
      </c>
      <c r="C38" s="34"/>
      <c r="D38" s="34"/>
      <c r="E38" s="34"/>
      <c r="F38" s="34"/>
      <c r="G38" s="126"/>
      <c r="H38" s="138">
        <v>33</v>
      </c>
      <c r="I38" s="139" t="str">
        <f t="shared" si="0"/>
        <v/>
      </c>
      <c r="J38" s="138" t="e">
        <f t="shared" si="5"/>
        <v>#NUM!</v>
      </c>
      <c r="K38" s="138" t="e">
        <f t="shared" si="1"/>
        <v>#NUM!</v>
      </c>
      <c r="L38" s="138"/>
      <c r="M38" s="140">
        <f t="shared" si="2"/>
        <v>0</v>
      </c>
    </row>
    <row r="39" spans="1:21" x14ac:dyDescent="0.25">
      <c r="A39" s="77"/>
      <c r="B39" s="39" t="str">
        <f t="shared" si="4"/>
        <v/>
      </c>
      <c r="C39" s="40"/>
      <c r="D39" s="40"/>
      <c r="E39" s="40"/>
      <c r="F39" s="40"/>
      <c r="G39" s="126"/>
      <c r="H39" s="141">
        <v>34</v>
      </c>
      <c r="I39" s="142" t="str">
        <f t="shared" si="0"/>
        <v/>
      </c>
      <c r="J39" s="141" t="e">
        <f t="shared" si="5"/>
        <v>#NUM!</v>
      </c>
      <c r="K39" s="141" t="e">
        <f t="shared" si="1"/>
        <v>#NUM!</v>
      </c>
      <c r="L39" s="141"/>
      <c r="M39" s="143">
        <f t="shared" si="2"/>
        <v>0</v>
      </c>
    </row>
    <row r="40" spans="1:21" x14ac:dyDescent="0.25">
      <c r="A40" s="76"/>
      <c r="B40" s="33" t="str">
        <f t="shared" si="4"/>
        <v/>
      </c>
      <c r="C40" s="34"/>
      <c r="D40" s="34"/>
      <c r="E40" s="34"/>
      <c r="F40" s="34"/>
      <c r="G40" s="126"/>
      <c r="H40" s="138">
        <v>35</v>
      </c>
      <c r="I40" s="139" t="str">
        <f t="shared" si="0"/>
        <v/>
      </c>
      <c r="J40" s="138" t="e">
        <f t="shared" si="5"/>
        <v>#NUM!</v>
      </c>
      <c r="K40" s="138" t="e">
        <f t="shared" si="1"/>
        <v>#NUM!</v>
      </c>
      <c r="L40" s="138"/>
      <c r="M40" s="140">
        <f t="shared" si="2"/>
        <v>0</v>
      </c>
    </row>
    <row r="41" spans="1:21" x14ac:dyDescent="0.25">
      <c r="A41" s="77"/>
      <c r="B41" s="39" t="str">
        <f t="shared" si="4"/>
        <v/>
      </c>
      <c r="C41" s="40"/>
      <c r="D41" s="40"/>
      <c r="E41" s="40"/>
      <c r="F41" s="40"/>
      <c r="G41" s="126"/>
      <c r="H41" s="141">
        <v>36</v>
      </c>
      <c r="I41" s="142" t="str">
        <f t="shared" si="0"/>
        <v/>
      </c>
      <c r="J41" s="141" t="e">
        <f t="shared" si="5"/>
        <v>#NUM!</v>
      </c>
      <c r="K41" s="141" t="e">
        <f t="shared" si="1"/>
        <v>#NUM!</v>
      </c>
      <c r="L41" s="141"/>
      <c r="M41" s="143">
        <f t="shared" si="2"/>
        <v>0</v>
      </c>
      <c r="S41" s="153"/>
    </row>
    <row r="42" spans="1:21" x14ac:dyDescent="0.25">
      <c r="A42" s="76"/>
      <c r="B42" s="33" t="str">
        <f t="shared" si="4"/>
        <v/>
      </c>
      <c r="C42" s="34"/>
      <c r="D42" s="34"/>
      <c r="E42" s="34"/>
      <c r="F42" s="34"/>
      <c r="G42" s="126"/>
      <c r="H42" s="138">
        <v>37</v>
      </c>
      <c r="I42" s="139" t="str">
        <f t="shared" si="0"/>
        <v/>
      </c>
      <c r="J42" s="138" t="e">
        <f t="shared" si="5"/>
        <v>#NUM!</v>
      </c>
      <c r="K42" s="138" t="e">
        <f t="shared" si="1"/>
        <v>#NUM!</v>
      </c>
      <c r="L42" s="138"/>
      <c r="M42" s="140">
        <f t="shared" si="2"/>
        <v>0</v>
      </c>
    </row>
    <row r="43" spans="1:21" x14ac:dyDescent="0.25">
      <c r="A43" s="77"/>
      <c r="B43" s="39" t="str">
        <f t="shared" si="4"/>
        <v/>
      </c>
      <c r="C43" s="40"/>
      <c r="D43" s="40"/>
      <c r="E43" s="40"/>
      <c r="F43" s="40"/>
      <c r="G43" s="126"/>
      <c r="H43" s="141">
        <v>38</v>
      </c>
      <c r="I43" s="142" t="str">
        <f t="shared" si="0"/>
        <v/>
      </c>
      <c r="J43" s="141" t="e">
        <f t="shared" si="5"/>
        <v>#NUM!</v>
      </c>
      <c r="K43" s="141" t="e">
        <f t="shared" si="1"/>
        <v>#NUM!</v>
      </c>
      <c r="L43" s="141"/>
      <c r="M43" s="143">
        <f t="shared" si="2"/>
        <v>0</v>
      </c>
    </row>
    <row r="44" spans="1:21" x14ac:dyDescent="0.25">
      <c r="A44" s="76"/>
      <c r="B44" s="33" t="str">
        <f t="shared" si="4"/>
        <v/>
      </c>
      <c r="C44" s="34"/>
      <c r="D44" s="34"/>
      <c r="E44" s="34"/>
      <c r="F44" s="34"/>
      <c r="G44" s="126"/>
      <c r="H44" s="138">
        <v>39</v>
      </c>
      <c r="I44" s="139" t="str">
        <f t="shared" si="0"/>
        <v/>
      </c>
      <c r="J44" s="138" t="e">
        <f t="shared" si="5"/>
        <v>#NUM!</v>
      </c>
      <c r="K44" s="138" t="e">
        <f t="shared" si="1"/>
        <v>#NUM!</v>
      </c>
      <c r="L44" s="138"/>
      <c r="M44" s="140">
        <f t="shared" si="2"/>
        <v>0</v>
      </c>
    </row>
    <row r="45" spans="1:21" x14ac:dyDescent="0.25">
      <c r="A45" s="77"/>
      <c r="B45" s="39" t="str">
        <f t="shared" si="4"/>
        <v/>
      </c>
      <c r="C45" s="40"/>
      <c r="D45" s="40"/>
      <c r="E45" s="40"/>
      <c r="F45" s="40"/>
      <c r="G45" s="126"/>
      <c r="H45" s="141">
        <v>40</v>
      </c>
      <c r="I45" s="142" t="str">
        <f t="shared" si="0"/>
        <v/>
      </c>
      <c r="J45" s="141" t="e">
        <f t="shared" si="5"/>
        <v>#NUM!</v>
      </c>
      <c r="K45" s="141" t="e">
        <f t="shared" si="1"/>
        <v>#NUM!</v>
      </c>
      <c r="L45" s="141"/>
      <c r="M45" s="143">
        <f t="shared" si="2"/>
        <v>0</v>
      </c>
    </row>
    <row r="46" spans="1:21" x14ac:dyDescent="0.25">
      <c r="A46" s="76"/>
      <c r="B46" s="33" t="str">
        <f t="shared" si="4"/>
        <v/>
      </c>
      <c r="C46" s="34"/>
      <c r="D46" s="34"/>
      <c r="E46" s="34"/>
      <c r="F46" s="34"/>
      <c r="G46" s="126"/>
      <c r="H46" s="138">
        <v>41</v>
      </c>
      <c r="I46" s="139" t="str">
        <f t="shared" si="0"/>
        <v/>
      </c>
      <c r="J46" s="138" t="e">
        <f t="shared" si="5"/>
        <v>#NUM!</v>
      </c>
      <c r="K46" s="138" t="e">
        <f t="shared" si="1"/>
        <v>#NUM!</v>
      </c>
      <c r="L46" s="138"/>
      <c r="M46" s="140">
        <f t="shared" si="2"/>
        <v>0</v>
      </c>
      <c r="R46" s="126" t="e">
        <f>LOG($H$2,2)</f>
        <v>#NUM!</v>
      </c>
      <c r="T46" s="131">
        <f>LOG(H38,2)</f>
        <v>5.0443941193584534</v>
      </c>
      <c r="U46" s="131" t="e">
        <f>R46-T46</f>
        <v>#NUM!</v>
      </c>
    </row>
    <row r="47" spans="1:21" x14ac:dyDescent="0.25">
      <c r="A47" s="77"/>
      <c r="B47" s="39" t="str">
        <f t="shared" si="4"/>
        <v/>
      </c>
      <c r="C47" s="40"/>
      <c r="D47" s="40"/>
      <c r="E47" s="40"/>
      <c r="F47" s="40"/>
      <c r="G47" s="126"/>
      <c r="H47" s="141">
        <v>42</v>
      </c>
      <c r="I47" s="142" t="str">
        <f t="shared" si="0"/>
        <v/>
      </c>
      <c r="J47" s="141" t="e">
        <f t="shared" si="5"/>
        <v>#NUM!</v>
      </c>
      <c r="K47" s="141" t="e">
        <f t="shared" si="1"/>
        <v>#NUM!</v>
      </c>
      <c r="L47" s="141"/>
      <c r="M47" s="143">
        <f t="shared" si="2"/>
        <v>0</v>
      </c>
    </row>
    <row r="48" spans="1:21" x14ac:dyDescent="0.25">
      <c r="A48" s="76"/>
      <c r="B48" s="33" t="str">
        <f t="shared" si="4"/>
        <v/>
      </c>
      <c r="C48" s="34"/>
      <c r="D48" s="34"/>
      <c r="E48" s="34"/>
      <c r="F48" s="34"/>
      <c r="G48" s="126"/>
      <c r="H48" s="138">
        <v>43</v>
      </c>
      <c r="I48" s="139" t="str">
        <f t="shared" si="0"/>
        <v/>
      </c>
      <c r="J48" s="138" t="e">
        <f t="shared" si="5"/>
        <v>#NUM!</v>
      </c>
      <c r="K48" s="138" t="e">
        <f t="shared" si="1"/>
        <v>#NUM!</v>
      </c>
      <c r="L48" s="138"/>
      <c r="M48" s="140">
        <f t="shared" si="2"/>
        <v>0</v>
      </c>
    </row>
    <row r="49" spans="1:13" x14ac:dyDescent="0.25">
      <c r="A49" s="77"/>
      <c r="B49" s="39" t="str">
        <f t="shared" si="4"/>
        <v/>
      </c>
      <c r="C49" s="40"/>
      <c r="D49" s="40"/>
      <c r="E49" s="40"/>
      <c r="F49" s="40"/>
      <c r="G49" s="126"/>
      <c r="H49" s="141">
        <v>44</v>
      </c>
      <c r="I49" s="142" t="str">
        <f t="shared" si="0"/>
        <v/>
      </c>
      <c r="J49" s="141" t="e">
        <f t="shared" si="5"/>
        <v>#NUM!</v>
      </c>
      <c r="K49" s="141" t="e">
        <f t="shared" si="1"/>
        <v>#NUM!</v>
      </c>
      <c r="L49" s="141"/>
      <c r="M49" s="143">
        <f t="shared" si="2"/>
        <v>0</v>
      </c>
    </row>
    <row r="50" spans="1:13" x14ac:dyDescent="0.25">
      <c r="A50" s="76"/>
      <c r="B50" s="33" t="str">
        <f t="shared" si="4"/>
        <v/>
      </c>
      <c r="C50" s="34"/>
      <c r="D50" s="34"/>
      <c r="E50" s="34"/>
      <c r="F50" s="34"/>
      <c r="G50" s="126"/>
      <c r="H50" s="138">
        <v>45</v>
      </c>
      <c r="I50" s="139" t="str">
        <f t="shared" si="0"/>
        <v/>
      </c>
      <c r="J50" s="138" t="e">
        <f t="shared" si="5"/>
        <v>#NUM!</v>
      </c>
      <c r="K50" s="138" t="e">
        <f t="shared" si="1"/>
        <v>#NUM!</v>
      </c>
      <c r="L50" s="138"/>
      <c r="M50" s="140">
        <f t="shared" si="2"/>
        <v>0</v>
      </c>
    </row>
    <row r="51" spans="1:13" x14ac:dyDescent="0.25">
      <c r="A51" s="77"/>
      <c r="B51" s="39" t="str">
        <f t="shared" si="4"/>
        <v/>
      </c>
      <c r="C51" s="40"/>
      <c r="D51" s="40"/>
      <c r="E51" s="40"/>
      <c r="F51" s="40"/>
      <c r="G51" s="126"/>
      <c r="H51" s="141">
        <v>46</v>
      </c>
      <c r="I51" s="142" t="str">
        <f t="shared" si="0"/>
        <v/>
      </c>
      <c r="J51" s="141" t="e">
        <f t="shared" si="5"/>
        <v>#NUM!</v>
      </c>
      <c r="K51" s="141" t="e">
        <f t="shared" si="1"/>
        <v>#NUM!</v>
      </c>
      <c r="L51" s="141"/>
      <c r="M51" s="143">
        <f t="shared" si="2"/>
        <v>0</v>
      </c>
    </row>
    <row r="52" spans="1:13" x14ac:dyDescent="0.25">
      <c r="A52" s="76"/>
      <c r="B52" s="33" t="str">
        <f t="shared" si="4"/>
        <v/>
      </c>
      <c r="C52" s="34"/>
      <c r="D52" s="34"/>
      <c r="E52" s="34"/>
      <c r="F52" s="34"/>
      <c r="G52" s="126"/>
      <c r="H52" s="138">
        <v>47</v>
      </c>
      <c r="I52" s="139" t="str">
        <f t="shared" si="0"/>
        <v/>
      </c>
      <c r="J52" s="138" t="e">
        <f t="shared" si="5"/>
        <v>#NUM!</v>
      </c>
      <c r="K52" s="138" t="e">
        <f t="shared" si="1"/>
        <v>#NUM!</v>
      </c>
      <c r="L52" s="138"/>
      <c r="M52" s="140">
        <f t="shared" si="2"/>
        <v>0</v>
      </c>
    </row>
    <row r="53" spans="1:13" x14ac:dyDescent="0.25">
      <c r="A53" s="77"/>
      <c r="B53" s="39" t="str">
        <f t="shared" si="4"/>
        <v/>
      </c>
      <c r="C53" s="40"/>
      <c r="D53" s="40"/>
      <c r="E53" s="40"/>
      <c r="F53" s="40"/>
      <c r="G53" s="126"/>
      <c r="H53" s="141">
        <v>48</v>
      </c>
      <c r="I53" s="142" t="str">
        <f t="shared" si="0"/>
        <v/>
      </c>
      <c r="J53" s="141" t="e">
        <f t="shared" si="5"/>
        <v>#NUM!</v>
      </c>
      <c r="K53" s="141" t="e">
        <f t="shared" si="1"/>
        <v>#NUM!</v>
      </c>
      <c r="L53" s="141"/>
      <c r="M53" s="143">
        <f t="shared" si="2"/>
        <v>0</v>
      </c>
    </row>
    <row r="54" spans="1:13" x14ac:dyDescent="0.25">
      <c r="A54" s="76"/>
      <c r="B54" s="33" t="str">
        <f t="shared" si="4"/>
        <v/>
      </c>
      <c r="C54" s="34"/>
      <c r="D54" s="34"/>
      <c r="E54" s="34"/>
      <c r="F54" s="34"/>
      <c r="G54" s="126"/>
      <c r="H54" s="138">
        <v>49</v>
      </c>
      <c r="I54" s="139" t="str">
        <f t="shared" si="0"/>
        <v/>
      </c>
      <c r="J54" s="138" t="e">
        <f t="shared" si="5"/>
        <v>#NUM!</v>
      </c>
      <c r="K54" s="138" t="e">
        <f t="shared" si="1"/>
        <v>#NUM!</v>
      </c>
      <c r="L54" s="138"/>
      <c r="M54" s="140">
        <f t="shared" si="2"/>
        <v>0</v>
      </c>
    </row>
    <row r="55" spans="1:13" x14ac:dyDescent="0.25">
      <c r="A55" s="77"/>
      <c r="B55" s="39" t="str">
        <f t="shared" si="4"/>
        <v/>
      </c>
      <c r="C55" s="40"/>
      <c r="D55" s="40"/>
      <c r="E55" s="40"/>
      <c r="F55" s="40"/>
      <c r="G55" s="126"/>
      <c r="H55" s="141">
        <v>50</v>
      </c>
      <c r="I55" s="142" t="str">
        <f t="shared" si="0"/>
        <v/>
      </c>
      <c r="J55" s="141" t="e">
        <f t="shared" si="5"/>
        <v>#NUM!</v>
      </c>
      <c r="K55" s="141" t="e">
        <f t="shared" si="1"/>
        <v>#NUM!</v>
      </c>
      <c r="L55" s="141"/>
      <c r="M55" s="143">
        <f t="shared" si="2"/>
        <v>0</v>
      </c>
    </row>
    <row r="56" spans="1:13" x14ac:dyDescent="0.25">
      <c r="A56" s="76"/>
      <c r="B56" s="33" t="str">
        <f t="shared" si="4"/>
        <v/>
      </c>
      <c r="C56" s="34"/>
      <c r="D56" s="34"/>
      <c r="E56" s="34"/>
      <c r="F56" s="34"/>
      <c r="G56" s="126"/>
      <c r="H56" s="138">
        <v>51</v>
      </c>
      <c r="I56" s="139" t="str">
        <f t="shared" si="0"/>
        <v/>
      </c>
      <c r="J56" s="138" t="e">
        <f t="shared" si="5"/>
        <v>#NUM!</v>
      </c>
      <c r="K56" s="138" t="e">
        <f t="shared" si="1"/>
        <v>#NUM!</v>
      </c>
      <c r="L56" s="138"/>
      <c r="M56" s="140">
        <f t="shared" si="2"/>
        <v>0</v>
      </c>
    </row>
    <row r="57" spans="1:13" x14ac:dyDescent="0.25">
      <c r="A57" s="77"/>
      <c r="B57" s="39" t="str">
        <f t="shared" si="4"/>
        <v/>
      </c>
      <c r="C57" s="40"/>
      <c r="D57" s="40"/>
      <c r="E57" s="40"/>
      <c r="F57" s="40"/>
      <c r="G57" s="126"/>
      <c r="H57" s="141">
        <v>52</v>
      </c>
      <c r="I57" s="142" t="str">
        <f t="shared" si="0"/>
        <v/>
      </c>
      <c r="J57" s="141" t="e">
        <f t="shared" si="5"/>
        <v>#NUM!</v>
      </c>
      <c r="K57" s="141" t="e">
        <f t="shared" si="1"/>
        <v>#NUM!</v>
      </c>
      <c r="L57" s="141"/>
      <c r="M57" s="143">
        <f t="shared" si="2"/>
        <v>0</v>
      </c>
    </row>
    <row r="58" spans="1:13" x14ac:dyDescent="0.25">
      <c r="A58" s="76"/>
      <c r="B58" s="33" t="str">
        <f t="shared" si="4"/>
        <v/>
      </c>
      <c r="C58" s="34"/>
      <c r="D58" s="34"/>
      <c r="E58" s="34"/>
      <c r="F58" s="34"/>
      <c r="G58" s="126"/>
      <c r="H58" s="138">
        <v>53</v>
      </c>
      <c r="I58" s="139" t="str">
        <f t="shared" si="0"/>
        <v/>
      </c>
      <c r="J58" s="138" t="e">
        <f t="shared" si="5"/>
        <v>#NUM!</v>
      </c>
      <c r="K58" s="138" t="e">
        <f t="shared" si="1"/>
        <v>#NUM!</v>
      </c>
      <c r="L58" s="138"/>
      <c r="M58" s="140">
        <f t="shared" si="2"/>
        <v>0</v>
      </c>
    </row>
    <row r="59" spans="1:13" x14ac:dyDescent="0.25">
      <c r="A59" s="77"/>
      <c r="B59" s="39" t="str">
        <f t="shared" si="4"/>
        <v/>
      </c>
      <c r="C59" s="40"/>
      <c r="D59" s="40"/>
      <c r="E59" s="40"/>
      <c r="F59" s="40"/>
      <c r="G59" s="126"/>
      <c r="H59" s="141">
        <v>54</v>
      </c>
      <c r="I59" s="142" t="str">
        <f t="shared" si="0"/>
        <v/>
      </c>
      <c r="J59" s="141" t="e">
        <f t="shared" si="5"/>
        <v>#NUM!</v>
      </c>
      <c r="K59" s="141" t="e">
        <f t="shared" si="1"/>
        <v>#NUM!</v>
      </c>
      <c r="L59" s="141"/>
      <c r="M59" s="143">
        <f t="shared" si="2"/>
        <v>0</v>
      </c>
    </row>
    <row r="60" spans="1:13" x14ac:dyDescent="0.25">
      <c r="A60" s="76"/>
      <c r="B60" s="33" t="str">
        <f t="shared" si="4"/>
        <v/>
      </c>
      <c r="C60" s="34"/>
      <c r="D60" s="34"/>
      <c r="E60" s="34"/>
      <c r="F60" s="34"/>
      <c r="G60" s="126"/>
      <c r="H60" s="138">
        <v>55</v>
      </c>
      <c r="I60" s="139" t="str">
        <f t="shared" si="0"/>
        <v/>
      </c>
      <c r="J60" s="138" t="e">
        <f t="shared" si="5"/>
        <v>#NUM!</v>
      </c>
      <c r="K60" s="138" t="e">
        <f t="shared" si="1"/>
        <v>#NUM!</v>
      </c>
      <c r="L60" s="138"/>
      <c r="M60" s="140">
        <f t="shared" si="2"/>
        <v>0</v>
      </c>
    </row>
    <row r="61" spans="1:13" x14ac:dyDescent="0.25">
      <c r="A61" s="77"/>
      <c r="B61" s="39" t="str">
        <f t="shared" si="4"/>
        <v/>
      </c>
      <c r="C61" s="40"/>
      <c r="D61" s="40"/>
      <c r="E61" s="40"/>
      <c r="F61" s="40"/>
      <c r="G61" s="126"/>
      <c r="H61" s="141">
        <v>56</v>
      </c>
      <c r="I61" s="142" t="str">
        <f t="shared" si="0"/>
        <v/>
      </c>
      <c r="J61" s="141" t="e">
        <f t="shared" si="5"/>
        <v>#NUM!</v>
      </c>
      <c r="K61" s="141" t="e">
        <f t="shared" si="1"/>
        <v>#NUM!</v>
      </c>
      <c r="L61" s="141"/>
      <c r="M61" s="143">
        <f t="shared" si="2"/>
        <v>0</v>
      </c>
    </row>
    <row r="62" spans="1:13" x14ac:dyDescent="0.25">
      <c r="A62" s="76"/>
      <c r="B62" s="33" t="str">
        <f t="shared" si="4"/>
        <v/>
      </c>
      <c r="C62" s="34"/>
      <c r="D62" s="34"/>
      <c r="E62" s="34"/>
      <c r="F62" s="34"/>
      <c r="G62" s="126"/>
      <c r="H62" s="138">
        <v>57</v>
      </c>
      <c r="I62" s="139" t="str">
        <f t="shared" si="0"/>
        <v/>
      </c>
      <c r="J62" s="138" t="e">
        <f t="shared" si="5"/>
        <v>#NUM!</v>
      </c>
      <c r="K62" s="138" t="e">
        <f t="shared" si="1"/>
        <v>#NUM!</v>
      </c>
      <c r="L62" s="138"/>
      <c r="M62" s="140">
        <f t="shared" si="2"/>
        <v>0</v>
      </c>
    </row>
    <row r="63" spans="1:13" x14ac:dyDescent="0.25">
      <c r="A63" s="77"/>
      <c r="B63" s="39" t="str">
        <f t="shared" si="4"/>
        <v/>
      </c>
      <c r="C63" s="40"/>
      <c r="D63" s="40"/>
      <c r="E63" s="40"/>
      <c r="F63" s="40"/>
      <c r="G63" s="126"/>
      <c r="H63" s="141">
        <v>58</v>
      </c>
      <c r="I63" s="142" t="str">
        <f t="shared" si="0"/>
        <v/>
      </c>
      <c r="J63" s="141" t="e">
        <f t="shared" si="5"/>
        <v>#NUM!</v>
      </c>
      <c r="K63" s="141" t="e">
        <f t="shared" si="1"/>
        <v>#NUM!</v>
      </c>
      <c r="L63" s="141"/>
      <c r="M63" s="143">
        <f t="shared" si="2"/>
        <v>0</v>
      </c>
    </row>
    <row r="64" spans="1:13" x14ac:dyDescent="0.25">
      <c r="A64" s="76"/>
      <c r="B64" s="33" t="str">
        <f t="shared" si="4"/>
        <v/>
      </c>
      <c r="C64" s="34"/>
      <c r="D64" s="34"/>
      <c r="E64" s="34"/>
      <c r="F64" s="34"/>
      <c r="G64" s="126"/>
      <c r="H64" s="138">
        <v>59</v>
      </c>
      <c r="I64" s="139" t="str">
        <f t="shared" si="0"/>
        <v/>
      </c>
      <c r="J64" s="138" t="e">
        <f t="shared" si="5"/>
        <v>#NUM!</v>
      </c>
      <c r="K64" s="138" t="e">
        <f t="shared" si="1"/>
        <v>#NUM!</v>
      </c>
      <c r="L64" s="138"/>
      <c r="M64" s="140">
        <f t="shared" si="2"/>
        <v>0</v>
      </c>
    </row>
    <row r="65" spans="1:13" x14ac:dyDescent="0.25">
      <c r="A65" s="77"/>
      <c r="B65" s="39" t="str">
        <f t="shared" si="4"/>
        <v/>
      </c>
      <c r="C65" s="40"/>
      <c r="D65" s="40"/>
      <c r="E65" s="40"/>
      <c r="F65" s="40"/>
      <c r="G65" s="126"/>
      <c r="H65" s="141">
        <v>60</v>
      </c>
      <c r="I65" s="142" t="str">
        <f t="shared" si="0"/>
        <v/>
      </c>
      <c r="J65" s="141" t="e">
        <f t="shared" si="5"/>
        <v>#NUM!</v>
      </c>
      <c r="K65" s="141" t="e">
        <f t="shared" si="1"/>
        <v>#NUM!</v>
      </c>
      <c r="L65" s="141"/>
      <c r="M65" s="143">
        <f t="shared" si="2"/>
        <v>0</v>
      </c>
    </row>
    <row r="66" spans="1:13" x14ac:dyDescent="0.25">
      <c r="A66" s="163"/>
      <c r="B66" s="33"/>
      <c r="G66" s="126"/>
      <c r="H66" s="138">
        <v>61</v>
      </c>
      <c r="I66" s="139" t="str">
        <f t="shared" si="0"/>
        <v/>
      </c>
      <c r="J66" s="138" t="e">
        <f t="shared" si="5"/>
        <v>#NUM!</v>
      </c>
      <c r="K66" s="138" t="e">
        <f t="shared" si="1"/>
        <v>#NUM!</v>
      </c>
      <c r="L66" s="138"/>
      <c r="M66" s="140">
        <f t="shared" si="2"/>
        <v>0</v>
      </c>
    </row>
    <row r="67" spans="1:13" x14ac:dyDescent="0.25">
      <c r="A67" s="163"/>
      <c r="B67" s="39"/>
      <c r="G67" s="126"/>
      <c r="H67" s="138">
        <v>62</v>
      </c>
      <c r="I67" s="139" t="str">
        <f t="shared" si="0"/>
        <v/>
      </c>
      <c r="J67" s="138" t="e">
        <f t="shared" si="5"/>
        <v>#NUM!</v>
      </c>
      <c r="K67" s="138" t="e">
        <f t="shared" si="1"/>
        <v>#NUM!</v>
      </c>
      <c r="L67" s="138"/>
      <c r="M67" s="140">
        <f t="shared" si="2"/>
        <v>0</v>
      </c>
    </row>
    <row r="68" spans="1:13" x14ac:dyDescent="0.25">
      <c r="A68" s="163"/>
      <c r="B68" s="33"/>
      <c r="G68" s="126"/>
      <c r="H68" s="138">
        <v>63</v>
      </c>
      <c r="I68" s="139" t="str">
        <f t="shared" si="0"/>
        <v/>
      </c>
      <c r="J68" s="138" t="e">
        <f t="shared" si="5"/>
        <v>#NUM!</v>
      </c>
      <c r="K68" s="138" t="e">
        <f t="shared" si="1"/>
        <v>#NUM!</v>
      </c>
      <c r="L68" s="138"/>
      <c r="M68" s="140">
        <f t="shared" si="2"/>
        <v>0</v>
      </c>
    </row>
    <row r="69" spans="1:13" x14ac:dyDescent="0.25">
      <c r="A69" s="163"/>
      <c r="B69" s="39"/>
      <c r="G69" s="126"/>
      <c r="H69" s="138">
        <v>64</v>
      </c>
      <c r="I69" s="139" t="str">
        <f t="shared" si="0"/>
        <v/>
      </c>
      <c r="J69" s="138" t="e">
        <f t="shared" si="5"/>
        <v>#NUM!</v>
      </c>
      <c r="K69" s="138" t="e">
        <f t="shared" si="1"/>
        <v>#NUM!</v>
      </c>
      <c r="L69" s="138"/>
      <c r="M69" s="140">
        <f t="shared" si="2"/>
        <v>0</v>
      </c>
    </row>
    <row r="70" spans="1:13" x14ac:dyDescent="0.25">
      <c r="A70" s="163"/>
      <c r="G70" s="126"/>
      <c r="H70" s="138">
        <v>65</v>
      </c>
      <c r="I70" s="139" t="str">
        <f t="shared" ref="I70:I133" si="6">IF(H70&lt;$H$2+1,($I$2-($I$2-1)*(LOG(H70)/LOG($H$2))),"")</f>
        <v/>
      </c>
      <c r="J70" s="138" t="e">
        <f t="shared" si="5"/>
        <v>#NUM!</v>
      </c>
      <c r="K70" s="138" t="e">
        <f t="shared" ref="K70:K133" si="7">J70*$J$2</f>
        <v>#NUM!</v>
      </c>
      <c r="L70" s="138"/>
      <c r="M70" s="140">
        <f t="shared" ref="M70:M133" si="8">IF(I70&lt;&gt;"",K70+I70+L70,0)</f>
        <v>0</v>
      </c>
    </row>
    <row r="71" spans="1:13" x14ac:dyDescent="0.25">
      <c r="A71" s="163"/>
      <c r="G71" s="126"/>
      <c r="H71" s="138">
        <v>66</v>
      </c>
      <c r="I71" s="139" t="str">
        <f t="shared" si="6"/>
        <v/>
      </c>
      <c r="J71" s="138" t="e">
        <f t="shared" ref="J71:J134" si="9">INT(LOG($H$2,2))-ROUNDUP(LOG(H71,2),0)+IF(OR($H$2=1,$H$2=2,$H$2=4,$H$2=8,$H$2=16,$H$2=32,$H$2=64,$H$2=128,$H$2=256),0,1)</f>
        <v>#NUM!</v>
      </c>
      <c r="K71" s="138" t="e">
        <f t="shared" si="7"/>
        <v>#NUM!</v>
      </c>
      <c r="L71" s="138"/>
      <c r="M71" s="140">
        <f t="shared" si="8"/>
        <v>0</v>
      </c>
    </row>
    <row r="72" spans="1:13" x14ac:dyDescent="0.25">
      <c r="A72" s="163"/>
      <c r="G72" s="126"/>
      <c r="H72" s="138">
        <v>67</v>
      </c>
      <c r="I72" s="139" t="str">
        <f t="shared" si="6"/>
        <v/>
      </c>
      <c r="J72" s="138" t="e">
        <f t="shared" si="9"/>
        <v>#NUM!</v>
      </c>
      <c r="K72" s="138" t="e">
        <f t="shared" si="7"/>
        <v>#NUM!</v>
      </c>
      <c r="L72" s="138"/>
      <c r="M72" s="140">
        <f t="shared" si="8"/>
        <v>0</v>
      </c>
    </row>
    <row r="73" spans="1:13" x14ac:dyDescent="0.25">
      <c r="A73" s="163"/>
      <c r="G73" s="126"/>
      <c r="H73" s="138">
        <v>68</v>
      </c>
      <c r="I73" s="139" t="str">
        <f t="shared" si="6"/>
        <v/>
      </c>
      <c r="J73" s="138" t="e">
        <f t="shared" si="9"/>
        <v>#NUM!</v>
      </c>
      <c r="K73" s="138" t="e">
        <f t="shared" si="7"/>
        <v>#NUM!</v>
      </c>
      <c r="L73" s="138"/>
      <c r="M73" s="140">
        <f t="shared" si="8"/>
        <v>0</v>
      </c>
    </row>
    <row r="74" spans="1:13" x14ac:dyDescent="0.25">
      <c r="A74" s="163"/>
      <c r="G74" s="126"/>
      <c r="H74" s="138">
        <v>69</v>
      </c>
      <c r="I74" s="139" t="str">
        <f t="shared" si="6"/>
        <v/>
      </c>
      <c r="J74" s="138" t="e">
        <f t="shared" si="9"/>
        <v>#NUM!</v>
      </c>
      <c r="K74" s="138" t="e">
        <f t="shared" si="7"/>
        <v>#NUM!</v>
      </c>
      <c r="L74" s="138"/>
      <c r="M74" s="140">
        <f t="shared" si="8"/>
        <v>0</v>
      </c>
    </row>
    <row r="75" spans="1:13" x14ac:dyDescent="0.25">
      <c r="A75" s="163"/>
      <c r="G75" s="126"/>
      <c r="H75" s="138">
        <v>70</v>
      </c>
      <c r="I75" s="139" t="str">
        <f t="shared" si="6"/>
        <v/>
      </c>
      <c r="J75" s="138" t="e">
        <f t="shared" si="9"/>
        <v>#NUM!</v>
      </c>
      <c r="K75" s="138" t="e">
        <f t="shared" si="7"/>
        <v>#NUM!</v>
      </c>
      <c r="L75" s="138"/>
      <c r="M75" s="140">
        <f t="shared" si="8"/>
        <v>0</v>
      </c>
    </row>
    <row r="76" spans="1:13" x14ac:dyDescent="0.25">
      <c r="A76" s="163"/>
      <c r="G76" s="126"/>
      <c r="H76" s="138">
        <v>71</v>
      </c>
      <c r="I76" s="139" t="str">
        <f t="shared" si="6"/>
        <v/>
      </c>
      <c r="J76" s="138" t="e">
        <f t="shared" si="9"/>
        <v>#NUM!</v>
      </c>
      <c r="K76" s="138" t="e">
        <f t="shared" si="7"/>
        <v>#NUM!</v>
      </c>
      <c r="L76" s="138"/>
      <c r="M76" s="140">
        <f t="shared" si="8"/>
        <v>0</v>
      </c>
    </row>
    <row r="77" spans="1:13" x14ac:dyDescent="0.25">
      <c r="A77" s="163"/>
      <c r="G77" s="126"/>
      <c r="H77" s="138">
        <v>72</v>
      </c>
      <c r="I77" s="139" t="str">
        <f t="shared" si="6"/>
        <v/>
      </c>
      <c r="J77" s="138" t="e">
        <f t="shared" si="9"/>
        <v>#NUM!</v>
      </c>
      <c r="K77" s="138" t="e">
        <f t="shared" si="7"/>
        <v>#NUM!</v>
      </c>
      <c r="L77" s="138"/>
      <c r="M77" s="140">
        <f t="shared" si="8"/>
        <v>0</v>
      </c>
    </row>
    <row r="78" spans="1:13" x14ac:dyDescent="0.25">
      <c r="A78" s="163"/>
      <c r="G78" s="126"/>
      <c r="H78" s="138">
        <v>73</v>
      </c>
      <c r="I78" s="139" t="str">
        <f t="shared" si="6"/>
        <v/>
      </c>
      <c r="J78" s="138" t="e">
        <f t="shared" si="9"/>
        <v>#NUM!</v>
      </c>
      <c r="K78" s="138" t="e">
        <f t="shared" si="7"/>
        <v>#NUM!</v>
      </c>
      <c r="L78" s="138"/>
      <c r="M78" s="140">
        <f t="shared" si="8"/>
        <v>0</v>
      </c>
    </row>
    <row r="79" spans="1:13" x14ac:dyDescent="0.25">
      <c r="A79" s="163"/>
      <c r="G79" s="126"/>
      <c r="H79" s="138">
        <v>74</v>
      </c>
      <c r="I79" s="139" t="str">
        <f t="shared" si="6"/>
        <v/>
      </c>
      <c r="J79" s="138" t="e">
        <f t="shared" si="9"/>
        <v>#NUM!</v>
      </c>
      <c r="K79" s="138" t="e">
        <f t="shared" si="7"/>
        <v>#NUM!</v>
      </c>
      <c r="L79" s="138"/>
      <c r="M79" s="140">
        <f t="shared" si="8"/>
        <v>0</v>
      </c>
    </row>
    <row r="80" spans="1:13" x14ac:dyDescent="0.25">
      <c r="A80" s="163"/>
      <c r="G80" s="126"/>
      <c r="H80" s="138">
        <v>75</v>
      </c>
      <c r="I80" s="139" t="str">
        <f t="shared" si="6"/>
        <v/>
      </c>
      <c r="J80" s="138" t="e">
        <f t="shared" si="9"/>
        <v>#NUM!</v>
      </c>
      <c r="K80" s="138" t="e">
        <f t="shared" si="7"/>
        <v>#NUM!</v>
      </c>
      <c r="L80" s="138"/>
      <c r="M80" s="140">
        <f t="shared" si="8"/>
        <v>0</v>
      </c>
    </row>
    <row r="81" spans="1:13" x14ac:dyDescent="0.25">
      <c r="A81" s="163"/>
      <c r="G81" s="126"/>
      <c r="H81" s="138">
        <v>76</v>
      </c>
      <c r="I81" s="139" t="str">
        <f t="shared" si="6"/>
        <v/>
      </c>
      <c r="J81" s="138" t="e">
        <f t="shared" si="9"/>
        <v>#NUM!</v>
      </c>
      <c r="K81" s="138" t="e">
        <f t="shared" si="7"/>
        <v>#NUM!</v>
      </c>
      <c r="L81" s="138"/>
      <c r="M81" s="140">
        <f t="shared" si="8"/>
        <v>0</v>
      </c>
    </row>
    <row r="82" spans="1:13" x14ac:dyDescent="0.25">
      <c r="A82" s="163"/>
      <c r="G82" s="126"/>
      <c r="H82" s="138">
        <v>77</v>
      </c>
      <c r="I82" s="139" t="str">
        <f t="shared" si="6"/>
        <v/>
      </c>
      <c r="J82" s="138" t="e">
        <f t="shared" si="9"/>
        <v>#NUM!</v>
      </c>
      <c r="K82" s="138" t="e">
        <f t="shared" si="7"/>
        <v>#NUM!</v>
      </c>
      <c r="L82" s="138"/>
      <c r="M82" s="140">
        <f t="shared" si="8"/>
        <v>0</v>
      </c>
    </row>
    <row r="83" spans="1:13" x14ac:dyDescent="0.25">
      <c r="A83" s="163"/>
      <c r="G83" s="126"/>
      <c r="H83" s="138">
        <v>78</v>
      </c>
      <c r="I83" s="139" t="str">
        <f t="shared" si="6"/>
        <v/>
      </c>
      <c r="J83" s="138" t="e">
        <f t="shared" si="9"/>
        <v>#NUM!</v>
      </c>
      <c r="K83" s="138" t="e">
        <f t="shared" si="7"/>
        <v>#NUM!</v>
      </c>
      <c r="L83" s="138"/>
      <c r="M83" s="140">
        <f t="shared" si="8"/>
        <v>0</v>
      </c>
    </row>
    <row r="84" spans="1:13" x14ac:dyDescent="0.25">
      <c r="A84" s="163"/>
      <c r="G84" s="126"/>
      <c r="H84" s="138">
        <v>79</v>
      </c>
      <c r="I84" s="139" t="str">
        <f t="shared" si="6"/>
        <v/>
      </c>
      <c r="J84" s="138" t="e">
        <f t="shared" si="9"/>
        <v>#NUM!</v>
      </c>
      <c r="K84" s="138" t="e">
        <f t="shared" si="7"/>
        <v>#NUM!</v>
      </c>
      <c r="L84" s="138"/>
      <c r="M84" s="140">
        <f t="shared" si="8"/>
        <v>0</v>
      </c>
    </row>
    <row r="85" spans="1:13" x14ac:dyDescent="0.25">
      <c r="A85" s="163"/>
      <c r="G85" s="126"/>
      <c r="H85" s="138">
        <v>80</v>
      </c>
      <c r="I85" s="139" t="str">
        <f t="shared" si="6"/>
        <v/>
      </c>
      <c r="J85" s="138" t="e">
        <f t="shared" si="9"/>
        <v>#NUM!</v>
      </c>
      <c r="K85" s="138" t="e">
        <f t="shared" si="7"/>
        <v>#NUM!</v>
      </c>
      <c r="L85" s="138"/>
      <c r="M85" s="140">
        <f t="shared" si="8"/>
        <v>0</v>
      </c>
    </row>
    <row r="86" spans="1:13" x14ac:dyDescent="0.25">
      <c r="A86" s="163"/>
      <c r="G86" s="126"/>
      <c r="H86" s="138">
        <v>81</v>
      </c>
      <c r="I86" s="139" t="str">
        <f t="shared" si="6"/>
        <v/>
      </c>
      <c r="J86" s="138" t="e">
        <f t="shared" si="9"/>
        <v>#NUM!</v>
      </c>
      <c r="K86" s="138" t="e">
        <f t="shared" si="7"/>
        <v>#NUM!</v>
      </c>
      <c r="L86" s="138"/>
      <c r="M86" s="140">
        <f t="shared" si="8"/>
        <v>0</v>
      </c>
    </row>
    <row r="87" spans="1:13" x14ac:dyDescent="0.25">
      <c r="A87" s="163"/>
      <c r="G87" s="126"/>
      <c r="H87" s="138">
        <v>82</v>
      </c>
      <c r="I87" s="139" t="str">
        <f t="shared" si="6"/>
        <v/>
      </c>
      <c r="J87" s="138" t="e">
        <f t="shared" si="9"/>
        <v>#NUM!</v>
      </c>
      <c r="K87" s="138" t="e">
        <f t="shared" si="7"/>
        <v>#NUM!</v>
      </c>
      <c r="L87" s="138"/>
      <c r="M87" s="140">
        <f t="shared" si="8"/>
        <v>0</v>
      </c>
    </row>
    <row r="88" spans="1:13" x14ac:dyDescent="0.25">
      <c r="A88" s="163"/>
      <c r="G88" s="126"/>
      <c r="H88" s="138">
        <v>83</v>
      </c>
      <c r="I88" s="139" t="str">
        <f t="shared" si="6"/>
        <v/>
      </c>
      <c r="J88" s="138" t="e">
        <f t="shared" si="9"/>
        <v>#NUM!</v>
      </c>
      <c r="K88" s="138" t="e">
        <f t="shared" si="7"/>
        <v>#NUM!</v>
      </c>
      <c r="L88" s="138"/>
      <c r="M88" s="140">
        <f t="shared" si="8"/>
        <v>0</v>
      </c>
    </row>
    <row r="89" spans="1:13" x14ac:dyDescent="0.25">
      <c r="A89" s="163"/>
      <c r="G89" s="126"/>
      <c r="H89" s="138">
        <v>84</v>
      </c>
      <c r="I89" s="139" t="str">
        <f t="shared" si="6"/>
        <v/>
      </c>
      <c r="J89" s="138" t="e">
        <f t="shared" si="9"/>
        <v>#NUM!</v>
      </c>
      <c r="K89" s="138" t="e">
        <f t="shared" si="7"/>
        <v>#NUM!</v>
      </c>
      <c r="L89" s="138"/>
      <c r="M89" s="140">
        <f t="shared" si="8"/>
        <v>0</v>
      </c>
    </row>
    <row r="90" spans="1:13" x14ac:dyDescent="0.25">
      <c r="A90" s="163"/>
      <c r="G90" s="126"/>
      <c r="H90" s="138">
        <v>85</v>
      </c>
      <c r="I90" s="139" t="str">
        <f t="shared" si="6"/>
        <v/>
      </c>
      <c r="J90" s="138" t="e">
        <f t="shared" si="9"/>
        <v>#NUM!</v>
      </c>
      <c r="K90" s="138" t="e">
        <f t="shared" si="7"/>
        <v>#NUM!</v>
      </c>
      <c r="L90" s="138"/>
      <c r="M90" s="140">
        <f t="shared" si="8"/>
        <v>0</v>
      </c>
    </row>
    <row r="91" spans="1:13" x14ac:dyDescent="0.25">
      <c r="A91" s="163"/>
      <c r="G91" s="126"/>
      <c r="H91" s="138">
        <v>86</v>
      </c>
      <c r="I91" s="139" t="str">
        <f t="shared" si="6"/>
        <v/>
      </c>
      <c r="J91" s="138" t="e">
        <f t="shared" si="9"/>
        <v>#NUM!</v>
      </c>
      <c r="K91" s="138" t="e">
        <f t="shared" si="7"/>
        <v>#NUM!</v>
      </c>
      <c r="L91" s="138"/>
      <c r="M91" s="140">
        <f t="shared" si="8"/>
        <v>0</v>
      </c>
    </row>
    <row r="92" spans="1:13" x14ac:dyDescent="0.25">
      <c r="A92" s="163"/>
      <c r="G92" s="126"/>
      <c r="H92" s="138">
        <v>87</v>
      </c>
      <c r="I92" s="139" t="str">
        <f t="shared" si="6"/>
        <v/>
      </c>
      <c r="J92" s="138" t="e">
        <f t="shared" si="9"/>
        <v>#NUM!</v>
      </c>
      <c r="K92" s="138" t="e">
        <f t="shared" si="7"/>
        <v>#NUM!</v>
      </c>
      <c r="L92" s="138"/>
      <c r="M92" s="140">
        <f t="shared" si="8"/>
        <v>0</v>
      </c>
    </row>
    <row r="93" spans="1:13" x14ac:dyDescent="0.25">
      <c r="A93" s="163"/>
      <c r="G93" s="126"/>
      <c r="H93" s="138">
        <v>88</v>
      </c>
      <c r="I93" s="139" t="str">
        <f t="shared" si="6"/>
        <v/>
      </c>
      <c r="J93" s="138" t="e">
        <f t="shared" si="9"/>
        <v>#NUM!</v>
      </c>
      <c r="K93" s="138" t="e">
        <f t="shared" si="7"/>
        <v>#NUM!</v>
      </c>
      <c r="L93" s="138"/>
      <c r="M93" s="140">
        <f t="shared" si="8"/>
        <v>0</v>
      </c>
    </row>
    <row r="94" spans="1:13" x14ac:dyDescent="0.25">
      <c r="A94" s="163"/>
      <c r="G94" s="126"/>
      <c r="H94" s="138">
        <v>89</v>
      </c>
      <c r="I94" s="139" t="str">
        <f t="shared" si="6"/>
        <v/>
      </c>
      <c r="J94" s="138" t="e">
        <f t="shared" si="9"/>
        <v>#NUM!</v>
      </c>
      <c r="K94" s="138" t="e">
        <f t="shared" si="7"/>
        <v>#NUM!</v>
      </c>
      <c r="L94" s="138"/>
      <c r="M94" s="140">
        <f t="shared" si="8"/>
        <v>0</v>
      </c>
    </row>
    <row r="95" spans="1:13" x14ac:dyDescent="0.25">
      <c r="A95" s="163"/>
      <c r="G95" s="126"/>
      <c r="H95" s="138">
        <v>90</v>
      </c>
      <c r="I95" s="139" t="str">
        <f t="shared" si="6"/>
        <v/>
      </c>
      <c r="J95" s="138" t="e">
        <f t="shared" si="9"/>
        <v>#NUM!</v>
      </c>
      <c r="K95" s="138" t="e">
        <f t="shared" si="7"/>
        <v>#NUM!</v>
      </c>
      <c r="L95" s="138"/>
      <c r="M95" s="140">
        <f t="shared" si="8"/>
        <v>0</v>
      </c>
    </row>
    <row r="96" spans="1:13" x14ac:dyDescent="0.25">
      <c r="A96" s="163"/>
      <c r="G96" s="126"/>
      <c r="H96" s="138">
        <v>91</v>
      </c>
      <c r="I96" s="139" t="str">
        <f t="shared" si="6"/>
        <v/>
      </c>
      <c r="J96" s="138" t="e">
        <f t="shared" si="9"/>
        <v>#NUM!</v>
      </c>
      <c r="K96" s="138" t="e">
        <f t="shared" si="7"/>
        <v>#NUM!</v>
      </c>
      <c r="L96" s="138"/>
      <c r="M96" s="140">
        <f t="shared" si="8"/>
        <v>0</v>
      </c>
    </row>
    <row r="97" spans="1:13" x14ac:dyDescent="0.25">
      <c r="A97" s="163"/>
      <c r="G97" s="126"/>
      <c r="H97" s="138">
        <v>92</v>
      </c>
      <c r="I97" s="139" t="str">
        <f t="shared" si="6"/>
        <v/>
      </c>
      <c r="J97" s="138" t="e">
        <f t="shared" si="9"/>
        <v>#NUM!</v>
      </c>
      <c r="K97" s="138" t="e">
        <f t="shared" si="7"/>
        <v>#NUM!</v>
      </c>
      <c r="L97" s="138"/>
      <c r="M97" s="140">
        <f t="shared" si="8"/>
        <v>0</v>
      </c>
    </row>
    <row r="98" spans="1:13" x14ac:dyDescent="0.25">
      <c r="A98" s="163"/>
      <c r="G98" s="126"/>
      <c r="H98" s="138">
        <v>93</v>
      </c>
      <c r="I98" s="139" t="str">
        <f t="shared" si="6"/>
        <v/>
      </c>
      <c r="J98" s="138" t="e">
        <f t="shared" si="9"/>
        <v>#NUM!</v>
      </c>
      <c r="K98" s="138" t="e">
        <f t="shared" si="7"/>
        <v>#NUM!</v>
      </c>
      <c r="L98" s="138"/>
      <c r="M98" s="140">
        <f t="shared" si="8"/>
        <v>0</v>
      </c>
    </row>
    <row r="99" spans="1:13" x14ac:dyDescent="0.25">
      <c r="A99" s="163"/>
      <c r="G99" s="126"/>
      <c r="H99" s="138">
        <v>94</v>
      </c>
      <c r="I99" s="139" t="str">
        <f t="shared" si="6"/>
        <v/>
      </c>
      <c r="J99" s="138" t="e">
        <f t="shared" si="9"/>
        <v>#NUM!</v>
      </c>
      <c r="K99" s="138" t="e">
        <f t="shared" si="7"/>
        <v>#NUM!</v>
      </c>
      <c r="L99" s="138"/>
      <c r="M99" s="140">
        <f t="shared" si="8"/>
        <v>0</v>
      </c>
    </row>
    <row r="100" spans="1:13" x14ac:dyDescent="0.25">
      <c r="A100" s="163"/>
      <c r="G100" s="126"/>
      <c r="H100" s="138">
        <v>95</v>
      </c>
      <c r="I100" s="139" t="str">
        <f t="shared" si="6"/>
        <v/>
      </c>
      <c r="J100" s="138" t="e">
        <f t="shared" si="9"/>
        <v>#NUM!</v>
      </c>
      <c r="K100" s="138" t="e">
        <f t="shared" si="7"/>
        <v>#NUM!</v>
      </c>
      <c r="L100" s="138"/>
      <c r="M100" s="140">
        <f t="shared" si="8"/>
        <v>0</v>
      </c>
    </row>
    <row r="101" spans="1:13" x14ac:dyDescent="0.25">
      <c r="A101" s="155"/>
      <c r="G101" s="126"/>
      <c r="H101" s="138">
        <v>96</v>
      </c>
      <c r="I101" s="139" t="str">
        <f t="shared" si="6"/>
        <v/>
      </c>
      <c r="J101" s="138" t="e">
        <f t="shared" si="9"/>
        <v>#NUM!</v>
      </c>
      <c r="K101" s="138" t="e">
        <f t="shared" si="7"/>
        <v>#NUM!</v>
      </c>
      <c r="L101" s="138"/>
      <c r="M101" s="140">
        <f t="shared" si="8"/>
        <v>0</v>
      </c>
    </row>
    <row r="102" spans="1:13" x14ac:dyDescent="0.25">
      <c r="A102" s="155"/>
      <c r="G102" s="126"/>
      <c r="H102" s="138">
        <v>97</v>
      </c>
      <c r="I102" s="139" t="str">
        <f t="shared" si="6"/>
        <v/>
      </c>
      <c r="J102" s="138" t="e">
        <f t="shared" si="9"/>
        <v>#NUM!</v>
      </c>
      <c r="K102" s="138" t="e">
        <f t="shared" si="7"/>
        <v>#NUM!</v>
      </c>
      <c r="L102" s="138"/>
      <c r="M102" s="140">
        <f t="shared" si="8"/>
        <v>0</v>
      </c>
    </row>
    <row r="103" spans="1:13" x14ac:dyDescent="0.25">
      <c r="A103" s="155"/>
      <c r="G103" s="126"/>
      <c r="H103" s="138">
        <v>98</v>
      </c>
      <c r="I103" s="139" t="str">
        <f t="shared" si="6"/>
        <v/>
      </c>
      <c r="J103" s="138" t="e">
        <f t="shared" si="9"/>
        <v>#NUM!</v>
      </c>
      <c r="K103" s="138" t="e">
        <f t="shared" si="7"/>
        <v>#NUM!</v>
      </c>
      <c r="L103" s="138"/>
      <c r="M103" s="140">
        <f t="shared" si="8"/>
        <v>0</v>
      </c>
    </row>
    <row r="104" spans="1:13" x14ac:dyDescent="0.25">
      <c r="A104" s="155"/>
      <c r="G104" s="126"/>
      <c r="H104" s="138">
        <v>99</v>
      </c>
      <c r="I104" s="139" t="str">
        <f t="shared" si="6"/>
        <v/>
      </c>
      <c r="J104" s="138" t="e">
        <f t="shared" si="9"/>
        <v>#NUM!</v>
      </c>
      <c r="K104" s="138" t="e">
        <f t="shared" si="7"/>
        <v>#NUM!</v>
      </c>
      <c r="L104" s="138"/>
      <c r="M104" s="140">
        <f t="shared" si="8"/>
        <v>0</v>
      </c>
    </row>
    <row r="105" spans="1:13" x14ac:dyDescent="0.25">
      <c r="A105" s="155"/>
      <c r="G105" s="126"/>
      <c r="H105" s="138">
        <v>100</v>
      </c>
      <c r="I105" s="139" t="str">
        <f t="shared" si="6"/>
        <v/>
      </c>
      <c r="J105" s="138" t="e">
        <f t="shared" si="9"/>
        <v>#NUM!</v>
      </c>
      <c r="K105" s="138" t="e">
        <f t="shared" si="7"/>
        <v>#NUM!</v>
      </c>
      <c r="L105" s="138"/>
      <c r="M105" s="140">
        <f t="shared" si="8"/>
        <v>0</v>
      </c>
    </row>
    <row r="106" spans="1:13" x14ac:dyDescent="0.25">
      <c r="A106" s="155"/>
      <c r="G106" s="126"/>
      <c r="H106" s="138">
        <v>101</v>
      </c>
      <c r="I106" s="139" t="str">
        <f t="shared" si="6"/>
        <v/>
      </c>
      <c r="J106" s="138" t="e">
        <f t="shared" si="9"/>
        <v>#NUM!</v>
      </c>
      <c r="K106" s="138" t="e">
        <f t="shared" si="7"/>
        <v>#NUM!</v>
      </c>
      <c r="L106" s="138"/>
      <c r="M106" s="140">
        <f t="shared" si="8"/>
        <v>0</v>
      </c>
    </row>
    <row r="107" spans="1:13" x14ac:dyDescent="0.25">
      <c r="A107" s="155"/>
      <c r="G107" s="126"/>
      <c r="H107" s="138">
        <v>102</v>
      </c>
      <c r="I107" s="139" t="str">
        <f t="shared" si="6"/>
        <v/>
      </c>
      <c r="J107" s="138" t="e">
        <f t="shared" si="9"/>
        <v>#NUM!</v>
      </c>
      <c r="K107" s="138" t="e">
        <f t="shared" si="7"/>
        <v>#NUM!</v>
      </c>
      <c r="L107" s="138"/>
      <c r="M107" s="140">
        <f t="shared" si="8"/>
        <v>0</v>
      </c>
    </row>
    <row r="108" spans="1:13" x14ac:dyDescent="0.25">
      <c r="A108" s="155"/>
      <c r="G108" s="126"/>
      <c r="H108" s="138">
        <v>103</v>
      </c>
      <c r="I108" s="139" t="str">
        <f t="shared" si="6"/>
        <v/>
      </c>
      <c r="J108" s="138" t="e">
        <f t="shared" si="9"/>
        <v>#NUM!</v>
      </c>
      <c r="K108" s="138" t="e">
        <f t="shared" si="7"/>
        <v>#NUM!</v>
      </c>
      <c r="L108" s="138"/>
      <c r="M108" s="140">
        <f t="shared" si="8"/>
        <v>0</v>
      </c>
    </row>
    <row r="109" spans="1:13" x14ac:dyDescent="0.25">
      <c r="A109" s="155"/>
      <c r="G109" s="126"/>
      <c r="H109" s="138">
        <v>104</v>
      </c>
      <c r="I109" s="139" t="str">
        <f t="shared" si="6"/>
        <v/>
      </c>
      <c r="J109" s="138" t="e">
        <f t="shared" si="9"/>
        <v>#NUM!</v>
      </c>
      <c r="K109" s="138" t="e">
        <f t="shared" si="7"/>
        <v>#NUM!</v>
      </c>
      <c r="L109" s="138"/>
      <c r="M109" s="140">
        <f t="shared" si="8"/>
        <v>0</v>
      </c>
    </row>
    <row r="110" spans="1:13" x14ac:dyDescent="0.25">
      <c r="A110" s="155"/>
      <c r="G110" s="126"/>
      <c r="H110" s="138">
        <v>105</v>
      </c>
      <c r="I110" s="139" t="str">
        <f t="shared" si="6"/>
        <v/>
      </c>
      <c r="J110" s="138" t="e">
        <f t="shared" si="9"/>
        <v>#NUM!</v>
      </c>
      <c r="K110" s="138" t="e">
        <f t="shared" si="7"/>
        <v>#NUM!</v>
      </c>
      <c r="L110" s="138"/>
      <c r="M110" s="140">
        <f t="shared" si="8"/>
        <v>0</v>
      </c>
    </row>
    <row r="111" spans="1:13" x14ac:dyDescent="0.25">
      <c r="A111" s="155"/>
      <c r="G111" s="126"/>
      <c r="H111" s="138">
        <v>106</v>
      </c>
      <c r="I111" s="139" t="str">
        <f t="shared" si="6"/>
        <v/>
      </c>
      <c r="J111" s="138" t="e">
        <f t="shared" si="9"/>
        <v>#NUM!</v>
      </c>
      <c r="K111" s="138" t="e">
        <f t="shared" si="7"/>
        <v>#NUM!</v>
      </c>
      <c r="L111" s="138"/>
      <c r="M111" s="140">
        <f t="shared" si="8"/>
        <v>0</v>
      </c>
    </row>
    <row r="112" spans="1:13" x14ac:dyDescent="0.25">
      <c r="A112" s="155"/>
      <c r="G112" s="126"/>
      <c r="H112" s="138">
        <v>107</v>
      </c>
      <c r="I112" s="139" t="str">
        <f t="shared" si="6"/>
        <v/>
      </c>
      <c r="J112" s="138" t="e">
        <f t="shared" si="9"/>
        <v>#NUM!</v>
      </c>
      <c r="K112" s="138" t="e">
        <f t="shared" si="7"/>
        <v>#NUM!</v>
      </c>
      <c r="L112" s="138"/>
      <c r="M112" s="140">
        <f t="shared" si="8"/>
        <v>0</v>
      </c>
    </row>
    <row r="113" spans="1:13" x14ac:dyDescent="0.25">
      <c r="A113" s="155"/>
      <c r="G113" s="126"/>
      <c r="H113" s="138">
        <v>108</v>
      </c>
      <c r="I113" s="139" t="str">
        <f t="shared" si="6"/>
        <v/>
      </c>
      <c r="J113" s="138" t="e">
        <f t="shared" si="9"/>
        <v>#NUM!</v>
      </c>
      <c r="K113" s="138" t="e">
        <f t="shared" si="7"/>
        <v>#NUM!</v>
      </c>
      <c r="L113" s="138"/>
      <c r="M113" s="140">
        <f t="shared" si="8"/>
        <v>0</v>
      </c>
    </row>
    <row r="114" spans="1:13" x14ac:dyDescent="0.25">
      <c r="A114" s="155"/>
      <c r="G114" s="126"/>
      <c r="H114" s="138">
        <v>109</v>
      </c>
      <c r="I114" s="139" t="str">
        <f t="shared" si="6"/>
        <v/>
      </c>
      <c r="J114" s="138" t="e">
        <f t="shared" si="9"/>
        <v>#NUM!</v>
      </c>
      <c r="K114" s="138" t="e">
        <f t="shared" si="7"/>
        <v>#NUM!</v>
      </c>
      <c r="L114" s="138"/>
      <c r="M114" s="140">
        <f t="shared" si="8"/>
        <v>0</v>
      </c>
    </row>
    <row r="115" spans="1:13" x14ac:dyDescent="0.25">
      <c r="A115" s="155"/>
      <c r="G115" s="126"/>
      <c r="H115" s="138">
        <v>110</v>
      </c>
      <c r="I115" s="139" t="str">
        <f t="shared" si="6"/>
        <v/>
      </c>
      <c r="J115" s="138" t="e">
        <f t="shared" si="9"/>
        <v>#NUM!</v>
      </c>
      <c r="K115" s="138" t="e">
        <f t="shared" si="7"/>
        <v>#NUM!</v>
      </c>
      <c r="L115" s="138"/>
      <c r="M115" s="140">
        <f t="shared" si="8"/>
        <v>0</v>
      </c>
    </row>
    <row r="116" spans="1:13" x14ac:dyDescent="0.25">
      <c r="A116" s="155"/>
      <c r="G116" s="126"/>
      <c r="H116" s="138">
        <v>111</v>
      </c>
      <c r="I116" s="139" t="str">
        <f t="shared" si="6"/>
        <v/>
      </c>
      <c r="J116" s="138" t="e">
        <f t="shared" si="9"/>
        <v>#NUM!</v>
      </c>
      <c r="K116" s="138" t="e">
        <f t="shared" si="7"/>
        <v>#NUM!</v>
      </c>
      <c r="L116" s="138"/>
      <c r="M116" s="140">
        <f t="shared" si="8"/>
        <v>0</v>
      </c>
    </row>
    <row r="117" spans="1:13" x14ac:dyDescent="0.25">
      <c r="A117" s="155"/>
      <c r="G117" s="126"/>
      <c r="H117" s="138">
        <v>112</v>
      </c>
      <c r="I117" s="139" t="str">
        <f t="shared" si="6"/>
        <v/>
      </c>
      <c r="J117" s="138" t="e">
        <f t="shared" si="9"/>
        <v>#NUM!</v>
      </c>
      <c r="K117" s="138" t="e">
        <f t="shared" si="7"/>
        <v>#NUM!</v>
      </c>
      <c r="L117" s="138"/>
      <c r="M117" s="140">
        <f t="shared" si="8"/>
        <v>0</v>
      </c>
    </row>
    <row r="118" spans="1:13" x14ac:dyDescent="0.25">
      <c r="A118" s="155"/>
      <c r="G118" s="126"/>
      <c r="H118" s="138">
        <v>113</v>
      </c>
      <c r="I118" s="139" t="str">
        <f t="shared" si="6"/>
        <v/>
      </c>
      <c r="J118" s="138" t="e">
        <f t="shared" si="9"/>
        <v>#NUM!</v>
      </c>
      <c r="K118" s="138" t="e">
        <f t="shared" si="7"/>
        <v>#NUM!</v>
      </c>
      <c r="L118" s="138"/>
      <c r="M118" s="140">
        <f t="shared" si="8"/>
        <v>0</v>
      </c>
    </row>
    <row r="119" spans="1:13" x14ac:dyDescent="0.25">
      <c r="A119" s="155"/>
      <c r="G119" s="126"/>
      <c r="H119" s="138">
        <v>114</v>
      </c>
      <c r="I119" s="139" t="str">
        <f t="shared" si="6"/>
        <v/>
      </c>
      <c r="J119" s="138" t="e">
        <f t="shared" si="9"/>
        <v>#NUM!</v>
      </c>
      <c r="K119" s="138" t="e">
        <f t="shared" si="7"/>
        <v>#NUM!</v>
      </c>
      <c r="L119" s="138"/>
      <c r="M119" s="140">
        <f t="shared" si="8"/>
        <v>0</v>
      </c>
    </row>
    <row r="120" spans="1:13" x14ac:dyDescent="0.25">
      <c r="A120" s="155"/>
      <c r="G120" s="126"/>
      <c r="H120" s="138">
        <v>115</v>
      </c>
      <c r="I120" s="139" t="str">
        <f t="shared" si="6"/>
        <v/>
      </c>
      <c r="J120" s="138" t="e">
        <f t="shared" si="9"/>
        <v>#NUM!</v>
      </c>
      <c r="K120" s="138" t="e">
        <f t="shared" si="7"/>
        <v>#NUM!</v>
      </c>
      <c r="L120" s="138"/>
      <c r="M120" s="140">
        <f t="shared" si="8"/>
        <v>0</v>
      </c>
    </row>
    <row r="121" spans="1:13" x14ac:dyDescent="0.25">
      <c r="A121" s="155"/>
      <c r="G121" s="126"/>
      <c r="H121" s="138">
        <v>116</v>
      </c>
      <c r="I121" s="139" t="str">
        <f t="shared" si="6"/>
        <v/>
      </c>
      <c r="J121" s="138" t="e">
        <f t="shared" si="9"/>
        <v>#NUM!</v>
      </c>
      <c r="K121" s="138" t="e">
        <f t="shared" si="7"/>
        <v>#NUM!</v>
      </c>
      <c r="L121" s="138"/>
      <c r="M121" s="140">
        <f t="shared" si="8"/>
        <v>0</v>
      </c>
    </row>
    <row r="122" spans="1:13" x14ac:dyDescent="0.25">
      <c r="A122" s="155"/>
      <c r="G122" s="126"/>
      <c r="H122" s="138">
        <v>117</v>
      </c>
      <c r="I122" s="139" t="str">
        <f t="shared" si="6"/>
        <v/>
      </c>
      <c r="J122" s="138" t="e">
        <f t="shared" si="9"/>
        <v>#NUM!</v>
      </c>
      <c r="K122" s="138" t="e">
        <f t="shared" si="7"/>
        <v>#NUM!</v>
      </c>
      <c r="L122" s="138"/>
      <c r="M122" s="140">
        <f t="shared" si="8"/>
        <v>0</v>
      </c>
    </row>
    <row r="123" spans="1:13" x14ac:dyDescent="0.25">
      <c r="A123" s="155"/>
      <c r="G123" s="126"/>
      <c r="H123" s="138">
        <v>118</v>
      </c>
      <c r="I123" s="139" t="str">
        <f t="shared" si="6"/>
        <v/>
      </c>
      <c r="J123" s="138" t="e">
        <f t="shared" si="9"/>
        <v>#NUM!</v>
      </c>
      <c r="K123" s="138" t="e">
        <f t="shared" si="7"/>
        <v>#NUM!</v>
      </c>
      <c r="L123" s="138"/>
      <c r="M123" s="140">
        <f t="shared" si="8"/>
        <v>0</v>
      </c>
    </row>
    <row r="124" spans="1:13" x14ac:dyDescent="0.25">
      <c r="A124" s="155"/>
      <c r="G124" s="126"/>
      <c r="H124" s="138">
        <v>119</v>
      </c>
      <c r="I124" s="139" t="str">
        <f t="shared" si="6"/>
        <v/>
      </c>
      <c r="J124" s="138" t="e">
        <f t="shared" si="9"/>
        <v>#NUM!</v>
      </c>
      <c r="K124" s="138" t="e">
        <f t="shared" si="7"/>
        <v>#NUM!</v>
      </c>
      <c r="L124" s="138"/>
      <c r="M124" s="140">
        <f t="shared" si="8"/>
        <v>0</v>
      </c>
    </row>
    <row r="125" spans="1:13" x14ac:dyDescent="0.25">
      <c r="A125" s="155"/>
      <c r="G125" s="126"/>
      <c r="H125" s="138">
        <v>120</v>
      </c>
      <c r="I125" s="139" t="str">
        <f t="shared" si="6"/>
        <v/>
      </c>
      <c r="J125" s="138" t="e">
        <f t="shared" si="9"/>
        <v>#NUM!</v>
      </c>
      <c r="K125" s="138" t="e">
        <f t="shared" si="7"/>
        <v>#NUM!</v>
      </c>
      <c r="L125" s="138"/>
      <c r="M125" s="140">
        <f t="shared" si="8"/>
        <v>0</v>
      </c>
    </row>
    <row r="126" spans="1:13" x14ac:dyDescent="0.25">
      <c r="A126" s="155"/>
      <c r="G126" s="126"/>
      <c r="H126" s="138">
        <v>121</v>
      </c>
      <c r="I126" s="139" t="str">
        <f t="shared" si="6"/>
        <v/>
      </c>
      <c r="J126" s="138" t="e">
        <f t="shared" si="9"/>
        <v>#NUM!</v>
      </c>
      <c r="K126" s="138" t="e">
        <f t="shared" si="7"/>
        <v>#NUM!</v>
      </c>
      <c r="L126" s="138"/>
      <c r="M126" s="140">
        <f t="shared" si="8"/>
        <v>0</v>
      </c>
    </row>
    <row r="127" spans="1:13" x14ac:dyDescent="0.25">
      <c r="A127" s="155"/>
      <c r="G127" s="126"/>
      <c r="H127" s="138">
        <v>122</v>
      </c>
      <c r="I127" s="139" t="str">
        <f t="shared" si="6"/>
        <v/>
      </c>
      <c r="J127" s="138" t="e">
        <f t="shared" si="9"/>
        <v>#NUM!</v>
      </c>
      <c r="K127" s="138" t="e">
        <f t="shared" si="7"/>
        <v>#NUM!</v>
      </c>
      <c r="L127" s="138"/>
      <c r="M127" s="140">
        <f t="shared" si="8"/>
        <v>0</v>
      </c>
    </row>
    <row r="128" spans="1:13" x14ac:dyDescent="0.25">
      <c r="A128" s="155"/>
      <c r="G128" s="126"/>
      <c r="H128" s="138">
        <v>123</v>
      </c>
      <c r="I128" s="139" t="str">
        <f t="shared" si="6"/>
        <v/>
      </c>
      <c r="J128" s="138" t="e">
        <f t="shared" si="9"/>
        <v>#NUM!</v>
      </c>
      <c r="K128" s="138" t="e">
        <f t="shared" si="7"/>
        <v>#NUM!</v>
      </c>
      <c r="L128" s="138"/>
      <c r="M128" s="140">
        <f t="shared" si="8"/>
        <v>0</v>
      </c>
    </row>
    <row r="129" spans="1:13" x14ac:dyDescent="0.25">
      <c r="A129" s="155"/>
      <c r="G129" s="126"/>
      <c r="H129" s="138">
        <v>124</v>
      </c>
      <c r="I129" s="139" t="str">
        <f t="shared" si="6"/>
        <v/>
      </c>
      <c r="J129" s="138" t="e">
        <f t="shared" si="9"/>
        <v>#NUM!</v>
      </c>
      <c r="K129" s="138" t="e">
        <f t="shared" si="7"/>
        <v>#NUM!</v>
      </c>
      <c r="L129" s="138"/>
      <c r="M129" s="140">
        <f t="shared" si="8"/>
        <v>0</v>
      </c>
    </row>
    <row r="130" spans="1:13" x14ac:dyDescent="0.25">
      <c r="A130" s="155"/>
      <c r="G130" s="126"/>
      <c r="H130" s="138">
        <v>125</v>
      </c>
      <c r="I130" s="139" t="str">
        <f t="shared" si="6"/>
        <v/>
      </c>
      <c r="J130" s="138" t="e">
        <f t="shared" si="9"/>
        <v>#NUM!</v>
      </c>
      <c r="K130" s="138" t="e">
        <f t="shared" si="7"/>
        <v>#NUM!</v>
      </c>
      <c r="L130" s="138"/>
      <c r="M130" s="140">
        <f t="shared" si="8"/>
        <v>0</v>
      </c>
    </row>
    <row r="131" spans="1:13" x14ac:dyDescent="0.25">
      <c r="A131" s="155"/>
      <c r="G131" s="126"/>
      <c r="H131" s="138">
        <v>126</v>
      </c>
      <c r="I131" s="139" t="str">
        <f t="shared" si="6"/>
        <v/>
      </c>
      <c r="J131" s="138" t="e">
        <f t="shared" si="9"/>
        <v>#NUM!</v>
      </c>
      <c r="K131" s="138" t="e">
        <f t="shared" si="7"/>
        <v>#NUM!</v>
      </c>
      <c r="L131" s="138"/>
      <c r="M131" s="140">
        <f t="shared" si="8"/>
        <v>0</v>
      </c>
    </row>
    <row r="132" spans="1:13" x14ac:dyDescent="0.25">
      <c r="A132" s="155"/>
      <c r="G132" s="126"/>
      <c r="H132" s="138">
        <v>127</v>
      </c>
      <c r="I132" s="139" t="str">
        <f t="shared" si="6"/>
        <v/>
      </c>
      <c r="J132" s="138" t="e">
        <f t="shared" si="9"/>
        <v>#NUM!</v>
      </c>
      <c r="K132" s="138" t="e">
        <f t="shared" si="7"/>
        <v>#NUM!</v>
      </c>
      <c r="L132" s="138"/>
      <c r="M132" s="140">
        <f t="shared" si="8"/>
        <v>0</v>
      </c>
    </row>
    <row r="133" spans="1:13" x14ac:dyDescent="0.25">
      <c r="A133" s="155"/>
      <c r="G133" s="126"/>
      <c r="H133" s="138">
        <v>128</v>
      </c>
      <c r="I133" s="139" t="str">
        <f t="shared" si="6"/>
        <v/>
      </c>
      <c r="J133" s="138" t="e">
        <f t="shared" si="9"/>
        <v>#NUM!</v>
      </c>
      <c r="K133" s="138" t="e">
        <f t="shared" si="7"/>
        <v>#NUM!</v>
      </c>
      <c r="L133" s="138"/>
      <c r="M133" s="140">
        <f t="shared" si="8"/>
        <v>0</v>
      </c>
    </row>
    <row r="134" spans="1:13" x14ac:dyDescent="0.25">
      <c r="A134" s="155"/>
      <c r="G134" s="126"/>
      <c r="H134" s="138">
        <v>129</v>
      </c>
      <c r="I134" s="139" t="str">
        <f t="shared" ref="I134:I197" si="10">IF(H134&lt;$H$2+1,($I$2-($I$2-1)*(LOG(H134)/LOG($H$2))),"")</f>
        <v/>
      </c>
      <c r="J134" s="138" t="e">
        <f t="shared" si="9"/>
        <v>#NUM!</v>
      </c>
      <c r="K134" s="138" t="e">
        <f t="shared" ref="K134:K197" si="11">J134*$J$2</f>
        <v>#NUM!</v>
      </c>
      <c r="L134" s="138"/>
      <c r="M134" s="140">
        <f t="shared" ref="M134:M197" si="12">IF(I134&lt;&gt;"",K134+I134+L134,0)</f>
        <v>0</v>
      </c>
    </row>
    <row r="135" spans="1:13" x14ac:dyDescent="0.25">
      <c r="A135" s="155"/>
      <c r="G135" s="126"/>
      <c r="H135" s="138">
        <v>130</v>
      </c>
      <c r="I135" s="139" t="str">
        <f t="shared" si="10"/>
        <v/>
      </c>
      <c r="J135" s="138" t="e">
        <f t="shared" ref="J135:J198" si="13">INT(LOG($H$2,2))-ROUNDUP(LOG(H135,2),0)+IF(OR($H$2=1,$H$2=2,$H$2=4,$H$2=8,$H$2=16,$H$2=32,$H$2=64,$H$2=128,$H$2=256),0,1)</f>
        <v>#NUM!</v>
      </c>
      <c r="K135" s="138" t="e">
        <f t="shared" si="11"/>
        <v>#NUM!</v>
      </c>
      <c r="L135" s="138"/>
      <c r="M135" s="140">
        <f t="shared" si="12"/>
        <v>0</v>
      </c>
    </row>
    <row r="136" spans="1:13" x14ac:dyDescent="0.25">
      <c r="A136" s="155"/>
      <c r="G136" s="126"/>
      <c r="H136" s="138">
        <v>131</v>
      </c>
      <c r="I136" s="139" t="str">
        <f t="shared" si="10"/>
        <v/>
      </c>
      <c r="J136" s="138" t="e">
        <f t="shared" si="13"/>
        <v>#NUM!</v>
      </c>
      <c r="K136" s="138" t="e">
        <f t="shared" si="11"/>
        <v>#NUM!</v>
      </c>
      <c r="L136" s="138"/>
      <c r="M136" s="140">
        <f t="shared" si="12"/>
        <v>0</v>
      </c>
    </row>
    <row r="137" spans="1:13" x14ac:dyDescent="0.25">
      <c r="A137" s="155"/>
      <c r="G137" s="126"/>
      <c r="H137" s="138">
        <v>132</v>
      </c>
      <c r="I137" s="139" t="str">
        <f t="shared" si="10"/>
        <v/>
      </c>
      <c r="J137" s="138" t="e">
        <f t="shared" si="13"/>
        <v>#NUM!</v>
      </c>
      <c r="K137" s="138" t="e">
        <f t="shared" si="11"/>
        <v>#NUM!</v>
      </c>
      <c r="L137" s="138"/>
      <c r="M137" s="140">
        <f t="shared" si="12"/>
        <v>0</v>
      </c>
    </row>
    <row r="138" spans="1:13" x14ac:dyDescent="0.25">
      <c r="A138" s="155"/>
      <c r="G138" s="126"/>
      <c r="H138" s="138">
        <v>133</v>
      </c>
      <c r="I138" s="139" t="str">
        <f t="shared" si="10"/>
        <v/>
      </c>
      <c r="J138" s="138" t="e">
        <f t="shared" si="13"/>
        <v>#NUM!</v>
      </c>
      <c r="K138" s="138" t="e">
        <f t="shared" si="11"/>
        <v>#NUM!</v>
      </c>
      <c r="L138" s="138"/>
      <c r="M138" s="140">
        <f t="shared" si="12"/>
        <v>0</v>
      </c>
    </row>
    <row r="139" spans="1:13" x14ac:dyDescent="0.25">
      <c r="A139" s="155"/>
      <c r="G139" s="126"/>
      <c r="H139" s="138">
        <v>134</v>
      </c>
      <c r="I139" s="139" t="str">
        <f t="shared" si="10"/>
        <v/>
      </c>
      <c r="J139" s="138" t="e">
        <f t="shared" si="13"/>
        <v>#NUM!</v>
      </c>
      <c r="K139" s="138" t="e">
        <f t="shared" si="11"/>
        <v>#NUM!</v>
      </c>
      <c r="L139" s="138"/>
      <c r="M139" s="140">
        <f t="shared" si="12"/>
        <v>0</v>
      </c>
    </row>
    <row r="140" spans="1:13" x14ac:dyDescent="0.25">
      <c r="A140" s="155"/>
      <c r="G140" s="126"/>
      <c r="H140" s="138">
        <v>135</v>
      </c>
      <c r="I140" s="139" t="str">
        <f t="shared" si="10"/>
        <v/>
      </c>
      <c r="J140" s="138" t="e">
        <f t="shared" si="13"/>
        <v>#NUM!</v>
      </c>
      <c r="K140" s="138" t="e">
        <f t="shared" si="11"/>
        <v>#NUM!</v>
      </c>
      <c r="L140" s="138"/>
      <c r="M140" s="140">
        <f t="shared" si="12"/>
        <v>0</v>
      </c>
    </row>
    <row r="141" spans="1:13" x14ac:dyDescent="0.25">
      <c r="A141" s="155"/>
      <c r="G141" s="126"/>
      <c r="H141" s="138">
        <v>136</v>
      </c>
      <c r="I141" s="139" t="str">
        <f t="shared" si="10"/>
        <v/>
      </c>
      <c r="J141" s="138" t="e">
        <f t="shared" si="13"/>
        <v>#NUM!</v>
      </c>
      <c r="K141" s="138" t="e">
        <f t="shared" si="11"/>
        <v>#NUM!</v>
      </c>
      <c r="L141" s="138"/>
      <c r="M141" s="140">
        <f t="shared" si="12"/>
        <v>0</v>
      </c>
    </row>
    <row r="142" spans="1:13" x14ac:dyDescent="0.25">
      <c r="A142" s="155"/>
      <c r="G142" s="126"/>
      <c r="H142" s="138">
        <v>137</v>
      </c>
      <c r="I142" s="139" t="str">
        <f t="shared" si="10"/>
        <v/>
      </c>
      <c r="J142" s="138" t="e">
        <f t="shared" si="13"/>
        <v>#NUM!</v>
      </c>
      <c r="K142" s="138" t="e">
        <f t="shared" si="11"/>
        <v>#NUM!</v>
      </c>
      <c r="L142" s="138"/>
      <c r="M142" s="140">
        <f t="shared" si="12"/>
        <v>0</v>
      </c>
    </row>
    <row r="143" spans="1:13" x14ac:dyDescent="0.25">
      <c r="A143" s="155"/>
      <c r="G143" s="126"/>
      <c r="H143" s="138">
        <v>138</v>
      </c>
      <c r="I143" s="139" t="str">
        <f t="shared" si="10"/>
        <v/>
      </c>
      <c r="J143" s="138" t="e">
        <f t="shared" si="13"/>
        <v>#NUM!</v>
      </c>
      <c r="K143" s="138" t="e">
        <f t="shared" si="11"/>
        <v>#NUM!</v>
      </c>
      <c r="L143" s="138"/>
      <c r="M143" s="140">
        <f t="shared" si="12"/>
        <v>0</v>
      </c>
    </row>
    <row r="144" spans="1:13" x14ac:dyDescent="0.25">
      <c r="A144" s="155"/>
      <c r="G144" s="126"/>
      <c r="H144" s="138">
        <v>139</v>
      </c>
      <c r="I144" s="139" t="str">
        <f t="shared" si="10"/>
        <v/>
      </c>
      <c r="J144" s="138" t="e">
        <f t="shared" si="13"/>
        <v>#NUM!</v>
      </c>
      <c r="K144" s="138" t="e">
        <f t="shared" si="11"/>
        <v>#NUM!</v>
      </c>
      <c r="L144" s="138"/>
      <c r="M144" s="140">
        <f t="shared" si="12"/>
        <v>0</v>
      </c>
    </row>
    <row r="145" spans="1:13" x14ac:dyDescent="0.25">
      <c r="A145" s="155"/>
      <c r="G145" s="126"/>
      <c r="H145" s="138">
        <v>140</v>
      </c>
      <c r="I145" s="139" t="str">
        <f t="shared" si="10"/>
        <v/>
      </c>
      <c r="J145" s="138" t="e">
        <f t="shared" si="13"/>
        <v>#NUM!</v>
      </c>
      <c r="K145" s="138" t="e">
        <f t="shared" si="11"/>
        <v>#NUM!</v>
      </c>
      <c r="L145" s="138"/>
      <c r="M145" s="140">
        <f t="shared" si="12"/>
        <v>0</v>
      </c>
    </row>
    <row r="146" spans="1:13" x14ac:dyDescent="0.25">
      <c r="A146" s="155"/>
      <c r="G146" s="126"/>
      <c r="H146" s="138">
        <v>141</v>
      </c>
      <c r="I146" s="139" t="str">
        <f t="shared" si="10"/>
        <v/>
      </c>
      <c r="J146" s="138" t="e">
        <f t="shared" si="13"/>
        <v>#NUM!</v>
      </c>
      <c r="K146" s="138" t="e">
        <f t="shared" si="11"/>
        <v>#NUM!</v>
      </c>
      <c r="L146" s="138"/>
      <c r="M146" s="140">
        <f t="shared" si="12"/>
        <v>0</v>
      </c>
    </row>
    <row r="147" spans="1:13" x14ac:dyDescent="0.25">
      <c r="A147" s="155"/>
      <c r="G147" s="126"/>
      <c r="H147" s="138">
        <v>142</v>
      </c>
      <c r="I147" s="139" t="str">
        <f t="shared" si="10"/>
        <v/>
      </c>
      <c r="J147" s="138" t="e">
        <f t="shared" si="13"/>
        <v>#NUM!</v>
      </c>
      <c r="K147" s="138" t="e">
        <f t="shared" si="11"/>
        <v>#NUM!</v>
      </c>
      <c r="L147" s="138"/>
      <c r="M147" s="140">
        <f t="shared" si="12"/>
        <v>0</v>
      </c>
    </row>
    <row r="148" spans="1:13" x14ac:dyDescent="0.25">
      <c r="A148" s="155"/>
      <c r="G148" s="126"/>
      <c r="H148" s="138">
        <v>143</v>
      </c>
      <c r="I148" s="139" t="str">
        <f t="shared" si="10"/>
        <v/>
      </c>
      <c r="J148" s="138" t="e">
        <f t="shared" si="13"/>
        <v>#NUM!</v>
      </c>
      <c r="K148" s="138" t="e">
        <f t="shared" si="11"/>
        <v>#NUM!</v>
      </c>
      <c r="L148" s="138"/>
      <c r="M148" s="140">
        <f t="shared" si="12"/>
        <v>0</v>
      </c>
    </row>
    <row r="149" spans="1:13" x14ac:dyDescent="0.25">
      <c r="A149" s="155"/>
      <c r="G149" s="126"/>
      <c r="H149" s="138">
        <v>144</v>
      </c>
      <c r="I149" s="139" t="str">
        <f t="shared" si="10"/>
        <v/>
      </c>
      <c r="J149" s="138" t="e">
        <f t="shared" si="13"/>
        <v>#NUM!</v>
      </c>
      <c r="K149" s="138" t="e">
        <f t="shared" si="11"/>
        <v>#NUM!</v>
      </c>
      <c r="L149" s="138"/>
      <c r="M149" s="140">
        <f t="shared" si="12"/>
        <v>0</v>
      </c>
    </row>
    <row r="150" spans="1:13" x14ac:dyDescent="0.25">
      <c r="A150" s="155"/>
      <c r="G150" s="126"/>
      <c r="H150" s="138">
        <v>145</v>
      </c>
      <c r="I150" s="139" t="str">
        <f t="shared" si="10"/>
        <v/>
      </c>
      <c r="J150" s="138" t="e">
        <f t="shared" si="13"/>
        <v>#NUM!</v>
      </c>
      <c r="K150" s="138" t="e">
        <f t="shared" si="11"/>
        <v>#NUM!</v>
      </c>
      <c r="L150" s="138"/>
      <c r="M150" s="140">
        <f t="shared" si="12"/>
        <v>0</v>
      </c>
    </row>
    <row r="151" spans="1:13" x14ac:dyDescent="0.25">
      <c r="A151" s="155"/>
      <c r="G151" s="126"/>
      <c r="H151" s="138">
        <v>146</v>
      </c>
      <c r="I151" s="139" t="str">
        <f t="shared" si="10"/>
        <v/>
      </c>
      <c r="J151" s="138" t="e">
        <f t="shared" si="13"/>
        <v>#NUM!</v>
      </c>
      <c r="K151" s="138" t="e">
        <f t="shared" si="11"/>
        <v>#NUM!</v>
      </c>
      <c r="L151" s="138"/>
      <c r="M151" s="140">
        <f t="shared" si="12"/>
        <v>0</v>
      </c>
    </row>
    <row r="152" spans="1:13" x14ac:dyDescent="0.25">
      <c r="A152" s="155"/>
      <c r="G152" s="126"/>
      <c r="H152" s="138">
        <v>147</v>
      </c>
      <c r="I152" s="139" t="str">
        <f t="shared" si="10"/>
        <v/>
      </c>
      <c r="J152" s="138" t="e">
        <f t="shared" si="13"/>
        <v>#NUM!</v>
      </c>
      <c r="K152" s="138" t="e">
        <f t="shared" si="11"/>
        <v>#NUM!</v>
      </c>
      <c r="L152" s="138"/>
      <c r="M152" s="140">
        <f t="shared" si="12"/>
        <v>0</v>
      </c>
    </row>
    <row r="153" spans="1:13" x14ac:dyDescent="0.25">
      <c r="A153" s="155"/>
      <c r="G153" s="126"/>
      <c r="H153" s="138">
        <v>148</v>
      </c>
      <c r="I153" s="139" t="str">
        <f t="shared" si="10"/>
        <v/>
      </c>
      <c r="J153" s="138" t="e">
        <f t="shared" si="13"/>
        <v>#NUM!</v>
      </c>
      <c r="K153" s="138" t="e">
        <f t="shared" si="11"/>
        <v>#NUM!</v>
      </c>
      <c r="L153" s="138"/>
      <c r="M153" s="140">
        <f t="shared" si="12"/>
        <v>0</v>
      </c>
    </row>
    <row r="154" spans="1:13" x14ac:dyDescent="0.25">
      <c r="A154" s="155"/>
      <c r="G154" s="126"/>
      <c r="H154" s="138">
        <v>149</v>
      </c>
      <c r="I154" s="139" t="str">
        <f t="shared" si="10"/>
        <v/>
      </c>
      <c r="J154" s="138" t="e">
        <f t="shared" si="13"/>
        <v>#NUM!</v>
      </c>
      <c r="K154" s="138" t="e">
        <f t="shared" si="11"/>
        <v>#NUM!</v>
      </c>
      <c r="L154" s="138"/>
      <c r="M154" s="140">
        <f t="shared" si="12"/>
        <v>0</v>
      </c>
    </row>
    <row r="155" spans="1:13" x14ac:dyDescent="0.25">
      <c r="A155" s="155"/>
      <c r="G155" s="126"/>
      <c r="H155" s="138">
        <v>150</v>
      </c>
      <c r="I155" s="139" t="str">
        <f t="shared" si="10"/>
        <v/>
      </c>
      <c r="J155" s="138" t="e">
        <f t="shared" si="13"/>
        <v>#NUM!</v>
      </c>
      <c r="K155" s="138" t="e">
        <f t="shared" si="11"/>
        <v>#NUM!</v>
      </c>
      <c r="L155" s="138"/>
      <c r="M155" s="140">
        <f t="shared" si="12"/>
        <v>0</v>
      </c>
    </row>
    <row r="156" spans="1:13" x14ac:dyDescent="0.25">
      <c r="A156" s="155"/>
      <c r="G156" s="126"/>
      <c r="H156" s="138">
        <v>151</v>
      </c>
      <c r="I156" s="139" t="str">
        <f t="shared" si="10"/>
        <v/>
      </c>
      <c r="J156" s="138" t="e">
        <f t="shared" si="13"/>
        <v>#NUM!</v>
      </c>
      <c r="K156" s="138" t="e">
        <f t="shared" si="11"/>
        <v>#NUM!</v>
      </c>
      <c r="L156" s="138"/>
      <c r="M156" s="140">
        <f t="shared" si="12"/>
        <v>0</v>
      </c>
    </row>
    <row r="157" spans="1:13" x14ac:dyDescent="0.25">
      <c r="A157" s="155"/>
      <c r="G157" s="126"/>
      <c r="H157" s="138">
        <v>152</v>
      </c>
      <c r="I157" s="139" t="str">
        <f t="shared" si="10"/>
        <v/>
      </c>
      <c r="J157" s="138" t="e">
        <f t="shared" si="13"/>
        <v>#NUM!</v>
      </c>
      <c r="K157" s="138" t="e">
        <f t="shared" si="11"/>
        <v>#NUM!</v>
      </c>
      <c r="L157" s="138"/>
      <c r="M157" s="140">
        <f t="shared" si="12"/>
        <v>0</v>
      </c>
    </row>
    <row r="158" spans="1:13" x14ac:dyDescent="0.25">
      <c r="A158" s="155"/>
      <c r="G158" s="126"/>
      <c r="H158" s="138">
        <v>153</v>
      </c>
      <c r="I158" s="139" t="str">
        <f t="shared" si="10"/>
        <v/>
      </c>
      <c r="J158" s="138" t="e">
        <f t="shared" si="13"/>
        <v>#NUM!</v>
      </c>
      <c r="K158" s="138" t="e">
        <f t="shared" si="11"/>
        <v>#NUM!</v>
      </c>
      <c r="L158" s="138"/>
      <c r="M158" s="140">
        <f t="shared" si="12"/>
        <v>0</v>
      </c>
    </row>
    <row r="159" spans="1:13" x14ac:dyDescent="0.25">
      <c r="A159" s="155"/>
      <c r="G159" s="126"/>
      <c r="H159" s="138">
        <v>154</v>
      </c>
      <c r="I159" s="139" t="str">
        <f t="shared" si="10"/>
        <v/>
      </c>
      <c r="J159" s="138" t="e">
        <f t="shared" si="13"/>
        <v>#NUM!</v>
      </c>
      <c r="K159" s="138" t="e">
        <f t="shared" si="11"/>
        <v>#NUM!</v>
      </c>
      <c r="L159" s="138"/>
      <c r="M159" s="140">
        <f t="shared" si="12"/>
        <v>0</v>
      </c>
    </row>
    <row r="160" spans="1:13" x14ac:dyDescent="0.25">
      <c r="A160" s="155"/>
      <c r="G160" s="126"/>
      <c r="H160" s="138">
        <v>155</v>
      </c>
      <c r="I160" s="139" t="str">
        <f t="shared" si="10"/>
        <v/>
      </c>
      <c r="J160" s="138" t="e">
        <f t="shared" si="13"/>
        <v>#NUM!</v>
      </c>
      <c r="K160" s="138" t="e">
        <f t="shared" si="11"/>
        <v>#NUM!</v>
      </c>
      <c r="L160" s="138"/>
      <c r="M160" s="140">
        <f t="shared" si="12"/>
        <v>0</v>
      </c>
    </row>
    <row r="161" spans="1:13" x14ac:dyDescent="0.25">
      <c r="A161" s="155"/>
      <c r="G161" s="126"/>
      <c r="H161" s="138">
        <v>156</v>
      </c>
      <c r="I161" s="139" t="str">
        <f t="shared" si="10"/>
        <v/>
      </c>
      <c r="J161" s="138" t="e">
        <f t="shared" si="13"/>
        <v>#NUM!</v>
      </c>
      <c r="K161" s="138" t="e">
        <f t="shared" si="11"/>
        <v>#NUM!</v>
      </c>
      <c r="L161" s="138"/>
      <c r="M161" s="140">
        <f t="shared" si="12"/>
        <v>0</v>
      </c>
    </row>
    <row r="162" spans="1:13" x14ac:dyDescent="0.25">
      <c r="A162" s="155"/>
      <c r="G162" s="126"/>
      <c r="H162" s="138">
        <v>157</v>
      </c>
      <c r="I162" s="139" t="str">
        <f t="shared" si="10"/>
        <v/>
      </c>
      <c r="J162" s="138" t="e">
        <f t="shared" si="13"/>
        <v>#NUM!</v>
      </c>
      <c r="K162" s="138" t="e">
        <f t="shared" si="11"/>
        <v>#NUM!</v>
      </c>
      <c r="L162" s="138"/>
      <c r="M162" s="140">
        <f t="shared" si="12"/>
        <v>0</v>
      </c>
    </row>
    <row r="163" spans="1:13" x14ac:dyDescent="0.25">
      <c r="A163" s="155"/>
      <c r="G163" s="126"/>
      <c r="H163" s="138">
        <v>158</v>
      </c>
      <c r="I163" s="139" t="str">
        <f t="shared" si="10"/>
        <v/>
      </c>
      <c r="J163" s="138" t="e">
        <f t="shared" si="13"/>
        <v>#NUM!</v>
      </c>
      <c r="K163" s="138" t="e">
        <f t="shared" si="11"/>
        <v>#NUM!</v>
      </c>
      <c r="L163" s="138"/>
      <c r="M163" s="140">
        <f t="shared" si="12"/>
        <v>0</v>
      </c>
    </row>
    <row r="164" spans="1:13" x14ac:dyDescent="0.25">
      <c r="A164" s="155"/>
      <c r="G164" s="126"/>
      <c r="H164" s="138">
        <v>159</v>
      </c>
      <c r="I164" s="139" t="str">
        <f t="shared" si="10"/>
        <v/>
      </c>
      <c r="J164" s="138" t="e">
        <f t="shared" si="13"/>
        <v>#NUM!</v>
      </c>
      <c r="K164" s="138" t="e">
        <f t="shared" si="11"/>
        <v>#NUM!</v>
      </c>
      <c r="L164" s="138"/>
      <c r="M164" s="140">
        <f t="shared" si="12"/>
        <v>0</v>
      </c>
    </row>
    <row r="165" spans="1:13" x14ac:dyDescent="0.25">
      <c r="A165" s="155"/>
      <c r="G165" s="126"/>
      <c r="H165" s="138">
        <v>160</v>
      </c>
      <c r="I165" s="139" t="str">
        <f t="shared" si="10"/>
        <v/>
      </c>
      <c r="J165" s="138" t="e">
        <f t="shared" si="13"/>
        <v>#NUM!</v>
      </c>
      <c r="K165" s="138" t="e">
        <f t="shared" si="11"/>
        <v>#NUM!</v>
      </c>
      <c r="L165" s="138"/>
      <c r="M165" s="140">
        <f t="shared" si="12"/>
        <v>0</v>
      </c>
    </row>
    <row r="166" spans="1:13" x14ac:dyDescent="0.25">
      <c r="A166" s="155"/>
      <c r="G166" s="126"/>
      <c r="H166" s="138">
        <v>161</v>
      </c>
      <c r="I166" s="139" t="str">
        <f t="shared" si="10"/>
        <v/>
      </c>
      <c r="J166" s="138" t="e">
        <f t="shared" si="13"/>
        <v>#NUM!</v>
      </c>
      <c r="K166" s="138" t="e">
        <f t="shared" si="11"/>
        <v>#NUM!</v>
      </c>
      <c r="L166" s="138"/>
      <c r="M166" s="140">
        <f t="shared" si="12"/>
        <v>0</v>
      </c>
    </row>
    <row r="167" spans="1:13" x14ac:dyDescent="0.25">
      <c r="A167" s="155"/>
      <c r="G167" s="126"/>
      <c r="H167" s="138">
        <v>162</v>
      </c>
      <c r="I167" s="139" t="str">
        <f t="shared" si="10"/>
        <v/>
      </c>
      <c r="J167" s="138" t="e">
        <f t="shared" si="13"/>
        <v>#NUM!</v>
      </c>
      <c r="K167" s="138" t="e">
        <f t="shared" si="11"/>
        <v>#NUM!</v>
      </c>
      <c r="L167" s="138"/>
      <c r="M167" s="140">
        <f t="shared" si="12"/>
        <v>0</v>
      </c>
    </row>
    <row r="168" spans="1:13" x14ac:dyDescent="0.25">
      <c r="A168" s="155"/>
      <c r="G168" s="126"/>
      <c r="H168" s="138">
        <v>163</v>
      </c>
      <c r="I168" s="139" t="str">
        <f t="shared" si="10"/>
        <v/>
      </c>
      <c r="J168" s="138" t="e">
        <f t="shared" si="13"/>
        <v>#NUM!</v>
      </c>
      <c r="K168" s="138" t="e">
        <f t="shared" si="11"/>
        <v>#NUM!</v>
      </c>
      <c r="L168" s="138"/>
      <c r="M168" s="140">
        <f t="shared" si="12"/>
        <v>0</v>
      </c>
    </row>
    <row r="169" spans="1:13" x14ac:dyDescent="0.25">
      <c r="A169" s="155"/>
      <c r="C169" s="154" t="s">
        <v>50</v>
      </c>
      <c r="G169" s="126"/>
      <c r="H169" s="138">
        <v>164</v>
      </c>
      <c r="I169" s="139" t="str">
        <f t="shared" si="10"/>
        <v/>
      </c>
      <c r="J169" s="138" t="e">
        <f t="shared" si="13"/>
        <v>#NUM!</v>
      </c>
      <c r="K169" s="138" t="e">
        <f t="shared" si="11"/>
        <v>#NUM!</v>
      </c>
      <c r="L169" s="138"/>
      <c r="M169" s="140">
        <f t="shared" si="12"/>
        <v>0</v>
      </c>
    </row>
    <row r="170" spans="1:13" x14ac:dyDescent="0.25">
      <c r="A170" s="155"/>
      <c r="G170" s="126"/>
      <c r="H170" s="138">
        <v>165</v>
      </c>
      <c r="I170" s="139" t="str">
        <f t="shared" si="10"/>
        <v/>
      </c>
      <c r="J170" s="138" t="e">
        <f t="shared" si="13"/>
        <v>#NUM!</v>
      </c>
      <c r="K170" s="138" t="e">
        <f t="shared" si="11"/>
        <v>#NUM!</v>
      </c>
      <c r="L170" s="138"/>
      <c r="M170" s="140">
        <f t="shared" si="12"/>
        <v>0</v>
      </c>
    </row>
    <row r="171" spans="1:13" x14ac:dyDescent="0.25">
      <c r="A171" s="155"/>
      <c r="G171" s="126"/>
      <c r="H171" s="138">
        <v>166</v>
      </c>
      <c r="I171" s="139" t="str">
        <f t="shared" si="10"/>
        <v/>
      </c>
      <c r="J171" s="138" t="e">
        <f t="shared" si="13"/>
        <v>#NUM!</v>
      </c>
      <c r="K171" s="138" t="e">
        <f t="shared" si="11"/>
        <v>#NUM!</v>
      </c>
      <c r="L171" s="138"/>
      <c r="M171" s="140">
        <f t="shared" si="12"/>
        <v>0</v>
      </c>
    </row>
    <row r="172" spans="1:13" x14ac:dyDescent="0.25">
      <c r="A172" s="155"/>
      <c r="G172" s="126"/>
      <c r="H172" s="138">
        <v>167</v>
      </c>
      <c r="I172" s="139" t="str">
        <f t="shared" si="10"/>
        <v/>
      </c>
      <c r="J172" s="138" t="e">
        <f t="shared" si="13"/>
        <v>#NUM!</v>
      </c>
      <c r="K172" s="138" t="e">
        <f t="shared" si="11"/>
        <v>#NUM!</v>
      </c>
      <c r="L172" s="138"/>
      <c r="M172" s="140">
        <f t="shared" si="12"/>
        <v>0</v>
      </c>
    </row>
    <row r="173" spans="1:13" x14ac:dyDescent="0.25">
      <c r="A173" s="155"/>
      <c r="G173" s="126"/>
      <c r="H173" s="138">
        <v>168</v>
      </c>
      <c r="I173" s="139" t="str">
        <f t="shared" si="10"/>
        <v/>
      </c>
      <c r="J173" s="138" t="e">
        <f t="shared" si="13"/>
        <v>#NUM!</v>
      </c>
      <c r="K173" s="138" t="e">
        <f t="shared" si="11"/>
        <v>#NUM!</v>
      </c>
      <c r="L173" s="138"/>
      <c r="M173" s="140">
        <f t="shared" si="12"/>
        <v>0</v>
      </c>
    </row>
    <row r="174" spans="1:13" x14ac:dyDescent="0.25">
      <c r="A174" s="155"/>
      <c r="G174" s="126"/>
      <c r="H174" s="138">
        <v>169</v>
      </c>
      <c r="I174" s="139" t="str">
        <f t="shared" si="10"/>
        <v/>
      </c>
      <c r="J174" s="138" t="e">
        <f t="shared" si="13"/>
        <v>#NUM!</v>
      </c>
      <c r="K174" s="138" t="e">
        <f t="shared" si="11"/>
        <v>#NUM!</v>
      </c>
      <c r="L174" s="138"/>
      <c r="M174" s="140">
        <f t="shared" si="12"/>
        <v>0</v>
      </c>
    </row>
    <row r="175" spans="1:13" x14ac:dyDescent="0.25">
      <c r="A175" s="155"/>
      <c r="G175" s="126"/>
      <c r="H175" s="138">
        <v>170</v>
      </c>
      <c r="I175" s="139" t="str">
        <f t="shared" si="10"/>
        <v/>
      </c>
      <c r="J175" s="138" t="e">
        <f t="shared" si="13"/>
        <v>#NUM!</v>
      </c>
      <c r="K175" s="138" t="e">
        <f t="shared" si="11"/>
        <v>#NUM!</v>
      </c>
      <c r="L175" s="138"/>
      <c r="M175" s="140">
        <f t="shared" si="12"/>
        <v>0</v>
      </c>
    </row>
    <row r="176" spans="1:13" x14ac:dyDescent="0.25">
      <c r="A176" s="155"/>
      <c r="G176" s="126"/>
      <c r="H176" s="138">
        <v>171</v>
      </c>
      <c r="I176" s="139" t="str">
        <f t="shared" si="10"/>
        <v/>
      </c>
      <c r="J176" s="138" t="e">
        <f t="shared" si="13"/>
        <v>#NUM!</v>
      </c>
      <c r="K176" s="138" t="e">
        <f t="shared" si="11"/>
        <v>#NUM!</v>
      </c>
      <c r="L176" s="138"/>
      <c r="M176" s="140">
        <f t="shared" si="12"/>
        <v>0</v>
      </c>
    </row>
    <row r="177" spans="1:13" x14ac:dyDescent="0.25">
      <c r="A177" s="155"/>
      <c r="G177" s="126"/>
      <c r="H177" s="138">
        <v>172</v>
      </c>
      <c r="I177" s="139" t="str">
        <f t="shared" si="10"/>
        <v/>
      </c>
      <c r="J177" s="138" t="e">
        <f t="shared" si="13"/>
        <v>#NUM!</v>
      </c>
      <c r="K177" s="138" t="e">
        <f t="shared" si="11"/>
        <v>#NUM!</v>
      </c>
      <c r="L177" s="138"/>
      <c r="M177" s="140">
        <f t="shared" si="12"/>
        <v>0</v>
      </c>
    </row>
    <row r="178" spans="1:13" x14ac:dyDescent="0.25">
      <c r="A178" s="155"/>
      <c r="G178" s="126"/>
      <c r="H178" s="138">
        <v>173</v>
      </c>
      <c r="I178" s="139" t="str">
        <f t="shared" si="10"/>
        <v/>
      </c>
      <c r="J178" s="138" t="e">
        <f t="shared" si="13"/>
        <v>#NUM!</v>
      </c>
      <c r="K178" s="138" t="e">
        <f t="shared" si="11"/>
        <v>#NUM!</v>
      </c>
      <c r="L178" s="138"/>
      <c r="M178" s="140">
        <f t="shared" si="12"/>
        <v>0</v>
      </c>
    </row>
    <row r="179" spans="1:13" x14ac:dyDescent="0.25">
      <c r="A179" s="155"/>
      <c r="G179" s="126"/>
      <c r="H179" s="138">
        <v>174</v>
      </c>
      <c r="I179" s="139" t="str">
        <f t="shared" si="10"/>
        <v/>
      </c>
      <c r="J179" s="138" t="e">
        <f t="shared" si="13"/>
        <v>#NUM!</v>
      </c>
      <c r="K179" s="138" t="e">
        <f t="shared" si="11"/>
        <v>#NUM!</v>
      </c>
      <c r="L179" s="138"/>
      <c r="M179" s="140">
        <f t="shared" si="12"/>
        <v>0</v>
      </c>
    </row>
    <row r="180" spans="1:13" x14ac:dyDescent="0.25">
      <c r="A180" s="155"/>
      <c r="G180" s="126"/>
      <c r="H180" s="138">
        <v>175</v>
      </c>
      <c r="I180" s="139" t="str">
        <f t="shared" si="10"/>
        <v/>
      </c>
      <c r="J180" s="138" t="e">
        <f t="shared" si="13"/>
        <v>#NUM!</v>
      </c>
      <c r="K180" s="138" t="e">
        <f t="shared" si="11"/>
        <v>#NUM!</v>
      </c>
      <c r="L180" s="138"/>
      <c r="M180" s="140">
        <f t="shared" si="12"/>
        <v>0</v>
      </c>
    </row>
    <row r="181" spans="1:13" x14ac:dyDescent="0.25">
      <c r="A181" s="155"/>
      <c r="G181" s="126"/>
      <c r="H181" s="138">
        <v>176</v>
      </c>
      <c r="I181" s="139" t="str">
        <f t="shared" si="10"/>
        <v/>
      </c>
      <c r="J181" s="138" t="e">
        <f t="shared" si="13"/>
        <v>#NUM!</v>
      </c>
      <c r="K181" s="138" t="e">
        <f t="shared" si="11"/>
        <v>#NUM!</v>
      </c>
      <c r="L181" s="138"/>
      <c r="M181" s="140">
        <f t="shared" si="12"/>
        <v>0</v>
      </c>
    </row>
    <row r="182" spans="1:13" x14ac:dyDescent="0.25">
      <c r="A182" s="155"/>
      <c r="G182" s="126"/>
      <c r="H182" s="138">
        <v>177</v>
      </c>
      <c r="I182" s="139" t="str">
        <f t="shared" si="10"/>
        <v/>
      </c>
      <c r="J182" s="138" t="e">
        <f t="shared" si="13"/>
        <v>#NUM!</v>
      </c>
      <c r="K182" s="138" t="e">
        <f t="shared" si="11"/>
        <v>#NUM!</v>
      </c>
      <c r="L182" s="138"/>
      <c r="M182" s="140">
        <f t="shared" si="12"/>
        <v>0</v>
      </c>
    </row>
    <row r="183" spans="1:13" x14ac:dyDescent="0.25">
      <c r="A183" s="155"/>
      <c r="G183" s="126"/>
      <c r="H183" s="138">
        <v>178</v>
      </c>
      <c r="I183" s="139" t="str">
        <f t="shared" si="10"/>
        <v/>
      </c>
      <c r="J183" s="138" t="e">
        <f t="shared" si="13"/>
        <v>#NUM!</v>
      </c>
      <c r="K183" s="138" t="e">
        <f t="shared" si="11"/>
        <v>#NUM!</v>
      </c>
      <c r="L183" s="138"/>
      <c r="M183" s="140">
        <f t="shared" si="12"/>
        <v>0</v>
      </c>
    </row>
    <row r="184" spans="1:13" x14ac:dyDescent="0.25">
      <c r="A184" s="155"/>
      <c r="G184" s="126"/>
      <c r="H184" s="138">
        <v>179</v>
      </c>
      <c r="I184" s="139" t="str">
        <f t="shared" si="10"/>
        <v/>
      </c>
      <c r="J184" s="138" t="e">
        <f t="shared" si="13"/>
        <v>#NUM!</v>
      </c>
      <c r="K184" s="138" t="e">
        <f t="shared" si="11"/>
        <v>#NUM!</v>
      </c>
      <c r="L184" s="138"/>
      <c r="M184" s="140">
        <f t="shared" si="12"/>
        <v>0</v>
      </c>
    </row>
    <row r="185" spans="1:13" x14ac:dyDescent="0.25">
      <c r="A185" s="155"/>
      <c r="G185" s="126"/>
      <c r="H185" s="138">
        <v>180</v>
      </c>
      <c r="I185" s="139" t="str">
        <f t="shared" si="10"/>
        <v/>
      </c>
      <c r="J185" s="138" t="e">
        <f t="shared" si="13"/>
        <v>#NUM!</v>
      </c>
      <c r="K185" s="138" t="e">
        <f t="shared" si="11"/>
        <v>#NUM!</v>
      </c>
      <c r="L185" s="138"/>
      <c r="M185" s="140">
        <f t="shared" si="12"/>
        <v>0</v>
      </c>
    </row>
    <row r="186" spans="1:13" x14ac:dyDescent="0.25">
      <c r="A186" s="155"/>
      <c r="G186" s="126"/>
      <c r="H186" s="138">
        <v>181</v>
      </c>
      <c r="I186" s="139" t="str">
        <f t="shared" si="10"/>
        <v/>
      </c>
      <c r="J186" s="138" t="e">
        <f t="shared" si="13"/>
        <v>#NUM!</v>
      </c>
      <c r="K186" s="138" t="e">
        <f t="shared" si="11"/>
        <v>#NUM!</v>
      </c>
      <c r="L186" s="138"/>
      <c r="M186" s="140">
        <f t="shared" si="12"/>
        <v>0</v>
      </c>
    </row>
    <row r="187" spans="1:13" x14ac:dyDescent="0.25">
      <c r="A187" s="155"/>
      <c r="G187" s="126"/>
      <c r="H187" s="138">
        <v>182</v>
      </c>
      <c r="I187" s="139" t="str">
        <f t="shared" si="10"/>
        <v/>
      </c>
      <c r="J187" s="138" t="e">
        <f t="shared" si="13"/>
        <v>#NUM!</v>
      </c>
      <c r="K187" s="138" t="e">
        <f t="shared" si="11"/>
        <v>#NUM!</v>
      </c>
      <c r="L187" s="138"/>
      <c r="M187" s="140">
        <f t="shared" si="12"/>
        <v>0</v>
      </c>
    </row>
    <row r="188" spans="1:13" x14ac:dyDescent="0.25">
      <c r="A188" s="155"/>
      <c r="G188" s="126"/>
      <c r="H188" s="138">
        <v>183</v>
      </c>
      <c r="I188" s="139" t="str">
        <f t="shared" si="10"/>
        <v/>
      </c>
      <c r="J188" s="138" t="e">
        <f t="shared" si="13"/>
        <v>#NUM!</v>
      </c>
      <c r="K188" s="138" t="e">
        <f t="shared" si="11"/>
        <v>#NUM!</v>
      </c>
      <c r="L188" s="138"/>
      <c r="M188" s="140">
        <f t="shared" si="12"/>
        <v>0</v>
      </c>
    </row>
    <row r="189" spans="1:13" x14ac:dyDescent="0.25">
      <c r="A189" s="155"/>
      <c r="G189" s="126"/>
      <c r="H189" s="138">
        <v>184</v>
      </c>
      <c r="I189" s="139" t="str">
        <f t="shared" si="10"/>
        <v/>
      </c>
      <c r="J189" s="138" t="e">
        <f t="shared" si="13"/>
        <v>#NUM!</v>
      </c>
      <c r="K189" s="138" t="e">
        <f t="shared" si="11"/>
        <v>#NUM!</v>
      </c>
      <c r="L189" s="138"/>
      <c r="M189" s="140">
        <f t="shared" si="12"/>
        <v>0</v>
      </c>
    </row>
    <row r="190" spans="1:13" x14ac:dyDescent="0.25">
      <c r="A190" s="155"/>
      <c r="G190" s="126"/>
      <c r="H190" s="138">
        <v>185</v>
      </c>
      <c r="I190" s="139" t="str">
        <f t="shared" si="10"/>
        <v/>
      </c>
      <c r="J190" s="138" t="e">
        <f t="shared" si="13"/>
        <v>#NUM!</v>
      </c>
      <c r="K190" s="138" t="e">
        <f t="shared" si="11"/>
        <v>#NUM!</v>
      </c>
      <c r="L190" s="138"/>
      <c r="M190" s="140">
        <f t="shared" si="12"/>
        <v>0</v>
      </c>
    </row>
    <row r="191" spans="1:13" x14ac:dyDescent="0.25">
      <c r="A191" s="155"/>
      <c r="G191" s="126"/>
      <c r="H191" s="138">
        <v>186</v>
      </c>
      <c r="I191" s="139" t="str">
        <f t="shared" si="10"/>
        <v/>
      </c>
      <c r="J191" s="138" t="e">
        <f t="shared" si="13"/>
        <v>#NUM!</v>
      </c>
      <c r="K191" s="138" t="e">
        <f t="shared" si="11"/>
        <v>#NUM!</v>
      </c>
      <c r="L191" s="138"/>
      <c r="M191" s="140">
        <f t="shared" si="12"/>
        <v>0</v>
      </c>
    </row>
    <row r="192" spans="1:13" x14ac:dyDescent="0.25">
      <c r="A192" s="155"/>
      <c r="G192" s="126"/>
      <c r="H192" s="138">
        <v>187</v>
      </c>
      <c r="I192" s="139" t="str">
        <f t="shared" si="10"/>
        <v/>
      </c>
      <c r="J192" s="138" t="e">
        <f t="shared" si="13"/>
        <v>#NUM!</v>
      </c>
      <c r="K192" s="138" t="e">
        <f t="shared" si="11"/>
        <v>#NUM!</v>
      </c>
      <c r="L192" s="138"/>
      <c r="M192" s="140">
        <f t="shared" si="12"/>
        <v>0</v>
      </c>
    </row>
    <row r="193" spans="1:13" x14ac:dyDescent="0.25">
      <c r="A193" s="155"/>
      <c r="G193" s="126"/>
      <c r="H193" s="138">
        <v>188</v>
      </c>
      <c r="I193" s="139" t="str">
        <f t="shared" si="10"/>
        <v/>
      </c>
      <c r="J193" s="138" t="e">
        <f t="shared" si="13"/>
        <v>#NUM!</v>
      </c>
      <c r="K193" s="138" t="e">
        <f t="shared" si="11"/>
        <v>#NUM!</v>
      </c>
      <c r="L193" s="138"/>
      <c r="M193" s="140">
        <f t="shared" si="12"/>
        <v>0</v>
      </c>
    </row>
    <row r="194" spans="1:13" x14ac:dyDescent="0.25">
      <c r="A194" s="155"/>
      <c r="G194" s="126"/>
      <c r="H194" s="138">
        <v>189</v>
      </c>
      <c r="I194" s="139" t="str">
        <f t="shared" si="10"/>
        <v/>
      </c>
      <c r="J194" s="138" t="e">
        <f t="shared" si="13"/>
        <v>#NUM!</v>
      </c>
      <c r="K194" s="138" t="e">
        <f t="shared" si="11"/>
        <v>#NUM!</v>
      </c>
      <c r="L194" s="138"/>
      <c r="M194" s="140">
        <f t="shared" si="12"/>
        <v>0</v>
      </c>
    </row>
    <row r="195" spans="1:13" x14ac:dyDescent="0.25">
      <c r="A195" s="155"/>
      <c r="G195" s="126"/>
      <c r="H195" s="138">
        <v>190</v>
      </c>
      <c r="I195" s="139" t="str">
        <f t="shared" si="10"/>
        <v/>
      </c>
      <c r="J195" s="138" t="e">
        <f t="shared" si="13"/>
        <v>#NUM!</v>
      </c>
      <c r="K195" s="138" t="e">
        <f t="shared" si="11"/>
        <v>#NUM!</v>
      </c>
      <c r="L195" s="138"/>
      <c r="M195" s="140">
        <f t="shared" si="12"/>
        <v>0</v>
      </c>
    </row>
    <row r="196" spans="1:13" x14ac:dyDescent="0.25">
      <c r="A196" s="155"/>
      <c r="G196" s="126"/>
      <c r="H196" s="138">
        <v>191</v>
      </c>
      <c r="I196" s="139" t="str">
        <f t="shared" si="10"/>
        <v/>
      </c>
      <c r="J196" s="138" t="e">
        <f t="shared" si="13"/>
        <v>#NUM!</v>
      </c>
      <c r="K196" s="138" t="e">
        <f t="shared" si="11"/>
        <v>#NUM!</v>
      </c>
      <c r="L196" s="138"/>
      <c r="M196" s="140">
        <f t="shared" si="12"/>
        <v>0</v>
      </c>
    </row>
    <row r="197" spans="1:13" x14ac:dyDescent="0.25">
      <c r="A197" s="155"/>
      <c r="G197" s="126"/>
      <c r="H197" s="138">
        <v>192</v>
      </c>
      <c r="I197" s="139" t="str">
        <f t="shared" si="10"/>
        <v/>
      </c>
      <c r="J197" s="138" t="e">
        <f t="shared" si="13"/>
        <v>#NUM!</v>
      </c>
      <c r="K197" s="138" t="e">
        <f t="shared" si="11"/>
        <v>#NUM!</v>
      </c>
      <c r="L197" s="138"/>
      <c r="M197" s="140">
        <f t="shared" si="12"/>
        <v>0</v>
      </c>
    </row>
    <row r="198" spans="1:13" x14ac:dyDescent="0.25">
      <c r="A198" s="155"/>
      <c r="G198" s="126"/>
      <c r="H198" s="138">
        <v>193</v>
      </c>
      <c r="I198" s="139" t="str">
        <f t="shared" ref="I198:I261" si="14">IF(H198&lt;$H$2+1,($I$2-($I$2-1)*(LOG(H198)/LOG($H$2))),"")</f>
        <v/>
      </c>
      <c r="J198" s="138" t="e">
        <f t="shared" si="13"/>
        <v>#NUM!</v>
      </c>
      <c r="K198" s="138" t="e">
        <f t="shared" ref="K198:K261" si="15">J198*$J$2</f>
        <v>#NUM!</v>
      </c>
      <c r="L198" s="138"/>
      <c r="M198" s="140">
        <f t="shared" ref="M198:M261" si="16">IF(I198&lt;&gt;"",K198+I198+L198,0)</f>
        <v>0</v>
      </c>
    </row>
    <row r="199" spans="1:13" x14ac:dyDescent="0.25">
      <c r="A199" s="155"/>
      <c r="G199" s="126"/>
      <c r="H199" s="138">
        <v>194</v>
      </c>
      <c r="I199" s="139" t="str">
        <f t="shared" si="14"/>
        <v/>
      </c>
      <c r="J199" s="138" t="e">
        <f t="shared" ref="J199:J262" si="17">INT(LOG($H$2,2))-ROUNDUP(LOG(H199,2),0)+IF(OR($H$2=1,$H$2=2,$H$2=4,$H$2=8,$H$2=16,$H$2=32,$H$2=64,$H$2=128,$H$2=256),0,1)</f>
        <v>#NUM!</v>
      </c>
      <c r="K199" s="138" t="e">
        <f t="shared" si="15"/>
        <v>#NUM!</v>
      </c>
      <c r="L199" s="138"/>
      <c r="M199" s="140">
        <f t="shared" si="16"/>
        <v>0</v>
      </c>
    </row>
    <row r="200" spans="1:13" x14ac:dyDescent="0.25">
      <c r="A200" s="155"/>
      <c r="G200" s="126"/>
      <c r="H200" s="138">
        <v>195</v>
      </c>
      <c r="I200" s="139" t="str">
        <f t="shared" si="14"/>
        <v/>
      </c>
      <c r="J200" s="138" t="e">
        <f t="shared" si="17"/>
        <v>#NUM!</v>
      </c>
      <c r="K200" s="138" t="e">
        <f t="shared" si="15"/>
        <v>#NUM!</v>
      </c>
      <c r="L200" s="138"/>
      <c r="M200" s="140">
        <f t="shared" si="16"/>
        <v>0</v>
      </c>
    </row>
    <row r="201" spans="1:13" x14ac:dyDescent="0.25">
      <c r="A201" s="155"/>
      <c r="G201" s="126"/>
      <c r="H201" s="138">
        <v>196</v>
      </c>
      <c r="I201" s="139" t="str">
        <f t="shared" si="14"/>
        <v/>
      </c>
      <c r="J201" s="138" t="e">
        <f t="shared" si="17"/>
        <v>#NUM!</v>
      </c>
      <c r="K201" s="138" t="e">
        <f t="shared" si="15"/>
        <v>#NUM!</v>
      </c>
      <c r="L201" s="138"/>
      <c r="M201" s="140">
        <f t="shared" si="16"/>
        <v>0</v>
      </c>
    </row>
    <row r="202" spans="1:13" x14ac:dyDescent="0.25">
      <c r="A202" s="155"/>
      <c r="G202" s="126"/>
      <c r="H202" s="138">
        <v>197</v>
      </c>
      <c r="I202" s="139" t="str">
        <f t="shared" si="14"/>
        <v/>
      </c>
      <c r="J202" s="138" t="e">
        <f t="shared" si="17"/>
        <v>#NUM!</v>
      </c>
      <c r="K202" s="138" t="e">
        <f t="shared" si="15"/>
        <v>#NUM!</v>
      </c>
      <c r="L202" s="138"/>
      <c r="M202" s="140">
        <f t="shared" si="16"/>
        <v>0</v>
      </c>
    </row>
    <row r="203" spans="1:13" x14ac:dyDescent="0.25">
      <c r="A203" s="155"/>
      <c r="G203" s="126"/>
      <c r="H203" s="138">
        <v>198</v>
      </c>
      <c r="I203" s="139" t="str">
        <f t="shared" si="14"/>
        <v/>
      </c>
      <c r="J203" s="138" t="e">
        <f t="shared" si="17"/>
        <v>#NUM!</v>
      </c>
      <c r="K203" s="138" t="e">
        <f t="shared" si="15"/>
        <v>#NUM!</v>
      </c>
      <c r="L203" s="138"/>
      <c r="M203" s="140">
        <f t="shared" si="16"/>
        <v>0</v>
      </c>
    </row>
    <row r="204" spans="1:13" x14ac:dyDescent="0.25">
      <c r="A204" s="155"/>
      <c r="G204" s="126"/>
      <c r="H204" s="138">
        <v>199</v>
      </c>
      <c r="I204" s="139" t="str">
        <f t="shared" si="14"/>
        <v/>
      </c>
      <c r="J204" s="138" t="e">
        <f t="shared" si="17"/>
        <v>#NUM!</v>
      </c>
      <c r="K204" s="138" t="e">
        <f t="shared" si="15"/>
        <v>#NUM!</v>
      </c>
      <c r="L204" s="138"/>
      <c r="M204" s="140">
        <f t="shared" si="16"/>
        <v>0</v>
      </c>
    </row>
    <row r="205" spans="1:13" x14ac:dyDescent="0.25">
      <c r="A205" s="155"/>
      <c r="G205" s="126"/>
      <c r="H205" s="138">
        <v>200</v>
      </c>
      <c r="I205" s="139" t="str">
        <f t="shared" si="14"/>
        <v/>
      </c>
      <c r="J205" s="138" t="e">
        <f t="shared" si="17"/>
        <v>#NUM!</v>
      </c>
      <c r="K205" s="138" t="e">
        <f t="shared" si="15"/>
        <v>#NUM!</v>
      </c>
      <c r="L205" s="138"/>
      <c r="M205" s="140">
        <f t="shared" si="16"/>
        <v>0</v>
      </c>
    </row>
    <row r="206" spans="1:13" x14ac:dyDescent="0.25">
      <c r="A206" s="155"/>
      <c r="G206" s="126"/>
      <c r="H206" s="138">
        <v>201</v>
      </c>
      <c r="I206" s="139" t="str">
        <f t="shared" si="14"/>
        <v/>
      </c>
      <c r="J206" s="138" t="e">
        <f t="shared" si="17"/>
        <v>#NUM!</v>
      </c>
      <c r="K206" s="138" t="e">
        <f t="shared" si="15"/>
        <v>#NUM!</v>
      </c>
      <c r="L206" s="138"/>
      <c r="M206" s="140">
        <f t="shared" si="16"/>
        <v>0</v>
      </c>
    </row>
    <row r="207" spans="1:13" x14ac:dyDescent="0.25">
      <c r="A207" s="155"/>
      <c r="G207" s="126"/>
      <c r="H207" s="138">
        <v>202</v>
      </c>
      <c r="I207" s="139" t="str">
        <f t="shared" si="14"/>
        <v/>
      </c>
      <c r="J207" s="138" t="e">
        <f t="shared" si="17"/>
        <v>#NUM!</v>
      </c>
      <c r="K207" s="138" t="e">
        <f t="shared" si="15"/>
        <v>#NUM!</v>
      </c>
      <c r="L207" s="138"/>
      <c r="M207" s="140">
        <f t="shared" si="16"/>
        <v>0</v>
      </c>
    </row>
    <row r="208" spans="1:13" x14ac:dyDescent="0.25">
      <c r="A208" s="155"/>
      <c r="G208" s="126"/>
      <c r="H208" s="138">
        <v>203</v>
      </c>
      <c r="I208" s="139" t="str">
        <f t="shared" si="14"/>
        <v/>
      </c>
      <c r="J208" s="138" t="e">
        <f t="shared" si="17"/>
        <v>#NUM!</v>
      </c>
      <c r="K208" s="138" t="e">
        <f t="shared" si="15"/>
        <v>#NUM!</v>
      </c>
      <c r="L208" s="138"/>
      <c r="M208" s="140">
        <f t="shared" si="16"/>
        <v>0</v>
      </c>
    </row>
    <row r="209" spans="1:13" x14ac:dyDescent="0.25">
      <c r="A209" s="155"/>
      <c r="G209" s="126"/>
      <c r="H209" s="138">
        <v>204</v>
      </c>
      <c r="I209" s="139" t="str">
        <f t="shared" si="14"/>
        <v/>
      </c>
      <c r="J209" s="138" t="e">
        <f t="shared" si="17"/>
        <v>#NUM!</v>
      </c>
      <c r="K209" s="138" t="e">
        <f t="shared" si="15"/>
        <v>#NUM!</v>
      </c>
      <c r="L209" s="138"/>
      <c r="M209" s="140">
        <f t="shared" si="16"/>
        <v>0</v>
      </c>
    </row>
    <row r="210" spans="1:13" x14ac:dyDescent="0.25">
      <c r="A210" s="155"/>
      <c r="G210" s="126"/>
      <c r="H210" s="138">
        <v>205</v>
      </c>
      <c r="I210" s="139" t="str">
        <f t="shared" si="14"/>
        <v/>
      </c>
      <c r="J210" s="138" t="e">
        <f t="shared" si="17"/>
        <v>#NUM!</v>
      </c>
      <c r="K210" s="138" t="e">
        <f t="shared" si="15"/>
        <v>#NUM!</v>
      </c>
      <c r="L210" s="138"/>
      <c r="M210" s="140">
        <f t="shared" si="16"/>
        <v>0</v>
      </c>
    </row>
    <row r="211" spans="1:13" x14ac:dyDescent="0.25">
      <c r="A211" s="155"/>
      <c r="G211" s="126"/>
      <c r="H211" s="138">
        <v>206</v>
      </c>
      <c r="I211" s="139" t="str">
        <f t="shared" si="14"/>
        <v/>
      </c>
      <c r="J211" s="138" t="e">
        <f t="shared" si="17"/>
        <v>#NUM!</v>
      </c>
      <c r="K211" s="138" t="e">
        <f t="shared" si="15"/>
        <v>#NUM!</v>
      </c>
      <c r="L211" s="138"/>
      <c r="M211" s="140">
        <f t="shared" si="16"/>
        <v>0</v>
      </c>
    </row>
    <row r="212" spans="1:13" x14ac:dyDescent="0.25">
      <c r="A212" s="155"/>
      <c r="G212" s="126"/>
      <c r="H212" s="138">
        <v>207</v>
      </c>
      <c r="I212" s="139" t="str">
        <f t="shared" si="14"/>
        <v/>
      </c>
      <c r="J212" s="138" t="e">
        <f t="shared" si="17"/>
        <v>#NUM!</v>
      </c>
      <c r="K212" s="138" t="e">
        <f t="shared" si="15"/>
        <v>#NUM!</v>
      </c>
      <c r="L212" s="138"/>
      <c r="M212" s="140">
        <f t="shared" si="16"/>
        <v>0</v>
      </c>
    </row>
    <row r="213" spans="1:13" x14ac:dyDescent="0.25">
      <c r="A213" s="155"/>
      <c r="G213" s="126"/>
      <c r="H213" s="138">
        <v>208</v>
      </c>
      <c r="I213" s="139" t="str">
        <f t="shared" si="14"/>
        <v/>
      </c>
      <c r="J213" s="138" t="e">
        <f t="shared" si="17"/>
        <v>#NUM!</v>
      </c>
      <c r="K213" s="138" t="e">
        <f t="shared" si="15"/>
        <v>#NUM!</v>
      </c>
      <c r="L213" s="138"/>
      <c r="M213" s="140">
        <f t="shared" si="16"/>
        <v>0</v>
      </c>
    </row>
    <row r="214" spans="1:13" x14ac:dyDescent="0.25">
      <c r="A214" s="155"/>
      <c r="G214" s="126"/>
      <c r="H214" s="138">
        <v>209</v>
      </c>
      <c r="I214" s="139" t="str">
        <f t="shared" si="14"/>
        <v/>
      </c>
      <c r="J214" s="138" t="e">
        <f t="shared" si="17"/>
        <v>#NUM!</v>
      </c>
      <c r="K214" s="138" t="e">
        <f t="shared" si="15"/>
        <v>#NUM!</v>
      </c>
      <c r="L214" s="138"/>
      <c r="M214" s="140">
        <f t="shared" si="16"/>
        <v>0</v>
      </c>
    </row>
    <row r="215" spans="1:13" x14ac:dyDescent="0.25">
      <c r="A215" s="155"/>
      <c r="G215" s="126"/>
      <c r="H215" s="138">
        <v>210</v>
      </c>
      <c r="I215" s="139" t="str">
        <f t="shared" si="14"/>
        <v/>
      </c>
      <c r="J215" s="138" t="e">
        <f t="shared" si="17"/>
        <v>#NUM!</v>
      </c>
      <c r="K215" s="138" t="e">
        <f t="shared" si="15"/>
        <v>#NUM!</v>
      </c>
      <c r="L215" s="138"/>
      <c r="M215" s="140">
        <f t="shared" si="16"/>
        <v>0</v>
      </c>
    </row>
    <row r="216" spans="1:13" x14ac:dyDescent="0.25">
      <c r="A216" s="155"/>
      <c r="G216" s="126"/>
      <c r="H216" s="138">
        <v>211</v>
      </c>
      <c r="I216" s="139" t="str">
        <f t="shared" si="14"/>
        <v/>
      </c>
      <c r="J216" s="138" t="e">
        <f t="shared" si="17"/>
        <v>#NUM!</v>
      </c>
      <c r="K216" s="138" t="e">
        <f t="shared" si="15"/>
        <v>#NUM!</v>
      </c>
      <c r="L216" s="138"/>
      <c r="M216" s="140">
        <f t="shared" si="16"/>
        <v>0</v>
      </c>
    </row>
    <row r="217" spans="1:13" x14ac:dyDescent="0.25">
      <c r="A217" s="155"/>
      <c r="G217" s="126"/>
      <c r="H217" s="138">
        <v>212</v>
      </c>
      <c r="I217" s="139" t="str">
        <f t="shared" si="14"/>
        <v/>
      </c>
      <c r="J217" s="138" t="e">
        <f t="shared" si="17"/>
        <v>#NUM!</v>
      </c>
      <c r="K217" s="138" t="e">
        <f t="shared" si="15"/>
        <v>#NUM!</v>
      </c>
      <c r="L217" s="138"/>
      <c r="M217" s="140">
        <f t="shared" si="16"/>
        <v>0</v>
      </c>
    </row>
    <row r="218" spans="1:13" x14ac:dyDescent="0.25">
      <c r="A218" s="155"/>
      <c r="G218" s="126"/>
      <c r="H218" s="138">
        <v>213</v>
      </c>
      <c r="I218" s="139" t="str">
        <f t="shared" si="14"/>
        <v/>
      </c>
      <c r="J218" s="138" t="e">
        <f t="shared" si="17"/>
        <v>#NUM!</v>
      </c>
      <c r="K218" s="138" t="e">
        <f t="shared" si="15"/>
        <v>#NUM!</v>
      </c>
      <c r="L218" s="138"/>
      <c r="M218" s="140">
        <f t="shared" si="16"/>
        <v>0</v>
      </c>
    </row>
    <row r="219" spans="1:13" x14ac:dyDescent="0.25">
      <c r="A219" s="155"/>
      <c r="G219" s="126"/>
      <c r="H219" s="138">
        <v>214</v>
      </c>
      <c r="I219" s="139" t="str">
        <f t="shared" si="14"/>
        <v/>
      </c>
      <c r="J219" s="138" t="e">
        <f t="shared" si="17"/>
        <v>#NUM!</v>
      </c>
      <c r="K219" s="138" t="e">
        <f t="shared" si="15"/>
        <v>#NUM!</v>
      </c>
      <c r="L219" s="138"/>
      <c r="M219" s="140">
        <f t="shared" si="16"/>
        <v>0</v>
      </c>
    </row>
    <row r="220" spans="1:13" x14ac:dyDescent="0.25">
      <c r="A220" s="155"/>
      <c r="G220" s="126"/>
      <c r="H220" s="138">
        <v>215</v>
      </c>
      <c r="I220" s="139" t="str">
        <f t="shared" si="14"/>
        <v/>
      </c>
      <c r="J220" s="138" t="e">
        <f t="shared" si="17"/>
        <v>#NUM!</v>
      </c>
      <c r="K220" s="138" t="e">
        <f t="shared" si="15"/>
        <v>#NUM!</v>
      </c>
      <c r="L220" s="138"/>
      <c r="M220" s="140">
        <f t="shared" si="16"/>
        <v>0</v>
      </c>
    </row>
    <row r="221" spans="1:13" x14ac:dyDescent="0.25">
      <c r="A221" s="155"/>
      <c r="G221" s="126"/>
      <c r="H221" s="138">
        <v>216</v>
      </c>
      <c r="I221" s="139" t="str">
        <f t="shared" si="14"/>
        <v/>
      </c>
      <c r="J221" s="138" t="e">
        <f t="shared" si="17"/>
        <v>#NUM!</v>
      </c>
      <c r="K221" s="138" t="e">
        <f t="shared" si="15"/>
        <v>#NUM!</v>
      </c>
      <c r="L221" s="138"/>
      <c r="M221" s="140">
        <f t="shared" si="16"/>
        <v>0</v>
      </c>
    </row>
    <row r="222" spans="1:13" x14ac:dyDescent="0.25">
      <c r="A222" s="155"/>
      <c r="G222" s="126"/>
      <c r="H222" s="138">
        <v>217</v>
      </c>
      <c r="I222" s="139" t="str">
        <f t="shared" si="14"/>
        <v/>
      </c>
      <c r="J222" s="138" t="e">
        <f t="shared" si="17"/>
        <v>#NUM!</v>
      </c>
      <c r="K222" s="138" t="e">
        <f t="shared" si="15"/>
        <v>#NUM!</v>
      </c>
      <c r="L222" s="138"/>
      <c r="M222" s="140">
        <f t="shared" si="16"/>
        <v>0</v>
      </c>
    </row>
    <row r="223" spans="1:13" x14ac:dyDescent="0.25">
      <c r="A223" s="155"/>
      <c r="G223" s="126"/>
      <c r="H223" s="138">
        <v>218</v>
      </c>
      <c r="I223" s="139" t="str">
        <f t="shared" si="14"/>
        <v/>
      </c>
      <c r="J223" s="138" t="e">
        <f t="shared" si="17"/>
        <v>#NUM!</v>
      </c>
      <c r="K223" s="138" t="e">
        <f t="shared" si="15"/>
        <v>#NUM!</v>
      </c>
      <c r="L223" s="138"/>
      <c r="M223" s="140">
        <f t="shared" si="16"/>
        <v>0</v>
      </c>
    </row>
    <row r="224" spans="1:13" x14ac:dyDescent="0.25">
      <c r="A224" s="155"/>
      <c r="G224" s="126"/>
      <c r="H224" s="138">
        <v>219</v>
      </c>
      <c r="I224" s="139" t="str">
        <f t="shared" si="14"/>
        <v/>
      </c>
      <c r="J224" s="138" t="e">
        <f t="shared" si="17"/>
        <v>#NUM!</v>
      </c>
      <c r="K224" s="138" t="e">
        <f t="shared" si="15"/>
        <v>#NUM!</v>
      </c>
      <c r="L224" s="138"/>
      <c r="M224" s="140">
        <f t="shared" si="16"/>
        <v>0</v>
      </c>
    </row>
    <row r="225" spans="1:13" x14ac:dyDescent="0.25">
      <c r="A225" s="155"/>
      <c r="G225" s="126"/>
      <c r="H225" s="138">
        <v>220</v>
      </c>
      <c r="I225" s="139" t="str">
        <f t="shared" si="14"/>
        <v/>
      </c>
      <c r="J225" s="138" t="e">
        <f t="shared" si="17"/>
        <v>#NUM!</v>
      </c>
      <c r="K225" s="138" t="e">
        <f t="shared" si="15"/>
        <v>#NUM!</v>
      </c>
      <c r="L225" s="138"/>
      <c r="M225" s="140">
        <f t="shared" si="16"/>
        <v>0</v>
      </c>
    </row>
    <row r="226" spans="1:13" x14ac:dyDescent="0.25">
      <c r="A226" s="155"/>
      <c r="G226" s="126"/>
      <c r="H226" s="138">
        <v>221</v>
      </c>
      <c r="I226" s="139" t="str">
        <f t="shared" si="14"/>
        <v/>
      </c>
      <c r="J226" s="138" t="e">
        <f t="shared" si="17"/>
        <v>#NUM!</v>
      </c>
      <c r="K226" s="138" t="e">
        <f t="shared" si="15"/>
        <v>#NUM!</v>
      </c>
      <c r="L226" s="138"/>
      <c r="M226" s="140">
        <f t="shared" si="16"/>
        <v>0</v>
      </c>
    </row>
    <row r="227" spans="1:13" x14ac:dyDescent="0.25">
      <c r="A227" s="155"/>
      <c r="G227" s="126"/>
      <c r="H227" s="138">
        <v>222</v>
      </c>
      <c r="I227" s="139" t="str">
        <f t="shared" si="14"/>
        <v/>
      </c>
      <c r="J227" s="138" t="e">
        <f t="shared" si="17"/>
        <v>#NUM!</v>
      </c>
      <c r="K227" s="138" t="e">
        <f t="shared" si="15"/>
        <v>#NUM!</v>
      </c>
      <c r="L227" s="138"/>
      <c r="M227" s="140">
        <f t="shared" si="16"/>
        <v>0</v>
      </c>
    </row>
    <row r="228" spans="1:13" x14ac:dyDescent="0.25">
      <c r="A228" s="155"/>
      <c r="G228" s="126"/>
      <c r="H228" s="138">
        <v>223</v>
      </c>
      <c r="I228" s="139" t="str">
        <f t="shared" si="14"/>
        <v/>
      </c>
      <c r="J228" s="138" t="e">
        <f t="shared" si="17"/>
        <v>#NUM!</v>
      </c>
      <c r="K228" s="138" t="e">
        <f t="shared" si="15"/>
        <v>#NUM!</v>
      </c>
      <c r="L228" s="138"/>
      <c r="M228" s="140">
        <f t="shared" si="16"/>
        <v>0</v>
      </c>
    </row>
    <row r="229" spans="1:13" x14ac:dyDescent="0.25">
      <c r="A229" s="155"/>
      <c r="G229" s="126"/>
      <c r="H229" s="138">
        <v>224</v>
      </c>
      <c r="I229" s="139" t="str">
        <f t="shared" si="14"/>
        <v/>
      </c>
      <c r="J229" s="138" t="e">
        <f t="shared" si="17"/>
        <v>#NUM!</v>
      </c>
      <c r="K229" s="138" t="e">
        <f t="shared" si="15"/>
        <v>#NUM!</v>
      </c>
      <c r="L229" s="138"/>
      <c r="M229" s="140">
        <f t="shared" si="16"/>
        <v>0</v>
      </c>
    </row>
    <row r="230" spans="1:13" x14ac:dyDescent="0.25">
      <c r="A230" s="155"/>
      <c r="G230" s="126"/>
      <c r="H230" s="138">
        <v>225</v>
      </c>
      <c r="I230" s="139" t="str">
        <f t="shared" si="14"/>
        <v/>
      </c>
      <c r="J230" s="138" t="e">
        <f t="shared" si="17"/>
        <v>#NUM!</v>
      </c>
      <c r="K230" s="138" t="e">
        <f t="shared" si="15"/>
        <v>#NUM!</v>
      </c>
      <c r="L230" s="138"/>
      <c r="M230" s="140">
        <f t="shared" si="16"/>
        <v>0</v>
      </c>
    </row>
    <row r="231" spans="1:13" x14ac:dyDescent="0.25">
      <c r="A231" s="155"/>
      <c r="G231" s="126"/>
      <c r="H231" s="138">
        <v>226</v>
      </c>
      <c r="I231" s="139" t="str">
        <f t="shared" si="14"/>
        <v/>
      </c>
      <c r="J231" s="138" t="e">
        <f t="shared" si="17"/>
        <v>#NUM!</v>
      </c>
      <c r="K231" s="138" t="e">
        <f t="shared" si="15"/>
        <v>#NUM!</v>
      </c>
      <c r="L231" s="138"/>
      <c r="M231" s="140">
        <f t="shared" si="16"/>
        <v>0</v>
      </c>
    </row>
    <row r="232" spans="1:13" x14ac:dyDescent="0.25">
      <c r="A232" s="155"/>
      <c r="G232" s="126"/>
      <c r="H232" s="138">
        <v>227</v>
      </c>
      <c r="I232" s="139" t="str">
        <f t="shared" si="14"/>
        <v/>
      </c>
      <c r="J232" s="138" t="e">
        <f t="shared" si="17"/>
        <v>#NUM!</v>
      </c>
      <c r="K232" s="138" t="e">
        <f t="shared" si="15"/>
        <v>#NUM!</v>
      </c>
      <c r="L232" s="138"/>
      <c r="M232" s="140">
        <f t="shared" si="16"/>
        <v>0</v>
      </c>
    </row>
    <row r="233" spans="1:13" x14ac:dyDescent="0.25">
      <c r="A233" s="155"/>
      <c r="G233" s="126"/>
      <c r="H233" s="138">
        <v>228</v>
      </c>
      <c r="I233" s="139" t="str">
        <f t="shared" si="14"/>
        <v/>
      </c>
      <c r="J233" s="138" t="e">
        <f t="shared" si="17"/>
        <v>#NUM!</v>
      </c>
      <c r="K233" s="138" t="e">
        <f t="shared" si="15"/>
        <v>#NUM!</v>
      </c>
      <c r="L233" s="138"/>
      <c r="M233" s="140">
        <f t="shared" si="16"/>
        <v>0</v>
      </c>
    </row>
    <row r="234" spans="1:13" x14ac:dyDescent="0.25">
      <c r="A234" s="155"/>
      <c r="G234" s="126"/>
      <c r="H234" s="138">
        <v>229</v>
      </c>
      <c r="I234" s="139" t="str">
        <f t="shared" si="14"/>
        <v/>
      </c>
      <c r="J234" s="138" t="e">
        <f t="shared" si="17"/>
        <v>#NUM!</v>
      </c>
      <c r="K234" s="138" t="e">
        <f t="shared" si="15"/>
        <v>#NUM!</v>
      </c>
      <c r="L234" s="138"/>
      <c r="M234" s="140">
        <f t="shared" si="16"/>
        <v>0</v>
      </c>
    </row>
    <row r="235" spans="1:13" x14ac:dyDescent="0.25">
      <c r="A235" s="155"/>
      <c r="G235" s="126"/>
      <c r="H235" s="138">
        <v>230</v>
      </c>
      <c r="I235" s="139" t="str">
        <f t="shared" si="14"/>
        <v/>
      </c>
      <c r="J235" s="138" t="e">
        <f t="shared" si="17"/>
        <v>#NUM!</v>
      </c>
      <c r="K235" s="138" t="e">
        <f t="shared" si="15"/>
        <v>#NUM!</v>
      </c>
      <c r="L235" s="138"/>
      <c r="M235" s="140">
        <f t="shared" si="16"/>
        <v>0</v>
      </c>
    </row>
    <row r="236" spans="1:13" x14ac:dyDescent="0.25">
      <c r="A236" s="155"/>
      <c r="G236" s="126"/>
      <c r="H236" s="138">
        <v>231</v>
      </c>
      <c r="I236" s="139" t="str">
        <f t="shared" si="14"/>
        <v/>
      </c>
      <c r="J236" s="138" t="e">
        <f t="shared" si="17"/>
        <v>#NUM!</v>
      </c>
      <c r="K236" s="138" t="e">
        <f t="shared" si="15"/>
        <v>#NUM!</v>
      </c>
      <c r="L236" s="138"/>
      <c r="M236" s="140">
        <f t="shared" si="16"/>
        <v>0</v>
      </c>
    </row>
    <row r="237" spans="1:13" x14ac:dyDescent="0.25">
      <c r="A237" s="155"/>
      <c r="G237" s="126"/>
      <c r="H237" s="138">
        <v>232</v>
      </c>
      <c r="I237" s="139" t="str">
        <f t="shared" si="14"/>
        <v/>
      </c>
      <c r="J237" s="138" t="e">
        <f t="shared" si="17"/>
        <v>#NUM!</v>
      </c>
      <c r="K237" s="138" t="e">
        <f t="shared" si="15"/>
        <v>#NUM!</v>
      </c>
      <c r="L237" s="138"/>
      <c r="M237" s="140">
        <f t="shared" si="16"/>
        <v>0</v>
      </c>
    </row>
    <row r="238" spans="1:13" x14ac:dyDescent="0.25">
      <c r="A238" s="155"/>
      <c r="G238" s="126"/>
      <c r="H238" s="138">
        <v>233</v>
      </c>
      <c r="I238" s="139" t="str">
        <f t="shared" si="14"/>
        <v/>
      </c>
      <c r="J238" s="138" t="e">
        <f t="shared" si="17"/>
        <v>#NUM!</v>
      </c>
      <c r="K238" s="138" t="e">
        <f t="shared" si="15"/>
        <v>#NUM!</v>
      </c>
      <c r="L238" s="138"/>
      <c r="M238" s="140">
        <f t="shared" si="16"/>
        <v>0</v>
      </c>
    </row>
    <row r="239" spans="1:13" x14ac:dyDescent="0.25">
      <c r="A239" s="155"/>
      <c r="G239" s="126"/>
      <c r="H239" s="138">
        <v>234</v>
      </c>
      <c r="I239" s="139" t="str">
        <f t="shared" si="14"/>
        <v/>
      </c>
      <c r="J239" s="138" t="e">
        <f t="shared" si="17"/>
        <v>#NUM!</v>
      </c>
      <c r="K239" s="138" t="e">
        <f t="shared" si="15"/>
        <v>#NUM!</v>
      </c>
      <c r="L239" s="138"/>
      <c r="M239" s="140">
        <f t="shared" si="16"/>
        <v>0</v>
      </c>
    </row>
    <row r="240" spans="1:13" x14ac:dyDescent="0.25">
      <c r="A240" s="155"/>
      <c r="G240" s="126"/>
      <c r="H240" s="138">
        <v>235</v>
      </c>
      <c r="I240" s="139" t="str">
        <f t="shared" si="14"/>
        <v/>
      </c>
      <c r="J240" s="138" t="e">
        <f t="shared" si="17"/>
        <v>#NUM!</v>
      </c>
      <c r="K240" s="138" t="e">
        <f t="shared" si="15"/>
        <v>#NUM!</v>
      </c>
      <c r="L240" s="138"/>
      <c r="M240" s="140">
        <f t="shared" si="16"/>
        <v>0</v>
      </c>
    </row>
    <row r="241" spans="1:13" x14ac:dyDescent="0.25">
      <c r="A241" s="155"/>
      <c r="G241" s="126"/>
      <c r="H241" s="138">
        <v>236</v>
      </c>
      <c r="I241" s="139" t="str">
        <f t="shared" si="14"/>
        <v/>
      </c>
      <c r="J241" s="138" t="e">
        <f t="shared" si="17"/>
        <v>#NUM!</v>
      </c>
      <c r="K241" s="138" t="e">
        <f t="shared" si="15"/>
        <v>#NUM!</v>
      </c>
      <c r="L241" s="138"/>
      <c r="M241" s="140">
        <f t="shared" si="16"/>
        <v>0</v>
      </c>
    </row>
    <row r="242" spans="1:13" x14ac:dyDescent="0.25">
      <c r="A242" s="155"/>
      <c r="G242" s="126"/>
      <c r="H242" s="138">
        <v>237</v>
      </c>
      <c r="I242" s="139" t="str">
        <f t="shared" si="14"/>
        <v/>
      </c>
      <c r="J242" s="138" t="e">
        <f t="shared" si="17"/>
        <v>#NUM!</v>
      </c>
      <c r="K242" s="138" t="e">
        <f t="shared" si="15"/>
        <v>#NUM!</v>
      </c>
      <c r="L242" s="138"/>
      <c r="M242" s="140">
        <f t="shared" si="16"/>
        <v>0</v>
      </c>
    </row>
    <row r="243" spans="1:13" x14ac:dyDescent="0.25">
      <c r="A243" s="155"/>
      <c r="G243" s="126"/>
      <c r="H243" s="138">
        <v>238</v>
      </c>
      <c r="I243" s="139" t="str">
        <f t="shared" si="14"/>
        <v/>
      </c>
      <c r="J243" s="138" t="e">
        <f t="shared" si="17"/>
        <v>#NUM!</v>
      </c>
      <c r="K243" s="138" t="e">
        <f t="shared" si="15"/>
        <v>#NUM!</v>
      </c>
      <c r="L243" s="138"/>
      <c r="M243" s="140">
        <f t="shared" si="16"/>
        <v>0</v>
      </c>
    </row>
    <row r="244" spans="1:13" x14ac:dyDescent="0.25">
      <c r="A244" s="155"/>
      <c r="G244" s="126"/>
      <c r="H244" s="138">
        <v>239</v>
      </c>
      <c r="I244" s="139" t="str">
        <f t="shared" si="14"/>
        <v/>
      </c>
      <c r="J244" s="138" t="e">
        <f t="shared" si="17"/>
        <v>#NUM!</v>
      </c>
      <c r="K244" s="138" t="e">
        <f t="shared" si="15"/>
        <v>#NUM!</v>
      </c>
      <c r="L244" s="138"/>
      <c r="M244" s="140">
        <f t="shared" si="16"/>
        <v>0</v>
      </c>
    </row>
    <row r="245" spans="1:13" x14ac:dyDescent="0.25">
      <c r="A245" s="155"/>
      <c r="G245" s="126"/>
      <c r="H245" s="138">
        <v>240</v>
      </c>
      <c r="I245" s="139" t="str">
        <f t="shared" si="14"/>
        <v/>
      </c>
      <c r="J245" s="138" t="e">
        <f t="shared" si="17"/>
        <v>#NUM!</v>
      </c>
      <c r="K245" s="138" t="e">
        <f t="shared" si="15"/>
        <v>#NUM!</v>
      </c>
      <c r="L245" s="138"/>
      <c r="M245" s="140">
        <f t="shared" si="16"/>
        <v>0</v>
      </c>
    </row>
    <row r="246" spans="1:13" x14ac:dyDescent="0.25">
      <c r="A246" s="155"/>
      <c r="G246" s="126"/>
      <c r="H246" s="138">
        <v>241</v>
      </c>
      <c r="I246" s="139" t="str">
        <f t="shared" si="14"/>
        <v/>
      </c>
      <c r="J246" s="138" t="e">
        <f t="shared" si="17"/>
        <v>#NUM!</v>
      </c>
      <c r="K246" s="138" t="e">
        <f t="shared" si="15"/>
        <v>#NUM!</v>
      </c>
      <c r="L246" s="138"/>
      <c r="M246" s="140">
        <f t="shared" si="16"/>
        <v>0</v>
      </c>
    </row>
    <row r="247" spans="1:13" x14ac:dyDescent="0.25">
      <c r="A247" s="155"/>
      <c r="G247" s="126"/>
      <c r="H247" s="138">
        <v>242</v>
      </c>
      <c r="I247" s="139" t="str">
        <f t="shared" si="14"/>
        <v/>
      </c>
      <c r="J247" s="138" t="e">
        <f t="shared" si="17"/>
        <v>#NUM!</v>
      </c>
      <c r="K247" s="138" t="e">
        <f t="shared" si="15"/>
        <v>#NUM!</v>
      </c>
      <c r="L247" s="138"/>
      <c r="M247" s="140">
        <f t="shared" si="16"/>
        <v>0</v>
      </c>
    </row>
    <row r="248" spans="1:13" x14ac:dyDescent="0.25">
      <c r="A248" s="155"/>
      <c r="G248" s="126"/>
      <c r="H248" s="138">
        <v>243</v>
      </c>
      <c r="I248" s="139" t="str">
        <f t="shared" si="14"/>
        <v/>
      </c>
      <c r="J248" s="138" t="e">
        <f t="shared" si="17"/>
        <v>#NUM!</v>
      </c>
      <c r="K248" s="138" t="e">
        <f t="shared" si="15"/>
        <v>#NUM!</v>
      </c>
      <c r="L248" s="138"/>
      <c r="M248" s="140">
        <f t="shared" si="16"/>
        <v>0</v>
      </c>
    </row>
    <row r="249" spans="1:13" x14ac:dyDescent="0.25">
      <c r="A249" s="155"/>
      <c r="G249" s="126"/>
      <c r="H249" s="138">
        <v>244</v>
      </c>
      <c r="I249" s="139" t="str">
        <f t="shared" si="14"/>
        <v/>
      </c>
      <c r="J249" s="138" t="e">
        <f t="shared" si="17"/>
        <v>#NUM!</v>
      </c>
      <c r="K249" s="138" t="e">
        <f t="shared" si="15"/>
        <v>#NUM!</v>
      </c>
      <c r="L249" s="138"/>
      <c r="M249" s="140">
        <f t="shared" si="16"/>
        <v>0</v>
      </c>
    </row>
    <row r="250" spans="1:13" x14ac:dyDescent="0.25">
      <c r="A250" s="155"/>
      <c r="G250" s="126"/>
      <c r="H250" s="138">
        <v>245</v>
      </c>
      <c r="I250" s="139" t="str">
        <f t="shared" si="14"/>
        <v/>
      </c>
      <c r="J250" s="138" t="e">
        <f t="shared" si="17"/>
        <v>#NUM!</v>
      </c>
      <c r="K250" s="138" t="e">
        <f t="shared" si="15"/>
        <v>#NUM!</v>
      </c>
      <c r="L250" s="138"/>
      <c r="M250" s="140">
        <f t="shared" si="16"/>
        <v>0</v>
      </c>
    </row>
    <row r="251" spans="1:13" x14ac:dyDescent="0.25">
      <c r="A251" s="155"/>
      <c r="G251" s="126"/>
      <c r="H251" s="138">
        <v>246</v>
      </c>
      <c r="I251" s="139" t="str">
        <f t="shared" si="14"/>
        <v/>
      </c>
      <c r="J251" s="138" t="e">
        <f t="shared" si="17"/>
        <v>#NUM!</v>
      </c>
      <c r="K251" s="138" t="e">
        <f t="shared" si="15"/>
        <v>#NUM!</v>
      </c>
      <c r="L251" s="138"/>
      <c r="M251" s="140">
        <f t="shared" si="16"/>
        <v>0</v>
      </c>
    </row>
    <row r="252" spans="1:13" x14ac:dyDescent="0.25">
      <c r="A252" s="155"/>
      <c r="G252" s="126"/>
      <c r="H252" s="138">
        <v>247</v>
      </c>
      <c r="I252" s="139" t="str">
        <f t="shared" si="14"/>
        <v/>
      </c>
      <c r="J252" s="138" t="e">
        <f t="shared" si="17"/>
        <v>#NUM!</v>
      </c>
      <c r="K252" s="138" t="e">
        <f t="shared" si="15"/>
        <v>#NUM!</v>
      </c>
      <c r="L252" s="138"/>
      <c r="M252" s="140">
        <f t="shared" si="16"/>
        <v>0</v>
      </c>
    </row>
    <row r="253" spans="1:13" x14ac:dyDescent="0.25">
      <c r="A253" s="155"/>
      <c r="G253" s="126"/>
      <c r="H253" s="138">
        <v>248</v>
      </c>
      <c r="I253" s="139" t="str">
        <f t="shared" si="14"/>
        <v/>
      </c>
      <c r="J253" s="138" t="e">
        <f t="shared" si="17"/>
        <v>#NUM!</v>
      </c>
      <c r="K253" s="138" t="e">
        <f t="shared" si="15"/>
        <v>#NUM!</v>
      </c>
      <c r="L253" s="138"/>
      <c r="M253" s="140">
        <f t="shared" si="16"/>
        <v>0</v>
      </c>
    </row>
    <row r="254" spans="1:13" x14ac:dyDescent="0.25">
      <c r="A254" s="155"/>
      <c r="G254" s="126"/>
      <c r="H254" s="138">
        <v>249</v>
      </c>
      <c r="I254" s="139" t="str">
        <f t="shared" si="14"/>
        <v/>
      </c>
      <c r="J254" s="138" t="e">
        <f t="shared" si="17"/>
        <v>#NUM!</v>
      </c>
      <c r="K254" s="138" t="e">
        <f t="shared" si="15"/>
        <v>#NUM!</v>
      </c>
      <c r="L254" s="138"/>
      <c r="M254" s="140">
        <f t="shared" si="16"/>
        <v>0</v>
      </c>
    </row>
    <row r="255" spans="1:13" x14ac:dyDescent="0.25">
      <c r="A255" s="155"/>
      <c r="G255" s="126"/>
      <c r="H255" s="138">
        <v>250</v>
      </c>
      <c r="I255" s="139" t="str">
        <f t="shared" si="14"/>
        <v/>
      </c>
      <c r="J255" s="138" t="e">
        <f t="shared" si="17"/>
        <v>#NUM!</v>
      </c>
      <c r="K255" s="138" t="e">
        <f t="shared" si="15"/>
        <v>#NUM!</v>
      </c>
      <c r="L255" s="138"/>
      <c r="M255" s="140">
        <f t="shared" si="16"/>
        <v>0</v>
      </c>
    </row>
    <row r="256" spans="1:13" x14ac:dyDescent="0.25">
      <c r="A256" s="155"/>
      <c r="G256" s="126"/>
      <c r="H256" s="138">
        <v>251</v>
      </c>
      <c r="I256" s="139" t="str">
        <f t="shared" si="14"/>
        <v/>
      </c>
      <c r="J256" s="138" t="e">
        <f t="shared" si="17"/>
        <v>#NUM!</v>
      </c>
      <c r="K256" s="138" t="e">
        <f t="shared" si="15"/>
        <v>#NUM!</v>
      </c>
      <c r="L256" s="138"/>
      <c r="M256" s="140">
        <f t="shared" si="16"/>
        <v>0</v>
      </c>
    </row>
    <row r="257" spans="1:13" x14ac:dyDescent="0.25">
      <c r="A257" s="155"/>
      <c r="G257" s="126"/>
      <c r="H257" s="138">
        <v>252</v>
      </c>
      <c r="I257" s="139" t="str">
        <f t="shared" si="14"/>
        <v/>
      </c>
      <c r="J257" s="138" t="e">
        <f t="shared" si="17"/>
        <v>#NUM!</v>
      </c>
      <c r="K257" s="138" t="e">
        <f t="shared" si="15"/>
        <v>#NUM!</v>
      </c>
      <c r="L257" s="138"/>
      <c r="M257" s="140">
        <f t="shared" si="16"/>
        <v>0</v>
      </c>
    </row>
    <row r="258" spans="1:13" x14ac:dyDescent="0.25">
      <c r="A258" s="155"/>
      <c r="G258" s="126"/>
      <c r="H258" s="138">
        <v>253</v>
      </c>
      <c r="I258" s="139" t="str">
        <f t="shared" si="14"/>
        <v/>
      </c>
      <c r="J258" s="138" t="e">
        <f t="shared" si="17"/>
        <v>#NUM!</v>
      </c>
      <c r="K258" s="138" t="e">
        <f t="shared" si="15"/>
        <v>#NUM!</v>
      </c>
      <c r="L258" s="138"/>
      <c r="M258" s="140">
        <f t="shared" si="16"/>
        <v>0</v>
      </c>
    </row>
    <row r="259" spans="1:13" x14ac:dyDescent="0.25">
      <c r="A259" s="155"/>
      <c r="G259" s="126"/>
      <c r="H259" s="138">
        <v>254</v>
      </c>
      <c r="I259" s="139" t="str">
        <f t="shared" si="14"/>
        <v/>
      </c>
      <c r="J259" s="138" t="e">
        <f t="shared" si="17"/>
        <v>#NUM!</v>
      </c>
      <c r="K259" s="138" t="e">
        <f t="shared" si="15"/>
        <v>#NUM!</v>
      </c>
      <c r="L259" s="138"/>
      <c r="M259" s="140">
        <f t="shared" si="16"/>
        <v>0</v>
      </c>
    </row>
    <row r="260" spans="1:13" x14ac:dyDescent="0.25">
      <c r="A260" s="155"/>
      <c r="G260" s="126"/>
      <c r="H260" s="138">
        <v>255</v>
      </c>
      <c r="I260" s="139" t="str">
        <f t="shared" si="14"/>
        <v/>
      </c>
      <c r="J260" s="138" t="e">
        <f t="shared" si="17"/>
        <v>#NUM!</v>
      </c>
      <c r="K260" s="138" t="e">
        <f t="shared" si="15"/>
        <v>#NUM!</v>
      </c>
      <c r="L260" s="138"/>
      <c r="M260" s="140">
        <f t="shared" si="16"/>
        <v>0</v>
      </c>
    </row>
    <row r="261" spans="1:13" x14ac:dyDescent="0.25">
      <c r="A261" s="155"/>
      <c r="G261" s="126"/>
      <c r="H261" s="138">
        <v>256</v>
      </c>
      <c r="I261" s="139" t="str">
        <f t="shared" si="14"/>
        <v/>
      </c>
      <c r="J261" s="138" t="e">
        <f t="shared" si="17"/>
        <v>#NUM!</v>
      </c>
      <c r="K261" s="138" t="e">
        <f t="shared" si="15"/>
        <v>#NUM!</v>
      </c>
      <c r="L261" s="138"/>
      <c r="M261" s="140">
        <f t="shared" si="16"/>
        <v>0</v>
      </c>
    </row>
    <row r="262" spans="1:13" x14ac:dyDescent="0.25">
      <c r="A262" s="155"/>
      <c r="G262" s="126"/>
      <c r="H262" s="138">
        <v>257</v>
      </c>
      <c r="I262" s="139" t="str">
        <f t="shared" ref="I262:I305" si="18">IF(H262&lt;$H$2+1,($I$2-($I$2-1)*(LOG(H262)/LOG($H$2))),"")</f>
        <v/>
      </c>
      <c r="J262" s="138" t="e">
        <f t="shared" si="17"/>
        <v>#NUM!</v>
      </c>
      <c r="K262" s="138" t="e">
        <f t="shared" ref="K262:K305" si="19">J262*$J$2</f>
        <v>#NUM!</v>
      </c>
      <c r="L262" s="138"/>
      <c r="M262" s="140">
        <f t="shared" ref="M262:M305" si="20">IF(I262&lt;&gt;"",K262+I262+L262,0)</f>
        <v>0</v>
      </c>
    </row>
    <row r="263" spans="1:13" x14ac:dyDescent="0.25">
      <c r="A263" s="155"/>
      <c r="G263" s="126"/>
      <c r="H263" s="138">
        <v>258</v>
      </c>
      <c r="I263" s="139" t="str">
        <f t="shared" si="18"/>
        <v/>
      </c>
      <c r="J263" s="138" t="e">
        <f t="shared" ref="J263:J326" si="21">INT(LOG($H$2,2))-ROUNDUP(LOG(H263,2),0)+IF(OR($H$2=1,$H$2=2,$H$2=4,$H$2=8,$H$2=16,$H$2=32,$H$2=64,$H$2=128,$H$2=256),0,1)</f>
        <v>#NUM!</v>
      </c>
      <c r="K263" s="138" t="e">
        <f t="shared" si="19"/>
        <v>#NUM!</v>
      </c>
      <c r="L263" s="138"/>
      <c r="M263" s="140">
        <f t="shared" si="20"/>
        <v>0</v>
      </c>
    </row>
    <row r="264" spans="1:13" x14ac:dyDescent="0.25">
      <c r="A264" s="155"/>
      <c r="G264" s="126"/>
      <c r="H264" s="138">
        <v>259</v>
      </c>
      <c r="I264" s="139" t="str">
        <f t="shared" si="18"/>
        <v/>
      </c>
      <c r="J264" s="138" t="e">
        <f t="shared" si="21"/>
        <v>#NUM!</v>
      </c>
      <c r="K264" s="138" t="e">
        <f t="shared" si="19"/>
        <v>#NUM!</v>
      </c>
      <c r="L264" s="138"/>
      <c r="M264" s="140">
        <f t="shared" si="20"/>
        <v>0</v>
      </c>
    </row>
    <row r="265" spans="1:13" x14ac:dyDescent="0.25">
      <c r="A265" s="155"/>
      <c r="G265" s="126"/>
      <c r="H265" s="138">
        <v>260</v>
      </c>
      <c r="I265" s="139" t="str">
        <f t="shared" si="18"/>
        <v/>
      </c>
      <c r="J265" s="138" t="e">
        <f t="shared" si="21"/>
        <v>#NUM!</v>
      </c>
      <c r="K265" s="138" t="e">
        <f t="shared" si="19"/>
        <v>#NUM!</v>
      </c>
      <c r="L265" s="138"/>
      <c r="M265" s="140">
        <f t="shared" si="20"/>
        <v>0</v>
      </c>
    </row>
    <row r="266" spans="1:13" x14ac:dyDescent="0.25">
      <c r="A266" s="155"/>
      <c r="G266" s="126"/>
      <c r="H266" s="138">
        <v>261</v>
      </c>
      <c r="I266" s="139" t="str">
        <f t="shared" si="18"/>
        <v/>
      </c>
      <c r="J266" s="138" t="e">
        <f t="shared" si="21"/>
        <v>#NUM!</v>
      </c>
      <c r="K266" s="138" t="e">
        <f t="shared" si="19"/>
        <v>#NUM!</v>
      </c>
      <c r="L266" s="138"/>
      <c r="M266" s="140">
        <f t="shared" si="20"/>
        <v>0</v>
      </c>
    </row>
    <row r="267" spans="1:13" x14ac:dyDescent="0.25">
      <c r="A267" s="155"/>
      <c r="G267" s="126"/>
      <c r="H267" s="138">
        <v>262</v>
      </c>
      <c r="I267" s="139" t="str">
        <f t="shared" si="18"/>
        <v/>
      </c>
      <c r="J267" s="138" t="e">
        <f t="shared" si="21"/>
        <v>#NUM!</v>
      </c>
      <c r="K267" s="138" t="e">
        <f t="shared" si="19"/>
        <v>#NUM!</v>
      </c>
      <c r="L267" s="138"/>
      <c r="M267" s="140">
        <f t="shared" si="20"/>
        <v>0</v>
      </c>
    </row>
    <row r="268" spans="1:13" x14ac:dyDescent="0.25">
      <c r="A268" s="155"/>
      <c r="G268" s="126"/>
      <c r="H268" s="138">
        <v>263</v>
      </c>
      <c r="I268" s="139" t="str">
        <f t="shared" si="18"/>
        <v/>
      </c>
      <c r="J268" s="138" t="e">
        <f t="shared" si="21"/>
        <v>#NUM!</v>
      </c>
      <c r="K268" s="138" t="e">
        <f t="shared" si="19"/>
        <v>#NUM!</v>
      </c>
      <c r="L268" s="138"/>
      <c r="M268" s="140">
        <f t="shared" si="20"/>
        <v>0</v>
      </c>
    </row>
    <row r="269" spans="1:13" x14ac:dyDescent="0.25">
      <c r="A269" s="155"/>
      <c r="G269" s="126"/>
      <c r="H269" s="138">
        <v>264</v>
      </c>
      <c r="I269" s="139" t="str">
        <f t="shared" si="18"/>
        <v/>
      </c>
      <c r="J269" s="138" t="e">
        <f t="shared" si="21"/>
        <v>#NUM!</v>
      </c>
      <c r="K269" s="138" t="e">
        <f t="shared" si="19"/>
        <v>#NUM!</v>
      </c>
      <c r="L269" s="138"/>
      <c r="M269" s="140">
        <f t="shared" si="20"/>
        <v>0</v>
      </c>
    </row>
    <row r="270" spans="1:13" x14ac:dyDescent="0.25">
      <c r="A270" s="155"/>
      <c r="G270" s="126"/>
      <c r="H270" s="138">
        <v>265</v>
      </c>
      <c r="I270" s="139" t="str">
        <f t="shared" si="18"/>
        <v/>
      </c>
      <c r="J270" s="138" t="e">
        <f t="shared" si="21"/>
        <v>#NUM!</v>
      </c>
      <c r="K270" s="138" t="e">
        <f t="shared" si="19"/>
        <v>#NUM!</v>
      </c>
      <c r="L270" s="138"/>
      <c r="M270" s="140">
        <f t="shared" si="20"/>
        <v>0</v>
      </c>
    </row>
    <row r="271" spans="1:13" x14ac:dyDescent="0.25">
      <c r="A271" s="155"/>
      <c r="G271" s="126"/>
      <c r="H271" s="138">
        <v>266</v>
      </c>
      <c r="I271" s="139" t="str">
        <f t="shared" si="18"/>
        <v/>
      </c>
      <c r="J271" s="138" t="e">
        <f t="shared" si="21"/>
        <v>#NUM!</v>
      </c>
      <c r="K271" s="138" t="e">
        <f t="shared" si="19"/>
        <v>#NUM!</v>
      </c>
      <c r="L271" s="138"/>
      <c r="M271" s="140">
        <f t="shared" si="20"/>
        <v>0</v>
      </c>
    </row>
    <row r="272" spans="1:13" x14ac:dyDescent="0.25">
      <c r="A272" s="155"/>
      <c r="G272" s="126"/>
      <c r="H272" s="138">
        <v>267</v>
      </c>
      <c r="I272" s="139" t="str">
        <f t="shared" si="18"/>
        <v/>
      </c>
      <c r="J272" s="138" t="e">
        <f t="shared" si="21"/>
        <v>#NUM!</v>
      </c>
      <c r="K272" s="138" t="e">
        <f t="shared" si="19"/>
        <v>#NUM!</v>
      </c>
      <c r="L272" s="138"/>
      <c r="M272" s="140">
        <f t="shared" si="20"/>
        <v>0</v>
      </c>
    </row>
    <row r="273" spans="1:13" x14ac:dyDescent="0.25">
      <c r="A273" s="155"/>
      <c r="G273" s="126"/>
      <c r="H273" s="138">
        <v>268</v>
      </c>
      <c r="I273" s="139" t="str">
        <f t="shared" si="18"/>
        <v/>
      </c>
      <c r="J273" s="138" t="e">
        <f t="shared" si="21"/>
        <v>#NUM!</v>
      </c>
      <c r="K273" s="138" t="e">
        <f t="shared" si="19"/>
        <v>#NUM!</v>
      </c>
      <c r="L273" s="138"/>
      <c r="M273" s="140">
        <f t="shared" si="20"/>
        <v>0</v>
      </c>
    </row>
    <row r="274" spans="1:13" x14ac:dyDescent="0.25">
      <c r="A274" s="155"/>
      <c r="G274" s="126"/>
      <c r="H274" s="138">
        <v>269</v>
      </c>
      <c r="I274" s="139" t="str">
        <f t="shared" si="18"/>
        <v/>
      </c>
      <c r="J274" s="138" t="e">
        <f t="shared" si="21"/>
        <v>#NUM!</v>
      </c>
      <c r="K274" s="138" t="e">
        <f t="shared" si="19"/>
        <v>#NUM!</v>
      </c>
      <c r="L274" s="138"/>
      <c r="M274" s="140">
        <f t="shared" si="20"/>
        <v>0</v>
      </c>
    </row>
    <row r="275" spans="1:13" x14ac:dyDescent="0.25">
      <c r="A275" s="155"/>
      <c r="G275" s="126"/>
      <c r="H275" s="138">
        <v>270</v>
      </c>
      <c r="I275" s="139" t="str">
        <f t="shared" si="18"/>
        <v/>
      </c>
      <c r="J275" s="138" t="e">
        <f t="shared" si="21"/>
        <v>#NUM!</v>
      </c>
      <c r="K275" s="138" t="e">
        <f t="shared" si="19"/>
        <v>#NUM!</v>
      </c>
      <c r="L275" s="138"/>
      <c r="M275" s="140">
        <f t="shared" si="20"/>
        <v>0</v>
      </c>
    </row>
    <row r="276" spans="1:13" x14ac:dyDescent="0.25">
      <c r="A276" s="155"/>
      <c r="G276" s="126"/>
      <c r="H276" s="138">
        <v>271</v>
      </c>
      <c r="I276" s="139" t="str">
        <f t="shared" si="18"/>
        <v/>
      </c>
      <c r="J276" s="138" t="e">
        <f t="shared" si="21"/>
        <v>#NUM!</v>
      </c>
      <c r="K276" s="138" t="e">
        <f t="shared" si="19"/>
        <v>#NUM!</v>
      </c>
      <c r="L276" s="138"/>
      <c r="M276" s="140">
        <f t="shared" si="20"/>
        <v>0</v>
      </c>
    </row>
    <row r="277" spans="1:13" x14ac:dyDescent="0.25">
      <c r="A277" s="155"/>
      <c r="G277" s="126"/>
      <c r="H277" s="138">
        <v>272</v>
      </c>
      <c r="I277" s="139" t="str">
        <f t="shared" si="18"/>
        <v/>
      </c>
      <c r="J277" s="138" t="e">
        <f t="shared" si="21"/>
        <v>#NUM!</v>
      </c>
      <c r="K277" s="138" t="e">
        <f t="shared" si="19"/>
        <v>#NUM!</v>
      </c>
      <c r="L277" s="138"/>
      <c r="M277" s="140">
        <f t="shared" si="20"/>
        <v>0</v>
      </c>
    </row>
    <row r="278" spans="1:13" x14ac:dyDescent="0.25">
      <c r="A278" s="155"/>
      <c r="G278" s="126"/>
      <c r="H278" s="138">
        <v>273</v>
      </c>
      <c r="I278" s="139" t="str">
        <f t="shared" si="18"/>
        <v/>
      </c>
      <c r="J278" s="138" t="e">
        <f t="shared" si="21"/>
        <v>#NUM!</v>
      </c>
      <c r="K278" s="138" t="e">
        <f t="shared" si="19"/>
        <v>#NUM!</v>
      </c>
      <c r="L278" s="138"/>
      <c r="M278" s="140">
        <f t="shared" si="20"/>
        <v>0</v>
      </c>
    </row>
    <row r="279" spans="1:13" x14ac:dyDescent="0.25">
      <c r="A279" s="155"/>
      <c r="G279" s="126"/>
      <c r="H279" s="138">
        <v>274</v>
      </c>
      <c r="I279" s="139" t="str">
        <f t="shared" si="18"/>
        <v/>
      </c>
      <c r="J279" s="138" t="e">
        <f t="shared" si="21"/>
        <v>#NUM!</v>
      </c>
      <c r="K279" s="138" t="e">
        <f t="shared" si="19"/>
        <v>#NUM!</v>
      </c>
      <c r="L279" s="138"/>
      <c r="M279" s="140">
        <f t="shared" si="20"/>
        <v>0</v>
      </c>
    </row>
    <row r="280" spans="1:13" x14ac:dyDescent="0.25">
      <c r="A280" s="155"/>
      <c r="G280" s="126"/>
      <c r="H280" s="138">
        <v>275</v>
      </c>
      <c r="I280" s="139" t="str">
        <f t="shared" si="18"/>
        <v/>
      </c>
      <c r="J280" s="138" t="e">
        <f t="shared" si="21"/>
        <v>#NUM!</v>
      </c>
      <c r="K280" s="138" t="e">
        <f t="shared" si="19"/>
        <v>#NUM!</v>
      </c>
      <c r="L280" s="138"/>
      <c r="M280" s="140">
        <f t="shared" si="20"/>
        <v>0</v>
      </c>
    </row>
    <row r="281" spans="1:13" x14ac:dyDescent="0.25">
      <c r="A281" s="155"/>
      <c r="G281" s="126"/>
      <c r="H281" s="138">
        <v>276</v>
      </c>
      <c r="I281" s="139" t="str">
        <f t="shared" si="18"/>
        <v/>
      </c>
      <c r="J281" s="138" t="e">
        <f t="shared" si="21"/>
        <v>#NUM!</v>
      </c>
      <c r="K281" s="138" t="e">
        <f t="shared" si="19"/>
        <v>#NUM!</v>
      </c>
      <c r="L281" s="138"/>
      <c r="M281" s="140">
        <f t="shared" si="20"/>
        <v>0</v>
      </c>
    </row>
    <row r="282" spans="1:13" x14ac:dyDescent="0.25">
      <c r="A282" s="155"/>
      <c r="G282" s="126"/>
      <c r="H282" s="138">
        <v>277</v>
      </c>
      <c r="I282" s="139" t="str">
        <f t="shared" si="18"/>
        <v/>
      </c>
      <c r="J282" s="138" t="e">
        <f t="shared" si="21"/>
        <v>#NUM!</v>
      </c>
      <c r="K282" s="138" t="e">
        <f t="shared" si="19"/>
        <v>#NUM!</v>
      </c>
      <c r="L282" s="138"/>
      <c r="M282" s="140">
        <f t="shared" si="20"/>
        <v>0</v>
      </c>
    </row>
    <row r="283" spans="1:13" x14ac:dyDescent="0.25">
      <c r="A283" s="155"/>
      <c r="G283" s="126"/>
      <c r="H283" s="138">
        <v>278</v>
      </c>
      <c r="I283" s="139" t="str">
        <f t="shared" si="18"/>
        <v/>
      </c>
      <c r="J283" s="138" t="e">
        <f t="shared" si="21"/>
        <v>#NUM!</v>
      </c>
      <c r="K283" s="138" t="e">
        <f t="shared" si="19"/>
        <v>#NUM!</v>
      </c>
      <c r="L283" s="138"/>
      <c r="M283" s="140">
        <f t="shared" si="20"/>
        <v>0</v>
      </c>
    </row>
    <row r="284" spans="1:13" x14ac:dyDescent="0.25">
      <c r="A284" s="155"/>
      <c r="G284" s="126"/>
      <c r="H284" s="138">
        <v>279</v>
      </c>
      <c r="I284" s="139" t="str">
        <f t="shared" si="18"/>
        <v/>
      </c>
      <c r="J284" s="138" t="e">
        <f t="shared" si="21"/>
        <v>#NUM!</v>
      </c>
      <c r="K284" s="138" t="e">
        <f t="shared" si="19"/>
        <v>#NUM!</v>
      </c>
      <c r="L284" s="138"/>
      <c r="M284" s="140">
        <f t="shared" si="20"/>
        <v>0</v>
      </c>
    </row>
    <row r="285" spans="1:13" x14ac:dyDescent="0.25">
      <c r="A285" s="155"/>
      <c r="G285" s="126"/>
      <c r="H285" s="138">
        <v>280</v>
      </c>
      <c r="I285" s="139" t="str">
        <f t="shared" si="18"/>
        <v/>
      </c>
      <c r="J285" s="138" t="e">
        <f t="shared" si="21"/>
        <v>#NUM!</v>
      </c>
      <c r="K285" s="138" t="e">
        <f t="shared" si="19"/>
        <v>#NUM!</v>
      </c>
      <c r="L285" s="138"/>
      <c r="M285" s="140">
        <f t="shared" si="20"/>
        <v>0</v>
      </c>
    </row>
    <row r="286" spans="1:13" x14ac:dyDescent="0.25">
      <c r="A286" s="155"/>
      <c r="G286" s="126"/>
      <c r="H286" s="138">
        <v>281</v>
      </c>
      <c r="I286" s="139" t="str">
        <f t="shared" si="18"/>
        <v/>
      </c>
      <c r="J286" s="138" t="e">
        <f t="shared" si="21"/>
        <v>#NUM!</v>
      </c>
      <c r="K286" s="138" t="e">
        <f t="shared" si="19"/>
        <v>#NUM!</v>
      </c>
      <c r="L286" s="138"/>
      <c r="M286" s="140">
        <f t="shared" si="20"/>
        <v>0</v>
      </c>
    </row>
    <row r="287" spans="1:13" x14ac:dyDescent="0.25">
      <c r="A287" s="155"/>
      <c r="G287" s="126"/>
      <c r="H287" s="138">
        <v>282</v>
      </c>
      <c r="I287" s="139" t="str">
        <f t="shared" si="18"/>
        <v/>
      </c>
      <c r="J287" s="138" t="e">
        <f t="shared" si="21"/>
        <v>#NUM!</v>
      </c>
      <c r="K287" s="138" t="e">
        <f t="shared" si="19"/>
        <v>#NUM!</v>
      </c>
      <c r="L287" s="138"/>
      <c r="M287" s="140">
        <f t="shared" si="20"/>
        <v>0</v>
      </c>
    </row>
    <row r="288" spans="1:13" x14ac:dyDescent="0.25">
      <c r="A288" s="155"/>
      <c r="G288" s="126"/>
      <c r="H288" s="138">
        <v>283</v>
      </c>
      <c r="I288" s="139" t="str">
        <f t="shared" si="18"/>
        <v/>
      </c>
      <c r="J288" s="138" t="e">
        <f t="shared" si="21"/>
        <v>#NUM!</v>
      </c>
      <c r="K288" s="138" t="e">
        <f t="shared" si="19"/>
        <v>#NUM!</v>
      </c>
      <c r="L288" s="138"/>
      <c r="M288" s="140">
        <f t="shared" si="20"/>
        <v>0</v>
      </c>
    </row>
    <row r="289" spans="1:13" x14ac:dyDescent="0.25">
      <c r="A289" s="155"/>
      <c r="G289" s="126"/>
      <c r="H289" s="138">
        <v>284</v>
      </c>
      <c r="I289" s="139" t="str">
        <f t="shared" si="18"/>
        <v/>
      </c>
      <c r="J289" s="138" t="e">
        <f t="shared" si="21"/>
        <v>#NUM!</v>
      </c>
      <c r="K289" s="138" t="e">
        <f t="shared" si="19"/>
        <v>#NUM!</v>
      </c>
      <c r="L289" s="138"/>
      <c r="M289" s="140">
        <f t="shared" si="20"/>
        <v>0</v>
      </c>
    </row>
    <row r="290" spans="1:13" x14ac:dyDescent="0.25">
      <c r="A290" s="155"/>
      <c r="G290" s="126"/>
      <c r="H290" s="138">
        <v>285</v>
      </c>
      <c r="I290" s="139" t="str">
        <f t="shared" si="18"/>
        <v/>
      </c>
      <c r="J290" s="138" t="e">
        <f t="shared" si="21"/>
        <v>#NUM!</v>
      </c>
      <c r="K290" s="138" t="e">
        <f t="shared" si="19"/>
        <v>#NUM!</v>
      </c>
      <c r="L290" s="138"/>
      <c r="M290" s="140">
        <f t="shared" si="20"/>
        <v>0</v>
      </c>
    </row>
    <row r="291" spans="1:13" x14ac:dyDescent="0.25">
      <c r="A291" s="155"/>
      <c r="G291" s="126"/>
      <c r="H291" s="138">
        <v>286</v>
      </c>
      <c r="I291" s="139" t="str">
        <f t="shared" si="18"/>
        <v/>
      </c>
      <c r="J291" s="138" t="e">
        <f t="shared" si="21"/>
        <v>#NUM!</v>
      </c>
      <c r="K291" s="138" t="e">
        <f t="shared" si="19"/>
        <v>#NUM!</v>
      </c>
      <c r="L291" s="138"/>
      <c r="M291" s="140">
        <f t="shared" si="20"/>
        <v>0</v>
      </c>
    </row>
    <row r="292" spans="1:13" x14ac:dyDescent="0.25">
      <c r="A292" s="155"/>
      <c r="G292" s="126"/>
      <c r="H292" s="138">
        <v>287</v>
      </c>
      <c r="I292" s="139" t="str">
        <f t="shared" si="18"/>
        <v/>
      </c>
      <c r="J292" s="138" t="e">
        <f t="shared" si="21"/>
        <v>#NUM!</v>
      </c>
      <c r="K292" s="138" t="e">
        <f t="shared" si="19"/>
        <v>#NUM!</v>
      </c>
      <c r="L292" s="138"/>
      <c r="M292" s="140">
        <f t="shared" si="20"/>
        <v>0</v>
      </c>
    </row>
    <row r="293" spans="1:13" x14ac:dyDescent="0.25">
      <c r="A293" s="155"/>
      <c r="G293" s="126"/>
      <c r="H293" s="138">
        <v>288</v>
      </c>
      <c r="I293" s="139" t="str">
        <f t="shared" si="18"/>
        <v/>
      </c>
      <c r="J293" s="138" t="e">
        <f t="shared" si="21"/>
        <v>#NUM!</v>
      </c>
      <c r="K293" s="138" t="e">
        <f t="shared" si="19"/>
        <v>#NUM!</v>
      </c>
      <c r="L293" s="138"/>
      <c r="M293" s="140">
        <f t="shared" si="20"/>
        <v>0</v>
      </c>
    </row>
    <row r="294" spans="1:13" x14ac:dyDescent="0.25">
      <c r="A294" s="155"/>
      <c r="G294" s="126"/>
      <c r="H294" s="138">
        <v>289</v>
      </c>
      <c r="I294" s="139" t="str">
        <f t="shared" si="18"/>
        <v/>
      </c>
      <c r="J294" s="138" t="e">
        <f t="shared" si="21"/>
        <v>#NUM!</v>
      </c>
      <c r="K294" s="138" t="e">
        <f t="shared" si="19"/>
        <v>#NUM!</v>
      </c>
      <c r="L294" s="138"/>
      <c r="M294" s="140">
        <f t="shared" si="20"/>
        <v>0</v>
      </c>
    </row>
    <row r="295" spans="1:13" x14ac:dyDescent="0.25">
      <c r="A295" s="155"/>
      <c r="G295" s="126"/>
      <c r="H295" s="138">
        <v>290</v>
      </c>
      <c r="I295" s="139" t="str">
        <f t="shared" si="18"/>
        <v/>
      </c>
      <c r="J295" s="138" t="e">
        <f t="shared" si="21"/>
        <v>#NUM!</v>
      </c>
      <c r="K295" s="138" t="e">
        <f t="shared" si="19"/>
        <v>#NUM!</v>
      </c>
      <c r="L295" s="138"/>
      <c r="M295" s="140">
        <f t="shared" si="20"/>
        <v>0</v>
      </c>
    </row>
    <row r="296" spans="1:13" x14ac:dyDescent="0.25">
      <c r="A296" s="155"/>
      <c r="G296" s="126"/>
      <c r="H296" s="138">
        <v>291</v>
      </c>
      <c r="I296" s="139" t="str">
        <f t="shared" si="18"/>
        <v/>
      </c>
      <c r="J296" s="138" t="e">
        <f t="shared" si="21"/>
        <v>#NUM!</v>
      </c>
      <c r="K296" s="138" t="e">
        <f t="shared" si="19"/>
        <v>#NUM!</v>
      </c>
      <c r="L296" s="138"/>
      <c r="M296" s="140">
        <f t="shared" si="20"/>
        <v>0</v>
      </c>
    </row>
    <row r="297" spans="1:13" x14ac:dyDescent="0.25">
      <c r="A297" s="155"/>
      <c r="G297" s="126"/>
      <c r="H297" s="138">
        <v>292</v>
      </c>
      <c r="I297" s="139" t="str">
        <f t="shared" si="18"/>
        <v/>
      </c>
      <c r="J297" s="138" t="e">
        <f t="shared" si="21"/>
        <v>#NUM!</v>
      </c>
      <c r="K297" s="138" t="e">
        <f t="shared" si="19"/>
        <v>#NUM!</v>
      </c>
      <c r="L297" s="138"/>
      <c r="M297" s="140">
        <f t="shared" si="20"/>
        <v>0</v>
      </c>
    </row>
    <row r="298" spans="1:13" x14ac:dyDescent="0.25">
      <c r="A298" s="155"/>
      <c r="G298" s="126"/>
      <c r="H298" s="138">
        <v>293</v>
      </c>
      <c r="I298" s="139" t="str">
        <f t="shared" si="18"/>
        <v/>
      </c>
      <c r="J298" s="138" t="e">
        <f t="shared" si="21"/>
        <v>#NUM!</v>
      </c>
      <c r="K298" s="138" t="e">
        <f t="shared" si="19"/>
        <v>#NUM!</v>
      </c>
      <c r="L298" s="138"/>
      <c r="M298" s="140">
        <f t="shared" si="20"/>
        <v>0</v>
      </c>
    </row>
    <row r="299" spans="1:13" x14ac:dyDescent="0.25">
      <c r="A299" s="155"/>
      <c r="G299" s="126"/>
      <c r="H299" s="138">
        <v>294</v>
      </c>
      <c r="I299" s="139" t="str">
        <f t="shared" si="18"/>
        <v/>
      </c>
      <c r="J299" s="138" t="e">
        <f t="shared" si="21"/>
        <v>#NUM!</v>
      </c>
      <c r="K299" s="138" t="e">
        <f t="shared" si="19"/>
        <v>#NUM!</v>
      </c>
      <c r="L299" s="138"/>
      <c r="M299" s="140">
        <f t="shared" si="20"/>
        <v>0</v>
      </c>
    </row>
    <row r="300" spans="1:13" x14ac:dyDescent="0.25">
      <c r="A300" s="155"/>
      <c r="G300" s="126"/>
      <c r="H300" s="138">
        <v>295</v>
      </c>
      <c r="I300" s="139" t="str">
        <f t="shared" si="18"/>
        <v/>
      </c>
      <c r="J300" s="138" t="e">
        <f t="shared" si="21"/>
        <v>#NUM!</v>
      </c>
      <c r="K300" s="138" t="e">
        <f t="shared" si="19"/>
        <v>#NUM!</v>
      </c>
      <c r="L300" s="138"/>
      <c r="M300" s="140">
        <f t="shared" si="20"/>
        <v>0</v>
      </c>
    </row>
    <row r="301" spans="1:13" x14ac:dyDescent="0.25">
      <c r="A301" s="155"/>
      <c r="G301" s="126"/>
      <c r="H301" s="138">
        <v>296</v>
      </c>
      <c r="I301" s="139" t="str">
        <f t="shared" si="18"/>
        <v/>
      </c>
      <c r="J301" s="138" t="e">
        <f t="shared" si="21"/>
        <v>#NUM!</v>
      </c>
      <c r="K301" s="138" t="e">
        <f t="shared" si="19"/>
        <v>#NUM!</v>
      </c>
      <c r="L301" s="138"/>
      <c r="M301" s="140">
        <f t="shared" si="20"/>
        <v>0</v>
      </c>
    </row>
    <row r="302" spans="1:13" x14ac:dyDescent="0.25">
      <c r="A302" s="155"/>
      <c r="G302" s="126"/>
      <c r="H302" s="138">
        <v>297</v>
      </c>
      <c r="I302" s="139" t="str">
        <f t="shared" si="18"/>
        <v/>
      </c>
      <c r="J302" s="138" t="e">
        <f t="shared" si="21"/>
        <v>#NUM!</v>
      </c>
      <c r="K302" s="138" t="e">
        <f t="shared" si="19"/>
        <v>#NUM!</v>
      </c>
      <c r="L302" s="138"/>
      <c r="M302" s="140">
        <f t="shared" si="20"/>
        <v>0</v>
      </c>
    </row>
    <row r="303" spans="1:13" x14ac:dyDescent="0.25">
      <c r="A303" s="155"/>
      <c r="G303" s="126"/>
      <c r="H303" s="138">
        <v>298</v>
      </c>
      <c r="I303" s="139" t="str">
        <f t="shared" si="18"/>
        <v/>
      </c>
      <c r="J303" s="138" t="e">
        <f t="shared" si="21"/>
        <v>#NUM!</v>
      </c>
      <c r="K303" s="138" t="e">
        <f t="shared" si="19"/>
        <v>#NUM!</v>
      </c>
      <c r="L303" s="138"/>
      <c r="M303" s="140">
        <f t="shared" si="20"/>
        <v>0</v>
      </c>
    </row>
    <row r="304" spans="1:13" x14ac:dyDescent="0.25">
      <c r="A304" s="155"/>
      <c r="G304" s="126"/>
      <c r="H304" s="138">
        <v>299</v>
      </c>
      <c r="I304" s="139" t="str">
        <f t="shared" si="18"/>
        <v/>
      </c>
      <c r="J304" s="138" t="e">
        <f t="shared" si="21"/>
        <v>#NUM!</v>
      </c>
      <c r="K304" s="138" t="e">
        <f t="shared" si="19"/>
        <v>#NUM!</v>
      </c>
      <c r="L304" s="138"/>
      <c r="M304" s="140">
        <f t="shared" si="20"/>
        <v>0</v>
      </c>
    </row>
    <row r="305" spans="1:16" x14ac:dyDescent="0.25">
      <c r="A305" s="155"/>
      <c r="G305" s="126"/>
      <c r="H305" s="138">
        <v>300</v>
      </c>
      <c r="I305" s="139" t="str">
        <f t="shared" si="18"/>
        <v/>
      </c>
      <c r="J305" s="138" t="e">
        <f t="shared" si="21"/>
        <v>#NUM!</v>
      </c>
      <c r="K305" s="138" t="e">
        <f t="shared" si="19"/>
        <v>#NUM!</v>
      </c>
      <c r="L305" s="138"/>
      <c r="M305" s="140">
        <f t="shared" si="20"/>
        <v>0</v>
      </c>
    </row>
    <row r="306" spans="1:16" x14ac:dyDescent="0.25">
      <c r="A306" s="156"/>
      <c r="J306" s="157" t="e">
        <f t="shared" si="21"/>
        <v>#NUM!</v>
      </c>
    </row>
    <row r="307" spans="1:16" x14ac:dyDescent="0.25">
      <c r="J307" s="157" t="e">
        <f t="shared" si="21"/>
        <v>#NUM!</v>
      </c>
    </row>
    <row r="308" spans="1:16" x14ac:dyDescent="0.25">
      <c r="J308" s="157" t="e">
        <f t="shared" si="21"/>
        <v>#NUM!</v>
      </c>
    </row>
    <row r="309" spans="1:16" x14ac:dyDescent="0.25">
      <c r="J309" s="157" t="e">
        <f t="shared" si="21"/>
        <v>#NUM!</v>
      </c>
    </row>
    <row r="310" spans="1:16" x14ac:dyDescent="0.25">
      <c r="J310" s="157" t="e">
        <f t="shared" si="21"/>
        <v>#NUM!</v>
      </c>
    </row>
    <row r="311" spans="1:16" x14ac:dyDescent="0.25">
      <c r="J311" s="157" t="e">
        <f t="shared" si="21"/>
        <v>#NUM!</v>
      </c>
    </row>
    <row r="312" spans="1:16" x14ac:dyDescent="0.25">
      <c r="J312" s="157" t="e">
        <f t="shared" si="21"/>
        <v>#NUM!</v>
      </c>
    </row>
    <row r="313" spans="1:16" x14ac:dyDescent="0.25">
      <c r="J313" s="157" t="e">
        <f t="shared" si="21"/>
        <v>#NUM!</v>
      </c>
    </row>
    <row r="314" spans="1:16" x14ac:dyDescent="0.25">
      <c r="J314" s="157" t="e">
        <f t="shared" si="21"/>
        <v>#NUM!</v>
      </c>
      <c r="L314" s="159"/>
      <c r="P314" s="149"/>
    </row>
    <row r="315" spans="1:16" x14ac:dyDescent="0.25">
      <c r="J315" s="157" t="e">
        <f t="shared" si="21"/>
        <v>#NUM!</v>
      </c>
      <c r="L315" s="159"/>
      <c r="P315" s="149"/>
    </row>
    <row r="316" spans="1:16" x14ac:dyDescent="0.25">
      <c r="J316" s="157" t="e">
        <f t="shared" si="21"/>
        <v>#NUM!</v>
      </c>
      <c r="L316" s="159"/>
      <c r="P316" s="149"/>
    </row>
    <row r="317" spans="1:16" x14ac:dyDescent="0.25">
      <c r="J317" s="157" t="e">
        <f t="shared" si="21"/>
        <v>#NUM!</v>
      </c>
      <c r="L317" s="159"/>
      <c r="P317" s="149"/>
    </row>
    <row r="318" spans="1:16" x14ac:dyDescent="0.25">
      <c r="J318" s="157" t="e">
        <f t="shared" si="21"/>
        <v>#NUM!</v>
      </c>
    </row>
    <row r="319" spans="1:16" x14ac:dyDescent="0.25">
      <c r="J319" s="157" t="e">
        <f t="shared" si="21"/>
        <v>#NUM!</v>
      </c>
    </row>
    <row r="320" spans="1:16" x14ac:dyDescent="0.25">
      <c r="J320" s="157" t="e">
        <f t="shared" si="21"/>
        <v>#NUM!</v>
      </c>
    </row>
    <row r="321" spans="10:10" x14ac:dyDescent="0.25">
      <c r="J321" s="157" t="e">
        <f t="shared" si="21"/>
        <v>#NUM!</v>
      </c>
    </row>
    <row r="322" spans="10:10" x14ac:dyDescent="0.25">
      <c r="J322" s="157" t="e">
        <f t="shared" si="21"/>
        <v>#NUM!</v>
      </c>
    </row>
    <row r="323" spans="10:10" x14ac:dyDescent="0.25">
      <c r="J323" s="157" t="e">
        <f t="shared" si="21"/>
        <v>#NUM!</v>
      </c>
    </row>
    <row r="324" spans="10:10" x14ac:dyDescent="0.25">
      <c r="J324" s="157" t="e">
        <f t="shared" si="21"/>
        <v>#NUM!</v>
      </c>
    </row>
    <row r="325" spans="10:10" x14ac:dyDescent="0.25">
      <c r="J325" s="157" t="e">
        <f t="shared" si="21"/>
        <v>#NUM!</v>
      </c>
    </row>
    <row r="326" spans="10:10" x14ac:dyDescent="0.25">
      <c r="J326" s="157" t="e">
        <f t="shared" si="21"/>
        <v>#NUM!</v>
      </c>
    </row>
    <row r="327" spans="10:10" x14ac:dyDescent="0.25">
      <c r="J327" s="157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57" t="e">
        <f t="shared" si="22"/>
        <v>#NUM!</v>
      </c>
    </row>
    <row r="329" spans="10:10" x14ac:dyDescent="0.25">
      <c r="J329" s="157" t="e">
        <f t="shared" si="22"/>
        <v>#NUM!</v>
      </c>
    </row>
    <row r="330" spans="10:10" x14ac:dyDescent="0.25">
      <c r="J330" s="157" t="e">
        <f t="shared" si="22"/>
        <v>#NUM!</v>
      </c>
    </row>
    <row r="331" spans="10:10" x14ac:dyDescent="0.25">
      <c r="J331" s="157" t="e">
        <f t="shared" si="22"/>
        <v>#NUM!</v>
      </c>
    </row>
    <row r="332" spans="10:10" x14ac:dyDescent="0.25">
      <c r="J332" s="157" t="e">
        <f t="shared" si="22"/>
        <v>#NUM!</v>
      </c>
    </row>
    <row r="333" spans="10:10" x14ac:dyDescent="0.25">
      <c r="J333" s="157" t="e">
        <f t="shared" si="22"/>
        <v>#NUM!</v>
      </c>
    </row>
    <row r="334" spans="10:10" x14ac:dyDescent="0.25">
      <c r="J334" s="157" t="e">
        <f t="shared" si="22"/>
        <v>#NUM!</v>
      </c>
    </row>
    <row r="335" spans="10:10" x14ac:dyDescent="0.25">
      <c r="J335" s="157" t="e">
        <f t="shared" si="22"/>
        <v>#NUM!</v>
      </c>
    </row>
    <row r="336" spans="10:10" x14ac:dyDescent="0.25">
      <c r="J336" s="157" t="e">
        <f t="shared" si="22"/>
        <v>#NUM!</v>
      </c>
    </row>
    <row r="337" spans="10:10" x14ac:dyDescent="0.25">
      <c r="J337" s="157" t="e">
        <f t="shared" si="22"/>
        <v>#NUM!</v>
      </c>
    </row>
    <row r="338" spans="10:10" x14ac:dyDescent="0.25">
      <c r="J338" s="157" t="e">
        <f t="shared" si="22"/>
        <v>#NUM!</v>
      </c>
    </row>
    <row r="339" spans="10:10" x14ac:dyDescent="0.25">
      <c r="J339" s="157" t="e">
        <f t="shared" si="22"/>
        <v>#NUM!</v>
      </c>
    </row>
    <row r="340" spans="10:10" x14ac:dyDescent="0.25">
      <c r="J340" s="157" t="e">
        <f t="shared" si="22"/>
        <v>#NUM!</v>
      </c>
    </row>
    <row r="341" spans="10:10" x14ac:dyDescent="0.25">
      <c r="J341" s="157" t="e">
        <f t="shared" si="22"/>
        <v>#NUM!</v>
      </c>
    </row>
    <row r="342" spans="10:10" x14ac:dyDescent="0.25">
      <c r="J342" s="157" t="e">
        <f t="shared" si="22"/>
        <v>#NUM!</v>
      </c>
    </row>
    <row r="343" spans="10:10" x14ac:dyDescent="0.25">
      <c r="J343" s="157" t="e">
        <f t="shared" si="22"/>
        <v>#NUM!</v>
      </c>
    </row>
    <row r="344" spans="10:10" x14ac:dyDescent="0.25">
      <c r="J344" s="157" t="e">
        <f t="shared" si="22"/>
        <v>#NUM!</v>
      </c>
    </row>
    <row r="345" spans="10:10" x14ac:dyDescent="0.25">
      <c r="J345" s="157" t="e">
        <f t="shared" si="22"/>
        <v>#NUM!</v>
      </c>
    </row>
    <row r="346" spans="10:10" x14ac:dyDescent="0.25">
      <c r="J346" s="157" t="e">
        <f t="shared" si="22"/>
        <v>#NUM!</v>
      </c>
    </row>
    <row r="347" spans="10:10" x14ac:dyDescent="0.25">
      <c r="J347" s="157" t="e">
        <f t="shared" si="22"/>
        <v>#NUM!</v>
      </c>
    </row>
    <row r="348" spans="10:10" x14ac:dyDescent="0.25">
      <c r="J348" s="157" t="e">
        <f t="shared" si="22"/>
        <v>#NUM!</v>
      </c>
    </row>
    <row r="349" spans="10:10" x14ac:dyDescent="0.25">
      <c r="J349" s="157" t="e">
        <f t="shared" si="22"/>
        <v>#NUM!</v>
      </c>
    </row>
    <row r="350" spans="10:10" x14ac:dyDescent="0.25">
      <c r="J350" s="157" t="e">
        <f t="shared" si="22"/>
        <v>#NUM!</v>
      </c>
    </row>
    <row r="351" spans="10:10" x14ac:dyDescent="0.25">
      <c r="J351" s="157" t="e">
        <f t="shared" si="22"/>
        <v>#NUM!</v>
      </c>
    </row>
    <row r="352" spans="10:10" x14ac:dyDescent="0.25">
      <c r="J352" s="157" t="e">
        <f t="shared" si="22"/>
        <v>#NUM!</v>
      </c>
    </row>
    <row r="353" spans="10:10" x14ac:dyDescent="0.25">
      <c r="J353" s="157" t="e">
        <f t="shared" si="22"/>
        <v>#NUM!</v>
      </c>
    </row>
    <row r="354" spans="10:10" x14ac:dyDescent="0.25">
      <c r="J354" s="157" t="e">
        <f t="shared" si="22"/>
        <v>#NUM!</v>
      </c>
    </row>
    <row r="355" spans="10:10" x14ac:dyDescent="0.25">
      <c r="J355" s="157" t="e">
        <f t="shared" si="22"/>
        <v>#NUM!</v>
      </c>
    </row>
    <row r="356" spans="10:10" x14ac:dyDescent="0.25">
      <c r="J356" s="157" t="e">
        <f t="shared" si="22"/>
        <v>#NUM!</v>
      </c>
    </row>
    <row r="357" spans="10:10" x14ac:dyDescent="0.25">
      <c r="J357" s="157" t="e">
        <f t="shared" si="22"/>
        <v>#NUM!</v>
      </c>
    </row>
    <row r="358" spans="10:10" x14ac:dyDescent="0.25">
      <c r="J358" s="157" t="e">
        <f t="shared" si="22"/>
        <v>#NUM!</v>
      </c>
    </row>
    <row r="359" spans="10:10" x14ac:dyDescent="0.25">
      <c r="J359" s="157" t="e">
        <f t="shared" si="22"/>
        <v>#NUM!</v>
      </c>
    </row>
    <row r="360" spans="10:10" x14ac:dyDescent="0.25">
      <c r="J360" s="157" t="e">
        <f t="shared" si="22"/>
        <v>#NUM!</v>
      </c>
    </row>
    <row r="361" spans="10:10" x14ac:dyDescent="0.25">
      <c r="J361" s="157" t="e">
        <f t="shared" si="22"/>
        <v>#NUM!</v>
      </c>
    </row>
    <row r="362" spans="10:10" x14ac:dyDescent="0.25">
      <c r="J362" s="157" t="e">
        <f t="shared" si="22"/>
        <v>#NUM!</v>
      </c>
    </row>
    <row r="363" spans="10:10" x14ac:dyDescent="0.25">
      <c r="J363" s="157" t="e">
        <f t="shared" si="22"/>
        <v>#NUM!</v>
      </c>
    </row>
    <row r="364" spans="10:10" x14ac:dyDescent="0.25">
      <c r="J364" s="157" t="e">
        <f t="shared" si="22"/>
        <v>#NUM!</v>
      </c>
    </row>
    <row r="365" spans="10:10" x14ac:dyDescent="0.25">
      <c r="J365" s="157" t="e">
        <f t="shared" si="22"/>
        <v>#NUM!</v>
      </c>
    </row>
    <row r="366" spans="10:10" x14ac:dyDescent="0.25">
      <c r="J366" s="157" t="e">
        <f t="shared" si="22"/>
        <v>#NUM!</v>
      </c>
    </row>
    <row r="367" spans="10:10" x14ac:dyDescent="0.25">
      <c r="J367" s="157" t="e">
        <f t="shared" si="22"/>
        <v>#NUM!</v>
      </c>
    </row>
    <row r="368" spans="10:10" x14ac:dyDescent="0.25">
      <c r="J368" s="157" t="e">
        <f t="shared" si="22"/>
        <v>#NUM!</v>
      </c>
    </row>
    <row r="369" spans="10:10" x14ac:dyDescent="0.25">
      <c r="J369" s="157" t="e">
        <f t="shared" si="22"/>
        <v>#NUM!</v>
      </c>
    </row>
    <row r="370" spans="10:10" x14ac:dyDescent="0.25">
      <c r="J370" s="157" t="e">
        <f t="shared" si="22"/>
        <v>#NUM!</v>
      </c>
    </row>
    <row r="371" spans="10:10" x14ac:dyDescent="0.25">
      <c r="J371" s="157" t="e">
        <f t="shared" si="22"/>
        <v>#NUM!</v>
      </c>
    </row>
    <row r="372" spans="10:10" x14ac:dyDescent="0.25">
      <c r="J372" s="157" t="e">
        <f t="shared" si="22"/>
        <v>#NUM!</v>
      </c>
    </row>
    <row r="373" spans="10:10" x14ac:dyDescent="0.25">
      <c r="J373" s="157" t="e">
        <f t="shared" si="22"/>
        <v>#NUM!</v>
      </c>
    </row>
    <row r="374" spans="10:10" x14ac:dyDescent="0.25">
      <c r="J374" s="157" t="e">
        <f t="shared" si="22"/>
        <v>#NUM!</v>
      </c>
    </row>
  </sheetData>
  <conditionalFormatting sqref="J9:K305">
    <cfRule type="cellIs" dxfId="4" priority="1" operator="lessThanOrEqual">
      <formula>0</formula>
    </cfRule>
  </conditionalFormatting>
  <hyperlinks>
    <hyperlink ref="C2" r:id="rId1" xr:uid="{750AEE68-62BF-47EC-B962-3403E0369316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51C8-6007-4682-92C6-66A77F44886D}">
  <sheetPr>
    <tabColor rgb="FF92D050"/>
  </sheetPr>
  <dimension ref="A1:AL374"/>
  <sheetViews>
    <sheetView zoomScaleNormal="100" workbookViewId="0">
      <selection activeCell="C2" sqref="C2:C3"/>
    </sheetView>
  </sheetViews>
  <sheetFormatPr defaultColWidth="8.875" defaultRowHeight="14.3" x14ac:dyDescent="0.25"/>
  <cols>
    <col min="1" max="1" width="8" style="154" customWidth="1"/>
    <col min="2" max="2" width="8.25" style="154" customWidth="1"/>
    <col min="3" max="3" width="34.75" style="154" customWidth="1"/>
    <col min="4" max="4" width="11.25" style="154" customWidth="1"/>
    <col min="5" max="6" width="8.875" style="154"/>
    <col min="7" max="7" width="0.875" style="154" customWidth="1"/>
    <col min="8" max="8" width="8.875" style="157"/>
    <col min="9" max="9" width="11" style="157" customWidth="1"/>
    <col min="10" max="10" width="15.25" style="157" customWidth="1"/>
    <col min="11" max="11" width="8.75" style="157" customWidth="1"/>
    <col min="12" max="12" width="11" style="157" customWidth="1"/>
    <col min="13" max="13" width="12.25" style="158" customWidth="1"/>
    <col min="14" max="15" width="13.875" style="126" customWidth="1"/>
    <col min="16" max="18" width="8.875" style="126"/>
    <col min="19" max="20" width="8.875" style="131"/>
    <col min="21" max="21" width="12.125" style="131" customWidth="1"/>
    <col min="22" max="22" width="27.375" style="131" customWidth="1"/>
    <col min="23" max="38" width="8.875" style="131"/>
    <col min="39" max="16384" width="8.875" style="154"/>
  </cols>
  <sheetData>
    <row r="1" spans="1:36" x14ac:dyDescent="0.25">
      <c r="A1" s="126"/>
      <c r="B1" s="126"/>
      <c r="C1" s="126"/>
      <c r="D1" s="126"/>
      <c r="E1" s="126"/>
      <c r="F1" s="126"/>
      <c r="G1" s="126"/>
      <c r="H1" s="127" t="s">
        <v>25</v>
      </c>
      <c r="I1" s="128" t="s">
        <v>26</v>
      </c>
      <c r="J1" s="128" t="s">
        <v>27</v>
      </c>
      <c r="K1" s="129" t="s">
        <v>28</v>
      </c>
      <c r="L1" s="130"/>
      <c r="M1" s="130"/>
    </row>
    <row r="2" spans="1:36" x14ac:dyDescent="0.25">
      <c r="A2" s="126"/>
      <c r="B2" s="19" t="s">
        <v>29</v>
      </c>
      <c r="C2" s="187" t="s">
        <v>72</v>
      </c>
      <c r="D2" s="185"/>
      <c r="E2" s="20"/>
      <c r="F2" s="20"/>
      <c r="G2" s="20"/>
      <c r="H2" s="132">
        <v>12</v>
      </c>
      <c r="I2" s="133">
        <v>50</v>
      </c>
      <c r="J2" s="133">
        <v>10</v>
      </c>
      <c r="K2" s="160">
        <f>3*H2^(1/3)</f>
        <v>6.8682854553199917</v>
      </c>
      <c r="L2" s="130"/>
      <c r="M2" s="130"/>
    </row>
    <row r="3" spans="1:36" x14ac:dyDescent="0.25">
      <c r="A3" s="126"/>
      <c r="B3" s="135" t="s">
        <v>31</v>
      </c>
      <c r="C3" s="186" t="s">
        <v>109</v>
      </c>
      <c r="D3" s="186"/>
      <c r="E3" s="25"/>
      <c r="F3" s="25"/>
      <c r="G3" s="25"/>
      <c r="H3" s="130"/>
      <c r="I3" s="130"/>
      <c r="J3" s="161"/>
      <c r="K3" s="130"/>
      <c r="L3" s="130"/>
      <c r="M3" s="130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30"/>
      <c r="I4" s="130"/>
      <c r="J4" s="161"/>
      <c r="K4" s="130"/>
      <c r="L4" s="130"/>
      <c r="M4" s="130"/>
    </row>
    <row r="5" spans="1:36" ht="34.65" x14ac:dyDescent="0.25">
      <c r="A5" s="1" t="s">
        <v>33</v>
      </c>
      <c r="B5" s="28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7"/>
      <c r="H5" s="136" t="s">
        <v>39</v>
      </c>
      <c r="I5" s="137" t="s">
        <v>40</v>
      </c>
      <c r="J5" s="162" t="s">
        <v>41</v>
      </c>
      <c r="K5" s="137" t="s">
        <v>42</v>
      </c>
      <c r="L5" s="137" t="s">
        <v>43</v>
      </c>
      <c r="M5" s="136" t="s">
        <v>44</v>
      </c>
    </row>
    <row r="6" spans="1:36" ht="14.45" customHeight="1" x14ac:dyDescent="0.25">
      <c r="A6" s="76">
        <f>M6</f>
        <v>110.60485636595998</v>
      </c>
      <c r="B6" s="33">
        <f t="shared" ref="B6:B65" si="0">IF(H6&gt;$H$2,"",(ROW()-5))</f>
        <v>1</v>
      </c>
      <c r="C6" s="34" t="s">
        <v>110</v>
      </c>
      <c r="D6" s="34" t="s">
        <v>111</v>
      </c>
      <c r="E6" s="34"/>
      <c r="F6" s="34"/>
      <c r="G6" s="27"/>
      <c r="H6" s="138">
        <v>1</v>
      </c>
      <c r="I6" s="139">
        <f t="shared" ref="I6:I69" si="1">IF(H6&lt;$H$2+1,($I$2-($I$2-1)*(LOG(H6)/LOG($H$2))),"")</f>
        <v>50</v>
      </c>
      <c r="J6" s="138">
        <f>INT(LOG($H$2,2))-ROUNDUP(LOG(H6,2),0)+IF(OR($H$2=1,$H$2=2,$H$2=4,$H$2=8,$H$2=16,$H$2=32,$H$2=64,$H$2=128,$H$2=256),0,1)</f>
        <v>4</v>
      </c>
      <c r="K6" s="138">
        <f t="shared" ref="K6:K69" si="2">J6*$J$2</f>
        <v>40</v>
      </c>
      <c r="L6" s="140">
        <f>3*K2</f>
        <v>20.604856365959975</v>
      </c>
      <c r="M6" s="140">
        <f t="shared" ref="M6:M69" si="3">IF(I6&lt;&gt;"",K6+I6+L6,0)</f>
        <v>110.60485636595998</v>
      </c>
    </row>
    <row r="7" spans="1:36" ht="14.45" customHeight="1" x14ac:dyDescent="0.25">
      <c r="A7" s="77">
        <f t="shared" ref="A7:A37" si="4">M7</f>
        <v>80.068366573734622</v>
      </c>
      <c r="B7" s="39">
        <f t="shared" si="0"/>
        <v>2</v>
      </c>
      <c r="C7" s="40" t="s">
        <v>112</v>
      </c>
      <c r="D7" s="40" t="s">
        <v>113</v>
      </c>
      <c r="E7" s="40"/>
      <c r="F7" s="40"/>
      <c r="G7" s="27"/>
      <c r="H7" s="141">
        <v>2</v>
      </c>
      <c r="I7" s="142">
        <f t="shared" si="1"/>
        <v>36.331795663094638</v>
      </c>
      <c r="J7" s="141">
        <f t="shared" ref="J7:J70" si="5">INT(LOG($H$2,2))-ROUNDUP(LOG(H7,2),0)+IF(OR($H$2=1,$H$2=2,$H$2=4,$H$2=8,$H$2=16,$H$2=32,$H$2=64,$H$2=128,$H$2=256),0,1)</f>
        <v>3</v>
      </c>
      <c r="K7" s="141">
        <f t="shared" si="2"/>
        <v>30</v>
      </c>
      <c r="L7" s="143">
        <f>2*K2</f>
        <v>13.736570910639983</v>
      </c>
      <c r="M7" s="143">
        <f t="shared" si="3"/>
        <v>80.068366573734622</v>
      </c>
    </row>
    <row r="8" spans="1:36" ht="14.45" customHeight="1" x14ac:dyDescent="0.25">
      <c r="A8" s="76">
        <f t="shared" si="4"/>
        <v>55.204694129130715</v>
      </c>
      <c r="B8" s="33">
        <f t="shared" si="0"/>
        <v>3</v>
      </c>
      <c r="C8" s="34" t="s">
        <v>114</v>
      </c>
      <c r="D8" s="34" t="s">
        <v>115</v>
      </c>
      <c r="E8" s="34"/>
      <c r="F8" s="34"/>
      <c r="G8" s="27"/>
      <c r="H8" s="138">
        <v>3</v>
      </c>
      <c r="I8" s="139">
        <f t="shared" si="1"/>
        <v>28.336408673810727</v>
      </c>
      <c r="J8" s="138">
        <f t="shared" si="5"/>
        <v>2</v>
      </c>
      <c r="K8" s="138">
        <f t="shared" si="2"/>
        <v>20</v>
      </c>
      <c r="L8" s="140">
        <f>K2</f>
        <v>6.8682854553199917</v>
      </c>
      <c r="M8" s="140">
        <f t="shared" si="3"/>
        <v>55.204694129130715</v>
      </c>
    </row>
    <row r="9" spans="1:36" s="131" customFormat="1" ht="14.45" customHeight="1" x14ac:dyDescent="0.25">
      <c r="A9" s="77">
        <f t="shared" si="4"/>
        <v>55.204694129130715</v>
      </c>
      <c r="B9" s="39">
        <f t="shared" si="0"/>
        <v>4</v>
      </c>
      <c r="C9" s="40" t="s">
        <v>116</v>
      </c>
      <c r="D9" s="40" t="s">
        <v>115</v>
      </c>
      <c r="E9" s="40"/>
      <c r="F9" s="40"/>
      <c r="G9" s="27"/>
      <c r="H9" s="141">
        <v>3</v>
      </c>
      <c r="I9" s="142">
        <f t="shared" si="1"/>
        <v>28.336408673810727</v>
      </c>
      <c r="J9" s="141">
        <f t="shared" si="5"/>
        <v>2</v>
      </c>
      <c r="K9" s="141">
        <f t="shared" si="2"/>
        <v>20</v>
      </c>
      <c r="L9" s="143">
        <f>K2</f>
        <v>6.8682854553199917</v>
      </c>
      <c r="M9" s="143">
        <f t="shared" si="3"/>
        <v>55.204694129130715</v>
      </c>
      <c r="N9" s="126"/>
      <c r="O9" s="126"/>
      <c r="P9" s="126"/>
      <c r="Q9" s="126"/>
      <c r="R9" s="126"/>
      <c r="V9" s="144"/>
      <c r="Z9" s="145"/>
      <c r="AA9" s="145"/>
      <c r="AG9" s="146"/>
      <c r="AH9" s="131" t="s">
        <v>50</v>
      </c>
      <c r="AI9" s="131">
        <v>23</v>
      </c>
    </row>
    <row r="10" spans="1:36" ht="14.45" customHeight="1" x14ac:dyDescent="0.25">
      <c r="A10" s="76">
        <f t="shared" si="4"/>
        <v>28.263412343478148</v>
      </c>
      <c r="B10" s="33">
        <f t="shared" si="0"/>
        <v>5</v>
      </c>
      <c r="C10" s="34" t="s">
        <v>18</v>
      </c>
      <c r="D10" s="34" t="s">
        <v>46</v>
      </c>
      <c r="E10" s="34"/>
      <c r="F10" s="34"/>
      <c r="G10" s="27"/>
      <c r="H10" s="138">
        <v>5</v>
      </c>
      <c r="I10" s="139">
        <f t="shared" si="1"/>
        <v>18.263412343478148</v>
      </c>
      <c r="J10" s="138">
        <f t="shared" si="5"/>
        <v>1</v>
      </c>
      <c r="K10" s="138">
        <f t="shared" si="2"/>
        <v>10</v>
      </c>
      <c r="L10" s="138"/>
      <c r="M10" s="140">
        <f t="shared" si="3"/>
        <v>28.263412343478148</v>
      </c>
      <c r="V10" s="144"/>
      <c r="Z10" s="145"/>
      <c r="AA10" s="145"/>
      <c r="AG10" s="146"/>
      <c r="AH10" s="131" t="s">
        <v>52</v>
      </c>
      <c r="AI10" s="131">
        <v>45</v>
      </c>
    </row>
    <row r="11" spans="1:36" ht="14.45" customHeight="1" x14ac:dyDescent="0.25">
      <c r="A11" s="77">
        <f t="shared" si="4"/>
        <v>24.668204336905362</v>
      </c>
      <c r="B11" s="39">
        <f t="shared" si="0"/>
        <v>6</v>
      </c>
      <c r="C11" s="40" t="s">
        <v>117</v>
      </c>
      <c r="D11" s="40" t="s">
        <v>118</v>
      </c>
      <c r="E11" s="40"/>
      <c r="F11" s="40"/>
      <c r="G11" s="27"/>
      <c r="H11" s="141">
        <v>6</v>
      </c>
      <c r="I11" s="142">
        <f t="shared" si="1"/>
        <v>14.668204336905362</v>
      </c>
      <c r="J11" s="141">
        <f t="shared" si="5"/>
        <v>1</v>
      </c>
      <c r="K11" s="141">
        <f t="shared" si="2"/>
        <v>10</v>
      </c>
      <c r="L11" s="141"/>
      <c r="M11" s="143">
        <f t="shared" si="3"/>
        <v>24.668204336905362</v>
      </c>
      <c r="V11" s="147"/>
      <c r="Z11" s="145"/>
      <c r="AA11" s="145"/>
      <c r="AG11" s="146"/>
      <c r="AH11" s="131" t="s">
        <v>53</v>
      </c>
      <c r="AI11" s="131">
        <v>50</v>
      </c>
    </row>
    <row r="12" spans="1:36" ht="14.45" customHeight="1" x14ac:dyDescent="0.25">
      <c r="A12" s="76">
        <f t="shared" si="4"/>
        <v>21.628499279099643</v>
      </c>
      <c r="B12" s="33">
        <f t="shared" si="0"/>
        <v>7</v>
      </c>
      <c r="C12" s="34" t="s">
        <v>16</v>
      </c>
      <c r="D12" s="34" t="s">
        <v>46</v>
      </c>
      <c r="E12" s="34"/>
      <c r="F12" s="34"/>
      <c r="G12" s="27"/>
      <c r="H12" s="138">
        <v>7</v>
      </c>
      <c r="I12" s="139">
        <f t="shared" si="1"/>
        <v>11.628499279099643</v>
      </c>
      <c r="J12" s="138">
        <f t="shared" si="5"/>
        <v>1</v>
      </c>
      <c r="K12" s="138">
        <f t="shared" si="2"/>
        <v>10</v>
      </c>
      <c r="L12" s="138"/>
      <c r="M12" s="140">
        <f t="shared" si="3"/>
        <v>21.628499279099643</v>
      </c>
      <c r="Z12" s="145"/>
      <c r="AA12" s="145"/>
      <c r="AG12" s="146"/>
      <c r="AH12" s="131" t="s">
        <v>54</v>
      </c>
      <c r="AI12" s="131">
        <f>AI11-1</f>
        <v>49</v>
      </c>
    </row>
    <row r="13" spans="1:36" ht="14.45" customHeight="1" x14ac:dyDescent="0.25">
      <c r="A13" s="77">
        <f t="shared" si="4"/>
        <v>18.995386989283922</v>
      </c>
      <c r="B13" s="39">
        <f t="shared" si="0"/>
        <v>8</v>
      </c>
      <c r="C13" s="40" t="s">
        <v>119</v>
      </c>
      <c r="D13" s="40" t="s">
        <v>120</v>
      </c>
      <c r="E13" s="40"/>
      <c r="F13" s="40"/>
      <c r="G13" s="27"/>
      <c r="H13" s="141">
        <v>8</v>
      </c>
      <c r="I13" s="142">
        <f t="shared" si="1"/>
        <v>8.9953869892839222</v>
      </c>
      <c r="J13" s="141">
        <f t="shared" si="5"/>
        <v>1</v>
      </c>
      <c r="K13" s="141">
        <f t="shared" si="2"/>
        <v>10</v>
      </c>
      <c r="L13" s="141"/>
      <c r="M13" s="143">
        <f t="shared" si="3"/>
        <v>18.995386989283922</v>
      </c>
      <c r="X13" s="144"/>
      <c r="AG13" s="146"/>
      <c r="AH13" s="131" t="s">
        <v>55</v>
      </c>
      <c r="AI13" s="131">
        <f>LOG(AI9)</f>
        <v>1.3617278360175928</v>
      </c>
    </row>
    <row r="14" spans="1:36" x14ac:dyDescent="0.25">
      <c r="A14" s="76">
        <f t="shared" si="4"/>
        <v>6.6728173476214536</v>
      </c>
      <c r="B14" s="33">
        <f t="shared" si="0"/>
        <v>9</v>
      </c>
      <c r="C14" s="34" t="s">
        <v>121</v>
      </c>
      <c r="D14" s="34" t="s">
        <v>122</v>
      </c>
      <c r="E14" s="34"/>
      <c r="F14" s="34"/>
      <c r="G14" s="27"/>
      <c r="H14" s="138">
        <v>9</v>
      </c>
      <c r="I14" s="139">
        <f t="shared" si="1"/>
        <v>6.6728173476214536</v>
      </c>
      <c r="J14" s="138">
        <f t="shared" si="5"/>
        <v>0</v>
      </c>
      <c r="K14" s="138">
        <f t="shared" si="2"/>
        <v>0</v>
      </c>
      <c r="L14" s="138"/>
      <c r="M14" s="140">
        <f t="shared" si="3"/>
        <v>6.6728173476214536</v>
      </c>
      <c r="X14" s="148"/>
      <c r="Z14" s="145"/>
      <c r="AA14" s="145"/>
      <c r="AG14" s="146"/>
      <c r="AH14" s="131" t="s">
        <v>56</v>
      </c>
      <c r="AI14" s="131">
        <f>LOG(AI10)</f>
        <v>1.6532125137753437</v>
      </c>
    </row>
    <row r="15" spans="1:36" x14ac:dyDescent="0.25">
      <c r="A15" s="77">
        <f t="shared" si="4"/>
        <v>4.5952080065727898</v>
      </c>
      <c r="B15" s="39">
        <f t="shared" si="0"/>
        <v>10</v>
      </c>
      <c r="C15" s="40" t="s">
        <v>123</v>
      </c>
      <c r="D15" s="40" t="s">
        <v>115</v>
      </c>
      <c r="E15" s="40"/>
      <c r="F15" s="40"/>
      <c r="G15" s="27"/>
      <c r="H15" s="141">
        <v>10</v>
      </c>
      <c r="I15" s="142">
        <f t="shared" si="1"/>
        <v>4.5952080065727898</v>
      </c>
      <c r="J15" s="141">
        <f t="shared" si="5"/>
        <v>0</v>
      </c>
      <c r="K15" s="141">
        <f t="shared" si="2"/>
        <v>0</v>
      </c>
      <c r="L15" s="141"/>
      <c r="M15" s="143">
        <f t="shared" si="3"/>
        <v>4.5952080065727898</v>
      </c>
      <c r="X15" s="144"/>
      <c r="Z15" s="145"/>
      <c r="AA15" s="145"/>
    </row>
    <row r="16" spans="1:36" x14ac:dyDescent="0.25">
      <c r="A16" s="76">
        <f t="shared" si="4"/>
        <v>2.7157817469141534</v>
      </c>
      <c r="B16" s="33">
        <f t="shared" si="0"/>
        <v>11</v>
      </c>
      <c r="C16" s="34" t="s">
        <v>124</v>
      </c>
      <c r="D16" s="34" t="s">
        <v>125</v>
      </c>
      <c r="E16" s="34"/>
      <c r="F16" s="34"/>
      <c r="G16" s="27"/>
      <c r="H16" s="138">
        <v>11</v>
      </c>
      <c r="I16" s="139">
        <f t="shared" si="1"/>
        <v>2.7157817469141534</v>
      </c>
      <c r="J16" s="138">
        <f t="shared" si="5"/>
        <v>0</v>
      </c>
      <c r="K16" s="138">
        <f t="shared" si="2"/>
        <v>0</v>
      </c>
      <c r="L16" s="138"/>
      <c r="M16" s="140">
        <f t="shared" si="3"/>
        <v>2.7157817469141534</v>
      </c>
      <c r="R16" s="149"/>
      <c r="Z16" s="145"/>
      <c r="AA16" s="145"/>
      <c r="AH16" s="150" t="s">
        <v>57</v>
      </c>
      <c r="AI16" s="131">
        <f>AI11-AI12*AI13/AI14</f>
        <v>9.6393909380186855</v>
      </c>
      <c r="AJ16" s="131" t="s">
        <v>58</v>
      </c>
    </row>
    <row r="17" spans="1:19" x14ac:dyDescent="0.25">
      <c r="A17" s="77">
        <f t="shared" si="4"/>
        <v>1</v>
      </c>
      <c r="B17" s="39">
        <f t="shared" si="0"/>
        <v>12</v>
      </c>
      <c r="C17" s="40" t="s">
        <v>17</v>
      </c>
      <c r="D17" s="40" t="s">
        <v>46</v>
      </c>
      <c r="E17" s="40"/>
      <c r="F17" s="40"/>
      <c r="G17" s="27"/>
      <c r="H17" s="141">
        <v>12</v>
      </c>
      <c r="I17" s="142">
        <f t="shared" si="1"/>
        <v>1</v>
      </c>
      <c r="J17" s="141">
        <f t="shared" si="5"/>
        <v>0</v>
      </c>
      <c r="K17" s="141">
        <f t="shared" si="2"/>
        <v>0</v>
      </c>
      <c r="L17" s="141"/>
      <c r="M17" s="143">
        <f t="shared" si="3"/>
        <v>1</v>
      </c>
    </row>
    <row r="18" spans="1:19" x14ac:dyDescent="0.25">
      <c r="A18" s="76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38">
        <v>13</v>
      </c>
      <c r="I18" s="139" t="str">
        <f t="shared" si="1"/>
        <v/>
      </c>
      <c r="J18" s="138">
        <f t="shared" si="5"/>
        <v>0</v>
      </c>
      <c r="K18" s="138">
        <f t="shared" si="2"/>
        <v>0</v>
      </c>
      <c r="L18" s="138"/>
      <c r="M18" s="140">
        <f t="shared" si="3"/>
        <v>0</v>
      </c>
    </row>
    <row r="19" spans="1:19" x14ac:dyDescent="0.25">
      <c r="A19" s="77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41">
        <v>14</v>
      </c>
      <c r="I19" s="142" t="str">
        <f t="shared" si="1"/>
        <v/>
      </c>
      <c r="J19" s="141">
        <f t="shared" si="5"/>
        <v>0</v>
      </c>
      <c r="K19" s="141">
        <f t="shared" si="2"/>
        <v>0</v>
      </c>
      <c r="L19" s="141"/>
      <c r="M19" s="143">
        <f t="shared" si="3"/>
        <v>0</v>
      </c>
    </row>
    <row r="20" spans="1:19" x14ac:dyDescent="0.25">
      <c r="A20" s="76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38">
        <v>15</v>
      </c>
      <c r="I20" s="139" t="str">
        <f t="shared" si="1"/>
        <v/>
      </c>
      <c r="J20" s="138">
        <f t="shared" si="5"/>
        <v>0</v>
      </c>
      <c r="K20" s="138">
        <f t="shared" si="2"/>
        <v>0</v>
      </c>
      <c r="L20" s="138"/>
      <c r="M20" s="140">
        <f t="shared" si="3"/>
        <v>0</v>
      </c>
      <c r="R20" s="151"/>
      <c r="S20" s="152"/>
    </row>
    <row r="21" spans="1:19" x14ac:dyDescent="0.25">
      <c r="A21" s="77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41">
        <v>16</v>
      </c>
      <c r="I21" s="142" t="str">
        <f t="shared" si="1"/>
        <v/>
      </c>
      <c r="J21" s="141">
        <f t="shared" si="5"/>
        <v>0</v>
      </c>
      <c r="K21" s="141">
        <f t="shared" si="2"/>
        <v>0</v>
      </c>
      <c r="L21" s="141"/>
      <c r="M21" s="143">
        <f t="shared" si="3"/>
        <v>0</v>
      </c>
    </row>
    <row r="22" spans="1:19" x14ac:dyDescent="0.25">
      <c r="A22" s="76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38">
        <v>17</v>
      </c>
      <c r="I22" s="139" t="str">
        <f t="shared" si="1"/>
        <v/>
      </c>
      <c r="J22" s="138">
        <f t="shared" si="5"/>
        <v>-1</v>
      </c>
      <c r="K22" s="138">
        <f t="shared" si="2"/>
        <v>-10</v>
      </c>
      <c r="L22" s="138"/>
      <c r="M22" s="140">
        <f t="shared" si="3"/>
        <v>0</v>
      </c>
    </row>
    <row r="23" spans="1:19" x14ac:dyDescent="0.25">
      <c r="A23" s="77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41">
        <v>18</v>
      </c>
      <c r="I23" s="142" t="str">
        <f t="shared" si="1"/>
        <v/>
      </c>
      <c r="J23" s="141">
        <f t="shared" si="5"/>
        <v>-1</v>
      </c>
      <c r="K23" s="141">
        <f t="shared" si="2"/>
        <v>-10</v>
      </c>
      <c r="L23" s="141"/>
      <c r="M23" s="143">
        <f t="shared" si="3"/>
        <v>0</v>
      </c>
    </row>
    <row r="24" spans="1:19" x14ac:dyDescent="0.25">
      <c r="A24" s="76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38">
        <v>19</v>
      </c>
      <c r="I24" s="139" t="str">
        <f t="shared" si="1"/>
        <v/>
      </c>
      <c r="J24" s="138">
        <f t="shared" si="5"/>
        <v>-1</v>
      </c>
      <c r="K24" s="138">
        <f t="shared" si="2"/>
        <v>-10</v>
      </c>
      <c r="L24" s="138"/>
      <c r="M24" s="140">
        <f t="shared" si="3"/>
        <v>0</v>
      </c>
      <c r="R24" s="151"/>
      <c r="S24" s="152"/>
    </row>
    <row r="25" spans="1:19" x14ac:dyDescent="0.25">
      <c r="A25" s="77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41">
        <v>20</v>
      </c>
      <c r="I25" s="142" t="str">
        <f t="shared" si="1"/>
        <v/>
      </c>
      <c r="J25" s="141">
        <f t="shared" si="5"/>
        <v>-1</v>
      </c>
      <c r="K25" s="141">
        <f t="shared" si="2"/>
        <v>-10</v>
      </c>
      <c r="L25" s="141"/>
      <c r="M25" s="143">
        <f t="shared" si="3"/>
        <v>0</v>
      </c>
    </row>
    <row r="26" spans="1:19" x14ac:dyDescent="0.25">
      <c r="A26" s="76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38">
        <v>21</v>
      </c>
      <c r="I26" s="139" t="str">
        <f t="shared" si="1"/>
        <v/>
      </c>
      <c r="J26" s="138">
        <f t="shared" si="5"/>
        <v>-1</v>
      </c>
      <c r="K26" s="138">
        <f t="shared" si="2"/>
        <v>-10</v>
      </c>
      <c r="L26" s="138"/>
      <c r="M26" s="140">
        <f t="shared" si="3"/>
        <v>0</v>
      </c>
    </row>
    <row r="27" spans="1:19" x14ac:dyDescent="0.25">
      <c r="A27" s="77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41">
        <v>22</v>
      </c>
      <c r="I27" s="142" t="str">
        <f t="shared" si="1"/>
        <v/>
      </c>
      <c r="J27" s="141">
        <f t="shared" si="5"/>
        <v>-1</v>
      </c>
      <c r="K27" s="141">
        <f t="shared" si="2"/>
        <v>-10</v>
      </c>
      <c r="L27" s="141"/>
      <c r="M27" s="143">
        <f t="shared" si="3"/>
        <v>0</v>
      </c>
    </row>
    <row r="28" spans="1:19" x14ac:dyDescent="0.25">
      <c r="A28" s="76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38">
        <v>23</v>
      </c>
      <c r="I28" s="139" t="str">
        <f t="shared" si="1"/>
        <v/>
      </c>
      <c r="J28" s="138">
        <f t="shared" si="5"/>
        <v>-1</v>
      </c>
      <c r="K28" s="138">
        <f t="shared" si="2"/>
        <v>-10</v>
      </c>
      <c r="L28" s="138"/>
      <c r="M28" s="140">
        <f t="shared" si="3"/>
        <v>0</v>
      </c>
      <c r="R28" s="151"/>
      <c r="S28" s="152"/>
    </row>
    <row r="29" spans="1:19" x14ac:dyDescent="0.25">
      <c r="A29" s="77">
        <f t="shared" si="4"/>
        <v>0</v>
      </c>
      <c r="B29" s="39" t="str">
        <f t="shared" si="0"/>
        <v/>
      </c>
      <c r="C29" s="40"/>
      <c r="D29" s="40"/>
      <c r="E29" s="40"/>
      <c r="F29" s="40"/>
      <c r="G29" s="126"/>
      <c r="H29" s="141">
        <v>24</v>
      </c>
      <c r="I29" s="142" t="str">
        <f t="shared" si="1"/>
        <v/>
      </c>
      <c r="J29" s="141">
        <f t="shared" si="5"/>
        <v>-1</v>
      </c>
      <c r="K29" s="141">
        <f t="shared" si="2"/>
        <v>-10</v>
      </c>
      <c r="L29" s="141"/>
      <c r="M29" s="143">
        <f t="shared" si="3"/>
        <v>0</v>
      </c>
    </row>
    <row r="30" spans="1:19" x14ac:dyDescent="0.25">
      <c r="A30" s="76">
        <f t="shared" si="4"/>
        <v>0</v>
      </c>
      <c r="B30" s="33" t="str">
        <f t="shared" si="0"/>
        <v/>
      </c>
      <c r="C30" s="34"/>
      <c r="D30" s="34"/>
      <c r="E30" s="34"/>
      <c r="F30" s="34"/>
      <c r="G30" s="126"/>
      <c r="H30" s="138">
        <v>25</v>
      </c>
      <c r="I30" s="139" t="str">
        <f t="shared" si="1"/>
        <v/>
      </c>
      <c r="J30" s="138">
        <f t="shared" si="5"/>
        <v>-1</v>
      </c>
      <c r="K30" s="138">
        <f t="shared" si="2"/>
        <v>-10</v>
      </c>
      <c r="L30" s="138"/>
      <c r="M30" s="140">
        <f t="shared" si="3"/>
        <v>0</v>
      </c>
    </row>
    <row r="31" spans="1:19" x14ac:dyDescent="0.25">
      <c r="A31" s="77">
        <f t="shared" si="4"/>
        <v>0</v>
      </c>
      <c r="B31" s="39" t="str">
        <f t="shared" si="0"/>
        <v/>
      </c>
      <c r="C31" s="40"/>
      <c r="D31" s="40"/>
      <c r="E31" s="40"/>
      <c r="F31" s="40"/>
      <c r="G31" s="126"/>
      <c r="H31" s="141">
        <v>26</v>
      </c>
      <c r="I31" s="142" t="str">
        <f t="shared" si="1"/>
        <v/>
      </c>
      <c r="J31" s="141">
        <f t="shared" si="5"/>
        <v>-1</v>
      </c>
      <c r="K31" s="141">
        <f t="shared" si="2"/>
        <v>-10</v>
      </c>
      <c r="L31" s="141"/>
      <c r="M31" s="143">
        <f t="shared" si="3"/>
        <v>0</v>
      </c>
    </row>
    <row r="32" spans="1:19" x14ac:dyDescent="0.25">
      <c r="A32" s="76">
        <f t="shared" si="4"/>
        <v>0</v>
      </c>
      <c r="B32" s="33" t="str">
        <f t="shared" si="0"/>
        <v/>
      </c>
      <c r="C32" s="34"/>
      <c r="D32" s="34"/>
      <c r="E32" s="34"/>
      <c r="F32" s="34"/>
      <c r="G32" s="126"/>
      <c r="H32" s="138">
        <v>27</v>
      </c>
      <c r="I32" s="139" t="str">
        <f t="shared" si="1"/>
        <v/>
      </c>
      <c r="J32" s="138">
        <f t="shared" si="5"/>
        <v>-1</v>
      </c>
      <c r="K32" s="138">
        <f t="shared" si="2"/>
        <v>-10</v>
      </c>
      <c r="L32" s="138"/>
      <c r="M32" s="140">
        <f t="shared" si="3"/>
        <v>0</v>
      </c>
      <c r="R32" s="151"/>
      <c r="S32" s="152"/>
    </row>
    <row r="33" spans="1:21" x14ac:dyDescent="0.25">
      <c r="A33" s="77">
        <f t="shared" si="4"/>
        <v>0</v>
      </c>
      <c r="B33" s="39" t="str">
        <f t="shared" si="0"/>
        <v/>
      </c>
      <c r="C33" s="40"/>
      <c r="D33" s="40"/>
      <c r="E33" s="40"/>
      <c r="F33" s="40"/>
      <c r="G33" s="126"/>
      <c r="H33" s="141">
        <v>28</v>
      </c>
      <c r="I33" s="142" t="str">
        <f t="shared" si="1"/>
        <v/>
      </c>
      <c r="J33" s="141">
        <f t="shared" si="5"/>
        <v>-1</v>
      </c>
      <c r="K33" s="141">
        <f t="shared" si="2"/>
        <v>-10</v>
      </c>
      <c r="L33" s="141"/>
      <c r="M33" s="143">
        <f t="shared" si="3"/>
        <v>0</v>
      </c>
    </row>
    <row r="34" spans="1:21" x14ac:dyDescent="0.25">
      <c r="A34" s="76">
        <f t="shared" si="4"/>
        <v>0</v>
      </c>
      <c r="B34" s="33" t="str">
        <f t="shared" si="0"/>
        <v/>
      </c>
      <c r="C34" s="34"/>
      <c r="D34" s="34"/>
      <c r="E34" s="34"/>
      <c r="F34" s="34"/>
      <c r="G34" s="126"/>
      <c r="H34" s="138">
        <v>29</v>
      </c>
      <c r="I34" s="139" t="str">
        <f t="shared" si="1"/>
        <v/>
      </c>
      <c r="J34" s="138">
        <f t="shared" si="5"/>
        <v>-1</v>
      </c>
      <c r="K34" s="138">
        <f t="shared" si="2"/>
        <v>-10</v>
      </c>
      <c r="L34" s="138"/>
      <c r="M34" s="140">
        <f t="shared" si="3"/>
        <v>0</v>
      </c>
    </row>
    <row r="35" spans="1:21" x14ac:dyDescent="0.25">
      <c r="A35" s="77">
        <f t="shared" si="4"/>
        <v>0</v>
      </c>
      <c r="B35" s="39" t="str">
        <f t="shared" si="0"/>
        <v/>
      </c>
      <c r="C35" s="40"/>
      <c r="D35" s="40"/>
      <c r="E35" s="40"/>
      <c r="F35" s="40"/>
      <c r="G35" s="126"/>
      <c r="H35" s="141">
        <v>30</v>
      </c>
      <c r="I35" s="142" t="str">
        <f t="shared" si="1"/>
        <v/>
      </c>
      <c r="J35" s="141">
        <f t="shared" si="5"/>
        <v>-1</v>
      </c>
      <c r="K35" s="141">
        <f t="shared" si="2"/>
        <v>-10</v>
      </c>
      <c r="L35" s="141"/>
      <c r="M35" s="143">
        <f t="shared" si="3"/>
        <v>0</v>
      </c>
    </row>
    <row r="36" spans="1:21" x14ac:dyDescent="0.25">
      <c r="A36" s="76">
        <f t="shared" si="4"/>
        <v>0</v>
      </c>
      <c r="B36" s="33" t="str">
        <f t="shared" si="0"/>
        <v/>
      </c>
      <c r="C36" s="34"/>
      <c r="D36" s="34"/>
      <c r="E36" s="34"/>
      <c r="F36" s="34"/>
      <c r="G36" s="126"/>
      <c r="H36" s="138">
        <v>31</v>
      </c>
      <c r="I36" s="139" t="str">
        <f t="shared" si="1"/>
        <v/>
      </c>
      <c r="J36" s="138">
        <f t="shared" si="5"/>
        <v>-1</v>
      </c>
      <c r="K36" s="138">
        <f t="shared" si="2"/>
        <v>-10</v>
      </c>
      <c r="L36" s="138"/>
      <c r="M36" s="140">
        <f t="shared" si="3"/>
        <v>0</v>
      </c>
      <c r="R36" s="151"/>
      <c r="S36" s="152"/>
    </row>
    <row r="37" spans="1:21" x14ac:dyDescent="0.25">
      <c r="A37" s="77">
        <f t="shared" si="4"/>
        <v>0</v>
      </c>
      <c r="B37" s="39" t="str">
        <f t="shared" si="0"/>
        <v/>
      </c>
      <c r="C37" s="40"/>
      <c r="D37" s="40"/>
      <c r="E37" s="40"/>
      <c r="F37" s="40"/>
      <c r="G37" s="126"/>
      <c r="H37" s="141">
        <v>32</v>
      </c>
      <c r="I37" s="142" t="str">
        <f t="shared" si="1"/>
        <v/>
      </c>
      <c r="J37" s="141">
        <f t="shared" si="5"/>
        <v>-1</v>
      </c>
      <c r="K37" s="141">
        <f t="shared" si="2"/>
        <v>-10</v>
      </c>
      <c r="L37" s="141"/>
      <c r="M37" s="143">
        <f t="shared" si="3"/>
        <v>0</v>
      </c>
    </row>
    <row r="38" spans="1:21" x14ac:dyDescent="0.25">
      <c r="A38" s="76"/>
      <c r="B38" s="33" t="str">
        <f t="shared" si="0"/>
        <v/>
      </c>
      <c r="C38" s="34"/>
      <c r="D38" s="34"/>
      <c r="E38" s="34"/>
      <c r="F38" s="34"/>
      <c r="G38" s="126"/>
      <c r="H38" s="138">
        <v>33</v>
      </c>
      <c r="I38" s="139" t="str">
        <f t="shared" si="1"/>
        <v/>
      </c>
      <c r="J38" s="138">
        <f t="shared" si="5"/>
        <v>-2</v>
      </c>
      <c r="K38" s="138">
        <f t="shared" si="2"/>
        <v>-20</v>
      </c>
      <c r="L38" s="138"/>
      <c r="M38" s="140">
        <f t="shared" si="3"/>
        <v>0</v>
      </c>
    </row>
    <row r="39" spans="1:21" x14ac:dyDescent="0.25">
      <c r="A39" s="77"/>
      <c r="B39" s="39" t="str">
        <f t="shared" si="0"/>
        <v/>
      </c>
      <c r="C39" s="40"/>
      <c r="D39" s="40"/>
      <c r="E39" s="40"/>
      <c r="F39" s="40"/>
      <c r="G39" s="126"/>
      <c r="H39" s="141">
        <v>34</v>
      </c>
      <c r="I39" s="142" t="str">
        <f t="shared" si="1"/>
        <v/>
      </c>
      <c r="J39" s="141">
        <f t="shared" si="5"/>
        <v>-2</v>
      </c>
      <c r="K39" s="141">
        <f t="shared" si="2"/>
        <v>-20</v>
      </c>
      <c r="L39" s="141"/>
      <c r="M39" s="143">
        <f t="shared" si="3"/>
        <v>0</v>
      </c>
    </row>
    <row r="40" spans="1:21" x14ac:dyDescent="0.25">
      <c r="A40" s="76"/>
      <c r="B40" s="33" t="str">
        <f t="shared" si="0"/>
        <v/>
      </c>
      <c r="C40" s="34"/>
      <c r="D40" s="34"/>
      <c r="E40" s="34"/>
      <c r="F40" s="34"/>
      <c r="G40" s="126"/>
      <c r="H40" s="138">
        <v>35</v>
      </c>
      <c r="I40" s="139" t="str">
        <f t="shared" si="1"/>
        <v/>
      </c>
      <c r="J40" s="138">
        <f t="shared" si="5"/>
        <v>-2</v>
      </c>
      <c r="K40" s="138">
        <f t="shared" si="2"/>
        <v>-20</v>
      </c>
      <c r="L40" s="138"/>
      <c r="M40" s="140">
        <f t="shared" si="3"/>
        <v>0</v>
      </c>
    </row>
    <row r="41" spans="1:21" x14ac:dyDescent="0.25">
      <c r="A41" s="77"/>
      <c r="B41" s="39" t="str">
        <f t="shared" si="0"/>
        <v/>
      </c>
      <c r="C41" s="40"/>
      <c r="D41" s="40"/>
      <c r="E41" s="40"/>
      <c r="F41" s="40"/>
      <c r="G41" s="126"/>
      <c r="H41" s="141">
        <v>36</v>
      </c>
      <c r="I41" s="142" t="str">
        <f t="shared" si="1"/>
        <v/>
      </c>
      <c r="J41" s="141">
        <f t="shared" si="5"/>
        <v>-2</v>
      </c>
      <c r="K41" s="141">
        <f t="shared" si="2"/>
        <v>-20</v>
      </c>
      <c r="L41" s="141"/>
      <c r="M41" s="143">
        <f t="shared" si="3"/>
        <v>0</v>
      </c>
      <c r="S41" s="153"/>
    </row>
    <row r="42" spans="1:21" x14ac:dyDescent="0.25">
      <c r="A42" s="76"/>
      <c r="B42" s="33" t="str">
        <f t="shared" si="0"/>
        <v/>
      </c>
      <c r="C42" s="34"/>
      <c r="D42" s="34"/>
      <c r="E42" s="34"/>
      <c r="F42" s="34"/>
      <c r="G42" s="126"/>
      <c r="H42" s="138">
        <v>37</v>
      </c>
      <c r="I42" s="139" t="str">
        <f t="shared" si="1"/>
        <v/>
      </c>
      <c r="J42" s="138">
        <f t="shared" si="5"/>
        <v>-2</v>
      </c>
      <c r="K42" s="138">
        <f t="shared" si="2"/>
        <v>-20</v>
      </c>
      <c r="L42" s="138"/>
      <c r="M42" s="140">
        <f t="shared" si="3"/>
        <v>0</v>
      </c>
    </row>
    <row r="43" spans="1:21" x14ac:dyDescent="0.25">
      <c r="A43" s="77"/>
      <c r="B43" s="39" t="str">
        <f t="shared" si="0"/>
        <v/>
      </c>
      <c r="C43" s="40"/>
      <c r="D43" s="40"/>
      <c r="E43" s="40"/>
      <c r="F43" s="40"/>
      <c r="G43" s="126"/>
      <c r="H43" s="141">
        <v>38</v>
      </c>
      <c r="I43" s="142" t="str">
        <f t="shared" si="1"/>
        <v/>
      </c>
      <c r="J43" s="141">
        <f t="shared" si="5"/>
        <v>-2</v>
      </c>
      <c r="K43" s="141">
        <f t="shared" si="2"/>
        <v>-20</v>
      </c>
      <c r="L43" s="141"/>
      <c r="M43" s="143">
        <f t="shared" si="3"/>
        <v>0</v>
      </c>
    </row>
    <row r="44" spans="1:21" x14ac:dyDescent="0.25">
      <c r="A44" s="76"/>
      <c r="B44" s="33" t="str">
        <f t="shared" si="0"/>
        <v/>
      </c>
      <c r="C44" s="34"/>
      <c r="D44" s="34"/>
      <c r="E44" s="34"/>
      <c r="F44" s="34"/>
      <c r="G44" s="126"/>
      <c r="H44" s="138">
        <v>39</v>
      </c>
      <c r="I44" s="139" t="str">
        <f t="shared" si="1"/>
        <v/>
      </c>
      <c r="J44" s="138">
        <f t="shared" si="5"/>
        <v>-2</v>
      </c>
      <c r="K44" s="138">
        <f t="shared" si="2"/>
        <v>-20</v>
      </c>
      <c r="L44" s="138"/>
      <c r="M44" s="140">
        <f t="shared" si="3"/>
        <v>0</v>
      </c>
    </row>
    <row r="45" spans="1:21" x14ac:dyDescent="0.25">
      <c r="A45" s="77"/>
      <c r="B45" s="39" t="str">
        <f t="shared" si="0"/>
        <v/>
      </c>
      <c r="C45" s="40"/>
      <c r="D45" s="40"/>
      <c r="E45" s="40"/>
      <c r="F45" s="40"/>
      <c r="G45" s="126"/>
      <c r="H45" s="141">
        <v>40</v>
      </c>
      <c r="I45" s="142" t="str">
        <f t="shared" si="1"/>
        <v/>
      </c>
      <c r="J45" s="141">
        <f t="shared" si="5"/>
        <v>-2</v>
      </c>
      <c r="K45" s="141">
        <f t="shared" si="2"/>
        <v>-20</v>
      </c>
      <c r="L45" s="141"/>
      <c r="M45" s="143">
        <f t="shared" si="3"/>
        <v>0</v>
      </c>
    </row>
    <row r="46" spans="1:21" x14ac:dyDescent="0.25">
      <c r="A46" s="76"/>
      <c r="B46" s="33" t="str">
        <f t="shared" si="0"/>
        <v/>
      </c>
      <c r="C46" s="34"/>
      <c r="D46" s="34"/>
      <c r="E46" s="34"/>
      <c r="F46" s="34"/>
      <c r="G46" s="126"/>
      <c r="H46" s="138">
        <v>41</v>
      </c>
      <c r="I46" s="139" t="str">
        <f t="shared" si="1"/>
        <v/>
      </c>
      <c r="J46" s="138">
        <f t="shared" si="5"/>
        <v>-2</v>
      </c>
      <c r="K46" s="138">
        <f t="shared" si="2"/>
        <v>-20</v>
      </c>
      <c r="L46" s="138"/>
      <c r="M46" s="140">
        <f t="shared" si="3"/>
        <v>0</v>
      </c>
      <c r="R46" s="126">
        <f>LOG($H$2,2)</f>
        <v>3.5849625007211565</v>
      </c>
      <c r="T46" s="131">
        <f>LOG(H38,2)</f>
        <v>5.0443941193584534</v>
      </c>
      <c r="U46" s="131">
        <f>R46-T46</f>
        <v>-1.4594316186372969</v>
      </c>
    </row>
    <row r="47" spans="1:21" x14ac:dyDescent="0.25">
      <c r="A47" s="77"/>
      <c r="B47" s="39" t="str">
        <f t="shared" si="0"/>
        <v/>
      </c>
      <c r="C47" s="40"/>
      <c r="D47" s="40"/>
      <c r="E47" s="40"/>
      <c r="F47" s="40"/>
      <c r="G47" s="126"/>
      <c r="H47" s="141">
        <v>42</v>
      </c>
      <c r="I47" s="142" t="str">
        <f t="shared" si="1"/>
        <v/>
      </c>
      <c r="J47" s="141">
        <f t="shared" si="5"/>
        <v>-2</v>
      </c>
      <c r="K47" s="141">
        <f t="shared" si="2"/>
        <v>-20</v>
      </c>
      <c r="L47" s="141"/>
      <c r="M47" s="143">
        <f t="shared" si="3"/>
        <v>0</v>
      </c>
    </row>
    <row r="48" spans="1:21" x14ac:dyDescent="0.25">
      <c r="A48" s="76"/>
      <c r="B48" s="33" t="str">
        <f t="shared" si="0"/>
        <v/>
      </c>
      <c r="C48" s="34"/>
      <c r="D48" s="34"/>
      <c r="E48" s="34"/>
      <c r="F48" s="34"/>
      <c r="G48" s="126"/>
      <c r="H48" s="138">
        <v>43</v>
      </c>
      <c r="I48" s="139" t="str">
        <f t="shared" si="1"/>
        <v/>
      </c>
      <c r="J48" s="138">
        <f t="shared" si="5"/>
        <v>-2</v>
      </c>
      <c r="K48" s="138">
        <f t="shared" si="2"/>
        <v>-20</v>
      </c>
      <c r="L48" s="138"/>
      <c r="M48" s="140">
        <f t="shared" si="3"/>
        <v>0</v>
      </c>
    </row>
    <row r="49" spans="1:13" x14ac:dyDescent="0.25">
      <c r="A49" s="77"/>
      <c r="B49" s="39" t="str">
        <f t="shared" si="0"/>
        <v/>
      </c>
      <c r="C49" s="40"/>
      <c r="D49" s="40"/>
      <c r="E49" s="40"/>
      <c r="F49" s="40"/>
      <c r="G49" s="126"/>
      <c r="H49" s="141">
        <v>44</v>
      </c>
      <c r="I49" s="142" t="str">
        <f t="shared" si="1"/>
        <v/>
      </c>
      <c r="J49" s="141">
        <f t="shared" si="5"/>
        <v>-2</v>
      </c>
      <c r="K49" s="141">
        <f t="shared" si="2"/>
        <v>-20</v>
      </c>
      <c r="L49" s="141"/>
      <c r="M49" s="143">
        <f t="shared" si="3"/>
        <v>0</v>
      </c>
    </row>
    <row r="50" spans="1:13" x14ac:dyDescent="0.25">
      <c r="A50" s="76"/>
      <c r="B50" s="33" t="str">
        <f t="shared" si="0"/>
        <v/>
      </c>
      <c r="C50" s="34"/>
      <c r="D50" s="34"/>
      <c r="E50" s="34"/>
      <c r="F50" s="34"/>
      <c r="G50" s="126"/>
      <c r="H50" s="138">
        <v>45</v>
      </c>
      <c r="I50" s="139" t="str">
        <f t="shared" si="1"/>
        <v/>
      </c>
      <c r="J50" s="138">
        <f t="shared" si="5"/>
        <v>-2</v>
      </c>
      <c r="K50" s="138">
        <f t="shared" si="2"/>
        <v>-20</v>
      </c>
      <c r="L50" s="138"/>
      <c r="M50" s="140">
        <f t="shared" si="3"/>
        <v>0</v>
      </c>
    </row>
    <row r="51" spans="1:13" x14ac:dyDescent="0.25">
      <c r="A51" s="77"/>
      <c r="B51" s="39" t="str">
        <f t="shared" si="0"/>
        <v/>
      </c>
      <c r="C51" s="40"/>
      <c r="D51" s="40"/>
      <c r="E51" s="40"/>
      <c r="F51" s="40"/>
      <c r="G51" s="126"/>
      <c r="H51" s="141">
        <v>46</v>
      </c>
      <c r="I51" s="142" t="str">
        <f t="shared" si="1"/>
        <v/>
      </c>
      <c r="J51" s="141">
        <f t="shared" si="5"/>
        <v>-2</v>
      </c>
      <c r="K51" s="141">
        <f t="shared" si="2"/>
        <v>-20</v>
      </c>
      <c r="L51" s="141"/>
      <c r="M51" s="143">
        <f t="shared" si="3"/>
        <v>0</v>
      </c>
    </row>
    <row r="52" spans="1:13" x14ac:dyDescent="0.25">
      <c r="A52" s="76"/>
      <c r="B52" s="33" t="str">
        <f t="shared" si="0"/>
        <v/>
      </c>
      <c r="C52" s="34"/>
      <c r="D52" s="34"/>
      <c r="E52" s="34"/>
      <c r="F52" s="34"/>
      <c r="G52" s="126"/>
      <c r="H52" s="138">
        <v>47</v>
      </c>
      <c r="I52" s="139" t="str">
        <f t="shared" si="1"/>
        <v/>
      </c>
      <c r="J52" s="138">
        <f t="shared" si="5"/>
        <v>-2</v>
      </c>
      <c r="K52" s="138">
        <f t="shared" si="2"/>
        <v>-20</v>
      </c>
      <c r="L52" s="138"/>
      <c r="M52" s="140">
        <f t="shared" si="3"/>
        <v>0</v>
      </c>
    </row>
    <row r="53" spans="1:13" x14ac:dyDescent="0.25">
      <c r="A53" s="77"/>
      <c r="B53" s="39" t="str">
        <f t="shared" si="0"/>
        <v/>
      </c>
      <c r="C53" s="40"/>
      <c r="D53" s="40"/>
      <c r="E53" s="40"/>
      <c r="F53" s="40"/>
      <c r="G53" s="126"/>
      <c r="H53" s="141">
        <v>48</v>
      </c>
      <c r="I53" s="142" t="str">
        <f t="shared" si="1"/>
        <v/>
      </c>
      <c r="J53" s="141">
        <f t="shared" si="5"/>
        <v>-2</v>
      </c>
      <c r="K53" s="141">
        <f t="shared" si="2"/>
        <v>-20</v>
      </c>
      <c r="L53" s="141"/>
      <c r="M53" s="143">
        <f t="shared" si="3"/>
        <v>0</v>
      </c>
    </row>
    <row r="54" spans="1:13" x14ac:dyDescent="0.25">
      <c r="A54" s="76"/>
      <c r="B54" s="33" t="str">
        <f t="shared" si="0"/>
        <v/>
      </c>
      <c r="C54" s="34"/>
      <c r="D54" s="34"/>
      <c r="E54" s="34"/>
      <c r="F54" s="34"/>
      <c r="G54" s="126"/>
      <c r="H54" s="138">
        <v>49</v>
      </c>
      <c r="I54" s="139" t="str">
        <f t="shared" si="1"/>
        <v/>
      </c>
      <c r="J54" s="138">
        <f t="shared" si="5"/>
        <v>-2</v>
      </c>
      <c r="K54" s="138">
        <f t="shared" si="2"/>
        <v>-20</v>
      </c>
      <c r="L54" s="138"/>
      <c r="M54" s="140">
        <f t="shared" si="3"/>
        <v>0</v>
      </c>
    </row>
    <row r="55" spans="1:13" x14ac:dyDescent="0.25">
      <c r="A55" s="77"/>
      <c r="B55" s="39" t="str">
        <f t="shared" si="0"/>
        <v/>
      </c>
      <c r="C55" s="40"/>
      <c r="D55" s="40"/>
      <c r="E55" s="40"/>
      <c r="F55" s="40"/>
      <c r="G55" s="126"/>
      <c r="H55" s="141">
        <v>50</v>
      </c>
      <c r="I55" s="142" t="str">
        <f t="shared" si="1"/>
        <v/>
      </c>
      <c r="J55" s="141">
        <f t="shared" si="5"/>
        <v>-2</v>
      </c>
      <c r="K55" s="141">
        <f t="shared" si="2"/>
        <v>-20</v>
      </c>
      <c r="L55" s="141"/>
      <c r="M55" s="143">
        <f t="shared" si="3"/>
        <v>0</v>
      </c>
    </row>
    <row r="56" spans="1:13" x14ac:dyDescent="0.25">
      <c r="A56" s="76"/>
      <c r="B56" s="33" t="str">
        <f t="shared" si="0"/>
        <v/>
      </c>
      <c r="C56" s="34"/>
      <c r="D56" s="34"/>
      <c r="E56" s="34"/>
      <c r="F56" s="34"/>
      <c r="G56" s="126"/>
      <c r="H56" s="138">
        <v>51</v>
      </c>
      <c r="I56" s="139" t="str">
        <f t="shared" si="1"/>
        <v/>
      </c>
      <c r="J56" s="138">
        <f t="shared" si="5"/>
        <v>-2</v>
      </c>
      <c r="K56" s="138">
        <f t="shared" si="2"/>
        <v>-20</v>
      </c>
      <c r="L56" s="138"/>
      <c r="M56" s="140">
        <f t="shared" si="3"/>
        <v>0</v>
      </c>
    </row>
    <row r="57" spans="1:13" x14ac:dyDescent="0.25">
      <c r="A57" s="77"/>
      <c r="B57" s="39" t="str">
        <f t="shared" si="0"/>
        <v/>
      </c>
      <c r="C57" s="40"/>
      <c r="D57" s="40"/>
      <c r="E57" s="40"/>
      <c r="F57" s="40"/>
      <c r="G57" s="126"/>
      <c r="H57" s="141">
        <v>52</v>
      </c>
      <c r="I57" s="142" t="str">
        <f t="shared" si="1"/>
        <v/>
      </c>
      <c r="J57" s="141">
        <f t="shared" si="5"/>
        <v>-2</v>
      </c>
      <c r="K57" s="141">
        <f t="shared" si="2"/>
        <v>-20</v>
      </c>
      <c r="L57" s="141"/>
      <c r="M57" s="143">
        <f t="shared" si="3"/>
        <v>0</v>
      </c>
    </row>
    <row r="58" spans="1:13" x14ac:dyDescent="0.25">
      <c r="A58" s="76"/>
      <c r="B58" s="33" t="str">
        <f t="shared" si="0"/>
        <v/>
      </c>
      <c r="C58" s="34"/>
      <c r="D58" s="34"/>
      <c r="E58" s="34"/>
      <c r="F58" s="34"/>
      <c r="G58" s="126"/>
      <c r="H58" s="138">
        <v>53</v>
      </c>
      <c r="I58" s="139" t="str">
        <f t="shared" si="1"/>
        <v/>
      </c>
      <c r="J58" s="138">
        <f t="shared" si="5"/>
        <v>-2</v>
      </c>
      <c r="K58" s="138">
        <f t="shared" si="2"/>
        <v>-20</v>
      </c>
      <c r="L58" s="138"/>
      <c r="M58" s="140">
        <f t="shared" si="3"/>
        <v>0</v>
      </c>
    </row>
    <row r="59" spans="1:13" x14ac:dyDescent="0.25">
      <c r="A59" s="77"/>
      <c r="B59" s="39" t="str">
        <f t="shared" si="0"/>
        <v/>
      </c>
      <c r="C59" s="40"/>
      <c r="D59" s="40"/>
      <c r="E59" s="40"/>
      <c r="F59" s="40"/>
      <c r="G59" s="126"/>
      <c r="H59" s="141">
        <v>54</v>
      </c>
      <c r="I59" s="142" t="str">
        <f t="shared" si="1"/>
        <v/>
      </c>
      <c r="J59" s="141">
        <f t="shared" si="5"/>
        <v>-2</v>
      </c>
      <c r="K59" s="141">
        <f t="shared" si="2"/>
        <v>-20</v>
      </c>
      <c r="L59" s="141"/>
      <c r="M59" s="143">
        <f t="shared" si="3"/>
        <v>0</v>
      </c>
    </row>
    <row r="60" spans="1:13" x14ac:dyDescent="0.25">
      <c r="A60" s="76"/>
      <c r="B60" s="33" t="str">
        <f t="shared" si="0"/>
        <v/>
      </c>
      <c r="C60" s="34"/>
      <c r="D60" s="34"/>
      <c r="E60" s="34"/>
      <c r="F60" s="34"/>
      <c r="G60" s="126"/>
      <c r="H60" s="138">
        <v>55</v>
      </c>
      <c r="I60" s="139" t="str">
        <f t="shared" si="1"/>
        <v/>
      </c>
      <c r="J60" s="138">
        <f t="shared" si="5"/>
        <v>-2</v>
      </c>
      <c r="K60" s="138">
        <f t="shared" si="2"/>
        <v>-20</v>
      </c>
      <c r="L60" s="138"/>
      <c r="M60" s="140">
        <f t="shared" si="3"/>
        <v>0</v>
      </c>
    </row>
    <row r="61" spans="1:13" x14ac:dyDescent="0.25">
      <c r="A61" s="77"/>
      <c r="B61" s="39" t="str">
        <f t="shared" si="0"/>
        <v/>
      </c>
      <c r="C61" s="40"/>
      <c r="D61" s="40"/>
      <c r="E61" s="40"/>
      <c r="F61" s="40"/>
      <c r="G61" s="126"/>
      <c r="H61" s="141">
        <v>56</v>
      </c>
      <c r="I61" s="142" t="str">
        <f t="shared" si="1"/>
        <v/>
      </c>
      <c r="J61" s="141">
        <f t="shared" si="5"/>
        <v>-2</v>
      </c>
      <c r="K61" s="141">
        <f t="shared" si="2"/>
        <v>-20</v>
      </c>
      <c r="L61" s="141"/>
      <c r="M61" s="143">
        <f t="shared" si="3"/>
        <v>0</v>
      </c>
    </row>
    <row r="62" spans="1:13" x14ac:dyDescent="0.25">
      <c r="A62" s="76"/>
      <c r="B62" s="33" t="str">
        <f t="shared" si="0"/>
        <v/>
      </c>
      <c r="C62" s="34"/>
      <c r="D62" s="34"/>
      <c r="E62" s="34"/>
      <c r="F62" s="34"/>
      <c r="G62" s="126"/>
      <c r="H62" s="138">
        <v>57</v>
      </c>
      <c r="I62" s="139" t="str">
        <f t="shared" si="1"/>
        <v/>
      </c>
      <c r="J62" s="138">
        <f t="shared" si="5"/>
        <v>-2</v>
      </c>
      <c r="K62" s="138">
        <f t="shared" si="2"/>
        <v>-20</v>
      </c>
      <c r="L62" s="138"/>
      <c r="M62" s="140">
        <f t="shared" si="3"/>
        <v>0</v>
      </c>
    </row>
    <row r="63" spans="1:13" x14ac:dyDescent="0.25">
      <c r="A63" s="77"/>
      <c r="B63" s="39" t="str">
        <f t="shared" si="0"/>
        <v/>
      </c>
      <c r="C63" s="40"/>
      <c r="D63" s="40"/>
      <c r="E63" s="40"/>
      <c r="F63" s="40"/>
      <c r="G63" s="126"/>
      <c r="H63" s="141">
        <v>58</v>
      </c>
      <c r="I63" s="142" t="str">
        <f t="shared" si="1"/>
        <v/>
      </c>
      <c r="J63" s="141">
        <f t="shared" si="5"/>
        <v>-2</v>
      </c>
      <c r="K63" s="141">
        <f t="shared" si="2"/>
        <v>-20</v>
      </c>
      <c r="L63" s="141"/>
      <c r="M63" s="143">
        <f t="shared" si="3"/>
        <v>0</v>
      </c>
    </row>
    <row r="64" spans="1:13" x14ac:dyDescent="0.25">
      <c r="A64" s="76"/>
      <c r="B64" s="33" t="str">
        <f t="shared" si="0"/>
        <v/>
      </c>
      <c r="C64" s="34"/>
      <c r="D64" s="34"/>
      <c r="E64" s="34"/>
      <c r="F64" s="34"/>
      <c r="G64" s="126"/>
      <c r="H64" s="138">
        <v>59</v>
      </c>
      <c r="I64" s="139" t="str">
        <f t="shared" si="1"/>
        <v/>
      </c>
      <c r="J64" s="138">
        <f t="shared" si="5"/>
        <v>-2</v>
      </c>
      <c r="K64" s="138">
        <f t="shared" si="2"/>
        <v>-20</v>
      </c>
      <c r="L64" s="138"/>
      <c r="M64" s="140">
        <f t="shared" si="3"/>
        <v>0</v>
      </c>
    </row>
    <row r="65" spans="1:13" x14ac:dyDescent="0.25">
      <c r="A65" s="77"/>
      <c r="B65" s="39" t="str">
        <f t="shared" si="0"/>
        <v/>
      </c>
      <c r="C65" s="40"/>
      <c r="D65" s="40"/>
      <c r="E65" s="40"/>
      <c r="F65" s="40"/>
      <c r="G65" s="126"/>
      <c r="H65" s="141">
        <v>60</v>
      </c>
      <c r="I65" s="142" t="str">
        <f t="shared" si="1"/>
        <v/>
      </c>
      <c r="J65" s="141">
        <f t="shared" si="5"/>
        <v>-2</v>
      </c>
      <c r="K65" s="141">
        <f t="shared" si="2"/>
        <v>-20</v>
      </c>
      <c r="L65" s="141"/>
      <c r="M65" s="143">
        <f t="shared" si="3"/>
        <v>0</v>
      </c>
    </row>
    <row r="66" spans="1:13" x14ac:dyDescent="0.25">
      <c r="A66" s="163"/>
      <c r="B66" s="33"/>
      <c r="G66" s="126"/>
      <c r="H66" s="138">
        <v>61</v>
      </c>
      <c r="I66" s="139" t="str">
        <f t="shared" si="1"/>
        <v/>
      </c>
      <c r="J66" s="138">
        <f t="shared" si="5"/>
        <v>-2</v>
      </c>
      <c r="K66" s="138">
        <f t="shared" si="2"/>
        <v>-20</v>
      </c>
      <c r="L66" s="138"/>
      <c r="M66" s="140">
        <f t="shared" si="3"/>
        <v>0</v>
      </c>
    </row>
    <row r="67" spans="1:13" x14ac:dyDescent="0.25">
      <c r="A67" s="163"/>
      <c r="B67" s="39"/>
      <c r="G67" s="126"/>
      <c r="H67" s="138">
        <v>62</v>
      </c>
      <c r="I67" s="139" t="str">
        <f t="shared" si="1"/>
        <v/>
      </c>
      <c r="J67" s="138">
        <f t="shared" si="5"/>
        <v>-2</v>
      </c>
      <c r="K67" s="138">
        <f t="shared" si="2"/>
        <v>-20</v>
      </c>
      <c r="L67" s="138"/>
      <c r="M67" s="140">
        <f t="shared" si="3"/>
        <v>0</v>
      </c>
    </row>
    <row r="68" spans="1:13" x14ac:dyDescent="0.25">
      <c r="A68" s="163"/>
      <c r="B68" s="33"/>
      <c r="G68" s="126"/>
      <c r="H68" s="138">
        <v>63</v>
      </c>
      <c r="I68" s="139" t="str">
        <f t="shared" si="1"/>
        <v/>
      </c>
      <c r="J68" s="138">
        <f t="shared" si="5"/>
        <v>-2</v>
      </c>
      <c r="K68" s="138">
        <f t="shared" si="2"/>
        <v>-20</v>
      </c>
      <c r="L68" s="138"/>
      <c r="M68" s="140">
        <f t="shared" si="3"/>
        <v>0</v>
      </c>
    </row>
    <row r="69" spans="1:13" x14ac:dyDescent="0.25">
      <c r="A69" s="163"/>
      <c r="B69" s="39"/>
      <c r="G69" s="126"/>
      <c r="H69" s="138">
        <v>64</v>
      </c>
      <c r="I69" s="139" t="str">
        <f t="shared" si="1"/>
        <v/>
      </c>
      <c r="J69" s="138">
        <f t="shared" si="5"/>
        <v>-2</v>
      </c>
      <c r="K69" s="138">
        <f t="shared" si="2"/>
        <v>-20</v>
      </c>
      <c r="L69" s="138"/>
      <c r="M69" s="140">
        <f t="shared" si="3"/>
        <v>0</v>
      </c>
    </row>
    <row r="70" spans="1:13" x14ac:dyDescent="0.25">
      <c r="A70" s="163"/>
      <c r="G70" s="126"/>
      <c r="H70" s="138">
        <v>65</v>
      </c>
      <c r="I70" s="139" t="str">
        <f t="shared" ref="I70:I133" si="6">IF(H70&lt;$H$2+1,($I$2-($I$2-1)*(LOG(H70)/LOG($H$2))),"")</f>
        <v/>
      </c>
      <c r="J70" s="138">
        <f t="shared" si="5"/>
        <v>-3</v>
      </c>
      <c r="K70" s="138">
        <f t="shared" ref="K70:K133" si="7">J70*$J$2</f>
        <v>-30</v>
      </c>
      <c r="L70" s="138"/>
      <c r="M70" s="140">
        <f t="shared" ref="M70:M133" si="8">IF(I70&lt;&gt;"",K70+I70+L70,0)</f>
        <v>0</v>
      </c>
    </row>
    <row r="71" spans="1:13" x14ac:dyDescent="0.25">
      <c r="A71" s="163"/>
      <c r="G71" s="126"/>
      <c r="H71" s="138">
        <v>66</v>
      </c>
      <c r="I71" s="139" t="str">
        <f t="shared" si="6"/>
        <v/>
      </c>
      <c r="J71" s="138">
        <f t="shared" ref="J71:J134" si="9">INT(LOG($H$2,2))-ROUNDUP(LOG(H71,2),0)+IF(OR($H$2=1,$H$2=2,$H$2=4,$H$2=8,$H$2=16,$H$2=32,$H$2=64,$H$2=128,$H$2=256),0,1)</f>
        <v>-3</v>
      </c>
      <c r="K71" s="138">
        <f t="shared" si="7"/>
        <v>-30</v>
      </c>
      <c r="L71" s="138"/>
      <c r="M71" s="140">
        <f t="shared" si="8"/>
        <v>0</v>
      </c>
    </row>
    <row r="72" spans="1:13" x14ac:dyDescent="0.25">
      <c r="A72" s="163"/>
      <c r="G72" s="126"/>
      <c r="H72" s="138">
        <v>67</v>
      </c>
      <c r="I72" s="139" t="str">
        <f t="shared" si="6"/>
        <v/>
      </c>
      <c r="J72" s="138">
        <f t="shared" si="9"/>
        <v>-3</v>
      </c>
      <c r="K72" s="138">
        <f t="shared" si="7"/>
        <v>-30</v>
      </c>
      <c r="L72" s="138"/>
      <c r="M72" s="140">
        <f t="shared" si="8"/>
        <v>0</v>
      </c>
    </row>
    <row r="73" spans="1:13" x14ac:dyDescent="0.25">
      <c r="A73" s="163"/>
      <c r="G73" s="126"/>
      <c r="H73" s="138">
        <v>68</v>
      </c>
      <c r="I73" s="139" t="str">
        <f t="shared" si="6"/>
        <v/>
      </c>
      <c r="J73" s="138">
        <f t="shared" si="9"/>
        <v>-3</v>
      </c>
      <c r="K73" s="138">
        <f t="shared" si="7"/>
        <v>-30</v>
      </c>
      <c r="L73" s="138"/>
      <c r="M73" s="140">
        <f t="shared" si="8"/>
        <v>0</v>
      </c>
    </row>
    <row r="74" spans="1:13" x14ac:dyDescent="0.25">
      <c r="A74" s="163"/>
      <c r="G74" s="126"/>
      <c r="H74" s="138">
        <v>69</v>
      </c>
      <c r="I74" s="139" t="str">
        <f t="shared" si="6"/>
        <v/>
      </c>
      <c r="J74" s="138">
        <f t="shared" si="9"/>
        <v>-3</v>
      </c>
      <c r="K74" s="138">
        <f t="shared" si="7"/>
        <v>-30</v>
      </c>
      <c r="L74" s="138"/>
      <c r="M74" s="140">
        <f t="shared" si="8"/>
        <v>0</v>
      </c>
    </row>
    <row r="75" spans="1:13" x14ac:dyDescent="0.25">
      <c r="A75" s="163"/>
      <c r="G75" s="126"/>
      <c r="H75" s="138">
        <v>70</v>
      </c>
      <c r="I75" s="139" t="str">
        <f t="shared" si="6"/>
        <v/>
      </c>
      <c r="J75" s="138">
        <f t="shared" si="9"/>
        <v>-3</v>
      </c>
      <c r="K75" s="138">
        <f t="shared" si="7"/>
        <v>-30</v>
      </c>
      <c r="L75" s="138"/>
      <c r="M75" s="140">
        <f t="shared" si="8"/>
        <v>0</v>
      </c>
    </row>
    <row r="76" spans="1:13" x14ac:dyDescent="0.25">
      <c r="A76" s="163"/>
      <c r="G76" s="126"/>
      <c r="H76" s="138">
        <v>71</v>
      </c>
      <c r="I76" s="139" t="str">
        <f t="shared" si="6"/>
        <v/>
      </c>
      <c r="J76" s="138">
        <f t="shared" si="9"/>
        <v>-3</v>
      </c>
      <c r="K76" s="138">
        <f t="shared" si="7"/>
        <v>-30</v>
      </c>
      <c r="L76" s="138"/>
      <c r="M76" s="140">
        <f t="shared" si="8"/>
        <v>0</v>
      </c>
    </row>
    <row r="77" spans="1:13" x14ac:dyDescent="0.25">
      <c r="A77" s="163"/>
      <c r="G77" s="126"/>
      <c r="H77" s="138">
        <v>72</v>
      </c>
      <c r="I77" s="139" t="str">
        <f t="shared" si="6"/>
        <v/>
      </c>
      <c r="J77" s="138">
        <f t="shared" si="9"/>
        <v>-3</v>
      </c>
      <c r="K77" s="138">
        <f t="shared" si="7"/>
        <v>-30</v>
      </c>
      <c r="L77" s="138"/>
      <c r="M77" s="140">
        <f t="shared" si="8"/>
        <v>0</v>
      </c>
    </row>
    <row r="78" spans="1:13" x14ac:dyDescent="0.25">
      <c r="A78" s="163"/>
      <c r="G78" s="126"/>
      <c r="H78" s="138">
        <v>73</v>
      </c>
      <c r="I78" s="139" t="str">
        <f t="shared" si="6"/>
        <v/>
      </c>
      <c r="J78" s="138">
        <f t="shared" si="9"/>
        <v>-3</v>
      </c>
      <c r="K78" s="138">
        <f t="shared" si="7"/>
        <v>-30</v>
      </c>
      <c r="L78" s="138"/>
      <c r="M78" s="140">
        <f t="shared" si="8"/>
        <v>0</v>
      </c>
    </row>
    <row r="79" spans="1:13" x14ac:dyDescent="0.25">
      <c r="A79" s="163"/>
      <c r="G79" s="126"/>
      <c r="H79" s="138">
        <v>74</v>
      </c>
      <c r="I79" s="139" t="str">
        <f t="shared" si="6"/>
        <v/>
      </c>
      <c r="J79" s="138">
        <f t="shared" si="9"/>
        <v>-3</v>
      </c>
      <c r="K79" s="138">
        <f t="shared" si="7"/>
        <v>-30</v>
      </c>
      <c r="L79" s="138"/>
      <c r="M79" s="140">
        <f t="shared" si="8"/>
        <v>0</v>
      </c>
    </row>
    <row r="80" spans="1:13" x14ac:dyDescent="0.25">
      <c r="A80" s="163"/>
      <c r="G80" s="126"/>
      <c r="H80" s="138">
        <v>75</v>
      </c>
      <c r="I80" s="139" t="str">
        <f t="shared" si="6"/>
        <v/>
      </c>
      <c r="J80" s="138">
        <f t="shared" si="9"/>
        <v>-3</v>
      </c>
      <c r="K80" s="138">
        <f t="shared" si="7"/>
        <v>-30</v>
      </c>
      <c r="L80" s="138"/>
      <c r="M80" s="140">
        <f t="shared" si="8"/>
        <v>0</v>
      </c>
    </row>
    <row r="81" spans="1:13" x14ac:dyDescent="0.25">
      <c r="A81" s="163"/>
      <c r="G81" s="126"/>
      <c r="H81" s="138">
        <v>76</v>
      </c>
      <c r="I81" s="139" t="str">
        <f t="shared" si="6"/>
        <v/>
      </c>
      <c r="J81" s="138">
        <f t="shared" si="9"/>
        <v>-3</v>
      </c>
      <c r="K81" s="138">
        <f t="shared" si="7"/>
        <v>-30</v>
      </c>
      <c r="L81" s="138"/>
      <c r="M81" s="140">
        <f t="shared" si="8"/>
        <v>0</v>
      </c>
    </row>
    <row r="82" spans="1:13" x14ac:dyDescent="0.25">
      <c r="A82" s="163"/>
      <c r="G82" s="126"/>
      <c r="H82" s="138">
        <v>77</v>
      </c>
      <c r="I82" s="139" t="str">
        <f t="shared" si="6"/>
        <v/>
      </c>
      <c r="J82" s="138">
        <f t="shared" si="9"/>
        <v>-3</v>
      </c>
      <c r="K82" s="138">
        <f t="shared" si="7"/>
        <v>-30</v>
      </c>
      <c r="L82" s="138"/>
      <c r="M82" s="140">
        <f t="shared" si="8"/>
        <v>0</v>
      </c>
    </row>
    <row r="83" spans="1:13" x14ac:dyDescent="0.25">
      <c r="A83" s="163"/>
      <c r="G83" s="126"/>
      <c r="H83" s="138">
        <v>78</v>
      </c>
      <c r="I83" s="139" t="str">
        <f t="shared" si="6"/>
        <v/>
      </c>
      <c r="J83" s="138">
        <f t="shared" si="9"/>
        <v>-3</v>
      </c>
      <c r="K83" s="138">
        <f t="shared" si="7"/>
        <v>-30</v>
      </c>
      <c r="L83" s="138"/>
      <c r="M83" s="140">
        <f t="shared" si="8"/>
        <v>0</v>
      </c>
    </row>
    <row r="84" spans="1:13" x14ac:dyDescent="0.25">
      <c r="A84" s="163"/>
      <c r="G84" s="126"/>
      <c r="H84" s="138">
        <v>79</v>
      </c>
      <c r="I84" s="139" t="str">
        <f t="shared" si="6"/>
        <v/>
      </c>
      <c r="J84" s="138">
        <f t="shared" si="9"/>
        <v>-3</v>
      </c>
      <c r="K84" s="138">
        <f t="shared" si="7"/>
        <v>-30</v>
      </c>
      <c r="L84" s="138"/>
      <c r="M84" s="140">
        <f t="shared" si="8"/>
        <v>0</v>
      </c>
    </row>
    <row r="85" spans="1:13" x14ac:dyDescent="0.25">
      <c r="A85" s="163"/>
      <c r="G85" s="126"/>
      <c r="H85" s="138">
        <v>80</v>
      </c>
      <c r="I85" s="139" t="str">
        <f t="shared" si="6"/>
        <v/>
      </c>
      <c r="J85" s="138">
        <f t="shared" si="9"/>
        <v>-3</v>
      </c>
      <c r="K85" s="138">
        <f t="shared" si="7"/>
        <v>-30</v>
      </c>
      <c r="L85" s="138"/>
      <c r="M85" s="140">
        <f t="shared" si="8"/>
        <v>0</v>
      </c>
    </row>
    <row r="86" spans="1:13" x14ac:dyDescent="0.25">
      <c r="A86" s="163"/>
      <c r="G86" s="126"/>
      <c r="H86" s="138">
        <v>81</v>
      </c>
      <c r="I86" s="139" t="str">
        <f t="shared" si="6"/>
        <v/>
      </c>
      <c r="J86" s="138">
        <f t="shared" si="9"/>
        <v>-3</v>
      </c>
      <c r="K86" s="138">
        <f t="shared" si="7"/>
        <v>-30</v>
      </c>
      <c r="L86" s="138"/>
      <c r="M86" s="140">
        <f t="shared" si="8"/>
        <v>0</v>
      </c>
    </row>
    <row r="87" spans="1:13" x14ac:dyDescent="0.25">
      <c r="A87" s="163"/>
      <c r="G87" s="126"/>
      <c r="H87" s="138">
        <v>82</v>
      </c>
      <c r="I87" s="139" t="str">
        <f t="shared" si="6"/>
        <v/>
      </c>
      <c r="J87" s="138">
        <f t="shared" si="9"/>
        <v>-3</v>
      </c>
      <c r="K87" s="138">
        <f t="shared" si="7"/>
        <v>-30</v>
      </c>
      <c r="L87" s="138"/>
      <c r="M87" s="140">
        <f t="shared" si="8"/>
        <v>0</v>
      </c>
    </row>
    <row r="88" spans="1:13" x14ac:dyDescent="0.25">
      <c r="A88" s="163"/>
      <c r="G88" s="126"/>
      <c r="H88" s="138">
        <v>83</v>
      </c>
      <c r="I88" s="139" t="str">
        <f t="shared" si="6"/>
        <v/>
      </c>
      <c r="J88" s="138">
        <f t="shared" si="9"/>
        <v>-3</v>
      </c>
      <c r="K88" s="138">
        <f t="shared" si="7"/>
        <v>-30</v>
      </c>
      <c r="L88" s="138"/>
      <c r="M88" s="140">
        <f t="shared" si="8"/>
        <v>0</v>
      </c>
    </row>
    <row r="89" spans="1:13" x14ac:dyDescent="0.25">
      <c r="A89" s="163"/>
      <c r="G89" s="126"/>
      <c r="H89" s="138">
        <v>84</v>
      </c>
      <c r="I89" s="139" t="str">
        <f t="shared" si="6"/>
        <v/>
      </c>
      <c r="J89" s="138">
        <f t="shared" si="9"/>
        <v>-3</v>
      </c>
      <c r="K89" s="138">
        <f t="shared" si="7"/>
        <v>-30</v>
      </c>
      <c r="L89" s="138"/>
      <c r="M89" s="140">
        <f t="shared" si="8"/>
        <v>0</v>
      </c>
    </row>
    <row r="90" spans="1:13" x14ac:dyDescent="0.25">
      <c r="A90" s="163"/>
      <c r="G90" s="126"/>
      <c r="H90" s="138">
        <v>85</v>
      </c>
      <c r="I90" s="139" t="str">
        <f t="shared" si="6"/>
        <v/>
      </c>
      <c r="J90" s="138">
        <f t="shared" si="9"/>
        <v>-3</v>
      </c>
      <c r="K90" s="138">
        <f t="shared" si="7"/>
        <v>-30</v>
      </c>
      <c r="L90" s="138"/>
      <c r="M90" s="140">
        <f t="shared" si="8"/>
        <v>0</v>
      </c>
    </row>
    <row r="91" spans="1:13" x14ac:dyDescent="0.25">
      <c r="A91" s="163"/>
      <c r="G91" s="126"/>
      <c r="H91" s="138">
        <v>86</v>
      </c>
      <c r="I91" s="139" t="str">
        <f t="shared" si="6"/>
        <v/>
      </c>
      <c r="J91" s="138">
        <f t="shared" si="9"/>
        <v>-3</v>
      </c>
      <c r="K91" s="138">
        <f t="shared" si="7"/>
        <v>-30</v>
      </c>
      <c r="L91" s="138"/>
      <c r="M91" s="140">
        <f t="shared" si="8"/>
        <v>0</v>
      </c>
    </row>
    <row r="92" spans="1:13" x14ac:dyDescent="0.25">
      <c r="A92" s="163"/>
      <c r="G92" s="126"/>
      <c r="H92" s="138">
        <v>87</v>
      </c>
      <c r="I92" s="139" t="str">
        <f t="shared" si="6"/>
        <v/>
      </c>
      <c r="J92" s="138">
        <f t="shared" si="9"/>
        <v>-3</v>
      </c>
      <c r="K92" s="138">
        <f t="shared" si="7"/>
        <v>-30</v>
      </c>
      <c r="L92" s="138"/>
      <c r="M92" s="140">
        <f t="shared" si="8"/>
        <v>0</v>
      </c>
    </row>
    <row r="93" spans="1:13" x14ac:dyDescent="0.25">
      <c r="A93" s="163"/>
      <c r="G93" s="126"/>
      <c r="H93" s="138">
        <v>88</v>
      </c>
      <c r="I93" s="139" t="str">
        <f t="shared" si="6"/>
        <v/>
      </c>
      <c r="J93" s="138">
        <f t="shared" si="9"/>
        <v>-3</v>
      </c>
      <c r="K93" s="138">
        <f t="shared" si="7"/>
        <v>-30</v>
      </c>
      <c r="L93" s="138"/>
      <c r="M93" s="140">
        <f t="shared" si="8"/>
        <v>0</v>
      </c>
    </row>
    <row r="94" spans="1:13" x14ac:dyDescent="0.25">
      <c r="A94" s="163"/>
      <c r="G94" s="126"/>
      <c r="H94" s="138">
        <v>89</v>
      </c>
      <c r="I94" s="139" t="str">
        <f t="shared" si="6"/>
        <v/>
      </c>
      <c r="J94" s="138">
        <f t="shared" si="9"/>
        <v>-3</v>
      </c>
      <c r="K94" s="138">
        <f t="shared" si="7"/>
        <v>-30</v>
      </c>
      <c r="L94" s="138"/>
      <c r="M94" s="140">
        <f t="shared" si="8"/>
        <v>0</v>
      </c>
    </row>
    <row r="95" spans="1:13" x14ac:dyDescent="0.25">
      <c r="A95" s="163"/>
      <c r="G95" s="126"/>
      <c r="H95" s="138">
        <v>90</v>
      </c>
      <c r="I95" s="139" t="str">
        <f t="shared" si="6"/>
        <v/>
      </c>
      <c r="J95" s="138">
        <f t="shared" si="9"/>
        <v>-3</v>
      </c>
      <c r="K95" s="138">
        <f t="shared" si="7"/>
        <v>-30</v>
      </c>
      <c r="L95" s="138"/>
      <c r="M95" s="140">
        <f t="shared" si="8"/>
        <v>0</v>
      </c>
    </row>
    <row r="96" spans="1:13" x14ac:dyDescent="0.25">
      <c r="A96" s="163"/>
      <c r="G96" s="126"/>
      <c r="H96" s="138">
        <v>91</v>
      </c>
      <c r="I96" s="139" t="str">
        <f t="shared" si="6"/>
        <v/>
      </c>
      <c r="J96" s="138">
        <f t="shared" si="9"/>
        <v>-3</v>
      </c>
      <c r="K96" s="138">
        <f t="shared" si="7"/>
        <v>-30</v>
      </c>
      <c r="L96" s="138"/>
      <c r="M96" s="140">
        <f t="shared" si="8"/>
        <v>0</v>
      </c>
    </row>
    <row r="97" spans="1:13" x14ac:dyDescent="0.25">
      <c r="A97" s="163"/>
      <c r="G97" s="126"/>
      <c r="H97" s="138">
        <v>92</v>
      </c>
      <c r="I97" s="139" t="str">
        <f t="shared" si="6"/>
        <v/>
      </c>
      <c r="J97" s="138">
        <f t="shared" si="9"/>
        <v>-3</v>
      </c>
      <c r="K97" s="138">
        <f t="shared" si="7"/>
        <v>-30</v>
      </c>
      <c r="L97" s="138"/>
      <c r="M97" s="140">
        <f t="shared" si="8"/>
        <v>0</v>
      </c>
    </row>
    <row r="98" spans="1:13" x14ac:dyDescent="0.25">
      <c r="A98" s="163"/>
      <c r="G98" s="126"/>
      <c r="H98" s="138">
        <v>93</v>
      </c>
      <c r="I98" s="139" t="str">
        <f t="shared" si="6"/>
        <v/>
      </c>
      <c r="J98" s="138">
        <f t="shared" si="9"/>
        <v>-3</v>
      </c>
      <c r="K98" s="138">
        <f t="shared" si="7"/>
        <v>-30</v>
      </c>
      <c r="L98" s="138"/>
      <c r="M98" s="140">
        <f t="shared" si="8"/>
        <v>0</v>
      </c>
    </row>
    <row r="99" spans="1:13" x14ac:dyDescent="0.25">
      <c r="A99" s="163"/>
      <c r="G99" s="126"/>
      <c r="H99" s="138">
        <v>94</v>
      </c>
      <c r="I99" s="139" t="str">
        <f t="shared" si="6"/>
        <v/>
      </c>
      <c r="J99" s="138">
        <f t="shared" si="9"/>
        <v>-3</v>
      </c>
      <c r="K99" s="138">
        <f t="shared" si="7"/>
        <v>-30</v>
      </c>
      <c r="L99" s="138"/>
      <c r="M99" s="140">
        <f t="shared" si="8"/>
        <v>0</v>
      </c>
    </row>
    <row r="100" spans="1:13" x14ac:dyDescent="0.25">
      <c r="A100" s="163"/>
      <c r="G100" s="126"/>
      <c r="H100" s="138">
        <v>95</v>
      </c>
      <c r="I100" s="139" t="str">
        <f t="shared" si="6"/>
        <v/>
      </c>
      <c r="J100" s="138">
        <f t="shared" si="9"/>
        <v>-3</v>
      </c>
      <c r="K100" s="138">
        <f t="shared" si="7"/>
        <v>-30</v>
      </c>
      <c r="L100" s="138"/>
      <c r="M100" s="140">
        <f t="shared" si="8"/>
        <v>0</v>
      </c>
    </row>
    <row r="101" spans="1:13" x14ac:dyDescent="0.25">
      <c r="A101" s="155"/>
      <c r="G101" s="126"/>
      <c r="H101" s="138">
        <v>96</v>
      </c>
      <c r="I101" s="139" t="str">
        <f t="shared" si="6"/>
        <v/>
      </c>
      <c r="J101" s="138">
        <f t="shared" si="9"/>
        <v>-3</v>
      </c>
      <c r="K101" s="138">
        <f t="shared" si="7"/>
        <v>-30</v>
      </c>
      <c r="L101" s="138"/>
      <c r="M101" s="140">
        <f t="shared" si="8"/>
        <v>0</v>
      </c>
    </row>
    <row r="102" spans="1:13" x14ac:dyDescent="0.25">
      <c r="A102" s="155"/>
      <c r="G102" s="126"/>
      <c r="H102" s="138">
        <v>97</v>
      </c>
      <c r="I102" s="139" t="str">
        <f t="shared" si="6"/>
        <v/>
      </c>
      <c r="J102" s="138">
        <f t="shared" si="9"/>
        <v>-3</v>
      </c>
      <c r="K102" s="138">
        <f t="shared" si="7"/>
        <v>-30</v>
      </c>
      <c r="L102" s="138"/>
      <c r="M102" s="140">
        <f t="shared" si="8"/>
        <v>0</v>
      </c>
    </row>
    <row r="103" spans="1:13" x14ac:dyDescent="0.25">
      <c r="A103" s="155"/>
      <c r="G103" s="126"/>
      <c r="H103" s="138">
        <v>98</v>
      </c>
      <c r="I103" s="139" t="str">
        <f t="shared" si="6"/>
        <v/>
      </c>
      <c r="J103" s="138">
        <f t="shared" si="9"/>
        <v>-3</v>
      </c>
      <c r="K103" s="138">
        <f t="shared" si="7"/>
        <v>-30</v>
      </c>
      <c r="L103" s="138"/>
      <c r="M103" s="140">
        <f t="shared" si="8"/>
        <v>0</v>
      </c>
    </row>
    <row r="104" spans="1:13" x14ac:dyDescent="0.25">
      <c r="A104" s="155"/>
      <c r="G104" s="126"/>
      <c r="H104" s="138">
        <v>99</v>
      </c>
      <c r="I104" s="139" t="str">
        <f t="shared" si="6"/>
        <v/>
      </c>
      <c r="J104" s="138">
        <f t="shared" si="9"/>
        <v>-3</v>
      </c>
      <c r="K104" s="138">
        <f t="shared" si="7"/>
        <v>-30</v>
      </c>
      <c r="L104" s="138"/>
      <c r="M104" s="140">
        <f t="shared" si="8"/>
        <v>0</v>
      </c>
    </row>
    <row r="105" spans="1:13" x14ac:dyDescent="0.25">
      <c r="A105" s="155"/>
      <c r="G105" s="126"/>
      <c r="H105" s="138">
        <v>100</v>
      </c>
      <c r="I105" s="139" t="str">
        <f t="shared" si="6"/>
        <v/>
      </c>
      <c r="J105" s="138">
        <f t="shared" si="9"/>
        <v>-3</v>
      </c>
      <c r="K105" s="138">
        <f t="shared" si="7"/>
        <v>-30</v>
      </c>
      <c r="L105" s="138"/>
      <c r="M105" s="140">
        <f t="shared" si="8"/>
        <v>0</v>
      </c>
    </row>
    <row r="106" spans="1:13" x14ac:dyDescent="0.25">
      <c r="A106" s="155"/>
      <c r="G106" s="126"/>
      <c r="H106" s="138">
        <v>101</v>
      </c>
      <c r="I106" s="139" t="str">
        <f t="shared" si="6"/>
        <v/>
      </c>
      <c r="J106" s="138">
        <f t="shared" si="9"/>
        <v>-3</v>
      </c>
      <c r="K106" s="138">
        <f t="shared" si="7"/>
        <v>-30</v>
      </c>
      <c r="L106" s="138"/>
      <c r="M106" s="140">
        <f t="shared" si="8"/>
        <v>0</v>
      </c>
    </row>
    <row r="107" spans="1:13" x14ac:dyDescent="0.25">
      <c r="A107" s="155"/>
      <c r="G107" s="126"/>
      <c r="H107" s="138">
        <v>102</v>
      </c>
      <c r="I107" s="139" t="str">
        <f t="shared" si="6"/>
        <v/>
      </c>
      <c r="J107" s="138">
        <f t="shared" si="9"/>
        <v>-3</v>
      </c>
      <c r="K107" s="138">
        <f t="shared" si="7"/>
        <v>-30</v>
      </c>
      <c r="L107" s="138"/>
      <c r="M107" s="140">
        <f t="shared" si="8"/>
        <v>0</v>
      </c>
    </row>
    <row r="108" spans="1:13" x14ac:dyDescent="0.25">
      <c r="A108" s="155"/>
      <c r="G108" s="126"/>
      <c r="H108" s="138">
        <v>103</v>
      </c>
      <c r="I108" s="139" t="str">
        <f t="shared" si="6"/>
        <v/>
      </c>
      <c r="J108" s="138">
        <f t="shared" si="9"/>
        <v>-3</v>
      </c>
      <c r="K108" s="138">
        <f t="shared" si="7"/>
        <v>-30</v>
      </c>
      <c r="L108" s="138"/>
      <c r="M108" s="140">
        <f t="shared" si="8"/>
        <v>0</v>
      </c>
    </row>
    <row r="109" spans="1:13" x14ac:dyDescent="0.25">
      <c r="A109" s="155"/>
      <c r="G109" s="126"/>
      <c r="H109" s="138">
        <v>104</v>
      </c>
      <c r="I109" s="139" t="str">
        <f t="shared" si="6"/>
        <v/>
      </c>
      <c r="J109" s="138">
        <f t="shared" si="9"/>
        <v>-3</v>
      </c>
      <c r="K109" s="138">
        <f t="shared" si="7"/>
        <v>-30</v>
      </c>
      <c r="L109" s="138"/>
      <c r="M109" s="140">
        <f t="shared" si="8"/>
        <v>0</v>
      </c>
    </row>
    <row r="110" spans="1:13" x14ac:dyDescent="0.25">
      <c r="A110" s="155"/>
      <c r="G110" s="126"/>
      <c r="H110" s="138">
        <v>105</v>
      </c>
      <c r="I110" s="139" t="str">
        <f t="shared" si="6"/>
        <v/>
      </c>
      <c r="J110" s="138">
        <f t="shared" si="9"/>
        <v>-3</v>
      </c>
      <c r="K110" s="138">
        <f t="shared" si="7"/>
        <v>-30</v>
      </c>
      <c r="L110" s="138"/>
      <c r="M110" s="140">
        <f t="shared" si="8"/>
        <v>0</v>
      </c>
    </row>
    <row r="111" spans="1:13" x14ac:dyDescent="0.25">
      <c r="A111" s="155"/>
      <c r="G111" s="126"/>
      <c r="H111" s="138">
        <v>106</v>
      </c>
      <c r="I111" s="139" t="str">
        <f t="shared" si="6"/>
        <v/>
      </c>
      <c r="J111" s="138">
        <f t="shared" si="9"/>
        <v>-3</v>
      </c>
      <c r="K111" s="138">
        <f t="shared" si="7"/>
        <v>-30</v>
      </c>
      <c r="L111" s="138"/>
      <c r="M111" s="140">
        <f t="shared" si="8"/>
        <v>0</v>
      </c>
    </row>
    <row r="112" spans="1:13" x14ac:dyDescent="0.25">
      <c r="A112" s="155"/>
      <c r="G112" s="126"/>
      <c r="H112" s="138">
        <v>107</v>
      </c>
      <c r="I112" s="139" t="str">
        <f t="shared" si="6"/>
        <v/>
      </c>
      <c r="J112" s="138">
        <f t="shared" si="9"/>
        <v>-3</v>
      </c>
      <c r="K112" s="138">
        <f t="shared" si="7"/>
        <v>-30</v>
      </c>
      <c r="L112" s="138"/>
      <c r="M112" s="140">
        <f t="shared" si="8"/>
        <v>0</v>
      </c>
    </row>
    <row r="113" spans="1:13" x14ac:dyDescent="0.25">
      <c r="A113" s="155"/>
      <c r="G113" s="126"/>
      <c r="H113" s="138">
        <v>108</v>
      </c>
      <c r="I113" s="139" t="str">
        <f t="shared" si="6"/>
        <v/>
      </c>
      <c r="J113" s="138">
        <f t="shared" si="9"/>
        <v>-3</v>
      </c>
      <c r="K113" s="138">
        <f t="shared" si="7"/>
        <v>-30</v>
      </c>
      <c r="L113" s="138"/>
      <c r="M113" s="140">
        <f t="shared" si="8"/>
        <v>0</v>
      </c>
    </row>
    <row r="114" spans="1:13" x14ac:dyDescent="0.25">
      <c r="A114" s="155"/>
      <c r="G114" s="126"/>
      <c r="H114" s="138">
        <v>109</v>
      </c>
      <c r="I114" s="139" t="str">
        <f t="shared" si="6"/>
        <v/>
      </c>
      <c r="J114" s="138">
        <f t="shared" si="9"/>
        <v>-3</v>
      </c>
      <c r="K114" s="138">
        <f t="shared" si="7"/>
        <v>-30</v>
      </c>
      <c r="L114" s="138"/>
      <c r="M114" s="140">
        <f t="shared" si="8"/>
        <v>0</v>
      </c>
    </row>
    <row r="115" spans="1:13" x14ac:dyDescent="0.25">
      <c r="A115" s="155"/>
      <c r="G115" s="126"/>
      <c r="H115" s="138">
        <v>110</v>
      </c>
      <c r="I115" s="139" t="str">
        <f t="shared" si="6"/>
        <v/>
      </c>
      <c r="J115" s="138">
        <f t="shared" si="9"/>
        <v>-3</v>
      </c>
      <c r="K115" s="138">
        <f t="shared" si="7"/>
        <v>-30</v>
      </c>
      <c r="L115" s="138"/>
      <c r="M115" s="140">
        <f t="shared" si="8"/>
        <v>0</v>
      </c>
    </row>
    <row r="116" spans="1:13" x14ac:dyDescent="0.25">
      <c r="A116" s="155"/>
      <c r="G116" s="126"/>
      <c r="H116" s="138">
        <v>111</v>
      </c>
      <c r="I116" s="139" t="str">
        <f t="shared" si="6"/>
        <v/>
      </c>
      <c r="J116" s="138">
        <f t="shared" si="9"/>
        <v>-3</v>
      </c>
      <c r="K116" s="138">
        <f t="shared" si="7"/>
        <v>-30</v>
      </c>
      <c r="L116" s="138"/>
      <c r="M116" s="140">
        <f t="shared" si="8"/>
        <v>0</v>
      </c>
    </row>
    <row r="117" spans="1:13" x14ac:dyDescent="0.25">
      <c r="A117" s="155"/>
      <c r="G117" s="126"/>
      <c r="H117" s="138">
        <v>112</v>
      </c>
      <c r="I117" s="139" t="str">
        <f t="shared" si="6"/>
        <v/>
      </c>
      <c r="J117" s="138">
        <f t="shared" si="9"/>
        <v>-3</v>
      </c>
      <c r="K117" s="138">
        <f t="shared" si="7"/>
        <v>-30</v>
      </c>
      <c r="L117" s="138"/>
      <c r="M117" s="140">
        <f t="shared" si="8"/>
        <v>0</v>
      </c>
    </row>
    <row r="118" spans="1:13" x14ac:dyDescent="0.25">
      <c r="A118" s="155"/>
      <c r="G118" s="126"/>
      <c r="H118" s="138">
        <v>113</v>
      </c>
      <c r="I118" s="139" t="str">
        <f t="shared" si="6"/>
        <v/>
      </c>
      <c r="J118" s="138">
        <f t="shared" si="9"/>
        <v>-3</v>
      </c>
      <c r="K118" s="138">
        <f t="shared" si="7"/>
        <v>-30</v>
      </c>
      <c r="L118" s="138"/>
      <c r="M118" s="140">
        <f t="shared" si="8"/>
        <v>0</v>
      </c>
    </row>
    <row r="119" spans="1:13" x14ac:dyDescent="0.25">
      <c r="A119" s="155"/>
      <c r="G119" s="126"/>
      <c r="H119" s="138">
        <v>114</v>
      </c>
      <c r="I119" s="139" t="str">
        <f t="shared" si="6"/>
        <v/>
      </c>
      <c r="J119" s="138">
        <f t="shared" si="9"/>
        <v>-3</v>
      </c>
      <c r="K119" s="138">
        <f t="shared" si="7"/>
        <v>-30</v>
      </c>
      <c r="L119" s="138"/>
      <c r="M119" s="140">
        <f t="shared" si="8"/>
        <v>0</v>
      </c>
    </row>
    <row r="120" spans="1:13" x14ac:dyDescent="0.25">
      <c r="A120" s="155"/>
      <c r="G120" s="126"/>
      <c r="H120" s="138">
        <v>115</v>
      </c>
      <c r="I120" s="139" t="str">
        <f t="shared" si="6"/>
        <v/>
      </c>
      <c r="J120" s="138">
        <f t="shared" si="9"/>
        <v>-3</v>
      </c>
      <c r="K120" s="138">
        <f t="shared" si="7"/>
        <v>-30</v>
      </c>
      <c r="L120" s="138"/>
      <c r="M120" s="140">
        <f t="shared" si="8"/>
        <v>0</v>
      </c>
    </row>
    <row r="121" spans="1:13" x14ac:dyDescent="0.25">
      <c r="A121" s="155"/>
      <c r="G121" s="126"/>
      <c r="H121" s="138">
        <v>116</v>
      </c>
      <c r="I121" s="139" t="str">
        <f t="shared" si="6"/>
        <v/>
      </c>
      <c r="J121" s="138">
        <f t="shared" si="9"/>
        <v>-3</v>
      </c>
      <c r="K121" s="138">
        <f t="shared" si="7"/>
        <v>-30</v>
      </c>
      <c r="L121" s="138"/>
      <c r="M121" s="140">
        <f t="shared" si="8"/>
        <v>0</v>
      </c>
    </row>
    <row r="122" spans="1:13" x14ac:dyDescent="0.25">
      <c r="A122" s="155"/>
      <c r="G122" s="126"/>
      <c r="H122" s="138">
        <v>117</v>
      </c>
      <c r="I122" s="139" t="str">
        <f t="shared" si="6"/>
        <v/>
      </c>
      <c r="J122" s="138">
        <f t="shared" si="9"/>
        <v>-3</v>
      </c>
      <c r="K122" s="138">
        <f t="shared" si="7"/>
        <v>-30</v>
      </c>
      <c r="L122" s="138"/>
      <c r="M122" s="140">
        <f t="shared" si="8"/>
        <v>0</v>
      </c>
    </row>
    <row r="123" spans="1:13" x14ac:dyDescent="0.25">
      <c r="A123" s="155"/>
      <c r="G123" s="126"/>
      <c r="H123" s="138">
        <v>118</v>
      </c>
      <c r="I123" s="139" t="str">
        <f t="shared" si="6"/>
        <v/>
      </c>
      <c r="J123" s="138">
        <f t="shared" si="9"/>
        <v>-3</v>
      </c>
      <c r="K123" s="138">
        <f t="shared" si="7"/>
        <v>-30</v>
      </c>
      <c r="L123" s="138"/>
      <c r="M123" s="140">
        <f t="shared" si="8"/>
        <v>0</v>
      </c>
    </row>
    <row r="124" spans="1:13" x14ac:dyDescent="0.25">
      <c r="A124" s="155"/>
      <c r="G124" s="126"/>
      <c r="H124" s="138">
        <v>119</v>
      </c>
      <c r="I124" s="139" t="str">
        <f t="shared" si="6"/>
        <v/>
      </c>
      <c r="J124" s="138">
        <f t="shared" si="9"/>
        <v>-3</v>
      </c>
      <c r="K124" s="138">
        <f t="shared" si="7"/>
        <v>-30</v>
      </c>
      <c r="L124" s="138"/>
      <c r="M124" s="140">
        <f t="shared" si="8"/>
        <v>0</v>
      </c>
    </row>
    <row r="125" spans="1:13" x14ac:dyDescent="0.25">
      <c r="A125" s="155"/>
      <c r="G125" s="126"/>
      <c r="H125" s="138">
        <v>120</v>
      </c>
      <c r="I125" s="139" t="str">
        <f t="shared" si="6"/>
        <v/>
      </c>
      <c r="J125" s="138">
        <f t="shared" si="9"/>
        <v>-3</v>
      </c>
      <c r="K125" s="138">
        <f t="shared" si="7"/>
        <v>-30</v>
      </c>
      <c r="L125" s="138"/>
      <c r="M125" s="140">
        <f t="shared" si="8"/>
        <v>0</v>
      </c>
    </row>
    <row r="126" spans="1:13" x14ac:dyDescent="0.25">
      <c r="A126" s="155"/>
      <c r="G126" s="126"/>
      <c r="H126" s="138">
        <v>121</v>
      </c>
      <c r="I126" s="139" t="str">
        <f t="shared" si="6"/>
        <v/>
      </c>
      <c r="J126" s="138">
        <f t="shared" si="9"/>
        <v>-3</v>
      </c>
      <c r="K126" s="138">
        <f t="shared" si="7"/>
        <v>-30</v>
      </c>
      <c r="L126" s="138"/>
      <c r="M126" s="140">
        <f t="shared" si="8"/>
        <v>0</v>
      </c>
    </row>
    <row r="127" spans="1:13" x14ac:dyDescent="0.25">
      <c r="A127" s="155"/>
      <c r="G127" s="126"/>
      <c r="H127" s="138">
        <v>122</v>
      </c>
      <c r="I127" s="139" t="str">
        <f t="shared" si="6"/>
        <v/>
      </c>
      <c r="J127" s="138">
        <f t="shared" si="9"/>
        <v>-3</v>
      </c>
      <c r="K127" s="138">
        <f t="shared" si="7"/>
        <v>-30</v>
      </c>
      <c r="L127" s="138"/>
      <c r="M127" s="140">
        <f t="shared" si="8"/>
        <v>0</v>
      </c>
    </row>
    <row r="128" spans="1:13" x14ac:dyDescent="0.25">
      <c r="A128" s="155"/>
      <c r="G128" s="126"/>
      <c r="H128" s="138">
        <v>123</v>
      </c>
      <c r="I128" s="139" t="str">
        <f t="shared" si="6"/>
        <v/>
      </c>
      <c r="J128" s="138">
        <f t="shared" si="9"/>
        <v>-3</v>
      </c>
      <c r="K128" s="138">
        <f t="shared" si="7"/>
        <v>-30</v>
      </c>
      <c r="L128" s="138"/>
      <c r="M128" s="140">
        <f t="shared" si="8"/>
        <v>0</v>
      </c>
    </row>
    <row r="129" spans="1:13" x14ac:dyDescent="0.25">
      <c r="A129" s="155"/>
      <c r="G129" s="126"/>
      <c r="H129" s="138">
        <v>124</v>
      </c>
      <c r="I129" s="139" t="str">
        <f t="shared" si="6"/>
        <v/>
      </c>
      <c r="J129" s="138">
        <f t="shared" si="9"/>
        <v>-3</v>
      </c>
      <c r="K129" s="138">
        <f t="shared" si="7"/>
        <v>-30</v>
      </c>
      <c r="L129" s="138"/>
      <c r="M129" s="140">
        <f t="shared" si="8"/>
        <v>0</v>
      </c>
    </row>
    <row r="130" spans="1:13" x14ac:dyDescent="0.25">
      <c r="A130" s="155"/>
      <c r="G130" s="126"/>
      <c r="H130" s="138">
        <v>125</v>
      </c>
      <c r="I130" s="139" t="str">
        <f t="shared" si="6"/>
        <v/>
      </c>
      <c r="J130" s="138">
        <f t="shared" si="9"/>
        <v>-3</v>
      </c>
      <c r="K130" s="138">
        <f t="shared" si="7"/>
        <v>-30</v>
      </c>
      <c r="L130" s="138"/>
      <c r="M130" s="140">
        <f t="shared" si="8"/>
        <v>0</v>
      </c>
    </row>
    <row r="131" spans="1:13" x14ac:dyDescent="0.25">
      <c r="A131" s="155"/>
      <c r="G131" s="126"/>
      <c r="H131" s="138">
        <v>126</v>
      </c>
      <c r="I131" s="139" t="str">
        <f t="shared" si="6"/>
        <v/>
      </c>
      <c r="J131" s="138">
        <f t="shared" si="9"/>
        <v>-3</v>
      </c>
      <c r="K131" s="138">
        <f t="shared" si="7"/>
        <v>-30</v>
      </c>
      <c r="L131" s="138"/>
      <c r="M131" s="140">
        <f t="shared" si="8"/>
        <v>0</v>
      </c>
    </row>
    <row r="132" spans="1:13" x14ac:dyDescent="0.25">
      <c r="A132" s="155"/>
      <c r="G132" s="126"/>
      <c r="H132" s="138">
        <v>127</v>
      </c>
      <c r="I132" s="139" t="str">
        <f t="shared" si="6"/>
        <v/>
      </c>
      <c r="J132" s="138">
        <f t="shared" si="9"/>
        <v>-3</v>
      </c>
      <c r="K132" s="138">
        <f t="shared" si="7"/>
        <v>-30</v>
      </c>
      <c r="L132" s="138"/>
      <c r="M132" s="140">
        <f t="shared" si="8"/>
        <v>0</v>
      </c>
    </row>
    <row r="133" spans="1:13" x14ac:dyDescent="0.25">
      <c r="A133" s="155"/>
      <c r="G133" s="126"/>
      <c r="H133" s="138">
        <v>128</v>
      </c>
      <c r="I133" s="139" t="str">
        <f t="shared" si="6"/>
        <v/>
      </c>
      <c r="J133" s="138">
        <f t="shared" si="9"/>
        <v>-3</v>
      </c>
      <c r="K133" s="138">
        <f t="shared" si="7"/>
        <v>-30</v>
      </c>
      <c r="L133" s="138"/>
      <c r="M133" s="140">
        <f t="shared" si="8"/>
        <v>0</v>
      </c>
    </row>
    <row r="134" spans="1:13" x14ac:dyDescent="0.25">
      <c r="A134" s="155"/>
      <c r="G134" s="126"/>
      <c r="H134" s="138">
        <v>129</v>
      </c>
      <c r="I134" s="139" t="str">
        <f t="shared" ref="I134:I197" si="10">IF(H134&lt;$H$2+1,($I$2-($I$2-1)*(LOG(H134)/LOG($H$2))),"")</f>
        <v/>
      </c>
      <c r="J134" s="138">
        <f t="shared" si="9"/>
        <v>-4</v>
      </c>
      <c r="K134" s="138">
        <f t="shared" ref="K134:K197" si="11">J134*$J$2</f>
        <v>-40</v>
      </c>
      <c r="L134" s="138"/>
      <c r="M134" s="140">
        <f t="shared" ref="M134:M197" si="12">IF(I134&lt;&gt;"",K134+I134+L134,0)</f>
        <v>0</v>
      </c>
    </row>
    <row r="135" spans="1:13" x14ac:dyDescent="0.25">
      <c r="A135" s="155"/>
      <c r="G135" s="126"/>
      <c r="H135" s="138">
        <v>130</v>
      </c>
      <c r="I135" s="139" t="str">
        <f t="shared" si="10"/>
        <v/>
      </c>
      <c r="J135" s="138">
        <f t="shared" ref="J135:J198" si="13">INT(LOG($H$2,2))-ROUNDUP(LOG(H135,2),0)+IF(OR($H$2=1,$H$2=2,$H$2=4,$H$2=8,$H$2=16,$H$2=32,$H$2=64,$H$2=128,$H$2=256),0,1)</f>
        <v>-4</v>
      </c>
      <c r="K135" s="138">
        <f t="shared" si="11"/>
        <v>-40</v>
      </c>
      <c r="L135" s="138"/>
      <c r="M135" s="140">
        <f t="shared" si="12"/>
        <v>0</v>
      </c>
    </row>
    <row r="136" spans="1:13" x14ac:dyDescent="0.25">
      <c r="A136" s="155"/>
      <c r="G136" s="126"/>
      <c r="H136" s="138">
        <v>131</v>
      </c>
      <c r="I136" s="139" t="str">
        <f t="shared" si="10"/>
        <v/>
      </c>
      <c r="J136" s="138">
        <f t="shared" si="13"/>
        <v>-4</v>
      </c>
      <c r="K136" s="138">
        <f t="shared" si="11"/>
        <v>-40</v>
      </c>
      <c r="L136" s="138"/>
      <c r="M136" s="140">
        <f t="shared" si="12"/>
        <v>0</v>
      </c>
    </row>
    <row r="137" spans="1:13" x14ac:dyDescent="0.25">
      <c r="A137" s="155"/>
      <c r="G137" s="126"/>
      <c r="H137" s="138">
        <v>132</v>
      </c>
      <c r="I137" s="139" t="str">
        <f t="shared" si="10"/>
        <v/>
      </c>
      <c r="J137" s="138">
        <f t="shared" si="13"/>
        <v>-4</v>
      </c>
      <c r="K137" s="138">
        <f t="shared" si="11"/>
        <v>-40</v>
      </c>
      <c r="L137" s="138"/>
      <c r="M137" s="140">
        <f t="shared" si="12"/>
        <v>0</v>
      </c>
    </row>
    <row r="138" spans="1:13" x14ac:dyDescent="0.25">
      <c r="A138" s="155"/>
      <c r="G138" s="126"/>
      <c r="H138" s="138">
        <v>133</v>
      </c>
      <c r="I138" s="139" t="str">
        <f t="shared" si="10"/>
        <v/>
      </c>
      <c r="J138" s="138">
        <f t="shared" si="13"/>
        <v>-4</v>
      </c>
      <c r="K138" s="138">
        <f t="shared" si="11"/>
        <v>-40</v>
      </c>
      <c r="L138" s="138"/>
      <c r="M138" s="140">
        <f t="shared" si="12"/>
        <v>0</v>
      </c>
    </row>
    <row r="139" spans="1:13" x14ac:dyDescent="0.25">
      <c r="A139" s="155"/>
      <c r="G139" s="126"/>
      <c r="H139" s="138">
        <v>134</v>
      </c>
      <c r="I139" s="139" t="str">
        <f t="shared" si="10"/>
        <v/>
      </c>
      <c r="J139" s="138">
        <f t="shared" si="13"/>
        <v>-4</v>
      </c>
      <c r="K139" s="138">
        <f t="shared" si="11"/>
        <v>-40</v>
      </c>
      <c r="L139" s="138"/>
      <c r="M139" s="140">
        <f t="shared" si="12"/>
        <v>0</v>
      </c>
    </row>
    <row r="140" spans="1:13" x14ac:dyDescent="0.25">
      <c r="A140" s="155"/>
      <c r="G140" s="126"/>
      <c r="H140" s="138">
        <v>135</v>
      </c>
      <c r="I140" s="139" t="str">
        <f t="shared" si="10"/>
        <v/>
      </c>
      <c r="J140" s="138">
        <f t="shared" si="13"/>
        <v>-4</v>
      </c>
      <c r="K140" s="138">
        <f t="shared" si="11"/>
        <v>-40</v>
      </c>
      <c r="L140" s="138"/>
      <c r="M140" s="140">
        <f t="shared" si="12"/>
        <v>0</v>
      </c>
    </row>
    <row r="141" spans="1:13" x14ac:dyDescent="0.25">
      <c r="A141" s="155"/>
      <c r="G141" s="126"/>
      <c r="H141" s="138">
        <v>136</v>
      </c>
      <c r="I141" s="139" t="str">
        <f t="shared" si="10"/>
        <v/>
      </c>
      <c r="J141" s="138">
        <f t="shared" si="13"/>
        <v>-4</v>
      </c>
      <c r="K141" s="138">
        <f t="shared" si="11"/>
        <v>-40</v>
      </c>
      <c r="L141" s="138"/>
      <c r="M141" s="140">
        <f t="shared" si="12"/>
        <v>0</v>
      </c>
    </row>
    <row r="142" spans="1:13" x14ac:dyDescent="0.25">
      <c r="A142" s="155"/>
      <c r="G142" s="126"/>
      <c r="H142" s="138">
        <v>137</v>
      </c>
      <c r="I142" s="139" t="str">
        <f t="shared" si="10"/>
        <v/>
      </c>
      <c r="J142" s="138">
        <f t="shared" si="13"/>
        <v>-4</v>
      </c>
      <c r="K142" s="138">
        <f t="shared" si="11"/>
        <v>-40</v>
      </c>
      <c r="L142" s="138"/>
      <c r="M142" s="140">
        <f t="shared" si="12"/>
        <v>0</v>
      </c>
    </row>
    <row r="143" spans="1:13" x14ac:dyDescent="0.25">
      <c r="A143" s="155"/>
      <c r="G143" s="126"/>
      <c r="H143" s="138">
        <v>138</v>
      </c>
      <c r="I143" s="139" t="str">
        <f t="shared" si="10"/>
        <v/>
      </c>
      <c r="J143" s="138">
        <f t="shared" si="13"/>
        <v>-4</v>
      </c>
      <c r="K143" s="138">
        <f t="shared" si="11"/>
        <v>-40</v>
      </c>
      <c r="L143" s="138"/>
      <c r="M143" s="140">
        <f t="shared" si="12"/>
        <v>0</v>
      </c>
    </row>
    <row r="144" spans="1:13" x14ac:dyDescent="0.25">
      <c r="A144" s="155"/>
      <c r="G144" s="126"/>
      <c r="H144" s="138">
        <v>139</v>
      </c>
      <c r="I144" s="139" t="str">
        <f t="shared" si="10"/>
        <v/>
      </c>
      <c r="J144" s="138">
        <f t="shared" si="13"/>
        <v>-4</v>
      </c>
      <c r="K144" s="138">
        <f t="shared" si="11"/>
        <v>-40</v>
      </c>
      <c r="L144" s="138"/>
      <c r="M144" s="140">
        <f t="shared" si="12"/>
        <v>0</v>
      </c>
    </row>
    <row r="145" spans="1:13" x14ac:dyDescent="0.25">
      <c r="A145" s="155"/>
      <c r="G145" s="126"/>
      <c r="H145" s="138">
        <v>140</v>
      </c>
      <c r="I145" s="139" t="str">
        <f t="shared" si="10"/>
        <v/>
      </c>
      <c r="J145" s="138">
        <f t="shared" si="13"/>
        <v>-4</v>
      </c>
      <c r="K145" s="138">
        <f t="shared" si="11"/>
        <v>-40</v>
      </c>
      <c r="L145" s="138"/>
      <c r="M145" s="140">
        <f t="shared" si="12"/>
        <v>0</v>
      </c>
    </row>
    <row r="146" spans="1:13" x14ac:dyDescent="0.25">
      <c r="A146" s="155"/>
      <c r="G146" s="126"/>
      <c r="H146" s="138">
        <v>141</v>
      </c>
      <c r="I146" s="139" t="str">
        <f t="shared" si="10"/>
        <v/>
      </c>
      <c r="J146" s="138">
        <f t="shared" si="13"/>
        <v>-4</v>
      </c>
      <c r="K146" s="138">
        <f t="shared" si="11"/>
        <v>-40</v>
      </c>
      <c r="L146" s="138"/>
      <c r="M146" s="140">
        <f t="shared" si="12"/>
        <v>0</v>
      </c>
    </row>
    <row r="147" spans="1:13" x14ac:dyDescent="0.25">
      <c r="A147" s="155"/>
      <c r="G147" s="126"/>
      <c r="H147" s="138">
        <v>142</v>
      </c>
      <c r="I147" s="139" t="str">
        <f t="shared" si="10"/>
        <v/>
      </c>
      <c r="J147" s="138">
        <f t="shared" si="13"/>
        <v>-4</v>
      </c>
      <c r="K147" s="138">
        <f t="shared" si="11"/>
        <v>-40</v>
      </c>
      <c r="L147" s="138"/>
      <c r="M147" s="140">
        <f t="shared" si="12"/>
        <v>0</v>
      </c>
    </row>
    <row r="148" spans="1:13" x14ac:dyDescent="0.25">
      <c r="A148" s="155"/>
      <c r="G148" s="126"/>
      <c r="H148" s="138">
        <v>143</v>
      </c>
      <c r="I148" s="139" t="str">
        <f t="shared" si="10"/>
        <v/>
      </c>
      <c r="J148" s="138">
        <f t="shared" si="13"/>
        <v>-4</v>
      </c>
      <c r="K148" s="138">
        <f t="shared" si="11"/>
        <v>-40</v>
      </c>
      <c r="L148" s="138"/>
      <c r="M148" s="140">
        <f t="shared" si="12"/>
        <v>0</v>
      </c>
    </row>
    <row r="149" spans="1:13" x14ac:dyDescent="0.25">
      <c r="A149" s="155"/>
      <c r="G149" s="126"/>
      <c r="H149" s="138">
        <v>144</v>
      </c>
      <c r="I149" s="139" t="str">
        <f t="shared" si="10"/>
        <v/>
      </c>
      <c r="J149" s="138">
        <f t="shared" si="13"/>
        <v>-4</v>
      </c>
      <c r="K149" s="138">
        <f t="shared" si="11"/>
        <v>-40</v>
      </c>
      <c r="L149" s="138"/>
      <c r="M149" s="140">
        <f t="shared" si="12"/>
        <v>0</v>
      </c>
    </row>
    <row r="150" spans="1:13" x14ac:dyDescent="0.25">
      <c r="A150" s="155"/>
      <c r="G150" s="126"/>
      <c r="H150" s="138">
        <v>145</v>
      </c>
      <c r="I150" s="139" t="str">
        <f t="shared" si="10"/>
        <v/>
      </c>
      <c r="J150" s="138">
        <f t="shared" si="13"/>
        <v>-4</v>
      </c>
      <c r="K150" s="138">
        <f t="shared" si="11"/>
        <v>-40</v>
      </c>
      <c r="L150" s="138"/>
      <c r="M150" s="140">
        <f t="shared" si="12"/>
        <v>0</v>
      </c>
    </row>
    <row r="151" spans="1:13" x14ac:dyDescent="0.25">
      <c r="A151" s="155"/>
      <c r="G151" s="126"/>
      <c r="H151" s="138">
        <v>146</v>
      </c>
      <c r="I151" s="139" t="str">
        <f t="shared" si="10"/>
        <v/>
      </c>
      <c r="J151" s="138">
        <f t="shared" si="13"/>
        <v>-4</v>
      </c>
      <c r="K151" s="138">
        <f t="shared" si="11"/>
        <v>-40</v>
      </c>
      <c r="L151" s="138"/>
      <c r="M151" s="140">
        <f t="shared" si="12"/>
        <v>0</v>
      </c>
    </row>
    <row r="152" spans="1:13" x14ac:dyDescent="0.25">
      <c r="A152" s="155"/>
      <c r="G152" s="126"/>
      <c r="H152" s="138">
        <v>147</v>
      </c>
      <c r="I152" s="139" t="str">
        <f t="shared" si="10"/>
        <v/>
      </c>
      <c r="J152" s="138">
        <f t="shared" si="13"/>
        <v>-4</v>
      </c>
      <c r="K152" s="138">
        <f t="shared" si="11"/>
        <v>-40</v>
      </c>
      <c r="L152" s="138"/>
      <c r="M152" s="140">
        <f t="shared" si="12"/>
        <v>0</v>
      </c>
    </row>
    <row r="153" spans="1:13" x14ac:dyDescent="0.25">
      <c r="A153" s="155"/>
      <c r="G153" s="126"/>
      <c r="H153" s="138">
        <v>148</v>
      </c>
      <c r="I153" s="139" t="str">
        <f t="shared" si="10"/>
        <v/>
      </c>
      <c r="J153" s="138">
        <f t="shared" si="13"/>
        <v>-4</v>
      </c>
      <c r="K153" s="138">
        <f t="shared" si="11"/>
        <v>-40</v>
      </c>
      <c r="L153" s="138"/>
      <c r="M153" s="140">
        <f t="shared" si="12"/>
        <v>0</v>
      </c>
    </row>
    <row r="154" spans="1:13" x14ac:dyDescent="0.25">
      <c r="A154" s="155"/>
      <c r="G154" s="126"/>
      <c r="H154" s="138">
        <v>149</v>
      </c>
      <c r="I154" s="139" t="str">
        <f t="shared" si="10"/>
        <v/>
      </c>
      <c r="J154" s="138">
        <f t="shared" si="13"/>
        <v>-4</v>
      </c>
      <c r="K154" s="138">
        <f t="shared" si="11"/>
        <v>-40</v>
      </c>
      <c r="L154" s="138"/>
      <c r="M154" s="140">
        <f t="shared" si="12"/>
        <v>0</v>
      </c>
    </row>
    <row r="155" spans="1:13" x14ac:dyDescent="0.25">
      <c r="A155" s="155"/>
      <c r="G155" s="126"/>
      <c r="H155" s="138">
        <v>150</v>
      </c>
      <c r="I155" s="139" t="str">
        <f t="shared" si="10"/>
        <v/>
      </c>
      <c r="J155" s="138">
        <f t="shared" si="13"/>
        <v>-4</v>
      </c>
      <c r="K155" s="138">
        <f t="shared" si="11"/>
        <v>-40</v>
      </c>
      <c r="L155" s="138"/>
      <c r="M155" s="140">
        <f t="shared" si="12"/>
        <v>0</v>
      </c>
    </row>
    <row r="156" spans="1:13" x14ac:dyDescent="0.25">
      <c r="A156" s="155"/>
      <c r="G156" s="126"/>
      <c r="H156" s="138">
        <v>151</v>
      </c>
      <c r="I156" s="139" t="str">
        <f t="shared" si="10"/>
        <v/>
      </c>
      <c r="J156" s="138">
        <f t="shared" si="13"/>
        <v>-4</v>
      </c>
      <c r="K156" s="138">
        <f t="shared" si="11"/>
        <v>-40</v>
      </c>
      <c r="L156" s="138"/>
      <c r="M156" s="140">
        <f t="shared" si="12"/>
        <v>0</v>
      </c>
    </row>
    <row r="157" spans="1:13" x14ac:dyDescent="0.25">
      <c r="A157" s="155"/>
      <c r="G157" s="126"/>
      <c r="H157" s="138">
        <v>152</v>
      </c>
      <c r="I157" s="139" t="str">
        <f t="shared" si="10"/>
        <v/>
      </c>
      <c r="J157" s="138">
        <f t="shared" si="13"/>
        <v>-4</v>
      </c>
      <c r="K157" s="138">
        <f t="shared" si="11"/>
        <v>-40</v>
      </c>
      <c r="L157" s="138"/>
      <c r="M157" s="140">
        <f t="shared" si="12"/>
        <v>0</v>
      </c>
    </row>
    <row r="158" spans="1:13" x14ac:dyDescent="0.25">
      <c r="A158" s="155"/>
      <c r="G158" s="126"/>
      <c r="H158" s="138">
        <v>153</v>
      </c>
      <c r="I158" s="139" t="str">
        <f t="shared" si="10"/>
        <v/>
      </c>
      <c r="J158" s="138">
        <f t="shared" si="13"/>
        <v>-4</v>
      </c>
      <c r="K158" s="138">
        <f t="shared" si="11"/>
        <v>-40</v>
      </c>
      <c r="L158" s="138"/>
      <c r="M158" s="140">
        <f t="shared" si="12"/>
        <v>0</v>
      </c>
    </row>
    <row r="159" spans="1:13" x14ac:dyDescent="0.25">
      <c r="A159" s="155"/>
      <c r="G159" s="126"/>
      <c r="H159" s="138">
        <v>154</v>
      </c>
      <c r="I159" s="139" t="str">
        <f t="shared" si="10"/>
        <v/>
      </c>
      <c r="J159" s="138">
        <f t="shared" si="13"/>
        <v>-4</v>
      </c>
      <c r="K159" s="138">
        <f t="shared" si="11"/>
        <v>-40</v>
      </c>
      <c r="L159" s="138"/>
      <c r="M159" s="140">
        <f t="shared" si="12"/>
        <v>0</v>
      </c>
    </row>
    <row r="160" spans="1:13" x14ac:dyDescent="0.25">
      <c r="A160" s="155"/>
      <c r="G160" s="126"/>
      <c r="H160" s="138">
        <v>155</v>
      </c>
      <c r="I160" s="139" t="str">
        <f t="shared" si="10"/>
        <v/>
      </c>
      <c r="J160" s="138">
        <f t="shared" si="13"/>
        <v>-4</v>
      </c>
      <c r="K160" s="138">
        <f t="shared" si="11"/>
        <v>-40</v>
      </c>
      <c r="L160" s="138"/>
      <c r="M160" s="140">
        <f t="shared" si="12"/>
        <v>0</v>
      </c>
    </row>
    <row r="161" spans="1:13" x14ac:dyDescent="0.25">
      <c r="A161" s="155"/>
      <c r="G161" s="126"/>
      <c r="H161" s="138">
        <v>156</v>
      </c>
      <c r="I161" s="139" t="str">
        <f t="shared" si="10"/>
        <v/>
      </c>
      <c r="J161" s="138">
        <f t="shared" si="13"/>
        <v>-4</v>
      </c>
      <c r="K161" s="138">
        <f t="shared" si="11"/>
        <v>-40</v>
      </c>
      <c r="L161" s="138"/>
      <c r="M161" s="140">
        <f t="shared" si="12"/>
        <v>0</v>
      </c>
    </row>
    <row r="162" spans="1:13" x14ac:dyDescent="0.25">
      <c r="A162" s="155"/>
      <c r="G162" s="126"/>
      <c r="H162" s="138">
        <v>157</v>
      </c>
      <c r="I162" s="139" t="str">
        <f t="shared" si="10"/>
        <v/>
      </c>
      <c r="J162" s="138">
        <f t="shared" si="13"/>
        <v>-4</v>
      </c>
      <c r="K162" s="138">
        <f t="shared" si="11"/>
        <v>-40</v>
      </c>
      <c r="L162" s="138"/>
      <c r="M162" s="140">
        <f t="shared" si="12"/>
        <v>0</v>
      </c>
    </row>
    <row r="163" spans="1:13" x14ac:dyDescent="0.25">
      <c r="A163" s="155"/>
      <c r="G163" s="126"/>
      <c r="H163" s="138">
        <v>158</v>
      </c>
      <c r="I163" s="139" t="str">
        <f t="shared" si="10"/>
        <v/>
      </c>
      <c r="J163" s="138">
        <f t="shared" si="13"/>
        <v>-4</v>
      </c>
      <c r="K163" s="138">
        <f t="shared" si="11"/>
        <v>-40</v>
      </c>
      <c r="L163" s="138"/>
      <c r="M163" s="140">
        <f t="shared" si="12"/>
        <v>0</v>
      </c>
    </row>
    <row r="164" spans="1:13" x14ac:dyDescent="0.25">
      <c r="A164" s="155"/>
      <c r="G164" s="126"/>
      <c r="H164" s="138">
        <v>159</v>
      </c>
      <c r="I164" s="139" t="str">
        <f t="shared" si="10"/>
        <v/>
      </c>
      <c r="J164" s="138">
        <f t="shared" si="13"/>
        <v>-4</v>
      </c>
      <c r="K164" s="138">
        <f t="shared" si="11"/>
        <v>-40</v>
      </c>
      <c r="L164" s="138"/>
      <c r="M164" s="140">
        <f t="shared" si="12"/>
        <v>0</v>
      </c>
    </row>
    <row r="165" spans="1:13" x14ac:dyDescent="0.25">
      <c r="A165" s="155"/>
      <c r="G165" s="126"/>
      <c r="H165" s="138">
        <v>160</v>
      </c>
      <c r="I165" s="139" t="str">
        <f t="shared" si="10"/>
        <v/>
      </c>
      <c r="J165" s="138">
        <f t="shared" si="13"/>
        <v>-4</v>
      </c>
      <c r="K165" s="138">
        <f t="shared" si="11"/>
        <v>-40</v>
      </c>
      <c r="L165" s="138"/>
      <c r="M165" s="140">
        <f t="shared" si="12"/>
        <v>0</v>
      </c>
    </row>
    <row r="166" spans="1:13" x14ac:dyDescent="0.25">
      <c r="A166" s="155"/>
      <c r="G166" s="126"/>
      <c r="H166" s="138">
        <v>161</v>
      </c>
      <c r="I166" s="139" t="str">
        <f t="shared" si="10"/>
        <v/>
      </c>
      <c r="J166" s="138">
        <f t="shared" si="13"/>
        <v>-4</v>
      </c>
      <c r="K166" s="138">
        <f t="shared" si="11"/>
        <v>-40</v>
      </c>
      <c r="L166" s="138"/>
      <c r="M166" s="140">
        <f t="shared" si="12"/>
        <v>0</v>
      </c>
    </row>
    <row r="167" spans="1:13" x14ac:dyDescent="0.25">
      <c r="A167" s="155"/>
      <c r="G167" s="126"/>
      <c r="H167" s="138">
        <v>162</v>
      </c>
      <c r="I167" s="139" t="str">
        <f t="shared" si="10"/>
        <v/>
      </c>
      <c r="J167" s="138">
        <f t="shared" si="13"/>
        <v>-4</v>
      </c>
      <c r="K167" s="138">
        <f t="shared" si="11"/>
        <v>-40</v>
      </c>
      <c r="L167" s="138"/>
      <c r="M167" s="140">
        <f t="shared" si="12"/>
        <v>0</v>
      </c>
    </row>
    <row r="168" spans="1:13" x14ac:dyDescent="0.25">
      <c r="A168" s="155"/>
      <c r="G168" s="126"/>
      <c r="H168" s="138">
        <v>163</v>
      </c>
      <c r="I168" s="139" t="str">
        <f t="shared" si="10"/>
        <v/>
      </c>
      <c r="J168" s="138">
        <f t="shared" si="13"/>
        <v>-4</v>
      </c>
      <c r="K168" s="138">
        <f t="shared" si="11"/>
        <v>-40</v>
      </c>
      <c r="L168" s="138"/>
      <c r="M168" s="140">
        <f t="shared" si="12"/>
        <v>0</v>
      </c>
    </row>
    <row r="169" spans="1:13" x14ac:dyDescent="0.25">
      <c r="A169" s="155"/>
      <c r="C169" s="154" t="s">
        <v>50</v>
      </c>
      <c r="G169" s="126"/>
      <c r="H169" s="138">
        <v>164</v>
      </c>
      <c r="I169" s="139" t="str">
        <f t="shared" si="10"/>
        <v/>
      </c>
      <c r="J169" s="138">
        <f t="shared" si="13"/>
        <v>-4</v>
      </c>
      <c r="K169" s="138">
        <f t="shared" si="11"/>
        <v>-40</v>
      </c>
      <c r="L169" s="138"/>
      <c r="M169" s="140">
        <f t="shared" si="12"/>
        <v>0</v>
      </c>
    </row>
    <row r="170" spans="1:13" x14ac:dyDescent="0.25">
      <c r="A170" s="155"/>
      <c r="G170" s="126"/>
      <c r="H170" s="138">
        <v>165</v>
      </c>
      <c r="I170" s="139" t="str">
        <f t="shared" si="10"/>
        <v/>
      </c>
      <c r="J170" s="138">
        <f t="shared" si="13"/>
        <v>-4</v>
      </c>
      <c r="K170" s="138">
        <f t="shared" si="11"/>
        <v>-40</v>
      </c>
      <c r="L170" s="138"/>
      <c r="M170" s="140">
        <f t="shared" si="12"/>
        <v>0</v>
      </c>
    </row>
    <row r="171" spans="1:13" x14ac:dyDescent="0.25">
      <c r="A171" s="155"/>
      <c r="G171" s="126"/>
      <c r="H171" s="138">
        <v>166</v>
      </c>
      <c r="I171" s="139" t="str">
        <f t="shared" si="10"/>
        <v/>
      </c>
      <c r="J171" s="138">
        <f t="shared" si="13"/>
        <v>-4</v>
      </c>
      <c r="K171" s="138">
        <f t="shared" si="11"/>
        <v>-40</v>
      </c>
      <c r="L171" s="138"/>
      <c r="M171" s="140">
        <f t="shared" si="12"/>
        <v>0</v>
      </c>
    </row>
    <row r="172" spans="1:13" x14ac:dyDescent="0.25">
      <c r="A172" s="155"/>
      <c r="G172" s="126"/>
      <c r="H172" s="138">
        <v>167</v>
      </c>
      <c r="I172" s="139" t="str">
        <f t="shared" si="10"/>
        <v/>
      </c>
      <c r="J172" s="138">
        <f t="shared" si="13"/>
        <v>-4</v>
      </c>
      <c r="K172" s="138">
        <f t="shared" si="11"/>
        <v>-40</v>
      </c>
      <c r="L172" s="138"/>
      <c r="M172" s="140">
        <f t="shared" si="12"/>
        <v>0</v>
      </c>
    </row>
    <row r="173" spans="1:13" x14ac:dyDescent="0.25">
      <c r="A173" s="155"/>
      <c r="G173" s="126"/>
      <c r="H173" s="138">
        <v>168</v>
      </c>
      <c r="I173" s="139" t="str">
        <f t="shared" si="10"/>
        <v/>
      </c>
      <c r="J173" s="138">
        <f t="shared" si="13"/>
        <v>-4</v>
      </c>
      <c r="K173" s="138">
        <f t="shared" si="11"/>
        <v>-40</v>
      </c>
      <c r="L173" s="138"/>
      <c r="M173" s="140">
        <f t="shared" si="12"/>
        <v>0</v>
      </c>
    </row>
    <row r="174" spans="1:13" x14ac:dyDescent="0.25">
      <c r="A174" s="155"/>
      <c r="G174" s="126"/>
      <c r="H174" s="138">
        <v>169</v>
      </c>
      <c r="I174" s="139" t="str">
        <f t="shared" si="10"/>
        <v/>
      </c>
      <c r="J174" s="138">
        <f t="shared" si="13"/>
        <v>-4</v>
      </c>
      <c r="K174" s="138">
        <f t="shared" si="11"/>
        <v>-40</v>
      </c>
      <c r="L174" s="138"/>
      <c r="M174" s="140">
        <f t="shared" si="12"/>
        <v>0</v>
      </c>
    </row>
    <row r="175" spans="1:13" x14ac:dyDescent="0.25">
      <c r="A175" s="155"/>
      <c r="G175" s="126"/>
      <c r="H175" s="138">
        <v>170</v>
      </c>
      <c r="I175" s="139" t="str">
        <f t="shared" si="10"/>
        <v/>
      </c>
      <c r="J175" s="138">
        <f t="shared" si="13"/>
        <v>-4</v>
      </c>
      <c r="K175" s="138">
        <f t="shared" si="11"/>
        <v>-40</v>
      </c>
      <c r="L175" s="138"/>
      <c r="M175" s="140">
        <f t="shared" si="12"/>
        <v>0</v>
      </c>
    </row>
    <row r="176" spans="1:13" x14ac:dyDescent="0.25">
      <c r="A176" s="155"/>
      <c r="G176" s="126"/>
      <c r="H176" s="138">
        <v>171</v>
      </c>
      <c r="I176" s="139" t="str">
        <f t="shared" si="10"/>
        <v/>
      </c>
      <c r="J176" s="138">
        <f t="shared" si="13"/>
        <v>-4</v>
      </c>
      <c r="K176" s="138">
        <f t="shared" si="11"/>
        <v>-40</v>
      </c>
      <c r="L176" s="138"/>
      <c r="M176" s="140">
        <f t="shared" si="12"/>
        <v>0</v>
      </c>
    </row>
    <row r="177" spans="1:13" x14ac:dyDescent="0.25">
      <c r="A177" s="155"/>
      <c r="G177" s="126"/>
      <c r="H177" s="138">
        <v>172</v>
      </c>
      <c r="I177" s="139" t="str">
        <f t="shared" si="10"/>
        <v/>
      </c>
      <c r="J177" s="138">
        <f t="shared" si="13"/>
        <v>-4</v>
      </c>
      <c r="K177" s="138">
        <f t="shared" si="11"/>
        <v>-40</v>
      </c>
      <c r="L177" s="138"/>
      <c r="M177" s="140">
        <f t="shared" si="12"/>
        <v>0</v>
      </c>
    </row>
    <row r="178" spans="1:13" x14ac:dyDescent="0.25">
      <c r="A178" s="155"/>
      <c r="G178" s="126"/>
      <c r="H178" s="138">
        <v>173</v>
      </c>
      <c r="I178" s="139" t="str">
        <f t="shared" si="10"/>
        <v/>
      </c>
      <c r="J178" s="138">
        <f t="shared" si="13"/>
        <v>-4</v>
      </c>
      <c r="K178" s="138">
        <f t="shared" si="11"/>
        <v>-40</v>
      </c>
      <c r="L178" s="138"/>
      <c r="M178" s="140">
        <f t="shared" si="12"/>
        <v>0</v>
      </c>
    </row>
    <row r="179" spans="1:13" x14ac:dyDescent="0.25">
      <c r="A179" s="155"/>
      <c r="G179" s="126"/>
      <c r="H179" s="138">
        <v>174</v>
      </c>
      <c r="I179" s="139" t="str">
        <f t="shared" si="10"/>
        <v/>
      </c>
      <c r="J179" s="138">
        <f t="shared" si="13"/>
        <v>-4</v>
      </c>
      <c r="K179" s="138">
        <f t="shared" si="11"/>
        <v>-40</v>
      </c>
      <c r="L179" s="138"/>
      <c r="M179" s="140">
        <f t="shared" si="12"/>
        <v>0</v>
      </c>
    </row>
    <row r="180" spans="1:13" x14ac:dyDescent="0.25">
      <c r="A180" s="155"/>
      <c r="G180" s="126"/>
      <c r="H180" s="138">
        <v>175</v>
      </c>
      <c r="I180" s="139" t="str">
        <f t="shared" si="10"/>
        <v/>
      </c>
      <c r="J180" s="138">
        <f t="shared" si="13"/>
        <v>-4</v>
      </c>
      <c r="K180" s="138">
        <f t="shared" si="11"/>
        <v>-40</v>
      </c>
      <c r="L180" s="138"/>
      <c r="M180" s="140">
        <f t="shared" si="12"/>
        <v>0</v>
      </c>
    </row>
    <row r="181" spans="1:13" x14ac:dyDescent="0.25">
      <c r="A181" s="155"/>
      <c r="G181" s="126"/>
      <c r="H181" s="138">
        <v>176</v>
      </c>
      <c r="I181" s="139" t="str">
        <f t="shared" si="10"/>
        <v/>
      </c>
      <c r="J181" s="138">
        <f t="shared" si="13"/>
        <v>-4</v>
      </c>
      <c r="K181" s="138">
        <f t="shared" si="11"/>
        <v>-40</v>
      </c>
      <c r="L181" s="138"/>
      <c r="M181" s="140">
        <f t="shared" si="12"/>
        <v>0</v>
      </c>
    </row>
    <row r="182" spans="1:13" x14ac:dyDescent="0.25">
      <c r="A182" s="155"/>
      <c r="G182" s="126"/>
      <c r="H182" s="138">
        <v>177</v>
      </c>
      <c r="I182" s="139" t="str">
        <f t="shared" si="10"/>
        <v/>
      </c>
      <c r="J182" s="138">
        <f t="shared" si="13"/>
        <v>-4</v>
      </c>
      <c r="K182" s="138">
        <f t="shared" si="11"/>
        <v>-40</v>
      </c>
      <c r="L182" s="138"/>
      <c r="M182" s="140">
        <f t="shared" si="12"/>
        <v>0</v>
      </c>
    </row>
    <row r="183" spans="1:13" x14ac:dyDescent="0.25">
      <c r="A183" s="155"/>
      <c r="G183" s="126"/>
      <c r="H183" s="138">
        <v>178</v>
      </c>
      <c r="I183" s="139" t="str">
        <f t="shared" si="10"/>
        <v/>
      </c>
      <c r="J183" s="138">
        <f t="shared" si="13"/>
        <v>-4</v>
      </c>
      <c r="K183" s="138">
        <f t="shared" si="11"/>
        <v>-40</v>
      </c>
      <c r="L183" s="138"/>
      <c r="M183" s="140">
        <f t="shared" si="12"/>
        <v>0</v>
      </c>
    </row>
    <row r="184" spans="1:13" x14ac:dyDescent="0.25">
      <c r="A184" s="155"/>
      <c r="G184" s="126"/>
      <c r="H184" s="138">
        <v>179</v>
      </c>
      <c r="I184" s="139" t="str">
        <f t="shared" si="10"/>
        <v/>
      </c>
      <c r="J184" s="138">
        <f t="shared" si="13"/>
        <v>-4</v>
      </c>
      <c r="K184" s="138">
        <f t="shared" si="11"/>
        <v>-40</v>
      </c>
      <c r="L184" s="138"/>
      <c r="M184" s="140">
        <f t="shared" si="12"/>
        <v>0</v>
      </c>
    </row>
    <row r="185" spans="1:13" x14ac:dyDescent="0.25">
      <c r="A185" s="155"/>
      <c r="G185" s="126"/>
      <c r="H185" s="138">
        <v>180</v>
      </c>
      <c r="I185" s="139" t="str">
        <f t="shared" si="10"/>
        <v/>
      </c>
      <c r="J185" s="138">
        <f t="shared" si="13"/>
        <v>-4</v>
      </c>
      <c r="K185" s="138">
        <f t="shared" si="11"/>
        <v>-40</v>
      </c>
      <c r="L185" s="138"/>
      <c r="M185" s="140">
        <f t="shared" si="12"/>
        <v>0</v>
      </c>
    </row>
    <row r="186" spans="1:13" x14ac:dyDescent="0.25">
      <c r="A186" s="155"/>
      <c r="G186" s="126"/>
      <c r="H186" s="138">
        <v>181</v>
      </c>
      <c r="I186" s="139" t="str">
        <f t="shared" si="10"/>
        <v/>
      </c>
      <c r="J186" s="138">
        <f t="shared" si="13"/>
        <v>-4</v>
      </c>
      <c r="K186" s="138">
        <f t="shared" si="11"/>
        <v>-40</v>
      </c>
      <c r="L186" s="138"/>
      <c r="M186" s="140">
        <f t="shared" si="12"/>
        <v>0</v>
      </c>
    </row>
    <row r="187" spans="1:13" x14ac:dyDescent="0.25">
      <c r="A187" s="155"/>
      <c r="G187" s="126"/>
      <c r="H187" s="138">
        <v>182</v>
      </c>
      <c r="I187" s="139" t="str">
        <f t="shared" si="10"/>
        <v/>
      </c>
      <c r="J187" s="138">
        <f t="shared" si="13"/>
        <v>-4</v>
      </c>
      <c r="K187" s="138">
        <f t="shared" si="11"/>
        <v>-40</v>
      </c>
      <c r="L187" s="138"/>
      <c r="M187" s="140">
        <f t="shared" si="12"/>
        <v>0</v>
      </c>
    </row>
    <row r="188" spans="1:13" x14ac:dyDescent="0.25">
      <c r="A188" s="155"/>
      <c r="G188" s="126"/>
      <c r="H188" s="138">
        <v>183</v>
      </c>
      <c r="I188" s="139" t="str">
        <f t="shared" si="10"/>
        <v/>
      </c>
      <c r="J188" s="138">
        <f t="shared" si="13"/>
        <v>-4</v>
      </c>
      <c r="K188" s="138">
        <f t="shared" si="11"/>
        <v>-40</v>
      </c>
      <c r="L188" s="138"/>
      <c r="M188" s="140">
        <f t="shared" si="12"/>
        <v>0</v>
      </c>
    </row>
    <row r="189" spans="1:13" x14ac:dyDescent="0.25">
      <c r="A189" s="155"/>
      <c r="G189" s="126"/>
      <c r="H189" s="138">
        <v>184</v>
      </c>
      <c r="I189" s="139" t="str">
        <f t="shared" si="10"/>
        <v/>
      </c>
      <c r="J189" s="138">
        <f t="shared" si="13"/>
        <v>-4</v>
      </c>
      <c r="K189" s="138">
        <f t="shared" si="11"/>
        <v>-40</v>
      </c>
      <c r="L189" s="138"/>
      <c r="M189" s="140">
        <f t="shared" si="12"/>
        <v>0</v>
      </c>
    </row>
    <row r="190" spans="1:13" x14ac:dyDescent="0.25">
      <c r="A190" s="155"/>
      <c r="G190" s="126"/>
      <c r="H190" s="138">
        <v>185</v>
      </c>
      <c r="I190" s="139" t="str">
        <f t="shared" si="10"/>
        <v/>
      </c>
      <c r="J190" s="138">
        <f t="shared" si="13"/>
        <v>-4</v>
      </c>
      <c r="K190" s="138">
        <f t="shared" si="11"/>
        <v>-40</v>
      </c>
      <c r="L190" s="138"/>
      <c r="M190" s="140">
        <f t="shared" si="12"/>
        <v>0</v>
      </c>
    </row>
    <row r="191" spans="1:13" x14ac:dyDescent="0.25">
      <c r="A191" s="155"/>
      <c r="G191" s="126"/>
      <c r="H191" s="138">
        <v>186</v>
      </c>
      <c r="I191" s="139" t="str">
        <f t="shared" si="10"/>
        <v/>
      </c>
      <c r="J191" s="138">
        <f t="shared" si="13"/>
        <v>-4</v>
      </c>
      <c r="K191" s="138">
        <f t="shared" si="11"/>
        <v>-40</v>
      </c>
      <c r="L191" s="138"/>
      <c r="M191" s="140">
        <f t="shared" si="12"/>
        <v>0</v>
      </c>
    </row>
    <row r="192" spans="1:13" x14ac:dyDescent="0.25">
      <c r="A192" s="155"/>
      <c r="G192" s="126"/>
      <c r="H192" s="138">
        <v>187</v>
      </c>
      <c r="I192" s="139" t="str">
        <f t="shared" si="10"/>
        <v/>
      </c>
      <c r="J192" s="138">
        <f t="shared" si="13"/>
        <v>-4</v>
      </c>
      <c r="K192" s="138">
        <f t="shared" si="11"/>
        <v>-40</v>
      </c>
      <c r="L192" s="138"/>
      <c r="M192" s="140">
        <f t="shared" si="12"/>
        <v>0</v>
      </c>
    </row>
    <row r="193" spans="1:13" x14ac:dyDescent="0.25">
      <c r="A193" s="155"/>
      <c r="G193" s="126"/>
      <c r="H193" s="138">
        <v>188</v>
      </c>
      <c r="I193" s="139" t="str">
        <f t="shared" si="10"/>
        <v/>
      </c>
      <c r="J193" s="138">
        <f t="shared" si="13"/>
        <v>-4</v>
      </c>
      <c r="K193" s="138">
        <f t="shared" si="11"/>
        <v>-40</v>
      </c>
      <c r="L193" s="138"/>
      <c r="M193" s="140">
        <f t="shared" si="12"/>
        <v>0</v>
      </c>
    </row>
    <row r="194" spans="1:13" x14ac:dyDescent="0.25">
      <c r="A194" s="155"/>
      <c r="G194" s="126"/>
      <c r="H194" s="138">
        <v>189</v>
      </c>
      <c r="I194" s="139" t="str">
        <f t="shared" si="10"/>
        <v/>
      </c>
      <c r="J194" s="138">
        <f t="shared" si="13"/>
        <v>-4</v>
      </c>
      <c r="K194" s="138">
        <f t="shared" si="11"/>
        <v>-40</v>
      </c>
      <c r="L194" s="138"/>
      <c r="M194" s="140">
        <f t="shared" si="12"/>
        <v>0</v>
      </c>
    </row>
    <row r="195" spans="1:13" x14ac:dyDescent="0.25">
      <c r="A195" s="155"/>
      <c r="G195" s="126"/>
      <c r="H195" s="138">
        <v>190</v>
      </c>
      <c r="I195" s="139" t="str">
        <f t="shared" si="10"/>
        <v/>
      </c>
      <c r="J195" s="138">
        <f t="shared" si="13"/>
        <v>-4</v>
      </c>
      <c r="K195" s="138">
        <f t="shared" si="11"/>
        <v>-40</v>
      </c>
      <c r="L195" s="138"/>
      <c r="M195" s="140">
        <f t="shared" si="12"/>
        <v>0</v>
      </c>
    </row>
    <row r="196" spans="1:13" x14ac:dyDescent="0.25">
      <c r="A196" s="155"/>
      <c r="G196" s="126"/>
      <c r="H196" s="138">
        <v>191</v>
      </c>
      <c r="I196" s="139" t="str">
        <f t="shared" si="10"/>
        <v/>
      </c>
      <c r="J196" s="138">
        <f t="shared" si="13"/>
        <v>-4</v>
      </c>
      <c r="K196" s="138">
        <f t="shared" si="11"/>
        <v>-40</v>
      </c>
      <c r="L196" s="138"/>
      <c r="M196" s="140">
        <f t="shared" si="12"/>
        <v>0</v>
      </c>
    </row>
    <row r="197" spans="1:13" x14ac:dyDescent="0.25">
      <c r="A197" s="155"/>
      <c r="G197" s="126"/>
      <c r="H197" s="138">
        <v>192</v>
      </c>
      <c r="I197" s="139" t="str">
        <f t="shared" si="10"/>
        <v/>
      </c>
      <c r="J197" s="138">
        <f t="shared" si="13"/>
        <v>-4</v>
      </c>
      <c r="K197" s="138">
        <f t="shared" si="11"/>
        <v>-40</v>
      </c>
      <c r="L197" s="138"/>
      <c r="M197" s="140">
        <f t="shared" si="12"/>
        <v>0</v>
      </c>
    </row>
    <row r="198" spans="1:13" x14ac:dyDescent="0.25">
      <c r="A198" s="155"/>
      <c r="G198" s="126"/>
      <c r="H198" s="138">
        <v>193</v>
      </c>
      <c r="I198" s="139" t="str">
        <f t="shared" ref="I198:I261" si="14">IF(H198&lt;$H$2+1,($I$2-($I$2-1)*(LOG(H198)/LOG($H$2))),"")</f>
        <v/>
      </c>
      <c r="J198" s="138">
        <f t="shared" si="13"/>
        <v>-4</v>
      </c>
      <c r="K198" s="138">
        <f t="shared" ref="K198:K261" si="15">J198*$J$2</f>
        <v>-40</v>
      </c>
      <c r="L198" s="138"/>
      <c r="M198" s="140">
        <f t="shared" ref="M198:M261" si="16">IF(I198&lt;&gt;"",K198+I198+L198,0)</f>
        <v>0</v>
      </c>
    </row>
    <row r="199" spans="1:13" x14ac:dyDescent="0.25">
      <c r="A199" s="155"/>
      <c r="G199" s="126"/>
      <c r="H199" s="138">
        <v>194</v>
      </c>
      <c r="I199" s="139" t="str">
        <f t="shared" si="14"/>
        <v/>
      </c>
      <c r="J199" s="138">
        <f t="shared" ref="J199:J262" si="17">INT(LOG($H$2,2))-ROUNDUP(LOG(H199,2),0)+IF(OR($H$2=1,$H$2=2,$H$2=4,$H$2=8,$H$2=16,$H$2=32,$H$2=64,$H$2=128,$H$2=256),0,1)</f>
        <v>-4</v>
      </c>
      <c r="K199" s="138">
        <f t="shared" si="15"/>
        <v>-40</v>
      </c>
      <c r="L199" s="138"/>
      <c r="M199" s="140">
        <f t="shared" si="16"/>
        <v>0</v>
      </c>
    </row>
    <row r="200" spans="1:13" x14ac:dyDescent="0.25">
      <c r="A200" s="155"/>
      <c r="G200" s="126"/>
      <c r="H200" s="138">
        <v>195</v>
      </c>
      <c r="I200" s="139" t="str">
        <f t="shared" si="14"/>
        <v/>
      </c>
      <c r="J200" s="138">
        <f t="shared" si="17"/>
        <v>-4</v>
      </c>
      <c r="K200" s="138">
        <f t="shared" si="15"/>
        <v>-40</v>
      </c>
      <c r="L200" s="138"/>
      <c r="M200" s="140">
        <f t="shared" si="16"/>
        <v>0</v>
      </c>
    </row>
    <row r="201" spans="1:13" x14ac:dyDescent="0.25">
      <c r="A201" s="155"/>
      <c r="G201" s="126"/>
      <c r="H201" s="138">
        <v>196</v>
      </c>
      <c r="I201" s="139" t="str">
        <f t="shared" si="14"/>
        <v/>
      </c>
      <c r="J201" s="138">
        <f t="shared" si="17"/>
        <v>-4</v>
      </c>
      <c r="K201" s="138">
        <f t="shared" si="15"/>
        <v>-40</v>
      </c>
      <c r="L201" s="138"/>
      <c r="M201" s="140">
        <f t="shared" si="16"/>
        <v>0</v>
      </c>
    </row>
    <row r="202" spans="1:13" x14ac:dyDescent="0.25">
      <c r="A202" s="155"/>
      <c r="G202" s="126"/>
      <c r="H202" s="138">
        <v>197</v>
      </c>
      <c r="I202" s="139" t="str">
        <f t="shared" si="14"/>
        <v/>
      </c>
      <c r="J202" s="138">
        <f t="shared" si="17"/>
        <v>-4</v>
      </c>
      <c r="K202" s="138">
        <f t="shared" si="15"/>
        <v>-40</v>
      </c>
      <c r="L202" s="138"/>
      <c r="M202" s="140">
        <f t="shared" si="16"/>
        <v>0</v>
      </c>
    </row>
    <row r="203" spans="1:13" x14ac:dyDescent="0.25">
      <c r="A203" s="155"/>
      <c r="G203" s="126"/>
      <c r="H203" s="138">
        <v>198</v>
      </c>
      <c r="I203" s="139" t="str">
        <f t="shared" si="14"/>
        <v/>
      </c>
      <c r="J203" s="138">
        <f t="shared" si="17"/>
        <v>-4</v>
      </c>
      <c r="K203" s="138">
        <f t="shared" si="15"/>
        <v>-40</v>
      </c>
      <c r="L203" s="138"/>
      <c r="M203" s="140">
        <f t="shared" si="16"/>
        <v>0</v>
      </c>
    </row>
    <row r="204" spans="1:13" x14ac:dyDescent="0.25">
      <c r="A204" s="155"/>
      <c r="G204" s="126"/>
      <c r="H204" s="138">
        <v>199</v>
      </c>
      <c r="I204" s="139" t="str">
        <f t="shared" si="14"/>
        <v/>
      </c>
      <c r="J204" s="138">
        <f t="shared" si="17"/>
        <v>-4</v>
      </c>
      <c r="K204" s="138">
        <f t="shared" si="15"/>
        <v>-40</v>
      </c>
      <c r="L204" s="138"/>
      <c r="M204" s="140">
        <f t="shared" si="16"/>
        <v>0</v>
      </c>
    </row>
    <row r="205" spans="1:13" x14ac:dyDescent="0.25">
      <c r="A205" s="155"/>
      <c r="G205" s="126"/>
      <c r="H205" s="138">
        <v>200</v>
      </c>
      <c r="I205" s="139" t="str">
        <f t="shared" si="14"/>
        <v/>
      </c>
      <c r="J205" s="138">
        <f t="shared" si="17"/>
        <v>-4</v>
      </c>
      <c r="K205" s="138">
        <f t="shared" si="15"/>
        <v>-40</v>
      </c>
      <c r="L205" s="138"/>
      <c r="M205" s="140">
        <f t="shared" si="16"/>
        <v>0</v>
      </c>
    </row>
    <row r="206" spans="1:13" x14ac:dyDescent="0.25">
      <c r="A206" s="155"/>
      <c r="G206" s="126"/>
      <c r="H206" s="138">
        <v>201</v>
      </c>
      <c r="I206" s="139" t="str">
        <f t="shared" si="14"/>
        <v/>
      </c>
      <c r="J206" s="138">
        <f t="shared" si="17"/>
        <v>-4</v>
      </c>
      <c r="K206" s="138">
        <f t="shared" si="15"/>
        <v>-40</v>
      </c>
      <c r="L206" s="138"/>
      <c r="M206" s="140">
        <f t="shared" si="16"/>
        <v>0</v>
      </c>
    </row>
    <row r="207" spans="1:13" x14ac:dyDescent="0.25">
      <c r="A207" s="155"/>
      <c r="G207" s="126"/>
      <c r="H207" s="138">
        <v>202</v>
      </c>
      <c r="I207" s="139" t="str">
        <f t="shared" si="14"/>
        <v/>
      </c>
      <c r="J207" s="138">
        <f t="shared" si="17"/>
        <v>-4</v>
      </c>
      <c r="K207" s="138">
        <f t="shared" si="15"/>
        <v>-40</v>
      </c>
      <c r="L207" s="138"/>
      <c r="M207" s="140">
        <f t="shared" si="16"/>
        <v>0</v>
      </c>
    </row>
    <row r="208" spans="1:13" x14ac:dyDescent="0.25">
      <c r="A208" s="155"/>
      <c r="G208" s="126"/>
      <c r="H208" s="138">
        <v>203</v>
      </c>
      <c r="I208" s="139" t="str">
        <f t="shared" si="14"/>
        <v/>
      </c>
      <c r="J208" s="138">
        <f t="shared" si="17"/>
        <v>-4</v>
      </c>
      <c r="K208" s="138">
        <f t="shared" si="15"/>
        <v>-40</v>
      </c>
      <c r="L208" s="138"/>
      <c r="M208" s="140">
        <f t="shared" si="16"/>
        <v>0</v>
      </c>
    </row>
    <row r="209" spans="1:13" x14ac:dyDescent="0.25">
      <c r="A209" s="155"/>
      <c r="G209" s="126"/>
      <c r="H209" s="138">
        <v>204</v>
      </c>
      <c r="I209" s="139" t="str">
        <f t="shared" si="14"/>
        <v/>
      </c>
      <c r="J209" s="138">
        <f t="shared" si="17"/>
        <v>-4</v>
      </c>
      <c r="K209" s="138">
        <f t="shared" si="15"/>
        <v>-40</v>
      </c>
      <c r="L209" s="138"/>
      <c r="M209" s="140">
        <f t="shared" si="16"/>
        <v>0</v>
      </c>
    </row>
    <row r="210" spans="1:13" x14ac:dyDescent="0.25">
      <c r="A210" s="155"/>
      <c r="G210" s="126"/>
      <c r="H210" s="138">
        <v>205</v>
      </c>
      <c r="I210" s="139" t="str">
        <f t="shared" si="14"/>
        <v/>
      </c>
      <c r="J210" s="138">
        <f t="shared" si="17"/>
        <v>-4</v>
      </c>
      <c r="K210" s="138">
        <f t="shared" si="15"/>
        <v>-40</v>
      </c>
      <c r="L210" s="138"/>
      <c r="M210" s="140">
        <f t="shared" si="16"/>
        <v>0</v>
      </c>
    </row>
    <row r="211" spans="1:13" x14ac:dyDescent="0.25">
      <c r="A211" s="155"/>
      <c r="G211" s="126"/>
      <c r="H211" s="138">
        <v>206</v>
      </c>
      <c r="I211" s="139" t="str">
        <f t="shared" si="14"/>
        <v/>
      </c>
      <c r="J211" s="138">
        <f t="shared" si="17"/>
        <v>-4</v>
      </c>
      <c r="K211" s="138">
        <f t="shared" si="15"/>
        <v>-40</v>
      </c>
      <c r="L211" s="138"/>
      <c r="M211" s="140">
        <f t="shared" si="16"/>
        <v>0</v>
      </c>
    </row>
    <row r="212" spans="1:13" x14ac:dyDescent="0.25">
      <c r="A212" s="155"/>
      <c r="G212" s="126"/>
      <c r="H212" s="138">
        <v>207</v>
      </c>
      <c r="I212" s="139" t="str">
        <f t="shared" si="14"/>
        <v/>
      </c>
      <c r="J212" s="138">
        <f t="shared" si="17"/>
        <v>-4</v>
      </c>
      <c r="K212" s="138">
        <f t="shared" si="15"/>
        <v>-40</v>
      </c>
      <c r="L212" s="138"/>
      <c r="M212" s="140">
        <f t="shared" si="16"/>
        <v>0</v>
      </c>
    </row>
    <row r="213" spans="1:13" x14ac:dyDescent="0.25">
      <c r="A213" s="155"/>
      <c r="G213" s="126"/>
      <c r="H213" s="138">
        <v>208</v>
      </c>
      <c r="I213" s="139" t="str">
        <f t="shared" si="14"/>
        <v/>
      </c>
      <c r="J213" s="138">
        <f t="shared" si="17"/>
        <v>-4</v>
      </c>
      <c r="K213" s="138">
        <f t="shared" si="15"/>
        <v>-40</v>
      </c>
      <c r="L213" s="138"/>
      <c r="M213" s="140">
        <f t="shared" si="16"/>
        <v>0</v>
      </c>
    </row>
    <row r="214" spans="1:13" x14ac:dyDescent="0.25">
      <c r="A214" s="155"/>
      <c r="G214" s="126"/>
      <c r="H214" s="138">
        <v>209</v>
      </c>
      <c r="I214" s="139" t="str">
        <f t="shared" si="14"/>
        <v/>
      </c>
      <c r="J214" s="138">
        <f t="shared" si="17"/>
        <v>-4</v>
      </c>
      <c r="K214" s="138">
        <f t="shared" si="15"/>
        <v>-40</v>
      </c>
      <c r="L214" s="138"/>
      <c r="M214" s="140">
        <f t="shared" si="16"/>
        <v>0</v>
      </c>
    </row>
    <row r="215" spans="1:13" x14ac:dyDescent="0.25">
      <c r="A215" s="155"/>
      <c r="G215" s="126"/>
      <c r="H215" s="138">
        <v>210</v>
      </c>
      <c r="I215" s="139" t="str">
        <f t="shared" si="14"/>
        <v/>
      </c>
      <c r="J215" s="138">
        <f t="shared" si="17"/>
        <v>-4</v>
      </c>
      <c r="K215" s="138">
        <f t="shared" si="15"/>
        <v>-40</v>
      </c>
      <c r="L215" s="138"/>
      <c r="M215" s="140">
        <f t="shared" si="16"/>
        <v>0</v>
      </c>
    </row>
    <row r="216" spans="1:13" x14ac:dyDescent="0.25">
      <c r="A216" s="155"/>
      <c r="G216" s="126"/>
      <c r="H216" s="138">
        <v>211</v>
      </c>
      <c r="I216" s="139" t="str">
        <f t="shared" si="14"/>
        <v/>
      </c>
      <c r="J216" s="138">
        <f t="shared" si="17"/>
        <v>-4</v>
      </c>
      <c r="K216" s="138">
        <f t="shared" si="15"/>
        <v>-40</v>
      </c>
      <c r="L216" s="138"/>
      <c r="M216" s="140">
        <f t="shared" si="16"/>
        <v>0</v>
      </c>
    </row>
    <row r="217" spans="1:13" x14ac:dyDescent="0.25">
      <c r="A217" s="155"/>
      <c r="G217" s="126"/>
      <c r="H217" s="138">
        <v>212</v>
      </c>
      <c r="I217" s="139" t="str">
        <f t="shared" si="14"/>
        <v/>
      </c>
      <c r="J217" s="138">
        <f t="shared" si="17"/>
        <v>-4</v>
      </c>
      <c r="K217" s="138">
        <f t="shared" si="15"/>
        <v>-40</v>
      </c>
      <c r="L217" s="138"/>
      <c r="M217" s="140">
        <f t="shared" si="16"/>
        <v>0</v>
      </c>
    </row>
    <row r="218" spans="1:13" x14ac:dyDescent="0.25">
      <c r="A218" s="155"/>
      <c r="G218" s="126"/>
      <c r="H218" s="138">
        <v>213</v>
      </c>
      <c r="I218" s="139" t="str">
        <f t="shared" si="14"/>
        <v/>
      </c>
      <c r="J218" s="138">
        <f t="shared" si="17"/>
        <v>-4</v>
      </c>
      <c r="K218" s="138">
        <f t="shared" si="15"/>
        <v>-40</v>
      </c>
      <c r="L218" s="138"/>
      <c r="M218" s="140">
        <f t="shared" si="16"/>
        <v>0</v>
      </c>
    </row>
    <row r="219" spans="1:13" x14ac:dyDescent="0.25">
      <c r="A219" s="155"/>
      <c r="G219" s="126"/>
      <c r="H219" s="138">
        <v>214</v>
      </c>
      <c r="I219" s="139" t="str">
        <f t="shared" si="14"/>
        <v/>
      </c>
      <c r="J219" s="138">
        <f t="shared" si="17"/>
        <v>-4</v>
      </c>
      <c r="K219" s="138">
        <f t="shared" si="15"/>
        <v>-40</v>
      </c>
      <c r="L219" s="138"/>
      <c r="M219" s="140">
        <f t="shared" si="16"/>
        <v>0</v>
      </c>
    </row>
    <row r="220" spans="1:13" x14ac:dyDescent="0.25">
      <c r="A220" s="155"/>
      <c r="G220" s="126"/>
      <c r="H220" s="138">
        <v>215</v>
      </c>
      <c r="I220" s="139" t="str">
        <f t="shared" si="14"/>
        <v/>
      </c>
      <c r="J220" s="138">
        <f t="shared" si="17"/>
        <v>-4</v>
      </c>
      <c r="K220" s="138">
        <f t="shared" si="15"/>
        <v>-40</v>
      </c>
      <c r="L220" s="138"/>
      <c r="M220" s="140">
        <f t="shared" si="16"/>
        <v>0</v>
      </c>
    </row>
    <row r="221" spans="1:13" x14ac:dyDescent="0.25">
      <c r="A221" s="155"/>
      <c r="G221" s="126"/>
      <c r="H221" s="138">
        <v>216</v>
      </c>
      <c r="I221" s="139" t="str">
        <f t="shared" si="14"/>
        <v/>
      </c>
      <c r="J221" s="138">
        <f t="shared" si="17"/>
        <v>-4</v>
      </c>
      <c r="K221" s="138">
        <f t="shared" si="15"/>
        <v>-40</v>
      </c>
      <c r="L221" s="138"/>
      <c r="M221" s="140">
        <f t="shared" si="16"/>
        <v>0</v>
      </c>
    </row>
    <row r="222" spans="1:13" x14ac:dyDescent="0.25">
      <c r="A222" s="155"/>
      <c r="G222" s="126"/>
      <c r="H222" s="138">
        <v>217</v>
      </c>
      <c r="I222" s="139" t="str">
        <f t="shared" si="14"/>
        <v/>
      </c>
      <c r="J222" s="138">
        <f t="shared" si="17"/>
        <v>-4</v>
      </c>
      <c r="K222" s="138">
        <f t="shared" si="15"/>
        <v>-40</v>
      </c>
      <c r="L222" s="138"/>
      <c r="M222" s="140">
        <f t="shared" si="16"/>
        <v>0</v>
      </c>
    </row>
    <row r="223" spans="1:13" x14ac:dyDescent="0.25">
      <c r="A223" s="155"/>
      <c r="G223" s="126"/>
      <c r="H223" s="138">
        <v>218</v>
      </c>
      <c r="I223" s="139" t="str">
        <f t="shared" si="14"/>
        <v/>
      </c>
      <c r="J223" s="138">
        <f t="shared" si="17"/>
        <v>-4</v>
      </c>
      <c r="K223" s="138">
        <f t="shared" si="15"/>
        <v>-40</v>
      </c>
      <c r="L223" s="138"/>
      <c r="M223" s="140">
        <f t="shared" si="16"/>
        <v>0</v>
      </c>
    </row>
    <row r="224" spans="1:13" x14ac:dyDescent="0.25">
      <c r="A224" s="155"/>
      <c r="G224" s="126"/>
      <c r="H224" s="138">
        <v>219</v>
      </c>
      <c r="I224" s="139" t="str">
        <f t="shared" si="14"/>
        <v/>
      </c>
      <c r="J224" s="138">
        <f t="shared" si="17"/>
        <v>-4</v>
      </c>
      <c r="K224" s="138">
        <f t="shared" si="15"/>
        <v>-40</v>
      </c>
      <c r="L224" s="138"/>
      <c r="M224" s="140">
        <f t="shared" si="16"/>
        <v>0</v>
      </c>
    </row>
    <row r="225" spans="1:13" x14ac:dyDescent="0.25">
      <c r="A225" s="155"/>
      <c r="G225" s="126"/>
      <c r="H225" s="138">
        <v>220</v>
      </c>
      <c r="I225" s="139" t="str">
        <f t="shared" si="14"/>
        <v/>
      </c>
      <c r="J225" s="138">
        <f t="shared" si="17"/>
        <v>-4</v>
      </c>
      <c r="K225" s="138">
        <f t="shared" si="15"/>
        <v>-40</v>
      </c>
      <c r="L225" s="138"/>
      <c r="M225" s="140">
        <f t="shared" si="16"/>
        <v>0</v>
      </c>
    </row>
    <row r="226" spans="1:13" x14ac:dyDescent="0.25">
      <c r="A226" s="155"/>
      <c r="G226" s="126"/>
      <c r="H226" s="138">
        <v>221</v>
      </c>
      <c r="I226" s="139" t="str">
        <f t="shared" si="14"/>
        <v/>
      </c>
      <c r="J226" s="138">
        <f t="shared" si="17"/>
        <v>-4</v>
      </c>
      <c r="K226" s="138">
        <f t="shared" si="15"/>
        <v>-40</v>
      </c>
      <c r="L226" s="138"/>
      <c r="M226" s="140">
        <f t="shared" si="16"/>
        <v>0</v>
      </c>
    </row>
    <row r="227" spans="1:13" x14ac:dyDescent="0.25">
      <c r="A227" s="155"/>
      <c r="G227" s="126"/>
      <c r="H227" s="138">
        <v>222</v>
      </c>
      <c r="I227" s="139" t="str">
        <f t="shared" si="14"/>
        <v/>
      </c>
      <c r="J227" s="138">
        <f t="shared" si="17"/>
        <v>-4</v>
      </c>
      <c r="K227" s="138">
        <f t="shared" si="15"/>
        <v>-40</v>
      </c>
      <c r="L227" s="138"/>
      <c r="M227" s="140">
        <f t="shared" si="16"/>
        <v>0</v>
      </c>
    </row>
    <row r="228" spans="1:13" x14ac:dyDescent="0.25">
      <c r="A228" s="155"/>
      <c r="G228" s="126"/>
      <c r="H228" s="138">
        <v>223</v>
      </c>
      <c r="I228" s="139" t="str">
        <f t="shared" si="14"/>
        <v/>
      </c>
      <c r="J228" s="138">
        <f t="shared" si="17"/>
        <v>-4</v>
      </c>
      <c r="K228" s="138">
        <f t="shared" si="15"/>
        <v>-40</v>
      </c>
      <c r="L228" s="138"/>
      <c r="M228" s="140">
        <f t="shared" si="16"/>
        <v>0</v>
      </c>
    </row>
    <row r="229" spans="1:13" x14ac:dyDescent="0.25">
      <c r="A229" s="155"/>
      <c r="G229" s="126"/>
      <c r="H229" s="138">
        <v>224</v>
      </c>
      <c r="I229" s="139" t="str">
        <f t="shared" si="14"/>
        <v/>
      </c>
      <c r="J229" s="138">
        <f t="shared" si="17"/>
        <v>-4</v>
      </c>
      <c r="K229" s="138">
        <f t="shared" si="15"/>
        <v>-40</v>
      </c>
      <c r="L229" s="138"/>
      <c r="M229" s="140">
        <f t="shared" si="16"/>
        <v>0</v>
      </c>
    </row>
    <row r="230" spans="1:13" x14ac:dyDescent="0.25">
      <c r="A230" s="155"/>
      <c r="G230" s="126"/>
      <c r="H230" s="138">
        <v>225</v>
      </c>
      <c r="I230" s="139" t="str">
        <f t="shared" si="14"/>
        <v/>
      </c>
      <c r="J230" s="138">
        <f t="shared" si="17"/>
        <v>-4</v>
      </c>
      <c r="K230" s="138">
        <f t="shared" si="15"/>
        <v>-40</v>
      </c>
      <c r="L230" s="138"/>
      <c r="M230" s="140">
        <f t="shared" si="16"/>
        <v>0</v>
      </c>
    </row>
    <row r="231" spans="1:13" x14ac:dyDescent="0.25">
      <c r="A231" s="155"/>
      <c r="G231" s="126"/>
      <c r="H231" s="138">
        <v>226</v>
      </c>
      <c r="I231" s="139" t="str">
        <f t="shared" si="14"/>
        <v/>
      </c>
      <c r="J231" s="138">
        <f t="shared" si="17"/>
        <v>-4</v>
      </c>
      <c r="K231" s="138">
        <f t="shared" si="15"/>
        <v>-40</v>
      </c>
      <c r="L231" s="138"/>
      <c r="M231" s="140">
        <f t="shared" si="16"/>
        <v>0</v>
      </c>
    </row>
    <row r="232" spans="1:13" x14ac:dyDescent="0.25">
      <c r="A232" s="155"/>
      <c r="G232" s="126"/>
      <c r="H232" s="138">
        <v>227</v>
      </c>
      <c r="I232" s="139" t="str">
        <f t="shared" si="14"/>
        <v/>
      </c>
      <c r="J232" s="138">
        <f t="shared" si="17"/>
        <v>-4</v>
      </c>
      <c r="K232" s="138">
        <f t="shared" si="15"/>
        <v>-40</v>
      </c>
      <c r="L232" s="138"/>
      <c r="M232" s="140">
        <f t="shared" si="16"/>
        <v>0</v>
      </c>
    </row>
    <row r="233" spans="1:13" x14ac:dyDescent="0.25">
      <c r="A233" s="155"/>
      <c r="G233" s="126"/>
      <c r="H233" s="138">
        <v>228</v>
      </c>
      <c r="I233" s="139" t="str">
        <f t="shared" si="14"/>
        <v/>
      </c>
      <c r="J233" s="138">
        <f t="shared" si="17"/>
        <v>-4</v>
      </c>
      <c r="K233" s="138">
        <f t="shared" si="15"/>
        <v>-40</v>
      </c>
      <c r="L233" s="138"/>
      <c r="M233" s="140">
        <f t="shared" si="16"/>
        <v>0</v>
      </c>
    </row>
    <row r="234" spans="1:13" x14ac:dyDescent="0.25">
      <c r="A234" s="155"/>
      <c r="G234" s="126"/>
      <c r="H234" s="138">
        <v>229</v>
      </c>
      <c r="I234" s="139" t="str">
        <f t="shared" si="14"/>
        <v/>
      </c>
      <c r="J234" s="138">
        <f t="shared" si="17"/>
        <v>-4</v>
      </c>
      <c r="K234" s="138">
        <f t="shared" si="15"/>
        <v>-40</v>
      </c>
      <c r="L234" s="138"/>
      <c r="M234" s="140">
        <f t="shared" si="16"/>
        <v>0</v>
      </c>
    </row>
    <row r="235" spans="1:13" x14ac:dyDescent="0.25">
      <c r="A235" s="155"/>
      <c r="G235" s="126"/>
      <c r="H235" s="138">
        <v>230</v>
      </c>
      <c r="I235" s="139" t="str">
        <f t="shared" si="14"/>
        <v/>
      </c>
      <c r="J235" s="138">
        <f t="shared" si="17"/>
        <v>-4</v>
      </c>
      <c r="K235" s="138">
        <f t="shared" si="15"/>
        <v>-40</v>
      </c>
      <c r="L235" s="138"/>
      <c r="M235" s="140">
        <f t="shared" si="16"/>
        <v>0</v>
      </c>
    </row>
    <row r="236" spans="1:13" x14ac:dyDescent="0.25">
      <c r="A236" s="155"/>
      <c r="G236" s="126"/>
      <c r="H236" s="138">
        <v>231</v>
      </c>
      <c r="I236" s="139" t="str">
        <f t="shared" si="14"/>
        <v/>
      </c>
      <c r="J236" s="138">
        <f t="shared" si="17"/>
        <v>-4</v>
      </c>
      <c r="K236" s="138">
        <f t="shared" si="15"/>
        <v>-40</v>
      </c>
      <c r="L236" s="138"/>
      <c r="M236" s="140">
        <f t="shared" si="16"/>
        <v>0</v>
      </c>
    </row>
    <row r="237" spans="1:13" x14ac:dyDescent="0.25">
      <c r="A237" s="155"/>
      <c r="G237" s="126"/>
      <c r="H237" s="138">
        <v>232</v>
      </c>
      <c r="I237" s="139" t="str">
        <f t="shared" si="14"/>
        <v/>
      </c>
      <c r="J237" s="138">
        <f t="shared" si="17"/>
        <v>-4</v>
      </c>
      <c r="K237" s="138">
        <f t="shared" si="15"/>
        <v>-40</v>
      </c>
      <c r="L237" s="138"/>
      <c r="M237" s="140">
        <f t="shared" si="16"/>
        <v>0</v>
      </c>
    </row>
    <row r="238" spans="1:13" x14ac:dyDescent="0.25">
      <c r="A238" s="155"/>
      <c r="G238" s="126"/>
      <c r="H238" s="138">
        <v>233</v>
      </c>
      <c r="I238" s="139" t="str">
        <f t="shared" si="14"/>
        <v/>
      </c>
      <c r="J238" s="138">
        <f t="shared" si="17"/>
        <v>-4</v>
      </c>
      <c r="K238" s="138">
        <f t="shared" si="15"/>
        <v>-40</v>
      </c>
      <c r="L238" s="138"/>
      <c r="M238" s="140">
        <f t="shared" si="16"/>
        <v>0</v>
      </c>
    </row>
    <row r="239" spans="1:13" x14ac:dyDescent="0.25">
      <c r="A239" s="155"/>
      <c r="G239" s="126"/>
      <c r="H239" s="138">
        <v>234</v>
      </c>
      <c r="I239" s="139" t="str">
        <f t="shared" si="14"/>
        <v/>
      </c>
      <c r="J239" s="138">
        <f t="shared" si="17"/>
        <v>-4</v>
      </c>
      <c r="K239" s="138">
        <f t="shared" si="15"/>
        <v>-40</v>
      </c>
      <c r="L239" s="138"/>
      <c r="M239" s="140">
        <f t="shared" si="16"/>
        <v>0</v>
      </c>
    </row>
    <row r="240" spans="1:13" x14ac:dyDescent="0.25">
      <c r="A240" s="155"/>
      <c r="G240" s="126"/>
      <c r="H240" s="138">
        <v>235</v>
      </c>
      <c r="I240" s="139" t="str">
        <f t="shared" si="14"/>
        <v/>
      </c>
      <c r="J240" s="138">
        <f t="shared" si="17"/>
        <v>-4</v>
      </c>
      <c r="K240" s="138">
        <f t="shared" si="15"/>
        <v>-40</v>
      </c>
      <c r="L240" s="138"/>
      <c r="M240" s="140">
        <f t="shared" si="16"/>
        <v>0</v>
      </c>
    </row>
    <row r="241" spans="1:13" x14ac:dyDescent="0.25">
      <c r="A241" s="155"/>
      <c r="G241" s="126"/>
      <c r="H241" s="138">
        <v>236</v>
      </c>
      <c r="I241" s="139" t="str">
        <f t="shared" si="14"/>
        <v/>
      </c>
      <c r="J241" s="138">
        <f t="shared" si="17"/>
        <v>-4</v>
      </c>
      <c r="K241" s="138">
        <f t="shared" si="15"/>
        <v>-40</v>
      </c>
      <c r="L241" s="138"/>
      <c r="M241" s="140">
        <f t="shared" si="16"/>
        <v>0</v>
      </c>
    </row>
    <row r="242" spans="1:13" x14ac:dyDescent="0.25">
      <c r="A242" s="155"/>
      <c r="G242" s="126"/>
      <c r="H242" s="138">
        <v>237</v>
      </c>
      <c r="I242" s="139" t="str">
        <f t="shared" si="14"/>
        <v/>
      </c>
      <c r="J242" s="138">
        <f t="shared" si="17"/>
        <v>-4</v>
      </c>
      <c r="K242" s="138">
        <f t="shared" si="15"/>
        <v>-40</v>
      </c>
      <c r="L242" s="138"/>
      <c r="M242" s="140">
        <f t="shared" si="16"/>
        <v>0</v>
      </c>
    </row>
    <row r="243" spans="1:13" x14ac:dyDescent="0.25">
      <c r="A243" s="155"/>
      <c r="G243" s="126"/>
      <c r="H243" s="138">
        <v>238</v>
      </c>
      <c r="I243" s="139" t="str">
        <f t="shared" si="14"/>
        <v/>
      </c>
      <c r="J243" s="138">
        <f t="shared" si="17"/>
        <v>-4</v>
      </c>
      <c r="K243" s="138">
        <f t="shared" si="15"/>
        <v>-40</v>
      </c>
      <c r="L243" s="138"/>
      <c r="M243" s="140">
        <f t="shared" si="16"/>
        <v>0</v>
      </c>
    </row>
    <row r="244" spans="1:13" x14ac:dyDescent="0.25">
      <c r="A244" s="155"/>
      <c r="G244" s="126"/>
      <c r="H244" s="138">
        <v>239</v>
      </c>
      <c r="I244" s="139" t="str">
        <f t="shared" si="14"/>
        <v/>
      </c>
      <c r="J244" s="138">
        <f t="shared" si="17"/>
        <v>-4</v>
      </c>
      <c r="K244" s="138">
        <f t="shared" si="15"/>
        <v>-40</v>
      </c>
      <c r="L244" s="138"/>
      <c r="M244" s="140">
        <f t="shared" si="16"/>
        <v>0</v>
      </c>
    </row>
    <row r="245" spans="1:13" x14ac:dyDescent="0.25">
      <c r="A245" s="155"/>
      <c r="G245" s="126"/>
      <c r="H245" s="138">
        <v>240</v>
      </c>
      <c r="I245" s="139" t="str">
        <f t="shared" si="14"/>
        <v/>
      </c>
      <c r="J245" s="138">
        <f t="shared" si="17"/>
        <v>-4</v>
      </c>
      <c r="K245" s="138">
        <f t="shared" si="15"/>
        <v>-40</v>
      </c>
      <c r="L245" s="138"/>
      <c r="M245" s="140">
        <f t="shared" si="16"/>
        <v>0</v>
      </c>
    </row>
    <row r="246" spans="1:13" x14ac:dyDescent="0.25">
      <c r="A246" s="155"/>
      <c r="G246" s="126"/>
      <c r="H246" s="138">
        <v>241</v>
      </c>
      <c r="I246" s="139" t="str">
        <f t="shared" si="14"/>
        <v/>
      </c>
      <c r="J246" s="138">
        <f t="shared" si="17"/>
        <v>-4</v>
      </c>
      <c r="K246" s="138">
        <f t="shared" si="15"/>
        <v>-40</v>
      </c>
      <c r="L246" s="138"/>
      <c r="M246" s="140">
        <f t="shared" si="16"/>
        <v>0</v>
      </c>
    </row>
    <row r="247" spans="1:13" x14ac:dyDescent="0.25">
      <c r="A247" s="155"/>
      <c r="G247" s="126"/>
      <c r="H247" s="138">
        <v>242</v>
      </c>
      <c r="I247" s="139" t="str">
        <f t="shared" si="14"/>
        <v/>
      </c>
      <c r="J247" s="138">
        <f t="shared" si="17"/>
        <v>-4</v>
      </c>
      <c r="K247" s="138">
        <f t="shared" si="15"/>
        <v>-40</v>
      </c>
      <c r="L247" s="138"/>
      <c r="M247" s="140">
        <f t="shared" si="16"/>
        <v>0</v>
      </c>
    </row>
    <row r="248" spans="1:13" x14ac:dyDescent="0.25">
      <c r="A248" s="155"/>
      <c r="G248" s="126"/>
      <c r="H248" s="138">
        <v>243</v>
      </c>
      <c r="I248" s="139" t="str">
        <f t="shared" si="14"/>
        <v/>
      </c>
      <c r="J248" s="138">
        <f t="shared" si="17"/>
        <v>-4</v>
      </c>
      <c r="K248" s="138">
        <f t="shared" si="15"/>
        <v>-40</v>
      </c>
      <c r="L248" s="138"/>
      <c r="M248" s="140">
        <f t="shared" si="16"/>
        <v>0</v>
      </c>
    </row>
    <row r="249" spans="1:13" x14ac:dyDescent="0.25">
      <c r="A249" s="155"/>
      <c r="G249" s="126"/>
      <c r="H249" s="138">
        <v>244</v>
      </c>
      <c r="I249" s="139" t="str">
        <f t="shared" si="14"/>
        <v/>
      </c>
      <c r="J249" s="138">
        <f t="shared" si="17"/>
        <v>-4</v>
      </c>
      <c r="K249" s="138">
        <f t="shared" si="15"/>
        <v>-40</v>
      </c>
      <c r="L249" s="138"/>
      <c r="M249" s="140">
        <f t="shared" si="16"/>
        <v>0</v>
      </c>
    </row>
    <row r="250" spans="1:13" x14ac:dyDescent="0.25">
      <c r="A250" s="155"/>
      <c r="G250" s="126"/>
      <c r="H250" s="138">
        <v>245</v>
      </c>
      <c r="I250" s="139" t="str">
        <f t="shared" si="14"/>
        <v/>
      </c>
      <c r="J250" s="138">
        <f t="shared" si="17"/>
        <v>-4</v>
      </c>
      <c r="K250" s="138">
        <f t="shared" si="15"/>
        <v>-40</v>
      </c>
      <c r="L250" s="138"/>
      <c r="M250" s="140">
        <f t="shared" si="16"/>
        <v>0</v>
      </c>
    </row>
    <row r="251" spans="1:13" x14ac:dyDescent="0.25">
      <c r="A251" s="155"/>
      <c r="G251" s="126"/>
      <c r="H251" s="138">
        <v>246</v>
      </c>
      <c r="I251" s="139" t="str">
        <f t="shared" si="14"/>
        <v/>
      </c>
      <c r="J251" s="138">
        <f t="shared" si="17"/>
        <v>-4</v>
      </c>
      <c r="K251" s="138">
        <f t="shared" si="15"/>
        <v>-40</v>
      </c>
      <c r="L251" s="138"/>
      <c r="M251" s="140">
        <f t="shared" si="16"/>
        <v>0</v>
      </c>
    </row>
    <row r="252" spans="1:13" x14ac:dyDescent="0.25">
      <c r="A252" s="155"/>
      <c r="G252" s="126"/>
      <c r="H252" s="138">
        <v>247</v>
      </c>
      <c r="I252" s="139" t="str">
        <f t="shared" si="14"/>
        <v/>
      </c>
      <c r="J252" s="138">
        <f t="shared" si="17"/>
        <v>-4</v>
      </c>
      <c r="K252" s="138">
        <f t="shared" si="15"/>
        <v>-40</v>
      </c>
      <c r="L252" s="138"/>
      <c r="M252" s="140">
        <f t="shared" si="16"/>
        <v>0</v>
      </c>
    </row>
    <row r="253" spans="1:13" x14ac:dyDescent="0.25">
      <c r="A253" s="155"/>
      <c r="G253" s="126"/>
      <c r="H253" s="138">
        <v>248</v>
      </c>
      <c r="I253" s="139" t="str">
        <f t="shared" si="14"/>
        <v/>
      </c>
      <c r="J253" s="138">
        <f t="shared" si="17"/>
        <v>-4</v>
      </c>
      <c r="K253" s="138">
        <f t="shared" si="15"/>
        <v>-40</v>
      </c>
      <c r="L253" s="138"/>
      <c r="M253" s="140">
        <f t="shared" si="16"/>
        <v>0</v>
      </c>
    </row>
    <row r="254" spans="1:13" x14ac:dyDescent="0.25">
      <c r="A254" s="155"/>
      <c r="G254" s="126"/>
      <c r="H254" s="138">
        <v>249</v>
      </c>
      <c r="I254" s="139" t="str">
        <f t="shared" si="14"/>
        <v/>
      </c>
      <c r="J254" s="138">
        <f t="shared" si="17"/>
        <v>-4</v>
      </c>
      <c r="K254" s="138">
        <f t="shared" si="15"/>
        <v>-40</v>
      </c>
      <c r="L254" s="138"/>
      <c r="M254" s="140">
        <f t="shared" si="16"/>
        <v>0</v>
      </c>
    </row>
    <row r="255" spans="1:13" x14ac:dyDescent="0.25">
      <c r="A255" s="155"/>
      <c r="G255" s="126"/>
      <c r="H255" s="138">
        <v>250</v>
      </c>
      <c r="I255" s="139" t="str">
        <f t="shared" si="14"/>
        <v/>
      </c>
      <c r="J255" s="138">
        <f t="shared" si="17"/>
        <v>-4</v>
      </c>
      <c r="K255" s="138">
        <f t="shared" si="15"/>
        <v>-40</v>
      </c>
      <c r="L255" s="138"/>
      <c r="M255" s="140">
        <f t="shared" si="16"/>
        <v>0</v>
      </c>
    </row>
    <row r="256" spans="1:13" x14ac:dyDescent="0.25">
      <c r="A256" s="155"/>
      <c r="G256" s="126"/>
      <c r="H256" s="138">
        <v>251</v>
      </c>
      <c r="I256" s="139" t="str">
        <f t="shared" si="14"/>
        <v/>
      </c>
      <c r="J256" s="138">
        <f t="shared" si="17"/>
        <v>-4</v>
      </c>
      <c r="K256" s="138">
        <f t="shared" si="15"/>
        <v>-40</v>
      </c>
      <c r="L256" s="138"/>
      <c r="M256" s="140">
        <f t="shared" si="16"/>
        <v>0</v>
      </c>
    </row>
    <row r="257" spans="1:13" x14ac:dyDescent="0.25">
      <c r="A257" s="155"/>
      <c r="G257" s="126"/>
      <c r="H257" s="138">
        <v>252</v>
      </c>
      <c r="I257" s="139" t="str">
        <f t="shared" si="14"/>
        <v/>
      </c>
      <c r="J257" s="138">
        <f t="shared" si="17"/>
        <v>-4</v>
      </c>
      <c r="K257" s="138">
        <f t="shared" si="15"/>
        <v>-40</v>
      </c>
      <c r="L257" s="138"/>
      <c r="M257" s="140">
        <f t="shared" si="16"/>
        <v>0</v>
      </c>
    </row>
    <row r="258" spans="1:13" x14ac:dyDescent="0.25">
      <c r="A258" s="155"/>
      <c r="G258" s="126"/>
      <c r="H258" s="138">
        <v>253</v>
      </c>
      <c r="I258" s="139" t="str">
        <f t="shared" si="14"/>
        <v/>
      </c>
      <c r="J258" s="138">
        <f t="shared" si="17"/>
        <v>-4</v>
      </c>
      <c r="K258" s="138">
        <f t="shared" si="15"/>
        <v>-40</v>
      </c>
      <c r="L258" s="138"/>
      <c r="M258" s="140">
        <f t="shared" si="16"/>
        <v>0</v>
      </c>
    </row>
    <row r="259" spans="1:13" x14ac:dyDescent="0.25">
      <c r="A259" s="155"/>
      <c r="G259" s="126"/>
      <c r="H259" s="138">
        <v>254</v>
      </c>
      <c r="I259" s="139" t="str">
        <f t="shared" si="14"/>
        <v/>
      </c>
      <c r="J259" s="138">
        <f t="shared" si="17"/>
        <v>-4</v>
      </c>
      <c r="K259" s="138">
        <f t="shared" si="15"/>
        <v>-40</v>
      </c>
      <c r="L259" s="138"/>
      <c r="M259" s="140">
        <f t="shared" si="16"/>
        <v>0</v>
      </c>
    </row>
    <row r="260" spans="1:13" x14ac:dyDescent="0.25">
      <c r="A260" s="155"/>
      <c r="G260" s="126"/>
      <c r="H260" s="138">
        <v>255</v>
      </c>
      <c r="I260" s="139" t="str">
        <f t="shared" si="14"/>
        <v/>
      </c>
      <c r="J260" s="138">
        <f t="shared" si="17"/>
        <v>-4</v>
      </c>
      <c r="K260" s="138">
        <f t="shared" si="15"/>
        <v>-40</v>
      </c>
      <c r="L260" s="138"/>
      <c r="M260" s="140">
        <f t="shared" si="16"/>
        <v>0</v>
      </c>
    </row>
    <row r="261" spans="1:13" x14ac:dyDescent="0.25">
      <c r="A261" s="155"/>
      <c r="G261" s="126"/>
      <c r="H261" s="138">
        <v>256</v>
      </c>
      <c r="I261" s="139" t="str">
        <f t="shared" si="14"/>
        <v/>
      </c>
      <c r="J261" s="138">
        <f t="shared" si="17"/>
        <v>-4</v>
      </c>
      <c r="K261" s="138">
        <f t="shared" si="15"/>
        <v>-40</v>
      </c>
      <c r="L261" s="138"/>
      <c r="M261" s="140">
        <f t="shared" si="16"/>
        <v>0</v>
      </c>
    </row>
    <row r="262" spans="1:13" x14ac:dyDescent="0.25">
      <c r="A262" s="155"/>
      <c r="G262" s="126"/>
      <c r="H262" s="138">
        <v>257</v>
      </c>
      <c r="I262" s="139" t="str">
        <f t="shared" ref="I262:I305" si="18">IF(H262&lt;$H$2+1,($I$2-($I$2-1)*(LOG(H262)/LOG($H$2))),"")</f>
        <v/>
      </c>
      <c r="J262" s="138">
        <f t="shared" si="17"/>
        <v>-5</v>
      </c>
      <c r="K262" s="138">
        <f t="shared" ref="K262:K305" si="19">J262*$J$2</f>
        <v>-50</v>
      </c>
      <c r="L262" s="138"/>
      <c r="M262" s="140">
        <f t="shared" ref="M262:M305" si="20">IF(I262&lt;&gt;"",K262+I262+L262,0)</f>
        <v>0</v>
      </c>
    </row>
    <row r="263" spans="1:13" x14ac:dyDescent="0.25">
      <c r="A263" s="155"/>
      <c r="G263" s="126"/>
      <c r="H263" s="138">
        <v>258</v>
      </c>
      <c r="I263" s="139" t="str">
        <f t="shared" si="18"/>
        <v/>
      </c>
      <c r="J263" s="138">
        <f t="shared" ref="J263:J326" si="21">INT(LOG($H$2,2))-ROUNDUP(LOG(H263,2),0)+IF(OR($H$2=1,$H$2=2,$H$2=4,$H$2=8,$H$2=16,$H$2=32,$H$2=64,$H$2=128,$H$2=256),0,1)</f>
        <v>-5</v>
      </c>
      <c r="K263" s="138">
        <f t="shared" si="19"/>
        <v>-50</v>
      </c>
      <c r="L263" s="138"/>
      <c r="M263" s="140">
        <f t="shared" si="20"/>
        <v>0</v>
      </c>
    </row>
    <row r="264" spans="1:13" x14ac:dyDescent="0.25">
      <c r="A264" s="155"/>
      <c r="G264" s="126"/>
      <c r="H264" s="138">
        <v>259</v>
      </c>
      <c r="I264" s="139" t="str">
        <f t="shared" si="18"/>
        <v/>
      </c>
      <c r="J264" s="138">
        <f t="shared" si="21"/>
        <v>-5</v>
      </c>
      <c r="K264" s="138">
        <f t="shared" si="19"/>
        <v>-50</v>
      </c>
      <c r="L264" s="138"/>
      <c r="M264" s="140">
        <f t="shared" si="20"/>
        <v>0</v>
      </c>
    </row>
    <row r="265" spans="1:13" x14ac:dyDescent="0.25">
      <c r="A265" s="155"/>
      <c r="G265" s="126"/>
      <c r="H265" s="138">
        <v>260</v>
      </c>
      <c r="I265" s="139" t="str">
        <f t="shared" si="18"/>
        <v/>
      </c>
      <c r="J265" s="138">
        <f t="shared" si="21"/>
        <v>-5</v>
      </c>
      <c r="K265" s="138">
        <f t="shared" si="19"/>
        <v>-50</v>
      </c>
      <c r="L265" s="138"/>
      <c r="M265" s="140">
        <f t="shared" si="20"/>
        <v>0</v>
      </c>
    </row>
    <row r="266" spans="1:13" x14ac:dyDescent="0.25">
      <c r="A266" s="155"/>
      <c r="G266" s="126"/>
      <c r="H266" s="138">
        <v>261</v>
      </c>
      <c r="I266" s="139" t="str">
        <f t="shared" si="18"/>
        <v/>
      </c>
      <c r="J266" s="138">
        <f t="shared" si="21"/>
        <v>-5</v>
      </c>
      <c r="K266" s="138">
        <f t="shared" si="19"/>
        <v>-50</v>
      </c>
      <c r="L266" s="138"/>
      <c r="M266" s="140">
        <f t="shared" si="20"/>
        <v>0</v>
      </c>
    </row>
    <row r="267" spans="1:13" x14ac:dyDescent="0.25">
      <c r="A267" s="155"/>
      <c r="G267" s="126"/>
      <c r="H267" s="138">
        <v>262</v>
      </c>
      <c r="I267" s="139" t="str">
        <f t="shared" si="18"/>
        <v/>
      </c>
      <c r="J267" s="138">
        <f t="shared" si="21"/>
        <v>-5</v>
      </c>
      <c r="K267" s="138">
        <f t="shared" si="19"/>
        <v>-50</v>
      </c>
      <c r="L267" s="138"/>
      <c r="M267" s="140">
        <f t="shared" si="20"/>
        <v>0</v>
      </c>
    </row>
    <row r="268" spans="1:13" x14ac:dyDescent="0.25">
      <c r="A268" s="155"/>
      <c r="G268" s="126"/>
      <c r="H268" s="138">
        <v>263</v>
      </c>
      <c r="I268" s="139" t="str">
        <f t="shared" si="18"/>
        <v/>
      </c>
      <c r="J268" s="138">
        <f t="shared" si="21"/>
        <v>-5</v>
      </c>
      <c r="K268" s="138">
        <f t="shared" si="19"/>
        <v>-50</v>
      </c>
      <c r="L268" s="138"/>
      <c r="M268" s="140">
        <f t="shared" si="20"/>
        <v>0</v>
      </c>
    </row>
    <row r="269" spans="1:13" x14ac:dyDescent="0.25">
      <c r="A269" s="155"/>
      <c r="G269" s="126"/>
      <c r="H269" s="138">
        <v>264</v>
      </c>
      <c r="I269" s="139" t="str">
        <f t="shared" si="18"/>
        <v/>
      </c>
      <c r="J269" s="138">
        <f t="shared" si="21"/>
        <v>-5</v>
      </c>
      <c r="K269" s="138">
        <f t="shared" si="19"/>
        <v>-50</v>
      </c>
      <c r="L269" s="138"/>
      <c r="M269" s="140">
        <f t="shared" si="20"/>
        <v>0</v>
      </c>
    </row>
    <row r="270" spans="1:13" x14ac:dyDescent="0.25">
      <c r="A270" s="155"/>
      <c r="G270" s="126"/>
      <c r="H270" s="138">
        <v>265</v>
      </c>
      <c r="I270" s="139" t="str">
        <f t="shared" si="18"/>
        <v/>
      </c>
      <c r="J270" s="138">
        <f t="shared" si="21"/>
        <v>-5</v>
      </c>
      <c r="K270" s="138">
        <f t="shared" si="19"/>
        <v>-50</v>
      </c>
      <c r="L270" s="138"/>
      <c r="M270" s="140">
        <f t="shared" si="20"/>
        <v>0</v>
      </c>
    </row>
    <row r="271" spans="1:13" x14ac:dyDescent="0.25">
      <c r="A271" s="155"/>
      <c r="G271" s="126"/>
      <c r="H271" s="138">
        <v>266</v>
      </c>
      <c r="I271" s="139" t="str">
        <f t="shared" si="18"/>
        <v/>
      </c>
      <c r="J271" s="138">
        <f t="shared" si="21"/>
        <v>-5</v>
      </c>
      <c r="K271" s="138">
        <f t="shared" si="19"/>
        <v>-50</v>
      </c>
      <c r="L271" s="138"/>
      <c r="M271" s="140">
        <f t="shared" si="20"/>
        <v>0</v>
      </c>
    </row>
    <row r="272" spans="1:13" x14ac:dyDescent="0.25">
      <c r="A272" s="155"/>
      <c r="G272" s="126"/>
      <c r="H272" s="138">
        <v>267</v>
      </c>
      <c r="I272" s="139" t="str">
        <f t="shared" si="18"/>
        <v/>
      </c>
      <c r="J272" s="138">
        <f t="shared" si="21"/>
        <v>-5</v>
      </c>
      <c r="K272" s="138">
        <f t="shared" si="19"/>
        <v>-50</v>
      </c>
      <c r="L272" s="138"/>
      <c r="M272" s="140">
        <f t="shared" si="20"/>
        <v>0</v>
      </c>
    </row>
    <row r="273" spans="1:13" x14ac:dyDescent="0.25">
      <c r="A273" s="155"/>
      <c r="G273" s="126"/>
      <c r="H273" s="138">
        <v>268</v>
      </c>
      <c r="I273" s="139" t="str">
        <f t="shared" si="18"/>
        <v/>
      </c>
      <c r="J273" s="138">
        <f t="shared" si="21"/>
        <v>-5</v>
      </c>
      <c r="K273" s="138">
        <f t="shared" si="19"/>
        <v>-50</v>
      </c>
      <c r="L273" s="138"/>
      <c r="M273" s="140">
        <f t="shared" si="20"/>
        <v>0</v>
      </c>
    </row>
    <row r="274" spans="1:13" x14ac:dyDescent="0.25">
      <c r="A274" s="155"/>
      <c r="G274" s="126"/>
      <c r="H274" s="138">
        <v>269</v>
      </c>
      <c r="I274" s="139" t="str">
        <f t="shared" si="18"/>
        <v/>
      </c>
      <c r="J274" s="138">
        <f t="shared" si="21"/>
        <v>-5</v>
      </c>
      <c r="K274" s="138">
        <f t="shared" si="19"/>
        <v>-50</v>
      </c>
      <c r="L274" s="138"/>
      <c r="M274" s="140">
        <f t="shared" si="20"/>
        <v>0</v>
      </c>
    </row>
    <row r="275" spans="1:13" x14ac:dyDescent="0.25">
      <c r="A275" s="155"/>
      <c r="G275" s="126"/>
      <c r="H275" s="138">
        <v>270</v>
      </c>
      <c r="I275" s="139" t="str">
        <f t="shared" si="18"/>
        <v/>
      </c>
      <c r="J275" s="138">
        <f t="shared" si="21"/>
        <v>-5</v>
      </c>
      <c r="K275" s="138">
        <f t="shared" si="19"/>
        <v>-50</v>
      </c>
      <c r="L275" s="138"/>
      <c r="M275" s="140">
        <f t="shared" si="20"/>
        <v>0</v>
      </c>
    </row>
    <row r="276" spans="1:13" x14ac:dyDescent="0.25">
      <c r="A276" s="155"/>
      <c r="G276" s="126"/>
      <c r="H276" s="138">
        <v>271</v>
      </c>
      <c r="I276" s="139" t="str">
        <f t="shared" si="18"/>
        <v/>
      </c>
      <c r="J276" s="138">
        <f t="shared" si="21"/>
        <v>-5</v>
      </c>
      <c r="K276" s="138">
        <f t="shared" si="19"/>
        <v>-50</v>
      </c>
      <c r="L276" s="138"/>
      <c r="M276" s="140">
        <f t="shared" si="20"/>
        <v>0</v>
      </c>
    </row>
    <row r="277" spans="1:13" x14ac:dyDescent="0.25">
      <c r="A277" s="155"/>
      <c r="G277" s="126"/>
      <c r="H277" s="138">
        <v>272</v>
      </c>
      <c r="I277" s="139" t="str">
        <f t="shared" si="18"/>
        <v/>
      </c>
      <c r="J277" s="138">
        <f t="shared" si="21"/>
        <v>-5</v>
      </c>
      <c r="K277" s="138">
        <f t="shared" si="19"/>
        <v>-50</v>
      </c>
      <c r="L277" s="138"/>
      <c r="M277" s="140">
        <f t="shared" si="20"/>
        <v>0</v>
      </c>
    </row>
    <row r="278" spans="1:13" x14ac:dyDescent="0.25">
      <c r="A278" s="155"/>
      <c r="G278" s="126"/>
      <c r="H278" s="138">
        <v>273</v>
      </c>
      <c r="I278" s="139" t="str">
        <f t="shared" si="18"/>
        <v/>
      </c>
      <c r="J278" s="138">
        <f t="shared" si="21"/>
        <v>-5</v>
      </c>
      <c r="K278" s="138">
        <f t="shared" si="19"/>
        <v>-50</v>
      </c>
      <c r="L278" s="138"/>
      <c r="M278" s="140">
        <f t="shared" si="20"/>
        <v>0</v>
      </c>
    </row>
    <row r="279" spans="1:13" x14ac:dyDescent="0.25">
      <c r="A279" s="155"/>
      <c r="G279" s="126"/>
      <c r="H279" s="138">
        <v>274</v>
      </c>
      <c r="I279" s="139" t="str">
        <f t="shared" si="18"/>
        <v/>
      </c>
      <c r="J279" s="138">
        <f t="shared" si="21"/>
        <v>-5</v>
      </c>
      <c r="K279" s="138">
        <f t="shared" si="19"/>
        <v>-50</v>
      </c>
      <c r="L279" s="138"/>
      <c r="M279" s="140">
        <f t="shared" si="20"/>
        <v>0</v>
      </c>
    </row>
    <row r="280" spans="1:13" x14ac:dyDescent="0.25">
      <c r="A280" s="155"/>
      <c r="G280" s="126"/>
      <c r="H280" s="138">
        <v>275</v>
      </c>
      <c r="I280" s="139" t="str">
        <f t="shared" si="18"/>
        <v/>
      </c>
      <c r="J280" s="138">
        <f t="shared" si="21"/>
        <v>-5</v>
      </c>
      <c r="K280" s="138">
        <f t="shared" si="19"/>
        <v>-50</v>
      </c>
      <c r="L280" s="138"/>
      <c r="M280" s="140">
        <f t="shared" si="20"/>
        <v>0</v>
      </c>
    </row>
    <row r="281" spans="1:13" x14ac:dyDescent="0.25">
      <c r="A281" s="155"/>
      <c r="G281" s="126"/>
      <c r="H281" s="138">
        <v>276</v>
      </c>
      <c r="I281" s="139" t="str">
        <f t="shared" si="18"/>
        <v/>
      </c>
      <c r="J281" s="138">
        <f t="shared" si="21"/>
        <v>-5</v>
      </c>
      <c r="K281" s="138">
        <f t="shared" si="19"/>
        <v>-50</v>
      </c>
      <c r="L281" s="138"/>
      <c r="M281" s="140">
        <f t="shared" si="20"/>
        <v>0</v>
      </c>
    </row>
    <row r="282" spans="1:13" x14ac:dyDescent="0.25">
      <c r="A282" s="155"/>
      <c r="G282" s="126"/>
      <c r="H282" s="138">
        <v>277</v>
      </c>
      <c r="I282" s="139" t="str">
        <f t="shared" si="18"/>
        <v/>
      </c>
      <c r="J282" s="138">
        <f t="shared" si="21"/>
        <v>-5</v>
      </c>
      <c r="K282" s="138">
        <f t="shared" si="19"/>
        <v>-50</v>
      </c>
      <c r="L282" s="138"/>
      <c r="M282" s="140">
        <f t="shared" si="20"/>
        <v>0</v>
      </c>
    </row>
    <row r="283" spans="1:13" x14ac:dyDescent="0.25">
      <c r="A283" s="155"/>
      <c r="G283" s="126"/>
      <c r="H283" s="138">
        <v>278</v>
      </c>
      <c r="I283" s="139" t="str">
        <f t="shared" si="18"/>
        <v/>
      </c>
      <c r="J283" s="138">
        <f t="shared" si="21"/>
        <v>-5</v>
      </c>
      <c r="K283" s="138">
        <f t="shared" si="19"/>
        <v>-50</v>
      </c>
      <c r="L283" s="138"/>
      <c r="M283" s="140">
        <f t="shared" si="20"/>
        <v>0</v>
      </c>
    </row>
    <row r="284" spans="1:13" x14ac:dyDescent="0.25">
      <c r="A284" s="155"/>
      <c r="G284" s="126"/>
      <c r="H284" s="138">
        <v>279</v>
      </c>
      <c r="I284" s="139" t="str">
        <f t="shared" si="18"/>
        <v/>
      </c>
      <c r="J284" s="138">
        <f t="shared" si="21"/>
        <v>-5</v>
      </c>
      <c r="K284" s="138">
        <f t="shared" si="19"/>
        <v>-50</v>
      </c>
      <c r="L284" s="138"/>
      <c r="M284" s="140">
        <f t="shared" si="20"/>
        <v>0</v>
      </c>
    </row>
    <row r="285" spans="1:13" x14ac:dyDescent="0.25">
      <c r="A285" s="155"/>
      <c r="G285" s="126"/>
      <c r="H285" s="138">
        <v>280</v>
      </c>
      <c r="I285" s="139" t="str">
        <f t="shared" si="18"/>
        <v/>
      </c>
      <c r="J285" s="138">
        <f t="shared" si="21"/>
        <v>-5</v>
      </c>
      <c r="K285" s="138">
        <f t="shared" si="19"/>
        <v>-50</v>
      </c>
      <c r="L285" s="138"/>
      <c r="M285" s="140">
        <f t="shared" si="20"/>
        <v>0</v>
      </c>
    </row>
    <row r="286" spans="1:13" x14ac:dyDescent="0.25">
      <c r="A286" s="155"/>
      <c r="G286" s="126"/>
      <c r="H286" s="138">
        <v>281</v>
      </c>
      <c r="I286" s="139" t="str">
        <f t="shared" si="18"/>
        <v/>
      </c>
      <c r="J286" s="138">
        <f t="shared" si="21"/>
        <v>-5</v>
      </c>
      <c r="K286" s="138">
        <f t="shared" si="19"/>
        <v>-50</v>
      </c>
      <c r="L286" s="138"/>
      <c r="M286" s="140">
        <f t="shared" si="20"/>
        <v>0</v>
      </c>
    </row>
    <row r="287" spans="1:13" x14ac:dyDescent="0.25">
      <c r="A287" s="155"/>
      <c r="G287" s="126"/>
      <c r="H287" s="138">
        <v>282</v>
      </c>
      <c r="I287" s="139" t="str">
        <f t="shared" si="18"/>
        <v/>
      </c>
      <c r="J287" s="138">
        <f t="shared" si="21"/>
        <v>-5</v>
      </c>
      <c r="K287" s="138">
        <f t="shared" si="19"/>
        <v>-50</v>
      </c>
      <c r="L287" s="138"/>
      <c r="M287" s="140">
        <f t="shared" si="20"/>
        <v>0</v>
      </c>
    </row>
    <row r="288" spans="1:13" x14ac:dyDescent="0.25">
      <c r="A288" s="155"/>
      <c r="G288" s="126"/>
      <c r="H288" s="138">
        <v>283</v>
      </c>
      <c r="I288" s="139" t="str">
        <f t="shared" si="18"/>
        <v/>
      </c>
      <c r="J288" s="138">
        <f t="shared" si="21"/>
        <v>-5</v>
      </c>
      <c r="K288" s="138">
        <f t="shared" si="19"/>
        <v>-50</v>
      </c>
      <c r="L288" s="138"/>
      <c r="M288" s="140">
        <f t="shared" si="20"/>
        <v>0</v>
      </c>
    </row>
    <row r="289" spans="1:13" x14ac:dyDescent="0.25">
      <c r="A289" s="155"/>
      <c r="G289" s="126"/>
      <c r="H289" s="138">
        <v>284</v>
      </c>
      <c r="I289" s="139" t="str">
        <f t="shared" si="18"/>
        <v/>
      </c>
      <c r="J289" s="138">
        <f t="shared" si="21"/>
        <v>-5</v>
      </c>
      <c r="K289" s="138">
        <f t="shared" si="19"/>
        <v>-50</v>
      </c>
      <c r="L289" s="138"/>
      <c r="M289" s="140">
        <f t="shared" si="20"/>
        <v>0</v>
      </c>
    </row>
    <row r="290" spans="1:13" x14ac:dyDescent="0.25">
      <c r="A290" s="155"/>
      <c r="G290" s="126"/>
      <c r="H290" s="138">
        <v>285</v>
      </c>
      <c r="I290" s="139" t="str">
        <f t="shared" si="18"/>
        <v/>
      </c>
      <c r="J290" s="138">
        <f t="shared" si="21"/>
        <v>-5</v>
      </c>
      <c r="K290" s="138">
        <f t="shared" si="19"/>
        <v>-50</v>
      </c>
      <c r="L290" s="138"/>
      <c r="M290" s="140">
        <f t="shared" si="20"/>
        <v>0</v>
      </c>
    </row>
    <row r="291" spans="1:13" x14ac:dyDescent="0.25">
      <c r="A291" s="155"/>
      <c r="G291" s="126"/>
      <c r="H291" s="138">
        <v>286</v>
      </c>
      <c r="I291" s="139" t="str">
        <f t="shared" si="18"/>
        <v/>
      </c>
      <c r="J291" s="138">
        <f t="shared" si="21"/>
        <v>-5</v>
      </c>
      <c r="K291" s="138">
        <f t="shared" si="19"/>
        <v>-50</v>
      </c>
      <c r="L291" s="138"/>
      <c r="M291" s="140">
        <f t="shared" si="20"/>
        <v>0</v>
      </c>
    </row>
    <row r="292" spans="1:13" x14ac:dyDescent="0.25">
      <c r="A292" s="155"/>
      <c r="G292" s="126"/>
      <c r="H292" s="138">
        <v>287</v>
      </c>
      <c r="I292" s="139" t="str">
        <f t="shared" si="18"/>
        <v/>
      </c>
      <c r="J292" s="138">
        <f t="shared" si="21"/>
        <v>-5</v>
      </c>
      <c r="K292" s="138">
        <f t="shared" si="19"/>
        <v>-50</v>
      </c>
      <c r="L292" s="138"/>
      <c r="M292" s="140">
        <f t="shared" si="20"/>
        <v>0</v>
      </c>
    </row>
    <row r="293" spans="1:13" x14ac:dyDescent="0.25">
      <c r="A293" s="155"/>
      <c r="G293" s="126"/>
      <c r="H293" s="138">
        <v>288</v>
      </c>
      <c r="I293" s="139" t="str">
        <f t="shared" si="18"/>
        <v/>
      </c>
      <c r="J293" s="138">
        <f t="shared" si="21"/>
        <v>-5</v>
      </c>
      <c r="K293" s="138">
        <f t="shared" si="19"/>
        <v>-50</v>
      </c>
      <c r="L293" s="138"/>
      <c r="M293" s="140">
        <f t="shared" si="20"/>
        <v>0</v>
      </c>
    </row>
    <row r="294" spans="1:13" x14ac:dyDescent="0.25">
      <c r="A294" s="155"/>
      <c r="G294" s="126"/>
      <c r="H294" s="138">
        <v>289</v>
      </c>
      <c r="I294" s="139" t="str">
        <f t="shared" si="18"/>
        <v/>
      </c>
      <c r="J294" s="138">
        <f t="shared" si="21"/>
        <v>-5</v>
      </c>
      <c r="K294" s="138">
        <f t="shared" si="19"/>
        <v>-50</v>
      </c>
      <c r="L294" s="138"/>
      <c r="M294" s="140">
        <f t="shared" si="20"/>
        <v>0</v>
      </c>
    </row>
    <row r="295" spans="1:13" x14ac:dyDescent="0.25">
      <c r="A295" s="155"/>
      <c r="G295" s="126"/>
      <c r="H295" s="138">
        <v>290</v>
      </c>
      <c r="I295" s="139" t="str">
        <f t="shared" si="18"/>
        <v/>
      </c>
      <c r="J295" s="138">
        <f t="shared" si="21"/>
        <v>-5</v>
      </c>
      <c r="K295" s="138">
        <f t="shared" si="19"/>
        <v>-50</v>
      </c>
      <c r="L295" s="138"/>
      <c r="M295" s="140">
        <f t="shared" si="20"/>
        <v>0</v>
      </c>
    </row>
    <row r="296" spans="1:13" x14ac:dyDescent="0.25">
      <c r="A296" s="155"/>
      <c r="G296" s="126"/>
      <c r="H296" s="138">
        <v>291</v>
      </c>
      <c r="I296" s="139" t="str">
        <f t="shared" si="18"/>
        <v/>
      </c>
      <c r="J296" s="138">
        <f t="shared" si="21"/>
        <v>-5</v>
      </c>
      <c r="K296" s="138">
        <f t="shared" si="19"/>
        <v>-50</v>
      </c>
      <c r="L296" s="138"/>
      <c r="M296" s="140">
        <f t="shared" si="20"/>
        <v>0</v>
      </c>
    </row>
    <row r="297" spans="1:13" x14ac:dyDescent="0.25">
      <c r="A297" s="155"/>
      <c r="G297" s="126"/>
      <c r="H297" s="138">
        <v>292</v>
      </c>
      <c r="I297" s="139" t="str">
        <f t="shared" si="18"/>
        <v/>
      </c>
      <c r="J297" s="138">
        <f t="shared" si="21"/>
        <v>-5</v>
      </c>
      <c r="K297" s="138">
        <f t="shared" si="19"/>
        <v>-50</v>
      </c>
      <c r="L297" s="138"/>
      <c r="M297" s="140">
        <f t="shared" si="20"/>
        <v>0</v>
      </c>
    </row>
    <row r="298" spans="1:13" x14ac:dyDescent="0.25">
      <c r="A298" s="155"/>
      <c r="G298" s="126"/>
      <c r="H298" s="138">
        <v>293</v>
      </c>
      <c r="I298" s="139" t="str">
        <f t="shared" si="18"/>
        <v/>
      </c>
      <c r="J298" s="138">
        <f t="shared" si="21"/>
        <v>-5</v>
      </c>
      <c r="K298" s="138">
        <f t="shared" si="19"/>
        <v>-50</v>
      </c>
      <c r="L298" s="138"/>
      <c r="M298" s="140">
        <f t="shared" si="20"/>
        <v>0</v>
      </c>
    </row>
    <row r="299" spans="1:13" x14ac:dyDescent="0.25">
      <c r="A299" s="155"/>
      <c r="G299" s="126"/>
      <c r="H299" s="138">
        <v>294</v>
      </c>
      <c r="I299" s="139" t="str">
        <f t="shared" si="18"/>
        <v/>
      </c>
      <c r="J299" s="138">
        <f t="shared" si="21"/>
        <v>-5</v>
      </c>
      <c r="K299" s="138">
        <f t="shared" si="19"/>
        <v>-50</v>
      </c>
      <c r="L299" s="138"/>
      <c r="M299" s="140">
        <f t="shared" si="20"/>
        <v>0</v>
      </c>
    </row>
    <row r="300" spans="1:13" x14ac:dyDescent="0.25">
      <c r="A300" s="155"/>
      <c r="G300" s="126"/>
      <c r="H300" s="138">
        <v>295</v>
      </c>
      <c r="I300" s="139" t="str">
        <f t="shared" si="18"/>
        <v/>
      </c>
      <c r="J300" s="138">
        <f t="shared" si="21"/>
        <v>-5</v>
      </c>
      <c r="K300" s="138">
        <f t="shared" si="19"/>
        <v>-50</v>
      </c>
      <c r="L300" s="138"/>
      <c r="M300" s="140">
        <f t="shared" si="20"/>
        <v>0</v>
      </c>
    </row>
    <row r="301" spans="1:13" x14ac:dyDescent="0.25">
      <c r="A301" s="155"/>
      <c r="G301" s="126"/>
      <c r="H301" s="138">
        <v>296</v>
      </c>
      <c r="I301" s="139" t="str">
        <f t="shared" si="18"/>
        <v/>
      </c>
      <c r="J301" s="138">
        <f t="shared" si="21"/>
        <v>-5</v>
      </c>
      <c r="K301" s="138">
        <f t="shared" si="19"/>
        <v>-50</v>
      </c>
      <c r="L301" s="138"/>
      <c r="M301" s="140">
        <f t="shared" si="20"/>
        <v>0</v>
      </c>
    </row>
    <row r="302" spans="1:13" x14ac:dyDescent="0.25">
      <c r="A302" s="155"/>
      <c r="G302" s="126"/>
      <c r="H302" s="138">
        <v>297</v>
      </c>
      <c r="I302" s="139" t="str">
        <f t="shared" si="18"/>
        <v/>
      </c>
      <c r="J302" s="138">
        <f t="shared" si="21"/>
        <v>-5</v>
      </c>
      <c r="K302" s="138">
        <f t="shared" si="19"/>
        <v>-50</v>
      </c>
      <c r="L302" s="138"/>
      <c r="M302" s="140">
        <f t="shared" si="20"/>
        <v>0</v>
      </c>
    </row>
    <row r="303" spans="1:13" x14ac:dyDescent="0.25">
      <c r="A303" s="155"/>
      <c r="G303" s="126"/>
      <c r="H303" s="138">
        <v>298</v>
      </c>
      <c r="I303" s="139" t="str">
        <f t="shared" si="18"/>
        <v/>
      </c>
      <c r="J303" s="138">
        <f t="shared" si="21"/>
        <v>-5</v>
      </c>
      <c r="K303" s="138">
        <f t="shared" si="19"/>
        <v>-50</v>
      </c>
      <c r="L303" s="138"/>
      <c r="M303" s="140">
        <f t="shared" si="20"/>
        <v>0</v>
      </c>
    </row>
    <row r="304" spans="1:13" x14ac:dyDescent="0.25">
      <c r="A304" s="155"/>
      <c r="G304" s="126"/>
      <c r="H304" s="138">
        <v>299</v>
      </c>
      <c r="I304" s="139" t="str">
        <f t="shared" si="18"/>
        <v/>
      </c>
      <c r="J304" s="138">
        <f t="shared" si="21"/>
        <v>-5</v>
      </c>
      <c r="K304" s="138">
        <f t="shared" si="19"/>
        <v>-50</v>
      </c>
      <c r="L304" s="138"/>
      <c r="M304" s="140">
        <f t="shared" si="20"/>
        <v>0</v>
      </c>
    </row>
    <row r="305" spans="1:16" x14ac:dyDescent="0.25">
      <c r="A305" s="155"/>
      <c r="G305" s="126"/>
      <c r="H305" s="138">
        <v>300</v>
      </c>
      <c r="I305" s="139" t="str">
        <f t="shared" si="18"/>
        <v/>
      </c>
      <c r="J305" s="138">
        <f t="shared" si="21"/>
        <v>-5</v>
      </c>
      <c r="K305" s="138">
        <f t="shared" si="19"/>
        <v>-50</v>
      </c>
      <c r="L305" s="138"/>
      <c r="M305" s="140">
        <f t="shared" si="20"/>
        <v>0</v>
      </c>
    </row>
    <row r="306" spans="1:16" x14ac:dyDescent="0.25">
      <c r="A306" s="156"/>
      <c r="J306" s="157" t="e">
        <f t="shared" si="21"/>
        <v>#NUM!</v>
      </c>
    </row>
    <row r="307" spans="1:16" x14ac:dyDescent="0.25">
      <c r="J307" s="157" t="e">
        <f t="shared" si="21"/>
        <v>#NUM!</v>
      </c>
    </row>
    <row r="308" spans="1:16" x14ac:dyDescent="0.25">
      <c r="J308" s="157" t="e">
        <f t="shared" si="21"/>
        <v>#NUM!</v>
      </c>
    </row>
    <row r="309" spans="1:16" x14ac:dyDescent="0.25">
      <c r="J309" s="157" t="e">
        <f t="shared" si="21"/>
        <v>#NUM!</v>
      </c>
    </row>
    <row r="310" spans="1:16" x14ac:dyDescent="0.25">
      <c r="J310" s="157" t="e">
        <f t="shared" si="21"/>
        <v>#NUM!</v>
      </c>
    </row>
    <row r="311" spans="1:16" x14ac:dyDescent="0.25">
      <c r="J311" s="157" t="e">
        <f t="shared" si="21"/>
        <v>#NUM!</v>
      </c>
    </row>
    <row r="312" spans="1:16" x14ac:dyDescent="0.25">
      <c r="J312" s="157" t="e">
        <f t="shared" si="21"/>
        <v>#NUM!</v>
      </c>
    </row>
    <row r="313" spans="1:16" x14ac:dyDescent="0.25">
      <c r="J313" s="157" t="e">
        <f t="shared" si="21"/>
        <v>#NUM!</v>
      </c>
    </row>
    <row r="314" spans="1:16" x14ac:dyDescent="0.25">
      <c r="J314" s="157" t="e">
        <f t="shared" si="21"/>
        <v>#NUM!</v>
      </c>
      <c r="L314" s="159"/>
      <c r="P314" s="149"/>
    </row>
    <row r="315" spans="1:16" x14ac:dyDescent="0.25">
      <c r="J315" s="157" t="e">
        <f t="shared" si="21"/>
        <v>#NUM!</v>
      </c>
      <c r="L315" s="159"/>
      <c r="P315" s="149"/>
    </row>
    <row r="316" spans="1:16" x14ac:dyDescent="0.25">
      <c r="J316" s="157" t="e">
        <f t="shared" si="21"/>
        <v>#NUM!</v>
      </c>
      <c r="L316" s="159"/>
      <c r="P316" s="149"/>
    </row>
    <row r="317" spans="1:16" x14ac:dyDescent="0.25">
      <c r="J317" s="157" t="e">
        <f t="shared" si="21"/>
        <v>#NUM!</v>
      </c>
      <c r="L317" s="159"/>
      <c r="P317" s="149"/>
    </row>
    <row r="318" spans="1:16" x14ac:dyDescent="0.25">
      <c r="J318" s="157" t="e">
        <f t="shared" si="21"/>
        <v>#NUM!</v>
      </c>
    </row>
    <row r="319" spans="1:16" x14ac:dyDescent="0.25">
      <c r="J319" s="157" t="e">
        <f t="shared" si="21"/>
        <v>#NUM!</v>
      </c>
    </row>
    <row r="320" spans="1:16" x14ac:dyDescent="0.25">
      <c r="J320" s="157" t="e">
        <f t="shared" si="21"/>
        <v>#NUM!</v>
      </c>
    </row>
    <row r="321" spans="10:10" x14ac:dyDescent="0.25">
      <c r="J321" s="157" t="e">
        <f t="shared" si="21"/>
        <v>#NUM!</v>
      </c>
    </row>
    <row r="322" spans="10:10" x14ac:dyDescent="0.25">
      <c r="J322" s="157" t="e">
        <f t="shared" si="21"/>
        <v>#NUM!</v>
      </c>
    </row>
    <row r="323" spans="10:10" x14ac:dyDescent="0.25">
      <c r="J323" s="157" t="e">
        <f t="shared" si="21"/>
        <v>#NUM!</v>
      </c>
    </row>
    <row r="324" spans="10:10" x14ac:dyDescent="0.25">
      <c r="J324" s="157" t="e">
        <f t="shared" si="21"/>
        <v>#NUM!</v>
      </c>
    </row>
    <row r="325" spans="10:10" x14ac:dyDescent="0.25">
      <c r="J325" s="157" t="e">
        <f t="shared" si="21"/>
        <v>#NUM!</v>
      </c>
    </row>
    <row r="326" spans="10:10" x14ac:dyDescent="0.25">
      <c r="J326" s="157" t="e">
        <f t="shared" si="21"/>
        <v>#NUM!</v>
      </c>
    </row>
    <row r="327" spans="10:10" x14ac:dyDescent="0.25">
      <c r="J327" s="157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57" t="e">
        <f t="shared" si="22"/>
        <v>#NUM!</v>
      </c>
    </row>
    <row r="329" spans="10:10" x14ac:dyDescent="0.25">
      <c r="J329" s="157" t="e">
        <f t="shared" si="22"/>
        <v>#NUM!</v>
      </c>
    </row>
    <row r="330" spans="10:10" x14ac:dyDescent="0.25">
      <c r="J330" s="157" t="e">
        <f t="shared" si="22"/>
        <v>#NUM!</v>
      </c>
    </row>
    <row r="331" spans="10:10" x14ac:dyDescent="0.25">
      <c r="J331" s="157" t="e">
        <f t="shared" si="22"/>
        <v>#NUM!</v>
      </c>
    </row>
    <row r="332" spans="10:10" x14ac:dyDescent="0.25">
      <c r="J332" s="157" t="e">
        <f t="shared" si="22"/>
        <v>#NUM!</v>
      </c>
    </row>
    <row r="333" spans="10:10" x14ac:dyDescent="0.25">
      <c r="J333" s="157" t="e">
        <f t="shared" si="22"/>
        <v>#NUM!</v>
      </c>
    </row>
    <row r="334" spans="10:10" x14ac:dyDescent="0.25">
      <c r="J334" s="157" t="e">
        <f t="shared" si="22"/>
        <v>#NUM!</v>
      </c>
    </row>
    <row r="335" spans="10:10" x14ac:dyDescent="0.25">
      <c r="J335" s="157" t="e">
        <f t="shared" si="22"/>
        <v>#NUM!</v>
      </c>
    </row>
    <row r="336" spans="10:10" x14ac:dyDescent="0.25">
      <c r="J336" s="157" t="e">
        <f t="shared" si="22"/>
        <v>#NUM!</v>
      </c>
    </row>
    <row r="337" spans="10:10" x14ac:dyDescent="0.25">
      <c r="J337" s="157" t="e">
        <f t="shared" si="22"/>
        <v>#NUM!</v>
      </c>
    </row>
    <row r="338" spans="10:10" x14ac:dyDescent="0.25">
      <c r="J338" s="157" t="e">
        <f t="shared" si="22"/>
        <v>#NUM!</v>
      </c>
    </row>
    <row r="339" spans="10:10" x14ac:dyDescent="0.25">
      <c r="J339" s="157" t="e">
        <f t="shared" si="22"/>
        <v>#NUM!</v>
      </c>
    </row>
    <row r="340" spans="10:10" x14ac:dyDescent="0.25">
      <c r="J340" s="157" t="e">
        <f t="shared" si="22"/>
        <v>#NUM!</v>
      </c>
    </row>
    <row r="341" spans="10:10" x14ac:dyDescent="0.25">
      <c r="J341" s="157" t="e">
        <f t="shared" si="22"/>
        <v>#NUM!</v>
      </c>
    </row>
    <row r="342" spans="10:10" x14ac:dyDescent="0.25">
      <c r="J342" s="157" t="e">
        <f t="shared" si="22"/>
        <v>#NUM!</v>
      </c>
    </row>
    <row r="343" spans="10:10" x14ac:dyDescent="0.25">
      <c r="J343" s="157" t="e">
        <f t="shared" si="22"/>
        <v>#NUM!</v>
      </c>
    </row>
    <row r="344" spans="10:10" x14ac:dyDescent="0.25">
      <c r="J344" s="157" t="e">
        <f t="shared" si="22"/>
        <v>#NUM!</v>
      </c>
    </row>
    <row r="345" spans="10:10" x14ac:dyDescent="0.25">
      <c r="J345" s="157" t="e">
        <f t="shared" si="22"/>
        <v>#NUM!</v>
      </c>
    </row>
    <row r="346" spans="10:10" x14ac:dyDescent="0.25">
      <c r="J346" s="157" t="e">
        <f t="shared" si="22"/>
        <v>#NUM!</v>
      </c>
    </row>
    <row r="347" spans="10:10" x14ac:dyDescent="0.25">
      <c r="J347" s="157" t="e">
        <f t="shared" si="22"/>
        <v>#NUM!</v>
      </c>
    </row>
    <row r="348" spans="10:10" x14ac:dyDescent="0.25">
      <c r="J348" s="157" t="e">
        <f t="shared" si="22"/>
        <v>#NUM!</v>
      </c>
    </row>
    <row r="349" spans="10:10" x14ac:dyDescent="0.25">
      <c r="J349" s="157" t="e">
        <f t="shared" si="22"/>
        <v>#NUM!</v>
      </c>
    </row>
    <row r="350" spans="10:10" x14ac:dyDescent="0.25">
      <c r="J350" s="157" t="e">
        <f t="shared" si="22"/>
        <v>#NUM!</v>
      </c>
    </row>
    <row r="351" spans="10:10" x14ac:dyDescent="0.25">
      <c r="J351" s="157" t="e">
        <f t="shared" si="22"/>
        <v>#NUM!</v>
      </c>
    </row>
    <row r="352" spans="10:10" x14ac:dyDescent="0.25">
      <c r="J352" s="157" t="e">
        <f t="shared" si="22"/>
        <v>#NUM!</v>
      </c>
    </row>
    <row r="353" spans="10:10" x14ac:dyDescent="0.25">
      <c r="J353" s="157" t="e">
        <f t="shared" si="22"/>
        <v>#NUM!</v>
      </c>
    </row>
    <row r="354" spans="10:10" x14ac:dyDescent="0.25">
      <c r="J354" s="157" t="e">
        <f t="shared" si="22"/>
        <v>#NUM!</v>
      </c>
    </row>
    <row r="355" spans="10:10" x14ac:dyDescent="0.25">
      <c r="J355" s="157" t="e">
        <f t="shared" si="22"/>
        <v>#NUM!</v>
      </c>
    </row>
    <row r="356" spans="10:10" x14ac:dyDescent="0.25">
      <c r="J356" s="157" t="e">
        <f t="shared" si="22"/>
        <v>#NUM!</v>
      </c>
    </row>
    <row r="357" spans="10:10" x14ac:dyDescent="0.25">
      <c r="J357" s="157" t="e">
        <f t="shared" si="22"/>
        <v>#NUM!</v>
      </c>
    </row>
    <row r="358" spans="10:10" x14ac:dyDescent="0.25">
      <c r="J358" s="157" t="e">
        <f t="shared" si="22"/>
        <v>#NUM!</v>
      </c>
    </row>
    <row r="359" spans="10:10" x14ac:dyDescent="0.25">
      <c r="J359" s="157" t="e">
        <f t="shared" si="22"/>
        <v>#NUM!</v>
      </c>
    </row>
    <row r="360" spans="10:10" x14ac:dyDescent="0.25">
      <c r="J360" s="157" t="e">
        <f t="shared" si="22"/>
        <v>#NUM!</v>
      </c>
    </row>
    <row r="361" spans="10:10" x14ac:dyDescent="0.25">
      <c r="J361" s="157" t="e">
        <f t="shared" si="22"/>
        <v>#NUM!</v>
      </c>
    </row>
    <row r="362" spans="10:10" x14ac:dyDescent="0.25">
      <c r="J362" s="157" t="e">
        <f t="shared" si="22"/>
        <v>#NUM!</v>
      </c>
    </row>
    <row r="363" spans="10:10" x14ac:dyDescent="0.25">
      <c r="J363" s="157" t="e">
        <f t="shared" si="22"/>
        <v>#NUM!</v>
      </c>
    </row>
    <row r="364" spans="10:10" x14ac:dyDescent="0.25">
      <c r="J364" s="157" t="e">
        <f t="shared" si="22"/>
        <v>#NUM!</v>
      </c>
    </row>
    <row r="365" spans="10:10" x14ac:dyDescent="0.25">
      <c r="J365" s="157" t="e">
        <f t="shared" si="22"/>
        <v>#NUM!</v>
      </c>
    </row>
    <row r="366" spans="10:10" x14ac:dyDescent="0.25">
      <c r="J366" s="157" t="e">
        <f t="shared" si="22"/>
        <v>#NUM!</v>
      </c>
    </row>
    <row r="367" spans="10:10" x14ac:dyDescent="0.25">
      <c r="J367" s="157" t="e">
        <f t="shared" si="22"/>
        <v>#NUM!</v>
      </c>
    </row>
    <row r="368" spans="10:10" x14ac:dyDescent="0.25">
      <c r="J368" s="157" t="e">
        <f t="shared" si="22"/>
        <v>#NUM!</v>
      </c>
    </row>
    <row r="369" spans="10:10" x14ac:dyDescent="0.25">
      <c r="J369" s="157" t="e">
        <f t="shared" si="22"/>
        <v>#NUM!</v>
      </c>
    </row>
    <row r="370" spans="10:10" x14ac:dyDescent="0.25">
      <c r="J370" s="157" t="e">
        <f t="shared" si="22"/>
        <v>#NUM!</v>
      </c>
    </row>
    <row r="371" spans="10:10" x14ac:dyDescent="0.25">
      <c r="J371" s="157" t="e">
        <f t="shared" si="22"/>
        <v>#NUM!</v>
      </c>
    </row>
    <row r="372" spans="10:10" x14ac:dyDescent="0.25">
      <c r="J372" s="157" t="e">
        <f t="shared" si="22"/>
        <v>#NUM!</v>
      </c>
    </row>
    <row r="373" spans="10:10" x14ac:dyDescent="0.25">
      <c r="J373" s="157" t="e">
        <f t="shared" si="22"/>
        <v>#NUM!</v>
      </c>
    </row>
    <row r="374" spans="10:10" x14ac:dyDescent="0.25">
      <c r="J374" s="157" t="e">
        <f t="shared" si="22"/>
        <v>#NUM!</v>
      </c>
    </row>
  </sheetData>
  <conditionalFormatting sqref="J9:K305">
    <cfRule type="cellIs" dxfId="3" priority="1" operator="lessThanOrEqual">
      <formula>0</formula>
    </cfRule>
  </conditionalFormatting>
  <hyperlinks>
    <hyperlink ref="C2" r:id="rId1" xr:uid="{3F793374-4947-4B8A-B45D-CAAABF46611F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5493-D4B1-4C66-B9D2-2B01E388FCA8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54" customWidth="1"/>
    <col min="2" max="2" width="8.25" style="154" customWidth="1"/>
    <col min="3" max="3" width="34.75" style="154" customWidth="1"/>
    <col min="4" max="4" width="11.25" style="154" customWidth="1"/>
    <col min="5" max="6" width="8.875" style="154"/>
    <col min="7" max="7" width="0.875" style="154" customWidth="1"/>
    <col min="8" max="8" width="8.875" style="157"/>
    <col min="9" max="9" width="11" style="157" customWidth="1"/>
    <col min="10" max="10" width="15.25" style="157" customWidth="1"/>
    <col min="11" max="11" width="8.75" style="157" customWidth="1"/>
    <col min="12" max="12" width="11" style="157" customWidth="1"/>
    <col min="13" max="13" width="12.25" style="158" customWidth="1"/>
    <col min="14" max="15" width="13.875" style="126" customWidth="1"/>
    <col min="16" max="18" width="8.875" style="126"/>
    <col min="19" max="20" width="8.875" style="131"/>
    <col min="21" max="21" width="12.125" style="131" customWidth="1"/>
    <col min="22" max="22" width="27.375" style="131" customWidth="1"/>
    <col min="23" max="38" width="8.875" style="131"/>
    <col min="39" max="16384" width="8.875" style="154"/>
  </cols>
  <sheetData>
    <row r="1" spans="1:36" x14ac:dyDescent="0.25">
      <c r="A1" s="126"/>
      <c r="B1" s="126"/>
      <c r="C1" s="126"/>
      <c r="D1" s="126"/>
      <c r="E1" s="126"/>
      <c r="F1" s="126"/>
      <c r="G1" s="126"/>
      <c r="H1" s="127" t="s">
        <v>25</v>
      </c>
      <c r="I1" s="128" t="s">
        <v>26</v>
      </c>
      <c r="J1" s="128" t="s">
        <v>27</v>
      </c>
      <c r="K1" s="129" t="s">
        <v>28</v>
      </c>
      <c r="L1" s="130"/>
      <c r="M1" s="130"/>
    </row>
    <row r="2" spans="1:36" x14ac:dyDescent="0.25">
      <c r="A2" s="126"/>
      <c r="B2" s="19" t="s">
        <v>29</v>
      </c>
      <c r="C2" s="174" t="s">
        <v>126</v>
      </c>
      <c r="D2" s="185"/>
      <c r="E2" s="20"/>
      <c r="F2" s="20"/>
      <c r="G2" s="20"/>
      <c r="H2" s="132">
        <v>0</v>
      </c>
      <c r="I2" s="133">
        <v>50</v>
      </c>
      <c r="J2" s="133">
        <v>10</v>
      </c>
      <c r="K2" s="134">
        <f>3*H2^(1/3)</f>
        <v>0</v>
      </c>
      <c r="L2" s="130"/>
      <c r="M2" s="130"/>
    </row>
    <row r="3" spans="1:36" x14ac:dyDescent="0.25">
      <c r="A3" s="126"/>
      <c r="B3" s="135" t="s">
        <v>31</v>
      </c>
      <c r="C3" s="186" t="s">
        <v>127</v>
      </c>
      <c r="D3" s="186"/>
      <c r="E3" s="25"/>
      <c r="F3" s="25"/>
      <c r="G3" s="25"/>
      <c r="H3" s="130"/>
      <c r="I3" s="130"/>
      <c r="J3" s="161"/>
      <c r="K3" s="130"/>
      <c r="L3" s="130"/>
      <c r="M3" s="130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30"/>
      <c r="I4" s="130"/>
      <c r="J4" s="161"/>
      <c r="K4" s="130"/>
      <c r="L4" s="130"/>
      <c r="M4" s="130"/>
    </row>
    <row r="5" spans="1:36" ht="34.65" x14ac:dyDescent="0.25">
      <c r="A5" s="1" t="s">
        <v>33</v>
      </c>
      <c r="B5" s="28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7"/>
      <c r="H5" s="136" t="s">
        <v>39</v>
      </c>
      <c r="I5" s="137" t="s">
        <v>40</v>
      </c>
      <c r="J5" s="162" t="s">
        <v>41</v>
      </c>
      <c r="K5" s="137" t="s">
        <v>42</v>
      </c>
      <c r="L5" s="137" t="s">
        <v>43</v>
      </c>
      <c r="M5" s="136" t="s">
        <v>44</v>
      </c>
    </row>
    <row r="6" spans="1:36" ht="14.45" customHeight="1" x14ac:dyDescent="0.25">
      <c r="A6" s="76">
        <f>M6</f>
        <v>0</v>
      </c>
      <c r="B6" s="33" t="str">
        <f t="shared" ref="B6:B69" si="0">IF(H6&gt;$H$2,"",(ROW()-5))</f>
        <v/>
      </c>
      <c r="C6" s="34"/>
      <c r="D6" s="34"/>
      <c r="E6" s="34"/>
      <c r="F6" s="34"/>
      <c r="G6" s="27"/>
      <c r="H6" s="138">
        <v>1</v>
      </c>
      <c r="I6" s="139" t="str">
        <f t="shared" ref="I6:I69" si="1">IF(H6&lt;$H$2+1,($I$2-($I$2-1)*(LOG(H6)/LOG($H$2))),"")</f>
        <v/>
      </c>
      <c r="J6" s="138" t="e">
        <f>INT(LOG($H$2,2))-ROUNDUP(LOG(H6,2),0)+IF(OR($H$2=1,$H$2=2,$H$2=4,$H$2=8,$H$2=16,$H$2=32,$H$2=64,$H$2=128,$H$2=256),0,1)</f>
        <v>#NUM!</v>
      </c>
      <c r="K6" s="138" t="e">
        <f t="shared" ref="K6:K69" si="2">J6*$J$2</f>
        <v>#NUM!</v>
      </c>
      <c r="L6" s="140">
        <f>3*K2</f>
        <v>0</v>
      </c>
      <c r="M6" s="140">
        <f t="shared" ref="M6:M69" si="3">IF(I6&lt;&gt;"",K6+I6+L6,0)</f>
        <v>0</v>
      </c>
    </row>
    <row r="7" spans="1:36" ht="14.45" customHeight="1" x14ac:dyDescent="0.25">
      <c r="A7" s="77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41">
        <v>2</v>
      </c>
      <c r="I7" s="142" t="str">
        <f t="shared" si="1"/>
        <v/>
      </c>
      <c r="J7" s="141" t="e">
        <f t="shared" ref="J7:J70" si="5">INT(LOG($H$2,2))-ROUNDUP(LOG(H7,2),0)+IF(OR($H$2=1,$H$2=2,$H$2=4,$H$2=8,$H$2=16,$H$2=32,$H$2=64,$H$2=128,$H$2=256),0,1)</f>
        <v>#NUM!</v>
      </c>
      <c r="K7" s="141" t="e">
        <f t="shared" si="2"/>
        <v>#NUM!</v>
      </c>
      <c r="L7" s="143">
        <f>2*K2</f>
        <v>0</v>
      </c>
      <c r="M7" s="143">
        <f t="shared" si="3"/>
        <v>0</v>
      </c>
    </row>
    <row r="8" spans="1:36" ht="14.45" customHeight="1" x14ac:dyDescent="0.25">
      <c r="A8" s="76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38">
        <v>3</v>
      </c>
      <c r="I8" s="139" t="str">
        <f t="shared" si="1"/>
        <v/>
      </c>
      <c r="J8" s="138" t="e">
        <f t="shared" si="5"/>
        <v>#NUM!</v>
      </c>
      <c r="K8" s="138" t="e">
        <f t="shared" si="2"/>
        <v>#NUM!</v>
      </c>
      <c r="L8" s="140">
        <f>K2</f>
        <v>0</v>
      </c>
      <c r="M8" s="140">
        <f t="shared" si="3"/>
        <v>0</v>
      </c>
    </row>
    <row r="9" spans="1:36" s="131" customFormat="1" ht="14.45" customHeight="1" x14ac:dyDescent="0.25">
      <c r="A9" s="77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41">
        <v>3</v>
      </c>
      <c r="I9" s="142" t="str">
        <f t="shared" si="1"/>
        <v/>
      </c>
      <c r="J9" s="141" t="e">
        <f t="shared" si="5"/>
        <v>#NUM!</v>
      </c>
      <c r="K9" s="141" t="e">
        <f t="shared" si="2"/>
        <v>#NUM!</v>
      </c>
      <c r="L9" s="143">
        <f>K2</f>
        <v>0</v>
      </c>
      <c r="M9" s="143">
        <f t="shared" si="3"/>
        <v>0</v>
      </c>
      <c r="N9" s="126"/>
      <c r="O9" s="126"/>
      <c r="P9" s="126"/>
      <c r="Q9" s="126"/>
      <c r="R9" s="126"/>
      <c r="V9" s="144"/>
      <c r="Z9" s="145"/>
      <c r="AA9" s="145"/>
      <c r="AG9" s="146"/>
      <c r="AH9" s="131" t="s">
        <v>50</v>
      </c>
      <c r="AI9" s="131">
        <v>23</v>
      </c>
    </row>
    <row r="10" spans="1:36" ht="14.45" customHeight="1" x14ac:dyDescent="0.25">
      <c r="A10" s="76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38">
        <v>5</v>
      </c>
      <c r="I10" s="139" t="str">
        <f t="shared" si="1"/>
        <v/>
      </c>
      <c r="J10" s="138" t="e">
        <f t="shared" si="5"/>
        <v>#NUM!</v>
      </c>
      <c r="K10" s="138" t="e">
        <f t="shared" si="2"/>
        <v>#NUM!</v>
      </c>
      <c r="L10" s="138"/>
      <c r="M10" s="140">
        <f t="shared" si="3"/>
        <v>0</v>
      </c>
      <c r="V10" s="144"/>
      <c r="Z10" s="145"/>
      <c r="AA10" s="145"/>
      <c r="AG10" s="146"/>
      <c r="AH10" s="131" t="s">
        <v>52</v>
      </c>
      <c r="AI10" s="131">
        <v>45</v>
      </c>
    </row>
    <row r="11" spans="1:36" ht="14.45" customHeight="1" x14ac:dyDescent="0.25">
      <c r="A11" s="77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41">
        <v>6</v>
      </c>
      <c r="I11" s="142" t="str">
        <f t="shared" si="1"/>
        <v/>
      </c>
      <c r="J11" s="141" t="e">
        <f t="shared" si="5"/>
        <v>#NUM!</v>
      </c>
      <c r="K11" s="141" t="e">
        <f t="shared" si="2"/>
        <v>#NUM!</v>
      </c>
      <c r="L11" s="141"/>
      <c r="M11" s="143">
        <f t="shared" si="3"/>
        <v>0</v>
      </c>
      <c r="V11" s="147"/>
      <c r="Z11" s="145"/>
      <c r="AA11" s="145"/>
      <c r="AG11" s="146"/>
      <c r="AH11" s="131" t="s">
        <v>53</v>
      </c>
      <c r="AI11" s="131">
        <v>50</v>
      </c>
    </row>
    <row r="12" spans="1:36" ht="14.45" customHeight="1" x14ac:dyDescent="0.25">
      <c r="A12" s="76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38">
        <v>7</v>
      </c>
      <c r="I12" s="139" t="str">
        <f t="shared" si="1"/>
        <v/>
      </c>
      <c r="J12" s="138" t="e">
        <f t="shared" si="5"/>
        <v>#NUM!</v>
      </c>
      <c r="K12" s="138" t="e">
        <f t="shared" si="2"/>
        <v>#NUM!</v>
      </c>
      <c r="L12" s="138"/>
      <c r="M12" s="140">
        <f t="shared" si="3"/>
        <v>0</v>
      </c>
      <c r="Z12" s="145"/>
      <c r="AA12" s="145"/>
      <c r="AG12" s="146"/>
      <c r="AH12" s="131" t="s">
        <v>54</v>
      </c>
      <c r="AI12" s="131">
        <f>AI11-1</f>
        <v>49</v>
      </c>
    </row>
    <row r="13" spans="1:36" ht="14.45" customHeight="1" x14ac:dyDescent="0.25">
      <c r="A13" s="77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41">
        <v>8</v>
      </c>
      <c r="I13" s="142" t="str">
        <f t="shared" si="1"/>
        <v/>
      </c>
      <c r="J13" s="141" t="e">
        <f t="shared" si="5"/>
        <v>#NUM!</v>
      </c>
      <c r="K13" s="141" t="e">
        <f t="shared" si="2"/>
        <v>#NUM!</v>
      </c>
      <c r="L13" s="141"/>
      <c r="M13" s="143">
        <f t="shared" si="3"/>
        <v>0</v>
      </c>
      <c r="X13" s="144"/>
      <c r="AG13" s="146"/>
      <c r="AH13" s="131" t="s">
        <v>55</v>
      </c>
      <c r="AI13" s="131">
        <f>LOG(AI9)</f>
        <v>1.3617278360175928</v>
      </c>
    </row>
    <row r="14" spans="1:36" x14ac:dyDescent="0.25">
      <c r="A14" s="76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38">
        <v>9</v>
      </c>
      <c r="I14" s="139" t="str">
        <f t="shared" si="1"/>
        <v/>
      </c>
      <c r="J14" s="138" t="e">
        <f t="shared" si="5"/>
        <v>#NUM!</v>
      </c>
      <c r="K14" s="138" t="e">
        <f t="shared" si="2"/>
        <v>#NUM!</v>
      </c>
      <c r="L14" s="138"/>
      <c r="M14" s="140">
        <f t="shared" si="3"/>
        <v>0</v>
      </c>
      <c r="X14" s="148"/>
      <c r="Z14" s="145"/>
      <c r="AA14" s="145"/>
      <c r="AG14" s="146"/>
      <c r="AH14" s="131" t="s">
        <v>56</v>
      </c>
      <c r="AI14" s="131">
        <f>LOG(AI10)</f>
        <v>1.6532125137753437</v>
      </c>
    </row>
    <row r="15" spans="1:36" x14ac:dyDescent="0.25">
      <c r="A15" s="77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41">
        <v>10</v>
      </c>
      <c r="I15" s="142" t="str">
        <f t="shared" si="1"/>
        <v/>
      </c>
      <c r="J15" s="141" t="e">
        <f t="shared" si="5"/>
        <v>#NUM!</v>
      </c>
      <c r="K15" s="141" t="e">
        <f t="shared" si="2"/>
        <v>#NUM!</v>
      </c>
      <c r="L15" s="141"/>
      <c r="M15" s="143">
        <f t="shared" si="3"/>
        <v>0</v>
      </c>
      <c r="X15" s="144"/>
      <c r="Z15" s="145"/>
      <c r="AA15" s="145"/>
    </row>
    <row r="16" spans="1:36" x14ac:dyDescent="0.25">
      <c r="A16" s="76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38">
        <v>11</v>
      </c>
      <c r="I16" s="139" t="str">
        <f t="shared" si="1"/>
        <v/>
      </c>
      <c r="J16" s="138" t="e">
        <f t="shared" si="5"/>
        <v>#NUM!</v>
      </c>
      <c r="K16" s="138" t="e">
        <f t="shared" si="2"/>
        <v>#NUM!</v>
      </c>
      <c r="L16" s="138"/>
      <c r="M16" s="140">
        <f t="shared" si="3"/>
        <v>0</v>
      </c>
      <c r="R16" s="149"/>
      <c r="Z16" s="145"/>
      <c r="AA16" s="145"/>
      <c r="AH16" s="150" t="s">
        <v>57</v>
      </c>
      <c r="AI16" s="131">
        <f>AI11-AI12*AI13/AI14</f>
        <v>9.6393909380186855</v>
      </c>
      <c r="AJ16" s="131" t="s">
        <v>58</v>
      </c>
    </row>
    <row r="17" spans="1:19" x14ac:dyDescent="0.25">
      <c r="A17" s="77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41">
        <v>12</v>
      </c>
      <c r="I17" s="142" t="str">
        <f t="shared" si="1"/>
        <v/>
      </c>
      <c r="J17" s="141" t="e">
        <f t="shared" si="5"/>
        <v>#NUM!</v>
      </c>
      <c r="K17" s="141" t="e">
        <f t="shared" si="2"/>
        <v>#NUM!</v>
      </c>
      <c r="L17" s="141"/>
      <c r="M17" s="143">
        <f t="shared" si="3"/>
        <v>0</v>
      </c>
    </row>
    <row r="18" spans="1:19" x14ac:dyDescent="0.25">
      <c r="A18" s="76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38">
        <v>13</v>
      </c>
      <c r="I18" s="139" t="str">
        <f t="shared" si="1"/>
        <v/>
      </c>
      <c r="J18" s="138" t="e">
        <f t="shared" si="5"/>
        <v>#NUM!</v>
      </c>
      <c r="K18" s="138" t="e">
        <f t="shared" si="2"/>
        <v>#NUM!</v>
      </c>
      <c r="L18" s="138"/>
      <c r="M18" s="140">
        <f t="shared" si="3"/>
        <v>0</v>
      </c>
    </row>
    <row r="19" spans="1:19" x14ac:dyDescent="0.25">
      <c r="A19" s="77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41">
        <v>14</v>
      </c>
      <c r="I19" s="142" t="str">
        <f t="shared" si="1"/>
        <v/>
      </c>
      <c r="J19" s="141" t="e">
        <f t="shared" si="5"/>
        <v>#NUM!</v>
      </c>
      <c r="K19" s="141" t="e">
        <f t="shared" si="2"/>
        <v>#NUM!</v>
      </c>
      <c r="L19" s="141"/>
      <c r="M19" s="143">
        <f t="shared" si="3"/>
        <v>0</v>
      </c>
    </row>
    <row r="20" spans="1:19" x14ac:dyDescent="0.25">
      <c r="A20" s="76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38">
        <v>15</v>
      </c>
      <c r="I20" s="139" t="str">
        <f t="shared" si="1"/>
        <v/>
      </c>
      <c r="J20" s="138" t="e">
        <f t="shared" si="5"/>
        <v>#NUM!</v>
      </c>
      <c r="K20" s="138" t="e">
        <f t="shared" si="2"/>
        <v>#NUM!</v>
      </c>
      <c r="L20" s="138"/>
      <c r="M20" s="140">
        <f t="shared" si="3"/>
        <v>0</v>
      </c>
      <c r="R20" s="151"/>
      <c r="S20" s="152"/>
    </row>
    <row r="21" spans="1:19" x14ac:dyDescent="0.25">
      <c r="A21" s="77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41">
        <v>16</v>
      </c>
      <c r="I21" s="142" t="str">
        <f t="shared" si="1"/>
        <v/>
      </c>
      <c r="J21" s="141" t="e">
        <f t="shared" si="5"/>
        <v>#NUM!</v>
      </c>
      <c r="K21" s="141" t="e">
        <f t="shared" si="2"/>
        <v>#NUM!</v>
      </c>
      <c r="L21" s="141"/>
      <c r="M21" s="143">
        <f t="shared" si="3"/>
        <v>0</v>
      </c>
    </row>
    <row r="22" spans="1:19" x14ac:dyDescent="0.25">
      <c r="A22" s="76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38">
        <v>17</v>
      </c>
      <c r="I22" s="139" t="str">
        <f t="shared" si="1"/>
        <v/>
      </c>
      <c r="J22" s="138" t="e">
        <f t="shared" si="5"/>
        <v>#NUM!</v>
      </c>
      <c r="K22" s="138" t="e">
        <f t="shared" si="2"/>
        <v>#NUM!</v>
      </c>
      <c r="L22" s="138"/>
      <c r="M22" s="140">
        <f t="shared" si="3"/>
        <v>0</v>
      </c>
    </row>
    <row r="23" spans="1:19" x14ac:dyDescent="0.25">
      <c r="A23" s="77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41">
        <v>18</v>
      </c>
      <c r="I23" s="142" t="str">
        <f t="shared" si="1"/>
        <v/>
      </c>
      <c r="J23" s="141" t="e">
        <f t="shared" si="5"/>
        <v>#NUM!</v>
      </c>
      <c r="K23" s="141" t="e">
        <f t="shared" si="2"/>
        <v>#NUM!</v>
      </c>
      <c r="L23" s="141"/>
      <c r="M23" s="143">
        <f t="shared" si="3"/>
        <v>0</v>
      </c>
    </row>
    <row r="24" spans="1:19" x14ac:dyDescent="0.25">
      <c r="A24" s="76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38">
        <v>19</v>
      </c>
      <c r="I24" s="139" t="str">
        <f t="shared" si="1"/>
        <v/>
      </c>
      <c r="J24" s="138" t="e">
        <f t="shared" si="5"/>
        <v>#NUM!</v>
      </c>
      <c r="K24" s="138" t="e">
        <f t="shared" si="2"/>
        <v>#NUM!</v>
      </c>
      <c r="L24" s="138"/>
      <c r="M24" s="140">
        <f t="shared" si="3"/>
        <v>0</v>
      </c>
      <c r="R24" s="151"/>
      <c r="S24" s="152"/>
    </row>
    <row r="25" spans="1:19" x14ac:dyDescent="0.25">
      <c r="A25" s="77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41">
        <v>20</v>
      </c>
      <c r="I25" s="142" t="str">
        <f t="shared" si="1"/>
        <v/>
      </c>
      <c r="J25" s="141" t="e">
        <f t="shared" si="5"/>
        <v>#NUM!</v>
      </c>
      <c r="K25" s="141" t="e">
        <f t="shared" si="2"/>
        <v>#NUM!</v>
      </c>
      <c r="L25" s="141"/>
      <c r="M25" s="143">
        <f t="shared" si="3"/>
        <v>0</v>
      </c>
    </row>
    <row r="26" spans="1:19" x14ac:dyDescent="0.25">
      <c r="A26" s="76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38">
        <v>21</v>
      </c>
      <c r="I26" s="139" t="str">
        <f t="shared" si="1"/>
        <v/>
      </c>
      <c r="J26" s="138" t="e">
        <f t="shared" si="5"/>
        <v>#NUM!</v>
      </c>
      <c r="K26" s="138" t="e">
        <f t="shared" si="2"/>
        <v>#NUM!</v>
      </c>
      <c r="L26" s="138"/>
      <c r="M26" s="140">
        <f t="shared" si="3"/>
        <v>0</v>
      </c>
    </row>
    <row r="27" spans="1:19" x14ac:dyDescent="0.25">
      <c r="A27" s="77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41">
        <v>22</v>
      </c>
      <c r="I27" s="142" t="str">
        <f t="shared" si="1"/>
        <v/>
      </c>
      <c r="J27" s="141" t="e">
        <f t="shared" si="5"/>
        <v>#NUM!</v>
      </c>
      <c r="K27" s="141" t="e">
        <f t="shared" si="2"/>
        <v>#NUM!</v>
      </c>
      <c r="L27" s="141"/>
      <c r="M27" s="143">
        <f t="shared" si="3"/>
        <v>0</v>
      </c>
    </row>
    <row r="28" spans="1:19" x14ac:dyDescent="0.25">
      <c r="A28" s="76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38">
        <v>23</v>
      </c>
      <c r="I28" s="139" t="str">
        <f t="shared" si="1"/>
        <v/>
      </c>
      <c r="J28" s="138" t="e">
        <f t="shared" si="5"/>
        <v>#NUM!</v>
      </c>
      <c r="K28" s="138" t="e">
        <f t="shared" si="2"/>
        <v>#NUM!</v>
      </c>
      <c r="L28" s="138"/>
      <c r="M28" s="140">
        <f t="shared" si="3"/>
        <v>0</v>
      </c>
      <c r="R28" s="151"/>
      <c r="S28" s="152"/>
    </row>
    <row r="29" spans="1:19" x14ac:dyDescent="0.25">
      <c r="A29" s="77">
        <f t="shared" si="4"/>
        <v>0</v>
      </c>
      <c r="B29" s="39" t="str">
        <f t="shared" si="0"/>
        <v/>
      </c>
      <c r="C29" s="40"/>
      <c r="D29" s="40"/>
      <c r="E29" s="40"/>
      <c r="F29" s="40"/>
      <c r="G29" s="126"/>
      <c r="H29" s="141">
        <v>24</v>
      </c>
      <c r="I29" s="142" t="str">
        <f t="shared" si="1"/>
        <v/>
      </c>
      <c r="J29" s="141" t="e">
        <f t="shared" si="5"/>
        <v>#NUM!</v>
      </c>
      <c r="K29" s="141" t="e">
        <f t="shared" si="2"/>
        <v>#NUM!</v>
      </c>
      <c r="L29" s="141"/>
      <c r="M29" s="143">
        <f t="shared" si="3"/>
        <v>0</v>
      </c>
    </row>
    <row r="30" spans="1:19" x14ac:dyDescent="0.25">
      <c r="A30" s="76">
        <f t="shared" si="4"/>
        <v>0</v>
      </c>
      <c r="B30" s="33" t="str">
        <f t="shared" si="0"/>
        <v/>
      </c>
      <c r="C30" s="34"/>
      <c r="D30" s="34"/>
      <c r="E30" s="34"/>
      <c r="F30" s="34"/>
      <c r="G30" s="126"/>
      <c r="H30" s="138">
        <v>25</v>
      </c>
      <c r="I30" s="139" t="str">
        <f t="shared" si="1"/>
        <v/>
      </c>
      <c r="J30" s="138" t="e">
        <f t="shared" si="5"/>
        <v>#NUM!</v>
      </c>
      <c r="K30" s="138" t="e">
        <f t="shared" si="2"/>
        <v>#NUM!</v>
      </c>
      <c r="L30" s="138"/>
      <c r="M30" s="140">
        <f t="shared" si="3"/>
        <v>0</v>
      </c>
    </row>
    <row r="31" spans="1:19" x14ac:dyDescent="0.25">
      <c r="A31" s="77">
        <f t="shared" si="4"/>
        <v>0</v>
      </c>
      <c r="B31" s="39" t="str">
        <f t="shared" si="0"/>
        <v/>
      </c>
      <c r="C31" s="40"/>
      <c r="D31" s="40"/>
      <c r="E31" s="40"/>
      <c r="F31" s="40"/>
      <c r="G31" s="126"/>
      <c r="H31" s="141">
        <v>26</v>
      </c>
      <c r="I31" s="142" t="str">
        <f t="shared" si="1"/>
        <v/>
      </c>
      <c r="J31" s="141" t="e">
        <f t="shared" si="5"/>
        <v>#NUM!</v>
      </c>
      <c r="K31" s="141" t="e">
        <f t="shared" si="2"/>
        <v>#NUM!</v>
      </c>
      <c r="L31" s="141"/>
      <c r="M31" s="143">
        <f t="shared" si="3"/>
        <v>0</v>
      </c>
    </row>
    <row r="32" spans="1:19" x14ac:dyDescent="0.25">
      <c r="A32" s="76">
        <f t="shared" si="4"/>
        <v>0</v>
      </c>
      <c r="B32" s="33" t="str">
        <f t="shared" si="0"/>
        <v/>
      </c>
      <c r="C32" s="34"/>
      <c r="D32" s="34"/>
      <c r="E32" s="34"/>
      <c r="F32" s="34"/>
      <c r="G32" s="126"/>
      <c r="H32" s="138">
        <v>27</v>
      </c>
      <c r="I32" s="139" t="str">
        <f t="shared" si="1"/>
        <v/>
      </c>
      <c r="J32" s="138" t="e">
        <f t="shared" si="5"/>
        <v>#NUM!</v>
      </c>
      <c r="K32" s="138" t="e">
        <f t="shared" si="2"/>
        <v>#NUM!</v>
      </c>
      <c r="L32" s="138"/>
      <c r="M32" s="140">
        <f t="shared" si="3"/>
        <v>0</v>
      </c>
      <c r="R32" s="151"/>
      <c r="S32" s="152"/>
    </row>
    <row r="33" spans="1:19" x14ac:dyDescent="0.25">
      <c r="A33" s="77">
        <f t="shared" si="4"/>
        <v>0</v>
      </c>
      <c r="B33" s="39" t="str">
        <f t="shared" si="0"/>
        <v/>
      </c>
      <c r="C33" s="40"/>
      <c r="D33" s="40"/>
      <c r="E33" s="40"/>
      <c r="F33" s="40"/>
      <c r="G33" s="126"/>
      <c r="H33" s="141">
        <v>28</v>
      </c>
      <c r="I33" s="142" t="str">
        <f t="shared" si="1"/>
        <v/>
      </c>
      <c r="J33" s="141" t="e">
        <f t="shared" si="5"/>
        <v>#NUM!</v>
      </c>
      <c r="K33" s="141" t="e">
        <f t="shared" si="2"/>
        <v>#NUM!</v>
      </c>
      <c r="L33" s="141"/>
      <c r="M33" s="143">
        <f t="shared" si="3"/>
        <v>0</v>
      </c>
    </row>
    <row r="34" spans="1:19" x14ac:dyDescent="0.25">
      <c r="A34" s="76">
        <f t="shared" si="4"/>
        <v>0</v>
      </c>
      <c r="B34" s="33" t="str">
        <f t="shared" si="0"/>
        <v/>
      </c>
      <c r="C34" s="34"/>
      <c r="D34" s="34"/>
      <c r="E34" s="34"/>
      <c r="F34" s="34"/>
      <c r="G34" s="126"/>
      <c r="H34" s="138">
        <v>29</v>
      </c>
      <c r="I34" s="139" t="str">
        <f t="shared" si="1"/>
        <v/>
      </c>
      <c r="J34" s="138" t="e">
        <f t="shared" si="5"/>
        <v>#NUM!</v>
      </c>
      <c r="K34" s="138" t="e">
        <f t="shared" si="2"/>
        <v>#NUM!</v>
      </c>
      <c r="L34" s="138"/>
      <c r="M34" s="140">
        <f t="shared" si="3"/>
        <v>0</v>
      </c>
    </row>
    <row r="35" spans="1:19" x14ac:dyDescent="0.25">
      <c r="A35" s="77">
        <f t="shared" si="4"/>
        <v>0</v>
      </c>
      <c r="B35" s="39" t="str">
        <f t="shared" si="0"/>
        <v/>
      </c>
      <c r="C35" s="40"/>
      <c r="D35" s="40"/>
      <c r="E35" s="40"/>
      <c r="F35" s="40"/>
      <c r="G35" s="126"/>
      <c r="H35" s="141">
        <v>30</v>
      </c>
      <c r="I35" s="142" t="str">
        <f t="shared" si="1"/>
        <v/>
      </c>
      <c r="J35" s="141" t="e">
        <f t="shared" si="5"/>
        <v>#NUM!</v>
      </c>
      <c r="K35" s="141" t="e">
        <f t="shared" si="2"/>
        <v>#NUM!</v>
      </c>
      <c r="L35" s="141"/>
      <c r="M35" s="143">
        <f t="shared" si="3"/>
        <v>0</v>
      </c>
    </row>
    <row r="36" spans="1:19" x14ac:dyDescent="0.25">
      <c r="A36" s="76">
        <f t="shared" si="4"/>
        <v>0</v>
      </c>
      <c r="B36" s="33" t="str">
        <f t="shared" si="0"/>
        <v/>
      </c>
      <c r="C36" s="34"/>
      <c r="D36" s="34"/>
      <c r="E36" s="34"/>
      <c r="F36" s="34"/>
      <c r="G36" s="126"/>
      <c r="H36" s="138">
        <v>31</v>
      </c>
      <c r="I36" s="139" t="str">
        <f t="shared" si="1"/>
        <v/>
      </c>
      <c r="J36" s="138" t="e">
        <f t="shared" si="5"/>
        <v>#NUM!</v>
      </c>
      <c r="K36" s="138" t="e">
        <f t="shared" si="2"/>
        <v>#NUM!</v>
      </c>
      <c r="L36" s="138"/>
      <c r="M36" s="140">
        <f t="shared" si="3"/>
        <v>0</v>
      </c>
      <c r="R36" s="151"/>
      <c r="S36" s="152"/>
    </row>
    <row r="37" spans="1:19" x14ac:dyDescent="0.25">
      <c r="A37" s="77">
        <f t="shared" si="4"/>
        <v>0</v>
      </c>
      <c r="B37" s="39" t="str">
        <f t="shared" si="0"/>
        <v/>
      </c>
      <c r="C37" s="40"/>
      <c r="D37" s="40"/>
      <c r="E37" s="40"/>
      <c r="F37" s="40"/>
      <c r="G37" s="126"/>
      <c r="H37" s="141">
        <v>32</v>
      </c>
      <c r="I37" s="142" t="str">
        <f t="shared" si="1"/>
        <v/>
      </c>
      <c r="J37" s="141" t="e">
        <f t="shared" si="5"/>
        <v>#NUM!</v>
      </c>
      <c r="K37" s="141" t="e">
        <f t="shared" si="2"/>
        <v>#NUM!</v>
      </c>
      <c r="L37" s="141"/>
      <c r="M37" s="143">
        <f t="shared" si="3"/>
        <v>0</v>
      </c>
    </row>
    <row r="38" spans="1:19" x14ac:dyDescent="0.25">
      <c r="A38" s="76">
        <f t="shared" si="4"/>
        <v>0</v>
      </c>
      <c r="B38" s="33" t="str">
        <f t="shared" si="0"/>
        <v/>
      </c>
      <c r="C38" s="34"/>
      <c r="D38" s="34"/>
      <c r="E38" s="34"/>
      <c r="F38" s="34"/>
      <c r="G38" s="126"/>
      <c r="H38" s="138">
        <v>33</v>
      </c>
      <c r="I38" s="139" t="str">
        <f t="shared" si="1"/>
        <v/>
      </c>
      <c r="J38" s="138" t="e">
        <f t="shared" si="5"/>
        <v>#NUM!</v>
      </c>
      <c r="K38" s="138" t="e">
        <f t="shared" si="2"/>
        <v>#NUM!</v>
      </c>
      <c r="L38" s="138"/>
      <c r="M38" s="140">
        <f t="shared" si="3"/>
        <v>0</v>
      </c>
    </row>
    <row r="39" spans="1:19" x14ac:dyDescent="0.25">
      <c r="A39" s="77">
        <f t="shared" si="4"/>
        <v>0</v>
      </c>
      <c r="B39" s="39" t="str">
        <f t="shared" si="0"/>
        <v/>
      </c>
      <c r="C39" s="40"/>
      <c r="D39" s="40"/>
      <c r="E39" s="40"/>
      <c r="F39" s="40"/>
      <c r="G39" s="126"/>
      <c r="H39" s="141">
        <v>34</v>
      </c>
      <c r="I39" s="142" t="str">
        <f t="shared" si="1"/>
        <v/>
      </c>
      <c r="J39" s="141" t="e">
        <f t="shared" si="5"/>
        <v>#NUM!</v>
      </c>
      <c r="K39" s="141" t="e">
        <f t="shared" si="2"/>
        <v>#NUM!</v>
      </c>
      <c r="L39" s="141"/>
      <c r="M39" s="143">
        <f t="shared" si="3"/>
        <v>0</v>
      </c>
    </row>
    <row r="40" spans="1:19" x14ac:dyDescent="0.25">
      <c r="A40" s="76">
        <f t="shared" si="4"/>
        <v>0</v>
      </c>
      <c r="B40" s="33" t="str">
        <f t="shared" si="0"/>
        <v/>
      </c>
      <c r="C40" s="34"/>
      <c r="D40" s="34"/>
      <c r="E40" s="34"/>
      <c r="F40" s="34"/>
      <c r="G40" s="126"/>
      <c r="H40" s="138">
        <v>35</v>
      </c>
      <c r="I40" s="139" t="str">
        <f t="shared" si="1"/>
        <v/>
      </c>
      <c r="J40" s="138" t="e">
        <f t="shared" si="5"/>
        <v>#NUM!</v>
      </c>
      <c r="K40" s="138" t="e">
        <f t="shared" si="2"/>
        <v>#NUM!</v>
      </c>
      <c r="L40" s="138"/>
      <c r="M40" s="140">
        <f t="shared" si="3"/>
        <v>0</v>
      </c>
    </row>
    <row r="41" spans="1:19" x14ac:dyDescent="0.25">
      <c r="A41" s="77">
        <f t="shared" si="4"/>
        <v>0</v>
      </c>
      <c r="B41" s="39" t="str">
        <f t="shared" si="0"/>
        <v/>
      </c>
      <c r="C41" s="40"/>
      <c r="D41" s="40"/>
      <c r="E41" s="40"/>
      <c r="F41" s="40"/>
      <c r="G41" s="126"/>
      <c r="H41" s="141">
        <v>36</v>
      </c>
      <c r="I41" s="142" t="str">
        <f t="shared" si="1"/>
        <v/>
      </c>
      <c r="J41" s="141" t="e">
        <f t="shared" si="5"/>
        <v>#NUM!</v>
      </c>
      <c r="K41" s="141" t="e">
        <f t="shared" si="2"/>
        <v>#NUM!</v>
      </c>
      <c r="L41" s="141"/>
      <c r="M41" s="143">
        <f t="shared" si="3"/>
        <v>0</v>
      </c>
      <c r="S41" s="153"/>
    </row>
    <row r="42" spans="1:19" x14ac:dyDescent="0.25">
      <c r="A42" s="76">
        <f t="shared" si="4"/>
        <v>0</v>
      </c>
      <c r="B42" s="33" t="str">
        <f t="shared" si="0"/>
        <v/>
      </c>
      <c r="C42" s="34"/>
      <c r="D42" s="34"/>
      <c r="E42" s="34"/>
      <c r="F42" s="34"/>
      <c r="G42" s="126"/>
      <c r="H42" s="138">
        <v>37</v>
      </c>
      <c r="I42" s="139" t="str">
        <f t="shared" si="1"/>
        <v/>
      </c>
      <c r="J42" s="138" t="e">
        <f t="shared" si="5"/>
        <v>#NUM!</v>
      </c>
      <c r="K42" s="138" t="e">
        <f t="shared" si="2"/>
        <v>#NUM!</v>
      </c>
      <c r="L42" s="138"/>
      <c r="M42" s="140">
        <f t="shared" si="3"/>
        <v>0</v>
      </c>
    </row>
    <row r="43" spans="1:19" x14ac:dyDescent="0.25">
      <c r="A43" s="77">
        <f t="shared" si="4"/>
        <v>0</v>
      </c>
      <c r="B43" s="39" t="str">
        <f t="shared" si="0"/>
        <v/>
      </c>
      <c r="C43" s="40"/>
      <c r="D43" s="40"/>
      <c r="E43" s="40"/>
      <c r="F43" s="40"/>
      <c r="G43" s="126"/>
      <c r="H43" s="141">
        <v>38</v>
      </c>
      <c r="I43" s="142" t="str">
        <f t="shared" si="1"/>
        <v/>
      </c>
      <c r="J43" s="141" t="e">
        <f t="shared" si="5"/>
        <v>#NUM!</v>
      </c>
      <c r="K43" s="141" t="e">
        <f t="shared" si="2"/>
        <v>#NUM!</v>
      </c>
      <c r="L43" s="141"/>
      <c r="M43" s="143">
        <f t="shared" si="3"/>
        <v>0</v>
      </c>
    </row>
    <row r="44" spans="1:19" x14ac:dyDescent="0.25">
      <c r="A44" s="76">
        <f t="shared" si="4"/>
        <v>0</v>
      </c>
      <c r="B44" s="33" t="str">
        <f t="shared" si="0"/>
        <v/>
      </c>
      <c r="C44" s="34"/>
      <c r="D44" s="34"/>
      <c r="E44" s="34"/>
      <c r="F44" s="34"/>
      <c r="G44" s="126"/>
      <c r="H44" s="138">
        <v>39</v>
      </c>
      <c r="I44" s="139" t="str">
        <f t="shared" si="1"/>
        <v/>
      </c>
      <c r="J44" s="138" t="e">
        <f t="shared" si="5"/>
        <v>#NUM!</v>
      </c>
      <c r="K44" s="138" t="e">
        <f t="shared" si="2"/>
        <v>#NUM!</v>
      </c>
      <c r="L44" s="138"/>
      <c r="M44" s="140">
        <f t="shared" si="3"/>
        <v>0</v>
      </c>
    </row>
    <row r="45" spans="1:19" x14ac:dyDescent="0.25">
      <c r="A45" s="77">
        <f t="shared" si="4"/>
        <v>0</v>
      </c>
      <c r="B45" s="39" t="str">
        <f t="shared" si="0"/>
        <v/>
      </c>
      <c r="C45" s="40"/>
      <c r="D45" s="40"/>
      <c r="E45" s="40"/>
      <c r="F45" s="40"/>
      <c r="G45" s="126"/>
      <c r="H45" s="141">
        <v>40</v>
      </c>
      <c r="I45" s="142" t="str">
        <f t="shared" si="1"/>
        <v/>
      </c>
      <c r="J45" s="141" t="e">
        <f t="shared" si="5"/>
        <v>#NUM!</v>
      </c>
      <c r="K45" s="141" t="e">
        <f t="shared" si="2"/>
        <v>#NUM!</v>
      </c>
      <c r="L45" s="141"/>
      <c r="M45" s="143">
        <f t="shared" si="3"/>
        <v>0</v>
      </c>
    </row>
    <row r="46" spans="1:19" x14ac:dyDescent="0.25">
      <c r="A46" s="76">
        <f t="shared" si="4"/>
        <v>0</v>
      </c>
      <c r="B46" s="33" t="str">
        <f t="shared" si="0"/>
        <v/>
      </c>
      <c r="C46" s="34"/>
      <c r="D46" s="34"/>
      <c r="E46" s="34"/>
      <c r="F46" s="34"/>
      <c r="G46" s="126"/>
      <c r="H46" s="138">
        <v>41</v>
      </c>
      <c r="I46" s="139" t="str">
        <f t="shared" si="1"/>
        <v/>
      </c>
      <c r="J46" s="138" t="e">
        <f t="shared" si="5"/>
        <v>#NUM!</v>
      </c>
      <c r="K46" s="138" t="e">
        <f t="shared" si="2"/>
        <v>#NUM!</v>
      </c>
      <c r="L46" s="138"/>
      <c r="M46" s="140">
        <f t="shared" si="3"/>
        <v>0</v>
      </c>
    </row>
    <row r="47" spans="1:19" x14ac:dyDescent="0.25">
      <c r="A47" s="77">
        <f t="shared" si="4"/>
        <v>0</v>
      </c>
      <c r="B47" s="39" t="str">
        <f t="shared" si="0"/>
        <v/>
      </c>
      <c r="C47" s="40"/>
      <c r="D47" s="40"/>
      <c r="E47" s="40"/>
      <c r="F47" s="40"/>
      <c r="G47" s="126"/>
      <c r="H47" s="141">
        <v>42</v>
      </c>
      <c r="I47" s="142" t="str">
        <f t="shared" si="1"/>
        <v/>
      </c>
      <c r="J47" s="141" t="e">
        <f t="shared" si="5"/>
        <v>#NUM!</v>
      </c>
      <c r="K47" s="141" t="e">
        <f t="shared" si="2"/>
        <v>#NUM!</v>
      </c>
      <c r="L47" s="141"/>
      <c r="M47" s="143">
        <f t="shared" si="3"/>
        <v>0</v>
      </c>
    </row>
    <row r="48" spans="1:19" x14ac:dyDescent="0.25">
      <c r="A48" s="76">
        <f t="shared" si="4"/>
        <v>0</v>
      </c>
      <c r="B48" s="33" t="str">
        <f t="shared" si="0"/>
        <v/>
      </c>
      <c r="C48" s="34"/>
      <c r="D48" s="34"/>
      <c r="E48" s="34"/>
      <c r="F48" s="34"/>
      <c r="G48" s="126"/>
      <c r="H48" s="138">
        <v>43</v>
      </c>
      <c r="I48" s="139" t="str">
        <f t="shared" si="1"/>
        <v/>
      </c>
      <c r="J48" s="138" t="e">
        <f t="shared" si="5"/>
        <v>#NUM!</v>
      </c>
      <c r="K48" s="138" t="e">
        <f t="shared" si="2"/>
        <v>#NUM!</v>
      </c>
      <c r="L48" s="138"/>
      <c r="M48" s="140">
        <f t="shared" si="3"/>
        <v>0</v>
      </c>
    </row>
    <row r="49" spans="1:38" x14ac:dyDescent="0.25">
      <c r="A49" s="77">
        <f t="shared" si="4"/>
        <v>0</v>
      </c>
      <c r="B49" s="39" t="str">
        <f t="shared" si="0"/>
        <v/>
      </c>
      <c r="C49" s="40"/>
      <c r="D49" s="40"/>
      <c r="E49" s="40"/>
      <c r="F49" s="40"/>
      <c r="G49" s="126"/>
      <c r="H49" s="141">
        <v>44</v>
      </c>
      <c r="I49" s="142" t="str">
        <f t="shared" si="1"/>
        <v/>
      </c>
      <c r="J49" s="141" t="e">
        <f t="shared" si="5"/>
        <v>#NUM!</v>
      </c>
      <c r="K49" s="141" t="e">
        <f t="shared" si="2"/>
        <v>#NUM!</v>
      </c>
      <c r="L49" s="141"/>
      <c r="M49" s="143">
        <f t="shared" si="3"/>
        <v>0</v>
      </c>
    </row>
    <row r="50" spans="1:38" x14ac:dyDescent="0.25">
      <c r="A50" s="76">
        <f t="shared" si="4"/>
        <v>0</v>
      </c>
      <c r="B50" s="33" t="str">
        <f t="shared" si="0"/>
        <v/>
      </c>
      <c r="C50" s="34"/>
      <c r="D50" s="34"/>
      <c r="E50" s="34"/>
      <c r="F50" s="34"/>
      <c r="G50" s="126"/>
      <c r="H50" s="138">
        <v>45</v>
      </c>
      <c r="I50" s="139" t="str">
        <f t="shared" si="1"/>
        <v/>
      </c>
      <c r="J50" s="138" t="e">
        <f t="shared" si="5"/>
        <v>#NUM!</v>
      </c>
      <c r="K50" s="138" t="e">
        <f t="shared" si="2"/>
        <v>#NUM!</v>
      </c>
      <c r="L50" s="138"/>
      <c r="M50" s="140">
        <f t="shared" si="3"/>
        <v>0</v>
      </c>
    </row>
    <row r="51" spans="1:38" x14ac:dyDescent="0.25">
      <c r="A51" s="77">
        <f t="shared" si="4"/>
        <v>0</v>
      </c>
      <c r="B51" s="39" t="str">
        <f t="shared" si="0"/>
        <v/>
      </c>
      <c r="C51" s="40"/>
      <c r="D51" s="40"/>
      <c r="E51" s="40"/>
      <c r="F51" s="40"/>
      <c r="G51" s="126"/>
      <c r="H51" s="141">
        <v>46</v>
      </c>
      <c r="I51" s="142" t="str">
        <f t="shared" si="1"/>
        <v/>
      </c>
      <c r="J51" s="141" t="e">
        <f t="shared" si="5"/>
        <v>#NUM!</v>
      </c>
      <c r="K51" s="141" t="e">
        <f t="shared" si="2"/>
        <v>#NUM!</v>
      </c>
      <c r="L51" s="141"/>
      <c r="M51" s="143">
        <f t="shared" si="3"/>
        <v>0</v>
      </c>
    </row>
    <row r="52" spans="1:38" x14ac:dyDescent="0.25">
      <c r="A52" s="76">
        <f t="shared" si="4"/>
        <v>0</v>
      </c>
      <c r="B52" s="33" t="str">
        <f t="shared" si="0"/>
        <v/>
      </c>
      <c r="C52" s="34"/>
      <c r="D52" s="34"/>
      <c r="E52" s="34"/>
      <c r="F52" s="34"/>
      <c r="G52" s="126"/>
      <c r="H52" s="138">
        <v>47</v>
      </c>
      <c r="I52" s="139" t="str">
        <f t="shared" si="1"/>
        <v/>
      </c>
      <c r="J52" s="138" t="e">
        <f t="shared" si="5"/>
        <v>#NUM!</v>
      </c>
      <c r="K52" s="138" t="e">
        <f t="shared" si="2"/>
        <v>#NUM!</v>
      </c>
      <c r="L52" s="138"/>
      <c r="M52" s="140">
        <f t="shared" si="3"/>
        <v>0</v>
      </c>
    </row>
    <row r="53" spans="1:38" x14ac:dyDescent="0.25">
      <c r="A53" s="77">
        <f t="shared" si="4"/>
        <v>0</v>
      </c>
      <c r="B53" s="39" t="str">
        <f t="shared" si="0"/>
        <v/>
      </c>
      <c r="C53" s="40"/>
      <c r="D53" s="40"/>
      <c r="E53" s="40"/>
      <c r="F53" s="40"/>
      <c r="G53" s="126"/>
      <c r="H53" s="141">
        <v>48</v>
      </c>
      <c r="I53" s="142" t="str">
        <f t="shared" si="1"/>
        <v/>
      </c>
      <c r="J53" s="141" t="e">
        <f t="shared" si="5"/>
        <v>#NUM!</v>
      </c>
      <c r="K53" s="141" t="e">
        <f t="shared" si="2"/>
        <v>#NUM!</v>
      </c>
      <c r="L53" s="141"/>
      <c r="M53" s="143">
        <f t="shared" si="3"/>
        <v>0</v>
      </c>
    </row>
    <row r="54" spans="1:38" x14ac:dyDescent="0.25">
      <c r="A54" s="76">
        <f t="shared" si="4"/>
        <v>0</v>
      </c>
      <c r="B54" s="33" t="str">
        <f t="shared" si="0"/>
        <v/>
      </c>
      <c r="C54" s="34"/>
      <c r="D54" s="34"/>
      <c r="E54" s="34"/>
      <c r="F54" s="34"/>
      <c r="G54" s="126"/>
      <c r="H54" s="138">
        <v>49</v>
      </c>
      <c r="I54" s="139" t="str">
        <f t="shared" si="1"/>
        <v/>
      </c>
      <c r="J54" s="138" t="e">
        <f t="shared" si="5"/>
        <v>#NUM!</v>
      </c>
      <c r="K54" s="138" t="e">
        <f t="shared" si="2"/>
        <v>#NUM!</v>
      </c>
      <c r="L54" s="138"/>
      <c r="M54" s="140">
        <f t="shared" si="3"/>
        <v>0</v>
      </c>
    </row>
    <row r="55" spans="1:38" x14ac:dyDescent="0.25">
      <c r="A55" s="77">
        <f t="shared" si="4"/>
        <v>0</v>
      </c>
      <c r="B55" s="39" t="str">
        <f t="shared" si="0"/>
        <v/>
      </c>
      <c r="C55" s="40"/>
      <c r="D55" s="40"/>
      <c r="E55" s="40"/>
      <c r="F55" s="40"/>
      <c r="G55" s="126"/>
      <c r="H55" s="141">
        <v>50</v>
      </c>
      <c r="I55" s="142" t="str">
        <f t="shared" si="1"/>
        <v/>
      </c>
      <c r="J55" s="141" t="e">
        <f t="shared" si="5"/>
        <v>#NUM!</v>
      </c>
      <c r="K55" s="141" t="e">
        <f t="shared" si="2"/>
        <v>#NUM!</v>
      </c>
      <c r="L55" s="141"/>
      <c r="M55" s="143">
        <f t="shared" si="3"/>
        <v>0</v>
      </c>
    </row>
    <row r="56" spans="1:38" x14ac:dyDescent="0.25">
      <c r="A56" s="76">
        <f t="shared" si="4"/>
        <v>0</v>
      </c>
      <c r="B56" s="33" t="str">
        <f t="shared" si="0"/>
        <v/>
      </c>
      <c r="C56" s="34"/>
      <c r="D56" s="34"/>
      <c r="E56" s="34"/>
      <c r="F56" s="34"/>
      <c r="G56" s="126"/>
      <c r="H56" s="138">
        <v>51</v>
      </c>
      <c r="I56" s="139" t="str">
        <f t="shared" si="1"/>
        <v/>
      </c>
      <c r="J56" s="138" t="e">
        <f t="shared" si="5"/>
        <v>#NUM!</v>
      </c>
      <c r="K56" s="138" t="e">
        <f t="shared" si="2"/>
        <v>#NUM!</v>
      </c>
      <c r="L56" s="138"/>
      <c r="M56" s="140">
        <f t="shared" si="3"/>
        <v>0</v>
      </c>
    </row>
    <row r="57" spans="1:38" s="126" customFormat="1" x14ac:dyDescent="0.25">
      <c r="A57" s="77">
        <f t="shared" si="4"/>
        <v>0</v>
      </c>
      <c r="B57" s="39" t="str">
        <f t="shared" si="0"/>
        <v/>
      </c>
      <c r="C57" s="40"/>
      <c r="D57" s="40"/>
      <c r="E57" s="40"/>
      <c r="F57" s="40"/>
      <c r="H57" s="141">
        <v>52</v>
      </c>
      <c r="I57" s="142" t="str">
        <f t="shared" si="1"/>
        <v/>
      </c>
      <c r="J57" s="141" t="e">
        <f t="shared" si="5"/>
        <v>#NUM!</v>
      </c>
      <c r="K57" s="141" t="e">
        <f t="shared" si="2"/>
        <v>#NUM!</v>
      </c>
      <c r="L57" s="141"/>
      <c r="M57" s="143">
        <f t="shared" si="3"/>
        <v>0</v>
      </c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</row>
    <row r="58" spans="1:38" s="126" customFormat="1" x14ac:dyDescent="0.25">
      <c r="A58" s="76">
        <f t="shared" si="4"/>
        <v>0</v>
      </c>
      <c r="B58" s="33" t="str">
        <f t="shared" si="0"/>
        <v/>
      </c>
      <c r="C58" s="34"/>
      <c r="D58" s="34"/>
      <c r="E58" s="34"/>
      <c r="F58" s="34"/>
      <c r="H58" s="138">
        <v>53</v>
      </c>
      <c r="I58" s="139" t="str">
        <f t="shared" si="1"/>
        <v/>
      </c>
      <c r="J58" s="138" t="e">
        <f t="shared" si="5"/>
        <v>#NUM!</v>
      </c>
      <c r="K58" s="138" t="e">
        <f t="shared" si="2"/>
        <v>#NUM!</v>
      </c>
      <c r="L58" s="138"/>
      <c r="M58" s="140">
        <f t="shared" si="3"/>
        <v>0</v>
      </c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</row>
    <row r="59" spans="1:38" s="126" customFormat="1" x14ac:dyDescent="0.25">
      <c r="A59" s="77">
        <f t="shared" si="4"/>
        <v>0</v>
      </c>
      <c r="B59" s="39" t="str">
        <f t="shared" si="0"/>
        <v/>
      </c>
      <c r="C59" s="40"/>
      <c r="D59" s="40"/>
      <c r="E59" s="40"/>
      <c r="F59" s="40"/>
      <c r="H59" s="141">
        <v>54</v>
      </c>
      <c r="I59" s="142" t="str">
        <f t="shared" si="1"/>
        <v/>
      </c>
      <c r="J59" s="141" t="e">
        <f t="shared" si="5"/>
        <v>#NUM!</v>
      </c>
      <c r="K59" s="141" t="e">
        <f t="shared" si="2"/>
        <v>#NUM!</v>
      </c>
      <c r="L59" s="141"/>
      <c r="M59" s="143">
        <f t="shared" si="3"/>
        <v>0</v>
      </c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</row>
    <row r="60" spans="1:38" s="126" customFormat="1" x14ac:dyDescent="0.25">
      <c r="A60" s="76">
        <f t="shared" si="4"/>
        <v>0</v>
      </c>
      <c r="B60" s="33" t="str">
        <f t="shared" si="0"/>
        <v/>
      </c>
      <c r="C60" s="34"/>
      <c r="D60" s="34"/>
      <c r="E60" s="34"/>
      <c r="F60" s="34"/>
      <c r="H60" s="138">
        <v>55</v>
      </c>
      <c r="I60" s="139" t="str">
        <f t="shared" si="1"/>
        <v/>
      </c>
      <c r="J60" s="138" t="e">
        <f t="shared" si="5"/>
        <v>#NUM!</v>
      </c>
      <c r="K60" s="138" t="e">
        <f t="shared" si="2"/>
        <v>#NUM!</v>
      </c>
      <c r="L60" s="138"/>
      <c r="M60" s="140">
        <f t="shared" si="3"/>
        <v>0</v>
      </c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</row>
    <row r="61" spans="1:38" s="126" customFormat="1" x14ac:dyDescent="0.25">
      <c r="A61" s="77">
        <f t="shared" si="4"/>
        <v>0</v>
      </c>
      <c r="B61" s="39" t="str">
        <f t="shared" si="0"/>
        <v/>
      </c>
      <c r="C61" s="40"/>
      <c r="D61" s="40"/>
      <c r="E61" s="40"/>
      <c r="F61" s="40"/>
      <c r="H61" s="141">
        <v>56</v>
      </c>
      <c r="I61" s="142" t="str">
        <f t="shared" si="1"/>
        <v/>
      </c>
      <c r="J61" s="141" t="e">
        <f t="shared" si="5"/>
        <v>#NUM!</v>
      </c>
      <c r="K61" s="141" t="e">
        <f t="shared" si="2"/>
        <v>#NUM!</v>
      </c>
      <c r="L61" s="141"/>
      <c r="M61" s="143">
        <f t="shared" si="3"/>
        <v>0</v>
      </c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</row>
    <row r="62" spans="1:38" s="126" customFormat="1" x14ac:dyDescent="0.25">
      <c r="A62" s="76">
        <f t="shared" si="4"/>
        <v>0</v>
      </c>
      <c r="B62" s="33" t="str">
        <f t="shared" si="0"/>
        <v/>
      </c>
      <c r="C62" s="34"/>
      <c r="D62" s="34"/>
      <c r="E62" s="34"/>
      <c r="F62" s="34"/>
      <c r="H62" s="138">
        <v>57</v>
      </c>
      <c r="I62" s="139" t="str">
        <f t="shared" si="1"/>
        <v/>
      </c>
      <c r="J62" s="138" t="e">
        <f t="shared" si="5"/>
        <v>#NUM!</v>
      </c>
      <c r="K62" s="138" t="e">
        <f t="shared" si="2"/>
        <v>#NUM!</v>
      </c>
      <c r="L62" s="138"/>
      <c r="M62" s="140">
        <f t="shared" si="3"/>
        <v>0</v>
      </c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</row>
    <row r="63" spans="1:38" s="126" customFormat="1" x14ac:dyDescent="0.25">
      <c r="A63" s="77">
        <f t="shared" si="4"/>
        <v>0</v>
      </c>
      <c r="B63" s="39" t="str">
        <f t="shared" si="0"/>
        <v/>
      </c>
      <c r="C63" s="40"/>
      <c r="D63" s="40"/>
      <c r="E63" s="40"/>
      <c r="F63" s="40"/>
      <c r="H63" s="141">
        <v>58</v>
      </c>
      <c r="I63" s="142" t="str">
        <f t="shared" si="1"/>
        <v/>
      </c>
      <c r="J63" s="141" t="e">
        <f t="shared" si="5"/>
        <v>#NUM!</v>
      </c>
      <c r="K63" s="141" t="e">
        <f t="shared" si="2"/>
        <v>#NUM!</v>
      </c>
      <c r="L63" s="141"/>
      <c r="M63" s="143">
        <f t="shared" si="3"/>
        <v>0</v>
      </c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</row>
    <row r="64" spans="1:38" s="126" customFormat="1" x14ac:dyDescent="0.25">
      <c r="A64" s="76">
        <f t="shared" si="4"/>
        <v>0</v>
      </c>
      <c r="B64" s="33" t="str">
        <f t="shared" si="0"/>
        <v/>
      </c>
      <c r="C64" s="34"/>
      <c r="D64" s="34"/>
      <c r="E64" s="34"/>
      <c r="F64" s="34"/>
      <c r="H64" s="138">
        <v>59</v>
      </c>
      <c r="I64" s="139" t="str">
        <f t="shared" si="1"/>
        <v/>
      </c>
      <c r="J64" s="138" t="e">
        <f t="shared" si="5"/>
        <v>#NUM!</v>
      </c>
      <c r="K64" s="138" t="e">
        <f t="shared" si="2"/>
        <v>#NUM!</v>
      </c>
      <c r="L64" s="138"/>
      <c r="M64" s="140">
        <f t="shared" si="3"/>
        <v>0</v>
      </c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</row>
    <row r="65" spans="1:38" s="126" customFormat="1" x14ac:dyDescent="0.25">
      <c r="A65" s="77">
        <f t="shared" si="4"/>
        <v>0</v>
      </c>
      <c r="B65" s="39" t="str">
        <f t="shared" si="0"/>
        <v/>
      </c>
      <c r="C65" s="40"/>
      <c r="D65" s="40"/>
      <c r="E65" s="40"/>
      <c r="F65" s="40"/>
      <c r="H65" s="141">
        <v>60</v>
      </c>
      <c r="I65" s="142" t="str">
        <f t="shared" si="1"/>
        <v/>
      </c>
      <c r="J65" s="141" t="e">
        <f t="shared" si="5"/>
        <v>#NUM!</v>
      </c>
      <c r="K65" s="141" t="e">
        <f t="shared" si="2"/>
        <v>#NUM!</v>
      </c>
      <c r="L65" s="141"/>
      <c r="M65" s="143">
        <f t="shared" si="3"/>
        <v>0</v>
      </c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</row>
    <row r="66" spans="1:38" s="126" customFormat="1" x14ac:dyDescent="0.25">
      <c r="A66" s="76">
        <f t="shared" si="4"/>
        <v>0</v>
      </c>
      <c r="B66" s="33" t="str">
        <f t="shared" si="0"/>
        <v/>
      </c>
      <c r="C66" s="34"/>
      <c r="D66" s="34"/>
      <c r="E66" s="34"/>
      <c r="F66" s="34"/>
      <c r="H66" s="138">
        <v>61</v>
      </c>
      <c r="I66" s="139" t="str">
        <f t="shared" si="1"/>
        <v/>
      </c>
      <c r="J66" s="138" t="e">
        <f t="shared" si="5"/>
        <v>#NUM!</v>
      </c>
      <c r="K66" s="138" t="e">
        <f t="shared" si="2"/>
        <v>#NUM!</v>
      </c>
      <c r="L66" s="138"/>
      <c r="M66" s="140">
        <f t="shared" si="3"/>
        <v>0</v>
      </c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</row>
    <row r="67" spans="1:38" s="126" customFormat="1" x14ac:dyDescent="0.25">
      <c r="A67" s="77">
        <f t="shared" si="4"/>
        <v>0</v>
      </c>
      <c r="B67" s="39" t="str">
        <f t="shared" si="0"/>
        <v/>
      </c>
      <c r="C67" s="40"/>
      <c r="D67" s="40"/>
      <c r="E67" s="40"/>
      <c r="F67" s="40"/>
      <c r="H67" s="141">
        <v>62</v>
      </c>
      <c r="I67" s="142" t="str">
        <f t="shared" si="1"/>
        <v/>
      </c>
      <c r="J67" s="141" t="e">
        <f t="shared" si="5"/>
        <v>#NUM!</v>
      </c>
      <c r="K67" s="141" t="e">
        <f t="shared" si="2"/>
        <v>#NUM!</v>
      </c>
      <c r="L67" s="141"/>
      <c r="M67" s="143">
        <f t="shared" si="3"/>
        <v>0</v>
      </c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</row>
    <row r="68" spans="1:38" s="126" customFormat="1" x14ac:dyDescent="0.25">
      <c r="A68" s="76">
        <f t="shared" si="4"/>
        <v>0</v>
      </c>
      <c r="B68" s="33" t="str">
        <f t="shared" si="0"/>
        <v/>
      </c>
      <c r="C68" s="34"/>
      <c r="D68" s="34"/>
      <c r="E68" s="34"/>
      <c r="F68" s="34"/>
      <c r="H68" s="138">
        <v>63</v>
      </c>
      <c r="I68" s="139" t="str">
        <f t="shared" si="1"/>
        <v/>
      </c>
      <c r="J68" s="138" t="e">
        <f t="shared" si="5"/>
        <v>#NUM!</v>
      </c>
      <c r="K68" s="138" t="e">
        <f t="shared" si="2"/>
        <v>#NUM!</v>
      </c>
      <c r="L68" s="138"/>
      <c r="M68" s="140">
        <f t="shared" si="3"/>
        <v>0</v>
      </c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</row>
    <row r="69" spans="1:38" s="126" customFormat="1" x14ac:dyDescent="0.25">
      <c r="A69" s="77">
        <f t="shared" si="4"/>
        <v>0</v>
      </c>
      <c r="B69" s="39" t="str">
        <f t="shared" si="0"/>
        <v/>
      </c>
      <c r="C69" s="40"/>
      <c r="D69" s="40"/>
      <c r="E69" s="40"/>
      <c r="F69" s="40"/>
      <c r="H69" s="141">
        <v>64</v>
      </c>
      <c r="I69" s="142" t="str">
        <f t="shared" si="1"/>
        <v/>
      </c>
      <c r="J69" s="141" t="e">
        <f t="shared" si="5"/>
        <v>#NUM!</v>
      </c>
      <c r="K69" s="141" t="e">
        <f t="shared" si="2"/>
        <v>#NUM!</v>
      </c>
      <c r="L69" s="141"/>
      <c r="M69" s="143">
        <f t="shared" si="3"/>
        <v>0</v>
      </c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</row>
    <row r="70" spans="1:38" s="126" customFormat="1" x14ac:dyDescent="0.25">
      <c r="A70" s="76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138">
        <v>65</v>
      </c>
      <c r="I70" s="139" t="str">
        <f t="shared" ref="I70:I133" si="7">IF(H70&lt;$H$2+1,($I$2-($I$2-1)*(LOG(H70)/LOG($H$2))),"")</f>
        <v/>
      </c>
      <c r="J70" s="138" t="e">
        <f t="shared" si="5"/>
        <v>#NUM!</v>
      </c>
      <c r="K70" s="138" t="e">
        <f t="shared" ref="K70:K133" si="8">J70*$J$2</f>
        <v>#NUM!</v>
      </c>
      <c r="L70" s="138"/>
      <c r="M70" s="140">
        <f t="shared" ref="M70:M133" si="9">IF(I70&lt;&gt;"",K70+I70+L70,0)</f>
        <v>0</v>
      </c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</row>
    <row r="71" spans="1:38" s="126" customFormat="1" x14ac:dyDescent="0.25">
      <c r="A71" s="77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141">
        <v>66</v>
      </c>
      <c r="I71" s="142" t="str">
        <f t="shared" si="7"/>
        <v/>
      </c>
      <c r="J71" s="141" t="e">
        <f t="shared" ref="J71:J134" si="11">INT(LOG($H$2,2))-ROUNDUP(LOG(H71,2),0)+IF(OR($H$2=1,$H$2=2,$H$2=4,$H$2=8,$H$2=16,$H$2=32,$H$2=64,$H$2=128,$H$2=256),0,1)</f>
        <v>#NUM!</v>
      </c>
      <c r="K71" s="141" t="e">
        <f t="shared" si="8"/>
        <v>#NUM!</v>
      </c>
      <c r="L71" s="141"/>
      <c r="M71" s="143">
        <f t="shared" si="9"/>
        <v>0</v>
      </c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</row>
    <row r="72" spans="1:38" s="126" customFormat="1" x14ac:dyDescent="0.25">
      <c r="A72" s="76">
        <f t="shared" si="10"/>
        <v>0</v>
      </c>
      <c r="B72" s="33" t="str">
        <f t="shared" si="6"/>
        <v/>
      </c>
      <c r="C72" s="34"/>
      <c r="D72" s="34"/>
      <c r="E72" s="34"/>
      <c r="F72" s="34"/>
      <c r="H72" s="138">
        <v>67</v>
      </c>
      <c r="I72" s="139" t="str">
        <f t="shared" si="7"/>
        <v/>
      </c>
      <c r="J72" s="138" t="e">
        <f t="shared" si="11"/>
        <v>#NUM!</v>
      </c>
      <c r="K72" s="138" t="e">
        <f t="shared" si="8"/>
        <v>#NUM!</v>
      </c>
      <c r="L72" s="138"/>
      <c r="M72" s="140">
        <f t="shared" si="9"/>
        <v>0</v>
      </c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</row>
    <row r="73" spans="1:38" s="126" customFormat="1" x14ac:dyDescent="0.25">
      <c r="A73" s="77">
        <f t="shared" si="10"/>
        <v>0</v>
      </c>
      <c r="B73" s="39" t="str">
        <f t="shared" si="6"/>
        <v/>
      </c>
      <c r="C73" s="40"/>
      <c r="D73" s="40"/>
      <c r="E73" s="40"/>
      <c r="F73" s="40"/>
      <c r="H73" s="141">
        <v>68</v>
      </c>
      <c r="I73" s="142" t="str">
        <f t="shared" si="7"/>
        <v/>
      </c>
      <c r="J73" s="141" t="e">
        <f t="shared" si="11"/>
        <v>#NUM!</v>
      </c>
      <c r="K73" s="141" t="e">
        <f t="shared" si="8"/>
        <v>#NUM!</v>
      </c>
      <c r="L73" s="141"/>
      <c r="M73" s="143">
        <f t="shared" si="9"/>
        <v>0</v>
      </c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</row>
    <row r="74" spans="1:38" s="126" customFormat="1" x14ac:dyDescent="0.25">
      <c r="A74" s="76">
        <f t="shared" si="10"/>
        <v>0</v>
      </c>
      <c r="B74" s="33" t="str">
        <f t="shared" si="6"/>
        <v/>
      </c>
      <c r="C74" s="34"/>
      <c r="D74" s="34"/>
      <c r="E74" s="34"/>
      <c r="F74" s="34"/>
      <c r="H74" s="138">
        <v>69</v>
      </c>
      <c r="I74" s="139" t="str">
        <f t="shared" si="7"/>
        <v/>
      </c>
      <c r="J74" s="138" t="e">
        <f t="shared" si="11"/>
        <v>#NUM!</v>
      </c>
      <c r="K74" s="138" t="e">
        <f t="shared" si="8"/>
        <v>#NUM!</v>
      </c>
      <c r="L74" s="138"/>
      <c r="M74" s="140">
        <f t="shared" si="9"/>
        <v>0</v>
      </c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</row>
    <row r="75" spans="1:38" s="126" customFormat="1" x14ac:dyDescent="0.25">
      <c r="A75" s="77">
        <f t="shared" si="10"/>
        <v>0</v>
      </c>
      <c r="B75" s="39" t="str">
        <f t="shared" si="6"/>
        <v/>
      </c>
      <c r="C75" s="40"/>
      <c r="D75" s="40"/>
      <c r="E75" s="40"/>
      <c r="F75" s="40"/>
      <c r="H75" s="141">
        <v>70</v>
      </c>
      <c r="I75" s="142" t="str">
        <f t="shared" si="7"/>
        <v/>
      </c>
      <c r="J75" s="141" t="e">
        <f t="shared" si="11"/>
        <v>#NUM!</v>
      </c>
      <c r="K75" s="141" t="e">
        <f t="shared" si="8"/>
        <v>#NUM!</v>
      </c>
      <c r="L75" s="141"/>
      <c r="M75" s="143">
        <f t="shared" si="9"/>
        <v>0</v>
      </c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</row>
    <row r="76" spans="1:38" s="126" customFormat="1" x14ac:dyDescent="0.25">
      <c r="A76" s="76">
        <f t="shared" si="10"/>
        <v>0</v>
      </c>
      <c r="B76" s="33" t="str">
        <f t="shared" si="6"/>
        <v/>
      </c>
      <c r="C76" s="34"/>
      <c r="D76" s="34"/>
      <c r="E76" s="34"/>
      <c r="F76" s="34"/>
      <c r="H76" s="138">
        <v>71</v>
      </c>
      <c r="I76" s="139" t="str">
        <f t="shared" si="7"/>
        <v/>
      </c>
      <c r="J76" s="138" t="e">
        <f t="shared" si="11"/>
        <v>#NUM!</v>
      </c>
      <c r="K76" s="138" t="e">
        <f t="shared" si="8"/>
        <v>#NUM!</v>
      </c>
      <c r="L76" s="138"/>
      <c r="M76" s="140">
        <f t="shared" si="9"/>
        <v>0</v>
      </c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</row>
    <row r="77" spans="1:38" s="126" customFormat="1" x14ac:dyDescent="0.25">
      <c r="A77" s="77">
        <f t="shared" si="10"/>
        <v>0</v>
      </c>
      <c r="B77" s="39" t="str">
        <f t="shared" si="6"/>
        <v/>
      </c>
      <c r="C77" s="40"/>
      <c r="D77" s="40"/>
      <c r="E77" s="40"/>
      <c r="F77" s="40"/>
      <c r="H77" s="141">
        <v>72</v>
      </c>
      <c r="I77" s="142" t="str">
        <f t="shared" si="7"/>
        <v/>
      </c>
      <c r="J77" s="141" t="e">
        <f t="shared" si="11"/>
        <v>#NUM!</v>
      </c>
      <c r="K77" s="141" t="e">
        <f t="shared" si="8"/>
        <v>#NUM!</v>
      </c>
      <c r="L77" s="141"/>
      <c r="M77" s="143">
        <f t="shared" si="9"/>
        <v>0</v>
      </c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</row>
    <row r="78" spans="1:38" s="126" customFormat="1" x14ac:dyDescent="0.25">
      <c r="A78" s="76">
        <f t="shared" si="10"/>
        <v>0</v>
      </c>
      <c r="B78" s="33" t="str">
        <f t="shared" si="6"/>
        <v/>
      </c>
      <c r="C78" s="34"/>
      <c r="D78" s="34"/>
      <c r="E78" s="34"/>
      <c r="F78" s="34"/>
      <c r="H78" s="138">
        <v>73</v>
      </c>
      <c r="I78" s="139" t="str">
        <f t="shared" si="7"/>
        <v/>
      </c>
      <c r="J78" s="138" t="e">
        <f t="shared" si="11"/>
        <v>#NUM!</v>
      </c>
      <c r="K78" s="138" t="e">
        <f t="shared" si="8"/>
        <v>#NUM!</v>
      </c>
      <c r="L78" s="138"/>
      <c r="M78" s="140">
        <f t="shared" si="9"/>
        <v>0</v>
      </c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</row>
    <row r="79" spans="1:38" s="126" customFormat="1" x14ac:dyDescent="0.25">
      <c r="A79" s="77">
        <f t="shared" si="10"/>
        <v>0</v>
      </c>
      <c r="B79" s="39" t="str">
        <f t="shared" si="6"/>
        <v/>
      </c>
      <c r="C79" s="40"/>
      <c r="D79" s="40"/>
      <c r="E79" s="40"/>
      <c r="F79" s="40"/>
      <c r="H79" s="141">
        <v>74</v>
      </c>
      <c r="I79" s="142" t="str">
        <f t="shared" si="7"/>
        <v/>
      </c>
      <c r="J79" s="141" t="e">
        <f t="shared" si="11"/>
        <v>#NUM!</v>
      </c>
      <c r="K79" s="141" t="e">
        <f t="shared" si="8"/>
        <v>#NUM!</v>
      </c>
      <c r="L79" s="141"/>
      <c r="M79" s="143">
        <f t="shared" si="9"/>
        <v>0</v>
      </c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</row>
    <row r="80" spans="1:38" s="126" customFormat="1" x14ac:dyDescent="0.25">
      <c r="A80" s="76">
        <f t="shared" si="10"/>
        <v>0</v>
      </c>
      <c r="B80" s="33" t="str">
        <f t="shared" si="6"/>
        <v/>
      </c>
      <c r="C80" s="34"/>
      <c r="D80" s="34"/>
      <c r="E80" s="34"/>
      <c r="F80" s="34"/>
      <c r="H80" s="138">
        <v>75</v>
      </c>
      <c r="I80" s="139" t="str">
        <f t="shared" si="7"/>
        <v/>
      </c>
      <c r="J80" s="138" t="e">
        <f t="shared" si="11"/>
        <v>#NUM!</v>
      </c>
      <c r="K80" s="138" t="e">
        <f t="shared" si="8"/>
        <v>#NUM!</v>
      </c>
      <c r="L80" s="138"/>
      <c r="M80" s="140">
        <f t="shared" si="9"/>
        <v>0</v>
      </c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</row>
    <row r="81" spans="1:38" s="126" customFormat="1" x14ac:dyDescent="0.25">
      <c r="A81" s="77">
        <f t="shared" si="10"/>
        <v>0</v>
      </c>
      <c r="B81" s="39" t="str">
        <f t="shared" si="6"/>
        <v/>
      </c>
      <c r="C81" s="40"/>
      <c r="D81" s="40"/>
      <c r="E81" s="40"/>
      <c r="F81" s="40"/>
      <c r="H81" s="141">
        <v>76</v>
      </c>
      <c r="I81" s="142" t="str">
        <f t="shared" si="7"/>
        <v/>
      </c>
      <c r="J81" s="141" t="e">
        <f t="shared" si="11"/>
        <v>#NUM!</v>
      </c>
      <c r="K81" s="141" t="e">
        <f t="shared" si="8"/>
        <v>#NUM!</v>
      </c>
      <c r="L81" s="141"/>
      <c r="M81" s="143">
        <f t="shared" si="9"/>
        <v>0</v>
      </c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</row>
    <row r="82" spans="1:38" s="126" customFormat="1" x14ac:dyDescent="0.25">
      <c r="A82" s="76">
        <f t="shared" si="10"/>
        <v>0</v>
      </c>
      <c r="B82" s="33" t="str">
        <f t="shared" si="6"/>
        <v/>
      </c>
      <c r="C82" s="34"/>
      <c r="D82" s="34"/>
      <c r="E82" s="34"/>
      <c r="F82" s="34"/>
      <c r="H82" s="138">
        <v>77</v>
      </c>
      <c r="I82" s="139" t="str">
        <f t="shared" si="7"/>
        <v/>
      </c>
      <c r="J82" s="138" t="e">
        <f t="shared" si="11"/>
        <v>#NUM!</v>
      </c>
      <c r="K82" s="138" t="e">
        <f t="shared" si="8"/>
        <v>#NUM!</v>
      </c>
      <c r="L82" s="138"/>
      <c r="M82" s="140">
        <f t="shared" si="9"/>
        <v>0</v>
      </c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</row>
    <row r="83" spans="1:38" s="126" customFormat="1" x14ac:dyDescent="0.25">
      <c r="A83" s="77">
        <f t="shared" si="10"/>
        <v>0</v>
      </c>
      <c r="B83" s="39" t="str">
        <f t="shared" si="6"/>
        <v/>
      </c>
      <c r="C83" s="40"/>
      <c r="D83" s="40"/>
      <c r="E83" s="40"/>
      <c r="F83" s="40"/>
      <c r="H83" s="141">
        <v>78</v>
      </c>
      <c r="I83" s="142" t="str">
        <f t="shared" si="7"/>
        <v/>
      </c>
      <c r="J83" s="141" t="e">
        <f t="shared" si="11"/>
        <v>#NUM!</v>
      </c>
      <c r="K83" s="141" t="e">
        <f t="shared" si="8"/>
        <v>#NUM!</v>
      </c>
      <c r="L83" s="141"/>
      <c r="M83" s="143">
        <f t="shared" si="9"/>
        <v>0</v>
      </c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</row>
    <row r="84" spans="1:38" s="126" customFormat="1" x14ac:dyDescent="0.25">
      <c r="A84" s="76">
        <f t="shared" si="10"/>
        <v>0</v>
      </c>
      <c r="B84" s="33" t="str">
        <f t="shared" si="6"/>
        <v/>
      </c>
      <c r="C84" s="34"/>
      <c r="D84" s="34"/>
      <c r="E84" s="34"/>
      <c r="F84" s="34"/>
      <c r="H84" s="138">
        <v>79</v>
      </c>
      <c r="I84" s="139" t="str">
        <f t="shared" si="7"/>
        <v/>
      </c>
      <c r="J84" s="138" t="e">
        <f t="shared" si="11"/>
        <v>#NUM!</v>
      </c>
      <c r="K84" s="138" t="e">
        <f t="shared" si="8"/>
        <v>#NUM!</v>
      </c>
      <c r="L84" s="138"/>
      <c r="M84" s="140">
        <f t="shared" si="9"/>
        <v>0</v>
      </c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</row>
    <row r="85" spans="1:38" s="126" customFormat="1" x14ac:dyDescent="0.25">
      <c r="A85" s="77">
        <f t="shared" si="10"/>
        <v>0</v>
      </c>
      <c r="B85" s="39" t="str">
        <f t="shared" si="6"/>
        <v/>
      </c>
      <c r="C85" s="40"/>
      <c r="D85" s="40"/>
      <c r="E85" s="40"/>
      <c r="F85" s="40"/>
      <c r="H85" s="141">
        <v>80</v>
      </c>
      <c r="I85" s="142" t="str">
        <f t="shared" si="7"/>
        <v/>
      </c>
      <c r="J85" s="141" t="e">
        <f t="shared" si="11"/>
        <v>#NUM!</v>
      </c>
      <c r="K85" s="141" t="e">
        <f t="shared" si="8"/>
        <v>#NUM!</v>
      </c>
      <c r="L85" s="141"/>
      <c r="M85" s="143">
        <f t="shared" si="9"/>
        <v>0</v>
      </c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</row>
    <row r="86" spans="1:38" s="126" customFormat="1" x14ac:dyDescent="0.25">
      <c r="A86" s="76">
        <f t="shared" si="10"/>
        <v>0</v>
      </c>
      <c r="B86" s="33" t="str">
        <f t="shared" si="6"/>
        <v/>
      </c>
      <c r="C86" s="34"/>
      <c r="D86" s="34"/>
      <c r="E86" s="34"/>
      <c r="F86" s="34"/>
      <c r="H86" s="138">
        <v>81</v>
      </c>
      <c r="I86" s="139" t="str">
        <f t="shared" si="7"/>
        <v/>
      </c>
      <c r="J86" s="138" t="e">
        <f t="shared" si="11"/>
        <v>#NUM!</v>
      </c>
      <c r="K86" s="138" t="e">
        <f t="shared" si="8"/>
        <v>#NUM!</v>
      </c>
      <c r="L86" s="138"/>
      <c r="M86" s="140">
        <f t="shared" si="9"/>
        <v>0</v>
      </c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</row>
    <row r="87" spans="1:38" s="126" customFormat="1" x14ac:dyDescent="0.25">
      <c r="A87" s="77">
        <f t="shared" si="10"/>
        <v>0</v>
      </c>
      <c r="B87" s="39" t="str">
        <f t="shared" si="6"/>
        <v/>
      </c>
      <c r="C87" s="40"/>
      <c r="D87" s="40"/>
      <c r="E87" s="40"/>
      <c r="F87" s="40"/>
      <c r="H87" s="141">
        <v>82</v>
      </c>
      <c r="I87" s="142" t="str">
        <f t="shared" si="7"/>
        <v/>
      </c>
      <c r="J87" s="141" t="e">
        <f t="shared" si="11"/>
        <v>#NUM!</v>
      </c>
      <c r="K87" s="141" t="e">
        <f t="shared" si="8"/>
        <v>#NUM!</v>
      </c>
      <c r="L87" s="141"/>
      <c r="M87" s="143">
        <f t="shared" si="9"/>
        <v>0</v>
      </c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</row>
    <row r="88" spans="1:38" s="126" customFormat="1" x14ac:dyDescent="0.25">
      <c r="A88" s="76">
        <f t="shared" si="10"/>
        <v>0</v>
      </c>
      <c r="B88" s="33" t="str">
        <f t="shared" si="6"/>
        <v/>
      </c>
      <c r="C88" s="34"/>
      <c r="D88" s="34"/>
      <c r="E88" s="34"/>
      <c r="F88" s="34"/>
      <c r="H88" s="138">
        <v>83</v>
      </c>
      <c r="I88" s="139" t="str">
        <f t="shared" si="7"/>
        <v/>
      </c>
      <c r="J88" s="138" t="e">
        <f t="shared" si="11"/>
        <v>#NUM!</v>
      </c>
      <c r="K88" s="138" t="e">
        <f t="shared" si="8"/>
        <v>#NUM!</v>
      </c>
      <c r="L88" s="138"/>
      <c r="M88" s="140">
        <f t="shared" si="9"/>
        <v>0</v>
      </c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</row>
    <row r="89" spans="1:38" s="126" customFormat="1" x14ac:dyDescent="0.25">
      <c r="A89" s="77">
        <f t="shared" si="10"/>
        <v>0</v>
      </c>
      <c r="B89" s="39" t="str">
        <f t="shared" si="6"/>
        <v/>
      </c>
      <c r="C89" s="40"/>
      <c r="D89" s="40"/>
      <c r="E89" s="40"/>
      <c r="F89" s="40"/>
      <c r="H89" s="141">
        <v>84</v>
      </c>
      <c r="I89" s="142" t="str">
        <f t="shared" si="7"/>
        <v/>
      </c>
      <c r="J89" s="141" t="e">
        <f t="shared" si="11"/>
        <v>#NUM!</v>
      </c>
      <c r="K89" s="141" t="e">
        <f t="shared" si="8"/>
        <v>#NUM!</v>
      </c>
      <c r="L89" s="141"/>
      <c r="M89" s="143">
        <f t="shared" si="9"/>
        <v>0</v>
      </c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</row>
    <row r="90" spans="1:38" s="126" customFormat="1" x14ac:dyDescent="0.25">
      <c r="A90" s="76">
        <f t="shared" si="10"/>
        <v>0</v>
      </c>
      <c r="B90" s="33" t="str">
        <f t="shared" si="6"/>
        <v/>
      </c>
      <c r="C90" s="34"/>
      <c r="D90" s="34"/>
      <c r="E90" s="34"/>
      <c r="F90" s="34"/>
      <c r="H90" s="138">
        <v>85</v>
      </c>
      <c r="I90" s="139" t="str">
        <f t="shared" si="7"/>
        <v/>
      </c>
      <c r="J90" s="138" t="e">
        <f t="shared" si="11"/>
        <v>#NUM!</v>
      </c>
      <c r="K90" s="138" t="e">
        <f t="shared" si="8"/>
        <v>#NUM!</v>
      </c>
      <c r="L90" s="138"/>
      <c r="M90" s="140">
        <f t="shared" si="9"/>
        <v>0</v>
      </c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</row>
    <row r="91" spans="1:38" s="126" customFormat="1" x14ac:dyDescent="0.25">
      <c r="A91" s="77">
        <f t="shared" si="10"/>
        <v>0</v>
      </c>
      <c r="B91" s="39" t="str">
        <f t="shared" si="6"/>
        <v/>
      </c>
      <c r="C91" s="40"/>
      <c r="D91" s="40"/>
      <c r="E91" s="40"/>
      <c r="F91" s="40"/>
      <c r="H91" s="141">
        <v>86</v>
      </c>
      <c r="I91" s="142" t="str">
        <f t="shared" si="7"/>
        <v/>
      </c>
      <c r="J91" s="141" t="e">
        <f t="shared" si="11"/>
        <v>#NUM!</v>
      </c>
      <c r="K91" s="141" t="e">
        <f t="shared" si="8"/>
        <v>#NUM!</v>
      </c>
      <c r="L91" s="141"/>
      <c r="M91" s="143">
        <f t="shared" si="9"/>
        <v>0</v>
      </c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</row>
    <row r="92" spans="1:38" s="126" customFormat="1" x14ac:dyDescent="0.25">
      <c r="A92" s="76">
        <f t="shared" si="10"/>
        <v>0</v>
      </c>
      <c r="B92" s="33" t="str">
        <f t="shared" si="6"/>
        <v/>
      </c>
      <c r="C92" s="34"/>
      <c r="D92" s="34"/>
      <c r="E92" s="34"/>
      <c r="F92" s="34"/>
      <c r="H92" s="138">
        <v>87</v>
      </c>
      <c r="I92" s="139" t="str">
        <f t="shared" si="7"/>
        <v/>
      </c>
      <c r="J92" s="138" t="e">
        <f t="shared" si="11"/>
        <v>#NUM!</v>
      </c>
      <c r="K92" s="138" t="e">
        <f t="shared" si="8"/>
        <v>#NUM!</v>
      </c>
      <c r="L92" s="138"/>
      <c r="M92" s="140">
        <f t="shared" si="9"/>
        <v>0</v>
      </c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</row>
    <row r="93" spans="1:38" s="126" customFormat="1" x14ac:dyDescent="0.25">
      <c r="A93" s="77">
        <f t="shared" si="10"/>
        <v>0</v>
      </c>
      <c r="B93" s="39" t="str">
        <f t="shared" si="6"/>
        <v/>
      </c>
      <c r="C93" s="40"/>
      <c r="D93" s="40"/>
      <c r="E93" s="40"/>
      <c r="F93" s="40"/>
      <c r="H93" s="141">
        <v>88</v>
      </c>
      <c r="I93" s="142" t="str">
        <f t="shared" si="7"/>
        <v/>
      </c>
      <c r="J93" s="141" t="e">
        <f t="shared" si="11"/>
        <v>#NUM!</v>
      </c>
      <c r="K93" s="141" t="e">
        <f t="shared" si="8"/>
        <v>#NUM!</v>
      </c>
      <c r="L93" s="141"/>
      <c r="M93" s="143">
        <f t="shared" si="9"/>
        <v>0</v>
      </c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</row>
    <row r="94" spans="1:38" s="126" customFormat="1" x14ac:dyDescent="0.25">
      <c r="A94" s="76">
        <f t="shared" si="10"/>
        <v>0</v>
      </c>
      <c r="B94" s="33" t="str">
        <f t="shared" si="6"/>
        <v/>
      </c>
      <c r="C94" s="34"/>
      <c r="D94" s="34"/>
      <c r="E94" s="34"/>
      <c r="F94" s="34"/>
      <c r="H94" s="138">
        <v>89</v>
      </c>
      <c r="I94" s="139" t="str">
        <f t="shared" si="7"/>
        <v/>
      </c>
      <c r="J94" s="138" t="e">
        <f t="shared" si="11"/>
        <v>#NUM!</v>
      </c>
      <c r="K94" s="138" t="e">
        <f t="shared" si="8"/>
        <v>#NUM!</v>
      </c>
      <c r="L94" s="138"/>
      <c r="M94" s="140">
        <f t="shared" si="9"/>
        <v>0</v>
      </c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</row>
    <row r="95" spans="1:38" s="126" customFormat="1" x14ac:dyDescent="0.25">
      <c r="A95" s="77">
        <f t="shared" si="10"/>
        <v>0</v>
      </c>
      <c r="B95" s="39" t="str">
        <f t="shared" si="6"/>
        <v/>
      </c>
      <c r="C95" s="40"/>
      <c r="D95" s="40"/>
      <c r="E95" s="40"/>
      <c r="F95" s="40"/>
      <c r="H95" s="141">
        <v>90</v>
      </c>
      <c r="I95" s="142" t="str">
        <f t="shared" si="7"/>
        <v/>
      </c>
      <c r="J95" s="141" t="e">
        <f t="shared" si="11"/>
        <v>#NUM!</v>
      </c>
      <c r="K95" s="141" t="e">
        <f t="shared" si="8"/>
        <v>#NUM!</v>
      </c>
      <c r="L95" s="141"/>
      <c r="M95" s="143">
        <f t="shared" si="9"/>
        <v>0</v>
      </c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</row>
    <row r="96" spans="1:38" s="126" customFormat="1" x14ac:dyDescent="0.25">
      <c r="A96" s="76">
        <f t="shared" si="10"/>
        <v>0</v>
      </c>
      <c r="B96" s="33" t="str">
        <f t="shared" si="6"/>
        <v/>
      </c>
      <c r="C96" s="34"/>
      <c r="D96" s="34"/>
      <c r="E96" s="34"/>
      <c r="F96" s="34"/>
      <c r="H96" s="138">
        <v>91</v>
      </c>
      <c r="I96" s="139" t="str">
        <f t="shared" si="7"/>
        <v/>
      </c>
      <c r="J96" s="138" t="e">
        <f t="shared" si="11"/>
        <v>#NUM!</v>
      </c>
      <c r="K96" s="138" t="e">
        <f t="shared" si="8"/>
        <v>#NUM!</v>
      </c>
      <c r="L96" s="138"/>
      <c r="M96" s="140">
        <f t="shared" si="9"/>
        <v>0</v>
      </c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</row>
    <row r="97" spans="1:38" s="126" customFormat="1" x14ac:dyDescent="0.25">
      <c r="A97" s="77">
        <f t="shared" si="10"/>
        <v>0</v>
      </c>
      <c r="B97" s="39" t="str">
        <f t="shared" si="6"/>
        <v/>
      </c>
      <c r="C97" s="40"/>
      <c r="D97" s="40"/>
      <c r="E97" s="40"/>
      <c r="F97" s="40"/>
      <c r="H97" s="141">
        <v>92</v>
      </c>
      <c r="I97" s="142" t="str">
        <f t="shared" si="7"/>
        <v/>
      </c>
      <c r="J97" s="141" t="e">
        <f t="shared" si="11"/>
        <v>#NUM!</v>
      </c>
      <c r="K97" s="141" t="e">
        <f t="shared" si="8"/>
        <v>#NUM!</v>
      </c>
      <c r="L97" s="141"/>
      <c r="M97" s="143">
        <f t="shared" si="9"/>
        <v>0</v>
      </c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</row>
    <row r="98" spans="1:38" s="126" customFormat="1" x14ac:dyDescent="0.25">
      <c r="A98" s="76">
        <f t="shared" si="10"/>
        <v>0</v>
      </c>
      <c r="B98" s="33" t="str">
        <f t="shared" si="6"/>
        <v/>
      </c>
      <c r="C98" s="34"/>
      <c r="D98" s="34"/>
      <c r="E98" s="34"/>
      <c r="F98" s="34"/>
      <c r="H98" s="138">
        <v>93</v>
      </c>
      <c r="I98" s="139" t="str">
        <f t="shared" si="7"/>
        <v/>
      </c>
      <c r="J98" s="138" t="e">
        <f t="shared" si="11"/>
        <v>#NUM!</v>
      </c>
      <c r="K98" s="138" t="e">
        <f t="shared" si="8"/>
        <v>#NUM!</v>
      </c>
      <c r="L98" s="138"/>
      <c r="M98" s="140">
        <f t="shared" si="9"/>
        <v>0</v>
      </c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</row>
    <row r="99" spans="1:38" s="126" customFormat="1" x14ac:dyDescent="0.25">
      <c r="A99" s="77">
        <f t="shared" si="10"/>
        <v>0</v>
      </c>
      <c r="B99" s="39" t="str">
        <f t="shared" si="6"/>
        <v/>
      </c>
      <c r="C99" s="40"/>
      <c r="D99" s="40"/>
      <c r="E99" s="40"/>
      <c r="F99" s="40"/>
      <c r="H99" s="141">
        <v>94</v>
      </c>
      <c r="I99" s="142" t="str">
        <f t="shared" si="7"/>
        <v/>
      </c>
      <c r="J99" s="141" t="e">
        <f t="shared" si="11"/>
        <v>#NUM!</v>
      </c>
      <c r="K99" s="141" t="e">
        <f t="shared" si="8"/>
        <v>#NUM!</v>
      </c>
      <c r="L99" s="141"/>
      <c r="M99" s="143">
        <f t="shared" si="9"/>
        <v>0</v>
      </c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</row>
    <row r="100" spans="1:38" s="126" customFormat="1" x14ac:dyDescent="0.25">
      <c r="A100" s="76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138">
        <v>95</v>
      </c>
      <c r="I100" s="139" t="str">
        <f t="shared" si="7"/>
        <v/>
      </c>
      <c r="J100" s="138" t="e">
        <f t="shared" si="11"/>
        <v>#NUM!</v>
      </c>
      <c r="K100" s="138" t="e">
        <f t="shared" si="8"/>
        <v>#NUM!</v>
      </c>
      <c r="L100" s="138"/>
      <c r="M100" s="140">
        <f t="shared" si="9"/>
        <v>0</v>
      </c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</row>
    <row r="101" spans="1:38" s="126" customFormat="1" x14ac:dyDescent="0.25">
      <c r="A101" s="77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141">
        <v>96</v>
      </c>
      <c r="I101" s="142" t="str">
        <f t="shared" si="7"/>
        <v/>
      </c>
      <c r="J101" s="141" t="e">
        <f t="shared" si="11"/>
        <v>#NUM!</v>
      </c>
      <c r="K101" s="141" t="e">
        <f t="shared" si="8"/>
        <v>#NUM!</v>
      </c>
      <c r="L101" s="141"/>
      <c r="M101" s="143">
        <f t="shared" si="9"/>
        <v>0</v>
      </c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</row>
    <row r="102" spans="1:38" s="126" customFormat="1" x14ac:dyDescent="0.25">
      <c r="A102" s="76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138">
        <v>97</v>
      </c>
      <c r="I102" s="139" t="str">
        <f t="shared" si="7"/>
        <v/>
      </c>
      <c r="J102" s="138" t="e">
        <f t="shared" si="11"/>
        <v>#NUM!</v>
      </c>
      <c r="K102" s="138" t="e">
        <f t="shared" si="8"/>
        <v>#NUM!</v>
      </c>
      <c r="L102" s="138"/>
      <c r="M102" s="140">
        <f t="shared" si="9"/>
        <v>0</v>
      </c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</row>
    <row r="103" spans="1:38" s="126" customFormat="1" x14ac:dyDescent="0.25">
      <c r="A103" s="77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141">
        <v>98</v>
      </c>
      <c r="I103" s="142" t="str">
        <f t="shared" si="7"/>
        <v/>
      </c>
      <c r="J103" s="141" t="e">
        <f t="shared" si="11"/>
        <v>#NUM!</v>
      </c>
      <c r="K103" s="141" t="e">
        <f t="shared" si="8"/>
        <v>#NUM!</v>
      </c>
      <c r="L103" s="141"/>
      <c r="M103" s="143">
        <f t="shared" si="9"/>
        <v>0</v>
      </c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</row>
    <row r="104" spans="1:38" s="126" customFormat="1" x14ac:dyDescent="0.25">
      <c r="A104" s="76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138">
        <v>99</v>
      </c>
      <c r="I104" s="139" t="str">
        <f t="shared" si="7"/>
        <v/>
      </c>
      <c r="J104" s="138" t="e">
        <f t="shared" si="11"/>
        <v>#NUM!</v>
      </c>
      <c r="K104" s="138" t="e">
        <f t="shared" si="8"/>
        <v>#NUM!</v>
      </c>
      <c r="L104" s="138"/>
      <c r="M104" s="140">
        <f t="shared" si="9"/>
        <v>0</v>
      </c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</row>
    <row r="105" spans="1:38" s="126" customFormat="1" x14ac:dyDescent="0.25">
      <c r="A105" s="77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141">
        <v>100</v>
      </c>
      <c r="I105" s="142" t="str">
        <f t="shared" si="7"/>
        <v/>
      </c>
      <c r="J105" s="141" t="e">
        <f t="shared" si="11"/>
        <v>#NUM!</v>
      </c>
      <c r="K105" s="141" t="e">
        <f t="shared" si="8"/>
        <v>#NUM!</v>
      </c>
      <c r="L105" s="141"/>
      <c r="M105" s="143">
        <f t="shared" si="9"/>
        <v>0</v>
      </c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</row>
    <row r="106" spans="1:38" s="126" customFormat="1" x14ac:dyDescent="0.25">
      <c r="A106" s="76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138">
        <v>101</v>
      </c>
      <c r="I106" s="139" t="str">
        <f t="shared" si="7"/>
        <v/>
      </c>
      <c r="J106" s="138" t="e">
        <f t="shared" si="11"/>
        <v>#NUM!</v>
      </c>
      <c r="K106" s="138" t="e">
        <f t="shared" si="8"/>
        <v>#NUM!</v>
      </c>
      <c r="L106" s="138"/>
      <c r="M106" s="140">
        <f t="shared" si="9"/>
        <v>0</v>
      </c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</row>
    <row r="107" spans="1:38" s="126" customFormat="1" x14ac:dyDescent="0.25">
      <c r="A107" s="77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141">
        <v>102</v>
      </c>
      <c r="I107" s="142" t="str">
        <f t="shared" si="7"/>
        <v/>
      </c>
      <c r="J107" s="141" t="e">
        <f t="shared" si="11"/>
        <v>#NUM!</v>
      </c>
      <c r="K107" s="141" t="e">
        <f t="shared" si="8"/>
        <v>#NUM!</v>
      </c>
      <c r="L107" s="141"/>
      <c r="M107" s="143">
        <f t="shared" si="9"/>
        <v>0</v>
      </c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</row>
    <row r="108" spans="1:38" s="126" customFormat="1" x14ac:dyDescent="0.25">
      <c r="A108" s="76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138">
        <v>103</v>
      </c>
      <c r="I108" s="139" t="str">
        <f t="shared" si="7"/>
        <v/>
      </c>
      <c r="J108" s="138" t="e">
        <f t="shared" si="11"/>
        <v>#NUM!</v>
      </c>
      <c r="K108" s="138" t="e">
        <f t="shared" si="8"/>
        <v>#NUM!</v>
      </c>
      <c r="L108" s="138"/>
      <c r="M108" s="140">
        <f t="shared" si="9"/>
        <v>0</v>
      </c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</row>
    <row r="109" spans="1:38" s="126" customFormat="1" x14ac:dyDescent="0.25">
      <c r="A109" s="77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141">
        <v>104</v>
      </c>
      <c r="I109" s="142" t="str">
        <f t="shared" si="7"/>
        <v/>
      </c>
      <c r="J109" s="141" t="e">
        <f t="shared" si="11"/>
        <v>#NUM!</v>
      </c>
      <c r="K109" s="141" t="e">
        <f t="shared" si="8"/>
        <v>#NUM!</v>
      </c>
      <c r="L109" s="141"/>
      <c r="M109" s="143">
        <f t="shared" si="9"/>
        <v>0</v>
      </c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</row>
    <row r="110" spans="1:38" s="126" customFormat="1" x14ac:dyDescent="0.25">
      <c r="A110" s="76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138">
        <v>105</v>
      </c>
      <c r="I110" s="139" t="str">
        <f t="shared" si="7"/>
        <v/>
      </c>
      <c r="J110" s="138" t="e">
        <f t="shared" si="11"/>
        <v>#NUM!</v>
      </c>
      <c r="K110" s="138" t="e">
        <f t="shared" si="8"/>
        <v>#NUM!</v>
      </c>
      <c r="L110" s="138"/>
      <c r="M110" s="140">
        <f t="shared" si="9"/>
        <v>0</v>
      </c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</row>
    <row r="111" spans="1:38" s="126" customFormat="1" x14ac:dyDescent="0.25">
      <c r="A111" s="77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141">
        <v>106</v>
      </c>
      <c r="I111" s="142" t="str">
        <f t="shared" si="7"/>
        <v/>
      </c>
      <c r="J111" s="141" t="e">
        <f t="shared" si="11"/>
        <v>#NUM!</v>
      </c>
      <c r="K111" s="141" t="e">
        <f t="shared" si="8"/>
        <v>#NUM!</v>
      </c>
      <c r="L111" s="141"/>
      <c r="M111" s="143">
        <f t="shared" si="9"/>
        <v>0</v>
      </c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</row>
    <row r="112" spans="1:38" s="126" customFormat="1" x14ac:dyDescent="0.25">
      <c r="A112" s="76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138">
        <v>107</v>
      </c>
      <c r="I112" s="139" t="str">
        <f t="shared" si="7"/>
        <v/>
      </c>
      <c r="J112" s="138" t="e">
        <f t="shared" si="11"/>
        <v>#NUM!</v>
      </c>
      <c r="K112" s="138" t="e">
        <f t="shared" si="8"/>
        <v>#NUM!</v>
      </c>
      <c r="L112" s="138"/>
      <c r="M112" s="140">
        <f t="shared" si="9"/>
        <v>0</v>
      </c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</row>
    <row r="113" spans="1:38" s="126" customFormat="1" x14ac:dyDescent="0.25">
      <c r="A113" s="77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141">
        <v>108</v>
      </c>
      <c r="I113" s="142" t="str">
        <f t="shared" si="7"/>
        <v/>
      </c>
      <c r="J113" s="141" t="e">
        <f t="shared" si="11"/>
        <v>#NUM!</v>
      </c>
      <c r="K113" s="141" t="e">
        <f t="shared" si="8"/>
        <v>#NUM!</v>
      </c>
      <c r="L113" s="141"/>
      <c r="M113" s="143">
        <f t="shared" si="9"/>
        <v>0</v>
      </c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</row>
    <row r="114" spans="1:38" s="126" customFormat="1" x14ac:dyDescent="0.25">
      <c r="A114" s="76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138">
        <v>109</v>
      </c>
      <c r="I114" s="139" t="str">
        <f t="shared" si="7"/>
        <v/>
      </c>
      <c r="J114" s="138" t="e">
        <f t="shared" si="11"/>
        <v>#NUM!</v>
      </c>
      <c r="K114" s="138" t="e">
        <f t="shared" si="8"/>
        <v>#NUM!</v>
      </c>
      <c r="L114" s="138"/>
      <c r="M114" s="140">
        <f t="shared" si="9"/>
        <v>0</v>
      </c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</row>
    <row r="115" spans="1:38" s="126" customFormat="1" x14ac:dyDescent="0.25">
      <c r="A115" s="77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141">
        <v>110</v>
      </c>
      <c r="I115" s="142" t="str">
        <f t="shared" si="7"/>
        <v/>
      </c>
      <c r="J115" s="141" t="e">
        <f t="shared" si="11"/>
        <v>#NUM!</v>
      </c>
      <c r="K115" s="141" t="e">
        <f t="shared" si="8"/>
        <v>#NUM!</v>
      </c>
      <c r="L115" s="141"/>
      <c r="M115" s="143">
        <f t="shared" si="9"/>
        <v>0</v>
      </c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</row>
    <row r="116" spans="1:38" s="126" customFormat="1" x14ac:dyDescent="0.25">
      <c r="A116" s="76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138">
        <v>111</v>
      </c>
      <c r="I116" s="139" t="str">
        <f t="shared" si="7"/>
        <v/>
      </c>
      <c r="J116" s="138" t="e">
        <f t="shared" si="11"/>
        <v>#NUM!</v>
      </c>
      <c r="K116" s="138" t="e">
        <f t="shared" si="8"/>
        <v>#NUM!</v>
      </c>
      <c r="L116" s="138"/>
      <c r="M116" s="140">
        <f t="shared" si="9"/>
        <v>0</v>
      </c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</row>
    <row r="117" spans="1:38" s="126" customFormat="1" x14ac:dyDescent="0.25">
      <c r="A117" s="77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141">
        <v>112</v>
      </c>
      <c r="I117" s="142" t="str">
        <f t="shared" si="7"/>
        <v/>
      </c>
      <c r="J117" s="141" t="e">
        <f t="shared" si="11"/>
        <v>#NUM!</v>
      </c>
      <c r="K117" s="141" t="e">
        <f t="shared" si="8"/>
        <v>#NUM!</v>
      </c>
      <c r="L117" s="141"/>
      <c r="M117" s="143">
        <f t="shared" si="9"/>
        <v>0</v>
      </c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</row>
    <row r="118" spans="1:38" s="126" customFormat="1" x14ac:dyDescent="0.25">
      <c r="A118" s="76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138">
        <v>113</v>
      </c>
      <c r="I118" s="139" t="str">
        <f t="shared" si="7"/>
        <v/>
      </c>
      <c r="J118" s="138" t="e">
        <f t="shared" si="11"/>
        <v>#NUM!</v>
      </c>
      <c r="K118" s="138" t="e">
        <f t="shared" si="8"/>
        <v>#NUM!</v>
      </c>
      <c r="L118" s="138"/>
      <c r="M118" s="140">
        <f t="shared" si="9"/>
        <v>0</v>
      </c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</row>
    <row r="119" spans="1:38" s="126" customFormat="1" x14ac:dyDescent="0.25">
      <c r="A119" s="77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141">
        <v>114</v>
      </c>
      <c r="I119" s="142" t="str">
        <f t="shared" si="7"/>
        <v/>
      </c>
      <c r="J119" s="141" t="e">
        <f t="shared" si="11"/>
        <v>#NUM!</v>
      </c>
      <c r="K119" s="141" t="e">
        <f t="shared" si="8"/>
        <v>#NUM!</v>
      </c>
      <c r="L119" s="141"/>
      <c r="M119" s="143">
        <f t="shared" si="9"/>
        <v>0</v>
      </c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</row>
    <row r="120" spans="1:38" s="126" customFormat="1" x14ac:dyDescent="0.25">
      <c r="A120" s="76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138">
        <v>115</v>
      </c>
      <c r="I120" s="139" t="str">
        <f t="shared" si="7"/>
        <v/>
      </c>
      <c r="J120" s="138" t="e">
        <f t="shared" si="11"/>
        <v>#NUM!</v>
      </c>
      <c r="K120" s="138" t="e">
        <f t="shared" si="8"/>
        <v>#NUM!</v>
      </c>
      <c r="L120" s="138"/>
      <c r="M120" s="140">
        <f t="shared" si="9"/>
        <v>0</v>
      </c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</row>
    <row r="121" spans="1:38" s="126" customFormat="1" x14ac:dyDescent="0.25">
      <c r="A121" s="77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141">
        <v>116</v>
      </c>
      <c r="I121" s="142" t="str">
        <f t="shared" si="7"/>
        <v/>
      </c>
      <c r="J121" s="141" t="e">
        <f t="shared" si="11"/>
        <v>#NUM!</v>
      </c>
      <c r="K121" s="141" t="e">
        <f t="shared" si="8"/>
        <v>#NUM!</v>
      </c>
      <c r="L121" s="141"/>
      <c r="M121" s="143">
        <f t="shared" si="9"/>
        <v>0</v>
      </c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</row>
    <row r="122" spans="1:38" s="126" customFormat="1" x14ac:dyDescent="0.25">
      <c r="A122" s="76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138">
        <v>117</v>
      </c>
      <c r="I122" s="139" t="str">
        <f t="shared" si="7"/>
        <v/>
      </c>
      <c r="J122" s="138" t="e">
        <f t="shared" si="11"/>
        <v>#NUM!</v>
      </c>
      <c r="K122" s="138" t="e">
        <f t="shared" si="8"/>
        <v>#NUM!</v>
      </c>
      <c r="L122" s="138"/>
      <c r="M122" s="140">
        <f t="shared" si="9"/>
        <v>0</v>
      </c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</row>
    <row r="123" spans="1:38" s="126" customFormat="1" x14ac:dyDescent="0.25">
      <c r="A123" s="77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141">
        <v>118</v>
      </c>
      <c r="I123" s="142" t="str">
        <f t="shared" si="7"/>
        <v/>
      </c>
      <c r="J123" s="141" t="e">
        <f t="shared" si="11"/>
        <v>#NUM!</v>
      </c>
      <c r="K123" s="141" t="e">
        <f t="shared" si="8"/>
        <v>#NUM!</v>
      </c>
      <c r="L123" s="141"/>
      <c r="M123" s="143">
        <f t="shared" si="9"/>
        <v>0</v>
      </c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</row>
    <row r="124" spans="1:38" s="126" customFormat="1" x14ac:dyDescent="0.25">
      <c r="A124" s="76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138">
        <v>119</v>
      </c>
      <c r="I124" s="139" t="str">
        <f t="shared" si="7"/>
        <v/>
      </c>
      <c r="J124" s="138" t="e">
        <f t="shared" si="11"/>
        <v>#NUM!</v>
      </c>
      <c r="K124" s="138" t="e">
        <f t="shared" si="8"/>
        <v>#NUM!</v>
      </c>
      <c r="L124" s="138"/>
      <c r="M124" s="140">
        <f t="shared" si="9"/>
        <v>0</v>
      </c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</row>
    <row r="125" spans="1:38" s="126" customFormat="1" x14ac:dyDescent="0.25">
      <c r="A125" s="77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141">
        <v>120</v>
      </c>
      <c r="I125" s="142" t="str">
        <f t="shared" si="7"/>
        <v/>
      </c>
      <c r="J125" s="141" t="e">
        <f t="shared" si="11"/>
        <v>#NUM!</v>
      </c>
      <c r="K125" s="141" t="e">
        <f t="shared" si="8"/>
        <v>#NUM!</v>
      </c>
      <c r="L125" s="141"/>
      <c r="M125" s="143">
        <f t="shared" si="9"/>
        <v>0</v>
      </c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</row>
    <row r="126" spans="1:38" s="126" customFormat="1" x14ac:dyDescent="0.25">
      <c r="A126" s="76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138">
        <v>121</v>
      </c>
      <c r="I126" s="139" t="str">
        <f t="shared" si="7"/>
        <v/>
      </c>
      <c r="J126" s="138" t="e">
        <f t="shared" si="11"/>
        <v>#NUM!</v>
      </c>
      <c r="K126" s="138" t="e">
        <f t="shared" si="8"/>
        <v>#NUM!</v>
      </c>
      <c r="L126" s="138"/>
      <c r="M126" s="140">
        <f t="shared" si="9"/>
        <v>0</v>
      </c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</row>
    <row r="127" spans="1:38" s="126" customFormat="1" x14ac:dyDescent="0.25">
      <c r="A127" s="77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141">
        <v>122</v>
      </c>
      <c r="I127" s="142" t="str">
        <f t="shared" si="7"/>
        <v/>
      </c>
      <c r="J127" s="141" t="e">
        <f t="shared" si="11"/>
        <v>#NUM!</v>
      </c>
      <c r="K127" s="141" t="e">
        <f t="shared" si="8"/>
        <v>#NUM!</v>
      </c>
      <c r="L127" s="141"/>
      <c r="M127" s="143">
        <f t="shared" si="9"/>
        <v>0</v>
      </c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</row>
    <row r="128" spans="1:38" s="126" customFormat="1" x14ac:dyDescent="0.25">
      <c r="A128" s="76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138">
        <v>123</v>
      </c>
      <c r="I128" s="139" t="str">
        <f t="shared" si="7"/>
        <v/>
      </c>
      <c r="J128" s="138" t="e">
        <f t="shared" si="11"/>
        <v>#NUM!</v>
      </c>
      <c r="K128" s="138" t="e">
        <f t="shared" si="8"/>
        <v>#NUM!</v>
      </c>
      <c r="L128" s="138"/>
      <c r="M128" s="140">
        <f t="shared" si="9"/>
        <v>0</v>
      </c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</row>
    <row r="129" spans="1:38" s="126" customFormat="1" x14ac:dyDescent="0.25">
      <c r="A129" s="77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141">
        <v>124</v>
      </c>
      <c r="I129" s="142" t="str">
        <f t="shared" si="7"/>
        <v/>
      </c>
      <c r="J129" s="141" t="e">
        <f t="shared" si="11"/>
        <v>#NUM!</v>
      </c>
      <c r="K129" s="141" t="e">
        <f t="shared" si="8"/>
        <v>#NUM!</v>
      </c>
      <c r="L129" s="141"/>
      <c r="M129" s="143">
        <f t="shared" si="9"/>
        <v>0</v>
      </c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</row>
    <row r="130" spans="1:38" s="126" customFormat="1" x14ac:dyDescent="0.25">
      <c r="A130" s="76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138">
        <v>125</v>
      </c>
      <c r="I130" s="139" t="str">
        <f t="shared" si="7"/>
        <v/>
      </c>
      <c r="J130" s="138" t="e">
        <f t="shared" si="11"/>
        <v>#NUM!</v>
      </c>
      <c r="K130" s="138" t="e">
        <f t="shared" si="8"/>
        <v>#NUM!</v>
      </c>
      <c r="L130" s="138"/>
      <c r="M130" s="140">
        <f t="shared" si="9"/>
        <v>0</v>
      </c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</row>
    <row r="131" spans="1:38" s="126" customFormat="1" x14ac:dyDescent="0.25">
      <c r="A131" s="77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141">
        <v>126</v>
      </c>
      <c r="I131" s="142" t="str">
        <f t="shared" si="7"/>
        <v/>
      </c>
      <c r="J131" s="141" t="e">
        <f t="shared" si="11"/>
        <v>#NUM!</v>
      </c>
      <c r="K131" s="141" t="e">
        <f t="shared" si="8"/>
        <v>#NUM!</v>
      </c>
      <c r="L131" s="141"/>
      <c r="M131" s="143">
        <f t="shared" si="9"/>
        <v>0</v>
      </c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</row>
    <row r="132" spans="1:38" s="126" customFormat="1" x14ac:dyDescent="0.25">
      <c r="A132" s="76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138">
        <v>127</v>
      </c>
      <c r="I132" s="139" t="str">
        <f t="shared" si="7"/>
        <v/>
      </c>
      <c r="J132" s="138" t="e">
        <f t="shared" si="11"/>
        <v>#NUM!</v>
      </c>
      <c r="K132" s="138" t="e">
        <f t="shared" si="8"/>
        <v>#NUM!</v>
      </c>
      <c r="L132" s="138"/>
      <c r="M132" s="140">
        <f t="shared" si="9"/>
        <v>0</v>
      </c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</row>
    <row r="133" spans="1:38" s="126" customFormat="1" x14ac:dyDescent="0.25">
      <c r="A133" s="77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141">
        <v>128</v>
      </c>
      <c r="I133" s="142" t="str">
        <f t="shared" si="7"/>
        <v/>
      </c>
      <c r="J133" s="141" t="e">
        <f t="shared" si="11"/>
        <v>#NUM!</v>
      </c>
      <c r="K133" s="141" t="e">
        <f t="shared" si="8"/>
        <v>#NUM!</v>
      </c>
      <c r="L133" s="141"/>
      <c r="M133" s="143">
        <f t="shared" si="9"/>
        <v>0</v>
      </c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</row>
    <row r="134" spans="1:38" s="126" customFormat="1" x14ac:dyDescent="0.25">
      <c r="A134" s="76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138">
        <v>129</v>
      </c>
      <c r="I134" s="139" t="str">
        <f t="shared" ref="I134:I197" si="13">IF(H134&lt;$H$2+1,($I$2-($I$2-1)*(LOG(H134)/LOG($H$2))),"")</f>
        <v/>
      </c>
      <c r="J134" s="138" t="e">
        <f t="shared" si="11"/>
        <v>#NUM!</v>
      </c>
      <c r="K134" s="138" t="e">
        <f t="shared" ref="K134:K197" si="14">J134*$J$2</f>
        <v>#NUM!</v>
      </c>
      <c r="L134" s="138"/>
      <c r="M134" s="140">
        <f t="shared" ref="M134:M197" si="15">IF(I134&lt;&gt;"",K134+I134+L134,0)</f>
        <v>0</v>
      </c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</row>
    <row r="135" spans="1:38" s="126" customFormat="1" x14ac:dyDescent="0.25">
      <c r="A135" s="77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141">
        <v>130</v>
      </c>
      <c r="I135" s="142" t="str">
        <f t="shared" si="13"/>
        <v/>
      </c>
      <c r="J135" s="141" t="e">
        <f t="shared" ref="J135:J198" si="17">INT(LOG($H$2,2))-ROUNDUP(LOG(H135,2),0)+IF(OR($H$2=1,$H$2=2,$H$2=4,$H$2=8,$H$2=16,$H$2=32,$H$2=64,$H$2=128,$H$2=256),0,1)</f>
        <v>#NUM!</v>
      </c>
      <c r="K135" s="141" t="e">
        <f t="shared" si="14"/>
        <v>#NUM!</v>
      </c>
      <c r="L135" s="141"/>
      <c r="M135" s="143">
        <f t="shared" si="15"/>
        <v>0</v>
      </c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</row>
    <row r="136" spans="1:38" s="126" customFormat="1" x14ac:dyDescent="0.25">
      <c r="A136" s="76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138">
        <v>131</v>
      </c>
      <c r="I136" s="139" t="str">
        <f t="shared" si="13"/>
        <v/>
      </c>
      <c r="J136" s="138" t="e">
        <f t="shared" si="17"/>
        <v>#NUM!</v>
      </c>
      <c r="K136" s="138" t="e">
        <f t="shared" si="14"/>
        <v>#NUM!</v>
      </c>
      <c r="L136" s="138"/>
      <c r="M136" s="140">
        <f t="shared" si="15"/>
        <v>0</v>
      </c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</row>
    <row r="137" spans="1:38" s="126" customFormat="1" x14ac:dyDescent="0.25">
      <c r="A137" s="77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141">
        <v>132</v>
      </c>
      <c r="I137" s="142" t="str">
        <f t="shared" si="13"/>
        <v/>
      </c>
      <c r="J137" s="141" t="e">
        <f t="shared" si="17"/>
        <v>#NUM!</v>
      </c>
      <c r="K137" s="141" t="e">
        <f t="shared" si="14"/>
        <v>#NUM!</v>
      </c>
      <c r="L137" s="141"/>
      <c r="M137" s="143">
        <f t="shared" si="15"/>
        <v>0</v>
      </c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</row>
    <row r="138" spans="1:38" s="126" customFormat="1" x14ac:dyDescent="0.25">
      <c r="A138" s="76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138">
        <v>133</v>
      </c>
      <c r="I138" s="139" t="str">
        <f t="shared" si="13"/>
        <v/>
      </c>
      <c r="J138" s="138" t="e">
        <f t="shared" si="17"/>
        <v>#NUM!</v>
      </c>
      <c r="K138" s="138" t="e">
        <f t="shared" si="14"/>
        <v>#NUM!</v>
      </c>
      <c r="L138" s="138"/>
      <c r="M138" s="140">
        <f t="shared" si="15"/>
        <v>0</v>
      </c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</row>
    <row r="139" spans="1:38" s="126" customFormat="1" x14ac:dyDescent="0.25">
      <c r="A139" s="77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141">
        <v>134</v>
      </c>
      <c r="I139" s="142" t="str">
        <f t="shared" si="13"/>
        <v/>
      </c>
      <c r="J139" s="141" t="e">
        <f t="shared" si="17"/>
        <v>#NUM!</v>
      </c>
      <c r="K139" s="141" t="e">
        <f t="shared" si="14"/>
        <v>#NUM!</v>
      </c>
      <c r="L139" s="141"/>
      <c r="M139" s="143">
        <f t="shared" si="15"/>
        <v>0</v>
      </c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</row>
    <row r="140" spans="1:38" s="126" customFormat="1" x14ac:dyDescent="0.25">
      <c r="A140" s="76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138">
        <v>135</v>
      </c>
      <c r="I140" s="139" t="str">
        <f t="shared" si="13"/>
        <v/>
      </c>
      <c r="J140" s="138" t="e">
        <f t="shared" si="17"/>
        <v>#NUM!</v>
      </c>
      <c r="K140" s="138" t="e">
        <f t="shared" si="14"/>
        <v>#NUM!</v>
      </c>
      <c r="L140" s="138"/>
      <c r="M140" s="140">
        <f t="shared" si="15"/>
        <v>0</v>
      </c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</row>
    <row r="141" spans="1:38" x14ac:dyDescent="0.25">
      <c r="A141" s="155"/>
      <c r="G141" s="126"/>
      <c r="H141" s="141">
        <v>136</v>
      </c>
      <c r="I141" s="139" t="str">
        <f t="shared" si="13"/>
        <v/>
      </c>
      <c r="J141" s="138" t="e">
        <f t="shared" si="17"/>
        <v>#NUM!</v>
      </c>
      <c r="K141" s="138" t="e">
        <f t="shared" si="14"/>
        <v>#NUM!</v>
      </c>
      <c r="L141" s="138"/>
      <c r="M141" s="140">
        <f t="shared" si="15"/>
        <v>0</v>
      </c>
    </row>
    <row r="142" spans="1:38" x14ac:dyDescent="0.25">
      <c r="A142" s="155"/>
      <c r="G142" s="126"/>
      <c r="H142" s="138">
        <v>137</v>
      </c>
      <c r="I142" s="139" t="str">
        <f t="shared" si="13"/>
        <v/>
      </c>
      <c r="J142" s="138" t="e">
        <f t="shared" si="17"/>
        <v>#NUM!</v>
      </c>
      <c r="K142" s="138" t="e">
        <f t="shared" si="14"/>
        <v>#NUM!</v>
      </c>
      <c r="L142" s="138"/>
      <c r="M142" s="140">
        <f t="shared" si="15"/>
        <v>0</v>
      </c>
    </row>
    <row r="143" spans="1:38" x14ac:dyDescent="0.25">
      <c r="A143" s="155"/>
      <c r="G143" s="126"/>
      <c r="H143" s="141">
        <v>138</v>
      </c>
      <c r="I143" s="139" t="str">
        <f t="shared" si="13"/>
        <v/>
      </c>
      <c r="J143" s="138" t="e">
        <f t="shared" si="17"/>
        <v>#NUM!</v>
      </c>
      <c r="K143" s="138" t="e">
        <f t="shared" si="14"/>
        <v>#NUM!</v>
      </c>
      <c r="L143" s="138"/>
      <c r="M143" s="140">
        <f t="shared" si="15"/>
        <v>0</v>
      </c>
    </row>
    <row r="144" spans="1:38" x14ac:dyDescent="0.25">
      <c r="A144" s="155"/>
      <c r="G144" s="126"/>
      <c r="H144" s="138">
        <v>139</v>
      </c>
      <c r="I144" s="139" t="str">
        <f t="shared" si="13"/>
        <v/>
      </c>
      <c r="J144" s="138" t="e">
        <f t="shared" si="17"/>
        <v>#NUM!</v>
      </c>
      <c r="K144" s="138" t="e">
        <f t="shared" si="14"/>
        <v>#NUM!</v>
      </c>
      <c r="L144" s="138"/>
      <c r="M144" s="140">
        <f t="shared" si="15"/>
        <v>0</v>
      </c>
    </row>
    <row r="145" spans="1:13" x14ac:dyDescent="0.25">
      <c r="A145" s="155"/>
      <c r="G145" s="126"/>
      <c r="H145" s="141">
        <v>140</v>
      </c>
      <c r="I145" s="139" t="str">
        <f t="shared" si="13"/>
        <v/>
      </c>
      <c r="J145" s="138" t="e">
        <f t="shared" si="17"/>
        <v>#NUM!</v>
      </c>
      <c r="K145" s="138" t="e">
        <f t="shared" si="14"/>
        <v>#NUM!</v>
      </c>
      <c r="L145" s="138"/>
      <c r="M145" s="140">
        <f t="shared" si="15"/>
        <v>0</v>
      </c>
    </row>
    <row r="146" spans="1:13" x14ac:dyDescent="0.25">
      <c r="A146" s="155"/>
      <c r="G146" s="126"/>
      <c r="H146" s="138">
        <v>141</v>
      </c>
      <c r="I146" s="139" t="str">
        <f t="shared" si="13"/>
        <v/>
      </c>
      <c r="J146" s="138" t="e">
        <f t="shared" si="17"/>
        <v>#NUM!</v>
      </c>
      <c r="K146" s="138" t="e">
        <f t="shared" si="14"/>
        <v>#NUM!</v>
      </c>
      <c r="L146" s="138"/>
      <c r="M146" s="140">
        <f t="shared" si="15"/>
        <v>0</v>
      </c>
    </row>
    <row r="147" spans="1:13" x14ac:dyDescent="0.25">
      <c r="A147" s="155"/>
      <c r="G147" s="126"/>
      <c r="H147" s="141">
        <v>142</v>
      </c>
      <c r="I147" s="139" t="str">
        <f t="shared" si="13"/>
        <v/>
      </c>
      <c r="J147" s="138" t="e">
        <f t="shared" si="17"/>
        <v>#NUM!</v>
      </c>
      <c r="K147" s="138" t="e">
        <f t="shared" si="14"/>
        <v>#NUM!</v>
      </c>
      <c r="L147" s="138"/>
      <c r="M147" s="140">
        <f t="shared" si="15"/>
        <v>0</v>
      </c>
    </row>
    <row r="148" spans="1:13" x14ac:dyDescent="0.25">
      <c r="A148" s="155"/>
      <c r="G148" s="126"/>
      <c r="H148" s="138">
        <v>143</v>
      </c>
      <c r="I148" s="139" t="str">
        <f t="shared" si="13"/>
        <v/>
      </c>
      <c r="J148" s="138" t="e">
        <f t="shared" si="17"/>
        <v>#NUM!</v>
      </c>
      <c r="K148" s="138" t="e">
        <f t="shared" si="14"/>
        <v>#NUM!</v>
      </c>
      <c r="L148" s="138"/>
      <c r="M148" s="140">
        <f t="shared" si="15"/>
        <v>0</v>
      </c>
    </row>
    <row r="149" spans="1:13" x14ac:dyDescent="0.25">
      <c r="A149" s="155"/>
      <c r="G149" s="126"/>
      <c r="H149" s="141">
        <v>144</v>
      </c>
      <c r="I149" s="139" t="str">
        <f t="shared" si="13"/>
        <v/>
      </c>
      <c r="J149" s="138" t="e">
        <f t="shared" si="17"/>
        <v>#NUM!</v>
      </c>
      <c r="K149" s="138" t="e">
        <f t="shared" si="14"/>
        <v>#NUM!</v>
      </c>
      <c r="L149" s="138"/>
      <c r="M149" s="140">
        <f t="shared" si="15"/>
        <v>0</v>
      </c>
    </row>
    <row r="150" spans="1:13" x14ac:dyDescent="0.25">
      <c r="A150" s="155"/>
      <c r="G150" s="126"/>
      <c r="H150" s="138">
        <v>145</v>
      </c>
      <c r="I150" s="139" t="str">
        <f t="shared" si="13"/>
        <v/>
      </c>
      <c r="J150" s="138" t="e">
        <f t="shared" si="17"/>
        <v>#NUM!</v>
      </c>
      <c r="K150" s="138" t="e">
        <f t="shared" si="14"/>
        <v>#NUM!</v>
      </c>
      <c r="L150" s="138"/>
      <c r="M150" s="140">
        <f t="shared" si="15"/>
        <v>0</v>
      </c>
    </row>
    <row r="151" spans="1:13" x14ac:dyDescent="0.25">
      <c r="A151" s="155"/>
      <c r="G151" s="126"/>
      <c r="H151" s="141">
        <v>146</v>
      </c>
      <c r="I151" s="139" t="str">
        <f t="shared" si="13"/>
        <v/>
      </c>
      <c r="J151" s="138" t="e">
        <f t="shared" si="17"/>
        <v>#NUM!</v>
      </c>
      <c r="K151" s="138" t="e">
        <f t="shared" si="14"/>
        <v>#NUM!</v>
      </c>
      <c r="L151" s="138"/>
      <c r="M151" s="140">
        <f t="shared" si="15"/>
        <v>0</v>
      </c>
    </row>
    <row r="152" spans="1:13" x14ac:dyDescent="0.25">
      <c r="A152" s="155"/>
      <c r="G152" s="126"/>
      <c r="H152" s="138">
        <v>147</v>
      </c>
      <c r="I152" s="139" t="str">
        <f t="shared" si="13"/>
        <v/>
      </c>
      <c r="J152" s="138" t="e">
        <f t="shared" si="17"/>
        <v>#NUM!</v>
      </c>
      <c r="K152" s="138" t="e">
        <f t="shared" si="14"/>
        <v>#NUM!</v>
      </c>
      <c r="L152" s="138"/>
      <c r="M152" s="140">
        <f t="shared" si="15"/>
        <v>0</v>
      </c>
    </row>
    <row r="153" spans="1:13" x14ac:dyDescent="0.25">
      <c r="A153" s="155"/>
      <c r="G153" s="126"/>
      <c r="H153" s="141">
        <v>148</v>
      </c>
      <c r="I153" s="139" t="str">
        <f t="shared" si="13"/>
        <v/>
      </c>
      <c r="J153" s="138" t="e">
        <f t="shared" si="17"/>
        <v>#NUM!</v>
      </c>
      <c r="K153" s="138" t="e">
        <f t="shared" si="14"/>
        <v>#NUM!</v>
      </c>
      <c r="L153" s="138"/>
      <c r="M153" s="140">
        <f t="shared" si="15"/>
        <v>0</v>
      </c>
    </row>
    <row r="154" spans="1:13" x14ac:dyDescent="0.25">
      <c r="A154" s="155"/>
      <c r="G154" s="126"/>
      <c r="H154" s="138">
        <v>149</v>
      </c>
      <c r="I154" s="139" t="str">
        <f t="shared" si="13"/>
        <v/>
      </c>
      <c r="J154" s="138" t="e">
        <f t="shared" si="17"/>
        <v>#NUM!</v>
      </c>
      <c r="K154" s="138" t="e">
        <f t="shared" si="14"/>
        <v>#NUM!</v>
      </c>
      <c r="L154" s="138"/>
      <c r="M154" s="140">
        <f t="shared" si="15"/>
        <v>0</v>
      </c>
    </row>
    <row r="155" spans="1:13" x14ac:dyDescent="0.25">
      <c r="A155" s="155"/>
      <c r="G155" s="126"/>
      <c r="H155" s="141">
        <v>150</v>
      </c>
      <c r="I155" s="139" t="str">
        <f t="shared" si="13"/>
        <v/>
      </c>
      <c r="J155" s="138" t="e">
        <f t="shared" si="17"/>
        <v>#NUM!</v>
      </c>
      <c r="K155" s="138" t="e">
        <f t="shared" si="14"/>
        <v>#NUM!</v>
      </c>
      <c r="L155" s="138"/>
      <c r="M155" s="140">
        <f t="shared" si="15"/>
        <v>0</v>
      </c>
    </row>
    <row r="156" spans="1:13" x14ac:dyDescent="0.25">
      <c r="A156" s="155"/>
      <c r="G156" s="126"/>
      <c r="H156" s="138">
        <v>151</v>
      </c>
      <c r="I156" s="139" t="str">
        <f t="shared" si="13"/>
        <v/>
      </c>
      <c r="J156" s="138" t="e">
        <f t="shared" si="17"/>
        <v>#NUM!</v>
      </c>
      <c r="K156" s="138" t="e">
        <f t="shared" si="14"/>
        <v>#NUM!</v>
      </c>
      <c r="L156" s="138"/>
      <c r="M156" s="140">
        <f t="shared" si="15"/>
        <v>0</v>
      </c>
    </row>
    <row r="157" spans="1:13" x14ac:dyDescent="0.25">
      <c r="A157" s="155"/>
      <c r="G157" s="126"/>
      <c r="H157" s="141">
        <v>152</v>
      </c>
      <c r="I157" s="139" t="str">
        <f t="shared" si="13"/>
        <v/>
      </c>
      <c r="J157" s="138" t="e">
        <f t="shared" si="17"/>
        <v>#NUM!</v>
      </c>
      <c r="K157" s="138" t="e">
        <f t="shared" si="14"/>
        <v>#NUM!</v>
      </c>
      <c r="L157" s="138"/>
      <c r="M157" s="140">
        <f t="shared" si="15"/>
        <v>0</v>
      </c>
    </row>
    <row r="158" spans="1:13" x14ac:dyDescent="0.25">
      <c r="A158" s="155"/>
      <c r="G158" s="126"/>
      <c r="H158" s="138">
        <v>153</v>
      </c>
      <c r="I158" s="139" t="str">
        <f t="shared" si="13"/>
        <v/>
      </c>
      <c r="J158" s="138" t="e">
        <f t="shared" si="17"/>
        <v>#NUM!</v>
      </c>
      <c r="K158" s="138" t="e">
        <f t="shared" si="14"/>
        <v>#NUM!</v>
      </c>
      <c r="L158" s="138"/>
      <c r="M158" s="140">
        <f t="shared" si="15"/>
        <v>0</v>
      </c>
    </row>
    <row r="159" spans="1:13" x14ac:dyDescent="0.25">
      <c r="A159" s="155"/>
      <c r="G159" s="126"/>
      <c r="H159" s="141">
        <v>154</v>
      </c>
      <c r="I159" s="139" t="str">
        <f t="shared" si="13"/>
        <v/>
      </c>
      <c r="J159" s="138" t="e">
        <f t="shared" si="17"/>
        <v>#NUM!</v>
      </c>
      <c r="K159" s="138" t="e">
        <f t="shared" si="14"/>
        <v>#NUM!</v>
      </c>
      <c r="L159" s="138"/>
      <c r="M159" s="140">
        <f t="shared" si="15"/>
        <v>0</v>
      </c>
    </row>
    <row r="160" spans="1:13" x14ac:dyDescent="0.25">
      <c r="A160" s="155"/>
      <c r="G160" s="126"/>
      <c r="H160" s="138">
        <v>155</v>
      </c>
      <c r="I160" s="139" t="str">
        <f t="shared" si="13"/>
        <v/>
      </c>
      <c r="J160" s="138" t="e">
        <f t="shared" si="17"/>
        <v>#NUM!</v>
      </c>
      <c r="K160" s="138" t="e">
        <f t="shared" si="14"/>
        <v>#NUM!</v>
      </c>
      <c r="L160" s="138"/>
      <c r="M160" s="140">
        <f t="shared" si="15"/>
        <v>0</v>
      </c>
    </row>
    <row r="161" spans="1:13" x14ac:dyDescent="0.25">
      <c r="A161" s="155"/>
      <c r="G161" s="126"/>
      <c r="H161" s="141">
        <v>156</v>
      </c>
      <c r="I161" s="139" t="str">
        <f t="shared" si="13"/>
        <v/>
      </c>
      <c r="J161" s="138" t="e">
        <f t="shared" si="17"/>
        <v>#NUM!</v>
      </c>
      <c r="K161" s="138" t="e">
        <f t="shared" si="14"/>
        <v>#NUM!</v>
      </c>
      <c r="L161" s="138"/>
      <c r="M161" s="140">
        <f t="shared" si="15"/>
        <v>0</v>
      </c>
    </row>
    <row r="162" spans="1:13" x14ac:dyDescent="0.25">
      <c r="A162" s="155"/>
      <c r="G162" s="126"/>
      <c r="H162" s="138">
        <v>157</v>
      </c>
      <c r="I162" s="139" t="str">
        <f t="shared" si="13"/>
        <v/>
      </c>
      <c r="J162" s="138" t="e">
        <f t="shared" si="17"/>
        <v>#NUM!</v>
      </c>
      <c r="K162" s="138" t="e">
        <f t="shared" si="14"/>
        <v>#NUM!</v>
      </c>
      <c r="L162" s="138"/>
      <c r="M162" s="140">
        <f t="shared" si="15"/>
        <v>0</v>
      </c>
    </row>
    <row r="163" spans="1:13" x14ac:dyDescent="0.25">
      <c r="A163" s="155"/>
      <c r="G163" s="126"/>
      <c r="H163" s="141">
        <v>158</v>
      </c>
      <c r="I163" s="139" t="str">
        <f t="shared" si="13"/>
        <v/>
      </c>
      <c r="J163" s="138" t="e">
        <f t="shared" si="17"/>
        <v>#NUM!</v>
      </c>
      <c r="K163" s="138" t="e">
        <f t="shared" si="14"/>
        <v>#NUM!</v>
      </c>
      <c r="L163" s="138"/>
      <c r="M163" s="140">
        <f t="shared" si="15"/>
        <v>0</v>
      </c>
    </row>
    <row r="164" spans="1:13" x14ac:dyDescent="0.25">
      <c r="A164" s="155"/>
      <c r="G164" s="126"/>
      <c r="H164" s="138">
        <v>159</v>
      </c>
      <c r="I164" s="139" t="str">
        <f t="shared" si="13"/>
        <v/>
      </c>
      <c r="J164" s="138" t="e">
        <f t="shared" si="17"/>
        <v>#NUM!</v>
      </c>
      <c r="K164" s="138" t="e">
        <f t="shared" si="14"/>
        <v>#NUM!</v>
      </c>
      <c r="L164" s="138"/>
      <c r="M164" s="140">
        <f t="shared" si="15"/>
        <v>0</v>
      </c>
    </row>
    <row r="165" spans="1:13" x14ac:dyDescent="0.25">
      <c r="A165" s="155"/>
      <c r="G165" s="126"/>
      <c r="H165" s="141">
        <v>160</v>
      </c>
      <c r="I165" s="139" t="str">
        <f t="shared" si="13"/>
        <v/>
      </c>
      <c r="J165" s="138" t="e">
        <f t="shared" si="17"/>
        <v>#NUM!</v>
      </c>
      <c r="K165" s="138" t="e">
        <f t="shared" si="14"/>
        <v>#NUM!</v>
      </c>
      <c r="L165" s="138"/>
      <c r="M165" s="140">
        <f t="shared" si="15"/>
        <v>0</v>
      </c>
    </row>
    <row r="166" spans="1:13" x14ac:dyDescent="0.25">
      <c r="A166" s="155"/>
      <c r="G166" s="126"/>
      <c r="H166" s="138">
        <v>161</v>
      </c>
      <c r="I166" s="139" t="str">
        <f t="shared" si="13"/>
        <v/>
      </c>
      <c r="J166" s="138" t="e">
        <f t="shared" si="17"/>
        <v>#NUM!</v>
      </c>
      <c r="K166" s="138" t="e">
        <f t="shared" si="14"/>
        <v>#NUM!</v>
      </c>
      <c r="L166" s="138"/>
      <c r="M166" s="140">
        <f t="shared" si="15"/>
        <v>0</v>
      </c>
    </row>
    <row r="167" spans="1:13" x14ac:dyDescent="0.25">
      <c r="A167" s="155"/>
      <c r="G167" s="126"/>
      <c r="H167" s="141">
        <v>162</v>
      </c>
      <c r="I167" s="139" t="str">
        <f t="shared" si="13"/>
        <v/>
      </c>
      <c r="J167" s="138" t="e">
        <f t="shared" si="17"/>
        <v>#NUM!</v>
      </c>
      <c r="K167" s="138" t="e">
        <f t="shared" si="14"/>
        <v>#NUM!</v>
      </c>
      <c r="L167" s="138"/>
      <c r="M167" s="140">
        <f t="shared" si="15"/>
        <v>0</v>
      </c>
    </row>
    <row r="168" spans="1:13" x14ac:dyDescent="0.25">
      <c r="A168" s="155"/>
      <c r="G168" s="126"/>
      <c r="H168" s="138">
        <v>163</v>
      </c>
      <c r="I168" s="139" t="str">
        <f t="shared" si="13"/>
        <v/>
      </c>
      <c r="J168" s="138" t="e">
        <f t="shared" si="17"/>
        <v>#NUM!</v>
      </c>
      <c r="K168" s="138" t="e">
        <f t="shared" si="14"/>
        <v>#NUM!</v>
      </c>
      <c r="L168" s="138"/>
      <c r="M168" s="140">
        <f t="shared" si="15"/>
        <v>0</v>
      </c>
    </row>
    <row r="169" spans="1:13" x14ac:dyDescent="0.25">
      <c r="A169" s="155"/>
      <c r="C169" s="154" t="s">
        <v>50</v>
      </c>
      <c r="G169" s="126"/>
      <c r="H169" s="141">
        <v>164</v>
      </c>
      <c r="I169" s="139" t="str">
        <f t="shared" si="13"/>
        <v/>
      </c>
      <c r="J169" s="138" t="e">
        <f t="shared" si="17"/>
        <v>#NUM!</v>
      </c>
      <c r="K169" s="138" t="e">
        <f t="shared" si="14"/>
        <v>#NUM!</v>
      </c>
      <c r="L169" s="138"/>
      <c r="M169" s="140">
        <f t="shared" si="15"/>
        <v>0</v>
      </c>
    </row>
    <row r="170" spans="1:13" x14ac:dyDescent="0.25">
      <c r="A170" s="155"/>
      <c r="G170" s="126"/>
      <c r="H170" s="138">
        <v>165</v>
      </c>
      <c r="I170" s="139" t="str">
        <f t="shared" si="13"/>
        <v/>
      </c>
      <c r="J170" s="138" t="e">
        <f t="shared" si="17"/>
        <v>#NUM!</v>
      </c>
      <c r="K170" s="138" t="e">
        <f t="shared" si="14"/>
        <v>#NUM!</v>
      </c>
      <c r="L170" s="138"/>
      <c r="M170" s="140">
        <f t="shared" si="15"/>
        <v>0</v>
      </c>
    </row>
    <row r="171" spans="1:13" x14ac:dyDescent="0.25">
      <c r="A171" s="155"/>
      <c r="G171" s="126"/>
      <c r="H171" s="141">
        <v>166</v>
      </c>
      <c r="I171" s="139" t="str">
        <f t="shared" si="13"/>
        <v/>
      </c>
      <c r="J171" s="138" t="e">
        <f t="shared" si="17"/>
        <v>#NUM!</v>
      </c>
      <c r="K171" s="138" t="e">
        <f t="shared" si="14"/>
        <v>#NUM!</v>
      </c>
      <c r="L171" s="138"/>
      <c r="M171" s="140">
        <f t="shared" si="15"/>
        <v>0</v>
      </c>
    </row>
    <row r="172" spans="1:13" x14ac:dyDescent="0.25">
      <c r="A172" s="155"/>
      <c r="G172" s="126"/>
      <c r="H172" s="138">
        <v>167</v>
      </c>
      <c r="I172" s="139" t="str">
        <f t="shared" si="13"/>
        <v/>
      </c>
      <c r="J172" s="138" t="e">
        <f t="shared" si="17"/>
        <v>#NUM!</v>
      </c>
      <c r="K172" s="138" t="e">
        <f t="shared" si="14"/>
        <v>#NUM!</v>
      </c>
      <c r="L172" s="138"/>
      <c r="M172" s="140">
        <f t="shared" si="15"/>
        <v>0</v>
      </c>
    </row>
    <row r="173" spans="1:13" x14ac:dyDescent="0.25">
      <c r="A173" s="155"/>
      <c r="G173" s="126"/>
      <c r="H173" s="141">
        <v>168</v>
      </c>
      <c r="I173" s="139" t="str">
        <f t="shared" si="13"/>
        <v/>
      </c>
      <c r="J173" s="138" t="e">
        <f t="shared" si="17"/>
        <v>#NUM!</v>
      </c>
      <c r="K173" s="138" t="e">
        <f t="shared" si="14"/>
        <v>#NUM!</v>
      </c>
      <c r="L173" s="138"/>
      <c r="M173" s="140">
        <f t="shared" si="15"/>
        <v>0</v>
      </c>
    </row>
    <row r="174" spans="1:13" x14ac:dyDescent="0.25">
      <c r="A174" s="155"/>
      <c r="G174" s="126"/>
      <c r="H174" s="138">
        <v>169</v>
      </c>
      <c r="I174" s="139" t="str">
        <f t="shared" si="13"/>
        <v/>
      </c>
      <c r="J174" s="138" t="e">
        <f t="shared" si="17"/>
        <v>#NUM!</v>
      </c>
      <c r="K174" s="138" t="e">
        <f t="shared" si="14"/>
        <v>#NUM!</v>
      </c>
      <c r="L174" s="138"/>
      <c r="M174" s="140">
        <f t="shared" si="15"/>
        <v>0</v>
      </c>
    </row>
    <row r="175" spans="1:13" x14ac:dyDescent="0.25">
      <c r="A175" s="155"/>
      <c r="G175" s="126"/>
      <c r="H175" s="141">
        <v>170</v>
      </c>
      <c r="I175" s="139" t="str">
        <f t="shared" si="13"/>
        <v/>
      </c>
      <c r="J175" s="138" t="e">
        <f t="shared" si="17"/>
        <v>#NUM!</v>
      </c>
      <c r="K175" s="138" t="e">
        <f t="shared" si="14"/>
        <v>#NUM!</v>
      </c>
      <c r="L175" s="138"/>
      <c r="M175" s="140">
        <f t="shared" si="15"/>
        <v>0</v>
      </c>
    </row>
    <row r="176" spans="1:13" x14ac:dyDescent="0.25">
      <c r="A176" s="155"/>
      <c r="G176" s="126"/>
      <c r="H176" s="138">
        <v>171</v>
      </c>
      <c r="I176" s="139" t="str">
        <f t="shared" si="13"/>
        <v/>
      </c>
      <c r="J176" s="138" t="e">
        <f t="shared" si="17"/>
        <v>#NUM!</v>
      </c>
      <c r="K176" s="138" t="e">
        <f t="shared" si="14"/>
        <v>#NUM!</v>
      </c>
      <c r="L176" s="138"/>
      <c r="M176" s="140">
        <f t="shared" si="15"/>
        <v>0</v>
      </c>
    </row>
    <row r="177" spans="1:13" x14ac:dyDescent="0.25">
      <c r="A177" s="155"/>
      <c r="G177" s="126"/>
      <c r="H177" s="141">
        <v>172</v>
      </c>
      <c r="I177" s="139" t="str">
        <f t="shared" si="13"/>
        <v/>
      </c>
      <c r="J177" s="138" t="e">
        <f t="shared" si="17"/>
        <v>#NUM!</v>
      </c>
      <c r="K177" s="138" t="e">
        <f t="shared" si="14"/>
        <v>#NUM!</v>
      </c>
      <c r="L177" s="138"/>
      <c r="M177" s="140">
        <f t="shared" si="15"/>
        <v>0</v>
      </c>
    </row>
    <row r="178" spans="1:13" x14ac:dyDescent="0.25">
      <c r="A178" s="155"/>
      <c r="G178" s="126"/>
      <c r="H178" s="138">
        <v>173</v>
      </c>
      <c r="I178" s="139" t="str">
        <f t="shared" si="13"/>
        <v/>
      </c>
      <c r="J178" s="138" t="e">
        <f t="shared" si="17"/>
        <v>#NUM!</v>
      </c>
      <c r="K178" s="138" t="e">
        <f t="shared" si="14"/>
        <v>#NUM!</v>
      </c>
      <c r="L178" s="138"/>
      <c r="M178" s="140">
        <f t="shared" si="15"/>
        <v>0</v>
      </c>
    </row>
    <row r="179" spans="1:13" x14ac:dyDescent="0.25">
      <c r="A179" s="155"/>
      <c r="G179" s="126"/>
      <c r="H179" s="141">
        <v>174</v>
      </c>
      <c r="I179" s="139" t="str">
        <f t="shared" si="13"/>
        <v/>
      </c>
      <c r="J179" s="138" t="e">
        <f t="shared" si="17"/>
        <v>#NUM!</v>
      </c>
      <c r="K179" s="138" t="e">
        <f t="shared" si="14"/>
        <v>#NUM!</v>
      </c>
      <c r="L179" s="138"/>
      <c r="M179" s="140">
        <f t="shared" si="15"/>
        <v>0</v>
      </c>
    </row>
    <row r="180" spans="1:13" x14ac:dyDescent="0.25">
      <c r="A180" s="155"/>
      <c r="G180" s="126"/>
      <c r="H180" s="138">
        <v>175</v>
      </c>
      <c r="I180" s="139" t="str">
        <f t="shared" si="13"/>
        <v/>
      </c>
      <c r="J180" s="138" t="e">
        <f t="shared" si="17"/>
        <v>#NUM!</v>
      </c>
      <c r="K180" s="138" t="e">
        <f t="shared" si="14"/>
        <v>#NUM!</v>
      </c>
      <c r="L180" s="138"/>
      <c r="M180" s="140">
        <f t="shared" si="15"/>
        <v>0</v>
      </c>
    </row>
    <row r="181" spans="1:13" x14ac:dyDescent="0.25">
      <c r="A181" s="155"/>
      <c r="G181" s="126"/>
      <c r="H181" s="141">
        <v>176</v>
      </c>
      <c r="I181" s="139" t="str">
        <f t="shared" si="13"/>
        <v/>
      </c>
      <c r="J181" s="138" t="e">
        <f t="shared" si="17"/>
        <v>#NUM!</v>
      </c>
      <c r="K181" s="138" t="e">
        <f t="shared" si="14"/>
        <v>#NUM!</v>
      </c>
      <c r="L181" s="138"/>
      <c r="M181" s="140">
        <f t="shared" si="15"/>
        <v>0</v>
      </c>
    </row>
    <row r="182" spans="1:13" x14ac:dyDescent="0.25">
      <c r="A182" s="155"/>
      <c r="G182" s="126"/>
      <c r="H182" s="138">
        <v>177</v>
      </c>
      <c r="I182" s="139" t="str">
        <f t="shared" si="13"/>
        <v/>
      </c>
      <c r="J182" s="138" t="e">
        <f t="shared" si="17"/>
        <v>#NUM!</v>
      </c>
      <c r="K182" s="138" t="e">
        <f t="shared" si="14"/>
        <v>#NUM!</v>
      </c>
      <c r="L182" s="138"/>
      <c r="M182" s="140">
        <f t="shared" si="15"/>
        <v>0</v>
      </c>
    </row>
    <row r="183" spans="1:13" x14ac:dyDescent="0.25">
      <c r="A183" s="155"/>
      <c r="G183" s="126"/>
      <c r="H183" s="141">
        <v>178</v>
      </c>
      <c r="I183" s="139" t="str">
        <f t="shared" si="13"/>
        <v/>
      </c>
      <c r="J183" s="138" t="e">
        <f t="shared" si="17"/>
        <v>#NUM!</v>
      </c>
      <c r="K183" s="138" t="e">
        <f t="shared" si="14"/>
        <v>#NUM!</v>
      </c>
      <c r="L183" s="138"/>
      <c r="M183" s="140">
        <f t="shared" si="15"/>
        <v>0</v>
      </c>
    </row>
    <row r="184" spans="1:13" x14ac:dyDescent="0.25">
      <c r="A184" s="155"/>
      <c r="G184" s="126"/>
      <c r="H184" s="138">
        <v>179</v>
      </c>
      <c r="I184" s="139" t="str">
        <f t="shared" si="13"/>
        <v/>
      </c>
      <c r="J184" s="138" t="e">
        <f t="shared" si="17"/>
        <v>#NUM!</v>
      </c>
      <c r="K184" s="138" t="e">
        <f t="shared" si="14"/>
        <v>#NUM!</v>
      </c>
      <c r="L184" s="138"/>
      <c r="M184" s="140">
        <f t="shared" si="15"/>
        <v>0</v>
      </c>
    </row>
    <row r="185" spans="1:13" x14ac:dyDescent="0.25">
      <c r="A185" s="155"/>
      <c r="G185" s="126"/>
      <c r="H185" s="141">
        <v>180</v>
      </c>
      <c r="I185" s="139" t="str">
        <f t="shared" si="13"/>
        <v/>
      </c>
      <c r="J185" s="138" t="e">
        <f t="shared" si="17"/>
        <v>#NUM!</v>
      </c>
      <c r="K185" s="138" t="e">
        <f t="shared" si="14"/>
        <v>#NUM!</v>
      </c>
      <c r="L185" s="138"/>
      <c r="M185" s="140">
        <f t="shared" si="15"/>
        <v>0</v>
      </c>
    </row>
    <row r="186" spans="1:13" x14ac:dyDescent="0.25">
      <c r="A186" s="155"/>
      <c r="G186" s="126"/>
      <c r="H186" s="138">
        <v>181</v>
      </c>
      <c r="I186" s="139" t="str">
        <f t="shared" si="13"/>
        <v/>
      </c>
      <c r="J186" s="138" t="e">
        <f t="shared" si="17"/>
        <v>#NUM!</v>
      </c>
      <c r="K186" s="138" t="e">
        <f t="shared" si="14"/>
        <v>#NUM!</v>
      </c>
      <c r="L186" s="138"/>
      <c r="M186" s="140">
        <f t="shared" si="15"/>
        <v>0</v>
      </c>
    </row>
    <row r="187" spans="1:13" x14ac:dyDescent="0.25">
      <c r="A187" s="155"/>
      <c r="G187" s="126"/>
      <c r="H187" s="141">
        <v>182</v>
      </c>
      <c r="I187" s="139" t="str">
        <f t="shared" si="13"/>
        <v/>
      </c>
      <c r="J187" s="138" t="e">
        <f t="shared" si="17"/>
        <v>#NUM!</v>
      </c>
      <c r="K187" s="138" t="e">
        <f t="shared" si="14"/>
        <v>#NUM!</v>
      </c>
      <c r="L187" s="138"/>
      <c r="M187" s="140">
        <f t="shared" si="15"/>
        <v>0</v>
      </c>
    </row>
    <row r="188" spans="1:13" x14ac:dyDescent="0.25">
      <c r="A188" s="155"/>
      <c r="G188" s="126"/>
      <c r="H188" s="138">
        <v>183</v>
      </c>
      <c r="I188" s="139" t="str">
        <f t="shared" si="13"/>
        <v/>
      </c>
      <c r="J188" s="138" t="e">
        <f t="shared" si="17"/>
        <v>#NUM!</v>
      </c>
      <c r="K188" s="138" t="e">
        <f t="shared" si="14"/>
        <v>#NUM!</v>
      </c>
      <c r="L188" s="138"/>
      <c r="M188" s="140">
        <f t="shared" si="15"/>
        <v>0</v>
      </c>
    </row>
    <row r="189" spans="1:13" x14ac:dyDescent="0.25">
      <c r="A189" s="155"/>
      <c r="G189" s="126"/>
      <c r="H189" s="141">
        <v>184</v>
      </c>
      <c r="I189" s="139" t="str">
        <f t="shared" si="13"/>
        <v/>
      </c>
      <c r="J189" s="138" t="e">
        <f t="shared" si="17"/>
        <v>#NUM!</v>
      </c>
      <c r="K189" s="138" t="e">
        <f t="shared" si="14"/>
        <v>#NUM!</v>
      </c>
      <c r="L189" s="138"/>
      <c r="M189" s="140">
        <f t="shared" si="15"/>
        <v>0</v>
      </c>
    </row>
    <row r="190" spans="1:13" x14ac:dyDescent="0.25">
      <c r="A190" s="155"/>
      <c r="G190" s="126"/>
      <c r="H190" s="138">
        <v>185</v>
      </c>
      <c r="I190" s="139" t="str">
        <f t="shared" si="13"/>
        <v/>
      </c>
      <c r="J190" s="138" t="e">
        <f t="shared" si="17"/>
        <v>#NUM!</v>
      </c>
      <c r="K190" s="138" t="e">
        <f t="shared" si="14"/>
        <v>#NUM!</v>
      </c>
      <c r="L190" s="138"/>
      <c r="M190" s="140">
        <f t="shared" si="15"/>
        <v>0</v>
      </c>
    </row>
    <row r="191" spans="1:13" x14ac:dyDescent="0.25">
      <c r="A191" s="155"/>
      <c r="G191" s="126"/>
      <c r="H191" s="141">
        <v>186</v>
      </c>
      <c r="I191" s="139" t="str">
        <f t="shared" si="13"/>
        <v/>
      </c>
      <c r="J191" s="138" t="e">
        <f t="shared" si="17"/>
        <v>#NUM!</v>
      </c>
      <c r="K191" s="138" t="e">
        <f t="shared" si="14"/>
        <v>#NUM!</v>
      </c>
      <c r="L191" s="138"/>
      <c r="M191" s="140">
        <f t="shared" si="15"/>
        <v>0</v>
      </c>
    </row>
    <row r="192" spans="1:13" x14ac:dyDescent="0.25">
      <c r="A192" s="155"/>
      <c r="G192" s="126"/>
      <c r="H192" s="138">
        <v>187</v>
      </c>
      <c r="I192" s="139" t="str">
        <f t="shared" si="13"/>
        <v/>
      </c>
      <c r="J192" s="138" t="e">
        <f t="shared" si="17"/>
        <v>#NUM!</v>
      </c>
      <c r="K192" s="138" t="e">
        <f t="shared" si="14"/>
        <v>#NUM!</v>
      </c>
      <c r="L192" s="138"/>
      <c r="M192" s="140">
        <f t="shared" si="15"/>
        <v>0</v>
      </c>
    </row>
    <row r="193" spans="1:13" x14ac:dyDescent="0.25">
      <c r="A193" s="155"/>
      <c r="G193" s="126"/>
      <c r="H193" s="141">
        <v>188</v>
      </c>
      <c r="I193" s="139" t="str">
        <f t="shared" si="13"/>
        <v/>
      </c>
      <c r="J193" s="138" t="e">
        <f t="shared" si="17"/>
        <v>#NUM!</v>
      </c>
      <c r="K193" s="138" t="e">
        <f t="shared" si="14"/>
        <v>#NUM!</v>
      </c>
      <c r="L193" s="138"/>
      <c r="M193" s="140">
        <f t="shared" si="15"/>
        <v>0</v>
      </c>
    </row>
    <row r="194" spans="1:13" x14ac:dyDescent="0.25">
      <c r="A194" s="155"/>
      <c r="G194" s="126"/>
      <c r="H194" s="138">
        <v>189</v>
      </c>
      <c r="I194" s="139" t="str">
        <f t="shared" si="13"/>
        <v/>
      </c>
      <c r="J194" s="138" t="e">
        <f t="shared" si="17"/>
        <v>#NUM!</v>
      </c>
      <c r="K194" s="138" t="e">
        <f t="shared" si="14"/>
        <v>#NUM!</v>
      </c>
      <c r="L194" s="138"/>
      <c r="M194" s="140">
        <f t="shared" si="15"/>
        <v>0</v>
      </c>
    </row>
    <row r="195" spans="1:13" x14ac:dyDescent="0.25">
      <c r="A195" s="155"/>
      <c r="G195" s="126"/>
      <c r="H195" s="141">
        <v>190</v>
      </c>
      <c r="I195" s="139" t="str">
        <f t="shared" si="13"/>
        <v/>
      </c>
      <c r="J195" s="138" t="e">
        <f t="shared" si="17"/>
        <v>#NUM!</v>
      </c>
      <c r="K195" s="138" t="e">
        <f t="shared" si="14"/>
        <v>#NUM!</v>
      </c>
      <c r="L195" s="138"/>
      <c r="M195" s="140">
        <f t="shared" si="15"/>
        <v>0</v>
      </c>
    </row>
    <row r="196" spans="1:13" x14ac:dyDescent="0.25">
      <c r="A196" s="155"/>
      <c r="G196" s="126"/>
      <c r="H196" s="138">
        <v>191</v>
      </c>
      <c r="I196" s="139" t="str">
        <f t="shared" si="13"/>
        <v/>
      </c>
      <c r="J196" s="138" t="e">
        <f t="shared" si="17"/>
        <v>#NUM!</v>
      </c>
      <c r="K196" s="138" t="e">
        <f t="shared" si="14"/>
        <v>#NUM!</v>
      </c>
      <c r="L196" s="138"/>
      <c r="M196" s="140">
        <f t="shared" si="15"/>
        <v>0</v>
      </c>
    </row>
    <row r="197" spans="1:13" x14ac:dyDescent="0.25">
      <c r="A197" s="155"/>
      <c r="G197" s="126"/>
      <c r="H197" s="141">
        <v>192</v>
      </c>
      <c r="I197" s="139" t="str">
        <f t="shared" si="13"/>
        <v/>
      </c>
      <c r="J197" s="138" t="e">
        <f t="shared" si="17"/>
        <v>#NUM!</v>
      </c>
      <c r="K197" s="138" t="e">
        <f t="shared" si="14"/>
        <v>#NUM!</v>
      </c>
      <c r="L197" s="138"/>
      <c r="M197" s="140">
        <f t="shared" si="15"/>
        <v>0</v>
      </c>
    </row>
    <row r="198" spans="1:13" x14ac:dyDescent="0.25">
      <c r="A198" s="155"/>
      <c r="G198" s="126"/>
      <c r="H198" s="138">
        <v>193</v>
      </c>
      <c r="I198" s="139" t="str">
        <f t="shared" ref="I198:I261" si="18">IF(H198&lt;$H$2+1,($I$2-($I$2-1)*(LOG(H198)/LOG($H$2))),"")</f>
        <v/>
      </c>
      <c r="J198" s="138" t="e">
        <f t="shared" si="17"/>
        <v>#NUM!</v>
      </c>
      <c r="K198" s="138" t="e">
        <f t="shared" ref="K198:K261" si="19">J198*$J$2</f>
        <v>#NUM!</v>
      </c>
      <c r="L198" s="138"/>
      <c r="M198" s="140">
        <f t="shared" ref="M198:M261" si="20">IF(I198&lt;&gt;"",K198+I198+L198,0)</f>
        <v>0</v>
      </c>
    </row>
    <row r="199" spans="1:13" x14ac:dyDescent="0.25">
      <c r="A199" s="155"/>
      <c r="G199" s="126"/>
      <c r="H199" s="141">
        <v>194</v>
      </c>
      <c r="I199" s="139" t="str">
        <f t="shared" si="18"/>
        <v/>
      </c>
      <c r="J199" s="138" t="e">
        <f t="shared" ref="J199:J262" si="21">INT(LOG($H$2,2))-ROUNDUP(LOG(H199,2),0)+IF(OR($H$2=1,$H$2=2,$H$2=4,$H$2=8,$H$2=16,$H$2=32,$H$2=64,$H$2=128,$H$2=256),0,1)</f>
        <v>#NUM!</v>
      </c>
      <c r="K199" s="138" t="e">
        <f t="shared" si="19"/>
        <v>#NUM!</v>
      </c>
      <c r="L199" s="138"/>
      <c r="M199" s="140">
        <f t="shared" si="20"/>
        <v>0</v>
      </c>
    </row>
    <row r="200" spans="1:13" x14ac:dyDescent="0.25">
      <c r="A200" s="155"/>
      <c r="G200" s="126"/>
      <c r="H200" s="138">
        <v>195</v>
      </c>
      <c r="I200" s="139" t="str">
        <f t="shared" si="18"/>
        <v/>
      </c>
      <c r="J200" s="138" t="e">
        <f t="shared" si="21"/>
        <v>#NUM!</v>
      </c>
      <c r="K200" s="138" t="e">
        <f t="shared" si="19"/>
        <v>#NUM!</v>
      </c>
      <c r="L200" s="138"/>
      <c r="M200" s="140">
        <f t="shared" si="20"/>
        <v>0</v>
      </c>
    </row>
    <row r="201" spans="1:13" x14ac:dyDescent="0.25">
      <c r="A201" s="155"/>
      <c r="G201" s="126"/>
      <c r="H201" s="141">
        <v>196</v>
      </c>
      <c r="I201" s="139" t="str">
        <f t="shared" si="18"/>
        <v/>
      </c>
      <c r="J201" s="138" t="e">
        <f t="shared" si="21"/>
        <v>#NUM!</v>
      </c>
      <c r="K201" s="138" t="e">
        <f t="shared" si="19"/>
        <v>#NUM!</v>
      </c>
      <c r="L201" s="138"/>
      <c r="M201" s="140">
        <f t="shared" si="20"/>
        <v>0</v>
      </c>
    </row>
    <row r="202" spans="1:13" x14ac:dyDescent="0.25">
      <c r="A202" s="155"/>
      <c r="G202" s="126"/>
      <c r="H202" s="138">
        <v>197</v>
      </c>
      <c r="I202" s="139" t="str">
        <f t="shared" si="18"/>
        <v/>
      </c>
      <c r="J202" s="138" t="e">
        <f t="shared" si="21"/>
        <v>#NUM!</v>
      </c>
      <c r="K202" s="138" t="e">
        <f t="shared" si="19"/>
        <v>#NUM!</v>
      </c>
      <c r="L202" s="138"/>
      <c r="M202" s="140">
        <f t="shared" si="20"/>
        <v>0</v>
      </c>
    </row>
    <row r="203" spans="1:13" x14ac:dyDescent="0.25">
      <c r="A203" s="155"/>
      <c r="G203" s="126"/>
      <c r="H203" s="141">
        <v>198</v>
      </c>
      <c r="I203" s="139" t="str">
        <f t="shared" si="18"/>
        <v/>
      </c>
      <c r="J203" s="138" t="e">
        <f t="shared" si="21"/>
        <v>#NUM!</v>
      </c>
      <c r="K203" s="138" t="e">
        <f t="shared" si="19"/>
        <v>#NUM!</v>
      </c>
      <c r="L203" s="138"/>
      <c r="M203" s="140">
        <f t="shared" si="20"/>
        <v>0</v>
      </c>
    </row>
    <row r="204" spans="1:13" x14ac:dyDescent="0.25">
      <c r="A204" s="155"/>
      <c r="G204" s="126"/>
      <c r="H204" s="138">
        <v>199</v>
      </c>
      <c r="I204" s="139" t="str">
        <f t="shared" si="18"/>
        <v/>
      </c>
      <c r="J204" s="138" t="e">
        <f t="shared" si="21"/>
        <v>#NUM!</v>
      </c>
      <c r="K204" s="138" t="e">
        <f t="shared" si="19"/>
        <v>#NUM!</v>
      </c>
      <c r="L204" s="138"/>
      <c r="M204" s="140">
        <f t="shared" si="20"/>
        <v>0</v>
      </c>
    </row>
    <row r="205" spans="1:13" x14ac:dyDescent="0.25">
      <c r="A205" s="155"/>
      <c r="G205" s="126"/>
      <c r="H205" s="141">
        <v>200</v>
      </c>
      <c r="I205" s="139" t="str">
        <f t="shared" si="18"/>
        <v/>
      </c>
      <c r="J205" s="138" t="e">
        <f t="shared" si="21"/>
        <v>#NUM!</v>
      </c>
      <c r="K205" s="138" t="e">
        <f t="shared" si="19"/>
        <v>#NUM!</v>
      </c>
      <c r="L205" s="138"/>
      <c r="M205" s="140">
        <f t="shared" si="20"/>
        <v>0</v>
      </c>
    </row>
    <row r="206" spans="1:13" x14ac:dyDescent="0.25">
      <c r="A206" s="155"/>
      <c r="G206" s="126"/>
      <c r="H206" s="138">
        <v>201</v>
      </c>
      <c r="I206" s="139" t="str">
        <f t="shared" si="18"/>
        <v/>
      </c>
      <c r="J206" s="138" t="e">
        <f t="shared" si="21"/>
        <v>#NUM!</v>
      </c>
      <c r="K206" s="138" t="e">
        <f t="shared" si="19"/>
        <v>#NUM!</v>
      </c>
      <c r="L206" s="138"/>
      <c r="M206" s="140">
        <f t="shared" si="20"/>
        <v>0</v>
      </c>
    </row>
    <row r="207" spans="1:13" x14ac:dyDescent="0.25">
      <c r="A207" s="155"/>
      <c r="G207" s="126"/>
      <c r="H207" s="141">
        <v>202</v>
      </c>
      <c r="I207" s="139" t="str">
        <f t="shared" si="18"/>
        <v/>
      </c>
      <c r="J207" s="138" t="e">
        <f t="shared" si="21"/>
        <v>#NUM!</v>
      </c>
      <c r="K207" s="138" t="e">
        <f t="shared" si="19"/>
        <v>#NUM!</v>
      </c>
      <c r="L207" s="138"/>
      <c r="M207" s="140">
        <f t="shared" si="20"/>
        <v>0</v>
      </c>
    </row>
    <row r="208" spans="1:13" x14ac:dyDescent="0.25">
      <c r="A208" s="155"/>
      <c r="G208" s="126"/>
      <c r="H208" s="138">
        <v>203</v>
      </c>
      <c r="I208" s="139" t="str">
        <f t="shared" si="18"/>
        <v/>
      </c>
      <c r="J208" s="138" t="e">
        <f t="shared" si="21"/>
        <v>#NUM!</v>
      </c>
      <c r="K208" s="138" t="e">
        <f t="shared" si="19"/>
        <v>#NUM!</v>
      </c>
      <c r="L208" s="138"/>
      <c r="M208" s="140">
        <f t="shared" si="20"/>
        <v>0</v>
      </c>
    </row>
    <row r="209" spans="1:13" x14ac:dyDescent="0.25">
      <c r="A209" s="155"/>
      <c r="G209" s="126"/>
      <c r="H209" s="141">
        <v>204</v>
      </c>
      <c r="I209" s="139" t="str">
        <f t="shared" si="18"/>
        <v/>
      </c>
      <c r="J209" s="138" t="e">
        <f t="shared" si="21"/>
        <v>#NUM!</v>
      </c>
      <c r="K209" s="138" t="e">
        <f t="shared" si="19"/>
        <v>#NUM!</v>
      </c>
      <c r="L209" s="138"/>
      <c r="M209" s="140">
        <f t="shared" si="20"/>
        <v>0</v>
      </c>
    </row>
    <row r="210" spans="1:13" x14ac:dyDescent="0.25">
      <c r="A210" s="155"/>
      <c r="G210" s="126"/>
      <c r="H210" s="138">
        <v>205</v>
      </c>
      <c r="I210" s="139" t="str">
        <f t="shared" si="18"/>
        <v/>
      </c>
      <c r="J210" s="138" t="e">
        <f t="shared" si="21"/>
        <v>#NUM!</v>
      </c>
      <c r="K210" s="138" t="e">
        <f t="shared" si="19"/>
        <v>#NUM!</v>
      </c>
      <c r="L210" s="138"/>
      <c r="M210" s="140">
        <f t="shared" si="20"/>
        <v>0</v>
      </c>
    </row>
    <row r="211" spans="1:13" x14ac:dyDescent="0.25">
      <c r="A211" s="155"/>
      <c r="G211" s="126"/>
      <c r="H211" s="141">
        <v>206</v>
      </c>
      <c r="I211" s="139" t="str">
        <f t="shared" si="18"/>
        <v/>
      </c>
      <c r="J211" s="138" t="e">
        <f t="shared" si="21"/>
        <v>#NUM!</v>
      </c>
      <c r="K211" s="138" t="e">
        <f t="shared" si="19"/>
        <v>#NUM!</v>
      </c>
      <c r="L211" s="138"/>
      <c r="M211" s="140">
        <f t="shared" si="20"/>
        <v>0</v>
      </c>
    </row>
    <row r="212" spans="1:13" x14ac:dyDescent="0.25">
      <c r="A212" s="155"/>
      <c r="G212" s="126"/>
      <c r="H212" s="138">
        <v>207</v>
      </c>
      <c r="I212" s="139" t="str">
        <f t="shared" si="18"/>
        <v/>
      </c>
      <c r="J212" s="138" t="e">
        <f t="shared" si="21"/>
        <v>#NUM!</v>
      </c>
      <c r="K212" s="138" t="e">
        <f t="shared" si="19"/>
        <v>#NUM!</v>
      </c>
      <c r="L212" s="138"/>
      <c r="M212" s="140">
        <f t="shared" si="20"/>
        <v>0</v>
      </c>
    </row>
    <row r="213" spans="1:13" x14ac:dyDescent="0.25">
      <c r="A213" s="155"/>
      <c r="G213" s="126"/>
      <c r="H213" s="141">
        <v>208</v>
      </c>
      <c r="I213" s="139" t="str">
        <f t="shared" si="18"/>
        <v/>
      </c>
      <c r="J213" s="138" t="e">
        <f t="shared" si="21"/>
        <v>#NUM!</v>
      </c>
      <c r="K213" s="138" t="e">
        <f t="shared" si="19"/>
        <v>#NUM!</v>
      </c>
      <c r="L213" s="138"/>
      <c r="M213" s="140">
        <f t="shared" si="20"/>
        <v>0</v>
      </c>
    </row>
    <row r="214" spans="1:13" x14ac:dyDescent="0.25">
      <c r="A214" s="155"/>
      <c r="G214" s="126"/>
      <c r="H214" s="138">
        <v>209</v>
      </c>
      <c r="I214" s="139" t="str">
        <f t="shared" si="18"/>
        <v/>
      </c>
      <c r="J214" s="138" t="e">
        <f t="shared" si="21"/>
        <v>#NUM!</v>
      </c>
      <c r="K214" s="138" t="e">
        <f t="shared" si="19"/>
        <v>#NUM!</v>
      </c>
      <c r="L214" s="138"/>
      <c r="M214" s="140">
        <f t="shared" si="20"/>
        <v>0</v>
      </c>
    </row>
    <row r="215" spans="1:13" x14ac:dyDescent="0.25">
      <c r="A215" s="155"/>
      <c r="G215" s="126"/>
      <c r="H215" s="141">
        <v>210</v>
      </c>
      <c r="I215" s="139" t="str">
        <f t="shared" si="18"/>
        <v/>
      </c>
      <c r="J215" s="138" t="e">
        <f t="shared" si="21"/>
        <v>#NUM!</v>
      </c>
      <c r="K215" s="138" t="e">
        <f t="shared" si="19"/>
        <v>#NUM!</v>
      </c>
      <c r="L215" s="138"/>
      <c r="M215" s="140">
        <f t="shared" si="20"/>
        <v>0</v>
      </c>
    </row>
    <row r="216" spans="1:13" x14ac:dyDescent="0.25">
      <c r="A216" s="155"/>
      <c r="G216" s="126"/>
      <c r="H216" s="138">
        <v>211</v>
      </c>
      <c r="I216" s="139" t="str">
        <f t="shared" si="18"/>
        <v/>
      </c>
      <c r="J216" s="138" t="e">
        <f t="shared" si="21"/>
        <v>#NUM!</v>
      </c>
      <c r="K216" s="138" t="e">
        <f t="shared" si="19"/>
        <v>#NUM!</v>
      </c>
      <c r="L216" s="138"/>
      <c r="M216" s="140">
        <f t="shared" si="20"/>
        <v>0</v>
      </c>
    </row>
    <row r="217" spans="1:13" x14ac:dyDescent="0.25">
      <c r="A217" s="155"/>
      <c r="G217" s="126"/>
      <c r="H217" s="141">
        <v>212</v>
      </c>
      <c r="I217" s="139" t="str">
        <f t="shared" si="18"/>
        <v/>
      </c>
      <c r="J217" s="138" t="e">
        <f t="shared" si="21"/>
        <v>#NUM!</v>
      </c>
      <c r="K217" s="138" t="e">
        <f t="shared" si="19"/>
        <v>#NUM!</v>
      </c>
      <c r="L217" s="138"/>
      <c r="M217" s="140">
        <f t="shared" si="20"/>
        <v>0</v>
      </c>
    </row>
    <row r="218" spans="1:13" x14ac:dyDescent="0.25">
      <c r="A218" s="155"/>
      <c r="G218" s="126"/>
      <c r="H218" s="138">
        <v>213</v>
      </c>
      <c r="I218" s="139" t="str">
        <f t="shared" si="18"/>
        <v/>
      </c>
      <c r="J218" s="138" t="e">
        <f t="shared" si="21"/>
        <v>#NUM!</v>
      </c>
      <c r="K218" s="138" t="e">
        <f t="shared" si="19"/>
        <v>#NUM!</v>
      </c>
      <c r="L218" s="138"/>
      <c r="M218" s="140">
        <f t="shared" si="20"/>
        <v>0</v>
      </c>
    </row>
    <row r="219" spans="1:13" x14ac:dyDescent="0.25">
      <c r="A219" s="155"/>
      <c r="G219" s="126"/>
      <c r="H219" s="141">
        <v>214</v>
      </c>
      <c r="I219" s="139" t="str">
        <f t="shared" si="18"/>
        <v/>
      </c>
      <c r="J219" s="138" t="e">
        <f t="shared" si="21"/>
        <v>#NUM!</v>
      </c>
      <c r="K219" s="138" t="e">
        <f t="shared" si="19"/>
        <v>#NUM!</v>
      </c>
      <c r="L219" s="138"/>
      <c r="M219" s="140">
        <f t="shared" si="20"/>
        <v>0</v>
      </c>
    </row>
    <row r="220" spans="1:13" x14ac:dyDescent="0.25">
      <c r="A220" s="155"/>
      <c r="G220" s="126"/>
      <c r="H220" s="138">
        <v>215</v>
      </c>
      <c r="I220" s="139" t="str">
        <f t="shared" si="18"/>
        <v/>
      </c>
      <c r="J220" s="138" t="e">
        <f t="shared" si="21"/>
        <v>#NUM!</v>
      </c>
      <c r="K220" s="138" t="e">
        <f t="shared" si="19"/>
        <v>#NUM!</v>
      </c>
      <c r="L220" s="138"/>
      <c r="M220" s="140">
        <f t="shared" si="20"/>
        <v>0</v>
      </c>
    </row>
    <row r="221" spans="1:13" x14ac:dyDescent="0.25">
      <c r="A221" s="155"/>
      <c r="G221" s="126"/>
      <c r="H221" s="141">
        <v>216</v>
      </c>
      <c r="I221" s="139" t="str">
        <f t="shared" si="18"/>
        <v/>
      </c>
      <c r="J221" s="138" t="e">
        <f t="shared" si="21"/>
        <v>#NUM!</v>
      </c>
      <c r="K221" s="138" t="e">
        <f t="shared" si="19"/>
        <v>#NUM!</v>
      </c>
      <c r="L221" s="138"/>
      <c r="M221" s="140">
        <f t="shared" si="20"/>
        <v>0</v>
      </c>
    </row>
    <row r="222" spans="1:13" x14ac:dyDescent="0.25">
      <c r="A222" s="155"/>
      <c r="G222" s="126"/>
      <c r="H222" s="138">
        <v>217</v>
      </c>
      <c r="I222" s="139" t="str">
        <f t="shared" si="18"/>
        <v/>
      </c>
      <c r="J222" s="138" t="e">
        <f t="shared" si="21"/>
        <v>#NUM!</v>
      </c>
      <c r="K222" s="138" t="e">
        <f t="shared" si="19"/>
        <v>#NUM!</v>
      </c>
      <c r="L222" s="138"/>
      <c r="M222" s="140">
        <f t="shared" si="20"/>
        <v>0</v>
      </c>
    </row>
    <row r="223" spans="1:13" x14ac:dyDescent="0.25">
      <c r="A223" s="155"/>
      <c r="G223" s="126"/>
      <c r="H223" s="141">
        <v>218</v>
      </c>
      <c r="I223" s="139" t="str">
        <f t="shared" si="18"/>
        <v/>
      </c>
      <c r="J223" s="138" t="e">
        <f t="shared" si="21"/>
        <v>#NUM!</v>
      </c>
      <c r="K223" s="138" t="e">
        <f t="shared" si="19"/>
        <v>#NUM!</v>
      </c>
      <c r="L223" s="138"/>
      <c r="M223" s="140">
        <f t="shared" si="20"/>
        <v>0</v>
      </c>
    </row>
    <row r="224" spans="1:13" x14ac:dyDescent="0.25">
      <c r="A224" s="155"/>
      <c r="G224" s="126"/>
      <c r="H224" s="138">
        <v>219</v>
      </c>
      <c r="I224" s="139" t="str">
        <f t="shared" si="18"/>
        <v/>
      </c>
      <c r="J224" s="138" t="e">
        <f t="shared" si="21"/>
        <v>#NUM!</v>
      </c>
      <c r="K224" s="138" t="e">
        <f t="shared" si="19"/>
        <v>#NUM!</v>
      </c>
      <c r="L224" s="138"/>
      <c r="M224" s="140">
        <f t="shared" si="20"/>
        <v>0</v>
      </c>
    </row>
    <row r="225" spans="1:13" x14ac:dyDescent="0.25">
      <c r="A225" s="155"/>
      <c r="G225" s="126"/>
      <c r="H225" s="141">
        <v>220</v>
      </c>
      <c r="I225" s="139" t="str">
        <f t="shared" si="18"/>
        <v/>
      </c>
      <c r="J225" s="138" t="e">
        <f t="shared" si="21"/>
        <v>#NUM!</v>
      </c>
      <c r="K225" s="138" t="e">
        <f t="shared" si="19"/>
        <v>#NUM!</v>
      </c>
      <c r="L225" s="138"/>
      <c r="M225" s="140">
        <f t="shared" si="20"/>
        <v>0</v>
      </c>
    </row>
    <row r="226" spans="1:13" x14ac:dyDescent="0.25">
      <c r="A226" s="155"/>
      <c r="G226" s="126"/>
      <c r="H226" s="138">
        <v>221</v>
      </c>
      <c r="I226" s="139" t="str">
        <f t="shared" si="18"/>
        <v/>
      </c>
      <c r="J226" s="138" t="e">
        <f t="shared" si="21"/>
        <v>#NUM!</v>
      </c>
      <c r="K226" s="138" t="e">
        <f t="shared" si="19"/>
        <v>#NUM!</v>
      </c>
      <c r="L226" s="138"/>
      <c r="M226" s="140">
        <f t="shared" si="20"/>
        <v>0</v>
      </c>
    </row>
    <row r="227" spans="1:13" x14ac:dyDescent="0.25">
      <c r="A227" s="155"/>
      <c r="G227" s="126"/>
      <c r="H227" s="141">
        <v>222</v>
      </c>
      <c r="I227" s="139" t="str">
        <f t="shared" si="18"/>
        <v/>
      </c>
      <c r="J227" s="138" t="e">
        <f t="shared" si="21"/>
        <v>#NUM!</v>
      </c>
      <c r="K227" s="138" t="e">
        <f t="shared" si="19"/>
        <v>#NUM!</v>
      </c>
      <c r="L227" s="138"/>
      <c r="M227" s="140">
        <f t="shared" si="20"/>
        <v>0</v>
      </c>
    </row>
    <row r="228" spans="1:13" x14ac:dyDescent="0.25">
      <c r="A228" s="155"/>
      <c r="G228" s="126"/>
      <c r="H228" s="138">
        <v>223</v>
      </c>
      <c r="I228" s="139" t="str">
        <f t="shared" si="18"/>
        <v/>
      </c>
      <c r="J228" s="138" t="e">
        <f t="shared" si="21"/>
        <v>#NUM!</v>
      </c>
      <c r="K228" s="138" t="e">
        <f t="shared" si="19"/>
        <v>#NUM!</v>
      </c>
      <c r="L228" s="138"/>
      <c r="M228" s="140">
        <f t="shared" si="20"/>
        <v>0</v>
      </c>
    </row>
    <row r="229" spans="1:13" x14ac:dyDescent="0.25">
      <c r="A229" s="155"/>
      <c r="G229" s="126"/>
      <c r="H229" s="141">
        <v>224</v>
      </c>
      <c r="I229" s="139" t="str">
        <f t="shared" si="18"/>
        <v/>
      </c>
      <c r="J229" s="138" t="e">
        <f t="shared" si="21"/>
        <v>#NUM!</v>
      </c>
      <c r="K229" s="138" t="e">
        <f t="shared" si="19"/>
        <v>#NUM!</v>
      </c>
      <c r="L229" s="138"/>
      <c r="M229" s="140">
        <f t="shared" si="20"/>
        <v>0</v>
      </c>
    </row>
    <row r="230" spans="1:13" x14ac:dyDescent="0.25">
      <c r="A230" s="155"/>
      <c r="G230" s="126"/>
      <c r="H230" s="138">
        <v>225</v>
      </c>
      <c r="I230" s="139" t="str">
        <f t="shared" si="18"/>
        <v/>
      </c>
      <c r="J230" s="138" t="e">
        <f t="shared" si="21"/>
        <v>#NUM!</v>
      </c>
      <c r="K230" s="138" t="e">
        <f t="shared" si="19"/>
        <v>#NUM!</v>
      </c>
      <c r="L230" s="138"/>
      <c r="M230" s="140">
        <f t="shared" si="20"/>
        <v>0</v>
      </c>
    </row>
    <row r="231" spans="1:13" x14ac:dyDescent="0.25">
      <c r="A231" s="155"/>
      <c r="G231" s="126"/>
      <c r="H231" s="141">
        <v>226</v>
      </c>
      <c r="I231" s="139" t="str">
        <f t="shared" si="18"/>
        <v/>
      </c>
      <c r="J231" s="138" t="e">
        <f t="shared" si="21"/>
        <v>#NUM!</v>
      </c>
      <c r="K231" s="138" t="e">
        <f t="shared" si="19"/>
        <v>#NUM!</v>
      </c>
      <c r="L231" s="138"/>
      <c r="M231" s="140">
        <f t="shared" si="20"/>
        <v>0</v>
      </c>
    </row>
    <row r="232" spans="1:13" x14ac:dyDescent="0.25">
      <c r="A232" s="155"/>
      <c r="G232" s="126"/>
      <c r="H232" s="138">
        <v>227</v>
      </c>
      <c r="I232" s="139" t="str">
        <f t="shared" si="18"/>
        <v/>
      </c>
      <c r="J232" s="138" t="e">
        <f t="shared" si="21"/>
        <v>#NUM!</v>
      </c>
      <c r="K232" s="138" t="e">
        <f t="shared" si="19"/>
        <v>#NUM!</v>
      </c>
      <c r="L232" s="138"/>
      <c r="M232" s="140">
        <f t="shared" si="20"/>
        <v>0</v>
      </c>
    </row>
    <row r="233" spans="1:13" x14ac:dyDescent="0.25">
      <c r="A233" s="155"/>
      <c r="G233" s="126"/>
      <c r="H233" s="141">
        <v>228</v>
      </c>
      <c r="I233" s="139" t="str">
        <f t="shared" si="18"/>
        <v/>
      </c>
      <c r="J233" s="138" t="e">
        <f t="shared" si="21"/>
        <v>#NUM!</v>
      </c>
      <c r="K233" s="138" t="e">
        <f t="shared" si="19"/>
        <v>#NUM!</v>
      </c>
      <c r="L233" s="138"/>
      <c r="M233" s="140">
        <f t="shared" si="20"/>
        <v>0</v>
      </c>
    </row>
    <row r="234" spans="1:13" x14ac:dyDescent="0.25">
      <c r="A234" s="155"/>
      <c r="G234" s="126"/>
      <c r="H234" s="138">
        <v>229</v>
      </c>
      <c r="I234" s="139" t="str">
        <f t="shared" si="18"/>
        <v/>
      </c>
      <c r="J234" s="138" t="e">
        <f t="shared" si="21"/>
        <v>#NUM!</v>
      </c>
      <c r="K234" s="138" t="e">
        <f t="shared" si="19"/>
        <v>#NUM!</v>
      </c>
      <c r="L234" s="138"/>
      <c r="M234" s="140">
        <f t="shared" si="20"/>
        <v>0</v>
      </c>
    </row>
    <row r="235" spans="1:13" x14ac:dyDescent="0.25">
      <c r="A235" s="155"/>
      <c r="G235" s="126"/>
      <c r="H235" s="141">
        <v>230</v>
      </c>
      <c r="I235" s="139" t="str">
        <f t="shared" si="18"/>
        <v/>
      </c>
      <c r="J235" s="138" t="e">
        <f t="shared" si="21"/>
        <v>#NUM!</v>
      </c>
      <c r="K235" s="138" t="e">
        <f t="shared" si="19"/>
        <v>#NUM!</v>
      </c>
      <c r="L235" s="138"/>
      <c r="M235" s="140">
        <f t="shared" si="20"/>
        <v>0</v>
      </c>
    </row>
    <row r="236" spans="1:13" x14ac:dyDescent="0.25">
      <c r="A236" s="155"/>
      <c r="G236" s="126"/>
      <c r="H236" s="138">
        <v>231</v>
      </c>
      <c r="I236" s="139" t="str">
        <f t="shared" si="18"/>
        <v/>
      </c>
      <c r="J236" s="138" t="e">
        <f t="shared" si="21"/>
        <v>#NUM!</v>
      </c>
      <c r="K236" s="138" t="e">
        <f t="shared" si="19"/>
        <v>#NUM!</v>
      </c>
      <c r="L236" s="138"/>
      <c r="M236" s="140">
        <f t="shared" si="20"/>
        <v>0</v>
      </c>
    </row>
    <row r="237" spans="1:13" x14ac:dyDescent="0.25">
      <c r="A237" s="155"/>
      <c r="G237" s="126"/>
      <c r="H237" s="141">
        <v>232</v>
      </c>
      <c r="I237" s="139" t="str">
        <f t="shared" si="18"/>
        <v/>
      </c>
      <c r="J237" s="138" t="e">
        <f t="shared" si="21"/>
        <v>#NUM!</v>
      </c>
      <c r="K237" s="138" t="e">
        <f t="shared" si="19"/>
        <v>#NUM!</v>
      </c>
      <c r="L237" s="138"/>
      <c r="M237" s="140">
        <f t="shared" si="20"/>
        <v>0</v>
      </c>
    </row>
    <row r="238" spans="1:13" x14ac:dyDescent="0.25">
      <c r="A238" s="155"/>
      <c r="G238" s="126"/>
      <c r="H238" s="138">
        <v>233</v>
      </c>
      <c r="I238" s="139" t="str">
        <f t="shared" si="18"/>
        <v/>
      </c>
      <c r="J238" s="138" t="e">
        <f t="shared" si="21"/>
        <v>#NUM!</v>
      </c>
      <c r="K238" s="138" t="e">
        <f t="shared" si="19"/>
        <v>#NUM!</v>
      </c>
      <c r="L238" s="138"/>
      <c r="M238" s="140">
        <f t="shared" si="20"/>
        <v>0</v>
      </c>
    </row>
    <row r="239" spans="1:13" x14ac:dyDescent="0.25">
      <c r="A239" s="155"/>
      <c r="G239" s="126"/>
      <c r="H239" s="141">
        <v>234</v>
      </c>
      <c r="I239" s="139" t="str">
        <f t="shared" si="18"/>
        <v/>
      </c>
      <c r="J239" s="138" t="e">
        <f t="shared" si="21"/>
        <v>#NUM!</v>
      </c>
      <c r="K239" s="138" t="e">
        <f t="shared" si="19"/>
        <v>#NUM!</v>
      </c>
      <c r="L239" s="138"/>
      <c r="M239" s="140">
        <f t="shared" si="20"/>
        <v>0</v>
      </c>
    </row>
    <row r="240" spans="1:13" x14ac:dyDescent="0.25">
      <c r="A240" s="155"/>
      <c r="G240" s="126"/>
      <c r="H240" s="138">
        <v>235</v>
      </c>
      <c r="I240" s="139" t="str">
        <f t="shared" si="18"/>
        <v/>
      </c>
      <c r="J240" s="138" t="e">
        <f t="shared" si="21"/>
        <v>#NUM!</v>
      </c>
      <c r="K240" s="138" t="e">
        <f t="shared" si="19"/>
        <v>#NUM!</v>
      </c>
      <c r="L240" s="138"/>
      <c r="M240" s="140">
        <f t="shared" si="20"/>
        <v>0</v>
      </c>
    </row>
    <row r="241" spans="1:13" x14ac:dyDescent="0.25">
      <c r="A241" s="155"/>
      <c r="G241" s="126"/>
      <c r="H241" s="141">
        <v>236</v>
      </c>
      <c r="I241" s="139" t="str">
        <f t="shared" si="18"/>
        <v/>
      </c>
      <c r="J241" s="138" t="e">
        <f t="shared" si="21"/>
        <v>#NUM!</v>
      </c>
      <c r="K241" s="138" t="e">
        <f t="shared" si="19"/>
        <v>#NUM!</v>
      </c>
      <c r="L241" s="138"/>
      <c r="M241" s="140">
        <f t="shared" si="20"/>
        <v>0</v>
      </c>
    </row>
    <row r="242" spans="1:13" x14ac:dyDescent="0.25">
      <c r="A242" s="155"/>
      <c r="G242" s="126"/>
      <c r="H242" s="138">
        <v>237</v>
      </c>
      <c r="I242" s="139" t="str">
        <f t="shared" si="18"/>
        <v/>
      </c>
      <c r="J242" s="138" t="e">
        <f t="shared" si="21"/>
        <v>#NUM!</v>
      </c>
      <c r="K242" s="138" t="e">
        <f t="shared" si="19"/>
        <v>#NUM!</v>
      </c>
      <c r="L242" s="138"/>
      <c r="M242" s="140">
        <f t="shared" si="20"/>
        <v>0</v>
      </c>
    </row>
    <row r="243" spans="1:13" x14ac:dyDescent="0.25">
      <c r="A243" s="155"/>
      <c r="G243" s="126"/>
      <c r="H243" s="141">
        <v>238</v>
      </c>
      <c r="I243" s="139" t="str">
        <f t="shared" si="18"/>
        <v/>
      </c>
      <c r="J243" s="138" t="e">
        <f t="shared" si="21"/>
        <v>#NUM!</v>
      </c>
      <c r="K243" s="138" t="e">
        <f t="shared" si="19"/>
        <v>#NUM!</v>
      </c>
      <c r="L243" s="138"/>
      <c r="M243" s="140">
        <f t="shared" si="20"/>
        <v>0</v>
      </c>
    </row>
    <row r="244" spans="1:13" x14ac:dyDescent="0.25">
      <c r="A244" s="155"/>
      <c r="G244" s="126"/>
      <c r="H244" s="138">
        <v>239</v>
      </c>
      <c r="I244" s="139" t="str">
        <f t="shared" si="18"/>
        <v/>
      </c>
      <c r="J244" s="138" t="e">
        <f t="shared" si="21"/>
        <v>#NUM!</v>
      </c>
      <c r="K244" s="138" t="e">
        <f t="shared" si="19"/>
        <v>#NUM!</v>
      </c>
      <c r="L244" s="138"/>
      <c r="M244" s="140">
        <f t="shared" si="20"/>
        <v>0</v>
      </c>
    </row>
    <row r="245" spans="1:13" x14ac:dyDescent="0.25">
      <c r="A245" s="155"/>
      <c r="G245" s="126"/>
      <c r="H245" s="141">
        <v>240</v>
      </c>
      <c r="I245" s="139" t="str">
        <f t="shared" si="18"/>
        <v/>
      </c>
      <c r="J245" s="138" t="e">
        <f t="shared" si="21"/>
        <v>#NUM!</v>
      </c>
      <c r="K245" s="138" t="e">
        <f t="shared" si="19"/>
        <v>#NUM!</v>
      </c>
      <c r="L245" s="138"/>
      <c r="M245" s="140">
        <f t="shared" si="20"/>
        <v>0</v>
      </c>
    </row>
    <row r="246" spans="1:13" x14ac:dyDescent="0.25">
      <c r="A246" s="155"/>
      <c r="G246" s="126"/>
      <c r="H246" s="138">
        <v>241</v>
      </c>
      <c r="I246" s="139" t="str">
        <f t="shared" si="18"/>
        <v/>
      </c>
      <c r="J246" s="138" t="e">
        <f t="shared" si="21"/>
        <v>#NUM!</v>
      </c>
      <c r="K246" s="138" t="e">
        <f t="shared" si="19"/>
        <v>#NUM!</v>
      </c>
      <c r="L246" s="138"/>
      <c r="M246" s="140">
        <f t="shared" si="20"/>
        <v>0</v>
      </c>
    </row>
    <row r="247" spans="1:13" x14ac:dyDescent="0.25">
      <c r="A247" s="155"/>
      <c r="G247" s="126"/>
      <c r="H247" s="141">
        <v>242</v>
      </c>
      <c r="I247" s="139" t="str">
        <f t="shared" si="18"/>
        <v/>
      </c>
      <c r="J247" s="138" t="e">
        <f t="shared" si="21"/>
        <v>#NUM!</v>
      </c>
      <c r="K247" s="138" t="e">
        <f t="shared" si="19"/>
        <v>#NUM!</v>
      </c>
      <c r="L247" s="138"/>
      <c r="M247" s="140">
        <f t="shared" si="20"/>
        <v>0</v>
      </c>
    </row>
    <row r="248" spans="1:13" x14ac:dyDescent="0.25">
      <c r="A248" s="155"/>
      <c r="G248" s="126"/>
      <c r="H248" s="138">
        <v>243</v>
      </c>
      <c r="I248" s="139" t="str">
        <f t="shared" si="18"/>
        <v/>
      </c>
      <c r="J248" s="138" t="e">
        <f t="shared" si="21"/>
        <v>#NUM!</v>
      </c>
      <c r="K248" s="138" t="e">
        <f t="shared" si="19"/>
        <v>#NUM!</v>
      </c>
      <c r="L248" s="138"/>
      <c r="M248" s="140">
        <f t="shared" si="20"/>
        <v>0</v>
      </c>
    </row>
    <row r="249" spans="1:13" x14ac:dyDescent="0.25">
      <c r="A249" s="155"/>
      <c r="G249" s="126"/>
      <c r="H249" s="141">
        <v>244</v>
      </c>
      <c r="I249" s="139" t="str">
        <f t="shared" si="18"/>
        <v/>
      </c>
      <c r="J249" s="138" t="e">
        <f t="shared" si="21"/>
        <v>#NUM!</v>
      </c>
      <c r="K249" s="138" t="e">
        <f t="shared" si="19"/>
        <v>#NUM!</v>
      </c>
      <c r="L249" s="138"/>
      <c r="M249" s="140">
        <f t="shared" si="20"/>
        <v>0</v>
      </c>
    </row>
    <row r="250" spans="1:13" x14ac:dyDescent="0.25">
      <c r="A250" s="155"/>
      <c r="G250" s="126"/>
      <c r="H250" s="138">
        <v>245</v>
      </c>
      <c r="I250" s="139" t="str">
        <f t="shared" si="18"/>
        <v/>
      </c>
      <c r="J250" s="138" t="e">
        <f t="shared" si="21"/>
        <v>#NUM!</v>
      </c>
      <c r="K250" s="138" t="e">
        <f t="shared" si="19"/>
        <v>#NUM!</v>
      </c>
      <c r="L250" s="138"/>
      <c r="M250" s="140">
        <f t="shared" si="20"/>
        <v>0</v>
      </c>
    </row>
    <row r="251" spans="1:13" x14ac:dyDescent="0.25">
      <c r="A251" s="155"/>
      <c r="G251" s="126"/>
      <c r="H251" s="141">
        <v>246</v>
      </c>
      <c r="I251" s="139" t="str">
        <f t="shared" si="18"/>
        <v/>
      </c>
      <c r="J251" s="138" t="e">
        <f t="shared" si="21"/>
        <v>#NUM!</v>
      </c>
      <c r="K251" s="138" t="e">
        <f t="shared" si="19"/>
        <v>#NUM!</v>
      </c>
      <c r="L251" s="138"/>
      <c r="M251" s="140">
        <f t="shared" si="20"/>
        <v>0</v>
      </c>
    </row>
    <row r="252" spans="1:13" x14ac:dyDescent="0.25">
      <c r="A252" s="155"/>
      <c r="G252" s="126"/>
      <c r="H252" s="138">
        <v>247</v>
      </c>
      <c r="I252" s="139" t="str">
        <f t="shared" si="18"/>
        <v/>
      </c>
      <c r="J252" s="138" t="e">
        <f t="shared" si="21"/>
        <v>#NUM!</v>
      </c>
      <c r="K252" s="138" t="e">
        <f t="shared" si="19"/>
        <v>#NUM!</v>
      </c>
      <c r="L252" s="138"/>
      <c r="M252" s="140">
        <f t="shared" si="20"/>
        <v>0</v>
      </c>
    </row>
    <row r="253" spans="1:13" x14ac:dyDescent="0.25">
      <c r="A253" s="155"/>
      <c r="G253" s="126"/>
      <c r="H253" s="141">
        <v>248</v>
      </c>
      <c r="I253" s="139" t="str">
        <f t="shared" si="18"/>
        <v/>
      </c>
      <c r="J253" s="138" t="e">
        <f t="shared" si="21"/>
        <v>#NUM!</v>
      </c>
      <c r="K253" s="138" t="e">
        <f t="shared" si="19"/>
        <v>#NUM!</v>
      </c>
      <c r="L253" s="138"/>
      <c r="M253" s="140">
        <f t="shared" si="20"/>
        <v>0</v>
      </c>
    </row>
    <row r="254" spans="1:13" x14ac:dyDescent="0.25">
      <c r="A254" s="155"/>
      <c r="G254" s="126"/>
      <c r="H254" s="138">
        <v>249</v>
      </c>
      <c r="I254" s="139" t="str">
        <f t="shared" si="18"/>
        <v/>
      </c>
      <c r="J254" s="138" t="e">
        <f t="shared" si="21"/>
        <v>#NUM!</v>
      </c>
      <c r="K254" s="138" t="e">
        <f t="shared" si="19"/>
        <v>#NUM!</v>
      </c>
      <c r="L254" s="138"/>
      <c r="M254" s="140">
        <f t="shared" si="20"/>
        <v>0</v>
      </c>
    </row>
    <row r="255" spans="1:13" x14ac:dyDescent="0.25">
      <c r="A255" s="155"/>
      <c r="G255" s="126"/>
      <c r="H255" s="141">
        <v>250</v>
      </c>
      <c r="I255" s="139" t="str">
        <f t="shared" si="18"/>
        <v/>
      </c>
      <c r="J255" s="138" t="e">
        <f t="shared" si="21"/>
        <v>#NUM!</v>
      </c>
      <c r="K255" s="138" t="e">
        <f t="shared" si="19"/>
        <v>#NUM!</v>
      </c>
      <c r="L255" s="138"/>
      <c r="M255" s="140">
        <f t="shared" si="20"/>
        <v>0</v>
      </c>
    </row>
    <row r="256" spans="1:13" x14ac:dyDescent="0.25">
      <c r="A256" s="155"/>
      <c r="G256" s="126"/>
      <c r="H256" s="138">
        <v>251</v>
      </c>
      <c r="I256" s="139" t="str">
        <f t="shared" si="18"/>
        <v/>
      </c>
      <c r="J256" s="138" t="e">
        <f t="shared" si="21"/>
        <v>#NUM!</v>
      </c>
      <c r="K256" s="138" t="e">
        <f t="shared" si="19"/>
        <v>#NUM!</v>
      </c>
      <c r="L256" s="138"/>
      <c r="M256" s="140">
        <f t="shared" si="20"/>
        <v>0</v>
      </c>
    </row>
    <row r="257" spans="1:13" x14ac:dyDescent="0.25">
      <c r="A257" s="155"/>
      <c r="G257" s="126"/>
      <c r="H257" s="141">
        <v>252</v>
      </c>
      <c r="I257" s="139" t="str">
        <f t="shared" si="18"/>
        <v/>
      </c>
      <c r="J257" s="138" t="e">
        <f t="shared" si="21"/>
        <v>#NUM!</v>
      </c>
      <c r="K257" s="138" t="e">
        <f t="shared" si="19"/>
        <v>#NUM!</v>
      </c>
      <c r="L257" s="138"/>
      <c r="M257" s="140">
        <f t="shared" si="20"/>
        <v>0</v>
      </c>
    </row>
    <row r="258" spans="1:13" x14ac:dyDescent="0.25">
      <c r="A258" s="155"/>
      <c r="G258" s="126"/>
      <c r="H258" s="138">
        <v>253</v>
      </c>
      <c r="I258" s="139" t="str">
        <f t="shared" si="18"/>
        <v/>
      </c>
      <c r="J258" s="138" t="e">
        <f t="shared" si="21"/>
        <v>#NUM!</v>
      </c>
      <c r="K258" s="138" t="e">
        <f t="shared" si="19"/>
        <v>#NUM!</v>
      </c>
      <c r="L258" s="138"/>
      <c r="M258" s="140">
        <f t="shared" si="20"/>
        <v>0</v>
      </c>
    </row>
    <row r="259" spans="1:13" x14ac:dyDescent="0.25">
      <c r="A259" s="155"/>
      <c r="G259" s="126"/>
      <c r="H259" s="141">
        <v>254</v>
      </c>
      <c r="I259" s="139" t="str">
        <f t="shared" si="18"/>
        <v/>
      </c>
      <c r="J259" s="138" t="e">
        <f t="shared" si="21"/>
        <v>#NUM!</v>
      </c>
      <c r="K259" s="138" t="e">
        <f t="shared" si="19"/>
        <v>#NUM!</v>
      </c>
      <c r="L259" s="138"/>
      <c r="M259" s="140">
        <f t="shared" si="20"/>
        <v>0</v>
      </c>
    </row>
    <row r="260" spans="1:13" x14ac:dyDescent="0.25">
      <c r="A260" s="155"/>
      <c r="G260" s="126"/>
      <c r="H260" s="138">
        <v>255</v>
      </c>
      <c r="I260" s="139" t="str">
        <f t="shared" si="18"/>
        <v/>
      </c>
      <c r="J260" s="138" t="e">
        <f t="shared" si="21"/>
        <v>#NUM!</v>
      </c>
      <c r="K260" s="138" t="e">
        <f t="shared" si="19"/>
        <v>#NUM!</v>
      </c>
      <c r="L260" s="138"/>
      <c r="M260" s="140">
        <f t="shared" si="20"/>
        <v>0</v>
      </c>
    </row>
    <row r="261" spans="1:13" x14ac:dyDescent="0.25">
      <c r="A261" s="155"/>
      <c r="G261" s="126"/>
      <c r="H261" s="141">
        <v>256</v>
      </c>
      <c r="I261" s="139" t="str">
        <f t="shared" si="18"/>
        <v/>
      </c>
      <c r="J261" s="138" t="e">
        <f t="shared" si="21"/>
        <v>#NUM!</v>
      </c>
      <c r="K261" s="138" t="e">
        <f t="shared" si="19"/>
        <v>#NUM!</v>
      </c>
      <c r="L261" s="138"/>
      <c r="M261" s="140">
        <f t="shared" si="20"/>
        <v>0</v>
      </c>
    </row>
    <row r="262" spans="1:13" x14ac:dyDescent="0.25">
      <c r="A262" s="155"/>
      <c r="G262" s="126"/>
      <c r="H262" s="138">
        <v>257</v>
      </c>
      <c r="I262" s="139" t="str">
        <f t="shared" ref="I262:I305" si="22">IF(H262&lt;$H$2+1,($I$2-($I$2-1)*(LOG(H262)/LOG($H$2))),"")</f>
        <v/>
      </c>
      <c r="J262" s="138" t="e">
        <f t="shared" si="21"/>
        <v>#NUM!</v>
      </c>
      <c r="K262" s="138" t="e">
        <f t="shared" ref="K262:K305" si="23">J262*$J$2</f>
        <v>#NUM!</v>
      </c>
      <c r="L262" s="138"/>
      <c r="M262" s="140">
        <f t="shared" ref="M262:M305" si="24">IF(I262&lt;&gt;"",K262+I262+L262,0)</f>
        <v>0</v>
      </c>
    </row>
    <row r="263" spans="1:13" x14ac:dyDescent="0.25">
      <c r="A263" s="155"/>
      <c r="G263" s="126"/>
      <c r="H263" s="141">
        <v>258</v>
      </c>
      <c r="I263" s="139" t="str">
        <f t="shared" si="22"/>
        <v/>
      </c>
      <c r="J263" s="138" t="e">
        <f t="shared" ref="J263:J305" si="25">INT(LOG($H$2,2))-ROUNDUP(LOG(H263,2),0)+IF(OR($H$2=1,$H$2=2,$H$2=4,$H$2=8,$H$2=16,$H$2=32,$H$2=64,$H$2=128,$H$2=256),0,1)</f>
        <v>#NUM!</v>
      </c>
      <c r="K263" s="138" t="e">
        <f t="shared" si="23"/>
        <v>#NUM!</v>
      </c>
      <c r="L263" s="138"/>
      <c r="M263" s="140">
        <f t="shared" si="24"/>
        <v>0</v>
      </c>
    </row>
    <row r="264" spans="1:13" x14ac:dyDescent="0.25">
      <c r="A264" s="155"/>
      <c r="G264" s="126"/>
      <c r="H264" s="138">
        <v>259</v>
      </c>
      <c r="I264" s="139" t="str">
        <f t="shared" si="22"/>
        <v/>
      </c>
      <c r="J264" s="138" t="e">
        <f t="shared" si="25"/>
        <v>#NUM!</v>
      </c>
      <c r="K264" s="138" t="e">
        <f t="shared" si="23"/>
        <v>#NUM!</v>
      </c>
      <c r="L264" s="138"/>
      <c r="M264" s="140">
        <f t="shared" si="24"/>
        <v>0</v>
      </c>
    </row>
    <row r="265" spans="1:13" x14ac:dyDescent="0.25">
      <c r="A265" s="155"/>
      <c r="G265" s="126"/>
      <c r="H265" s="141">
        <v>260</v>
      </c>
      <c r="I265" s="139" t="str">
        <f t="shared" si="22"/>
        <v/>
      </c>
      <c r="J265" s="138" t="e">
        <f t="shared" si="25"/>
        <v>#NUM!</v>
      </c>
      <c r="K265" s="138" t="e">
        <f t="shared" si="23"/>
        <v>#NUM!</v>
      </c>
      <c r="L265" s="138"/>
      <c r="M265" s="140">
        <f t="shared" si="24"/>
        <v>0</v>
      </c>
    </row>
    <row r="266" spans="1:13" x14ac:dyDescent="0.25">
      <c r="A266" s="155"/>
      <c r="G266" s="126"/>
      <c r="H266" s="138">
        <v>261</v>
      </c>
      <c r="I266" s="139" t="str">
        <f t="shared" si="22"/>
        <v/>
      </c>
      <c r="J266" s="138" t="e">
        <f t="shared" si="25"/>
        <v>#NUM!</v>
      </c>
      <c r="K266" s="138" t="e">
        <f t="shared" si="23"/>
        <v>#NUM!</v>
      </c>
      <c r="L266" s="138"/>
      <c r="M266" s="140">
        <f t="shared" si="24"/>
        <v>0</v>
      </c>
    </row>
    <row r="267" spans="1:13" x14ac:dyDescent="0.25">
      <c r="A267" s="155"/>
      <c r="G267" s="126"/>
      <c r="H267" s="141">
        <v>262</v>
      </c>
      <c r="I267" s="139" t="str">
        <f t="shared" si="22"/>
        <v/>
      </c>
      <c r="J267" s="138" t="e">
        <f t="shared" si="25"/>
        <v>#NUM!</v>
      </c>
      <c r="K267" s="138" t="e">
        <f t="shared" si="23"/>
        <v>#NUM!</v>
      </c>
      <c r="L267" s="138"/>
      <c r="M267" s="140">
        <f t="shared" si="24"/>
        <v>0</v>
      </c>
    </row>
    <row r="268" spans="1:13" x14ac:dyDescent="0.25">
      <c r="A268" s="155"/>
      <c r="G268" s="126"/>
      <c r="H268" s="138">
        <v>263</v>
      </c>
      <c r="I268" s="139" t="str">
        <f t="shared" si="22"/>
        <v/>
      </c>
      <c r="J268" s="138" t="e">
        <f t="shared" si="25"/>
        <v>#NUM!</v>
      </c>
      <c r="K268" s="138" t="e">
        <f t="shared" si="23"/>
        <v>#NUM!</v>
      </c>
      <c r="L268" s="138"/>
      <c r="M268" s="140">
        <f t="shared" si="24"/>
        <v>0</v>
      </c>
    </row>
    <row r="269" spans="1:13" x14ac:dyDescent="0.25">
      <c r="A269" s="155"/>
      <c r="G269" s="126"/>
      <c r="H269" s="141">
        <v>264</v>
      </c>
      <c r="I269" s="139" t="str">
        <f t="shared" si="22"/>
        <v/>
      </c>
      <c r="J269" s="138" t="e">
        <f t="shared" si="25"/>
        <v>#NUM!</v>
      </c>
      <c r="K269" s="138" t="e">
        <f t="shared" si="23"/>
        <v>#NUM!</v>
      </c>
      <c r="L269" s="138"/>
      <c r="M269" s="140">
        <f t="shared" si="24"/>
        <v>0</v>
      </c>
    </row>
    <row r="270" spans="1:13" x14ac:dyDescent="0.25">
      <c r="A270" s="155"/>
      <c r="G270" s="126"/>
      <c r="H270" s="138">
        <v>265</v>
      </c>
      <c r="I270" s="139" t="str">
        <f t="shared" si="22"/>
        <v/>
      </c>
      <c r="J270" s="138" t="e">
        <f t="shared" si="25"/>
        <v>#NUM!</v>
      </c>
      <c r="K270" s="138" t="e">
        <f t="shared" si="23"/>
        <v>#NUM!</v>
      </c>
      <c r="L270" s="138"/>
      <c r="M270" s="140">
        <f t="shared" si="24"/>
        <v>0</v>
      </c>
    </row>
    <row r="271" spans="1:13" x14ac:dyDescent="0.25">
      <c r="A271" s="155"/>
      <c r="G271" s="126"/>
      <c r="H271" s="141">
        <v>266</v>
      </c>
      <c r="I271" s="139" t="str">
        <f t="shared" si="22"/>
        <v/>
      </c>
      <c r="J271" s="138" t="e">
        <f t="shared" si="25"/>
        <v>#NUM!</v>
      </c>
      <c r="K271" s="138" t="e">
        <f t="shared" si="23"/>
        <v>#NUM!</v>
      </c>
      <c r="L271" s="138"/>
      <c r="M271" s="140">
        <f t="shared" si="24"/>
        <v>0</v>
      </c>
    </row>
    <row r="272" spans="1:13" x14ac:dyDescent="0.25">
      <c r="A272" s="155"/>
      <c r="G272" s="126"/>
      <c r="H272" s="138">
        <v>267</v>
      </c>
      <c r="I272" s="139" t="str">
        <f t="shared" si="22"/>
        <v/>
      </c>
      <c r="J272" s="138" t="e">
        <f t="shared" si="25"/>
        <v>#NUM!</v>
      </c>
      <c r="K272" s="138" t="e">
        <f t="shared" si="23"/>
        <v>#NUM!</v>
      </c>
      <c r="L272" s="138"/>
      <c r="M272" s="140">
        <f t="shared" si="24"/>
        <v>0</v>
      </c>
    </row>
    <row r="273" spans="1:13" x14ac:dyDescent="0.25">
      <c r="A273" s="155"/>
      <c r="G273" s="126"/>
      <c r="H273" s="141">
        <v>268</v>
      </c>
      <c r="I273" s="139" t="str">
        <f t="shared" si="22"/>
        <v/>
      </c>
      <c r="J273" s="138" t="e">
        <f t="shared" si="25"/>
        <v>#NUM!</v>
      </c>
      <c r="K273" s="138" t="e">
        <f t="shared" si="23"/>
        <v>#NUM!</v>
      </c>
      <c r="L273" s="138"/>
      <c r="M273" s="140">
        <f t="shared" si="24"/>
        <v>0</v>
      </c>
    </row>
    <row r="274" spans="1:13" x14ac:dyDescent="0.25">
      <c r="A274" s="155"/>
      <c r="G274" s="126"/>
      <c r="H274" s="138">
        <v>269</v>
      </c>
      <c r="I274" s="139" t="str">
        <f t="shared" si="22"/>
        <v/>
      </c>
      <c r="J274" s="138" t="e">
        <f t="shared" si="25"/>
        <v>#NUM!</v>
      </c>
      <c r="K274" s="138" t="e">
        <f t="shared" si="23"/>
        <v>#NUM!</v>
      </c>
      <c r="L274" s="138"/>
      <c r="M274" s="140">
        <f t="shared" si="24"/>
        <v>0</v>
      </c>
    </row>
    <row r="275" spans="1:13" x14ac:dyDescent="0.25">
      <c r="A275" s="155"/>
      <c r="G275" s="126"/>
      <c r="H275" s="141">
        <v>270</v>
      </c>
      <c r="I275" s="139" t="str">
        <f t="shared" si="22"/>
        <v/>
      </c>
      <c r="J275" s="138" t="e">
        <f t="shared" si="25"/>
        <v>#NUM!</v>
      </c>
      <c r="K275" s="138" t="e">
        <f t="shared" si="23"/>
        <v>#NUM!</v>
      </c>
      <c r="L275" s="138"/>
      <c r="M275" s="140">
        <f t="shared" si="24"/>
        <v>0</v>
      </c>
    </row>
    <row r="276" spans="1:13" x14ac:dyDescent="0.25">
      <c r="A276" s="155"/>
      <c r="G276" s="126"/>
      <c r="H276" s="138">
        <v>271</v>
      </c>
      <c r="I276" s="139" t="str">
        <f t="shared" si="22"/>
        <v/>
      </c>
      <c r="J276" s="138" t="e">
        <f t="shared" si="25"/>
        <v>#NUM!</v>
      </c>
      <c r="K276" s="138" t="e">
        <f t="shared" si="23"/>
        <v>#NUM!</v>
      </c>
      <c r="L276" s="138"/>
      <c r="M276" s="140">
        <f t="shared" si="24"/>
        <v>0</v>
      </c>
    </row>
    <row r="277" spans="1:13" x14ac:dyDescent="0.25">
      <c r="A277" s="155"/>
      <c r="G277" s="126"/>
      <c r="H277" s="141">
        <v>272</v>
      </c>
      <c r="I277" s="139" t="str">
        <f t="shared" si="22"/>
        <v/>
      </c>
      <c r="J277" s="138" t="e">
        <f t="shared" si="25"/>
        <v>#NUM!</v>
      </c>
      <c r="K277" s="138" t="e">
        <f t="shared" si="23"/>
        <v>#NUM!</v>
      </c>
      <c r="L277" s="138"/>
      <c r="M277" s="140">
        <f t="shared" si="24"/>
        <v>0</v>
      </c>
    </row>
    <row r="278" spans="1:13" x14ac:dyDescent="0.25">
      <c r="A278" s="155"/>
      <c r="G278" s="126"/>
      <c r="H278" s="138">
        <v>273</v>
      </c>
      <c r="I278" s="139" t="str">
        <f t="shared" si="22"/>
        <v/>
      </c>
      <c r="J278" s="138" t="e">
        <f t="shared" si="25"/>
        <v>#NUM!</v>
      </c>
      <c r="K278" s="138" t="e">
        <f t="shared" si="23"/>
        <v>#NUM!</v>
      </c>
      <c r="L278" s="138"/>
      <c r="M278" s="140">
        <f t="shared" si="24"/>
        <v>0</v>
      </c>
    </row>
    <row r="279" spans="1:13" x14ac:dyDescent="0.25">
      <c r="A279" s="155"/>
      <c r="G279" s="126"/>
      <c r="H279" s="141">
        <v>274</v>
      </c>
      <c r="I279" s="139" t="str">
        <f t="shared" si="22"/>
        <v/>
      </c>
      <c r="J279" s="138" t="e">
        <f t="shared" si="25"/>
        <v>#NUM!</v>
      </c>
      <c r="K279" s="138" t="e">
        <f t="shared" si="23"/>
        <v>#NUM!</v>
      </c>
      <c r="L279" s="138"/>
      <c r="M279" s="140">
        <f t="shared" si="24"/>
        <v>0</v>
      </c>
    </row>
    <row r="280" spans="1:13" x14ac:dyDescent="0.25">
      <c r="A280" s="155"/>
      <c r="G280" s="126"/>
      <c r="H280" s="138">
        <v>275</v>
      </c>
      <c r="I280" s="139" t="str">
        <f t="shared" si="22"/>
        <v/>
      </c>
      <c r="J280" s="138" t="e">
        <f t="shared" si="25"/>
        <v>#NUM!</v>
      </c>
      <c r="K280" s="138" t="e">
        <f t="shared" si="23"/>
        <v>#NUM!</v>
      </c>
      <c r="L280" s="138"/>
      <c r="M280" s="140">
        <f t="shared" si="24"/>
        <v>0</v>
      </c>
    </row>
    <row r="281" spans="1:13" x14ac:dyDescent="0.25">
      <c r="A281" s="155"/>
      <c r="G281" s="126"/>
      <c r="H281" s="141">
        <v>276</v>
      </c>
      <c r="I281" s="139" t="str">
        <f t="shared" si="22"/>
        <v/>
      </c>
      <c r="J281" s="138" t="e">
        <f t="shared" si="25"/>
        <v>#NUM!</v>
      </c>
      <c r="K281" s="138" t="e">
        <f t="shared" si="23"/>
        <v>#NUM!</v>
      </c>
      <c r="L281" s="138"/>
      <c r="M281" s="140">
        <f t="shared" si="24"/>
        <v>0</v>
      </c>
    </row>
    <row r="282" spans="1:13" x14ac:dyDescent="0.25">
      <c r="A282" s="155"/>
      <c r="G282" s="126"/>
      <c r="H282" s="138">
        <v>277</v>
      </c>
      <c r="I282" s="139" t="str">
        <f t="shared" si="22"/>
        <v/>
      </c>
      <c r="J282" s="138" t="e">
        <f t="shared" si="25"/>
        <v>#NUM!</v>
      </c>
      <c r="K282" s="138" t="e">
        <f t="shared" si="23"/>
        <v>#NUM!</v>
      </c>
      <c r="L282" s="138"/>
      <c r="M282" s="140">
        <f t="shared" si="24"/>
        <v>0</v>
      </c>
    </row>
    <row r="283" spans="1:13" x14ac:dyDescent="0.25">
      <c r="A283" s="155"/>
      <c r="G283" s="126"/>
      <c r="H283" s="141">
        <v>278</v>
      </c>
      <c r="I283" s="139" t="str">
        <f t="shared" si="22"/>
        <v/>
      </c>
      <c r="J283" s="138" t="e">
        <f t="shared" si="25"/>
        <v>#NUM!</v>
      </c>
      <c r="K283" s="138" t="e">
        <f t="shared" si="23"/>
        <v>#NUM!</v>
      </c>
      <c r="L283" s="138"/>
      <c r="M283" s="140">
        <f t="shared" si="24"/>
        <v>0</v>
      </c>
    </row>
    <row r="284" spans="1:13" x14ac:dyDescent="0.25">
      <c r="A284" s="155"/>
      <c r="G284" s="126"/>
      <c r="H284" s="138">
        <v>279</v>
      </c>
      <c r="I284" s="139" t="str">
        <f t="shared" si="22"/>
        <v/>
      </c>
      <c r="J284" s="138" t="e">
        <f t="shared" si="25"/>
        <v>#NUM!</v>
      </c>
      <c r="K284" s="138" t="e">
        <f t="shared" si="23"/>
        <v>#NUM!</v>
      </c>
      <c r="L284" s="138"/>
      <c r="M284" s="140">
        <f t="shared" si="24"/>
        <v>0</v>
      </c>
    </row>
    <row r="285" spans="1:13" x14ac:dyDescent="0.25">
      <c r="A285" s="155"/>
      <c r="G285" s="126"/>
      <c r="H285" s="141">
        <v>280</v>
      </c>
      <c r="I285" s="139" t="str">
        <f t="shared" si="22"/>
        <v/>
      </c>
      <c r="J285" s="138" t="e">
        <f t="shared" si="25"/>
        <v>#NUM!</v>
      </c>
      <c r="K285" s="138" t="e">
        <f t="shared" si="23"/>
        <v>#NUM!</v>
      </c>
      <c r="L285" s="138"/>
      <c r="M285" s="140">
        <f t="shared" si="24"/>
        <v>0</v>
      </c>
    </row>
    <row r="286" spans="1:13" x14ac:dyDescent="0.25">
      <c r="A286" s="155"/>
      <c r="G286" s="126"/>
      <c r="H286" s="138">
        <v>281</v>
      </c>
      <c r="I286" s="139" t="str">
        <f t="shared" si="22"/>
        <v/>
      </c>
      <c r="J286" s="138" t="e">
        <f t="shared" si="25"/>
        <v>#NUM!</v>
      </c>
      <c r="K286" s="138" t="e">
        <f t="shared" si="23"/>
        <v>#NUM!</v>
      </c>
      <c r="L286" s="138"/>
      <c r="M286" s="140">
        <f t="shared" si="24"/>
        <v>0</v>
      </c>
    </row>
    <row r="287" spans="1:13" x14ac:dyDescent="0.25">
      <c r="A287" s="155"/>
      <c r="G287" s="126"/>
      <c r="H287" s="141">
        <v>282</v>
      </c>
      <c r="I287" s="139" t="str">
        <f t="shared" si="22"/>
        <v/>
      </c>
      <c r="J287" s="138" t="e">
        <f t="shared" si="25"/>
        <v>#NUM!</v>
      </c>
      <c r="K287" s="138" t="e">
        <f t="shared" si="23"/>
        <v>#NUM!</v>
      </c>
      <c r="L287" s="138"/>
      <c r="M287" s="140">
        <f t="shared" si="24"/>
        <v>0</v>
      </c>
    </row>
    <row r="288" spans="1:13" x14ac:dyDescent="0.25">
      <c r="A288" s="155"/>
      <c r="G288" s="126"/>
      <c r="H288" s="138">
        <v>283</v>
      </c>
      <c r="I288" s="139" t="str">
        <f t="shared" si="22"/>
        <v/>
      </c>
      <c r="J288" s="138" t="e">
        <f t="shared" si="25"/>
        <v>#NUM!</v>
      </c>
      <c r="K288" s="138" t="e">
        <f t="shared" si="23"/>
        <v>#NUM!</v>
      </c>
      <c r="L288" s="138"/>
      <c r="M288" s="140">
        <f t="shared" si="24"/>
        <v>0</v>
      </c>
    </row>
    <row r="289" spans="1:13" x14ac:dyDescent="0.25">
      <c r="A289" s="155"/>
      <c r="G289" s="126"/>
      <c r="H289" s="141">
        <v>284</v>
      </c>
      <c r="I289" s="139" t="str">
        <f t="shared" si="22"/>
        <v/>
      </c>
      <c r="J289" s="138" t="e">
        <f t="shared" si="25"/>
        <v>#NUM!</v>
      </c>
      <c r="K289" s="138" t="e">
        <f t="shared" si="23"/>
        <v>#NUM!</v>
      </c>
      <c r="L289" s="138"/>
      <c r="M289" s="140">
        <f t="shared" si="24"/>
        <v>0</v>
      </c>
    </row>
    <row r="290" spans="1:13" x14ac:dyDescent="0.25">
      <c r="A290" s="155"/>
      <c r="G290" s="126"/>
      <c r="H290" s="138">
        <v>285</v>
      </c>
      <c r="I290" s="139" t="str">
        <f t="shared" si="22"/>
        <v/>
      </c>
      <c r="J290" s="138" t="e">
        <f t="shared" si="25"/>
        <v>#NUM!</v>
      </c>
      <c r="K290" s="138" t="e">
        <f t="shared" si="23"/>
        <v>#NUM!</v>
      </c>
      <c r="L290" s="138"/>
      <c r="M290" s="140">
        <f t="shared" si="24"/>
        <v>0</v>
      </c>
    </row>
    <row r="291" spans="1:13" x14ac:dyDescent="0.25">
      <c r="A291" s="155"/>
      <c r="G291" s="126"/>
      <c r="H291" s="141">
        <v>286</v>
      </c>
      <c r="I291" s="139" t="str">
        <f t="shared" si="22"/>
        <v/>
      </c>
      <c r="J291" s="138" t="e">
        <f t="shared" si="25"/>
        <v>#NUM!</v>
      </c>
      <c r="K291" s="138" t="e">
        <f t="shared" si="23"/>
        <v>#NUM!</v>
      </c>
      <c r="L291" s="138"/>
      <c r="M291" s="140">
        <f t="shared" si="24"/>
        <v>0</v>
      </c>
    </row>
    <row r="292" spans="1:13" x14ac:dyDescent="0.25">
      <c r="A292" s="155"/>
      <c r="G292" s="126"/>
      <c r="H292" s="138">
        <v>287</v>
      </c>
      <c r="I292" s="139" t="str">
        <f t="shared" si="22"/>
        <v/>
      </c>
      <c r="J292" s="138" t="e">
        <f t="shared" si="25"/>
        <v>#NUM!</v>
      </c>
      <c r="K292" s="138" t="e">
        <f t="shared" si="23"/>
        <v>#NUM!</v>
      </c>
      <c r="L292" s="138"/>
      <c r="M292" s="140">
        <f t="shared" si="24"/>
        <v>0</v>
      </c>
    </row>
    <row r="293" spans="1:13" x14ac:dyDescent="0.25">
      <c r="A293" s="155"/>
      <c r="G293" s="126"/>
      <c r="H293" s="138">
        <v>288</v>
      </c>
      <c r="I293" s="139" t="str">
        <f t="shared" si="22"/>
        <v/>
      </c>
      <c r="J293" s="138" t="e">
        <f t="shared" si="25"/>
        <v>#NUM!</v>
      </c>
      <c r="K293" s="138" t="e">
        <f t="shared" si="23"/>
        <v>#NUM!</v>
      </c>
      <c r="L293" s="138"/>
      <c r="M293" s="140">
        <f t="shared" si="24"/>
        <v>0</v>
      </c>
    </row>
    <row r="294" spans="1:13" x14ac:dyDescent="0.25">
      <c r="A294" s="155"/>
      <c r="G294" s="126"/>
      <c r="H294" s="138">
        <v>289</v>
      </c>
      <c r="I294" s="139" t="str">
        <f t="shared" si="22"/>
        <v/>
      </c>
      <c r="J294" s="138" t="e">
        <f t="shared" si="25"/>
        <v>#NUM!</v>
      </c>
      <c r="K294" s="138" t="e">
        <f t="shared" si="23"/>
        <v>#NUM!</v>
      </c>
      <c r="L294" s="138"/>
      <c r="M294" s="140">
        <f t="shared" si="24"/>
        <v>0</v>
      </c>
    </row>
    <row r="295" spans="1:13" x14ac:dyDescent="0.25">
      <c r="A295" s="155"/>
      <c r="G295" s="126"/>
      <c r="H295" s="138">
        <v>290</v>
      </c>
      <c r="I295" s="139" t="str">
        <f t="shared" si="22"/>
        <v/>
      </c>
      <c r="J295" s="138" t="e">
        <f t="shared" si="25"/>
        <v>#NUM!</v>
      </c>
      <c r="K295" s="138" t="e">
        <f t="shared" si="23"/>
        <v>#NUM!</v>
      </c>
      <c r="L295" s="138"/>
      <c r="M295" s="140">
        <f t="shared" si="24"/>
        <v>0</v>
      </c>
    </row>
    <row r="296" spans="1:13" x14ac:dyDescent="0.25">
      <c r="A296" s="155"/>
      <c r="G296" s="126"/>
      <c r="H296" s="138">
        <v>291</v>
      </c>
      <c r="I296" s="139" t="str">
        <f t="shared" si="22"/>
        <v/>
      </c>
      <c r="J296" s="138" t="e">
        <f t="shared" si="25"/>
        <v>#NUM!</v>
      </c>
      <c r="K296" s="138" t="e">
        <f t="shared" si="23"/>
        <v>#NUM!</v>
      </c>
      <c r="L296" s="138"/>
      <c r="M296" s="140">
        <f t="shared" si="24"/>
        <v>0</v>
      </c>
    </row>
    <row r="297" spans="1:13" x14ac:dyDescent="0.25">
      <c r="A297" s="155"/>
      <c r="G297" s="126"/>
      <c r="H297" s="138">
        <v>292</v>
      </c>
      <c r="I297" s="139" t="str">
        <f t="shared" si="22"/>
        <v/>
      </c>
      <c r="J297" s="138" t="e">
        <f t="shared" si="25"/>
        <v>#NUM!</v>
      </c>
      <c r="K297" s="138" t="e">
        <f t="shared" si="23"/>
        <v>#NUM!</v>
      </c>
      <c r="L297" s="138"/>
      <c r="M297" s="140">
        <f t="shared" si="24"/>
        <v>0</v>
      </c>
    </row>
    <row r="298" spans="1:13" x14ac:dyDescent="0.25">
      <c r="A298" s="155"/>
      <c r="G298" s="126"/>
      <c r="H298" s="138">
        <v>293</v>
      </c>
      <c r="I298" s="139" t="str">
        <f t="shared" si="22"/>
        <v/>
      </c>
      <c r="J298" s="138" t="e">
        <f t="shared" si="25"/>
        <v>#NUM!</v>
      </c>
      <c r="K298" s="138" t="e">
        <f t="shared" si="23"/>
        <v>#NUM!</v>
      </c>
      <c r="L298" s="138"/>
      <c r="M298" s="140">
        <f t="shared" si="24"/>
        <v>0</v>
      </c>
    </row>
    <row r="299" spans="1:13" x14ac:dyDescent="0.25">
      <c r="A299" s="155"/>
      <c r="G299" s="126"/>
      <c r="H299" s="138">
        <v>294</v>
      </c>
      <c r="I299" s="139" t="str">
        <f t="shared" si="22"/>
        <v/>
      </c>
      <c r="J299" s="138" t="e">
        <f t="shared" si="25"/>
        <v>#NUM!</v>
      </c>
      <c r="K299" s="138" t="e">
        <f t="shared" si="23"/>
        <v>#NUM!</v>
      </c>
      <c r="L299" s="138"/>
      <c r="M299" s="140">
        <f t="shared" si="24"/>
        <v>0</v>
      </c>
    </row>
    <row r="300" spans="1:13" x14ac:dyDescent="0.25">
      <c r="A300" s="155"/>
      <c r="G300" s="126"/>
      <c r="H300" s="138">
        <v>295</v>
      </c>
      <c r="I300" s="139" t="str">
        <f t="shared" si="22"/>
        <v/>
      </c>
      <c r="J300" s="138" t="e">
        <f t="shared" si="25"/>
        <v>#NUM!</v>
      </c>
      <c r="K300" s="138" t="e">
        <f t="shared" si="23"/>
        <v>#NUM!</v>
      </c>
      <c r="L300" s="138"/>
      <c r="M300" s="140">
        <f t="shared" si="24"/>
        <v>0</v>
      </c>
    </row>
    <row r="301" spans="1:13" x14ac:dyDescent="0.25">
      <c r="A301" s="155"/>
      <c r="G301" s="126"/>
      <c r="H301" s="138">
        <v>296</v>
      </c>
      <c r="I301" s="139" t="str">
        <f t="shared" si="22"/>
        <v/>
      </c>
      <c r="J301" s="138" t="e">
        <f t="shared" si="25"/>
        <v>#NUM!</v>
      </c>
      <c r="K301" s="138" t="e">
        <f t="shared" si="23"/>
        <v>#NUM!</v>
      </c>
      <c r="L301" s="138"/>
      <c r="M301" s="140">
        <f t="shared" si="24"/>
        <v>0</v>
      </c>
    </row>
    <row r="302" spans="1:13" x14ac:dyDescent="0.25">
      <c r="A302" s="155"/>
      <c r="G302" s="126"/>
      <c r="H302" s="138">
        <v>297</v>
      </c>
      <c r="I302" s="139" t="str">
        <f t="shared" si="22"/>
        <v/>
      </c>
      <c r="J302" s="138" t="e">
        <f t="shared" si="25"/>
        <v>#NUM!</v>
      </c>
      <c r="K302" s="138" t="e">
        <f t="shared" si="23"/>
        <v>#NUM!</v>
      </c>
      <c r="L302" s="138"/>
      <c r="M302" s="140">
        <f t="shared" si="24"/>
        <v>0</v>
      </c>
    </row>
    <row r="303" spans="1:13" x14ac:dyDescent="0.25">
      <c r="A303" s="155"/>
      <c r="G303" s="126"/>
      <c r="H303" s="138">
        <v>298</v>
      </c>
      <c r="I303" s="139" t="str">
        <f t="shared" si="22"/>
        <v/>
      </c>
      <c r="J303" s="138" t="e">
        <f t="shared" si="25"/>
        <v>#NUM!</v>
      </c>
      <c r="K303" s="138" t="e">
        <f t="shared" si="23"/>
        <v>#NUM!</v>
      </c>
      <c r="L303" s="138"/>
      <c r="M303" s="140">
        <f t="shared" si="24"/>
        <v>0</v>
      </c>
    </row>
    <row r="304" spans="1:13" x14ac:dyDescent="0.25">
      <c r="A304" s="155"/>
      <c r="G304" s="126"/>
      <c r="H304" s="138">
        <v>299</v>
      </c>
      <c r="I304" s="139" t="str">
        <f t="shared" si="22"/>
        <v/>
      </c>
      <c r="J304" s="138" t="e">
        <f t="shared" si="25"/>
        <v>#NUM!</v>
      </c>
      <c r="K304" s="138" t="e">
        <f t="shared" si="23"/>
        <v>#NUM!</v>
      </c>
      <c r="L304" s="138"/>
      <c r="M304" s="140">
        <f t="shared" si="24"/>
        <v>0</v>
      </c>
    </row>
    <row r="305" spans="1:16" x14ac:dyDescent="0.25">
      <c r="A305" s="155"/>
      <c r="G305" s="126"/>
      <c r="H305" s="138">
        <v>300</v>
      </c>
      <c r="I305" s="139" t="str">
        <f t="shared" si="22"/>
        <v/>
      </c>
      <c r="J305" s="138" t="e">
        <f t="shared" si="25"/>
        <v>#NUM!</v>
      </c>
      <c r="K305" s="138" t="e">
        <f t="shared" si="23"/>
        <v>#NUM!</v>
      </c>
      <c r="L305" s="138"/>
      <c r="M305" s="140">
        <f t="shared" si="24"/>
        <v>0</v>
      </c>
    </row>
    <row r="306" spans="1:16" x14ac:dyDescent="0.25">
      <c r="A306" s="156"/>
    </row>
    <row r="314" spans="1:16" x14ac:dyDescent="0.25">
      <c r="L314" s="159"/>
      <c r="P314" s="149"/>
    </row>
    <row r="315" spans="1:16" x14ac:dyDescent="0.25">
      <c r="L315" s="159"/>
      <c r="P315" s="149"/>
    </row>
    <row r="316" spans="1:16" x14ac:dyDescent="0.25">
      <c r="L316" s="159"/>
      <c r="P316" s="149"/>
    </row>
    <row r="317" spans="1:16" x14ac:dyDescent="0.25">
      <c r="L317" s="159"/>
      <c r="P317" s="149"/>
    </row>
  </sheetData>
  <conditionalFormatting sqref="J6:K305">
    <cfRule type="cellIs" dxfId="2" priority="1" operator="lessThanOrEqual">
      <formula>0</formula>
    </cfRule>
  </conditionalFormatting>
  <hyperlinks>
    <hyperlink ref="C2" r:id="rId1" xr:uid="{543DC65E-0AAF-4A4D-BF34-70D8A36778BC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6118-7608-4CC9-9D16-B9BF6C6DF312}">
  <sheetPr>
    <tabColor rgb="FF92D050"/>
  </sheetPr>
  <dimension ref="A1:AL317"/>
  <sheetViews>
    <sheetView workbookViewId="0">
      <selection activeCell="C6" sqref="C6:C19"/>
    </sheetView>
  </sheetViews>
  <sheetFormatPr defaultColWidth="8.875" defaultRowHeight="14.3" x14ac:dyDescent="0.25"/>
  <cols>
    <col min="1" max="1" width="8" style="264" customWidth="1"/>
    <col min="2" max="2" width="8.25" style="264" customWidth="1"/>
    <col min="3" max="3" width="34.75" style="264" customWidth="1"/>
    <col min="4" max="4" width="11.25" style="264" customWidth="1"/>
    <col min="5" max="6" width="8.875" style="264"/>
    <col min="7" max="7" width="0.875" style="264" customWidth="1"/>
    <col min="8" max="8" width="8.875" style="267"/>
    <col min="9" max="9" width="11" style="267" customWidth="1"/>
    <col min="10" max="10" width="15.25" style="267" customWidth="1"/>
    <col min="11" max="11" width="8.75" style="267" customWidth="1"/>
    <col min="12" max="12" width="11" style="267" customWidth="1"/>
    <col min="13" max="13" width="12.25" style="268" customWidth="1"/>
    <col min="14" max="15" width="13.875" style="234" customWidth="1"/>
    <col min="16" max="18" width="8.875" style="234"/>
    <col min="19" max="20" width="8.875" style="239"/>
    <col min="21" max="21" width="12.125" style="239" customWidth="1"/>
    <col min="22" max="22" width="27.375" style="239" customWidth="1"/>
    <col min="23" max="38" width="8.875" style="239"/>
    <col min="39" max="16384" width="8.875" style="264"/>
  </cols>
  <sheetData>
    <row r="1" spans="1:36" x14ac:dyDescent="0.25">
      <c r="A1" s="234"/>
      <c r="B1" s="234"/>
      <c r="C1" s="234"/>
      <c r="D1" s="234"/>
      <c r="E1" s="234"/>
      <c r="F1" s="234"/>
      <c r="G1" s="234"/>
      <c r="H1" s="235" t="s">
        <v>25</v>
      </c>
      <c r="I1" s="236" t="s">
        <v>26</v>
      </c>
      <c r="J1" s="236" t="s">
        <v>27</v>
      </c>
      <c r="K1" s="237" t="s">
        <v>28</v>
      </c>
      <c r="L1" s="238"/>
      <c r="M1" s="238"/>
    </row>
    <row r="2" spans="1:36" x14ac:dyDescent="0.25">
      <c r="A2" s="234"/>
      <c r="B2" s="19" t="s">
        <v>29</v>
      </c>
      <c r="C2" s="174" t="s">
        <v>138</v>
      </c>
      <c r="D2" s="185"/>
      <c r="E2" s="20"/>
      <c r="F2" s="20"/>
      <c r="G2" s="20"/>
      <c r="H2" s="240">
        <v>0</v>
      </c>
      <c r="I2" s="241">
        <v>50</v>
      </c>
      <c r="J2" s="241">
        <v>10</v>
      </c>
      <c r="K2" s="242">
        <f>3*H2^(1/3)</f>
        <v>0</v>
      </c>
      <c r="L2" s="238"/>
      <c r="M2" s="238"/>
    </row>
    <row r="3" spans="1:36" x14ac:dyDescent="0.25">
      <c r="A3" s="234"/>
      <c r="B3" s="243" t="s">
        <v>31</v>
      </c>
      <c r="C3" s="186" t="s">
        <v>139</v>
      </c>
      <c r="D3" s="186"/>
      <c r="E3" s="25"/>
      <c r="F3" s="25"/>
      <c r="G3" s="25"/>
      <c r="H3" s="238"/>
      <c r="I3" s="238"/>
      <c r="J3" s="244"/>
      <c r="K3" s="238"/>
      <c r="L3" s="238"/>
      <c r="M3" s="238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238"/>
      <c r="I4" s="238"/>
      <c r="J4" s="244"/>
      <c r="K4" s="238"/>
      <c r="L4" s="238"/>
      <c r="M4" s="238"/>
    </row>
    <row r="5" spans="1:36" ht="34.65" x14ac:dyDescent="0.25">
      <c r="A5" s="1" t="s">
        <v>33</v>
      </c>
      <c r="B5" s="28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7"/>
      <c r="H5" s="245" t="s">
        <v>39</v>
      </c>
      <c r="I5" s="246" t="s">
        <v>40</v>
      </c>
      <c r="J5" s="247" t="s">
        <v>41</v>
      </c>
      <c r="K5" s="246" t="s">
        <v>42</v>
      </c>
      <c r="L5" s="246" t="s">
        <v>43</v>
      </c>
      <c r="M5" s="245" t="s">
        <v>44</v>
      </c>
    </row>
    <row r="6" spans="1:36" ht="14.45" customHeight="1" x14ac:dyDescent="0.25">
      <c r="A6" s="76">
        <f>M6</f>
        <v>0</v>
      </c>
      <c r="B6" s="33" t="str">
        <f t="shared" ref="B6:B69" si="0">IF(H6&gt;$H$2,"",(ROW()-5))</f>
        <v/>
      </c>
      <c r="C6" s="34"/>
      <c r="D6" s="34"/>
      <c r="E6" s="34"/>
      <c r="F6" s="34"/>
      <c r="G6" s="27"/>
      <c r="H6" s="248">
        <v>1</v>
      </c>
      <c r="I6" s="249" t="str">
        <f t="shared" ref="I6:I69" si="1">IF(H6&lt;$H$2+1,($I$2-($I$2-1)*(LOG(H6)/LOG($H$2))),"")</f>
        <v/>
      </c>
      <c r="J6" s="248" t="e">
        <f>INT(LOG($H$2,2))-ROUNDUP(LOG(H6,2),0)+IF(OR($H$2=1,$H$2=2,$H$2=4,$H$2=8,$H$2=16,$H$2=32,$H$2=64,$H$2=128,$H$2=256),0,1)</f>
        <v>#NUM!</v>
      </c>
      <c r="K6" s="248" t="e">
        <f t="shared" ref="K6:K69" si="2">J6*$J$2</f>
        <v>#NUM!</v>
      </c>
      <c r="L6" s="250">
        <f>3*K2</f>
        <v>0</v>
      </c>
      <c r="M6" s="250">
        <f t="shared" ref="M6:M69" si="3">IF(I6&lt;&gt;"",K6+I6+L6,0)</f>
        <v>0</v>
      </c>
    </row>
    <row r="7" spans="1:36" ht="14.45" customHeight="1" x14ac:dyDescent="0.25">
      <c r="A7" s="77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251">
        <v>2</v>
      </c>
      <c r="I7" s="252" t="str">
        <f t="shared" si="1"/>
        <v/>
      </c>
      <c r="J7" s="251" t="e">
        <f t="shared" ref="J7:J70" si="5">INT(LOG($H$2,2))-ROUNDUP(LOG(H7,2),0)+IF(OR($H$2=1,$H$2=2,$H$2=4,$H$2=8,$H$2=16,$H$2=32,$H$2=64,$H$2=128,$H$2=256),0,1)</f>
        <v>#NUM!</v>
      </c>
      <c r="K7" s="251" t="e">
        <f t="shared" si="2"/>
        <v>#NUM!</v>
      </c>
      <c r="L7" s="253">
        <f>2*K2</f>
        <v>0</v>
      </c>
      <c r="M7" s="253">
        <f t="shared" si="3"/>
        <v>0</v>
      </c>
    </row>
    <row r="8" spans="1:36" ht="14.45" customHeight="1" x14ac:dyDescent="0.25">
      <c r="A8" s="76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248">
        <v>3</v>
      </c>
      <c r="I8" s="249" t="str">
        <f t="shared" si="1"/>
        <v/>
      </c>
      <c r="J8" s="248" t="e">
        <f t="shared" si="5"/>
        <v>#NUM!</v>
      </c>
      <c r="K8" s="248" t="e">
        <f t="shared" si="2"/>
        <v>#NUM!</v>
      </c>
      <c r="L8" s="250">
        <f>K2</f>
        <v>0</v>
      </c>
      <c r="M8" s="250">
        <f t="shared" si="3"/>
        <v>0</v>
      </c>
    </row>
    <row r="9" spans="1:36" s="239" customFormat="1" ht="14.45" customHeight="1" x14ac:dyDescent="0.25">
      <c r="A9" s="77">
        <f t="shared" si="4"/>
        <v>0</v>
      </c>
      <c r="B9" s="39" t="str">
        <f t="shared" si="0"/>
        <v/>
      </c>
      <c r="C9" s="40"/>
      <c r="D9" s="40"/>
      <c r="E9" s="40"/>
      <c r="F9" s="40"/>
      <c r="G9" s="27"/>
      <c r="H9" s="251">
        <v>3</v>
      </c>
      <c r="I9" s="252" t="str">
        <f t="shared" si="1"/>
        <v/>
      </c>
      <c r="J9" s="251" t="e">
        <f t="shared" si="5"/>
        <v>#NUM!</v>
      </c>
      <c r="K9" s="251" t="e">
        <f t="shared" si="2"/>
        <v>#NUM!</v>
      </c>
      <c r="L9" s="253">
        <f>K2</f>
        <v>0</v>
      </c>
      <c r="M9" s="253">
        <f t="shared" si="3"/>
        <v>0</v>
      </c>
      <c r="N9" s="234"/>
      <c r="O9" s="234"/>
      <c r="P9" s="234"/>
      <c r="Q9" s="234"/>
      <c r="R9" s="234"/>
      <c r="V9" s="254"/>
      <c r="Z9" s="255"/>
      <c r="AA9" s="255"/>
      <c r="AG9" s="256"/>
      <c r="AH9" s="239" t="s">
        <v>50</v>
      </c>
      <c r="AI9" s="239">
        <v>23</v>
      </c>
    </row>
    <row r="10" spans="1:36" ht="14.45" customHeight="1" x14ac:dyDescent="0.25">
      <c r="A10" s="76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248">
        <v>5</v>
      </c>
      <c r="I10" s="249" t="str">
        <f t="shared" si="1"/>
        <v/>
      </c>
      <c r="J10" s="248" t="e">
        <f t="shared" si="5"/>
        <v>#NUM!</v>
      </c>
      <c r="K10" s="248" t="e">
        <f t="shared" si="2"/>
        <v>#NUM!</v>
      </c>
      <c r="L10" s="248"/>
      <c r="M10" s="250">
        <f t="shared" si="3"/>
        <v>0</v>
      </c>
      <c r="V10" s="254"/>
      <c r="Z10" s="255"/>
      <c r="AA10" s="255"/>
      <c r="AG10" s="256"/>
      <c r="AH10" s="239" t="s">
        <v>52</v>
      </c>
      <c r="AI10" s="239">
        <v>45</v>
      </c>
    </row>
    <row r="11" spans="1:36" ht="14.45" customHeight="1" x14ac:dyDescent="0.25">
      <c r="A11" s="77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251">
        <v>6</v>
      </c>
      <c r="I11" s="252" t="str">
        <f t="shared" si="1"/>
        <v/>
      </c>
      <c r="J11" s="251" t="e">
        <f t="shared" si="5"/>
        <v>#NUM!</v>
      </c>
      <c r="K11" s="251" t="e">
        <f t="shared" si="2"/>
        <v>#NUM!</v>
      </c>
      <c r="L11" s="251"/>
      <c r="M11" s="253">
        <f t="shared" si="3"/>
        <v>0</v>
      </c>
      <c r="V11" s="257"/>
      <c r="Z11" s="255"/>
      <c r="AA11" s="255"/>
      <c r="AG11" s="256"/>
      <c r="AH11" s="239" t="s">
        <v>53</v>
      </c>
      <c r="AI11" s="239">
        <v>50</v>
      </c>
    </row>
    <row r="12" spans="1:36" ht="14.45" customHeight="1" x14ac:dyDescent="0.25">
      <c r="A12" s="76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248">
        <v>7</v>
      </c>
      <c r="I12" s="249" t="str">
        <f t="shared" si="1"/>
        <v/>
      </c>
      <c r="J12" s="248" t="e">
        <f t="shared" si="5"/>
        <v>#NUM!</v>
      </c>
      <c r="K12" s="248" t="e">
        <f t="shared" si="2"/>
        <v>#NUM!</v>
      </c>
      <c r="L12" s="248"/>
      <c r="M12" s="250">
        <f t="shared" si="3"/>
        <v>0</v>
      </c>
      <c r="Z12" s="255"/>
      <c r="AA12" s="255"/>
      <c r="AG12" s="256"/>
      <c r="AH12" s="239" t="s">
        <v>54</v>
      </c>
      <c r="AI12" s="239">
        <f>AI11-1</f>
        <v>49</v>
      </c>
    </row>
    <row r="13" spans="1:36" ht="14.45" customHeight="1" x14ac:dyDescent="0.25">
      <c r="A13" s="77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251">
        <v>8</v>
      </c>
      <c r="I13" s="252" t="str">
        <f t="shared" si="1"/>
        <v/>
      </c>
      <c r="J13" s="251" t="e">
        <f t="shared" si="5"/>
        <v>#NUM!</v>
      </c>
      <c r="K13" s="251" t="e">
        <f t="shared" si="2"/>
        <v>#NUM!</v>
      </c>
      <c r="L13" s="251"/>
      <c r="M13" s="253">
        <f t="shared" si="3"/>
        <v>0</v>
      </c>
      <c r="X13" s="254"/>
      <c r="AG13" s="256"/>
      <c r="AH13" s="239" t="s">
        <v>55</v>
      </c>
      <c r="AI13" s="239">
        <f>LOG(AI9)</f>
        <v>1.3617278360175928</v>
      </c>
    </row>
    <row r="14" spans="1:36" x14ac:dyDescent="0.25">
      <c r="A14" s="76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248">
        <v>9</v>
      </c>
      <c r="I14" s="249" t="str">
        <f t="shared" si="1"/>
        <v/>
      </c>
      <c r="J14" s="248" t="e">
        <f t="shared" si="5"/>
        <v>#NUM!</v>
      </c>
      <c r="K14" s="248" t="e">
        <f t="shared" si="2"/>
        <v>#NUM!</v>
      </c>
      <c r="L14" s="248"/>
      <c r="M14" s="250">
        <f t="shared" si="3"/>
        <v>0</v>
      </c>
      <c r="X14" s="258"/>
      <c r="Z14" s="255"/>
      <c r="AA14" s="255"/>
      <c r="AG14" s="256"/>
      <c r="AH14" s="239" t="s">
        <v>56</v>
      </c>
      <c r="AI14" s="239">
        <f>LOG(AI10)</f>
        <v>1.6532125137753437</v>
      </c>
    </row>
    <row r="15" spans="1:36" x14ac:dyDescent="0.25">
      <c r="A15" s="77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251">
        <v>10</v>
      </c>
      <c r="I15" s="252" t="str">
        <f t="shared" si="1"/>
        <v/>
      </c>
      <c r="J15" s="251" t="e">
        <f t="shared" si="5"/>
        <v>#NUM!</v>
      </c>
      <c r="K15" s="251" t="e">
        <f t="shared" si="2"/>
        <v>#NUM!</v>
      </c>
      <c r="L15" s="251"/>
      <c r="M15" s="253">
        <f t="shared" si="3"/>
        <v>0</v>
      </c>
      <c r="X15" s="254"/>
      <c r="Z15" s="255"/>
      <c r="AA15" s="255"/>
    </row>
    <row r="16" spans="1:36" x14ac:dyDescent="0.25">
      <c r="A16" s="76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248">
        <v>11</v>
      </c>
      <c r="I16" s="249" t="str">
        <f t="shared" si="1"/>
        <v/>
      </c>
      <c r="J16" s="248" t="e">
        <f t="shared" si="5"/>
        <v>#NUM!</v>
      </c>
      <c r="K16" s="248" t="e">
        <f t="shared" si="2"/>
        <v>#NUM!</v>
      </c>
      <c r="L16" s="248"/>
      <c r="M16" s="250">
        <f t="shared" si="3"/>
        <v>0</v>
      </c>
      <c r="R16" s="259"/>
      <c r="Z16" s="255"/>
      <c r="AA16" s="255"/>
      <c r="AH16" s="260" t="s">
        <v>57</v>
      </c>
      <c r="AI16" s="239">
        <f>AI11-AI12*AI13/AI14</f>
        <v>9.6393909380186855</v>
      </c>
      <c r="AJ16" s="239" t="s">
        <v>58</v>
      </c>
    </row>
    <row r="17" spans="1:19" x14ac:dyDescent="0.25">
      <c r="A17" s="77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251">
        <v>12</v>
      </c>
      <c r="I17" s="252" t="str">
        <f t="shared" si="1"/>
        <v/>
      </c>
      <c r="J17" s="251" t="e">
        <f t="shared" si="5"/>
        <v>#NUM!</v>
      </c>
      <c r="K17" s="251" t="e">
        <f t="shared" si="2"/>
        <v>#NUM!</v>
      </c>
      <c r="L17" s="251"/>
      <c r="M17" s="253">
        <f t="shared" si="3"/>
        <v>0</v>
      </c>
    </row>
    <row r="18" spans="1:19" x14ac:dyDescent="0.25">
      <c r="A18" s="76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248">
        <v>13</v>
      </c>
      <c r="I18" s="249" t="str">
        <f t="shared" si="1"/>
        <v/>
      </c>
      <c r="J18" s="248" t="e">
        <f t="shared" si="5"/>
        <v>#NUM!</v>
      </c>
      <c r="K18" s="248" t="e">
        <f t="shared" si="2"/>
        <v>#NUM!</v>
      </c>
      <c r="L18" s="248"/>
      <c r="M18" s="250">
        <f t="shared" si="3"/>
        <v>0</v>
      </c>
    </row>
    <row r="19" spans="1:19" x14ac:dyDescent="0.25">
      <c r="A19" s="77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251">
        <v>14</v>
      </c>
      <c r="I19" s="252" t="str">
        <f t="shared" si="1"/>
        <v/>
      </c>
      <c r="J19" s="251" t="e">
        <f t="shared" si="5"/>
        <v>#NUM!</v>
      </c>
      <c r="K19" s="251" t="e">
        <f t="shared" si="2"/>
        <v>#NUM!</v>
      </c>
      <c r="L19" s="251"/>
      <c r="M19" s="253">
        <f t="shared" si="3"/>
        <v>0</v>
      </c>
    </row>
    <row r="20" spans="1:19" x14ac:dyDescent="0.25">
      <c r="A20" s="76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248">
        <v>15</v>
      </c>
      <c r="I20" s="249" t="str">
        <f t="shared" si="1"/>
        <v/>
      </c>
      <c r="J20" s="248" t="e">
        <f t="shared" si="5"/>
        <v>#NUM!</v>
      </c>
      <c r="K20" s="248" t="e">
        <f t="shared" si="2"/>
        <v>#NUM!</v>
      </c>
      <c r="L20" s="248"/>
      <c r="M20" s="250">
        <f t="shared" si="3"/>
        <v>0</v>
      </c>
      <c r="R20" s="261"/>
      <c r="S20" s="262"/>
    </row>
    <row r="21" spans="1:19" x14ac:dyDescent="0.25">
      <c r="A21" s="77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251">
        <v>16</v>
      </c>
      <c r="I21" s="252" t="str">
        <f t="shared" si="1"/>
        <v/>
      </c>
      <c r="J21" s="251" t="e">
        <f t="shared" si="5"/>
        <v>#NUM!</v>
      </c>
      <c r="K21" s="251" t="e">
        <f t="shared" si="2"/>
        <v>#NUM!</v>
      </c>
      <c r="L21" s="251"/>
      <c r="M21" s="253">
        <f t="shared" si="3"/>
        <v>0</v>
      </c>
    </row>
    <row r="22" spans="1:19" x14ac:dyDescent="0.25">
      <c r="A22" s="76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248">
        <v>17</v>
      </c>
      <c r="I22" s="249" t="str">
        <f t="shared" si="1"/>
        <v/>
      </c>
      <c r="J22" s="248" t="e">
        <f t="shared" si="5"/>
        <v>#NUM!</v>
      </c>
      <c r="K22" s="248" t="e">
        <f t="shared" si="2"/>
        <v>#NUM!</v>
      </c>
      <c r="L22" s="248"/>
      <c r="M22" s="250">
        <f t="shared" si="3"/>
        <v>0</v>
      </c>
    </row>
    <row r="23" spans="1:19" x14ac:dyDescent="0.25">
      <c r="A23" s="77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251">
        <v>18</v>
      </c>
      <c r="I23" s="252" t="str">
        <f t="shared" si="1"/>
        <v/>
      </c>
      <c r="J23" s="251" t="e">
        <f t="shared" si="5"/>
        <v>#NUM!</v>
      </c>
      <c r="K23" s="251" t="e">
        <f t="shared" si="2"/>
        <v>#NUM!</v>
      </c>
      <c r="L23" s="251"/>
      <c r="M23" s="253">
        <f t="shared" si="3"/>
        <v>0</v>
      </c>
    </row>
    <row r="24" spans="1:19" x14ac:dyDescent="0.25">
      <c r="A24" s="76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248">
        <v>19</v>
      </c>
      <c r="I24" s="249" t="str">
        <f t="shared" si="1"/>
        <v/>
      </c>
      <c r="J24" s="248" t="e">
        <f t="shared" si="5"/>
        <v>#NUM!</v>
      </c>
      <c r="K24" s="248" t="e">
        <f t="shared" si="2"/>
        <v>#NUM!</v>
      </c>
      <c r="L24" s="248"/>
      <c r="M24" s="250">
        <f t="shared" si="3"/>
        <v>0</v>
      </c>
      <c r="R24" s="261"/>
      <c r="S24" s="262"/>
    </row>
    <row r="25" spans="1:19" x14ac:dyDescent="0.25">
      <c r="A25" s="77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251">
        <v>20</v>
      </c>
      <c r="I25" s="252" t="str">
        <f t="shared" si="1"/>
        <v/>
      </c>
      <c r="J25" s="251" t="e">
        <f t="shared" si="5"/>
        <v>#NUM!</v>
      </c>
      <c r="K25" s="251" t="e">
        <f t="shared" si="2"/>
        <v>#NUM!</v>
      </c>
      <c r="L25" s="251"/>
      <c r="M25" s="253">
        <f t="shared" si="3"/>
        <v>0</v>
      </c>
    </row>
    <row r="26" spans="1:19" x14ac:dyDescent="0.25">
      <c r="A26" s="76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248">
        <v>21</v>
      </c>
      <c r="I26" s="249" t="str">
        <f t="shared" si="1"/>
        <v/>
      </c>
      <c r="J26" s="248" t="e">
        <f t="shared" si="5"/>
        <v>#NUM!</v>
      </c>
      <c r="K26" s="248" t="e">
        <f t="shared" si="2"/>
        <v>#NUM!</v>
      </c>
      <c r="L26" s="248"/>
      <c r="M26" s="250">
        <f t="shared" si="3"/>
        <v>0</v>
      </c>
    </row>
    <row r="27" spans="1:19" x14ac:dyDescent="0.25">
      <c r="A27" s="77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251">
        <v>22</v>
      </c>
      <c r="I27" s="252" t="str">
        <f t="shared" si="1"/>
        <v/>
      </c>
      <c r="J27" s="251" t="e">
        <f t="shared" si="5"/>
        <v>#NUM!</v>
      </c>
      <c r="K27" s="251" t="e">
        <f t="shared" si="2"/>
        <v>#NUM!</v>
      </c>
      <c r="L27" s="251"/>
      <c r="M27" s="253">
        <f t="shared" si="3"/>
        <v>0</v>
      </c>
    </row>
    <row r="28" spans="1:19" x14ac:dyDescent="0.25">
      <c r="A28" s="76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248">
        <v>23</v>
      </c>
      <c r="I28" s="249" t="str">
        <f t="shared" si="1"/>
        <v/>
      </c>
      <c r="J28" s="248" t="e">
        <f t="shared" si="5"/>
        <v>#NUM!</v>
      </c>
      <c r="K28" s="248" t="e">
        <f t="shared" si="2"/>
        <v>#NUM!</v>
      </c>
      <c r="L28" s="248"/>
      <c r="M28" s="250">
        <f t="shared" si="3"/>
        <v>0</v>
      </c>
      <c r="R28" s="261"/>
      <c r="S28" s="262"/>
    </row>
    <row r="29" spans="1:19" x14ac:dyDescent="0.25">
      <c r="A29" s="77">
        <f t="shared" si="4"/>
        <v>0</v>
      </c>
      <c r="B29" s="39" t="str">
        <f t="shared" si="0"/>
        <v/>
      </c>
      <c r="C29" s="40"/>
      <c r="D29" s="40"/>
      <c r="E29" s="40"/>
      <c r="F29" s="40"/>
      <c r="G29" s="234"/>
      <c r="H29" s="251">
        <v>24</v>
      </c>
      <c r="I29" s="252" t="str">
        <f t="shared" si="1"/>
        <v/>
      </c>
      <c r="J29" s="251" t="e">
        <f t="shared" si="5"/>
        <v>#NUM!</v>
      </c>
      <c r="K29" s="251" t="e">
        <f t="shared" si="2"/>
        <v>#NUM!</v>
      </c>
      <c r="L29" s="251"/>
      <c r="M29" s="253">
        <f t="shared" si="3"/>
        <v>0</v>
      </c>
    </row>
    <row r="30" spans="1:19" x14ac:dyDescent="0.25">
      <c r="A30" s="76">
        <f t="shared" si="4"/>
        <v>0</v>
      </c>
      <c r="B30" s="33" t="str">
        <f t="shared" si="0"/>
        <v/>
      </c>
      <c r="C30" s="34"/>
      <c r="D30" s="34"/>
      <c r="E30" s="34"/>
      <c r="F30" s="34"/>
      <c r="G30" s="234"/>
      <c r="H30" s="248">
        <v>25</v>
      </c>
      <c r="I30" s="249" t="str">
        <f t="shared" si="1"/>
        <v/>
      </c>
      <c r="J30" s="248" t="e">
        <f t="shared" si="5"/>
        <v>#NUM!</v>
      </c>
      <c r="K30" s="248" t="e">
        <f t="shared" si="2"/>
        <v>#NUM!</v>
      </c>
      <c r="L30" s="248"/>
      <c r="M30" s="250">
        <f t="shared" si="3"/>
        <v>0</v>
      </c>
    </row>
    <row r="31" spans="1:19" x14ac:dyDescent="0.25">
      <c r="A31" s="77">
        <f t="shared" si="4"/>
        <v>0</v>
      </c>
      <c r="B31" s="39" t="str">
        <f t="shared" si="0"/>
        <v/>
      </c>
      <c r="C31" s="40"/>
      <c r="D31" s="40"/>
      <c r="E31" s="40"/>
      <c r="F31" s="40"/>
      <c r="G31" s="234"/>
      <c r="H31" s="251">
        <v>26</v>
      </c>
      <c r="I31" s="252" t="str">
        <f t="shared" si="1"/>
        <v/>
      </c>
      <c r="J31" s="251" t="e">
        <f t="shared" si="5"/>
        <v>#NUM!</v>
      </c>
      <c r="K31" s="251" t="e">
        <f t="shared" si="2"/>
        <v>#NUM!</v>
      </c>
      <c r="L31" s="251"/>
      <c r="M31" s="253">
        <f t="shared" si="3"/>
        <v>0</v>
      </c>
    </row>
    <row r="32" spans="1:19" x14ac:dyDescent="0.25">
      <c r="A32" s="76">
        <f t="shared" si="4"/>
        <v>0</v>
      </c>
      <c r="B32" s="33" t="str">
        <f t="shared" si="0"/>
        <v/>
      </c>
      <c r="C32" s="34"/>
      <c r="D32" s="34"/>
      <c r="E32" s="34"/>
      <c r="F32" s="34"/>
      <c r="G32" s="234"/>
      <c r="H32" s="248">
        <v>27</v>
      </c>
      <c r="I32" s="249" t="str">
        <f t="shared" si="1"/>
        <v/>
      </c>
      <c r="J32" s="248" t="e">
        <f t="shared" si="5"/>
        <v>#NUM!</v>
      </c>
      <c r="K32" s="248" t="e">
        <f t="shared" si="2"/>
        <v>#NUM!</v>
      </c>
      <c r="L32" s="248"/>
      <c r="M32" s="250">
        <f t="shared" si="3"/>
        <v>0</v>
      </c>
      <c r="R32" s="261"/>
      <c r="S32" s="262"/>
    </row>
    <row r="33" spans="1:19" x14ac:dyDescent="0.25">
      <c r="A33" s="77">
        <f t="shared" si="4"/>
        <v>0</v>
      </c>
      <c r="B33" s="39" t="str">
        <f t="shared" si="0"/>
        <v/>
      </c>
      <c r="C33" s="40"/>
      <c r="D33" s="40"/>
      <c r="E33" s="40"/>
      <c r="F33" s="40"/>
      <c r="G33" s="234"/>
      <c r="H33" s="251">
        <v>28</v>
      </c>
      <c r="I33" s="252" t="str">
        <f t="shared" si="1"/>
        <v/>
      </c>
      <c r="J33" s="251" t="e">
        <f t="shared" si="5"/>
        <v>#NUM!</v>
      </c>
      <c r="K33" s="251" t="e">
        <f t="shared" si="2"/>
        <v>#NUM!</v>
      </c>
      <c r="L33" s="251"/>
      <c r="M33" s="253">
        <f t="shared" si="3"/>
        <v>0</v>
      </c>
    </row>
    <row r="34" spans="1:19" x14ac:dyDescent="0.25">
      <c r="A34" s="76">
        <f t="shared" si="4"/>
        <v>0</v>
      </c>
      <c r="B34" s="33" t="str">
        <f t="shared" si="0"/>
        <v/>
      </c>
      <c r="C34" s="34"/>
      <c r="D34" s="34"/>
      <c r="E34" s="34"/>
      <c r="F34" s="34"/>
      <c r="G34" s="234"/>
      <c r="H34" s="248">
        <v>29</v>
      </c>
      <c r="I34" s="249" t="str">
        <f t="shared" si="1"/>
        <v/>
      </c>
      <c r="J34" s="248" t="e">
        <f t="shared" si="5"/>
        <v>#NUM!</v>
      </c>
      <c r="K34" s="248" t="e">
        <f t="shared" si="2"/>
        <v>#NUM!</v>
      </c>
      <c r="L34" s="248"/>
      <c r="M34" s="250">
        <f t="shared" si="3"/>
        <v>0</v>
      </c>
    </row>
    <row r="35" spans="1:19" x14ac:dyDescent="0.25">
      <c r="A35" s="77">
        <f t="shared" si="4"/>
        <v>0</v>
      </c>
      <c r="B35" s="39" t="str">
        <f t="shared" si="0"/>
        <v/>
      </c>
      <c r="C35" s="40"/>
      <c r="D35" s="40"/>
      <c r="E35" s="40"/>
      <c r="F35" s="40"/>
      <c r="G35" s="234"/>
      <c r="H35" s="251">
        <v>30</v>
      </c>
      <c r="I35" s="252" t="str">
        <f t="shared" si="1"/>
        <v/>
      </c>
      <c r="J35" s="251" t="e">
        <f t="shared" si="5"/>
        <v>#NUM!</v>
      </c>
      <c r="K35" s="251" t="e">
        <f t="shared" si="2"/>
        <v>#NUM!</v>
      </c>
      <c r="L35" s="251"/>
      <c r="M35" s="253">
        <f t="shared" si="3"/>
        <v>0</v>
      </c>
    </row>
    <row r="36" spans="1:19" x14ac:dyDescent="0.25">
      <c r="A36" s="76">
        <f t="shared" si="4"/>
        <v>0</v>
      </c>
      <c r="B36" s="33" t="str">
        <f t="shared" si="0"/>
        <v/>
      </c>
      <c r="C36" s="34"/>
      <c r="D36" s="34"/>
      <c r="E36" s="34"/>
      <c r="F36" s="34"/>
      <c r="G36" s="234"/>
      <c r="H36" s="248">
        <v>31</v>
      </c>
      <c r="I36" s="249" t="str">
        <f t="shared" si="1"/>
        <v/>
      </c>
      <c r="J36" s="248" t="e">
        <f t="shared" si="5"/>
        <v>#NUM!</v>
      </c>
      <c r="K36" s="248" t="e">
        <f t="shared" si="2"/>
        <v>#NUM!</v>
      </c>
      <c r="L36" s="248"/>
      <c r="M36" s="250">
        <f t="shared" si="3"/>
        <v>0</v>
      </c>
      <c r="R36" s="261"/>
      <c r="S36" s="262"/>
    </row>
    <row r="37" spans="1:19" x14ac:dyDescent="0.25">
      <c r="A37" s="77">
        <f t="shared" si="4"/>
        <v>0</v>
      </c>
      <c r="B37" s="39" t="str">
        <f t="shared" si="0"/>
        <v/>
      </c>
      <c r="C37" s="40"/>
      <c r="D37" s="40"/>
      <c r="E37" s="40"/>
      <c r="F37" s="40"/>
      <c r="G37" s="234"/>
      <c r="H37" s="251">
        <v>32</v>
      </c>
      <c r="I37" s="252" t="str">
        <f t="shared" si="1"/>
        <v/>
      </c>
      <c r="J37" s="251" t="e">
        <f t="shared" si="5"/>
        <v>#NUM!</v>
      </c>
      <c r="K37" s="251" t="e">
        <f t="shared" si="2"/>
        <v>#NUM!</v>
      </c>
      <c r="L37" s="251"/>
      <c r="M37" s="253">
        <f t="shared" si="3"/>
        <v>0</v>
      </c>
    </row>
    <row r="38" spans="1:19" x14ac:dyDescent="0.25">
      <c r="A38" s="76">
        <f t="shared" si="4"/>
        <v>0</v>
      </c>
      <c r="B38" s="33" t="str">
        <f t="shared" si="0"/>
        <v/>
      </c>
      <c r="C38" s="34"/>
      <c r="D38" s="34"/>
      <c r="E38" s="34"/>
      <c r="F38" s="34"/>
      <c r="G38" s="234"/>
      <c r="H38" s="248">
        <v>33</v>
      </c>
      <c r="I38" s="249" t="str">
        <f t="shared" si="1"/>
        <v/>
      </c>
      <c r="J38" s="248" t="e">
        <f t="shared" si="5"/>
        <v>#NUM!</v>
      </c>
      <c r="K38" s="248" t="e">
        <f t="shared" si="2"/>
        <v>#NUM!</v>
      </c>
      <c r="L38" s="248"/>
      <c r="M38" s="250">
        <f t="shared" si="3"/>
        <v>0</v>
      </c>
    </row>
    <row r="39" spans="1:19" x14ac:dyDescent="0.25">
      <c r="A39" s="77">
        <f t="shared" si="4"/>
        <v>0</v>
      </c>
      <c r="B39" s="39" t="str">
        <f t="shared" si="0"/>
        <v/>
      </c>
      <c r="C39" s="40"/>
      <c r="D39" s="40"/>
      <c r="E39" s="40"/>
      <c r="F39" s="40"/>
      <c r="G39" s="234"/>
      <c r="H39" s="251">
        <v>34</v>
      </c>
      <c r="I39" s="252" t="str">
        <f t="shared" si="1"/>
        <v/>
      </c>
      <c r="J39" s="251" t="e">
        <f t="shared" si="5"/>
        <v>#NUM!</v>
      </c>
      <c r="K39" s="251" t="e">
        <f t="shared" si="2"/>
        <v>#NUM!</v>
      </c>
      <c r="L39" s="251"/>
      <c r="M39" s="253">
        <f t="shared" si="3"/>
        <v>0</v>
      </c>
    </row>
    <row r="40" spans="1:19" x14ac:dyDescent="0.25">
      <c r="A40" s="76">
        <f t="shared" si="4"/>
        <v>0</v>
      </c>
      <c r="B40" s="33" t="str">
        <f t="shared" si="0"/>
        <v/>
      </c>
      <c r="C40" s="34"/>
      <c r="D40" s="34"/>
      <c r="E40" s="34"/>
      <c r="F40" s="34"/>
      <c r="G40" s="234"/>
      <c r="H40" s="248">
        <v>35</v>
      </c>
      <c r="I40" s="249" t="str">
        <f t="shared" si="1"/>
        <v/>
      </c>
      <c r="J40" s="248" t="e">
        <f t="shared" si="5"/>
        <v>#NUM!</v>
      </c>
      <c r="K40" s="248" t="e">
        <f t="shared" si="2"/>
        <v>#NUM!</v>
      </c>
      <c r="L40" s="248"/>
      <c r="M40" s="250">
        <f t="shared" si="3"/>
        <v>0</v>
      </c>
    </row>
    <row r="41" spans="1:19" x14ac:dyDescent="0.25">
      <c r="A41" s="77">
        <f t="shared" si="4"/>
        <v>0</v>
      </c>
      <c r="B41" s="39" t="str">
        <f t="shared" si="0"/>
        <v/>
      </c>
      <c r="C41" s="40"/>
      <c r="D41" s="40"/>
      <c r="E41" s="40"/>
      <c r="F41" s="40"/>
      <c r="G41" s="234"/>
      <c r="H41" s="251">
        <v>36</v>
      </c>
      <c r="I41" s="252" t="str">
        <f t="shared" si="1"/>
        <v/>
      </c>
      <c r="J41" s="251" t="e">
        <f t="shared" si="5"/>
        <v>#NUM!</v>
      </c>
      <c r="K41" s="251" t="e">
        <f t="shared" si="2"/>
        <v>#NUM!</v>
      </c>
      <c r="L41" s="251"/>
      <c r="M41" s="253">
        <f t="shared" si="3"/>
        <v>0</v>
      </c>
      <c r="S41" s="263"/>
    </row>
    <row r="42" spans="1:19" x14ac:dyDescent="0.25">
      <c r="A42" s="76">
        <f t="shared" si="4"/>
        <v>0</v>
      </c>
      <c r="B42" s="33" t="str">
        <f t="shared" si="0"/>
        <v/>
      </c>
      <c r="C42" s="34"/>
      <c r="D42" s="34"/>
      <c r="E42" s="34"/>
      <c r="F42" s="34"/>
      <c r="G42" s="234"/>
      <c r="H42" s="248">
        <v>37</v>
      </c>
      <c r="I42" s="249" t="str">
        <f t="shared" si="1"/>
        <v/>
      </c>
      <c r="J42" s="248" t="e">
        <f t="shared" si="5"/>
        <v>#NUM!</v>
      </c>
      <c r="K42" s="248" t="e">
        <f t="shared" si="2"/>
        <v>#NUM!</v>
      </c>
      <c r="L42" s="248"/>
      <c r="M42" s="250">
        <f t="shared" si="3"/>
        <v>0</v>
      </c>
    </row>
    <row r="43" spans="1:19" x14ac:dyDescent="0.25">
      <c r="A43" s="77">
        <f t="shared" si="4"/>
        <v>0</v>
      </c>
      <c r="B43" s="39" t="str">
        <f t="shared" si="0"/>
        <v/>
      </c>
      <c r="C43" s="40"/>
      <c r="D43" s="40"/>
      <c r="E43" s="40"/>
      <c r="F43" s="40"/>
      <c r="G43" s="234"/>
      <c r="H43" s="251">
        <v>38</v>
      </c>
      <c r="I43" s="252" t="str">
        <f t="shared" si="1"/>
        <v/>
      </c>
      <c r="J43" s="251" t="e">
        <f t="shared" si="5"/>
        <v>#NUM!</v>
      </c>
      <c r="K43" s="251" t="e">
        <f t="shared" si="2"/>
        <v>#NUM!</v>
      </c>
      <c r="L43" s="251"/>
      <c r="M43" s="253">
        <f t="shared" si="3"/>
        <v>0</v>
      </c>
    </row>
    <row r="44" spans="1:19" x14ac:dyDescent="0.25">
      <c r="A44" s="76">
        <f t="shared" si="4"/>
        <v>0</v>
      </c>
      <c r="B44" s="33" t="str">
        <f t="shared" si="0"/>
        <v/>
      </c>
      <c r="C44" s="34"/>
      <c r="D44" s="34"/>
      <c r="E44" s="34"/>
      <c r="F44" s="34"/>
      <c r="G44" s="234"/>
      <c r="H44" s="248">
        <v>39</v>
      </c>
      <c r="I44" s="249" t="str">
        <f t="shared" si="1"/>
        <v/>
      </c>
      <c r="J44" s="248" t="e">
        <f t="shared" si="5"/>
        <v>#NUM!</v>
      </c>
      <c r="K44" s="248" t="e">
        <f t="shared" si="2"/>
        <v>#NUM!</v>
      </c>
      <c r="L44" s="248"/>
      <c r="M44" s="250">
        <f t="shared" si="3"/>
        <v>0</v>
      </c>
    </row>
    <row r="45" spans="1:19" x14ac:dyDescent="0.25">
      <c r="A45" s="77">
        <f t="shared" si="4"/>
        <v>0</v>
      </c>
      <c r="B45" s="39" t="str">
        <f t="shared" si="0"/>
        <v/>
      </c>
      <c r="C45" s="40"/>
      <c r="D45" s="40"/>
      <c r="E45" s="40"/>
      <c r="F45" s="40"/>
      <c r="G45" s="234"/>
      <c r="H45" s="251">
        <v>40</v>
      </c>
      <c r="I45" s="252" t="str">
        <f t="shared" si="1"/>
        <v/>
      </c>
      <c r="J45" s="251" t="e">
        <f t="shared" si="5"/>
        <v>#NUM!</v>
      </c>
      <c r="K45" s="251" t="e">
        <f t="shared" si="2"/>
        <v>#NUM!</v>
      </c>
      <c r="L45" s="251"/>
      <c r="M45" s="253">
        <f t="shared" si="3"/>
        <v>0</v>
      </c>
    </row>
    <row r="46" spans="1:19" x14ac:dyDescent="0.25">
      <c r="A46" s="76">
        <f t="shared" si="4"/>
        <v>0</v>
      </c>
      <c r="B46" s="33" t="str">
        <f t="shared" si="0"/>
        <v/>
      </c>
      <c r="C46" s="34"/>
      <c r="D46" s="34"/>
      <c r="E46" s="34"/>
      <c r="F46" s="34"/>
      <c r="G46" s="234"/>
      <c r="H46" s="248">
        <v>41</v>
      </c>
      <c r="I46" s="249" t="str">
        <f t="shared" si="1"/>
        <v/>
      </c>
      <c r="J46" s="248" t="e">
        <f t="shared" si="5"/>
        <v>#NUM!</v>
      </c>
      <c r="K46" s="248" t="e">
        <f t="shared" si="2"/>
        <v>#NUM!</v>
      </c>
      <c r="L46" s="248"/>
      <c r="M46" s="250">
        <f t="shared" si="3"/>
        <v>0</v>
      </c>
    </row>
    <row r="47" spans="1:19" x14ac:dyDescent="0.25">
      <c r="A47" s="77">
        <f t="shared" si="4"/>
        <v>0</v>
      </c>
      <c r="B47" s="39" t="str">
        <f t="shared" si="0"/>
        <v/>
      </c>
      <c r="C47" s="40"/>
      <c r="D47" s="40"/>
      <c r="E47" s="40"/>
      <c r="F47" s="40"/>
      <c r="G47" s="234"/>
      <c r="H47" s="251">
        <v>42</v>
      </c>
      <c r="I47" s="252" t="str">
        <f t="shared" si="1"/>
        <v/>
      </c>
      <c r="J47" s="251" t="e">
        <f t="shared" si="5"/>
        <v>#NUM!</v>
      </c>
      <c r="K47" s="251" t="e">
        <f t="shared" si="2"/>
        <v>#NUM!</v>
      </c>
      <c r="L47" s="251"/>
      <c r="M47" s="253">
        <f t="shared" si="3"/>
        <v>0</v>
      </c>
    </row>
    <row r="48" spans="1:19" x14ac:dyDescent="0.25">
      <c r="A48" s="76">
        <f t="shared" si="4"/>
        <v>0</v>
      </c>
      <c r="B48" s="33" t="str">
        <f t="shared" si="0"/>
        <v/>
      </c>
      <c r="C48" s="34"/>
      <c r="D48" s="34"/>
      <c r="E48" s="34"/>
      <c r="F48" s="34"/>
      <c r="G48" s="234"/>
      <c r="H48" s="248">
        <v>43</v>
      </c>
      <c r="I48" s="249" t="str">
        <f t="shared" si="1"/>
        <v/>
      </c>
      <c r="J48" s="248" t="e">
        <f t="shared" si="5"/>
        <v>#NUM!</v>
      </c>
      <c r="K48" s="248" t="e">
        <f t="shared" si="2"/>
        <v>#NUM!</v>
      </c>
      <c r="L48" s="248"/>
      <c r="M48" s="250">
        <f t="shared" si="3"/>
        <v>0</v>
      </c>
    </row>
    <row r="49" spans="1:38" x14ac:dyDescent="0.25">
      <c r="A49" s="77">
        <f t="shared" si="4"/>
        <v>0</v>
      </c>
      <c r="B49" s="39" t="str">
        <f t="shared" si="0"/>
        <v/>
      </c>
      <c r="C49" s="40"/>
      <c r="D49" s="40"/>
      <c r="E49" s="40"/>
      <c r="F49" s="40"/>
      <c r="G49" s="234"/>
      <c r="H49" s="251">
        <v>44</v>
      </c>
      <c r="I49" s="252" t="str">
        <f t="shared" si="1"/>
        <v/>
      </c>
      <c r="J49" s="251" t="e">
        <f t="shared" si="5"/>
        <v>#NUM!</v>
      </c>
      <c r="K49" s="251" t="e">
        <f t="shared" si="2"/>
        <v>#NUM!</v>
      </c>
      <c r="L49" s="251"/>
      <c r="M49" s="253">
        <f t="shared" si="3"/>
        <v>0</v>
      </c>
    </row>
    <row r="50" spans="1:38" x14ac:dyDescent="0.25">
      <c r="A50" s="76">
        <f t="shared" si="4"/>
        <v>0</v>
      </c>
      <c r="B50" s="33" t="str">
        <f t="shared" si="0"/>
        <v/>
      </c>
      <c r="C50" s="34"/>
      <c r="D50" s="34"/>
      <c r="E50" s="34"/>
      <c r="F50" s="34"/>
      <c r="G50" s="234"/>
      <c r="H50" s="248">
        <v>45</v>
      </c>
      <c r="I50" s="249" t="str">
        <f t="shared" si="1"/>
        <v/>
      </c>
      <c r="J50" s="248" t="e">
        <f t="shared" si="5"/>
        <v>#NUM!</v>
      </c>
      <c r="K50" s="248" t="e">
        <f t="shared" si="2"/>
        <v>#NUM!</v>
      </c>
      <c r="L50" s="248"/>
      <c r="M50" s="250">
        <f t="shared" si="3"/>
        <v>0</v>
      </c>
    </row>
    <row r="51" spans="1:38" x14ac:dyDescent="0.25">
      <c r="A51" s="77">
        <f t="shared" si="4"/>
        <v>0</v>
      </c>
      <c r="B51" s="39" t="str">
        <f t="shared" si="0"/>
        <v/>
      </c>
      <c r="C51" s="40"/>
      <c r="D51" s="40"/>
      <c r="E51" s="40"/>
      <c r="F51" s="40"/>
      <c r="G51" s="234"/>
      <c r="H51" s="251">
        <v>46</v>
      </c>
      <c r="I51" s="252" t="str">
        <f t="shared" si="1"/>
        <v/>
      </c>
      <c r="J51" s="251" t="e">
        <f t="shared" si="5"/>
        <v>#NUM!</v>
      </c>
      <c r="K51" s="251" t="e">
        <f t="shared" si="2"/>
        <v>#NUM!</v>
      </c>
      <c r="L51" s="251"/>
      <c r="M51" s="253">
        <f t="shared" si="3"/>
        <v>0</v>
      </c>
    </row>
    <row r="52" spans="1:38" x14ac:dyDescent="0.25">
      <c r="A52" s="76">
        <f t="shared" si="4"/>
        <v>0</v>
      </c>
      <c r="B52" s="33" t="str">
        <f t="shared" si="0"/>
        <v/>
      </c>
      <c r="C52" s="34"/>
      <c r="D52" s="34"/>
      <c r="E52" s="34"/>
      <c r="F52" s="34"/>
      <c r="G52" s="234"/>
      <c r="H52" s="248">
        <v>47</v>
      </c>
      <c r="I52" s="249" t="str">
        <f t="shared" si="1"/>
        <v/>
      </c>
      <c r="J52" s="248" t="e">
        <f t="shared" si="5"/>
        <v>#NUM!</v>
      </c>
      <c r="K52" s="248" t="e">
        <f t="shared" si="2"/>
        <v>#NUM!</v>
      </c>
      <c r="L52" s="248"/>
      <c r="M52" s="250">
        <f t="shared" si="3"/>
        <v>0</v>
      </c>
    </row>
    <row r="53" spans="1:38" x14ac:dyDescent="0.25">
      <c r="A53" s="77">
        <f t="shared" si="4"/>
        <v>0</v>
      </c>
      <c r="B53" s="39" t="str">
        <f t="shared" si="0"/>
        <v/>
      </c>
      <c r="C53" s="40"/>
      <c r="D53" s="40"/>
      <c r="E53" s="40"/>
      <c r="F53" s="40"/>
      <c r="G53" s="234"/>
      <c r="H53" s="251">
        <v>48</v>
      </c>
      <c r="I53" s="252" t="str">
        <f t="shared" si="1"/>
        <v/>
      </c>
      <c r="J53" s="251" t="e">
        <f t="shared" si="5"/>
        <v>#NUM!</v>
      </c>
      <c r="K53" s="251" t="e">
        <f t="shared" si="2"/>
        <v>#NUM!</v>
      </c>
      <c r="L53" s="251"/>
      <c r="M53" s="253">
        <f t="shared" si="3"/>
        <v>0</v>
      </c>
    </row>
    <row r="54" spans="1:38" x14ac:dyDescent="0.25">
      <c r="A54" s="76">
        <f t="shared" si="4"/>
        <v>0</v>
      </c>
      <c r="B54" s="33" t="str">
        <f t="shared" si="0"/>
        <v/>
      </c>
      <c r="C54" s="34"/>
      <c r="D54" s="34"/>
      <c r="E54" s="34"/>
      <c r="F54" s="34"/>
      <c r="G54" s="234"/>
      <c r="H54" s="248">
        <v>49</v>
      </c>
      <c r="I54" s="249" t="str">
        <f t="shared" si="1"/>
        <v/>
      </c>
      <c r="J54" s="248" t="e">
        <f t="shared" si="5"/>
        <v>#NUM!</v>
      </c>
      <c r="K54" s="248" t="e">
        <f t="shared" si="2"/>
        <v>#NUM!</v>
      </c>
      <c r="L54" s="248"/>
      <c r="M54" s="250">
        <f t="shared" si="3"/>
        <v>0</v>
      </c>
    </row>
    <row r="55" spans="1:38" x14ac:dyDescent="0.25">
      <c r="A55" s="77">
        <f t="shared" si="4"/>
        <v>0</v>
      </c>
      <c r="B55" s="39" t="str">
        <f t="shared" si="0"/>
        <v/>
      </c>
      <c r="C55" s="40"/>
      <c r="D55" s="40"/>
      <c r="E55" s="40"/>
      <c r="F55" s="40"/>
      <c r="G55" s="234"/>
      <c r="H55" s="251">
        <v>50</v>
      </c>
      <c r="I55" s="252" t="str">
        <f t="shared" si="1"/>
        <v/>
      </c>
      <c r="J55" s="251" t="e">
        <f t="shared" si="5"/>
        <v>#NUM!</v>
      </c>
      <c r="K55" s="251" t="e">
        <f t="shared" si="2"/>
        <v>#NUM!</v>
      </c>
      <c r="L55" s="251"/>
      <c r="M55" s="253">
        <f t="shared" si="3"/>
        <v>0</v>
      </c>
    </row>
    <row r="56" spans="1:38" x14ac:dyDescent="0.25">
      <c r="A56" s="76">
        <f t="shared" si="4"/>
        <v>0</v>
      </c>
      <c r="B56" s="33" t="str">
        <f t="shared" si="0"/>
        <v/>
      </c>
      <c r="C56" s="34"/>
      <c r="D56" s="34"/>
      <c r="E56" s="34"/>
      <c r="F56" s="34"/>
      <c r="G56" s="234"/>
      <c r="H56" s="248">
        <v>51</v>
      </c>
      <c r="I56" s="249" t="str">
        <f t="shared" si="1"/>
        <v/>
      </c>
      <c r="J56" s="248" t="e">
        <f t="shared" si="5"/>
        <v>#NUM!</v>
      </c>
      <c r="K56" s="248" t="e">
        <f t="shared" si="2"/>
        <v>#NUM!</v>
      </c>
      <c r="L56" s="248"/>
      <c r="M56" s="250">
        <f t="shared" si="3"/>
        <v>0</v>
      </c>
    </row>
    <row r="57" spans="1:38" s="234" customFormat="1" x14ac:dyDescent="0.25">
      <c r="A57" s="77">
        <f t="shared" si="4"/>
        <v>0</v>
      </c>
      <c r="B57" s="39" t="str">
        <f t="shared" si="0"/>
        <v/>
      </c>
      <c r="C57" s="40"/>
      <c r="D57" s="40"/>
      <c r="E57" s="40"/>
      <c r="F57" s="40"/>
      <c r="H57" s="251">
        <v>52</v>
      </c>
      <c r="I57" s="252" t="str">
        <f t="shared" si="1"/>
        <v/>
      </c>
      <c r="J57" s="251" t="e">
        <f t="shared" si="5"/>
        <v>#NUM!</v>
      </c>
      <c r="K57" s="251" t="e">
        <f t="shared" si="2"/>
        <v>#NUM!</v>
      </c>
      <c r="L57" s="251"/>
      <c r="M57" s="253">
        <f t="shared" si="3"/>
        <v>0</v>
      </c>
      <c r="S57" s="239"/>
      <c r="T57" s="239"/>
      <c r="U57" s="239"/>
      <c r="V57" s="239"/>
      <c r="W57" s="239"/>
      <c r="X57" s="239"/>
      <c r="Y57" s="239"/>
      <c r="Z57" s="239"/>
      <c r="AA57" s="239"/>
      <c r="AB57" s="239"/>
      <c r="AC57" s="239"/>
      <c r="AD57" s="239"/>
      <c r="AE57" s="239"/>
      <c r="AF57" s="239"/>
      <c r="AG57" s="239"/>
      <c r="AH57" s="239"/>
      <c r="AI57" s="239"/>
      <c r="AJ57" s="239"/>
      <c r="AK57" s="239"/>
      <c r="AL57" s="239"/>
    </row>
    <row r="58" spans="1:38" s="234" customFormat="1" x14ac:dyDescent="0.25">
      <c r="A58" s="76">
        <f t="shared" si="4"/>
        <v>0</v>
      </c>
      <c r="B58" s="33" t="str">
        <f t="shared" si="0"/>
        <v/>
      </c>
      <c r="C58" s="34"/>
      <c r="D58" s="34"/>
      <c r="E58" s="34"/>
      <c r="F58" s="34"/>
      <c r="H58" s="248">
        <v>53</v>
      </c>
      <c r="I58" s="249" t="str">
        <f t="shared" si="1"/>
        <v/>
      </c>
      <c r="J58" s="248" t="e">
        <f t="shared" si="5"/>
        <v>#NUM!</v>
      </c>
      <c r="K58" s="248" t="e">
        <f t="shared" si="2"/>
        <v>#NUM!</v>
      </c>
      <c r="L58" s="248"/>
      <c r="M58" s="250">
        <f t="shared" si="3"/>
        <v>0</v>
      </c>
      <c r="S58" s="239"/>
      <c r="T58" s="239"/>
      <c r="U58" s="239"/>
      <c r="V58" s="239"/>
      <c r="W58" s="239"/>
      <c r="X58" s="239"/>
      <c r="Y58" s="239"/>
      <c r="Z58" s="239"/>
      <c r="AA58" s="239"/>
      <c r="AB58" s="239"/>
      <c r="AC58" s="239"/>
      <c r="AD58" s="239"/>
      <c r="AE58" s="239"/>
      <c r="AF58" s="239"/>
      <c r="AG58" s="239"/>
      <c r="AH58" s="239"/>
      <c r="AI58" s="239"/>
      <c r="AJ58" s="239"/>
      <c r="AK58" s="239"/>
      <c r="AL58" s="239"/>
    </row>
    <row r="59" spans="1:38" s="234" customFormat="1" x14ac:dyDescent="0.25">
      <c r="A59" s="77">
        <f t="shared" si="4"/>
        <v>0</v>
      </c>
      <c r="B59" s="39" t="str">
        <f t="shared" si="0"/>
        <v/>
      </c>
      <c r="C59" s="40"/>
      <c r="D59" s="40"/>
      <c r="E59" s="40"/>
      <c r="F59" s="40"/>
      <c r="H59" s="251">
        <v>54</v>
      </c>
      <c r="I59" s="252" t="str">
        <f t="shared" si="1"/>
        <v/>
      </c>
      <c r="J59" s="251" t="e">
        <f t="shared" si="5"/>
        <v>#NUM!</v>
      </c>
      <c r="K59" s="251" t="e">
        <f t="shared" si="2"/>
        <v>#NUM!</v>
      </c>
      <c r="L59" s="251"/>
      <c r="M59" s="253">
        <f t="shared" si="3"/>
        <v>0</v>
      </c>
      <c r="S59" s="239"/>
      <c r="T59" s="239"/>
      <c r="U59" s="239"/>
      <c r="V59" s="239"/>
      <c r="W59" s="239"/>
      <c r="X59" s="239"/>
      <c r="Y59" s="239"/>
      <c r="Z59" s="239"/>
      <c r="AA59" s="239"/>
      <c r="AB59" s="239"/>
      <c r="AC59" s="239"/>
      <c r="AD59" s="239"/>
      <c r="AE59" s="239"/>
      <c r="AF59" s="239"/>
      <c r="AG59" s="239"/>
      <c r="AH59" s="239"/>
      <c r="AI59" s="239"/>
      <c r="AJ59" s="239"/>
      <c r="AK59" s="239"/>
      <c r="AL59" s="239"/>
    </row>
    <row r="60" spans="1:38" s="234" customFormat="1" x14ac:dyDescent="0.25">
      <c r="A60" s="76">
        <f t="shared" si="4"/>
        <v>0</v>
      </c>
      <c r="B60" s="33" t="str">
        <f t="shared" si="0"/>
        <v/>
      </c>
      <c r="C60" s="34"/>
      <c r="D60" s="34"/>
      <c r="E60" s="34"/>
      <c r="F60" s="34"/>
      <c r="H60" s="248">
        <v>55</v>
      </c>
      <c r="I60" s="249" t="str">
        <f t="shared" si="1"/>
        <v/>
      </c>
      <c r="J60" s="248" t="e">
        <f t="shared" si="5"/>
        <v>#NUM!</v>
      </c>
      <c r="K60" s="248" t="e">
        <f t="shared" si="2"/>
        <v>#NUM!</v>
      </c>
      <c r="L60" s="248"/>
      <c r="M60" s="250">
        <f t="shared" si="3"/>
        <v>0</v>
      </c>
      <c r="S60" s="239"/>
      <c r="T60" s="239"/>
      <c r="U60" s="239"/>
      <c r="V60" s="239"/>
      <c r="W60" s="239"/>
      <c r="X60" s="239"/>
      <c r="Y60" s="239"/>
      <c r="Z60" s="239"/>
      <c r="AA60" s="239"/>
      <c r="AB60" s="239"/>
      <c r="AC60" s="239"/>
      <c r="AD60" s="239"/>
      <c r="AE60" s="239"/>
      <c r="AF60" s="239"/>
      <c r="AG60" s="239"/>
      <c r="AH60" s="239"/>
      <c r="AI60" s="239"/>
      <c r="AJ60" s="239"/>
      <c r="AK60" s="239"/>
      <c r="AL60" s="239"/>
    </row>
    <row r="61" spans="1:38" s="234" customFormat="1" x14ac:dyDescent="0.25">
      <c r="A61" s="77">
        <f t="shared" si="4"/>
        <v>0</v>
      </c>
      <c r="B61" s="39" t="str">
        <f t="shared" si="0"/>
        <v/>
      </c>
      <c r="C61" s="40"/>
      <c r="D61" s="40"/>
      <c r="E61" s="40"/>
      <c r="F61" s="40"/>
      <c r="H61" s="251">
        <v>56</v>
      </c>
      <c r="I61" s="252" t="str">
        <f t="shared" si="1"/>
        <v/>
      </c>
      <c r="J61" s="251" t="e">
        <f t="shared" si="5"/>
        <v>#NUM!</v>
      </c>
      <c r="K61" s="251" t="e">
        <f t="shared" si="2"/>
        <v>#NUM!</v>
      </c>
      <c r="L61" s="251"/>
      <c r="M61" s="253">
        <f t="shared" si="3"/>
        <v>0</v>
      </c>
      <c r="S61" s="239"/>
      <c r="T61" s="239"/>
      <c r="U61" s="239"/>
      <c r="V61" s="239"/>
      <c r="W61" s="239"/>
      <c r="X61" s="239"/>
      <c r="Y61" s="239"/>
      <c r="Z61" s="239"/>
      <c r="AA61" s="239"/>
      <c r="AB61" s="239"/>
      <c r="AC61" s="239"/>
      <c r="AD61" s="239"/>
      <c r="AE61" s="239"/>
      <c r="AF61" s="239"/>
      <c r="AG61" s="239"/>
      <c r="AH61" s="239"/>
      <c r="AI61" s="239"/>
      <c r="AJ61" s="239"/>
      <c r="AK61" s="239"/>
      <c r="AL61" s="239"/>
    </row>
    <row r="62" spans="1:38" s="234" customFormat="1" x14ac:dyDescent="0.25">
      <c r="A62" s="76">
        <f t="shared" si="4"/>
        <v>0</v>
      </c>
      <c r="B62" s="33" t="str">
        <f t="shared" si="0"/>
        <v/>
      </c>
      <c r="C62" s="34"/>
      <c r="D62" s="34"/>
      <c r="E62" s="34"/>
      <c r="F62" s="34"/>
      <c r="H62" s="248">
        <v>57</v>
      </c>
      <c r="I62" s="249" t="str">
        <f t="shared" si="1"/>
        <v/>
      </c>
      <c r="J62" s="248" t="e">
        <f t="shared" si="5"/>
        <v>#NUM!</v>
      </c>
      <c r="K62" s="248" t="e">
        <f t="shared" si="2"/>
        <v>#NUM!</v>
      </c>
      <c r="L62" s="248"/>
      <c r="M62" s="250">
        <f t="shared" si="3"/>
        <v>0</v>
      </c>
      <c r="S62" s="239"/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39"/>
      <c r="AF62" s="239"/>
      <c r="AG62" s="239"/>
      <c r="AH62" s="239"/>
      <c r="AI62" s="239"/>
      <c r="AJ62" s="239"/>
      <c r="AK62" s="239"/>
      <c r="AL62" s="239"/>
    </row>
    <row r="63" spans="1:38" s="234" customFormat="1" x14ac:dyDescent="0.25">
      <c r="A63" s="77">
        <f t="shared" si="4"/>
        <v>0</v>
      </c>
      <c r="B63" s="39" t="str">
        <f t="shared" si="0"/>
        <v/>
      </c>
      <c r="C63" s="40"/>
      <c r="D63" s="40"/>
      <c r="E63" s="40"/>
      <c r="F63" s="40"/>
      <c r="H63" s="251">
        <v>58</v>
      </c>
      <c r="I63" s="252" t="str">
        <f t="shared" si="1"/>
        <v/>
      </c>
      <c r="J63" s="251" t="e">
        <f t="shared" si="5"/>
        <v>#NUM!</v>
      </c>
      <c r="K63" s="251" t="e">
        <f t="shared" si="2"/>
        <v>#NUM!</v>
      </c>
      <c r="L63" s="251"/>
      <c r="M63" s="253">
        <f t="shared" si="3"/>
        <v>0</v>
      </c>
      <c r="S63" s="239"/>
      <c r="T63" s="239"/>
      <c r="U63" s="239"/>
      <c r="V63" s="239"/>
      <c r="W63" s="239"/>
      <c r="X63" s="239"/>
      <c r="Y63" s="239"/>
      <c r="Z63" s="239"/>
      <c r="AA63" s="239"/>
      <c r="AB63" s="239"/>
      <c r="AC63" s="239"/>
      <c r="AD63" s="239"/>
      <c r="AE63" s="239"/>
      <c r="AF63" s="239"/>
      <c r="AG63" s="239"/>
      <c r="AH63" s="239"/>
      <c r="AI63" s="239"/>
      <c r="AJ63" s="239"/>
      <c r="AK63" s="239"/>
      <c r="AL63" s="239"/>
    </row>
    <row r="64" spans="1:38" s="234" customFormat="1" x14ac:dyDescent="0.25">
      <c r="A64" s="76">
        <f t="shared" si="4"/>
        <v>0</v>
      </c>
      <c r="B64" s="33" t="str">
        <f t="shared" si="0"/>
        <v/>
      </c>
      <c r="C64" s="34"/>
      <c r="D64" s="34"/>
      <c r="E64" s="34"/>
      <c r="F64" s="34"/>
      <c r="H64" s="248">
        <v>59</v>
      </c>
      <c r="I64" s="249" t="str">
        <f t="shared" si="1"/>
        <v/>
      </c>
      <c r="J64" s="248" t="e">
        <f t="shared" si="5"/>
        <v>#NUM!</v>
      </c>
      <c r="K64" s="248" t="e">
        <f t="shared" si="2"/>
        <v>#NUM!</v>
      </c>
      <c r="L64" s="248"/>
      <c r="M64" s="250">
        <f t="shared" si="3"/>
        <v>0</v>
      </c>
      <c r="S64" s="239"/>
      <c r="T64" s="239"/>
      <c r="U64" s="239"/>
      <c r="V64" s="239"/>
      <c r="W64" s="239"/>
      <c r="X64" s="239"/>
      <c r="Y64" s="239"/>
      <c r="Z64" s="239"/>
      <c r="AA64" s="239"/>
      <c r="AB64" s="239"/>
      <c r="AC64" s="239"/>
      <c r="AD64" s="239"/>
      <c r="AE64" s="239"/>
      <c r="AF64" s="239"/>
      <c r="AG64" s="239"/>
      <c r="AH64" s="239"/>
      <c r="AI64" s="239"/>
      <c r="AJ64" s="239"/>
      <c r="AK64" s="239"/>
      <c r="AL64" s="239"/>
    </row>
    <row r="65" spans="1:38" s="234" customFormat="1" x14ac:dyDescent="0.25">
      <c r="A65" s="77">
        <f t="shared" si="4"/>
        <v>0</v>
      </c>
      <c r="B65" s="39" t="str">
        <f t="shared" si="0"/>
        <v/>
      </c>
      <c r="C65" s="40"/>
      <c r="D65" s="40"/>
      <c r="E65" s="40"/>
      <c r="F65" s="40"/>
      <c r="H65" s="251">
        <v>60</v>
      </c>
      <c r="I65" s="252" t="str">
        <f t="shared" si="1"/>
        <v/>
      </c>
      <c r="J65" s="251" t="e">
        <f t="shared" si="5"/>
        <v>#NUM!</v>
      </c>
      <c r="K65" s="251" t="e">
        <f t="shared" si="2"/>
        <v>#NUM!</v>
      </c>
      <c r="L65" s="251"/>
      <c r="M65" s="253">
        <f t="shared" si="3"/>
        <v>0</v>
      </c>
      <c r="S65" s="239"/>
      <c r="T65" s="239"/>
      <c r="U65" s="239"/>
      <c r="V65" s="239"/>
      <c r="W65" s="239"/>
      <c r="X65" s="239"/>
      <c r="Y65" s="239"/>
      <c r="Z65" s="239"/>
      <c r="AA65" s="239"/>
      <c r="AB65" s="239"/>
      <c r="AC65" s="239"/>
      <c r="AD65" s="239"/>
      <c r="AE65" s="239"/>
      <c r="AF65" s="239"/>
      <c r="AG65" s="239"/>
      <c r="AH65" s="239"/>
      <c r="AI65" s="239"/>
      <c r="AJ65" s="239"/>
      <c r="AK65" s="239"/>
      <c r="AL65" s="239"/>
    </row>
    <row r="66" spans="1:38" s="234" customFormat="1" x14ac:dyDescent="0.25">
      <c r="A66" s="76">
        <f t="shared" si="4"/>
        <v>0</v>
      </c>
      <c r="B66" s="33" t="str">
        <f t="shared" si="0"/>
        <v/>
      </c>
      <c r="C66" s="34"/>
      <c r="D66" s="34"/>
      <c r="E66" s="34"/>
      <c r="F66" s="34"/>
      <c r="H66" s="248">
        <v>61</v>
      </c>
      <c r="I66" s="249" t="str">
        <f t="shared" si="1"/>
        <v/>
      </c>
      <c r="J66" s="248" t="e">
        <f t="shared" si="5"/>
        <v>#NUM!</v>
      </c>
      <c r="K66" s="248" t="e">
        <f t="shared" si="2"/>
        <v>#NUM!</v>
      </c>
      <c r="L66" s="248"/>
      <c r="M66" s="250">
        <f t="shared" si="3"/>
        <v>0</v>
      </c>
      <c r="S66" s="239"/>
      <c r="T66" s="239"/>
      <c r="U66" s="239"/>
      <c r="V66" s="239"/>
      <c r="W66" s="239"/>
      <c r="X66" s="239"/>
      <c r="Y66" s="239"/>
      <c r="Z66" s="239"/>
      <c r="AA66" s="239"/>
      <c r="AB66" s="239"/>
      <c r="AC66" s="239"/>
      <c r="AD66" s="239"/>
      <c r="AE66" s="239"/>
      <c r="AF66" s="239"/>
      <c r="AG66" s="239"/>
      <c r="AH66" s="239"/>
      <c r="AI66" s="239"/>
      <c r="AJ66" s="239"/>
      <c r="AK66" s="239"/>
      <c r="AL66" s="239"/>
    </row>
    <row r="67" spans="1:38" s="234" customFormat="1" x14ac:dyDescent="0.25">
      <c r="A67" s="77">
        <f t="shared" si="4"/>
        <v>0</v>
      </c>
      <c r="B67" s="39" t="str">
        <f t="shared" si="0"/>
        <v/>
      </c>
      <c r="C67" s="40"/>
      <c r="D67" s="40"/>
      <c r="E67" s="40"/>
      <c r="F67" s="40"/>
      <c r="H67" s="251">
        <v>62</v>
      </c>
      <c r="I67" s="252" t="str">
        <f t="shared" si="1"/>
        <v/>
      </c>
      <c r="J67" s="251" t="e">
        <f t="shared" si="5"/>
        <v>#NUM!</v>
      </c>
      <c r="K67" s="251" t="e">
        <f t="shared" si="2"/>
        <v>#NUM!</v>
      </c>
      <c r="L67" s="251"/>
      <c r="M67" s="253">
        <f t="shared" si="3"/>
        <v>0</v>
      </c>
      <c r="S67" s="239"/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39"/>
      <c r="AI67" s="239"/>
      <c r="AJ67" s="239"/>
      <c r="AK67" s="239"/>
      <c r="AL67" s="239"/>
    </row>
    <row r="68" spans="1:38" s="234" customFormat="1" x14ac:dyDescent="0.25">
      <c r="A68" s="76">
        <f t="shared" si="4"/>
        <v>0</v>
      </c>
      <c r="B68" s="33" t="str">
        <f t="shared" si="0"/>
        <v/>
      </c>
      <c r="C68" s="34"/>
      <c r="D68" s="34"/>
      <c r="E68" s="34"/>
      <c r="F68" s="34"/>
      <c r="H68" s="248">
        <v>63</v>
      </c>
      <c r="I68" s="249" t="str">
        <f t="shared" si="1"/>
        <v/>
      </c>
      <c r="J68" s="248" t="e">
        <f t="shared" si="5"/>
        <v>#NUM!</v>
      </c>
      <c r="K68" s="248" t="e">
        <f t="shared" si="2"/>
        <v>#NUM!</v>
      </c>
      <c r="L68" s="248"/>
      <c r="M68" s="250">
        <f t="shared" si="3"/>
        <v>0</v>
      </c>
      <c r="S68" s="239"/>
      <c r="T68" s="239"/>
      <c r="U68" s="239"/>
      <c r="V68" s="239"/>
      <c r="W68" s="239"/>
      <c r="X68" s="239"/>
      <c r="Y68" s="239"/>
      <c r="Z68" s="239"/>
      <c r="AA68" s="239"/>
      <c r="AB68" s="239"/>
      <c r="AC68" s="239"/>
      <c r="AD68" s="239"/>
      <c r="AE68" s="239"/>
      <c r="AF68" s="239"/>
      <c r="AG68" s="239"/>
      <c r="AH68" s="239"/>
      <c r="AI68" s="239"/>
      <c r="AJ68" s="239"/>
      <c r="AK68" s="239"/>
      <c r="AL68" s="239"/>
    </row>
    <row r="69" spans="1:38" s="234" customFormat="1" x14ac:dyDescent="0.25">
      <c r="A69" s="77">
        <f t="shared" si="4"/>
        <v>0</v>
      </c>
      <c r="B69" s="39" t="str">
        <f t="shared" si="0"/>
        <v/>
      </c>
      <c r="C69" s="40"/>
      <c r="D69" s="40"/>
      <c r="E69" s="40"/>
      <c r="F69" s="40"/>
      <c r="H69" s="251">
        <v>64</v>
      </c>
      <c r="I69" s="252" t="str">
        <f t="shared" si="1"/>
        <v/>
      </c>
      <c r="J69" s="251" t="e">
        <f t="shared" si="5"/>
        <v>#NUM!</v>
      </c>
      <c r="K69" s="251" t="e">
        <f t="shared" si="2"/>
        <v>#NUM!</v>
      </c>
      <c r="L69" s="251"/>
      <c r="M69" s="253">
        <f t="shared" si="3"/>
        <v>0</v>
      </c>
      <c r="S69" s="239"/>
      <c r="T69" s="239"/>
      <c r="U69" s="239"/>
      <c r="V69" s="239"/>
      <c r="W69" s="239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39"/>
      <c r="AI69" s="239"/>
      <c r="AJ69" s="239"/>
      <c r="AK69" s="239"/>
      <c r="AL69" s="239"/>
    </row>
    <row r="70" spans="1:38" s="234" customFormat="1" x14ac:dyDescent="0.25">
      <c r="A70" s="76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248">
        <v>65</v>
      </c>
      <c r="I70" s="249" t="str">
        <f t="shared" ref="I70:I133" si="7">IF(H70&lt;$H$2+1,($I$2-($I$2-1)*(LOG(H70)/LOG($H$2))),"")</f>
        <v/>
      </c>
      <c r="J70" s="248" t="e">
        <f t="shared" si="5"/>
        <v>#NUM!</v>
      </c>
      <c r="K70" s="248" t="e">
        <f t="shared" ref="K70:K133" si="8">J70*$J$2</f>
        <v>#NUM!</v>
      </c>
      <c r="L70" s="248"/>
      <c r="M70" s="250">
        <f t="shared" ref="M70:M133" si="9">IF(I70&lt;&gt;"",K70+I70+L70,0)</f>
        <v>0</v>
      </c>
      <c r="S70" s="239"/>
      <c r="T70" s="239"/>
      <c r="U70" s="239"/>
      <c r="V70" s="239"/>
      <c r="W70" s="239"/>
      <c r="X70" s="239"/>
      <c r="Y70" s="239"/>
      <c r="Z70" s="239"/>
      <c r="AA70" s="239"/>
      <c r="AB70" s="239"/>
      <c r="AC70" s="239"/>
      <c r="AD70" s="239"/>
      <c r="AE70" s="239"/>
      <c r="AF70" s="239"/>
      <c r="AG70" s="239"/>
      <c r="AH70" s="239"/>
      <c r="AI70" s="239"/>
      <c r="AJ70" s="239"/>
      <c r="AK70" s="239"/>
      <c r="AL70" s="239"/>
    </row>
    <row r="71" spans="1:38" s="234" customFormat="1" x14ac:dyDescent="0.25">
      <c r="A71" s="77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251">
        <v>66</v>
      </c>
      <c r="I71" s="252" t="str">
        <f t="shared" si="7"/>
        <v/>
      </c>
      <c r="J71" s="251" t="e">
        <f t="shared" ref="J71:J134" si="11">INT(LOG($H$2,2))-ROUNDUP(LOG(H71,2),0)+IF(OR($H$2=1,$H$2=2,$H$2=4,$H$2=8,$H$2=16,$H$2=32,$H$2=64,$H$2=128,$H$2=256),0,1)</f>
        <v>#NUM!</v>
      </c>
      <c r="K71" s="251" t="e">
        <f t="shared" si="8"/>
        <v>#NUM!</v>
      </c>
      <c r="L71" s="251"/>
      <c r="M71" s="253">
        <f t="shared" si="9"/>
        <v>0</v>
      </c>
      <c r="S71" s="239"/>
      <c r="T71" s="239"/>
      <c r="U71" s="239"/>
      <c r="V71" s="239"/>
      <c r="W71" s="239"/>
      <c r="X71" s="239"/>
      <c r="Y71" s="239"/>
      <c r="Z71" s="239"/>
      <c r="AA71" s="239"/>
      <c r="AB71" s="239"/>
      <c r="AC71" s="239"/>
      <c r="AD71" s="239"/>
      <c r="AE71" s="239"/>
      <c r="AF71" s="239"/>
      <c r="AG71" s="239"/>
      <c r="AH71" s="239"/>
      <c r="AI71" s="239"/>
      <c r="AJ71" s="239"/>
      <c r="AK71" s="239"/>
      <c r="AL71" s="239"/>
    </row>
    <row r="72" spans="1:38" s="234" customFormat="1" x14ac:dyDescent="0.25">
      <c r="A72" s="76">
        <f t="shared" si="10"/>
        <v>0</v>
      </c>
      <c r="B72" s="33" t="str">
        <f t="shared" si="6"/>
        <v/>
      </c>
      <c r="C72" s="34"/>
      <c r="D72" s="34"/>
      <c r="E72" s="34"/>
      <c r="F72" s="34"/>
      <c r="H72" s="248">
        <v>67</v>
      </c>
      <c r="I72" s="249" t="str">
        <f t="shared" si="7"/>
        <v/>
      </c>
      <c r="J72" s="248" t="e">
        <f t="shared" si="11"/>
        <v>#NUM!</v>
      </c>
      <c r="K72" s="248" t="e">
        <f t="shared" si="8"/>
        <v>#NUM!</v>
      </c>
      <c r="L72" s="248"/>
      <c r="M72" s="250">
        <f t="shared" si="9"/>
        <v>0</v>
      </c>
      <c r="S72" s="239"/>
      <c r="T72" s="239"/>
      <c r="U72" s="239"/>
      <c r="V72" s="239"/>
      <c r="W72" s="239"/>
      <c r="X72" s="239"/>
      <c r="Y72" s="239"/>
      <c r="Z72" s="239"/>
      <c r="AA72" s="239"/>
      <c r="AB72" s="239"/>
      <c r="AC72" s="239"/>
      <c r="AD72" s="239"/>
      <c r="AE72" s="239"/>
      <c r="AF72" s="239"/>
      <c r="AG72" s="239"/>
      <c r="AH72" s="239"/>
      <c r="AI72" s="239"/>
      <c r="AJ72" s="239"/>
      <c r="AK72" s="239"/>
      <c r="AL72" s="239"/>
    </row>
    <row r="73" spans="1:38" s="234" customFormat="1" x14ac:dyDescent="0.25">
      <c r="A73" s="77">
        <f t="shared" si="10"/>
        <v>0</v>
      </c>
      <c r="B73" s="39" t="str">
        <f t="shared" si="6"/>
        <v/>
      </c>
      <c r="C73" s="40"/>
      <c r="D73" s="40"/>
      <c r="E73" s="40"/>
      <c r="F73" s="40"/>
      <c r="H73" s="251">
        <v>68</v>
      </c>
      <c r="I73" s="252" t="str">
        <f t="shared" si="7"/>
        <v/>
      </c>
      <c r="J73" s="251" t="e">
        <f t="shared" si="11"/>
        <v>#NUM!</v>
      </c>
      <c r="K73" s="251" t="e">
        <f t="shared" si="8"/>
        <v>#NUM!</v>
      </c>
      <c r="L73" s="251"/>
      <c r="M73" s="253">
        <f t="shared" si="9"/>
        <v>0</v>
      </c>
      <c r="S73" s="239"/>
      <c r="T73" s="239"/>
      <c r="U73" s="239"/>
      <c r="V73" s="239"/>
      <c r="W73" s="239"/>
      <c r="X73" s="239"/>
      <c r="Y73" s="239"/>
      <c r="Z73" s="239"/>
      <c r="AA73" s="239"/>
      <c r="AB73" s="239"/>
      <c r="AC73" s="239"/>
      <c r="AD73" s="239"/>
      <c r="AE73" s="239"/>
      <c r="AF73" s="239"/>
      <c r="AG73" s="239"/>
      <c r="AH73" s="239"/>
      <c r="AI73" s="239"/>
      <c r="AJ73" s="239"/>
      <c r="AK73" s="239"/>
      <c r="AL73" s="239"/>
    </row>
    <row r="74" spans="1:38" s="234" customFormat="1" x14ac:dyDescent="0.25">
      <c r="A74" s="76">
        <f t="shared" si="10"/>
        <v>0</v>
      </c>
      <c r="B74" s="33" t="str">
        <f t="shared" si="6"/>
        <v/>
      </c>
      <c r="C74" s="34"/>
      <c r="D74" s="34"/>
      <c r="E74" s="34"/>
      <c r="F74" s="34"/>
      <c r="H74" s="248">
        <v>69</v>
      </c>
      <c r="I74" s="249" t="str">
        <f t="shared" si="7"/>
        <v/>
      </c>
      <c r="J74" s="248" t="e">
        <f t="shared" si="11"/>
        <v>#NUM!</v>
      </c>
      <c r="K74" s="248" t="e">
        <f t="shared" si="8"/>
        <v>#NUM!</v>
      </c>
      <c r="L74" s="248"/>
      <c r="M74" s="250">
        <f t="shared" si="9"/>
        <v>0</v>
      </c>
      <c r="S74" s="239"/>
      <c r="T74" s="239"/>
      <c r="U74" s="239"/>
      <c r="V74" s="239"/>
      <c r="W74" s="239"/>
      <c r="X74" s="239"/>
      <c r="Y74" s="239"/>
      <c r="Z74" s="239"/>
      <c r="AA74" s="239"/>
      <c r="AB74" s="239"/>
      <c r="AC74" s="239"/>
      <c r="AD74" s="239"/>
      <c r="AE74" s="239"/>
      <c r="AF74" s="239"/>
      <c r="AG74" s="239"/>
      <c r="AH74" s="239"/>
      <c r="AI74" s="239"/>
      <c r="AJ74" s="239"/>
      <c r="AK74" s="239"/>
      <c r="AL74" s="239"/>
    </row>
    <row r="75" spans="1:38" s="234" customFormat="1" x14ac:dyDescent="0.25">
      <c r="A75" s="77">
        <f t="shared" si="10"/>
        <v>0</v>
      </c>
      <c r="B75" s="39" t="str">
        <f t="shared" si="6"/>
        <v/>
      </c>
      <c r="C75" s="40"/>
      <c r="D75" s="40"/>
      <c r="E75" s="40"/>
      <c r="F75" s="40"/>
      <c r="H75" s="251">
        <v>70</v>
      </c>
      <c r="I75" s="252" t="str">
        <f t="shared" si="7"/>
        <v/>
      </c>
      <c r="J75" s="251" t="e">
        <f t="shared" si="11"/>
        <v>#NUM!</v>
      </c>
      <c r="K75" s="251" t="e">
        <f t="shared" si="8"/>
        <v>#NUM!</v>
      </c>
      <c r="L75" s="251"/>
      <c r="M75" s="253">
        <f t="shared" si="9"/>
        <v>0</v>
      </c>
      <c r="S75" s="239"/>
      <c r="T75" s="239"/>
      <c r="U75" s="239"/>
      <c r="V75" s="239"/>
      <c r="W75" s="239"/>
      <c r="X75" s="239"/>
      <c r="Y75" s="239"/>
      <c r="Z75" s="239"/>
      <c r="AA75" s="239"/>
      <c r="AB75" s="239"/>
      <c r="AC75" s="239"/>
      <c r="AD75" s="239"/>
      <c r="AE75" s="239"/>
      <c r="AF75" s="239"/>
      <c r="AG75" s="239"/>
      <c r="AH75" s="239"/>
      <c r="AI75" s="239"/>
      <c r="AJ75" s="239"/>
      <c r="AK75" s="239"/>
      <c r="AL75" s="239"/>
    </row>
    <row r="76" spans="1:38" s="234" customFormat="1" x14ac:dyDescent="0.25">
      <c r="A76" s="76">
        <f t="shared" si="10"/>
        <v>0</v>
      </c>
      <c r="B76" s="33" t="str">
        <f t="shared" si="6"/>
        <v/>
      </c>
      <c r="C76" s="34"/>
      <c r="D76" s="34"/>
      <c r="E76" s="34"/>
      <c r="F76" s="34"/>
      <c r="H76" s="248">
        <v>71</v>
      </c>
      <c r="I76" s="249" t="str">
        <f t="shared" si="7"/>
        <v/>
      </c>
      <c r="J76" s="248" t="e">
        <f t="shared" si="11"/>
        <v>#NUM!</v>
      </c>
      <c r="K76" s="248" t="e">
        <f t="shared" si="8"/>
        <v>#NUM!</v>
      </c>
      <c r="L76" s="248"/>
      <c r="M76" s="250">
        <f t="shared" si="9"/>
        <v>0</v>
      </c>
      <c r="S76" s="239"/>
      <c r="T76" s="239"/>
      <c r="U76" s="239"/>
      <c r="V76" s="239"/>
      <c r="W76" s="239"/>
      <c r="X76" s="239"/>
      <c r="Y76" s="239"/>
      <c r="Z76" s="239"/>
      <c r="AA76" s="239"/>
      <c r="AB76" s="239"/>
      <c r="AC76" s="239"/>
      <c r="AD76" s="239"/>
      <c r="AE76" s="239"/>
      <c r="AF76" s="239"/>
      <c r="AG76" s="239"/>
      <c r="AH76" s="239"/>
      <c r="AI76" s="239"/>
      <c r="AJ76" s="239"/>
      <c r="AK76" s="239"/>
      <c r="AL76" s="239"/>
    </row>
    <row r="77" spans="1:38" s="234" customFormat="1" x14ac:dyDescent="0.25">
      <c r="A77" s="77">
        <f t="shared" si="10"/>
        <v>0</v>
      </c>
      <c r="B77" s="39" t="str">
        <f t="shared" si="6"/>
        <v/>
      </c>
      <c r="C77" s="40"/>
      <c r="D77" s="40"/>
      <c r="E77" s="40"/>
      <c r="F77" s="40"/>
      <c r="H77" s="251">
        <v>72</v>
      </c>
      <c r="I77" s="252" t="str">
        <f t="shared" si="7"/>
        <v/>
      </c>
      <c r="J77" s="251" t="e">
        <f t="shared" si="11"/>
        <v>#NUM!</v>
      </c>
      <c r="K77" s="251" t="e">
        <f t="shared" si="8"/>
        <v>#NUM!</v>
      </c>
      <c r="L77" s="251"/>
      <c r="M77" s="253">
        <f t="shared" si="9"/>
        <v>0</v>
      </c>
      <c r="S77" s="239"/>
      <c r="T77" s="239"/>
      <c r="U77" s="239"/>
      <c r="V77" s="239"/>
      <c r="W77" s="239"/>
      <c r="X77" s="239"/>
      <c r="Y77" s="239"/>
      <c r="Z77" s="239"/>
      <c r="AA77" s="239"/>
      <c r="AB77" s="239"/>
      <c r="AC77" s="239"/>
      <c r="AD77" s="239"/>
      <c r="AE77" s="239"/>
      <c r="AF77" s="239"/>
      <c r="AG77" s="239"/>
      <c r="AH77" s="239"/>
      <c r="AI77" s="239"/>
      <c r="AJ77" s="239"/>
      <c r="AK77" s="239"/>
      <c r="AL77" s="239"/>
    </row>
    <row r="78" spans="1:38" s="234" customFormat="1" x14ac:dyDescent="0.25">
      <c r="A78" s="76">
        <f t="shared" si="10"/>
        <v>0</v>
      </c>
      <c r="B78" s="33" t="str">
        <f t="shared" si="6"/>
        <v/>
      </c>
      <c r="C78" s="34"/>
      <c r="D78" s="34"/>
      <c r="E78" s="34"/>
      <c r="F78" s="34"/>
      <c r="H78" s="248">
        <v>73</v>
      </c>
      <c r="I78" s="249" t="str">
        <f t="shared" si="7"/>
        <v/>
      </c>
      <c r="J78" s="248" t="e">
        <f t="shared" si="11"/>
        <v>#NUM!</v>
      </c>
      <c r="K78" s="248" t="e">
        <f t="shared" si="8"/>
        <v>#NUM!</v>
      </c>
      <c r="L78" s="248"/>
      <c r="M78" s="250">
        <f t="shared" si="9"/>
        <v>0</v>
      </c>
      <c r="S78" s="239"/>
      <c r="T78" s="239"/>
      <c r="U78" s="239"/>
      <c r="V78" s="239"/>
      <c r="W78" s="239"/>
      <c r="X78" s="239"/>
      <c r="Y78" s="239"/>
      <c r="Z78" s="239"/>
      <c r="AA78" s="239"/>
      <c r="AB78" s="239"/>
      <c r="AC78" s="239"/>
      <c r="AD78" s="239"/>
      <c r="AE78" s="239"/>
      <c r="AF78" s="239"/>
      <c r="AG78" s="239"/>
      <c r="AH78" s="239"/>
      <c r="AI78" s="239"/>
      <c r="AJ78" s="239"/>
      <c r="AK78" s="239"/>
      <c r="AL78" s="239"/>
    </row>
    <row r="79" spans="1:38" s="234" customFormat="1" x14ac:dyDescent="0.25">
      <c r="A79" s="77">
        <f t="shared" si="10"/>
        <v>0</v>
      </c>
      <c r="B79" s="39" t="str">
        <f t="shared" si="6"/>
        <v/>
      </c>
      <c r="C79" s="40"/>
      <c r="D79" s="40"/>
      <c r="E79" s="40"/>
      <c r="F79" s="40"/>
      <c r="H79" s="251">
        <v>74</v>
      </c>
      <c r="I79" s="252" t="str">
        <f t="shared" si="7"/>
        <v/>
      </c>
      <c r="J79" s="251" t="e">
        <f t="shared" si="11"/>
        <v>#NUM!</v>
      </c>
      <c r="K79" s="251" t="e">
        <f t="shared" si="8"/>
        <v>#NUM!</v>
      </c>
      <c r="L79" s="251"/>
      <c r="M79" s="253">
        <f t="shared" si="9"/>
        <v>0</v>
      </c>
      <c r="S79" s="239"/>
      <c r="T79" s="239"/>
      <c r="U79" s="239"/>
      <c r="V79" s="239"/>
      <c r="W79" s="239"/>
      <c r="X79" s="239"/>
      <c r="Y79" s="239"/>
      <c r="Z79" s="239"/>
      <c r="AA79" s="239"/>
      <c r="AB79" s="239"/>
      <c r="AC79" s="239"/>
      <c r="AD79" s="239"/>
      <c r="AE79" s="239"/>
      <c r="AF79" s="239"/>
      <c r="AG79" s="239"/>
      <c r="AH79" s="239"/>
      <c r="AI79" s="239"/>
      <c r="AJ79" s="239"/>
      <c r="AK79" s="239"/>
      <c r="AL79" s="239"/>
    </row>
    <row r="80" spans="1:38" s="234" customFormat="1" x14ac:dyDescent="0.25">
      <c r="A80" s="76">
        <f t="shared" si="10"/>
        <v>0</v>
      </c>
      <c r="B80" s="33" t="str">
        <f t="shared" si="6"/>
        <v/>
      </c>
      <c r="C80" s="34"/>
      <c r="D80" s="34"/>
      <c r="E80" s="34"/>
      <c r="F80" s="34"/>
      <c r="H80" s="248">
        <v>75</v>
      </c>
      <c r="I80" s="249" t="str">
        <f t="shared" si="7"/>
        <v/>
      </c>
      <c r="J80" s="248" t="e">
        <f t="shared" si="11"/>
        <v>#NUM!</v>
      </c>
      <c r="K80" s="248" t="e">
        <f t="shared" si="8"/>
        <v>#NUM!</v>
      </c>
      <c r="L80" s="248"/>
      <c r="M80" s="250">
        <f t="shared" si="9"/>
        <v>0</v>
      </c>
      <c r="S80" s="239"/>
      <c r="T80" s="239"/>
      <c r="U80" s="239"/>
      <c r="V80" s="239"/>
      <c r="W80" s="239"/>
      <c r="X80" s="239"/>
      <c r="Y80" s="239"/>
      <c r="Z80" s="239"/>
      <c r="AA80" s="239"/>
      <c r="AB80" s="239"/>
      <c r="AC80" s="239"/>
      <c r="AD80" s="239"/>
      <c r="AE80" s="239"/>
      <c r="AF80" s="239"/>
      <c r="AG80" s="239"/>
      <c r="AH80" s="239"/>
      <c r="AI80" s="239"/>
      <c r="AJ80" s="239"/>
      <c r="AK80" s="239"/>
      <c r="AL80" s="239"/>
    </row>
    <row r="81" spans="1:38" s="234" customFormat="1" x14ac:dyDescent="0.25">
      <c r="A81" s="77">
        <f t="shared" si="10"/>
        <v>0</v>
      </c>
      <c r="B81" s="39" t="str">
        <f t="shared" si="6"/>
        <v/>
      </c>
      <c r="C81" s="40"/>
      <c r="D81" s="40"/>
      <c r="E81" s="40"/>
      <c r="F81" s="40"/>
      <c r="H81" s="251">
        <v>76</v>
      </c>
      <c r="I81" s="252" t="str">
        <f t="shared" si="7"/>
        <v/>
      </c>
      <c r="J81" s="251" t="e">
        <f t="shared" si="11"/>
        <v>#NUM!</v>
      </c>
      <c r="K81" s="251" t="e">
        <f t="shared" si="8"/>
        <v>#NUM!</v>
      </c>
      <c r="L81" s="251"/>
      <c r="M81" s="253">
        <f t="shared" si="9"/>
        <v>0</v>
      </c>
      <c r="S81" s="239"/>
      <c r="T81" s="239"/>
      <c r="U81" s="239"/>
      <c r="V81" s="239"/>
      <c r="W81" s="239"/>
      <c r="X81" s="239"/>
      <c r="Y81" s="239"/>
      <c r="Z81" s="239"/>
      <c r="AA81" s="239"/>
      <c r="AB81" s="239"/>
      <c r="AC81" s="239"/>
      <c r="AD81" s="239"/>
      <c r="AE81" s="239"/>
      <c r="AF81" s="239"/>
      <c r="AG81" s="239"/>
      <c r="AH81" s="239"/>
      <c r="AI81" s="239"/>
      <c r="AJ81" s="239"/>
      <c r="AK81" s="239"/>
      <c r="AL81" s="239"/>
    </row>
    <row r="82" spans="1:38" s="234" customFormat="1" x14ac:dyDescent="0.25">
      <c r="A82" s="76">
        <f t="shared" si="10"/>
        <v>0</v>
      </c>
      <c r="B82" s="33" t="str">
        <f t="shared" si="6"/>
        <v/>
      </c>
      <c r="C82" s="34"/>
      <c r="D82" s="34"/>
      <c r="E82" s="34"/>
      <c r="F82" s="34"/>
      <c r="H82" s="248">
        <v>77</v>
      </c>
      <c r="I82" s="249" t="str">
        <f t="shared" si="7"/>
        <v/>
      </c>
      <c r="J82" s="248" t="e">
        <f t="shared" si="11"/>
        <v>#NUM!</v>
      </c>
      <c r="K82" s="248" t="e">
        <f t="shared" si="8"/>
        <v>#NUM!</v>
      </c>
      <c r="L82" s="248"/>
      <c r="M82" s="250">
        <f t="shared" si="9"/>
        <v>0</v>
      </c>
      <c r="S82" s="239"/>
      <c r="T82" s="239"/>
      <c r="U82" s="239"/>
      <c r="V82" s="239"/>
      <c r="W82" s="239"/>
      <c r="X82" s="239"/>
      <c r="Y82" s="239"/>
      <c r="Z82" s="239"/>
      <c r="AA82" s="239"/>
      <c r="AB82" s="239"/>
      <c r="AC82" s="239"/>
      <c r="AD82" s="239"/>
      <c r="AE82" s="239"/>
      <c r="AF82" s="239"/>
      <c r="AG82" s="239"/>
      <c r="AH82" s="239"/>
      <c r="AI82" s="239"/>
      <c r="AJ82" s="239"/>
      <c r="AK82" s="239"/>
      <c r="AL82" s="239"/>
    </row>
    <row r="83" spans="1:38" s="234" customFormat="1" x14ac:dyDescent="0.25">
      <c r="A83" s="77">
        <f t="shared" si="10"/>
        <v>0</v>
      </c>
      <c r="B83" s="39" t="str">
        <f t="shared" si="6"/>
        <v/>
      </c>
      <c r="C83" s="40"/>
      <c r="D83" s="40"/>
      <c r="E83" s="40"/>
      <c r="F83" s="40"/>
      <c r="H83" s="251">
        <v>78</v>
      </c>
      <c r="I83" s="252" t="str">
        <f t="shared" si="7"/>
        <v/>
      </c>
      <c r="J83" s="251" t="e">
        <f t="shared" si="11"/>
        <v>#NUM!</v>
      </c>
      <c r="K83" s="251" t="e">
        <f t="shared" si="8"/>
        <v>#NUM!</v>
      </c>
      <c r="L83" s="251"/>
      <c r="M83" s="253">
        <f t="shared" si="9"/>
        <v>0</v>
      </c>
      <c r="S83" s="239"/>
      <c r="T83" s="239"/>
      <c r="U83" s="239"/>
      <c r="V83" s="239"/>
      <c r="W83" s="239"/>
      <c r="X83" s="239"/>
      <c r="Y83" s="239"/>
      <c r="Z83" s="239"/>
      <c r="AA83" s="239"/>
      <c r="AB83" s="239"/>
      <c r="AC83" s="239"/>
      <c r="AD83" s="239"/>
      <c r="AE83" s="239"/>
      <c r="AF83" s="239"/>
      <c r="AG83" s="239"/>
      <c r="AH83" s="239"/>
      <c r="AI83" s="239"/>
      <c r="AJ83" s="239"/>
      <c r="AK83" s="239"/>
      <c r="AL83" s="239"/>
    </row>
    <row r="84" spans="1:38" s="234" customFormat="1" x14ac:dyDescent="0.25">
      <c r="A84" s="76">
        <f t="shared" si="10"/>
        <v>0</v>
      </c>
      <c r="B84" s="33" t="str">
        <f t="shared" si="6"/>
        <v/>
      </c>
      <c r="C84" s="34"/>
      <c r="D84" s="34"/>
      <c r="E84" s="34"/>
      <c r="F84" s="34"/>
      <c r="H84" s="248">
        <v>79</v>
      </c>
      <c r="I84" s="249" t="str">
        <f t="shared" si="7"/>
        <v/>
      </c>
      <c r="J84" s="248" t="e">
        <f t="shared" si="11"/>
        <v>#NUM!</v>
      </c>
      <c r="K84" s="248" t="e">
        <f t="shared" si="8"/>
        <v>#NUM!</v>
      </c>
      <c r="L84" s="248"/>
      <c r="M84" s="250">
        <f t="shared" si="9"/>
        <v>0</v>
      </c>
      <c r="S84" s="239"/>
      <c r="T84" s="239"/>
      <c r="U84" s="239"/>
      <c r="V84" s="239"/>
      <c r="W84" s="239"/>
      <c r="X84" s="239"/>
      <c r="Y84" s="239"/>
      <c r="Z84" s="239"/>
      <c r="AA84" s="239"/>
      <c r="AB84" s="239"/>
      <c r="AC84" s="239"/>
      <c r="AD84" s="239"/>
      <c r="AE84" s="239"/>
      <c r="AF84" s="239"/>
      <c r="AG84" s="239"/>
      <c r="AH84" s="239"/>
      <c r="AI84" s="239"/>
      <c r="AJ84" s="239"/>
      <c r="AK84" s="239"/>
      <c r="AL84" s="239"/>
    </row>
    <row r="85" spans="1:38" s="234" customFormat="1" x14ac:dyDescent="0.25">
      <c r="A85" s="77">
        <f t="shared" si="10"/>
        <v>0</v>
      </c>
      <c r="B85" s="39" t="str">
        <f t="shared" si="6"/>
        <v/>
      </c>
      <c r="C85" s="40"/>
      <c r="D85" s="40"/>
      <c r="E85" s="40"/>
      <c r="F85" s="40"/>
      <c r="H85" s="251">
        <v>80</v>
      </c>
      <c r="I85" s="252" t="str">
        <f t="shared" si="7"/>
        <v/>
      </c>
      <c r="J85" s="251" t="e">
        <f t="shared" si="11"/>
        <v>#NUM!</v>
      </c>
      <c r="K85" s="251" t="e">
        <f t="shared" si="8"/>
        <v>#NUM!</v>
      </c>
      <c r="L85" s="251"/>
      <c r="M85" s="253">
        <f t="shared" si="9"/>
        <v>0</v>
      </c>
      <c r="S85" s="239"/>
      <c r="T85" s="239"/>
      <c r="U85" s="239"/>
      <c r="V85" s="239"/>
      <c r="W85" s="239"/>
      <c r="X85" s="239"/>
      <c r="Y85" s="239"/>
      <c r="Z85" s="239"/>
      <c r="AA85" s="239"/>
      <c r="AB85" s="239"/>
      <c r="AC85" s="239"/>
      <c r="AD85" s="239"/>
      <c r="AE85" s="239"/>
      <c r="AF85" s="239"/>
      <c r="AG85" s="239"/>
      <c r="AH85" s="239"/>
      <c r="AI85" s="239"/>
      <c r="AJ85" s="239"/>
      <c r="AK85" s="239"/>
      <c r="AL85" s="239"/>
    </row>
    <row r="86" spans="1:38" s="234" customFormat="1" x14ac:dyDescent="0.25">
      <c r="A86" s="76">
        <f t="shared" si="10"/>
        <v>0</v>
      </c>
      <c r="B86" s="33" t="str">
        <f t="shared" si="6"/>
        <v/>
      </c>
      <c r="C86" s="34"/>
      <c r="D86" s="34"/>
      <c r="E86" s="34"/>
      <c r="F86" s="34"/>
      <c r="H86" s="248">
        <v>81</v>
      </c>
      <c r="I86" s="249" t="str">
        <f t="shared" si="7"/>
        <v/>
      </c>
      <c r="J86" s="248" t="e">
        <f t="shared" si="11"/>
        <v>#NUM!</v>
      </c>
      <c r="K86" s="248" t="e">
        <f t="shared" si="8"/>
        <v>#NUM!</v>
      </c>
      <c r="L86" s="248"/>
      <c r="M86" s="250">
        <f t="shared" si="9"/>
        <v>0</v>
      </c>
      <c r="S86" s="239"/>
      <c r="T86" s="239"/>
      <c r="U86" s="239"/>
      <c r="V86" s="239"/>
      <c r="W86" s="239"/>
      <c r="X86" s="239"/>
      <c r="Y86" s="239"/>
      <c r="Z86" s="239"/>
      <c r="AA86" s="239"/>
      <c r="AB86" s="239"/>
      <c r="AC86" s="239"/>
      <c r="AD86" s="239"/>
      <c r="AE86" s="239"/>
      <c r="AF86" s="239"/>
      <c r="AG86" s="239"/>
      <c r="AH86" s="239"/>
      <c r="AI86" s="239"/>
      <c r="AJ86" s="239"/>
      <c r="AK86" s="239"/>
      <c r="AL86" s="239"/>
    </row>
    <row r="87" spans="1:38" s="234" customFormat="1" x14ac:dyDescent="0.25">
      <c r="A87" s="77">
        <f t="shared" si="10"/>
        <v>0</v>
      </c>
      <c r="B87" s="39" t="str">
        <f t="shared" si="6"/>
        <v/>
      </c>
      <c r="C87" s="40"/>
      <c r="D87" s="40"/>
      <c r="E87" s="40"/>
      <c r="F87" s="40"/>
      <c r="H87" s="251">
        <v>82</v>
      </c>
      <c r="I87" s="252" t="str">
        <f t="shared" si="7"/>
        <v/>
      </c>
      <c r="J87" s="251" t="e">
        <f t="shared" si="11"/>
        <v>#NUM!</v>
      </c>
      <c r="K87" s="251" t="e">
        <f t="shared" si="8"/>
        <v>#NUM!</v>
      </c>
      <c r="L87" s="251"/>
      <c r="M87" s="253">
        <f t="shared" si="9"/>
        <v>0</v>
      </c>
      <c r="S87" s="239"/>
      <c r="T87" s="239"/>
      <c r="U87" s="239"/>
      <c r="V87" s="239"/>
      <c r="W87" s="239"/>
      <c r="X87" s="239"/>
      <c r="Y87" s="239"/>
      <c r="Z87" s="239"/>
      <c r="AA87" s="239"/>
      <c r="AB87" s="239"/>
      <c r="AC87" s="239"/>
      <c r="AD87" s="239"/>
      <c r="AE87" s="239"/>
      <c r="AF87" s="239"/>
      <c r="AG87" s="239"/>
      <c r="AH87" s="239"/>
      <c r="AI87" s="239"/>
      <c r="AJ87" s="239"/>
      <c r="AK87" s="239"/>
      <c r="AL87" s="239"/>
    </row>
    <row r="88" spans="1:38" s="234" customFormat="1" x14ac:dyDescent="0.25">
      <c r="A88" s="76">
        <f t="shared" si="10"/>
        <v>0</v>
      </c>
      <c r="B88" s="33" t="str">
        <f t="shared" si="6"/>
        <v/>
      </c>
      <c r="C88" s="34"/>
      <c r="D88" s="34"/>
      <c r="E88" s="34"/>
      <c r="F88" s="34"/>
      <c r="H88" s="248">
        <v>83</v>
      </c>
      <c r="I88" s="249" t="str">
        <f t="shared" si="7"/>
        <v/>
      </c>
      <c r="J88" s="248" t="e">
        <f t="shared" si="11"/>
        <v>#NUM!</v>
      </c>
      <c r="K88" s="248" t="e">
        <f t="shared" si="8"/>
        <v>#NUM!</v>
      </c>
      <c r="L88" s="248"/>
      <c r="M88" s="250">
        <f t="shared" si="9"/>
        <v>0</v>
      </c>
      <c r="S88" s="239"/>
      <c r="T88" s="239"/>
      <c r="U88" s="239"/>
      <c r="V88" s="239"/>
      <c r="W88" s="239"/>
      <c r="X88" s="239"/>
      <c r="Y88" s="239"/>
      <c r="Z88" s="239"/>
      <c r="AA88" s="239"/>
      <c r="AB88" s="239"/>
      <c r="AC88" s="239"/>
      <c r="AD88" s="239"/>
      <c r="AE88" s="239"/>
      <c r="AF88" s="239"/>
      <c r="AG88" s="239"/>
      <c r="AH88" s="239"/>
      <c r="AI88" s="239"/>
      <c r="AJ88" s="239"/>
      <c r="AK88" s="239"/>
      <c r="AL88" s="239"/>
    </row>
    <row r="89" spans="1:38" s="234" customFormat="1" x14ac:dyDescent="0.25">
      <c r="A89" s="77">
        <f t="shared" si="10"/>
        <v>0</v>
      </c>
      <c r="B89" s="39" t="str">
        <f t="shared" si="6"/>
        <v/>
      </c>
      <c r="C89" s="40"/>
      <c r="D89" s="40"/>
      <c r="E89" s="40"/>
      <c r="F89" s="40"/>
      <c r="H89" s="251">
        <v>84</v>
      </c>
      <c r="I89" s="252" t="str">
        <f t="shared" si="7"/>
        <v/>
      </c>
      <c r="J89" s="251" t="e">
        <f t="shared" si="11"/>
        <v>#NUM!</v>
      </c>
      <c r="K89" s="251" t="e">
        <f t="shared" si="8"/>
        <v>#NUM!</v>
      </c>
      <c r="L89" s="251"/>
      <c r="M89" s="253">
        <f t="shared" si="9"/>
        <v>0</v>
      </c>
      <c r="S89" s="239"/>
      <c r="T89" s="239"/>
      <c r="U89" s="239"/>
      <c r="V89" s="239"/>
      <c r="W89" s="239"/>
      <c r="X89" s="239"/>
      <c r="Y89" s="239"/>
      <c r="Z89" s="239"/>
      <c r="AA89" s="239"/>
      <c r="AB89" s="239"/>
      <c r="AC89" s="239"/>
      <c r="AD89" s="239"/>
      <c r="AE89" s="239"/>
      <c r="AF89" s="239"/>
      <c r="AG89" s="239"/>
      <c r="AH89" s="239"/>
      <c r="AI89" s="239"/>
      <c r="AJ89" s="239"/>
      <c r="AK89" s="239"/>
      <c r="AL89" s="239"/>
    </row>
    <row r="90" spans="1:38" s="234" customFormat="1" x14ac:dyDescent="0.25">
      <c r="A90" s="76">
        <f t="shared" si="10"/>
        <v>0</v>
      </c>
      <c r="B90" s="33" t="str">
        <f t="shared" si="6"/>
        <v/>
      </c>
      <c r="C90" s="34"/>
      <c r="D90" s="34"/>
      <c r="E90" s="34"/>
      <c r="F90" s="34"/>
      <c r="H90" s="248">
        <v>85</v>
      </c>
      <c r="I90" s="249" t="str">
        <f t="shared" si="7"/>
        <v/>
      </c>
      <c r="J90" s="248" t="e">
        <f t="shared" si="11"/>
        <v>#NUM!</v>
      </c>
      <c r="K90" s="248" t="e">
        <f t="shared" si="8"/>
        <v>#NUM!</v>
      </c>
      <c r="L90" s="248"/>
      <c r="M90" s="250">
        <f t="shared" si="9"/>
        <v>0</v>
      </c>
      <c r="S90" s="239"/>
      <c r="T90" s="239"/>
      <c r="U90" s="239"/>
      <c r="V90" s="239"/>
      <c r="W90" s="239"/>
      <c r="X90" s="239"/>
      <c r="Y90" s="239"/>
      <c r="Z90" s="239"/>
      <c r="AA90" s="239"/>
      <c r="AB90" s="239"/>
      <c r="AC90" s="239"/>
      <c r="AD90" s="239"/>
      <c r="AE90" s="239"/>
      <c r="AF90" s="239"/>
      <c r="AG90" s="239"/>
      <c r="AH90" s="239"/>
      <c r="AI90" s="239"/>
      <c r="AJ90" s="239"/>
      <c r="AK90" s="239"/>
      <c r="AL90" s="239"/>
    </row>
    <row r="91" spans="1:38" s="234" customFormat="1" x14ac:dyDescent="0.25">
      <c r="A91" s="77">
        <f t="shared" si="10"/>
        <v>0</v>
      </c>
      <c r="B91" s="39" t="str">
        <f t="shared" si="6"/>
        <v/>
      </c>
      <c r="C91" s="40"/>
      <c r="D91" s="40"/>
      <c r="E91" s="40"/>
      <c r="F91" s="40"/>
      <c r="H91" s="251">
        <v>86</v>
      </c>
      <c r="I91" s="252" t="str">
        <f t="shared" si="7"/>
        <v/>
      </c>
      <c r="J91" s="251" t="e">
        <f t="shared" si="11"/>
        <v>#NUM!</v>
      </c>
      <c r="K91" s="251" t="e">
        <f t="shared" si="8"/>
        <v>#NUM!</v>
      </c>
      <c r="L91" s="251"/>
      <c r="M91" s="253">
        <f t="shared" si="9"/>
        <v>0</v>
      </c>
      <c r="S91" s="239"/>
      <c r="T91" s="239"/>
      <c r="U91" s="239"/>
      <c r="V91" s="239"/>
      <c r="W91" s="239"/>
      <c r="X91" s="239"/>
      <c r="Y91" s="239"/>
      <c r="Z91" s="239"/>
      <c r="AA91" s="239"/>
      <c r="AB91" s="239"/>
      <c r="AC91" s="239"/>
      <c r="AD91" s="239"/>
      <c r="AE91" s="239"/>
      <c r="AF91" s="239"/>
      <c r="AG91" s="239"/>
      <c r="AH91" s="239"/>
      <c r="AI91" s="239"/>
      <c r="AJ91" s="239"/>
      <c r="AK91" s="239"/>
      <c r="AL91" s="239"/>
    </row>
    <row r="92" spans="1:38" s="234" customFormat="1" x14ac:dyDescent="0.25">
      <c r="A92" s="76">
        <f t="shared" si="10"/>
        <v>0</v>
      </c>
      <c r="B92" s="33" t="str">
        <f t="shared" si="6"/>
        <v/>
      </c>
      <c r="C92" s="34"/>
      <c r="D92" s="34"/>
      <c r="E92" s="34"/>
      <c r="F92" s="34"/>
      <c r="H92" s="248">
        <v>87</v>
      </c>
      <c r="I92" s="249" t="str">
        <f t="shared" si="7"/>
        <v/>
      </c>
      <c r="J92" s="248" t="e">
        <f t="shared" si="11"/>
        <v>#NUM!</v>
      </c>
      <c r="K92" s="248" t="e">
        <f t="shared" si="8"/>
        <v>#NUM!</v>
      </c>
      <c r="L92" s="248"/>
      <c r="M92" s="250">
        <f t="shared" si="9"/>
        <v>0</v>
      </c>
      <c r="S92" s="239"/>
      <c r="T92" s="239"/>
      <c r="U92" s="239"/>
      <c r="V92" s="239"/>
      <c r="W92" s="239"/>
      <c r="X92" s="239"/>
      <c r="Y92" s="239"/>
      <c r="Z92" s="239"/>
      <c r="AA92" s="239"/>
      <c r="AB92" s="239"/>
      <c r="AC92" s="239"/>
      <c r="AD92" s="239"/>
      <c r="AE92" s="239"/>
      <c r="AF92" s="239"/>
      <c r="AG92" s="239"/>
      <c r="AH92" s="239"/>
      <c r="AI92" s="239"/>
      <c r="AJ92" s="239"/>
      <c r="AK92" s="239"/>
      <c r="AL92" s="239"/>
    </row>
    <row r="93" spans="1:38" s="234" customFormat="1" x14ac:dyDescent="0.25">
      <c r="A93" s="77">
        <f t="shared" si="10"/>
        <v>0</v>
      </c>
      <c r="B93" s="39" t="str">
        <f t="shared" si="6"/>
        <v/>
      </c>
      <c r="C93" s="40"/>
      <c r="D93" s="40"/>
      <c r="E93" s="40"/>
      <c r="F93" s="40"/>
      <c r="H93" s="251">
        <v>88</v>
      </c>
      <c r="I93" s="252" t="str">
        <f t="shared" si="7"/>
        <v/>
      </c>
      <c r="J93" s="251" t="e">
        <f t="shared" si="11"/>
        <v>#NUM!</v>
      </c>
      <c r="K93" s="251" t="e">
        <f t="shared" si="8"/>
        <v>#NUM!</v>
      </c>
      <c r="L93" s="251"/>
      <c r="M93" s="253">
        <f t="shared" si="9"/>
        <v>0</v>
      </c>
      <c r="S93" s="239"/>
      <c r="T93" s="239"/>
      <c r="U93" s="239"/>
      <c r="V93" s="239"/>
      <c r="W93" s="239"/>
      <c r="X93" s="239"/>
      <c r="Y93" s="239"/>
      <c r="Z93" s="239"/>
      <c r="AA93" s="239"/>
      <c r="AB93" s="239"/>
      <c r="AC93" s="239"/>
      <c r="AD93" s="239"/>
      <c r="AE93" s="239"/>
      <c r="AF93" s="239"/>
      <c r="AG93" s="239"/>
      <c r="AH93" s="239"/>
      <c r="AI93" s="239"/>
      <c r="AJ93" s="239"/>
      <c r="AK93" s="239"/>
      <c r="AL93" s="239"/>
    </row>
    <row r="94" spans="1:38" s="234" customFormat="1" x14ac:dyDescent="0.25">
      <c r="A94" s="76">
        <f t="shared" si="10"/>
        <v>0</v>
      </c>
      <c r="B94" s="33" t="str">
        <f t="shared" si="6"/>
        <v/>
      </c>
      <c r="C94" s="34"/>
      <c r="D94" s="34"/>
      <c r="E94" s="34"/>
      <c r="F94" s="34"/>
      <c r="H94" s="248">
        <v>89</v>
      </c>
      <c r="I94" s="249" t="str">
        <f t="shared" si="7"/>
        <v/>
      </c>
      <c r="J94" s="248" t="e">
        <f t="shared" si="11"/>
        <v>#NUM!</v>
      </c>
      <c r="K94" s="248" t="e">
        <f t="shared" si="8"/>
        <v>#NUM!</v>
      </c>
      <c r="L94" s="248"/>
      <c r="M94" s="250">
        <f t="shared" si="9"/>
        <v>0</v>
      </c>
      <c r="S94" s="239"/>
      <c r="T94" s="239"/>
      <c r="U94" s="239"/>
      <c r="V94" s="239"/>
      <c r="W94" s="239"/>
      <c r="X94" s="239"/>
      <c r="Y94" s="239"/>
      <c r="Z94" s="239"/>
      <c r="AA94" s="239"/>
      <c r="AB94" s="239"/>
      <c r="AC94" s="239"/>
      <c r="AD94" s="239"/>
      <c r="AE94" s="239"/>
      <c r="AF94" s="239"/>
      <c r="AG94" s="239"/>
      <c r="AH94" s="239"/>
      <c r="AI94" s="239"/>
      <c r="AJ94" s="239"/>
      <c r="AK94" s="239"/>
      <c r="AL94" s="239"/>
    </row>
    <row r="95" spans="1:38" s="234" customFormat="1" x14ac:dyDescent="0.25">
      <c r="A95" s="77">
        <f t="shared" si="10"/>
        <v>0</v>
      </c>
      <c r="B95" s="39" t="str">
        <f t="shared" si="6"/>
        <v/>
      </c>
      <c r="C95" s="40"/>
      <c r="D95" s="40"/>
      <c r="E95" s="40"/>
      <c r="F95" s="40"/>
      <c r="H95" s="251">
        <v>90</v>
      </c>
      <c r="I95" s="252" t="str">
        <f t="shared" si="7"/>
        <v/>
      </c>
      <c r="J95" s="251" t="e">
        <f t="shared" si="11"/>
        <v>#NUM!</v>
      </c>
      <c r="K95" s="251" t="e">
        <f t="shared" si="8"/>
        <v>#NUM!</v>
      </c>
      <c r="L95" s="251"/>
      <c r="M95" s="253">
        <f t="shared" si="9"/>
        <v>0</v>
      </c>
      <c r="S95" s="239"/>
      <c r="T95" s="239"/>
      <c r="U95" s="239"/>
      <c r="V95" s="239"/>
      <c r="W95" s="239"/>
      <c r="X95" s="239"/>
      <c r="Y95" s="239"/>
      <c r="Z95" s="239"/>
      <c r="AA95" s="239"/>
      <c r="AB95" s="239"/>
      <c r="AC95" s="239"/>
      <c r="AD95" s="239"/>
      <c r="AE95" s="239"/>
      <c r="AF95" s="239"/>
      <c r="AG95" s="239"/>
      <c r="AH95" s="239"/>
      <c r="AI95" s="239"/>
      <c r="AJ95" s="239"/>
      <c r="AK95" s="239"/>
      <c r="AL95" s="239"/>
    </row>
    <row r="96" spans="1:38" s="234" customFormat="1" x14ac:dyDescent="0.25">
      <c r="A96" s="76">
        <f t="shared" si="10"/>
        <v>0</v>
      </c>
      <c r="B96" s="33" t="str">
        <f t="shared" si="6"/>
        <v/>
      </c>
      <c r="C96" s="34"/>
      <c r="D96" s="34"/>
      <c r="E96" s="34"/>
      <c r="F96" s="34"/>
      <c r="H96" s="248">
        <v>91</v>
      </c>
      <c r="I96" s="249" t="str">
        <f t="shared" si="7"/>
        <v/>
      </c>
      <c r="J96" s="248" t="e">
        <f t="shared" si="11"/>
        <v>#NUM!</v>
      </c>
      <c r="K96" s="248" t="e">
        <f t="shared" si="8"/>
        <v>#NUM!</v>
      </c>
      <c r="L96" s="248"/>
      <c r="M96" s="250">
        <f t="shared" si="9"/>
        <v>0</v>
      </c>
      <c r="S96" s="239"/>
      <c r="T96" s="239"/>
      <c r="U96" s="239"/>
      <c r="V96" s="239"/>
      <c r="W96" s="239"/>
      <c r="X96" s="239"/>
      <c r="Y96" s="239"/>
      <c r="Z96" s="239"/>
      <c r="AA96" s="239"/>
      <c r="AB96" s="239"/>
      <c r="AC96" s="239"/>
      <c r="AD96" s="239"/>
      <c r="AE96" s="239"/>
      <c r="AF96" s="239"/>
      <c r="AG96" s="239"/>
      <c r="AH96" s="239"/>
      <c r="AI96" s="239"/>
      <c r="AJ96" s="239"/>
      <c r="AK96" s="239"/>
      <c r="AL96" s="239"/>
    </row>
    <row r="97" spans="1:38" s="234" customFormat="1" x14ac:dyDescent="0.25">
      <c r="A97" s="77">
        <f t="shared" si="10"/>
        <v>0</v>
      </c>
      <c r="B97" s="39" t="str">
        <f t="shared" si="6"/>
        <v/>
      </c>
      <c r="C97" s="40"/>
      <c r="D97" s="40"/>
      <c r="E97" s="40"/>
      <c r="F97" s="40"/>
      <c r="H97" s="251">
        <v>92</v>
      </c>
      <c r="I97" s="252" t="str">
        <f t="shared" si="7"/>
        <v/>
      </c>
      <c r="J97" s="251" t="e">
        <f t="shared" si="11"/>
        <v>#NUM!</v>
      </c>
      <c r="K97" s="251" t="e">
        <f t="shared" si="8"/>
        <v>#NUM!</v>
      </c>
      <c r="L97" s="251"/>
      <c r="M97" s="253">
        <f t="shared" si="9"/>
        <v>0</v>
      </c>
      <c r="S97" s="239"/>
      <c r="T97" s="239"/>
      <c r="U97" s="239"/>
      <c r="V97" s="239"/>
      <c r="W97" s="239"/>
      <c r="X97" s="239"/>
      <c r="Y97" s="239"/>
      <c r="Z97" s="239"/>
      <c r="AA97" s="239"/>
      <c r="AB97" s="239"/>
      <c r="AC97" s="239"/>
      <c r="AD97" s="239"/>
      <c r="AE97" s="239"/>
      <c r="AF97" s="239"/>
      <c r="AG97" s="239"/>
      <c r="AH97" s="239"/>
      <c r="AI97" s="239"/>
      <c r="AJ97" s="239"/>
      <c r="AK97" s="239"/>
      <c r="AL97" s="239"/>
    </row>
    <row r="98" spans="1:38" s="234" customFormat="1" x14ac:dyDescent="0.25">
      <c r="A98" s="76">
        <f t="shared" si="10"/>
        <v>0</v>
      </c>
      <c r="B98" s="33" t="str">
        <f t="shared" si="6"/>
        <v/>
      </c>
      <c r="C98" s="34"/>
      <c r="D98" s="34"/>
      <c r="E98" s="34"/>
      <c r="F98" s="34"/>
      <c r="H98" s="248">
        <v>93</v>
      </c>
      <c r="I98" s="249" t="str">
        <f t="shared" si="7"/>
        <v/>
      </c>
      <c r="J98" s="248" t="e">
        <f t="shared" si="11"/>
        <v>#NUM!</v>
      </c>
      <c r="K98" s="248" t="e">
        <f t="shared" si="8"/>
        <v>#NUM!</v>
      </c>
      <c r="L98" s="248"/>
      <c r="M98" s="250">
        <f t="shared" si="9"/>
        <v>0</v>
      </c>
      <c r="S98" s="239"/>
      <c r="T98" s="239"/>
      <c r="U98" s="239"/>
      <c r="V98" s="239"/>
      <c r="W98" s="239"/>
      <c r="X98" s="239"/>
      <c r="Y98" s="239"/>
      <c r="Z98" s="239"/>
      <c r="AA98" s="239"/>
      <c r="AB98" s="239"/>
      <c r="AC98" s="239"/>
      <c r="AD98" s="239"/>
      <c r="AE98" s="239"/>
      <c r="AF98" s="239"/>
      <c r="AG98" s="239"/>
      <c r="AH98" s="239"/>
      <c r="AI98" s="239"/>
      <c r="AJ98" s="239"/>
      <c r="AK98" s="239"/>
      <c r="AL98" s="239"/>
    </row>
    <row r="99" spans="1:38" s="234" customFormat="1" x14ac:dyDescent="0.25">
      <c r="A99" s="77">
        <f t="shared" si="10"/>
        <v>0</v>
      </c>
      <c r="B99" s="39" t="str">
        <f t="shared" si="6"/>
        <v/>
      </c>
      <c r="C99" s="40"/>
      <c r="D99" s="40"/>
      <c r="E99" s="40"/>
      <c r="F99" s="40"/>
      <c r="H99" s="251">
        <v>94</v>
      </c>
      <c r="I99" s="252" t="str">
        <f t="shared" si="7"/>
        <v/>
      </c>
      <c r="J99" s="251" t="e">
        <f t="shared" si="11"/>
        <v>#NUM!</v>
      </c>
      <c r="K99" s="251" t="e">
        <f t="shared" si="8"/>
        <v>#NUM!</v>
      </c>
      <c r="L99" s="251"/>
      <c r="M99" s="253">
        <f t="shared" si="9"/>
        <v>0</v>
      </c>
      <c r="S99" s="239"/>
      <c r="T99" s="239"/>
      <c r="U99" s="239"/>
      <c r="V99" s="239"/>
      <c r="W99" s="239"/>
      <c r="X99" s="239"/>
      <c r="Y99" s="239"/>
      <c r="Z99" s="239"/>
      <c r="AA99" s="239"/>
      <c r="AB99" s="239"/>
      <c r="AC99" s="239"/>
      <c r="AD99" s="239"/>
      <c r="AE99" s="239"/>
      <c r="AF99" s="239"/>
      <c r="AG99" s="239"/>
      <c r="AH99" s="239"/>
      <c r="AI99" s="239"/>
      <c r="AJ99" s="239"/>
      <c r="AK99" s="239"/>
      <c r="AL99" s="239"/>
    </row>
    <row r="100" spans="1:38" s="234" customFormat="1" x14ac:dyDescent="0.25">
      <c r="A100" s="76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248">
        <v>95</v>
      </c>
      <c r="I100" s="249" t="str">
        <f t="shared" si="7"/>
        <v/>
      </c>
      <c r="J100" s="248" t="e">
        <f t="shared" si="11"/>
        <v>#NUM!</v>
      </c>
      <c r="K100" s="248" t="e">
        <f t="shared" si="8"/>
        <v>#NUM!</v>
      </c>
      <c r="L100" s="248"/>
      <c r="M100" s="250">
        <f t="shared" si="9"/>
        <v>0</v>
      </c>
      <c r="S100" s="239"/>
      <c r="T100" s="239"/>
      <c r="U100" s="239"/>
      <c r="V100" s="239"/>
      <c r="W100" s="239"/>
      <c r="X100" s="239"/>
      <c r="Y100" s="239"/>
      <c r="Z100" s="239"/>
      <c r="AA100" s="239"/>
      <c r="AB100" s="239"/>
      <c r="AC100" s="239"/>
      <c r="AD100" s="239"/>
      <c r="AE100" s="239"/>
      <c r="AF100" s="239"/>
      <c r="AG100" s="239"/>
      <c r="AH100" s="239"/>
      <c r="AI100" s="239"/>
      <c r="AJ100" s="239"/>
      <c r="AK100" s="239"/>
      <c r="AL100" s="239"/>
    </row>
    <row r="101" spans="1:38" s="234" customFormat="1" x14ac:dyDescent="0.25">
      <c r="A101" s="77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251">
        <v>96</v>
      </c>
      <c r="I101" s="252" t="str">
        <f t="shared" si="7"/>
        <v/>
      </c>
      <c r="J101" s="251" t="e">
        <f t="shared" si="11"/>
        <v>#NUM!</v>
      </c>
      <c r="K101" s="251" t="e">
        <f t="shared" si="8"/>
        <v>#NUM!</v>
      </c>
      <c r="L101" s="251"/>
      <c r="M101" s="253">
        <f t="shared" si="9"/>
        <v>0</v>
      </c>
      <c r="S101" s="239"/>
      <c r="T101" s="239"/>
      <c r="U101" s="239"/>
      <c r="V101" s="239"/>
      <c r="W101" s="239"/>
      <c r="X101" s="239"/>
      <c r="Y101" s="239"/>
      <c r="Z101" s="239"/>
      <c r="AA101" s="239"/>
      <c r="AB101" s="239"/>
      <c r="AC101" s="239"/>
      <c r="AD101" s="239"/>
      <c r="AE101" s="239"/>
      <c r="AF101" s="239"/>
      <c r="AG101" s="239"/>
      <c r="AH101" s="239"/>
      <c r="AI101" s="239"/>
      <c r="AJ101" s="239"/>
      <c r="AK101" s="239"/>
      <c r="AL101" s="239"/>
    </row>
    <row r="102" spans="1:38" s="234" customFormat="1" x14ac:dyDescent="0.25">
      <c r="A102" s="76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248">
        <v>97</v>
      </c>
      <c r="I102" s="249" t="str">
        <f t="shared" si="7"/>
        <v/>
      </c>
      <c r="J102" s="248" t="e">
        <f t="shared" si="11"/>
        <v>#NUM!</v>
      </c>
      <c r="K102" s="248" t="e">
        <f t="shared" si="8"/>
        <v>#NUM!</v>
      </c>
      <c r="L102" s="248"/>
      <c r="M102" s="250">
        <f t="shared" si="9"/>
        <v>0</v>
      </c>
      <c r="S102" s="239"/>
      <c r="T102" s="239"/>
      <c r="U102" s="239"/>
      <c r="V102" s="239"/>
      <c r="W102" s="239"/>
      <c r="X102" s="239"/>
      <c r="Y102" s="239"/>
      <c r="Z102" s="239"/>
      <c r="AA102" s="239"/>
      <c r="AB102" s="239"/>
      <c r="AC102" s="239"/>
      <c r="AD102" s="239"/>
      <c r="AE102" s="239"/>
      <c r="AF102" s="239"/>
      <c r="AG102" s="239"/>
      <c r="AH102" s="239"/>
      <c r="AI102" s="239"/>
      <c r="AJ102" s="239"/>
      <c r="AK102" s="239"/>
      <c r="AL102" s="239"/>
    </row>
    <row r="103" spans="1:38" s="234" customFormat="1" x14ac:dyDescent="0.25">
      <c r="A103" s="77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251">
        <v>98</v>
      </c>
      <c r="I103" s="252" t="str">
        <f t="shared" si="7"/>
        <v/>
      </c>
      <c r="J103" s="251" t="e">
        <f t="shared" si="11"/>
        <v>#NUM!</v>
      </c>
      <c r="K103" s="251" t="e">
        <f t="shared" si="8"/>
        <v>#NUM!</v>
      </c>
      <c r="L103" s="251"/>
      <c r="M103" s="253">
        <f t="shared" si="9"/>
        <v>0</v>
      </c>
      <c r="S103" s="239"/>
      <c r="T103" s="239"/>
      <c r="U103" s="239"/>
      <c r="V103" s="239"/>
      <c r="W103" s="239"/>
      <c r="X103" s="239"/>
      <c r="Y103" s="239"/>
      <c r="Z103" s="239"/>
      <c r="AA103" s="239"/>
      <c r="AB103" s="239"/>
      <c r="AC103" s="239"/>
      <c r="AD103" s="239"/>
      <c r="AE103" s="239"/>
      <c r="AF103" s="239"/>
      <c r="AG103" s="239"/>
      <c r="AH103" s="239"/>
      <c r="AI103" s="239"/>
      <c r="AJ103" s="239"/>
      <c r="AK103" s="239"/>
      <c r="AL103" s="239"/>
    </row>
    <row r="104" spans="1:38" s="234" customFormat="1" x14ac:dyDescent="0.25">
      <c r="A104" s="76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248">
        <v>99</v>
      </c>
      <c r="I104" s="249" t="str">
        <f t="shared" si="7"/>
        <v/>
      </c>
      <c r="J104" s="248" t="e">
        <f t="shared" si="11"/>
        <v>#NUM!</v>
      </c>
      <c r="K104" s="248" t="e">
        <f t="shared" si="8"/>
        <v>#NUM!</v>
      </c>
      <c r="L104" s="248"/>
      <c r="M104" s="250">
        <f t="shared" si="9"/>
        <v>0</v>
      </c>
      <c r="S104" s="239"/>
      <c r="T104" s="239"/>
      <c r="U104" s="239"/>
      <c r="V104" s="239"/>
      <c r="W104" s="239"/>
      <c r="X104" s="239"/>
      <c r="Y104" s="239"/>
      <c r="Z104" s="239"/>
      <c r="AA104" s="239"/>
      <c r="AB104" s="239"/>
      <c r="AC104" s="239"/>
      <c r="AD104" s="239"/>
      <c r="AE104" s="239"/>
      <c r="AF104" s="239"/>
      <c r="AG104" s="239"/>
      <c r="AH104" s="239"/>
      <c r="AI104" s="239"/>
      <c r="AJ104" s="239"/>
      <c r="AK104" s="239"/>
      <c r="AL104" s="239"/>
    </row>
    <row r="105" spans="1:38" s="234" customFormat="1" x14ac:dyDescent="0.25">
      <c r="A105" s="77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251">
        <v>100</v>
      </c>
      <c r="I105" s="252" t="str">
        <f t="shared" si="7"/>
        <v/>
      </c>
      <c r="J105" s="251" t="e">
        <f t="shared" si="11"/>
        <v>#NUM!</v>
      </c>
      <c r="K105" s="251" t="e">
        <f t="shared" si="8"/>
        <v>#NUM!</v>
      </c>
      <c r="L105" s="251"/>
      <c r="M105" s="253">
        <f t="shared" si="9"/>
        <v>0</v>
      </c>
      <c r="S105" s="239"/>
      <c r="T105" s="239"/>
      <c r="U105" s="239"/>
      <c r="V105" s="239"/>
      <c r="W105" s="239"/>
      <c r="X105" s="239"/>
      <c r="Y105" s="239"/>
      <c r="Z105" s="239"/>
      <c r="AA105" s="239"/>
      <c r="AB105" s="239"/>
      <c r="AC105" s="239"/>
      <c r="AD105" s="239"/>
      <c r="AE105" s="239"/>
      <c r="AF105" s="239"/>
      <c r="AG105" s="239"/>
      <c r="AH105" s="239"/>
      <c r="AI105" s="239"/>
      <c r="AJ105" s="239"/>
      <c r="AK105" s="239"/>
      <c r="AL105" s="239"/>
    </row>
    <row r="106" spans="1:38" s="234" customFormat="1" x14ac:dyDescent="0.25">
      <c r="A106" s="76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248">
        <v>101</v>
      </c>
      <c r="I106" s="249" t="str">
        <f t="shared" si="7"/>
        <v/>
      </c>
      <c r="J106" s="248" t="e">
        <f t="shared" si="11"/>
        <v>#NUM!</v>
      </c>
      <c r="K106" s="248" t="e">
        <f t="shared" si="8"/>
        <v>#NUM!</v>
      </c>
      <c r="L106" s="248"/>
      <c r="M106" s="250">
        <f t="shared" si="9"/>
        <v>0</v>
      </c>
      <c r="S106" s="239"/>
      <c r="T106" s="239"/>
      <c r="U106" s="239"/>
      <c r="V106" s="239"/>
      <c r="W106" s="239"/>
      <c r="X106" s="239"/>
      <c r="Y106" s="239"/>
      <c r="Z106" s="239"/>
      <c r="AA106" s="239"/>
      <c r="AB106" s="239"/>
      <c r="AC106" s="239"/>
      <c r="AD106" s="239"/>
      <c r="AE106" s="239"/>
      <c r="AF106" s="239"/>
      <c r="AG106" s="239"/>
      <c r="AH106" s="239"/>
      <c r="AI106" s="239"/>
      <c r="AJ106" s="239"/>
      <c r="AK106" s="239"/>
      <c r="AL106" s="239"/>
    </row>
    <row r="107" spans="1:38" s="234" customFormat="1" x14ac:dyDescent="0.25">
      <c r="A107" s="77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251">
        <v>102</v>
      </c>
      <c r="I107" s="252" t="str">
        <f t="shared" si="7"/>
        <v/>
      </c>
      <c r="J107" s="251" t="e">
        <f t="shared" si="11"/>
        <v>#NUM!</v>
      </c>
      <c r="K107" s="251" t="e">
        <f t="shared" si="8"/>
        <v>#NUM!</v>
      </c>
      <c r="L107" s="251"/>
      <c r="M107" s="253">
        <f t="shared" si="9"/>
        <v>0</v>
      </c>
      <c r="S107" s="239"/>
      <c r="T107" s="239"/>
      <c r="U107" s="239"/>
      <c r="V107" s="239"/>
      <c r="W107" s="239"/>
      <c r="X107" s="239"/>
      <c r="Y107" s="239"/>
      <c r="Z107" s="239"/>
      <c r="AA107" s="239"/>
      <c r="AB107" s="239"/>
      <c r="AC107" s="239"/>
      <c r="AD107" s="239"/>
      <c r="AE107" s="239"/>
      <c r="AF107" s="239"/>
      <c r="AG107" s="239"/>
      <c r="AH107" s="239"/>
      <c r="AI107" s="239"/>
      <c r="AJ107" s="239"/>
      <c r="AK107" s="239"/>
      <c r="AL107" s="239"/>
    </row>
    <row r="108" spans="1:38" s="234" customFormat="1" x14ac:dyDescent="0.25">
      <c r="A108" s="76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248">
        <v>103</v>
      </c>
      <c r="I108" s="249" t="str">
        <f t="shared" si="7"/>
        <v/>
      </c>
      <c r="J108" s="248" t="e">
        <f t="shared" si="11"/>
        <v>#NUM!</v>
      </c>
      <c r="K108" s="248" t="e">
        <f t="shared" si="8"/>
        <v>#NUM!</v>
      </c>
      <c r="L108" s="248"/>
      <c r="M108" s="250">
        <f t="shared" si="9"/>
        <v>0</v>
      </c>
      <c r="S108" s="239"/>
      <c r="T108" s="239"/>
      <c r="U108" s="239"/>
      <c r="V108" s="239"/>
      <c r="W108" s="239"/>
      <c r="X108" s="239"/>
      <c r="Y108" s="239"/>
      <c r="Z108" s="239"/>
      <c r="AA108" s="239"/>
      <c r="AB108" s="239"/>
      <c r="AC108" s="239"/>
      <c r="AD108" s="239"/>
      <c r="AE108" s="239"/>
      <c r="AF108" s="239"/>
      <c r="AG108" s="239"/>
      <c r="AH108" s="239"/>
      <c r="AI108" s="239"/>
      <c r="AJ108" s="239"/>
      <c r="AK108" s="239"/>
      <c r="AL108" s="239"/>
    </row>
    <row r="109" spans="1:38" s="234" customFormat="1" x14ac:dyDescent="0.25">
      <c r="A109" s="77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251">
        <v>104</v>
      </c>
      <c r="I109" s="252" t="str">
        <f t="shared" si="7"/>
        <v/>
      </c>
      <c r="J109" s="251" t="e">
        <f t="shared" si="11"/>
        <v>#NUM!</v>
      </c>
      <c r="K109" s="251" t="e">
        <f t="shared" si="8"/>
        <v>#NUM!</v>
      </c>
      <c r="L109" s="251"/>
      <c r="M109" s="253">
        <f t="shared" si="9"/>
        <v>0</v>
      </c>
      <c r="S109" s="239"/>
      <c r="T109" s="239"/>
      <c r="U109" s="239"/>
      <c r="V109" s="239"/>
      <c r="W109" s="239"/>
      <c r="X109" s="239"/>
      <c r="Y109" s="239"/>
      <c r="Z109" s="239"/>
      <c r="AA109" s="239"/>
      <c r="AB109" s="239"/>
      <c r="AC109" s="239"/>
      <c r="AD109" s="239"/>
      <c r="AE109" s="239"/>
      <c r="AF109" s="239"/>
      <c r="AG109" s="239"/>
      <c r="AH109" s="239"/>
      <c r="AI109" s="239"/>
      <c r="AJ109" s="239"/>
      <c r="AK109" s="239"/>
      <c r="AL109" s="239"/>
    </row>
    <row r="110" spans="1:38" s="234" customFormat="1" x14ac:dyDescent="0.25">
      <c r="A110" s="76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248">
        <v>105</v>
      </c>
      <c r="I110" s="249" t="str">
        <f t="shared" si="7"/>
        <v/>
      </c>
      <c r="J110" s="248" t="e">
        <f t="shared" si="11"/>
        <v>#NUM!</v>
      </c>
      <c r="K110" s="248" t="e">
        <f t="shared" si="8"/>
        <v>#NUM!</v>
      </c>
      <c r="L110" s="248"/>
      <c r="M110" s="250">
        <f t="shared" si="9"/>
        <v>0</v>
      </c>
      <c r="S110" s="239"/>
      <c r="T110" s="239"/>
      <c r="U110" s="239"/>
      <c r="V110" s="239"/>
      <c r="W110" s="239"/>
      <c r="X110" s="239"/>
      <c r="Y110" s="239"/>
      <c r="Z110" s="239"/>
      <c r="AA110" s="239"/>
      <c r="AB110" s="239"/>
      <c r="AC110" s="239"/>
      <c r="AD110" s="239"/>
      <c r="AE110" s="239"/>
      <c r="AF110" s="239"/>
      <c r="AG110" s="239"/>
      <c r="AH110" s="239"/>
      <c r="AI110" s="239"/>
      <c r="AJ110" s="239"/>
      <c r="AK110" s="239"/>
      <c r="AL110" s="239"/>
    </row>
    <row r="111" spans="1:38" s="234" customFormat="1" x14ac:dyDescent="0.25">
      <c r="A111" s="77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251">
        <v>106</v>
      </c>
      <c r="I111" s="252" t="str">
        <f t="shared" si="7"/>
        <v/>
      </c>
      <c r="J111" s="251" t="e">
        <f t="shared" si="11"/>
        <v>#NUM!</v>
      </c>
      <c r="K111" s="251" t="e">
        <f t="shared" si="8"/>
        <v>#NUM!</v>
      </c>
      <c r="L111" s="251"/>
      <c r="M111" s="253">
        <f t="shared" si="9"/>
        <v>0</v>
      </c>
      <c r="S111" s="239"/>
      <c r="T111" s="239"/>
      <c r="U111" s="239"/>
      <c r="V111" s="239"/>
      <c r="W111" s="239"/>
      <c r="X111" s="239"/>
      <c r="Y111" s="239"/>
      <c r="Z111" s="239"/>
      <c r="AA111" s="239"/>
      <c r="AB111" s="239"/>
      <c r="AC111" s="239"/>
      <c r="AD111" s="239"/>
      <c r="AE111" s="239"/>
      <c r="AF111" s="239"/>
      <c r="AG111" s="239"/>
      <c r="AH111" s="239"/>
      <c r="AI111" s="239"/>
      <c r="AJ111" s="239"/>
      <c r="AK111" s="239"/>
      <c r="AL111" s="239"/>
    </row>
    <row r="112" spans="1:38" s="234" customFormat="1" x14ac:dyDescent="0.25">
      <c r="A112" s="76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248">
        <v>107</v>
      </c>
      <c r="I112" s="249" t="str">
        <f t="shared" si="7"/>
        <v/>
      </c>
      <c r="J112" s="248" t="e">
        <f t="shared" si="11"/>
        <v>#NUM!</v>
      </c>
      <c r="K112" s="248" t="e">
        <f t="shared" si="8"/>
        <v>#NUM!</v>
      </c>
      <c r="L112" s="248"/>
      <c r="M112" s="250">
        <f t="shared" si="9"/>
        <v>0</v>
      </c>
      <c r="S112" s="239"/>
      <c r="T112" s="239"/>
      <c r="U112" s="239"/>
      <c r="V112" s="239"/>
      <c r="W112" s="239"/>
      <c r="X112" s="239"/>
      <c r="Y112" s="239"/>
      <c r="Z112" s="239"/>
      <c r="AA112" s="239"/>
      <c r="AB112" s="239"/>
      <c r="AC112" s="239"/>
      <c r="AD112" s="239"/>
      <c r="AE112" s="239"/>
      <c r="AF112" s="239"/>
      <c r="AG112" s="239"/>
      <c r="AH112" s="239"/>
      <c r="AI112" s="239"/>
      <c r="AJ112" s="239"/>
      <c r="AK112" s="239"/>
      <c r="AL112" s="239"/>
    </row>
    <row r="113" spans="1:38" s="234" customFormat="1" x14ac:dyDescent="0.25">
      <c r="A113" s="77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251">
        <v>108</v>
      </c>
      <c r="I113" s="252" t="str">
        <f t="shared" si="7"/>
        <v/>
      </c>
      <c r="J113" s="251" t="e">
        <f t="shared" si="11"/>
        <v>#NUM!</v>
      </c>
      <c r="K113" s="251" t="e">
        <f t="shared" si="8"/>
        <v>#NUM!</v>
      </c>
      <c r="L113" s="251"/>
      <c r="M113" s="253">
        <f t="shared" si="9"/>
        <v>0</v>
      </c>
      <c r="S113" s="239"/>
      <c r="T113" s="239"/>
      <c r="U113" s="239"/>
      <c r="V113" s="239"/>
      <c r="W113" s="239"/>
      <c r="X113" s="239"/>
      <c r="Y113" s="239"/>
      <c r="Z113" s="239"/>
      <c r="AA113" s="239"/>
      <c r="AB113" s="239"/>
      <c r="AC113" s="239"/>
      <c r="AD113" s="239"/>
      <c r="AE113" s="239"/>
      <c r="AF113" s="239"/>
      <c r="AG113" s="239"/>
      <c r="AH113" s="239"/>
      <c r="AI113" s="239"/>
      <c r="AJ113" s="239"/>
      <c r="AK113" s="239"/>
      <c r="AL113" s="239"/>
    </row>
    <row r="114" spans="1:38" s="234" customFormat="1" x14ac:dyDescent="0.25">
      <c r="A114" s="76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248">
        <v>109</v>
      </c>
      <c r="I114" s="249" t="str">
        <f t="shared" si="7"/>
        <v/>
      </c>
      <c r="J114" s="248" t="e">
        <f t="shared" si="11"/>
        <v>#NUM!</v>
      </c>
      <c r="K114" s="248" t="e">
        <f t="shared" si="8"/>
        <v>#NUM!</v>
      </c>
      <c r="L114" s="248"/>
      <c r="M114" s="250">
        <f t="shared" si="9"/>
        <v>0</v>
      </c>
      <c r="S114" s="239"/>
      <c r="T114" s="239"/>
      <c r="U114" s="239"/>
      <c r="V114" s="239"/>
      <c r="W114" s="239"/>
      <c r="X114" s="239"/>
      <c r="Y114" s="239"/>
      <c r="Z114" s="239"/>
      <c r="AA114" s="239"/>
      <c r="AB114" s="239"/>
      <c r="AC114" s="239"/>
      <c r="AD114" s="239"/>
      <c r="AE114" s="239"/>
      <c r="AF114" s="239"/>
      <c r="AG114" s="239"/>
      <c r="AH114" s="239"/>
      <c r="AI114" s="239"/>
      <c r="AJ114" s="239"/>
      <c r="AK114" s="239"/>
      <c r="AL114" s="239"/>
    </row>
    <row r="115" spans="1:38" s="234" customFormat="1" x14ac:dyDescent="0.25">
      <c r="A115" s="77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251">
        <v>110</v>
      </c>
      <c r="I115" s="252" t="str">
        <f t="shared" si="7"/>
        <v/>
      </c>
      <c r="J115" s="251" t="e">
        <f t="shared" si="11"/>
        <v>#NUM!</v>
      </c>
      <c r="K115" s="251" t="e">
        <f t="shared" si="8"/>
        <v>#NUM!</v>
      </c>
      <c r="L115" s="251"/>
      <c r="M115" s="253">
        <f t="shared" si="9"/>
        <v>0</v>
      </c>
      <c r="S115" s="239"/>
      <c r="T115" s="239"/>
      <c r="U115" s="239"/>
      <c r="V115" s="239"/>
      <c r="W115" s="239"/>
      <c r="X115" s="239"/>
      <c r="Y115" s="239"/>
      <c r="Z115" s="239"/>
      <c r="AA115" s="239"/>
      <c r="AB115" s="239"/>
      <c r="AC115" s="239"/>
      <c r="AD115" s="239"/>
      <c r="AE115" s="239"/>
      <c r="AF115" s="239"/>
      <c r="AG115" s="239"/>
      <c r="AH115" s="239"/>
      <c r="AI115" s="239"/>
      <c r="AJ115" s="239"/>
      <c r="AK115" s="239"/>
      <c r="AL115" s="239"/>
    </row>
    <row r="116" spans="1:38" s="234" customFormat="1" x14ac:dyDescent="0.25">
      <c r="A116" s="76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248">
        <v>111</v>
      </c>
      <c r="I116" s="249" t="str">
        <f t="shared" si="7"/>
        <v/>
      </c>
      <c r="J116" s="248" t="e">
        <f t="shared" si="11"/>
        <v>#NUM!</v>
      </c>
      <c r="K116" s="248" t="e">
        <f t="shared" si="8"/>
        <v>#NUM!</v>
      </c>
      <c r="L116" s="248"/>
      <c r="M116" s="250">
        <f t="shared" si="9"/>
        <v>0</v>
      </c>
      <c r="S116" s="239"/>
      <c r="T116" s="239"/>
      <c r="U116" s="239"/>
      <c r="V116" s="239"/>
      <c r="W116" s="239"/>
      <c r="X116" s="239"/>
      <c r="Y116" s="239"/>
      <c r="Z116" s="239"/>
      <c r="AA116" s="239"/>
      <c r="AB116" s="239"/>
      <c r="AC116" s="239"/>
      <c r="AD116" s="239"/>
      <c r="AE116" s="239"/>
      <c r="AF116" s="239"/>
      <c r="AG116" s="239"/>
      <c r="AH116" s="239"/>
      <c r="AI116" s="239"/>
      <c r="AJ116" s="239"/>
      <c r="AK116" s="239"/>
      <c r="AL116" s="239"/>
    </row>
    <row r="117" spans="1:38" s="234" customFormat="1" x14ac:dyDescent="0.25">
      <c r="A117" s="77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251">
        <v>112</v>
      </c>
      <c r="I117" s="252" t="str">
        <f t="shared" si="7"/>
        <v/>
      </c>
      <c r="J117" s="251" t="e">
        <f t="shared" si="11"/>
        <v>#NUM!</v>
      </c>
      <c r="K117" s="251" t="e">
        <f t="shared" si="8"/>
        <v>#NUM!</v>
      </c>
      <c r="L117" s="251"/>
      <c r="M117" s="253">
        <f t="shared" si="9"/>
        <v>0</v>
      </c>
      <c r="S117" s="239"/>
      <c r="T117" s="239"/>
      <c r="U117" s="239"/>
      <c r="V117" s="239"/>
      <c r="W117" s="239"/>
      <c r="X117" s="239"/>
      <c r="Y117" s="239"/>
      <c r="Z117" s="239"/>
      <c r="AA117" s="239"/>
      <c r="AB117" s="239"/>
      <c r="AC117" s="239"/>
      <c r="AD117" s="239"/>
      <c r="AE117" s="239"/>
      <c r="AF117" s="239"/>
      <c r="AG117" s="239"/>
      <c r="AH117" s="239"/>
      <c r="AI117" s="239"/>
      <c r="AJ117" s="239"/>
      <c r="AK117" s="239"/>
      <c r="AL117" s="239"/>
    </row>
    <row r="118" spans="1:38" s="234" customFormat="1" x14ac:dyDescent="0.25">
      <c r="A118" s="76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248">
        <v>113</v>
      </c>
      <c r="I118" s="249" t="str">
        <f t="shared" si="7"/>
        <v/>
      </c>
      <c r="J118" s="248" t="e">
        <f t="shared" si="11"/>
        <v>#NUM!</v>
      </c>
      <c r="K118" s="248" t="e">
        <f t="shared" si="8"/>
        <v>#NUM!</v>
      </c>
      <c r="L118" s="248"/>
      <c r="M118" s="250">
        <f t="shared" si="9"/>
        <v>0</v>
      </c>
      <c r="S118" s="239"/>
      <c r="T118" s="239"/>
      <c r="U118" s="239"/>
      <c r="V118" s="239"/>
      <c r="W118" s="239"/>
      <c r="X118" s="239"/>
      <c r="Y118" s="239"/>
      <c r="Z118" s="239"/>
      <c r="AA118" s="239"/>
      <c r="AB118" s="239"/>
      <c r="AC118" s="239"/>
      <c r="AD118" s="239"/>
      <c r="AE118" s="239"/>
      <c r="AF118" s="239"/>
      <c r="AG118" s="239"/>
      <c r="AH118" s="239"/>
      <c r="AI118" s="239"/>
      <c r="AJ118" s="239"/>
      <c r="AK118" s="239"/>
      <c r="AL118" s="239"/>
    </row>
    <row r="119" spans="1:38" s="234" customFormat="1" x14ac:dyDescent="0.25">
      <c r="A119" s="77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251">
        <v>114</v>
      </c>
      <c r="I119" s="252" t="str">
        <f t="shared" si="7"/>
        <v/>
      </c>
      <c r="J119" s="251" t="e">
        <f t="shared" si="11"/>
        <v>#NUM!</v>
      </c>
      <c r="K119" s="251" t="e">
        <f t="shared" si="8"/>
        <v>#NUM!</v>
      </c>
      <c r="L119" s="251"/>
      <c r="M119" s="253">
        <f t="shared" si="9"/>
        <v>0</v>
      </c>
      <c r="S119" s="239"/>
      <c r="T119" s="239"/>
      <c r="U119" s="239"/>
      <c r="V119" s="239"/>
      <c r="W119" s="239"/>
      <c r="X119" s="239"/>
      <c r="Y119" s="239"/>
      <c r="Z119" s="239"/>
      <c r="AA119" s="239"/>
      <c r="AB119" s="239"/>
      <c r="AC119" s="239"/>
      <c r="AD119" s="239"/>
      <c r="AE119" s="239"/>
      <c r="AF119" s="239"/>
      <c r="AG119" s="239"/>
      <c r="AH119" s="239"/>
      <c r="AI119" s="239"/>
      <c r="AJ119" s="239"/>
      <c r="AK119" s="239"/>
      <c r="AL119" s="239"/>
    </row>
    <row r="120" spans="1:38" s="234" customFormat="1" x14ac:dyDescent="0.25">
      <c r="A120" s="76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248">
        <v>115</v>
      </c>
      <c r="I120" s="249" t="str">
        <f t="shared" si="7"/>
        <v/>
      </c>
      <c r="J120" s="248" t="e">
        <f t="shared" si="11"/>
        <v>#NUM!</v>
      </c>
      <c r="K120" s="248" t="e">
        <f t="shared" si="8"/>
        <v>#NUM!</v>
      </c>
      <c r="L120" s="248"/>
      <c r="M120" s="250">
        <f t="shared" si="9"/>
        <v>0</v>
      </c>
      <c r="S120" s="239"/>
      <c r="T120" s="239"/>
      <c r="U120" s="239"/>
      <c r="V120" s="239"/>
      <c r="W120" s="239"/>
      <c r="X120" s="239"/>
      <c r="Y120" s="239"/>
      <c r="Z120" s="239"/>
      <c r="AA120" s="239"/>
      <c r="AB120" s="239"/>
      <c r="AC120" s="239"/>
      <c r="AD120" s="239"/>
      <c r="AE120" s="239"/>
      <c r="AF120" s="239"/>
      <c r="AG120" s="239"/>
      <c r="AH120" s="239"/>
      <c r="AI120" s="239"/>
      <c r="AJ120" s="239"/>
      <c r="AK120" s="239"/>
      <c r="AL120" s="239"/>
    </row>
    <row r="121" spans="1:38" s="234" customFormat="1" x14ac:dyDescent="0.25">
      <c r="A121" s="77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251">
        <v>116</v>
      </c>
      <c r="I121" s="252" t="str">
        <f t="shared" si="7"/>
        <v/>
      </c>
      <c r="J121" s="251" t="e">
        <f t="shared" si="11"/>
        <v>#NUM!</v>
      </c>
      <c r="K121" s="251" t="e">
        <f t="shared" si="8"/>
        <v>#NUM!</v>
      </c>
      <c r="L121" s="251"/>
      <c r="M121" s="253">
        <f t="shared" si="9"/>
        <v>0</v>
      </c>
      <c r="S121" s="239"/>
      <c r="T121" s="239"/>
      <c r="U121" s="239"/>
      <c r="V121" s="239"/>
      <c r="W121" s="239"/>
      <c r="X121" s="239"/>
      <c r="Y121" s="239"/>
      <c r="Z121" s="239"/>
      <c r="AA121" s="239"/>
      <c r="AB121" s="239"/>
      <c r="AC121" s="239"/>
      <c r="AD121" s="239"/>
      <c r="AE121" s="239"/>
      <c r="AF121" s="239"/>
      <c r="AG121" s="239"/>
      <c r="AH121" s="239"/>
      <c r="AI121" s="239"/>
      <c r="AJ121" s="239"/>
      <c r="AK121" s="239"/>
      <c r="AL121" s="239"/>
    </row>
    <row r="122" spans="1:38" s="234" customFormat="1" x14ac:dyDescent="0.25">
      <c r="A122" s="76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248">
        <v>117</v>
      </c>
      <c r="I122" s="249" t="str">
        <f t="shared" si="7"/>
        <v/>
      </c>
      <c r="J122" s="248" t="e">
        <f t="shared" si="11"/>
        <v>#NUM!</v>
      </c>
      <c r="K122" s="248" t="e">
        <f t="shared" si="8"/>
        <v>#NUM!</v>
      </c>
      <c r="L122" s="248"/>
      <c r="M122" s="250">
        <f t="shared" si="9"/>
        <v>0</v>
      </c>
      <c r="S122" s="239"/>
      <c r="T122" s="239"/>
      <c r="U122" s="239"/>
      <c r="V122" s="239"/>
      <c r="W122" s="239"/>
      <c r="X122" s="239"/>
      <c r="Y122" s="239"/>
      <c r="Z122" s="239"/>
      <c r="AA122" s="239"/>
      <c r="AB122" s="239"/>
      <c r="AC122" s="239"/>
      <c r="AD122" s="239"/>
      <c r="AE122" s="239"/>
      <c r="AF122" s="239"/>
      <c r="AG122" s="239"/>
      <c r="AH122" s="239"/>
      <c r="AI122" s="239"/>
      <c r="AJ122" s="239"/>
      <c r="AK122" s="239"/>
      <c r="AL122" s="239"/>
    </row>
    <row r="123" spans="1:38" s="234" customFormat="1" x14ac:dyDescent="0.25">
      <c r="A123" s="77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251">
        <v>118</v>
      </c>
      <c r="I123" s="252" t="str">
        <f t="shared" si="7"/>
        <v/>
      </c>
      <c r="J123" s="251" t="e">
        <f t="shared" si="11"/>
        <v>#NUM!</v>
      </c>
      <c r="K123" s="251" t="e">
        <f t="shared" si="8"/>
        <v>#NUM!</v>
      </c>
      <c r="L123" s="251"/>
      <c r="M123" s="253">
        <f t="shared" si="9"/>
        <v>0</v>
      </c>
      <c r="S123" s="239"/>
      <c r="T123" s="239"/>
      <c r="U123" s="239"/>
      <c r="V123" s="239"/>
      <c r="W123" s="239"/>
      <c r="X123" s="239"/>
      <c r="Y123" s="239"/>
      <c r="Z123" s="239"/>
      <c r="AA123" s="239"/>
      <c r="AB123" s="239"/>
      <c r="AC123" s="239"/>
      <c r="AD123" s="239"/>
      <c r="AE123" s="239"/>
      <c r="AF123" s="239"/>
      <c r="AG123" s="239"/>
      <c r="AH123" s="239"/>
      <c r="AI123" s="239"/>
      <c r="AJ123" s="239"/>
      <c r="AK123" s="239"/>
      <c r="AL123" s="239"/>
    </row>
    <row r="124" spans="1:38" s="234" customFormat="1" x14ac:dyDescent="0.25">
      <c r="A124" s="76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248">
        <v>119</v>
      </c>
      <c r="I124" s="249" t="str">
        <f t="shared" si="7"/>
        <v/>
      </c>
      <c r="J124" s="248" t="e">
        <f t="shared" si="11"/>
        <v>#NUM!</v>
      </c>
      <c r="K124" s="248" t="e">
        <f t="shared" si="8"/>
        <v>#NUM!</v>
      </c>
      <c r="L124" s="248"/>
      <c r="M124" s="250">
        <f t="shared" si="9"/>
        <v>0</v>
      </c>
      <c r="S124" s="239"/>
      <c r="T124" s="239"/>
      <c r="U124" s="239"/>
      <c r="V124" s="239"/>
      <c r="W124" s="239"/>
      <c r="X124" s="239"/>
      <c r="Y124" s="239"/>
      <c r="Z124" s="239"/>
      <c r="AA124" s="239"/>
      <c r="AB124" s="239"/>
      <c r="AC124" s="239"/>
      <c r="AD124" s="239"/>
      <c r="AE124" s="239"/>
      <c r="AF124" s="239"/>
      <c r="AG124" s="239"/>
      <c r="AH124" s="239"/>
      <c r="AI124" s="239"/>
      <c r="AJ124" s="239"/>
      <c r="AK124" s="239"/>
      <c r="AL124" s="239"/>
    </row>
    <row r="125" spans="1:38" s="234" customFormat="1" x14ac:dyDescent="0.25">
      <c r="A125" s="77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251">
        <v>120</v>
      </c>
      <c r="I125" s="252" t="str">
        <f t="shared" si="7"/>
        <v/>
      </c>
      <c r="J125" s="251" t="e">
        <f t="shared" si="11"/>
        <v>#NUM!</v>
      </c>
      <c r="K125" s="251" t="e">
        <f t="shared" si="8"/>
        <v>#NUM!</v>
      </c>
      <c r="L125" s="251"/>
      <c r="M125" s="253">
        <f t="shared" si="9"/>
        <v>0</v>
      </c>
      <c r="S125" s="239"/>
      <c r="T125" s="239"/>
      <c r="U125" s="239"/>
      <c r="V125" s="239"/>
      <c r="W125" s="239"/>
      <c r="X125" s="239"/>
      <c r="Y125" s="239"/>
      <c r="Z125" s="239"/>
      <c r="AA125" s="239"/>
      <c r="AB125" s="239"/>
      <c r="AC125" s="239"/>
      <c r="AD125" s="239"/>
      <c r="AE125" s="239"/>
      <c r="AF125" s="239"/>
      <c r="AG125" s="239"/>
      <c r="AH125" s="239"/>
      <c r="AI125" s="239"/>
      <c r="AJ125" s="239"/>
      <c r="AK125" s="239"/>
      <c r="AL125" s="239"/>
    </row>
    <row r="126" spans="1:38" s="234" customFormat="1" x14ac:dyDescent="0.25">
      <c r="A126" s="76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248">
        <v>121</v>
      </c>
      <c r="I126" s="249" t="str">
        <f t="shared" si="7"/>
        <v/>
      </c>
      <c r="J126" s="248" t="e">
        <f t="shared" si="11"/>
        <v>#NUM!</v>
      </c>
      <c r="K126" s="248" t="e">
        <f t="shared" si="8"/>
        <v>#NUM!</v>
      </c>
      <c r="L126" s="248"/>
      <c r="M126" s="250">
        <f t="shared" si="9"/>
        <v>0</v>
      </c>
      <c r="S126" s="239"/>
      <c r="T126" s="239"/>
      <c r="U126" s="239"/>
      <c r="V126" s="239"/>
      <c r="W126" s="239"/>
      <c r="X126" s="239"/>
      <c r="Y126" s="239"/>
      <c r="Z126" s="239"/>
      <c r="AA126" s="239"/>
      <c r="AB126" s="239"/>
      <c r="AC126" s="239"/>
      <c r="AD126" s="239"/>
      <c r="AE126" s="239"/>
      <c r="AF126" s="239"/>
      <c r="AG126" s="239"/>
      <c r="AH126" s="239"/>
      <c r="AI126" s="239"/>
      <c r="AJ126" s="239"/>
      <c r="AK126" s="239"/>
      <c r="AL126" s="239"/>
    </row>
    <row r="127" spans="1:38" s="234" customFormat="1" x14ac:dyDescent="0.25">
      <c r="A127" s="77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251">
        <v>122</v>
      </c>
      <c r="I127" s="252" t="str">
        <f t="shared" si="7"/>
        <v/>
      </c>
      <c r="J127" s="251" t="e">
        <f t="shared" si="11"/>
        <v>#NUM!</v>
      </c>
      <c r="K127" s="251" t="e">
        <f t="shared" si="8"/>
        <v>#NUM!</v>
      </c>
      <c r="L127" s="251"/>
      <c r="M127" s="253">
        <f t="shared" si="9"/>
        <v>0</v>
      </c>
      <c r="S127" s="239"/>
      <c r="T127" s="239"/>
      <c r="U127" s="239"/>
      <c r="V127" s="239"/>
      <c r="W127" s="239"/>
      <c r="X127" s="239"/>
      <c r="Y127" s="239"/>
      <c r="Z127" s="239"/>
      <c r="AA127" s="239"/>
      <c r="AB127" s="239"/>
      <c r="AC127" s="239"/>
      <c r="AD127" s="239"/>
      <c r="AE127" s="239"/>
      <c r="AF127" s="239"/>
      <c r="AG127" s="239"/>
      <c r="AH127" s="239"/>
      <c r="AI127" s="239"/>
      <c r="AJ127" s="239"/>
      <c r="AK127" s="239"/>
      <c r="AL127" s="239"/>
    </row>
    <row r="128" spans="1:38" s="234" customFormat="1" x14ac:dyDescent="0.25">
      <c r="A128" s="76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248">
        <v>123</v>
      </c>
      <c r="I128" s="249" t="str">
        <f t="shared" si="7"/>
        <v/>
      </c>
      <c r="J128" s="248" t="e">
        <f t="shared" si="11"/>
        <v>#NUM!</v>
      </c>
      <c r="K128" s="248" t="e">
        <f t="shared" si="8"/>
        <v>#NUM!</v>
      </c>
      <c r="L128" s="248"/>
      <c r="M128" s="250">
        <f t="shared" si="9"/>
        <v>0</v>
      </c>
      <c r="S128" s="239"/>
      <c r="T128" s="239"/>
      <c r="U128" s="239"/>
      <c r="V128" s="239"/>
      <c r="W128" s="239"/>
      <c r="X128" s="239"/>
      <c r="Y128" s="239"/>
      <c r="Z128" s="239"/>
      <c r="AA128" s="239"/>
      <c r="AB128" s="239"/>
      <c r="AC128" s="239"/>
      <c r="AD128" s="239"/>
      <c r="AE128" s="239"/>
      <c r="AF128" s="239"/>
      <c r="AG128" s="239"/>
      <c r="AH128" s="239"/>
      <c r="AI128" s="239"/>
      <c r="AJ128" s="239"/>
      <c r="AK128" s="239"/>
      <c r="AL128" s="239"/>
    </row>
    <row r="129" spans="1:38" s="234" customFormat="1" x14ac:dyDescent="0.25">
      <c r="A129" s="77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251">
        <v>124</v>
      </c>
      <c r="I129" s="252" t="str">
        <f t="shared" si="7"/>
        <v/>
      </c>
      <c r="J129" s="251" t="e">
        <f t="shared" si="11"/>
        <v>#NUM!</v>
      </c>
      <c r="K129" s="251" t="e">
        <f t="shared" si="8"/>
        <v>#NUM!</v>
      </c>
      <c r="L129" s="251"/>
      <c r="M129" s="253">
        <f t="shared" si="9"/>
        <v>0</v>
      </c>
      <c r="S129" s="239"/>
      <c r="T129" s="239"/>
      <c r="U129" s="239"/>
      <c r="V129" s="239"/>
      <c r="W129" s="239"/>
      <c r="X129" s="239"/>
      <c r="Y129" s="239"/>
      <c r="Z129" s="239"/>
      <c r="AA129" s="239"/>
      <c r="AB129" s="239"/>
      <c r="AC129" s="239"/>
      <c r="AD129" s="239"/>
      <c r="AE129" s="239"/>
      <c r="AF129" s="239"/>
      <c r="AG129" s="239"/>
      <c r="AH129" s="239"/>
      <c r="AI129" s="239"/>
      <c r="AJ129" s="239"/>
      <c r="AK129" s="239"/>
      <c r="AL129" s="239"/>
    </row>
    <row r="130" spans="1:38" s="234" customFormat="1" x14ac:dyDescent="0.25">
      <c r="A130" s="76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248">
        <v>125</v>
      </c>
      <c r="I130" s="249" t="str">
        <f t="shared" si="7"/>
        <v/>
      </c>
      <c r="J130" s="248" t="e">
        <f t="shared" si="11"/>
        <v>#NUM!</v>
      </c>
      <c r="K130" s="248" t="e">
        <f t="shared" si="8"/>
        <v>#NUM!</v>
      </c>
      <c r="L130" s="248"/>
      <c r="M130" s="250">
        <f t="shared" si="9"/>
        <v>0</v>
      </c>
      <c r="S130" s="239"/>
      <c r="T130" s="239"/>
      <c r="U130" s="239"/>
      <c r="V130" s="239"/>
      <c r="W130" s="239"/>
      <c r="X130" s="239"/>
      <c r="Y130" s="239"/>
      <c r="Z130" s="239"/>
      <c r="AA130" s="239"/>
      <c r="AB130" s="239"/>
      <c r="AC130" s="239"/>
      <c r="AD130" s="239"/>
      <c r="AE130" s="239"/>
      <c r="AF130" s="239"/>
      <c r="AG130" s="239"/>
      <c r="AH130" s="239"/>
      <c r="AI130" s="239"/>
      <c r="AJ130" s="239"/>
      <c r="AK130" s="239"/>
      <c r="AL130" s="239"/>
    </row>
    <row r="131" spans="1:38" s="234" customFormat="1" x14ac:dyDescent="0.25">
      <c r="A131" s="77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251">
        <v>126</v>
      </c>
      <c r="I131" s="252" t="str">
        <f t="shared" si="7"/>
        <v/>
      </c>
      <c r="J131" s="251" t="e">
        <f t="shared" si="11"/>
        <v>#NUM!</v>
      </c>
      <c r="K131" s="251" t="e">
        <f t="shared" si="8"/>
        <v>#NUM!</v>
      </c>
      <c r="L131" s="251"/>
      <c r="M131" s="253">
        <f t="shared" si="9"/>
        <v>0</v>
      </c>
      <c r="S131" s="239"/>
      <c r="T131" s="239"/>
      <c r="U131" s="239"/>
      <c r="V131" s="239"/>
      <c r="W131" s="239"/>
      <c r="X131" s="239"/>
      <c r="Y131" s="239"/>
      <c r="Z131" s="239"/>
      <c r="AA131" s="239"/>
      <c r="AB131" s="239"/>
      <c r="AC131" s="239"/>
      <c r="AD131" s="239"/>
      <c r="AE131" s="239"/>
      <c r="AF131" s="239"/>
      <c r="AG131" s="239"/>
      <c r="AH131" s="239"/>
      <c r="AI131" s="239"/>
      <c r="AJ131" s="239"/>
      <c r="AK131" s="239"/>
      <c r="AL131" s="239"/>
    </row>
    <row r="132" spans="1:38" s="234" customFormat="1" x14ac:dyDescent="0.25">
      <c r="A132" s="76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248">
        <v>127</v>
      </c>
      <c r="I132" s="249" t="str">
        <f t="shared" si="7"/>
        <v/>
      </c>
      <c r="J132" s="248" t="e">
        <f t="shared" si="11"/>
        <v>#NUM!</v>
      </c>
      <c r="K132" s="248" t="e">
        <f t="shared" si="8"/>
        <v>#NUM!</v>
      </c>
      <c r="L132" s="248"/>
      <c r="M132" s="250">
        <f t="shared" si="9"/>
        <v>0</v>
      </c>
      <c r="S132" s="239"/>
      <c r="T132" s="239"/>
      <c r="U132" s="239"/>
      <c r="V132" s="239"/>
      <c r="W132" s="239"/>
      <c r="X132" s="239"/>
      <c r="Y132" s="239"/>
      <c r="Z132" s="239"/>
      <c r="AA132" s="239"/>
      <c r="AB132" s="239"/>
      <c r="AC132" s="239"/>
      <c r="AD132" s="239"/>
      <c r="AE132" s="239"/>
      <c r="AF132" s="239"/>
      <c r="AG132" s="239"/>
      <c r="AH132" s="239"/>
      <c r="AI132" s="239"/>
      <c r="AJ132" s="239"/>
      <c r="AK132" s="239"/>
      <c r="AL132" s="239"/>
    </row>
    <row r="133" spans="1:38" s="234" customFormat="1" x14ac:dyDescent="0.25">
      <c r="A133" s="77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251">
        <v>128</v>
      </c>
      <c r="I133" s="252" t="str">
        <f t="shared" si="7"/>
        <v/>
      </c>
      <c r="J133" s="251" t="e">
        <f t="shared" si="11"/>
        <v>#NUM!</v>
      </c>
      <c r="K133" s="251" t="e">
        <f t="shared" si="8"/>
        <v>#NUM!</v>
      </c>
      <c r="L133" s="251"/>
      <c r="M133" s="253">
        <f t="shared" si="9"/>
        <v>0</v>
      </c>
      <c r="S133" s="239"/>
      <c r="T133" s="239"/>
      <c r="U133" s="239"/>
      <c r="V133" s="239"/>
      <c r="W133" s="239"/>
      <c r="X133" s="239"/>
      <c r="Y133" s="239"/>
      <c r="Z133" s="239"/>
      <c r="AA133" s="239"/>
      <c r="AB133" s="239"/>
      <c r="AC133" s="239"/>
      <c r="AD133" s="239"/>
      <c r="AE133" s="239"/>
      <c r="AF133" s="239"/>
      <c r="AG133" s="239"/>
      <c r="AH133" s="239"/>
      <c r="AI133" s="239"/>
      <c r="AJ133" s="239"/>
      <c r="AK133" s="239"/>
      <c r="AL133" s="239"/>
    </row>
    <row r="134" spans="1:38" s="234" customFormat="1" x14ac:dyDescent="0.25">
      <c r="A134" s="76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248">
        <v>129</v>
      </c>
      <c r="I134" s="249" t="str">
        <f t="shared" ref="I134:I197" si="13">IF(H134&lt;$H$2+1,($I$2-($I$2-1)*(LOG(H134)/LOG($H$2))),"")</f>
        <v/>
      </c>
      <c r="J134" s="248" t="e">
        <f t="shared" si="11"/>
        <v>#NUM!</v>
      </c>
      <c r="K134" s="248" t="e">
        <f t="shared" ref="K134:K197" si="14">J134*$J$2</f>
        <v>#NUM!</v>
      </c>
      <c r="L134" s="248"/>
      <c r="M134" s="250">
        <f t="shared" ref="M134:M197" si="15">IF(I134&lt;&gt;"",K134+I134+L134,0)</f>
        <v>0</v>
      </c>
      <c r="S134" s="239"/>
      <c r="T134" s="239"/>
      <c r="U134" s="239"/>
      <c r="V134" s="239"/>
      <c r="W134" s="239"/>
      <c r="X134" s="239"/>
      <c r="Y134" s="239"/>
      <c r="Z134" s="239"/>
      <c r="AA134" s="239"/>
      <c r="AB134" s="239"/>
      <c r="AC134" s="239"/>
      <c r="AD134" s="239"/>
      <c r="AE134" s="239"/>
      <c r="AF134" s="239"/>
      <c r="AG134" s="239"/>
      <c r="AH134" s="239"/>
      <c r="AI134" s="239"/>
      <c r="AJ134" s="239"/>
      <c r="AK134" s="239"/>
      <c r="AL134" s="239"/>
    </row>
    <row r="135" spans="1:38" s="234" customFormat="1" x14ac:dyDescent="0.25">
      <c r="A135" s="77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251">
        <v>130</v>
      </c>
      <c r="I135" s="252" t="str">
        <f t="shared" si="13"/>
        <v/>
      </c>
      <c r="J135" s="251" t="e">
        <f t="shared" ref="J135:J198" si="17">INT(LOG($H$2,2))-ROUNDUP(LOG(H135,2),0)+IF(OR($H$2=1,$H$2=2,$H$2=4,$H$2=8,$H$2=16,$H$2=32,$H$2=64,$H$2=128,$H$2=256),0,1)</f>
        <v>#NUM!</v>
      </c>
      <c r="K135" s="251" t="e">
        <f t="shared" si="14"/>
        <v>#NUM!</v>
      </c>
      <c r="L135" s="251"/>
      <c r="M135" s="253">
        <f t="shared" si="15"/>
        <v>0</v>
      </c>
      <c r="S135" s="239"/>
      <c r="T135" s="239"/>
      <c r="U135" s="239"/>
      <c r="V135" s="239"/>
      <c r="W135" s="239"/>
      <c r="X135" s="239"/>
      <c r="Y135" s="239"/>
      <c r="Z135" s="239"/>
      <c r="AA135" s="239"/>
      <c r="AB135" s="239"/>
      <c r="AC135" s="239"/>
      <c r="AD135" s="239"/>
      <c r="AE135" s="239"/>
      <c r="AF135" s="239"/>
      <c r="AG135" s="239"/>
      <c r="AH135" s="239"/>
      <c r="AI135" s="239"/>
      <c r="AJ135" s="239"/>
      <c r="AK135" s="239"/>
      <c r="AL135" s="239"/>
    </row>
    <row r="136" spans="1:38" s="234" customFormat="1" x14ac:dyDescent="0.25">
      <c r="A136" s="76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248">
        <v>131</v>
      </c>
      <c r="I136" s="249" t="str">
        <f t="shared" si="13"/>
        <v/>
      </c>
      <c r="J136" s="248" t="e">
        <f t="shared" si="17"/>
        <v>#NUM!</v>
      </c>
      <c r="K136" s="248" t="e">
        <f t="shared" si="14"/>
        <v>#NUM!</v>
      </c>
      <c r="L136" s="248"/>
      <c r="M136" s="250">
        <f t="shared" si="15"/>
        <v>0</v>
      </c>
      <c r="S136" s="239"/>
      <c r="T136" s="239"/>
      <c r="U136" s="239"/>
      <c r="V136" s="239"/>
      <c r="W136" s="239"/>
      <c r="X136" s="239"/>
      <c r="Y136" s="239"/>
      <c r="Z136" s="239"/>
      <c r="AA136" s="239"/>
      <c r="AB136" s="239"/>
      <c r="AC136" s="239"/>
      <c r="AD136" s="239"/>
      <c r="AE136" s="239"/>
      <c r="AF136" s="239"/>
      <c r="AG136" s="239"/>
      <c r="AH136" s="239"/>
      <c r="AI136" s="239"/>
      <c r="AJ136" s="239"/>
      <c r="AK136" s="239"/>
      <c r="AL136" s="239"/>
    </row>
    <row r="137" spans="1:38" s="234" customFormat="1" x14ac:dyDescent="0.25">
      <c r="A137" s="77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251">
        <v>132</v>
      </c>
      <c r="I137" s="252" t="str">
        <f t="shared" si="13"/>
        <v/>
      </c>
      <c r="J137" s="251" t="e">
        <f t="shared" si="17"/>
        <v>#NUM!</v>
      </c>
      <c r="K137" s="251" t="e">
        <f t="shared" si="14"/>
        <v>#NUM!</v>
      </c>
      <c r="L137" s="251"/>
      <c r="M137" s="253">
        <f t="shared" si="15"/>
        <v>0</v>
      </c>
      <c r="S137" s="239"/>
      <c r="T137" s="239"/>
      <c r="U137" s="239"/>
      <c r="V137" s="239"/>
      <c r="W137" s="239"/>
      <c r="X137" s="239"/>
      <c r="Y137" s="239"/>
      <c r="Z137" s="239"/>
      <c r="AA137" s="239"/>
      <c r="AB137" s="239"/>
      <c r="AC137" s="239"/>
      <c r="AD137" s="239"/>
      <c r="AE137" s="239"/>
      <c r="AF137" s="239"/>
      <c r="AG137" s="239"/>
      <c r="AH137" s="239"/>
      <c r="AI137" s="239"/>
      <c r="AJ137" s="239"/>
      <c r="AK137" s="239"/>
      <c r="AL137" s="239"/>
    </row>
    <row r="138" spans="1:38" s="234" customFormat="1" x14ac:dyDescent="0.25">
      <c r="A138" s="76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248">
        <v>133</v>
      </c>
      <c r="I138" s="249" t="str">
        <f t="shared" si="13"/>
        <v/>
      </c>
      <c r="J138" s="248" t="e">
        <f t="shared" si="17"/>
        <v>#NUM!</v>
      </c>
      <c r="K138" s="248" t="e">
        <f t="shared" si="14"/>
        <v>#NUM!</v>
      </c>
      <c r="L138" s="248"/>
      <c r="M138" s="250">
        <f t="shared" si="15"/>
        <v>0</v>
      </c>
      <c r="S138" s="239"/>
      <c r="T138" s="239"/>
      <c r="U138" s="239"/>
      <c r="V138" s="239"/>
      <c r="W138" s="239"/>
      <c r="X138" s="239"/>
      <c r="Y138" s="239"/>
      <c r="Z138" s="239"/>
      <c r="AA138" s="239"/>
      <c r="AB138" s="239"/>
      <c r="AC138" s="239"/>
      <c r="AD138" s="239"/>
      <c r="AE138" s="239"/>
      <c r="AF138" s="239"/>
      <c r="AG138" s="239"/>
      <c r="AH138" s="239"/>
      <c r="AI138" s="239"/>
      <c r="AJ138" s="239"/>
      <c r="AK138" s="239"/>
      <c r="AL138" s="239"/>
    </row>
    <row r="139" spans="1:38" s="234" customFormat="1" x14ac:dyDescent="0.25">
      <c r="A139" s="77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251">
        <v>134</v>
      </c>
      <c r="I139" s="252" t="str">
        <f t="shared" si="13"/>
        <v/>
      </c>
      <c r="J139" s="251" t="e">
        <f t="shared" si="17"/>
        <v>#NUM!</v>
      </c>
      <c r="K139" s="251" t="e">
        <f t="shared" si="14"/>
        <v>#NUM!</v>
      </c>
      <c r="L139" s="251"/>
      <c r="M139" s="253">
        <f t="shared" si="15"/>
        <v>0</v>
      </c>
      <c r="S139" s="239"/>
      <c r="T139" s="239"/>
      <c r="U139" s="239"/>
      <c r="V139" s="239"/>
      <c r="W139" s="239"/>
      <c r="X139" s="239"/>
      <c r="Y139" s="239"/>
      <c r="Z139" s="239"/>
      <c r="AA139" s="239"/>
      <c r="AB139" s="239"/>
      <c r="AC139" s="239"/>
      <c r="AD139" s="239"/>
      <c r="AE139" s="239"/>
      <c r="AF139" s="239"/>
      <c r="AG139" s="239"/>
      <c r="AH139" s="239"/>
      <c r="AI139" s="239"/>
      <c r="AJ139" s="239"/>
      <c r="AK139" s="239"/>
      <c r="AL139" s="239"/>
    </row>
    <row r="140" spans="1:38" s="234" customFormat="1" x14ac:dyDescent="0.25">
      <c r="A140" s="76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248">
        <v>135</v>
      </c>
      <c r="I140" s="249" t="str">
        <f t="shared" si="13"/>
        <v/>
      </c>
      <c r="J140" s="248" t="e">
        <f t="shared" si="17"/>
        <v>#NUM!</v>
      </c>
      <c r="K140" s="248" t="e">
        <f t="shared" si="14"/>
        <v>#NUM!</v>
      </c>
      <c r="L140" s="248"/>
      <c r="M140" s="250">
        <f t="shared" si="15"/>
        <v>0</v>
      </c>
      <c r="S140" s="239"/>
      <c r="T140" s="239"/>
      <c r="U140" s="239"/>
      <c r="V140" s="239"/>
      <c r="W140" s="239"/>
      <c r="X140" s="239"/>
      <c r="Y140" s="239"/>
      <c r="Z140" s="239"/>
      <c r="AA140" s="239"/>
      <c r="AB140" s="239"/>
      <c r="AC140" s="239"/>
      <c r="AD140" s="239"/>
      <c r="AE140" s="239"/>
      <c r="AF140" s="239"/>
      <c r="AG140" s="239"/>
      <c r="AH140" s="239"/>
      <c r="AI140" s="239"/>
      <c r="AJ140" s="239"/>
      <c r="AK140" s="239"/>
      <c r="AL140" s="239"/>
    </row>
    <row r="141" spans="1:38" x14ac:dyDescent="0.25">
      <c r="A141" s="265"/>
      <c r="G141" s="234"/>
      <c r="H141" s="251">
        <v>136</v>
      </c>
      <c r="I141" s="249" t="str">
        <f t="shared" si="13"/>
        <v/>
      </c>
      <c r="J141" s="248" t="e">
        <f t="shared" si="17"/>
        <v>#NUM!</v>
      </c>
      <c r="K141" s="248" t="e">
        <f t="shared" si="14"/>
        <v>#NUM!</v>
      </c>
      <c r="L141" s="248"/>
      <c r="M141" s="250">
        <f t="shared" si="15"/>
        <v>0</v>
      </c>
    </row>
    <row r="142" spans="1:38" x14ac:dyDescent="0.25">
      <c r="A142" s="265"/>
      <c r="G142" s="234"/>
      <c r="H142" s="248">
        <v>137</v>
      </c>
      <c r="I142" s="249" t="str">
        <f t="shared" si="13"/>
        <v/>
      </c>
      <c r="J142" s="248" t="e">
        <f t="shared" si="17"/>
        <v>#NUM!</v>
      </c>
      <c r="K142" s="248" t="e">
        <f t="shared" si="14"/>
        <v>#NUM!</v>
      </c>
      <c r="L142" s="248"/>
      <c r="M142" s="250">
        <f t="shared" si="15"/>
        <v>0</v>
      </c>
    </row>
    <row r="143" spans="1:38" x14ac:dyDescent="0.25">
      <c r="A143" s="265"/>
      <c r="G143" s="234"/>
      <c r="H143" s="251">
        <v>138</v>
      </c>
      <c r="I143" s="249" t="str">
        <f t="shared" si="13"/>
        <v/>
      </c>
      <c r="J143" s="248" t="e">
        <f t="shared" si="17"/>
        <v>#NUM!</v>
      </c>
      <c r="K143" s="248" t="e">
        <f t="shared" si="14"/>
        <v>#NUM!</v>
      </c>
      <c r="L143" s="248"/>
      <c r="M143" s="250">
        <f t="shared" si="15"/>
        <v>0</v>
      </c>
    </row>
    <row r="144" spans="1:38" x14ac:dyDescent="0.25">
      <c r="A144" s="265"/>
      <c r="G144" s="234"/>
      <c r="H144" s="248">
        <v>139</v>
      </c>
      <c r="I144" s="249" t="str">
        <f t="shared" si="13"/>
        <v/>
      </c>
      <c r="J144" s="248" t="e">
        <f t="shared" si="17"/>
        <v>#NUM!</v>
      </c>
      <c r="K144" s="248" t="e">
        <f t="shared" si="14"/>
        <v>#NUM!</v>
      </c>
      <c r="L144" s="248"/>
      <c r="M144" s="250">
        <f t="shared" si="15"/>
        <v>0</v>
      </c>
    </row>
    <row r="145" spans="1:13" x14ac:dyDescent="0.25">
      <c r="A145" s="265"/>
      <c r="G145" s="234"/>
      <c r="H145" s="251">
        <v>140</v>
      </c>
      <c r="I145" s="249" t="str">
        <f t="shared" si="13"/>
        <v/>
      </c>
      <c r="J145" s="248" t="e">
        <f t="shared" si="17"/>
        <v>#NUM!</v>
      </c>
      <c r="K145" s="248" t="e">
        <f t="shared" si="14"/>
        <v>#NUM!</v>
      </c>
      <c r="L145" s="248"/>
      <c r="M145" s="250">
        <f t="shared" si="15"/>
        <v>0</v>
      </c>
    </row>
    <row r="146" spans="1:13" x14ac:dyDescent="0.25">
      <c r="A146" s="265"/>
      <c r="G146" s="234"/>
      <c r="H146" s="248">
        <v>141</v>
      </c>
      <c r="I146" s="249" t="str">
        <f t="shared" si="13"/>
        <v/>
      </c>
      <c r="J146" s="248" t="e">
        <f t="shared" si="17"/>
        <v>#NUM!</v>
      </c>
      <c r="K146" s="248" t="e">
        <f t="shared" si="14"/>
        <v>#NUM!</v>
      </c>
      <c r="L146" s="248"/>
      <c r="M146" s="250">
        <f t="shared" si="15"/>
        <v>0</v>
      </c>
    </row>
    <row r="147" spans="1:13" x14ac:dyDescent="0.25">
      <c r="A147" s="265"/>
      <c r="G147" s="234"/>
      <c r="H147" s="251">
        <v>142</v>
      </c>
      <c r="I147" s="249" t="str">
        <f t="shared" si="13"/>
        <v/>
      </c>
      <c r="J147" s="248" t="e">
        <f t="shared" si="17"/>
        <v>#NUM!</v>
      </c>
      <c r="K147" s="248" t="e">
        <f t="shared" si="14"/>
        <v>#NUM!</v>
      </c>
      <c r="L147" s="248"/>
      <c r="M147" s="250">
        <f t="shared" si="15"/>
        <v>0</v>
      </c>
    </row>
    <row r="148" spans="1:13" x14ac:dyDescent="0.25">
      <c r="A148" s="265"/>
      <c r="G148" s="234"/>
      <c r="H148" s="248">
        <v>143</v>
      </c>
      <c r="I148" s="249" t="str">
        <f t="shared" si="13"/>
        <v/>
      </c>
      <c r="J148" s="248" t="e">
        <f t="shared" si="17"/>
        <v>#NUM!</v>
      </c>
      <c r="K148" s="248" t="e">
        <f t="shared" si="14"/>
        <v>#NUM!</v>
      </c>
      <c r="L148" s="248"/>
      <c r="M148" s="250">
        <f t="shared" si="15"/>
        <v>0</v>
      </c>
    </row>
    <row r="149" spans="1:13" x14ac:dyDescent="0.25">
      <c r="A149" s="265"/>
      <c r="G149" s="234"/>
      <c r="H149" s="251">
        <v>144</v>
      </c>
      <c r="I149" s="249" t="str">
        <f t="shared" si="13"/>
        <v/>
      </c>
      <c r="J149" s="248" t="e">
        <f t="shared" si="17"/>
        <v>#NUM!</v>
      </c>
      <c r="K149" s="248" t="e">
        <f t="shared" si="14"/>
        <v>#NUM!</v>
      </c>
      <c r="L149" s="248"/>
      <c r="M149" s="250">
        <f t="shared" si="15"/>
        <v>0</v>
      </c>
    </row>
    <row r="150" spans="1:13" x14ac:dyDescent="0.25">
      <c r="A150" s="265"/>
      <c r="G150" s="234"/>
      <c r="H150" s="248">
        <v>145</v>
      </c>
      <c r="I150" s="249" t="str">
        <f t="shared" si="13"/>
        <v/>
      </c>
      <c r="J150" s="248" t="e">
        <f t="shared" si="17"/>
        <v>#NUM!</v>
      </c>
      <c r="K150" s="248" t="e">
        <f t="shared" si="14"/>
        <v>#NUM!</v>
      </c>
      <c r="L150" s="248"/>
      <c r="M150" s="250">
        <f t="shared" si="15"/>
        <v>0</v>
      </c>
    </row>
    <row r="151" spans="1:13" x14ac:dyDescent="0.25">
      <c r="A151" s="265"/>
      <c r="G151" s="234"/>
      <c r="H151" s="251">
        <v>146</v>
      </c>
      <c r="I151" s="249" t="str">
        <f t="shared" si="13"/>
        <v/>
      </c>
      <c r="J151" s="248" t="e">
        <f t="shared" si="17"/>
        <v>#NUM!</v>
      </c>
      <c r="K151" s="248" t="e">
        <f t="shared" si="14"/>
        <v>#NUM!</v>
      </c>
      <c r="L151" s="248"/>
      <c r="M151" s="250">
        <f t="shared" si="15"/>
        <v>0</v>
      </c>
    </row>
    <row r="152" spans="1:13" x14ac:dyDescent="0.25">
      <c r="A152" s="265"/>
      <c r="G152" s="234"/>
      <c r="H152" s="248">
        <v>147</v>
      </c>
      <c r="I152" s="249" t="str">
        <f t="shared" si="13"/>
        <v/>
      </c>
      <c r="J152" s="248" t="e">
        <f t="shared" si="17"/>
        <v>#NUM!</v>
      </c>
      <c r="K152" s="248" t="e">
        <f t="shared" si="14"/>
        <v>#NUM!</v>
      </c>
      <c r="L152" s="248"/>
      <c r="M152" s="250">
        <f t="shared" si="15"/>
        <v>0</v>
      </c>
    </row>
    <row r="153" spans="1:13" x14ac:dyDescent="0.25">
      <c r="A153" s="265"/>
      <c r="G153" s="234"/>
      <c r="H153" s="251">
        <v>148</v>
      </c>
      <c r="I153" s="249" t="str">
        <f t="shared" si="13"/>
        <v/>
      </c>
      <c r="J153" s="248" t="e">
        <f t="shared" si="17"/>
        <v>#NUM!</v>
      </c>
      <c r="K153" s="248" t="e">
        <f t="shared" si="14"/>
        <v>#NUM!</v>
      </c>
      <c r="L153" s="248"/>
      <c r="M153" s="250">
        <f t="shared" si="15"/>
        <v>0</v>
      </c>
    </row>
    <row r="154" spans="1:13" x14ac:dyDescent="0.25">
      <c r="A154" s="265"/>
      <c r="G154" s="234"/>
      <c r="H154" s="248">
        <v>149</v>
      </c>
      <c r="I154" s="249" t="str">
        <f t="shared" si="13"/>
        <v/>
      </c>
      <c r="J154" s="248" t="e">
        <f t="shared" si="17"/>
        <v>#NUM!</v>
      </c>
      <c r="K154" s="248" t="e">
        <f t="shared" si="14"/>
        <v>#NUM!</v>
      </c>
      <c r="L154" s="248"/>
      <c r="M154" s="250">
        <f t="shared" si="15"/>
        <v>0</v>
      </c>
    </row>
    <row r="155" spans="1:13" x14ac:dyDescent="0.25">
      <c r="A155" s="265"/>
      <c r="G155" s="234"/>
      <c r="H155" s="251">
        <v>150</v>
      </c>
      <c r="I155" s="249" t="str">
        <f t="shared" si="13"/>
        <v/>
      </c>
      <c r="J155" s="248" t="e">
        <f t="shared" si="17"/>
        <v>#NUM!</v>
      </c>
      <c r="K155" s="248" t="e">
        <f t="shared" si="14"/>
        <v>#NUM!</v>
      </c>
      <c r="L155" s="248"/>
      <c r="M155" s="250">
        <f t="shared" si="15"/>
        <v>0</v>
      </c>
    </row>
    <row r="156" spans="1:13" x14ac:dyDescent="0.25">
      <c r="A156" s="265"/>
      <c r="G156" s="234"/>
      <c r="H156" s="248">
        <v>151</v>
      </c>
      <c r="I156" s="249" t="str">
        <f t="shared" si="13"/>
        <v/>
      </c>
      <c r="J156" s="248" t="e">
        <f t="shared" si="17"/>
        <v>#NUM!</v>
      </c>
      <c r="K156" s="248" t="e">
        <f t="shared" si="14"/>
        <v>#NUM!</v>
      </c>
      <c r="L156" s="248"/>
      <c r="M156" s="250">
        <f t="shared" si="15"/>
        <v>0</v>
      </c>
    </row>
    <row r="157" spans="1:13" x14ac:dyDescent="0.25">
      <c r="A157" s="265"/>
      <c r="G157" s="234"/>
      <c r="H157" s="251">
        <v>152</v>
      </c>
      <c r="I157" s="249" t="str">
        <f t="shared" si="13"/>
        <v/>
      </c>
      <c r="J157" s="248" t="e">
        <f t="shared" si="17"/>
        <v>#NUM!</v>
      </c>
      <c r="K157" s="248" t="e">
        <f t="shared" si="14"/>
        <v>#NUM!</v>
      </c>
      <c r="L157" s="248"/>
      <c r="M157" s="250">
        <f t="shared" si="15"/>
        <v>0</v>
      </c>
    </row>
    <row r="158" spans="1:13" x14ac:dyDescent="0.25">
      <c r="A158" s="265"/>
      <c r="G158" s="234"/>
      <c r="H158" s="248">
        <v>153</v>
      </c>
      <c r="I158" s="249" t="str">
        <f t="shared" si="13"/>
        <v/>
      </c>
      <c r="J158" s="248" t="e">
        <f t="shared" si="17"/>
        <v>#NUM!</v>
      </c>
      <c r="K158" s="248" t="e">
        <f t="shared" si="14"/>
        <v>#NUM!</v>
      </c>
      <c r="L158" s="248"/>
      <c r="M158" s="250">
        <f t="shared" si="15"/>
        <v>0</v>
      </c>
    </row>
    <row r="159" spans="1:13" x14ac:dyDescent="0.25">
      <c r="A159" s="265"/>
      <c r="G159" s="234"/>
      <c r="H159" s="251">
        <v>154</v>
      </c>
      <c r="I159" s="249" t="str">
        <f t="shared" si="13"/>
        <v/>
      </c>
      <c r="J159" s="248" t="e">
        <f t="shared" si="17"/>
        <v>#NUM!</v>
      </c>
      <c r="K159" s="248" t="e">
        <f t="shared" si="14"/>
        <v>#NUM!</v>
      </c>
      <c r="L159" s="248"/>
      <c r="M159" s="250">
        <f t="shared" si="15"/>
        <v>0</v>
      </c>
    </row>
    <row r="160" spans="1:13" x14ac:dyDescent="0.25">
      <c r="A160" s="265"/>
      <c r="G160" s="234"/>
      <c r="H160" s="248">
        <v>155</v>
      </c>
      <c r="I160" s="249" t="str">
        <f t="shared" si="13"/>
        <v/>
      </c>
      <c r="J160" s="248" t="e">
        <f t="shared" si="17"/>
        <v>#NUM!</v>
      </c>
      <c r="K160" s="248" t="e">
        <f t="shared" si="14"/>
        <v>#NUM!</v>
      </c>
      <c r="L160" s="248"/>
      <c r="M160" s="250">
        <f t="shared" si="15"/>
        <v>0</v>
      </c>
    </row>
    <row r="161" spans="1:13" x14ac:dyDescent="0.25">
      <c r="A161" s="265"/>
      <c r="G161" s="234"/>
      <c r="H161" s="251">
        <v>156</v>
      </c>
      <c r="I161" s="249" t="str">
        <f t="shared" si="13"/>
        <v/>
      </c>
      <c r="J161" s="248" t="e">
        <f t="shared" si="17"/>
        <v>#NUM!</v>
      </c>
      <c r="K161" s="248" t="e">
        <f t="shared" si="14"/>
        <v>#NUM!</v>
      </c>
      <c r="L161" s="248"/>
      <c r="M161" s="250">
        <f t="shared" si="15"/>
        <v>0</v>
      </c>
    </row>
    <row r="162" spans="1:13" x14ac:dyDescent="0.25">
      <c r="A162" s="265"/>
      <c r="G162" s="234"/>
      <c r="H162" s="248">
        <v>157</v>
      </c>
      <c r="I162" s="249" t="str">
        <f t="shared" si="13"/>
        <v/>
      </c>
      <c r="J162" s="248" t="e">
        <f t="shared" si="17"/>
        <v>#NUM!</v>
      </c>
      <c r="K162" s="248" t="e">
        <f t="shared" si="14"/>
        <v>#NUM!</v>
      </c>
      <c r="L162" s="248"/>
      <c r="M162" s="250">
        <f t="shared" si="15"/>
        <v>0</v>
      </c>
    </row>
    <row r="163" spans="1:13" x14ac:dyDescent="0.25">
      <c r="A163" s="265"/>
      <c r="G163" s="234"/>
      <c r="H163" s="251">
        <v>158</v>
      </c>
      <c r="I163" s="249" t="str">
        <f t="shared" si="13"/>
        <v/>
      </c>
      <c r="J163" s="248" t="e">
        <f t="shared" si="17"/>
        <v>#NUM!</v>
      </c>
      <c r="K163" s="248" t="e">
        <f t="shared" si="14"/>
        <v>#NUM!</v>
      </c>
      <c r="L163" s="248"/>
      <c r="M163" s="250">
        <f t="shared" si="15"/>
        <v>0</v>
      </c>
    </row>
    <row r="164" spans="1:13" x14ac:dyDescent="0.25">
      <c r="A164" s="265"/>
      <c r="G164" s="234"/>
      <c r="H164" s="248">
        <v>159</v>
      </c>
      <c r="I164" s="249" t="str">
        <f t="shared" si="13"/>
        <v/>
      </c>
      <c r="J164" s="248" t="e">
        <f t="shared" si="17"/>
        <v>#NUM!</v>
      </c>
      <c r="K164" s="248" t="e">
        <f t="shared" si="14"/>
        <v>#NUM!</v>
      </c>
      <c r="L164" s="248"/>
      <c r="M164" s="250">
        <f t="shared" si="15"/>
        <v>0</v>
      </c>
    </row>
    <row r="165" spans="1:13" x14ac:dyDescent="0.25">
      <c r="A165" s="265"/>
      <c r="G165" s="234"/>
      <c r="H165" s="251">
        <v>160</v>
      </c>
      <c r="I165" s="249" t="str">
        <f t="shared" si="13"/>
        <v/>
      </c>
      <c r="J165" s="248" t="e">
        <f t="shared" si="17"/>
        <v>#NUM!</v>
      </c>
      <c r="K165" s="248" t="e">
        <f t="shared" si="14"/>
        <v>#NUM!</v>
      </c>
      <c r="L165" s="248"/>
      <c r="M165" s="250">
        <f t="shared" si="15"/>
        <v>0</v>
      </c>
    </row>
    <row r="166" spans="1:13" x14ac:dyDescent="0.25">
      <c r="A166" s="265"/>
      <c r="G166" s="234"/>
      <c r="H166" s="248">
        <v>161</v>
      </c>
      <c r="I166" s="249" t="str">
        <f t="shared" si="13"/>
        <v/>
      </c>
      <c r="J166" s="248" t="e">
        <f t="shared" si="17"/>
        <v>#NUM!</v>
      </c>
      <c r="K166" s="248" t="e">
        <f t="shared" si="14"/>
        <v>#NUM!</v>
      </c>
      <c r="L166" s="248"/>
      <c r="M166" s="250">
        <f t="shared" si="15"/>
        <v>0</v>
      </c>
    </row>
    <row r="167" spans="1:13" x14ac:dyDescent="0.25">
      <c r="A167" s="265"/>
      <c r="G167" s="234"/>
      <c r="H167" s="251">
        <v>162</v>
      </c>
      <c r="I167" s="249" t="str">
        <f t="shared" si="13"/>
        <v/>
      </c>
      <c r="J167" s="248" t="e">
        <f t="shared" si="17"/>
        <v>#NUM!</v>
      </c>
      <c r="K167" s="248" t="e">
        <f t="shared" si="14"/>
        <v>#NUM!</v>
      </c>
      <c r="L167" s="248"/>
      <c r="M167" s="250">
        <f t="shared" si="15"/>
        <v>0</v>
      </c>
    </row>
    <row r="168" spans="1:13" x14ac:dyDescent="0.25">
      <c r="A168" s="265"/>
      <c r="G168" s="234"/>
      <c r="H168" s="248">
        <v>163</v>
      </c>
      <c r="I168" s="249" t="str">
        <f t="shared" si="13"/>
        <v/>
      </c>
      <c r="J168" s="248" t="e">
        <f t="shared" si="17"/>
        <v>#NUM!</v>
      </c>
      <c r="K168" s="248" t="e">
        <f t="shared" si="14"/>
        <v>#NUM!</v>
      </c>
      <c r="L168" s="248"/>
      <c r="M168" s="250">
        <f t="shared" si="15"/>
        <v>0</v>
      </c>
    </row>
    <row r="169" spans="1:13" x14ac:dyDescent="0.25">
      <c r="A169" s="265"/>
      <c r="C169" s="264" t="s">
        <v>50</v>
      </c>
      <c r="G169" s="234"/>
      <c r="H169" s="251">
        <v>164</v>
      </c>
      <c r="I169" s="249" t="str">
        <f t="shared" si="13"/>
        <v/>
      </c>
      <c r="J169" s="248" t="e">
        <f t="shared" si="17"/>
        <v>#NUM!</v>
      </c>
      <c r="K169" s="248" t="e">
        <f t="shared" si="14"/>
        <v>#NUM!</v>
      </c>
      <c r="L169" s="248"/>
      <c r="M169" s="250">
        <f t="shared" si="15"/>
        <v>0</v>
      </c>
    </row>
    <row r="170" spans="1:13" x14ac:dyDescent="0.25">
      <c r="A170" s="265"/>
      <c r="G170" s="234"/>
      <c r="H170" s="248">
        <v>165</v>
      </c>
      <c r="I170" s="249" t="str">
        <f t="shared" si="13"/>
        <v/>
      </c>
      <c r="J170" s="248" t="e">
        <f t="shared" si="17"/>
        <v>#NUM!</v>
      </c>
      <c r="K170" s="248" t="e">
        <f t="shared" si="14"/>
        <v>#NUM!</v>
      </c>
      <c r="L170" s="248"/>
      <c r="M170" s="250">
        <f t="shared" si="15"/>
        <v>0</v>
      </c>
    </row>
    <row r="171" spans="1:13" x14ac:dyDescent="0.25">
      <c r="A171" s="265"/>
      <c r="G171" s="234"/>
      <c r="H171" s="251">
        <v>166</v>
      </c>
      <c r="I171" s="249" t="str">
        <f t="shared" si="13"/>
        <v/>
      </c>
      <c r="J171" s="248" t="e">
        <f t="shared" si="17"/>
        <v>#NUM!</v>
      </c>
      <c r="K171" s="248" t="e">
        <f t="shared" si="14"/>
        <v>#NUM!</v>
      </c>
      <c r="L171" s="248"/>
      <c r="M171" s="250">
        <f t="shared" si="15"/>
        <v>0</v>
      </c>
    </row>
    <row r="172" spans="1:13" x14ac:dyDescent="0.25">
      <c r="A172" s="265"/>
      <c r="G172" s="234"/>
      <c r="H172" s="248">
        <v>167</v>
      </c>
      <c r="I172" s="249" t="str">
        <f t="shared" si="13"/>
        <v/>
      </c>
      <c r="J172" s="248" t="e">
        <f t="shared" si="17"/>
        <v>#NUM!</v>
      </c>
      <c r="K172" s="248" t="e">
        <f t="shared" si="14"/>
        <v>#NUM!</v>
      </c>
      <c r="L172" s="248"/>
      <c r="M172" s="250">
        <f t="shared" si="15"/>
        <v>0</v>
      </c>
    </row>
    <row r="173" spans="1:13" x14ac:dyDescent="0.25">
      <c r="A173" s="265"/>
      <c r="G173" s="234"/>
      <c r="H173" s="251">
        <v>168</v>
      </c>
      <c r="I173" s="249" t="str">
        <f t="shared" si="13"/>
        <v/>
      </c>
      <c r="J173" s="248" t="e">
        <f t="shared" si="17"/>
        <v>#NUM!</v>
      </c>
      <c r="K173" s="248" t="e">
        <f t="shared" si="14"/>
        <v>#NUM!</v>
      </c>
      <c r="L173" s="248"/>
      <c r="M173" s="250">
        <f t="shared" si="15"/>
        <v>0</v>
      </c>
    </row>
    <row r="174" spans="1:13" x14ac:dyDescent="0.25">
      <c r="A174" s="265"/>
      <c r="G174" s="234"/>
      <c r="H174" s="248">
        <v>169</v>
      </c>
      <c r="I174" s="249" t="str">
        <f t="shared" si="13"/>
        <v/>
      </c>
      <c r="J174" s="248" t="e">
        <f t="shared" si="17"/>
        <v>#NUM!</v>
      </c>
      <c r="K174" s="248" t="e">
        <f t="shared" si="14"/>
        <v>#NUM!</v>
      </c>
      <c r="L174" s="248"/>
      <c r="M174" s="250">
        <f t="shared" si="15"/>
        <v>0</v>
      </c>
    </row>
    <row r="175" spans="1:13" x14ac:dyDescent="0.25">
      <c r="A175" s="265"/>
      <c r="G175" s="234"/>
      <c r="H175" s="251">
        <v>170</v>
      </c>
      <c r="I175" s="249" t="str">
        <f t="shared" si="13"/>
        <v/>
      </c>
      <c r="J175" s="248" t="e">
        <f t="shared" si="17"/>
        <v>#NUM!</v>
      </c>
      <c r="K175" s="248" t="e">
        <f t="shared" si="14"/>
        <v>#NUM!</v>
      </c>
      <c r="L175" s="248"/>
      <c r="M175" s="250">
        <f t="shared" si="15"/>
        <v>0</v>
      </c>
    </row>
    <row r="176" spans="1:13" x14ac:dyDescent="0.25">
      <c r="A176" s="265"/>
      <c r="G176" s="234"/>
      <c r="H176" s="248">
        <v>171</v>
      </c>
      <c r="I176" s="249" t="str">
        <f t="shared" si="13"/>
        <v/>
      </c>
      <c r="J176" s="248" t="e">
        <f t="shared" si="17"/>
        <v>#NUM!</v>
      </c>
      <c r="K176" s="248" t="e">
        <f t="shared" si="14"/>
        <v>#NUM!</v>
      </c>
      <c r="L176" s="248"/>
      <c r="M176" s="250">
        <f t="shared" si="15"/>
        <v>0</v>
      </c>
    </row>
    <row r="177" spans="1:13" x14ac:dyDescent="0.25">
      <c r="A177" s="265"/>
      <c r="G177" s="234"/>
      <c r="H177" s="251">
        <v>172</v>
      </c>
      <c r="I177" s="249" t="str">
        <f t="shared" si="13"/>
        <v/>
      </c>
      <c r="J177" s="248" t="e">
        <f t="shared" si="17"/>
        <v>#NUM!</v>
      </c>
      <c r="K177" s="248" t="e">
        <f t="shared" si="14"/>
        <v>#NUM!</v>
      </c>
      <c r="L177" s="248"/>
      <c r="M177" s="250">
        <f t="shared" si="15"/>
        <v>0</v>
      </c>
    </row>
    <row r="178" spans="1:13" x14ac:dyDescent="0.25">
      <c r="A178" s="265"/>
      <c r="G178" s="234"/>
      <c r="H178" s="248">
        <v>173</v>
      </c>
      <c r="I178" s="249" t="str">
        <f t="shared" si="13"/>
        <v/>
      </c>
      <c r="J178" s="248" t="e">
        <f t="shared" si="17"/>
        <v>#NUM!</v>
      </c>
      <c r="K178" s="248" t="e">
        <f t="shared" si="14"/>
        <v>#NUM!</v>
      </c>
      <c r="L178" s="248"/>
      <c r="M178" s="250">
        <f t="shared" si="15"/>
        <v>0</v>
      </c>
    </row>
    <row r="179" spans="1:13" x14ac:dyDescent="0.25">
      <c r="A179" s="265"/>
      <c r="G179" s="234"/>
      <c r="H179" s="251">
        <v>174</v>
      </c>
      <c r="I179" s="249" t="str">
        <f t="shared" si="13"/>
        <v/>
      </c>
      <c r="J179" s="248" t="e">
        <f t="shared" si="17"/>
        <v>#NUM!</v>
      </c>
      <c r="K179" s="248" t="e">
        <f t="shared" si="14"/>
        <v>#NUM!</v>
      </c>
      <c r="L179" s="248"/>
      <c r="M179" s="250">
        <f t="shared" si="15"/>
        <v>0</v>
      </c>
    </row>
    <row r="180" spans="1:13" x14ac:dyDescent="0.25">
      <c r="A180" s="265"/>
      <c r="G180" s="234"/>
      <c r="H180" s="248">
        <v>175</v>
      </c>
      <c r="I180" s="249" t="str">
        <f t="shared" si="13"/>
        <v/>
      </c>
      <c r="J180" s="248" t="e">
        <f t="shared" si="17"/>
        <v>#NUM!</v>
      </c>
      <c r="K180" s="248" t="e">
        <f t="shared" si="14"/>
        <v>#NUM!</v>
      </c>
      <c r="L180" s="248"/>
      <c r="M180" s="250">
        <f t="shared" si="15"/>
        <v>0</v>
      </c>
    </row>
    <row r="181" spans="1:13" x14ac:dyDescent="0.25">
      <c r="A181" s="265"/>
      <c r="G181" s="234"/>
      <c r="H181" s="251">
        <v>176</v>
      </c>
      <c r="I181" s="249" t="str">
        <f t="shared" si="13"/>
        <v/>
      </c>
      <c r="J181" s="248" t="e">
        <f t="shared" si="17"/>
        <v>#NUM!</v>
      </c>
      <c r="K181" s="248" t="e">
        <f t="shared" si="14"/>
        <v>#NUM!</v>
      </c>
      <c r="L181" s="248"/>
      <c r="M181" s="250">
        <f t="shared" si="15"/>
        <v>0</v>
      </c>
    </row>
    <row r="182" spans="1:13" x14ac:dyDescent="0.25">
      <c r="A182" s="265"/>
      <c r="G182" s="234"/>
      <c r="H182" s="248">
        <v>177</v>
      </c>
      <c r="I182" s="249" t="str">
        <f t="shared" si="13"/>
        <v/>
      </c>
      <c r="J182" s="248" t="e">
        <f t="shared" si="17"/>
        <v>#NUM!</v>
      </c>
      <c r="K182" s="248" t="e">
        <f t="shared" si="14"/>
        <v>#NUM!</v>
      </c>
      <c r="L182" s="248"/>
      <c r="M182" s="250">
        <f t="shared" si="15"/>
        <v>0</v>
      </c>
    </row>
    <row r="183" spans="1:13" x14ac:dyDescent="0.25">
      <c r="A183" s="265"/>
      <c r="G183" s="234"/>
      <c r="H183" s="251">
        <v>178</v>
      </c>
      <c r="I183" s="249" t="str">
        <f t="shared" si="13"/>
        <v/>
      </c>
      <c r="J183" s="248" t="e">
        <f t="shared" si="17"/>
        <v>#NUM!</v>
      </c>
      <c r="K183" s="248" t="e">
        <f t="shared" si="14"/>
        <v>#NUM!</v>
      </c>
      <c r="L183" s="248"/>
      <c r="M183" s="250">
        <f t="shared" si="15"/>
        <v>0</v>
      </c>
    </row>
    <row r="184" spans="1:13" x14ac:dyDescent="0.25">
      <c r="A184" s="265"/>
      <c r="G184" s="234"/>
      <c r="H184" s="248">
        <v>179</v>
      </c>
      <c r="I184" s="249" t="str">
        <f t="shared" si="13"/>
        <v/>
      </c>
      <c r="J184" s="248" t="e">
        <f t="shared" si="17"/>
        <v>#NUM!</v>
      </c>
      <c r="K184" s="248" t="e">
        <f t="shared" si="14"/>
        <v>#NUM!</v>
      </c>
      <c r="L184" s="248"/>
      <c r="M184" s="250">
        <f t="shared" si="15"/>
        <v>0</v>
      </c>
    </row>
    <row r="185" spans="1:13" x14ac:dyDescent="0.25">
      <c r="A185" s="265"/>
      <c r="G185" s="234"/>
      <c r="H185" s="251">
        <v>180</v>
      </c>
      <c r="I185" s="249" t="str">
        <f t="shared" si="13"/>
        <v/>
      </c>
      <c r="J185" s="248" t="e">
        <f t="shared" si="17"/>
        <v>#NUM!</v>
      </c>
      <c r="K185" s="248" t="e">
        <f t="shared" si="14"/>
        <v>#NUM!</v>
      </c>
      <c r="L185" s="248"/>
      <c r="M185" s="250">
        <f t="shared" si="15"/>
        <v>0</v>
      </c>
    </row>
    <row r="186" spans="1:13" x14ac:dyDescent="0.25">
      <c r="A186" s="265"/>
      <c r="G186" s="234"/>
      <c r="H186" s="248">
        <v>181</v>
      </c>
      <c r="I186" s="249" t="str">
        <f t="shared" si="13"/>
        <v/>
      </c>
      <c r="J186" s="248" t="e">
        <f t="shared" si="17"/>
        <v>#NUM!</v>
      </c>
      <c r="K186" s="248" t="e">
        <f t="shared" si="14"/>
        <v>#NUM!</v>
      </c>
      <c r="L186" s="248"/>
      <c r="M186" s="250">
        <f t="shared" si="15"/>
        <v>0</v>
      </c>
    </row>
    <row r="187" spans="1:13" x14ac:dyDescent="0.25">
      <c r="A187" s="265"/>
      <c r="G187" s="234"/>
      <c r="H187" s="251">
        <v>182</v>
      </c>
      <c r="I187" s="249" t="str">
        <f t="shared" si="13"/>
        <v/>
      </c>
      <c r="J187" s="248" t="e">
        <f t="shared" si="17"/>
        <v>#NUM!</v>
      </c>
      <c r="K187" s="248" t="e">
        <f t="shared" si="14"/>
        <v>#NUM!</v>
      </c>
      <c r="L187" s="248"/>
      <c r="M187" s="250">
        <f t="shared" si="15"/>
        <v>0</v>
      </c>
    </row>
    <row r="188" spans="1:13" x14ac:dyDescent="0.25">
      <c r="A188" s="265"/>
      <c r="G188" s="234"/>
      <c r="H188" s="248">
        <v>183</v>
      </c>
      <c r="I188" s="249" t="str">
        <f t="shared" si="13"/>
        <v/>
      </c>
      <c r="J188" s="248" t="e">
        <f t="shared" si="17"/>
        <v>#NUM!</v>
      </c>
      <c r="K188" s="248" t="e">
        <f t="shared" si="14"/>
        <v>#NUM!</v>
      </c>
      <c r="L188" s="248"/>
      <c r="M188" s="250">
        <f t="shared" si="15"/>
        <v>0</v>
      </c>
    </row>
    <row r="189" spans="1:13" x14ac:dyDescent="0.25">
      <c r="A189" s="265"/>
      <c r="G189" s="234"/>
      <c r="H189" s="251">
        <v>184</v>
      </c>
      <c r="I189" s="249" t="str">
        <f t="shared" si="13"/>
        <v/>
      </c>
      <c r="J189" s="248" t="e">
        <f t="shared" si="17"/>
        <v>#NUM!</v>
      </c>
      <c r="K189" s="248" t="e">
        <f t="shared" si="14"/>
        <v>#NUM!</v>
      </c>
      <c r="L189" s="248"/>
      <c r="M189" s="250">
        <f t="shared" si="15"/>
        <v>0</v>
      </c>
    </row>
    <row r="190" spans="1:13" x14ac:dyDescent="0.25">
      <c r="A190" s="265"/>
      <c r="G190" s="234"/>
      <c r="H190" s="248">
        <v>185</v>
      </c>
      <c r="I190" s="249" t="str">
        <f t="shared" si="13"/>
        <v/>
      </c>
      <c r="J190" s="248" t="e">
        <f t="shared" si="17"/>
        <v>#NUM!</v>
      </c>
      <c r="K190" s="248" t="e">
        <f t="shared" si="14"/>
        <v>#NUM!</v>
      </c>
      <c r="L190" s="248"/>
      <c r="M190" s="250">
        <f t="shared" si="15"/>
        <v>0</v>
      </c>
    </row>
    <row r="191" spans="1:13" x14ac:dyDescent="0.25">
      <c r="A191" s="265"/>
      <c r="G191" s="234"/>
      <c r="H191" s="251">
        <v>186</v>
      </c>
      <c r="I191" s="249" t="str">
        <f t="shared" si="13"/>
        <v/>
      </c>
      <c r="J191" s="248" t="e">
        <f t="shared" si="17"/>
        <v>#NUM!</v>
      </c>
      <c r="K191" s="248" t="e">
        <f t="shared" si="14"/>
        <v>#NUM!</v>
      </c>
      <c r="L191" s="248"/>
      <c r="M191" s="250">
        <f t="shared" si="15"/>
        <v>0</v>
      </c>
    </row>
    <row r="192" spans="1:13" x14ac:dyDescent="0.25">
      <c r="A192" s="265"/>
      <c r="G192" s="234"/>
      <c r="H192" s="248">
        <v>187</v>
      </c>
      <c r="I192" s="249" t="str">
        <f t="shared" si="13"/>
        <v/>
      </c>
      <c r="J192" s="248" t="e">
        <f t="shared" si="17"/>
        <v>#NUM!</v>
      </c>
      <c r="K192" s="248" t="e">
        <f t="shared" si="14"/>
        <v>#NUM!</v>
      </c>
      <c r="L192" s="248"/>
      <c r="M192" s="250">
        <f t="shared" si="15"/>
        <v>0</v>
      </c>
    </row>
    <row r="193" spans="1:13" x14ac:dyDescent="0.25">
      <c r="A193" s="265"/>
      <c r="G193" s="234"/>
      <c r="H193" s="251">
        <v>188</v>
      </c>
      <c r="I193" s="249" t="str">
        <f t="shared" si="13"/>
        <v/>
      </c>
      <c r="J193" s="248" t="e">
        <f t="shared" si="17"/>
        <v>#NUM!</v>
      </c>
      <c r="K193" s="248" t="e">
        <f t="shared" si="14"/>
        <v>#NUM!</v>
      </c>
      <c r="L193" s="248"/>
      <c r="M193" s="250">
        <f t="shared" si="15"/>
        <v>0</v>
      </c>
    </row>
    <row r="194" spans="1:13" x14ac:dyDescent="0.25">
      <c r="A194" s="265"/>
      <c r="G194" s="234"/>
      <c r="H194" s="248">
        <v>189</v>
      </c>
      <c r="I194" s="249" t="str">
        <f t="shared" si="13"/>
        <v/>
      </c>
      <c r="J194" s="248" t="e">
        <f t="shared" si="17"/>
        <v>#NUM!</v>
      </c>
      <c r="K194" s="248" t="e">
        <f t="shared" si="14"/>
        <v>#NUM!</v>
      </c>
      <c r="L194" s="248"/>
      <c r="M194" s="250">
        <f t="shared" si="15"/>
        <v>0</v>
      </c>
    </row>
    <row r="195" spans="1:13" x14ac:dyDescent="0.25">
      <c r="A195" s="265"/>
      <c r="G195" s="234"/>
      <c r="H195" s="251">
        <v>190</v>
      </c>
      <c r="I195" s="249" t="str">
        <f t="shared" si="13"/>
        <v/>
      </c>
      <c r="J195" s="248" t="e">
        <f t="shared" si="17"/>
        <v>#NUM!</v>
      </c>
      <c r="K195" s="248" t="e">
        <f t="shared" si="14"/>
        <v>#NUM!</v>
      </c>
      <c r="L195" s="248"/>
      <c r="M195" s="250">
        <f t="shared" si="15"/>
        <v>0</v>
      </c>
    </row>
    <row r="196" spans="1:13" x14ac:dyDescent="0.25">
      <c r="A196" s="265"/>
      <c r="G196" s="234"/>
      <c r="H196" s="248">
        <v>191</v>
      </c>
      <c r="I196" s="249" t="str">
        <f t="shared" si="13"/>
        <v/>
      </c>
      <c r="J196" s="248" t="e">
        <f t="shared" si="17"/>
        <v>#NUM!</v>
      </c>
      <c r="K196" s="248" t="e">
        <f t="shared" si="14"/>
        <v>#NUM!</v>
      </c>
      <c r="L196" s="248"/>
      <c r="M196" s="250">
        <f t="shared" si="15"/>
        <v>0</v>
      </c>
    </row>
    <row r="197" spans="1:13" x14ac:dyDescent="0.25">
      <c r="A197" s="265"/>
      <c r="G197" s="234"/>
      <c r="H197" s="251">
        <v>192</v>
      </c>
      <c r="I197" s="249" t="str">
        <f t="shared" si="13"/>
        <v/>
      </c>
      <c r="J197" s="248" t="e">
        <f t="shared" si="17"/>
        <v>#NUM!</v>
      </c>
      <c r="K197" s="248" t="e">
        <f t="shared" si="14"/>
        <v>#NUM!</v>
      </c>
      <c r="L197" s="248"/>
      <c r="M197" s="250">
        <f t="shared" si="15"/>
        <v>0</v>
      </c>
    </row>
    <row r="198" spans="1:13" x14ac:dyDescent="0.25">
      <c r="A198" s="265"/>
      <c r="G198" s="234"/>
      <c r="H198" s="248">
        <v>193</v>
      </c>
      <c r="I198" s="249" t="str">
        <f t="shared" ref="I198:I261" si="18">IF(H198&lt;$H$2+1,($I$2-($I$2-1)*(LOG(H198)/LOG($H$2))),"")</f>
        <v/>
      </c>
      <c r="J198" s="248" t="e">
        <f t="shared" si="17"/>
        <v>#NUM!</v>
      </c>
      <c r="K198" s="248" t="e">
        <f t="shared" ref="K198:K261" si="19">J198*$J$2</f>
        <v>#NUM!</v>
      </c>
      <c r="L198" s="248"/>
      <c r="M198" s="250">
        <f t="shared" ref="M198:M261" si="20">IF(I198&lt;&gt;"",K198+I198+L198,0)</f>
        <v>0</v>
      </c>
    </row>
    <row r="199" spans="1:13" x14ac:dyDescent="0.25">
      <c r="A199" s="265"/>
      <c r="G199" s="234"/>
      <c r="H199" s="251">
        <v>194</v>
      </c>
      <c r="I199" s="249" t="str">
        <f t="shared" si="18"/>
        <v/>
      </c>
      <c r="J199" s="248" t="e">
        <f t="shared" ref="J199:J262" si="21">INT(LOG($H$2,2))-ROUNDUP(LOG(H199,2),0)+IF(OR($H$2=1,$H$2=2,$H$2=4,$H$2=8,$H$2=16,$H$2=32,$H$2=64,$H$2=128,$H$2=256),0,1)</f>
        <v>#NUM!</v>
      </c>
      <c r="K199" s="248" t="e">
        <f t="shared" si="19"/>
        <v>#NUM!</v>
      </c>
      <c r="L199" s="248"/>
      <c r="M199" s="250">
        <f t="shared" si="20"/>
        <v>0</v>
      </c>
    </row>
    <row r="200" spans="1:13" x14ac:dyDescent="0.25">
      <c r="A200" s="265"/>
      <c r="G200" s="234"/>
      <c r="H200" s="248">
        <v>195</v>
      </c>
      <c r="I200" s="249" t="str">
        <f t="shared" si="18"/>
        <v/>
      </c>
      <c r="J200" s="248" t="e">
        <f t="shared" si="21"/>
        <v>#NUM!</v>
      </c>
      <c r="K200" s="248" t="e">
        <f t="shared" si="19"/>
        <v>#NUM!</v>
      </c>
      <c r="L200" s="248"/>
      <c r="M200" s="250">
        <f t="shared" si="20"/>
        <v>0</v>
      </c>
    </row>
    <row r="201" spans="1:13" x14ac:dyDescent="0.25">
      <c r="A201" s="265"/>
      <c r="G201" s="234"/>
      <c r="H201" s="251">
        <v>196</v>
      </c>
      <c r="I201" s="249" t="str">
        <f t="shared" si="18"/>
        <v/>
      </c>
      <c r="J201" s="248" t="e">
        <f t="shared" si="21"/>
        <v>#NUM!</v>
      </c>
      <c r="K201" s="248" t="e">
        <f t="shared" si="19"/>
        <v>#NUM!</v>
      </c>
      <c r="L201" s="248"/>
      <c r="M201" s="250">
        <f t="shared" si="20"/>
        <v>0</v>
      </c>
    </row>
    <row r="202" spans="1:13" x14ac:dyDescent="0.25">
      <c r="A202" s="265"/>
      <c r="G202" s="234"/>
      <c r="H202" s="248">
        <v>197</v>
      </c>
      <c r="I202" s="249" t="str">
        <f t="shared" si="18"/>
        <v/>
      </c>
      <c r="J202" s="248" t="e">
        <f t="shared" si="21"/>
        <v>#NUM!</v>
      </c>
      <c r="K202" s="248" t="e">
        <f t="shared" si="19"/>
        <v>#NUM!</v>
      </c>
      <c r="L202" s="248"/>
      <c r="M202" s="250">
        <f t="shared" si="20"/>
        <v>0</v>
      </c>
    </row>
    <row r="203" spans="1:13" x14ac:dyDescent="0.25">
      <c r="A203" s="265"/>
      <c r="G203" s="234"/>
      <c r="H203" s="251">
        <v>198</v>
      </c>
      <c r="I203" s="249" t="str">
        <f t="shared" si="18"/>
        <v/>
      </c>
      <c r="J203" s="248" t="e">
        <f t="shared" si="21"/>
        <v>#NUM!</v>
      </c>
      <c r="K203" s="248" t="e">
        <f t="shared" si="19"/>
        <v>#NUM!</v>
      </c>
      <c r="L203" s="248"/>
      <c r="M203" s="250">
        <f t="shared" si="20"/>
        <v>0</v>
      </c>
    </row>
    <row r="204" spans="1:13" x14ac:dyDescent="0.25">
      <c r="A204" s="265"/>
      <c r="G204" s="234"/>
      <c r="H204" s="248">
        <v>199</v>
      </c>
      <c r="I204" s="249" t="str">
        <f t="shared" si="18"/>
        <v/>
      </c>
      <c r="J204" s="248" t="e">
        <f t="shared" si="21"/>
        <v>#NUM!</v>
      </c>
      <c r="K204" s="248" t="e">
        <f t="shared" si="19"/>
        <v>#NUM!</v>
      </c>
      <c r="L204" s="248"/>
      <c r="M204" s="250">
        <f t="shared" si="20"/>
        <v>0</v>
      </c>
    </row>
    <row r="205" spans="1:13" x14ac:dyDescent="0.25">
      <c r="A205" s="265"/>
      <c r="G205" s="234"/>
      <c r="H205" s="251">
        <v>200</v>
      </c>
      <c r="I205" s="249" t="str">
        <f t="shared" si="18"/>
        <v/>
      </c>
      <c r="J205" s="248" t="e">
        <f t="shared" si="21"/>
        <v>#NUM!</v>
      </c>
      <c r="K205" s="248" t="e">
        <f t="shared" si="19"/>
        <v>#NUM!</v>
      </c>
      <c r="L205" s="248"/>
      <c r="M205" s="250">
        <f t="shared" si="20"/>
        <v>0</v>
      </c>
    </row>
    <row r="206" spans="1:13" x14ac:dyDescent="0.25">
      <c r="A206" s="265"/>
      <c r="G206" s="234"/>
      <c r="H206" s="248">
        <v>201</v>
      </c>
      <c r="I206" s="249" t="str">
        <f t="shared" si="18"/>
        <v/>
      </c>
      <c r="J206" s="248" t="e">
        <f t="shared" si="21"/>
        <v>#NUM!</v>
      </c>
      <c r="K206" s="248" t="e">
        <f t="shared" si="19"/>
        <v>#NUM!</v>
      </c>
      <c r="L206" s="248"/>
      <c r="M206" s="250">
        <f t="shared" si="20"/>
        <v>0</v>
      </c>
    </row>
    <row r="207" spans="1:13" x14ac:dyDescent="0.25">
      <c r="A207" s="265"/>
      <c r="G207" s="234"/>
      <c r="H207" s="251">
        <v>202</v>
      </c>
      <c r="I207" s="249" t="str">
        <f t="shared" si="18"/>
        <v/>
      </c>
      <c r="J207" s="248" t="e">
        <f t="shared" si="21"/>
        <v>#NUM!</v>
      </c>
      <c r="K207" s="248" t="e">
        <f t="shared" si="19"/>
        <v>#NUM!</v>
      </c>
      <c r="L207" s="248"/>
      <c r="M207" s="250">
        <f t="shared" si="20"/>
        <v>0</v>
      </c>
    </row>
    <row r="208" spans="1:13" x14ac:dyDescent="0.25">
      <c r="A208" s="265"/>
      <c r="G208" s="234"/>
      <c r="H208" s="248">
        <v>203</v>
      </c>
      <c r="I208" s="249" t="str">
        <f t="shared" si="18"/>
        <v/>
      </c>
      <c r="J208" s="248" t="e">
        <f t="shared" si="21"/>
        <v>#NUM!</v>
      </c>
      <c r="K208" s="248" t="e">
        <f t="shared" si="19"/>
        <v>#NUM!</v>
      </c>
      <c r="L208" s="248"/>
      <c r="M208" s="250">
        <f t="shared" si="20"/>
        <v>0</v>
      </c>
    </row>
    <row r="209" spans="1:13" x14ac:dyDescent="0.25">
      <c r="A209" s="265"/>
      <c r="G209" s="234"/>
      <c r="H209" s="251">
        <v>204</v>
      </c>
      <c r="I209" s="249" t="str">
        <f t="shared" si="18"/>
        <v/>
      </c>
      <c r="J209" s="248" t="e">
        <f t="shared" si="21"/>
        <v>#NUM!</v>
      </c>
      <c r="K209" s="248" t="e">
        <f t="shared" si="19"/>
        <v>#NUM!</v>
      </c>
      <c r="L209" s="248"/>
      <c r="M209" s="250">
        <f t="shared" si="20"/>
        <v>0</v>
      </c>
    </row>
    <row r="210" spans="1:13" x14ac:dyDescent="0.25">
      <c r="A210" s="265"/>
      <c r="G210" s="234"/>
      <c r="H210" s="248">
        <v>205</v>
      </c>
      <c r="I210" s="249" t="str">
        <f t="shared" si="18"/>
        <v/>
      </c>
      <c r="J210" s="248" t="e">
        <f t="shared" si="21"/>
        <v>#NUM!</v>
      </c>
      <c r="K210" s="248" t="e">
        <f t="shared" si="19"/>
        <v>#NUM!</v>
      </c>
      <c r="L210" s="248"/>
      <c r="M210" s="250">
        <f t="shared" si="20"/>
        <v>0</v>
      </c>
    </row>
    <row r="211" spans="1:13" x14ac:dyDescent="0.25">
      <c r="A211" s="265"/>
      <c r="G211" s="234"/>
      <c r="H211" s="251">
        <v>206</v>
      </c>
      <c r="I211" s="249" t="str">
        <f t="shared" si="18"/>
        <v/>
      </c>
      <c r="J211" s="248" t="e">
        <f t="shared" si="21"/>
        <v>#NUM!</v>
      </c>
      <c r="K211" s="248" t="e">
        <f t="shared" si="19"/>
        <v>#NUM!</v>
      </c>
      <c r="L211" s="248"/>
      <c r="M211" s="250">
        <f t="shared" si="20"/>
        <v>0</v>
      </c>
    </row>
    <row r="212" spans="1:13" x14ac:dyDescent="0.25">
      <c r="A212" s="265"/>
      <c r="G212" s="234"/>
      <c r="H212" s="248">
        <v>207</v>
      </c>
      <c r="I212" s="249" t="str">
        <f t="shared" si="18"/>
        <v/>
      </c>
      <c r="J212" s="248" t="e">
        <f t="shared" si="21"/>
        <v>#NUM!</v>
      </c>
      <c r="K212" s="248" t="e">
        <f t="shared" si="19"/>
        <v>#NUM!</v>
      </c>
      <c r="L212" s="248"/>
      <c r="M212" s="250">
        <f t="shared" si="20"/>
        <v>0</v>
      </c>
    </row>
    <row r="213" spans="1:13" x14ac:dyDescent="0.25">
      <c r="A213" s="265"/>
      <c r="G213" s="234"/>
      <c r="H213" s="251">
        <v>208</v>
      </c>
      <c r="I213" s="249" t="str">
        <f t="shared" si="18"/>
        <v/>
      </c>
      <c r="J213" s="248" t="e">
        <f t="shared" si="21"/>
        <v>#NUM!</v>
      </c>
      <c r="K213" s="248" t="e">
        <f t="shared" si="19"/>
        <v>#NUM!</v>
      </c>
      <c r="L213" s="248"/>
      <c r="M213" s="250">
        <f t="shared" si="20"/>
        <v>0</v>
      </c>
    </row>
    <row r="214" spans="1:13" x14ac:dyDescent="0.25">
      <c r="A214" s="265"/>
      <c r="G214" s="234"/>
      <c r="H214" s="248">
        <v>209</v>
      </c>
      <c r="I214" s="249" t="str">
        <f t="shared" si="18"/>
        <v/>
      </c>
      <c r="J214" s="248" t="e">
        <f t="shared" si="21"/>
        <v>#NUM!</v>
      </c>
      <c r="K214" s="248" t="e">
        <f t="shared" si="19"/>
        <v>#NUM!</v>
      </c>
      <c r="L214" s="248"/>
      <c r="M214" s="250">
        <f t="shared" si="20"/>
        <v>0</v>
      </c>
    </row>
    <row r="215" spans="1:13" x14ac:dyDescent="0.25">
      <c r="A215" s="265"/>
      <c r="G215" s="234"/>
      <c r="H215" s="251">
        <v>210</v>
      </c>
      <c r="I215" s="249" t="str">
        <f t="shared" si="18"/>
        <v/>
      </c>
      <c r="J215" s="248" t="e">
        <f t="shared" si="21"/>
        <v>#NUM!</v>
      </c>
      <c r="K215" s="248" t="e">
        <f t="shared" si="19"/>
        <v>#NUM!</v>
      </c>
      <c r="L215" s="248"/>
      <c r="M215" s="250">
        <f t="shared" si="20"/>
        <v>0</v>
      </c>
    </row>
    <row r="216" spans="1:13" x14ac:dyDescent="0.25">
      <c r="A216" s="265"/>
      <c r="G216" s="234"/>
      <c r="H216" s="248">
        <v>211</v>
      </c>
      <c r="I216" s="249" t="str">
        <f t="shared" si="18"/>
        <v/>
      </c>
      <c r="J216" s="248" t="e">
        <f t="shared" si="21"/>
        <v>#NUM!</v>
      </c>
      <c r="K216" s="248" t="e">
        <f t="shared" si="19"/>
        <v>#NUM!</v>
      </c>
      <c r="L216" s="248"/>
      <c r="M216" s="250">
        <f t="shared" si="20"/>
        <v>0</v>
      </c>
    </row>
    <row r="217" spans="1:13" x14ac:dyDescent="0.25">
      <c r="A217" s="265"/>
      <c r="G217" s="234"/>
      <c r="H217" s="251">
        <v>212</v>
      </c>
      <c r="I217" s="249" t="str">
        <f t="shared" si="18"/>
        <v/>
      </c>
      <c r="J217" s="248" t="e">
        <f t="shared" si="21"/>
        <v>#NUM!</v>
      </c>
      <c r="K217" s="248" t="e">
        <f t="shared" si="19"/>
        <v>#NUM!</v>
      </c>
      <c r="L217" s="248"/>
      <c r="M217" s="250">
        <f t="shared" si="20"/>
        <v>0</v>
      </c>
    </row>
    <row r="218" spans="1:13" x14ac:dyDescent="0.25">
      <c r="A218" s="265"/>
      <c r="G218" s="234"/>
      <c r="H218" s="248">
        <v>213</v>
      </c>
      <c r="I218" s="249" t="str">
        <f t="shared" si="18"/>
        <v/>
      </c>
      <c r="J218" s="248" t="e">
        <f t="shared" si="21"/>
        <v>#NUM!</v>
      </c>
      <c r="K218" s="248" t="e">
        <f t="shared" si="19"/>
        <v>#NUM!</v>
      </c>
      <c r="L218" s="248"/>
      <c r="M218" s="250">
        <f t="shared" si="20"/>
        <v>0</v>
      </c>
    </row>
    <row r="219" spans="1:13" x14ac:dyDescent="0.25">
      <c r="A219" s="265"/>
      <c r="G219" s="234"/>
      <c r="H219" s="251">
        <v>214</v>
      </c>
      <c r="I219" s="249" t="str">
        <f t="shared" si="18"/>
        <v/>
      </c>
      <c r="J219" s="248" t="e">
        <f t="shared" si="21"/>
        <v>#NUM!</v>
      </c>
      <c r="K219" s="248" t="e">
        <f t="shared" si="19"/>
        <v>#NUM!</v>
      </c>
      <c r="L219" s="248"/>
      <c r="M219" s="250">
        <f t="shared" si="20"/>
        <v>0</v>
      </c>
    </row>
    <row r="220" spans="1:13" x14ac:dyDescent="0.25">
      <c r="A220" s="265"/>
      <c r="G220" s="234"/>
      <c r="H220" s="248">
        <v>215</v>
      </c>
      <c r="I220" s="249" t="str">
        <f t="shared" si="18"/>
        <v/>
      </c>
      <c r="J220" s="248" t="e">
        <f t="shared" si="21"/>
        <v>#NUM!</v>
      </c>
      <c r="K220" s="248" t="e">
        <f t="shared" si="19"/>
        <v>#NUM!</v>
      </c>
      <c r="L220" s="248"/>
      <c r="M220" s="250">
        <f t="shared" si="20"/>
        <v>0</v>
      </c>
    </row>
    <row r="221" spans="1:13" x14ac:dyDescent="0.25">
      <c r="A221" s="265"/>
      <c r="G221" s="234"/>
      <c r="H221" s="251">
        <v>216</v>
      </c>
      <c r="I221" s="249" t="str">
        <f t="shared" si="18"/>
        <v/>
      </c>
      <c r="J221" s="248" t="e">
        <f t="shared" si="21"/>
        <v>#NUM!</v>
      </c>
      <c r="K221" s="248" t="e">
        <f t="shared" si="19"/>
        <v>#NUM!</v>
      </c>
      <c r="L221" s="248"/>
      <c r="M221" s="250">
        <f t="shared" si="20"/>
        <v>0</v>
      </c>
    </row>
    <row r="222" spans="1:13" x14ac:dyDescent="0.25">
      <c r="A222" s="265"/>
      <c r="G222" s="234"/>
      <c r="H222" s="248">
        <v>217</v>
      </c>
      <c r="I222" s="249" t="str">
        <f t="shared" si="18"/>
        <v/>
      </c>
      <c r="J222" s="248" t="e">
        <f t="shared" si="21"/>
        <v>#NUM!</v>
      </c>
      <c r="K222" s="248" t="e">
        <f t="shared" si="19"/>
        <v>#NUM!</v>
      </c>
      <c r="L222" s="248"/>
      <c r="M222" s="250">
        <f t="shared" si="20"/>
        <v>0</v>
      </c>
    </row>
    <row r="223" spans="1:13" x14ac:dyDescent="0.25">
      <c r="A223" s="265"/>
      <c r="G223" s="234"/>
      <c r="H223" s="251">
        <v>218</v>
      </c>
      <c r="I223" s="249" t="str">
        <f t="shared" si="18"/>
        <v/>
      </c>
      <c r="J223" s="248" t="e">
        <f t="shared" si="21"/>
        <v>#NUM!</v>
      </c>
      <c r="K223" s="248" t="e">
        <f t="shared" si="19"/>
        <v>#NUM!</v>
      </c>
      <c r="L223" s="248"/>
      <c r="M223" s="250">
        <f t="shared" si="20"/>
        <v>0</v>
      </c>
    </row>
    <row r="224" spans="1:13" x14ac:dyDescent="0.25">
      <c r="A224" s="265"/>
      <c r="G224" s="234"/>
      <c r="H224" s="248">
        <v>219</v>
      </c>
      <c r="I224" s="249" t="str">
        <f t="shared" si="18"/>
        <v/>
      </c>
      <c r="J224" s="248" t="e">
        <f t="shared" si="21"/>
        <v>#NUM!</v>
      </c>
      <c r="K224" s="248" t="e">
        <f t="shared" si="19"/>
        <v>#NUM!</v>
      </c>
      <c r="L224" s="248"/>
      <c r="M224" s="250">
        <f t="shared" si="20"/>
        <v>0</v>
      </c>
    </row>
    <row r="225" spans="1:13" x14ac:dyDescent="0.25">
      <c r="A225" s="265"/>
      <c r="G225" s="234"/>
      <c r="H225" s="251">
        <v>220</v>
      </c>
      <c r="I225" s="249" t="str">
        <f t="shared" si="18"/>
        <v/>
      </c>
      <c r="J225" s="248" t="e">
        <f t="shared" si="21"/>
        <v>#NUM!</v>
      </c>
      <c r="K225" s="248" t="e">
        <f t="shared" si="19"/>
        <v>#NUM!</v>
      </c>
      <c r="L225" s="248"/>
      <c r="M225" s="250">
        <f t="shared" si="20"/>
        <v>0</v>
      </c>
    </row>
    <row r="226" spans="1:13" x14ac:dyDescent="0.25">
      <c r="A226" s="265"/>
      <c r="G226" s="234"/>
      <c r="H226" s="248">
        <v>221</v>
      </c>
      <c r="I226" s="249" t="str">
        <f t="shared" si="18"/>
        <v/>
      </c>
      <c r="J226" s="248" t="e">
        <f t="shared" si="21"/>
        <v>#NUM!</v>
      </c>
      <c r="K226" s="248" t="e">
        <f t="shared" si="19"/>
        <v>#NUM!</v>
      </c>
      <c r="L226" s="248"/>
      <c r="M226" s="250">
        <f t="shared" si="20"/>
        <v>0</v>
      </c>
    </row>
    <row r="227" spans="1:13" x14ac:dyDescent="0.25">
      <c r="A227" s="265"/>
      <c r="G227" s="234"/>
      <c r="H227" s="251">
        <v>222</v>
      </c>
      <c r="I227" s="249" t="str">
        <f t="shared" si="18"/>
        <v/>
      </c>
      <c r="J227" s="248" t="e">
        <f t="shared" si="21"/>
        <v>#NUM!</v>
      </c>
      <c r="K227" s="248" t="e">
        <f t="shared" si="19"/>
        <v>#NUM!</v>
      </c>
      <c r="L227" s="248"/>
      <c r="M227" s="250">
        <f t="shared" si="20"/>
        <v>0</v>
      </c>
    </row>
    <row r="228" spans="1:13" x14ac:dyDescent="0.25">
      <c r="A228" s="265"/>
      <c r="G228" s="234"/>
      <c r="H228" s="248">
        <v>223</v>
      </c>
      <c r="I228" s="249" t="str">
        <f t="shared" si="18"/>
        <v/>
      </c>
      <c r="J228" s="248" t="e">
        <f t="shared" si="21"/>
        <v>#NUM!</v>
      </c>
      <c r="K228" s="248" t="e">
        <f t="shared" si="19"/>
        <v>#NUM!</v>
      </c>
      <c r="L228" s="248"/>
      <c r="M228" s="250">
        <f t="shared" si="20"/>
        <v>0</v>
      </c>
    </row>
    <row r="229" spans="1:13" x14ac:dyDescent="0.25">
      <c r="A229" s="265"/>
      <c r="G229" s="234"/>
      <c r="H229" s="251">
        <v>224</v>
      </c>
      <c r="I229" s="249" t="str">
        <f t="shared" si="18"/>
        <v/>
      </c>
      <c r="J229" s="248" t="e">
        <f t="shared" si="21"/>
        <v>#NUM!</v>
      </c>
      <c r="K229" s="248" t="e">
        <f t="shared" si="19"/>
        <v>#NUM!</v>
      </c>
      <c r="L229" s="248"/>
      <c r="M229" s="250">
        <f t="shared" si="20"/>
        <v>0</v>
      </c>
    </row>
    <row r="230" spans="1:13" x14ac:dyDescent="0.25">
      <c r="A230" s="265"/>
      <c r="G230" s="234"/>
      <c r="H230" s="248">
        <v>225</v>
      </c>
      <c r="I230" s="249" t="str">
        <f t="shared" si="18"/>
        <v/>
      </c>
      <c r="J230" s="248" t="e">
        <f t="shared" si="21"/>
        <v>#NUM!</v>
      </c>
      <c r="K230" s="248" t="e">
        <f t="shared" si="19"/>
        <v>#NUM!</v>
      </c>
      <c r="L230" s="248"/>
      <c r="M230" s="250">
        <f t="shared" si="20"/>
        <v>0</v>
      </c>
    </row>
    <row r="231" spans="1:13" x14ac:dyDescent="0.25">
      <c r="A231" s="265"/>
      <c r="G231" s="234"/>
      <c r="H231" s="251">
        <v>226</v>
      </c>
      <c r="I231" s="249" t="str">
        <f t="shared" si="18"/>
        <v/>
      </c>
      <c r="J231" s="248" t="e">
        <f t="shared" si="21"/>
        <v>#NUM!</v>
      </c>
      <c r="K231" s="248" t="e">
        <f t="shared" si="19"/>
        <v>#NUM!</v>
      </c>
      <c r="L231" s="248"/>
      <c r="M231" s="250">
        <f t="shared" si="20"/>
        <v>0</v>
      </c>
    </row>
    <row r="232" spans="1:13" x14ac:dyDescent="0.25">
      <c r="A232" s="265"/>
      <c r="G232" s="234"/>
      <c r="H232" s="248">
        <v>227</v>
      </c>
      <c r="I232" s="249" t="str">
        <f t="shared" si="18"/>
        <v/>
      </c>
      <c r="J232" s="248" t="e">
        <f t="shared" si="21"/>
        <v>#NUM!</v>
      </c>
      <c r="K232" s="248" t="e">
        <f t="shared" si="19"/>
        <v>#NUM!</v>
      </c>
      <c r="L232" s="248"/>
      <c r="M232" s="250">
        <f t="shared" si="20"/>
        <v>0</v>
      </c>
    </row>
    <row r="233" spans="1:13" x14ac:dyDescent="0.25">
      <c r="A233" s="265"/>
      <c r="G233" s="234"/>
      <c r="H233" s="251">
        <v>228</v>
      </c>
      <c r="I233" s="249" t="str">
        <f t="shared" si="18"/>
        <v/>
      </c>
      <c r="J233" s="248" t="e">
        <f t="shared" si="21"/>
        <v>#NUM!</v>
      </c>
      <c r="K233" s="248" t="e">
        <f t="shared" si="19"/>
        <v>#NUM!</v>
      </c>
      <c r="L233" s="248"/>
      <c r="M233" s="250">
        <f t="shared" si="20"/>
        <v>0</v>
      </c>
    </row>
    <row r="234" spans="1:13" x14ac:dyDescent="0.25">
      <c r="A234" s="265"/>
      <c r="G234" s="234"/>
      <c r="H234" s="248">
        <v>229</v>
      </c>
      <c r="I234" s="249" t="str">
        <f t="shared" si="18"/>
        <v/>
      </c>
      <c r="J234" s="248" t="e">
        <f t="shared" si="21"/>
        <v>#NUM!</v>
      </c>
      <c r="K234" s="248" t="e">
        <f t="shared" si="19"/>
        <v>#NUM!</v>
      </c>
      <c r="L234" s="248"/>
      <c r="M234" s="250">
        <f t="shared" si="20"/>
        <v>0</v>
      </c>
    </row>
    <row r="235" spans="1:13" x14ac:dyDescent="0.25">
      <c r="A235" s="265"/>
      <c r="G235" s="234"/>
      <c r="H235" s="251">
        <v>230</v>
      </c>
      <c r="I235" s="249" t="str">
        <f t="shared" si="18"/>
        <v/>
      </c>
      <c r="J235" s="248" t="e">
        <f t="shared" si="21"/>
        <v>#NUM!</v>
      </c>
      <c r="K235" s="248" t="e">
        <f t="shared" si="19"/>
        <v>#NUM!</v>
      </c>
      <c r="L235" s="248"/>
      <c r="M235" s="250">
        <f t="shared" si="20"/>
        <v>0</v>
      </c>
    </row>
    <row r="236" spans="1:13" x14ac:dyDescent="0.25">
      <c r="A236" s="265"/>
      <c r="G236" s="234"/>
      <c r="H236" s="248">
        <v>231</v>
      </c>
      <c r="I236" s="249" t="str">
        <f t="shared" si="18"/>
        <v/>
      </c>
      <c r="J236" s="248" t="e">
        <f t="shared" si="21"/>
        <v>#NUM!</v>
      </c>
      <c r="K236" s="248" t="e">
        <f t="shared" si="19"/>
        <v>#NUM!</v>
      </c>
      <c r="L236" s="248"/>
      <c r="M236" s="250">
        <f t="shared" si="20"/>
        <v>0</v>
      </c>
    </row>
    <row r="237" spans="1:13" x14ac:dyDescent="0.25">
      <c r="A237" s="265"/>
      <c r="G237" s="234"/>
      <c r="H237" s="251">
        <v>232</v>
      </c>
      <c r="I237" s="249" t="str">
        <f t="shared" si="18"/>
        <v/>
      </c>
      <c r="J237" s="248" t="e">
        <f t="shared" si="21"/>
        <v>#NUM!</v>
      </c>
      <c r="K237" s="248" t="e">
        <f t="shared" si="19"/>
        <v>#NUM!</v>
      </c>
      <c r="L237" s="248"/>
      <c r="M237" s="250">
        <f t="shared" si="20"/>
        <v>0</v>
      </c>
    </row>
    <row r="238" spans="1:13" x14ac:dyDescent="0.25">
      <c r="A238" s="265"/>
      <c r="G238" s="234"/>
      <c r="H238" s="248">
        <v>233</v>
      </c>
      <c r="I238" s="249" t="str">
        <f t="shared" si="18"/>
        <v/>
      </c>
      <c r="J238" s="248" t="e">
        <f t="shared" si="21"/>
        <v>#NUM!</v>
      </c>
      <c r="K238" s="248" t="e">
        <f t="shared" si="19"/>
        <v>#NUM!</v>
      </c>
      <c r="L238" s="248"/>
      <c r="M238" s="250">
        <f t="shared" si="20"/>
        <v>0</v>
      </c>
    </row>
    <row r="239" spans="1:13" x14ac:dyDescent="0.25">
      <c r="A239" s="265"/>
      <c r="G239" s="234"/>
      <c r="H239" s="251">
        <v>234</v>
      </c>
      <c r="I239" s="249" t="str">
        <f t="shared" si="18"/>
        <v/>
      </c>
      <c r="J239" s="248" t="e">
        <f t="shared" si="21"/>
        <v>#NUM!</v>
      </c>
      <c r="K239" s="248" t="e">
        <f t="shared" si="19"/>
        <v>#NUM!</v>
      </c>
      <c r="L239" s="248"/>
      <c r="M239" s="250">
        <f t="shared" si="20"/>
        <v>0</v>
      </c>
    </row>
    <row r="240" spans="1:13" x14ac:dyDescent="0.25">
      <c r="A240" s="265"/>
      <c r="G240" s="234"/>
      <c r="H240" s="248">
        <v>235</v>
      </c>
      <c r="I240" s="249" t="str">
        <f t="shared" si="18"/>
        <v/>
      </c>
      <c r="J240" s="248" t="e">
        <f t="shared" si="21"/>
        <v>#NUM!</v>
      </c>
      <c r="K240" s="248" t="e">
        <f t="shared" si="19"/>
        <v>#NUM!</v>
      </c>
      <c r="L240" s="248"/>
      <c r="M240" s="250">
        <f t="shared" si="20"/>
        <v>0</v>
      </c>
    </row>
    <row r="241" spans="1:13" x14ac:dyDescent="0.25">
      <c r="A241" s="265"/>
      <c r="G241" s="234"/>
      <c r="H241" s="251">
        <v>236</v>
      </c>
      <c r="I241" s="249" t="str">
        <f t="shared" si="18"/>
        <v/>
      </c>
      <c r="J241" s="248" t="e">
        <f t="shared" si="21"/>
        <v>#NUM!</v>
      </c>
      <c r="K241" s="248" t="e">
        <f t="shared" si="19"/>
        <v>#NUM!</v>
      </c>
      <c r="L241" s="248"/>
      <c r="M241" s="250">
        <f t="shared" si="20"/>
        <v>0</v>
      </c>
    </row>
    <row r="242" spans="1:13" x14ac:dyDescent="0.25">
      <c r="A242" s="265"/>
      <c r="G242" s="234"/>
      <c r="H242" s="248">
        <v>237</v>
      </c>
      <c r="I242" s="249" t="str">
        <f t="shared" si="18"/>
        <v/>
      </c>
      <c r="J242" s="248" t="e">
        <f t="shared" si="21"/>
        <v>#NUM!</v>
      </c>
      <c r="K242" s="248" t="e">
        <f t="shared" si="19"/>
        <v>#NUM!</v>
      </c>
      <c r="L242" s="248"/>
      <c r="M242" s="250">
        <f t="shared" si="20"/>
        <v>0</v>
      </c>
    </row>
    <row r="243" spans="1:13" x14ac:dyDescent="0.25">
      <c r="A243" s="265"/>
      <c r="G243" s="234"/>
      <c r="H243" s="251">
        <v>238</v>
      </c>
      <c r="I243" s="249" t="str">
        <f t="shared" si="18"/>
        <v/>
      </c>
      <c r="J243" s="248" t="e">
        <f t="shared" si="21"/>
        <v>#NUM!</v>
      </c>
      <c r="K243" s="248" t="e">
        <f t="shared" si="19"/>
        <v>#NUM!</v>
      </c>
      <c r="L243" s="248"/>
      <c r="M243" s="250">
        <f t="shared" si="20"/>
        <v>0</v>
      </c>
    </row>
    <row r="244" spans="1:13" x14ac:dyDescent="0.25">
      <c r="A244" s="265"/>
      <c r="G244" s="234"/>
      <c r="H244" s="248">
        <v>239</v>
      </c>
      <c r="I244" s="249" t="str">
        <f t="shared" si="18"/>
        <v/>
      </c>
      <c r="J244" s="248" t="e">
        <f t="shared" si="21"/>
        <v>#NUM!</v>
      </c>
      <c r="K244" s="248" t="e">
        <f t="shared" si="19"/>
        <v>#NUM!</v>
      </c>
      <c r="L244" s="248"/>
      <c r="M244" s="250">
        <f t="shared" si="20"/>
        <v>0</v>
      </c>
    </row>
    <row r="245" spans="1:13" x14ac:dyDescent="0.25">
      <c r="A245" s="265"/>
      <c r="G245" s="234"/>
      <c r="H245" s="251">
        <v>240</v>
      </c>
      <c r="I245" s="249" t="str">
        <f t="shared" si="18"/>
        <v/>
      </c>
      <c r="J245" s="248" t="e">
        <f t="shared" si="21"/>
        <v>#NUM!</v>
      </c>
      <c r="K245" s="248" t="e">
        <f t="shared" si="19"/>
        <v>#NUM!</v>
      </c>
      <c r="L245" s="248"/>
      <c r="M245" s="250">
        <f t="shared" si="20"/>
        <v>0</v>
      </c>
    </row>
    <row r="246" spans="1:13" x14ac:dyDescent="0.25">
      <c r="A246" s="265"/>
      <c r="G246" s="234"/>
      <c r="H246" s="248">
        <v>241</v>
      </c>
      <c r="I246" s="249" t="str">
        <f t="shared" si="18"/>
        <v/>
      </c>
      <c r="J246" s="248" t="e">
        <f t="shared" si="21"/>
        <v>#NUM!</v>
      </c>
      <c r="K246" s="248" t="e">
        <f t="shared" si="19"/>
        <v>#NUM!</v>
      </c>
      <c r="L246" s="248"/>
      <c r="M246" s="250">
        <f t="shared" si="20"/>
        <v>0</v>
      </c>
    </row>
    <row r="247" spans="1:13" x14ac:dyDescent="0.25">
      <c r="A247" s="265"/>
      <c r="G247" s="234"/>
      <c r="H247" s="251">
        <v>242</v>
      </c>
      <c r="I247" s="249" t="str">
        <f t="shared" si="18"/>
        <v/>
      </c>
      <c r="J247" s="248" t="e">
        <f t="shared" si="21"/>
        <v>#NUM!</v>
      </c>
      <c r="K247" s="248" t="e">
        <f t="shared" si="19"/>
        <v>#NUM!</v>
      </c>
      <c r="L247" s="248"/>
      <c r="M247" s="250">
        <f t="shared" si="20"/>
        <v>0</v>
      </c>
    </row>
    <row r="248" spans="1:13" x14ac:dyDescent="0.25">
      <c r="A248" s="265"/>
      <c r="G248" s="234"/>
      <c r="H248" s="248">
        <v>243</v>
      </c>
      <c r="I248" s="249" t="str">
        <f t="shared" si="18"/>
        <v/>
      </c>
      <c r="J248" s="248" t="e">
        <f t="shared" si="21"/>
        <v>#NUM!</v>
      </c>
      <c r="K248" s="248" t="e">
        <f t="shared" si="19"/>
        <v>#NUM!</v>
      </c>
      <c r="L248" s="248"/>
      <c r="M248" s="250">
        <f t="shared" si="20"/>
        <v>0</v>
      </c>
    </row>
    <row r="249" spans="1:13" x14ac:dyDescent="0.25">
      <c r="A249" s="265"/>
      <c r="G249" s="234"/>
      <c r="H249" s="251">
        <v>244</v>
      </c>
      <c r="I249" s="249" t="str">
        <f t="shared" si="18"/>
        <v/>
      </c>
      <c r="J249" s="248" t="e">
        <f t="shared" si="21"/>
        <v>#NUM!</v>
      </c>
      <c r="K249" s="248" t="e">
        <f t="shared" si="19"/>
        <v>#NUM!</v>
      </c>
      <c r="L249" s="248"/>
      <c r="M249" s="250">
        <f t="shared" si="20"/>
        <v>0</v>
      </c>
    </row>
    <row r="250" spans="1:13" x14ac:dyDescent="0.25">
      <c r="A250" s="265"/>
      <c r="G250" s="234"/>
      <c r="H250" s="248">
        <v>245</v>
      </c>
      <c r="I250" s="249" t="str">
        <f t="shared" si="18"/>
        <v/>
      </c>
      <c r="J250" s="248" t="e">
        <f t="shared" si="21"/>
        <v>#NUM!</v>
      </c>
      <c r="K250" s="248" t="e">
        <f t="shared" si="19"/>
        <v>#NUM!</v>
      </c>
      <c r="L250" s="248"/>
      <c r="M250" s="250">
        <f t="shared" si="20"/>
        <v>0</v>
      </c>
    </row>
    <row r="251" spans="1:13" x14ac:dyDescent="0.25">
      <c r="A251" s="265"/>
      <c r="G251" s="234"/>
      <c r="H251" s="251">
        <v>246</v>
      </c>
      <c r="I251" s="249" t="str">
        <f t="shared" si="18"/>
        <v/>
      </c>
      <c r="J251" s="248" t="e">
        <f t="shared" si="21"/>
        <v>#NUM!</v>
      </c>
      <c r="K251" s="248" t="e">
        <f t="shared" si="19"/>
        <v>#NUM!</v>
      </c>
      <c r="L251" s="248"/>
      <c r="M251" s="250">
        <f t="shared" si="20"/>
        <v>0</v>
      </c>
    </row>
    <row r="252" spans="1:13" x14ac:dyDescent="0.25">
      <c r="A252" s="265"/>
      <c r="G252" s="234"/>
      <c r="H252" s="248">
        <v>247</v>
      </c>
      <c r="I252" s="249" t="str">
        <f t="shared" si="18"/>
        <v/>
      </c>
      <c r="J252" s="248" t="e">
        <f t="shared" si="21"/>
        <v>#NUM!</v>
      </c>
      <c r="K252" s="248" t="e">
        <f t="shared" si="19"/>
        <v>#NUM!</v>
      </c>
      <c r="L252" s="248"/>
      <c r="M252" s="250">
        <f t="shared" si="20"/>
        <v>0</v>
      </c>
    </row>
    <row r="253" spans="1:13" x14ac:dyDescent="0.25">
      <c r="A253" s="265"/>
      <c r="G253" s="234"/>
      <c r="H253" s="251">
        <v>248</v>
      </c>
      <c r="I253" s="249" t="str">
        <f t="shared" si="18"/>
        <v/>
      </c>
      <c r="J253" s="248" t="e">
        <f t="shared" si="21"/>
        <v>#NUM!</v>
      </c>
      <c r="K253" s="248" t="e">
        <f t="shared" si="19"/>
        <v>#NUM!</v>
      </c>
      <c r="L253" s="248"/>
      <c r="M253" s="250">
        <f t="shared" si="20"/>
        <v>0</v>
      </c>
    </row>
    <row r="254" spans="1:13" x14ac:dyDescent="0.25">
      <c r="A254" s="265"/>
      <c r="G254" s="234"/>
      <c r="H254" s="248">
        <v>249</v>
      </c>
      <c r="I254" s="249" t="str">
        <f t="shared" si="18"/>
        <v/>
      </c>
      <c r="J254" s="248" t="e">
        <f t="shared" si="21"/>
        <v>#NUM!</v>
      </c>
      <c r="K254" s="248" t="e">
        <f t="shared" si="19"/>
        <v>#NUM!</v>
      </c>
      <c r="L254" s="248"/>
      <c r="M254" s="250">
        <f t="shared" si="20"/>
        <v>0</v>
      </c>
    </row>
    <row r="255" spans="1:13" x14ac:dyDescent="0.25">
      <c r="A255" s="265"/>
      <c r="G255" s="234"/>
      <c r="H255" s="251">
        <v>250</v>
      </c>
      <c r="I255" s="249" t="str">
        <f t="shared" si="18"/>
        <v/>
      </c>
      <c r="J255" s="248" t="e">
        <f t="shared" si="21"/>
        <v>#NUM!</v>
      </c>
      <c r="K255" s="248" t="e">
        <f t="shared" si="19"/>
        <v>#NUM!</v>
      </c>
      <c r="L255" s="248"/>
      <c r="M255" s="250">
        <f t="shared" si="20"/>
        <v>0</v>
      </c>
    </row>
    <row r="256" spans="1:13" x14ac:dyDescent="0.25">
      <c r="A256" s="265"/>
      <c r="G256" s="234"/>
      <c r="H256" s="248">
        <v>251</v>
      </c>
      <c r="I256" s="249" t="str">
        <f t="shared" si="18"/>
        <v/>
      </c>
      <c r="J256" s="248" t="e">
        <f t="shared" si="21"/>
        <v>#NUM!</v>
      </c>
      <c r="K256" s="248" t="e">
        <f t="shared" si="19"/>
        <v>#NUM!</v>
      </c>
      <c r="L256" s="248"/>
      <c r="M256" s="250">
        <f t="shared" si="20"/>
        <v>0</v>
      </c>
    </row>
    <row r="257" spans="1:13" x14ac:dyDescent="0.25">
      <c r="A257" s="265"/>
      <c r="G257" s="234"/>
      <c r="H257" s="251">
        <v>252</v>
      </c>
      <c r="I257" s="249" t="str">
        <f t="shared" si="18"/>
        <v/>
      </c>
      <c r="J257" s="248" t="e">
        <f t="shared" si="21"/>
        <v>#NUM!</v>
      </c>
      <c r="K257" s="248" t="e">
        <f t="shared" si="19"/>
        <v>#NUM!</v>
      </c>
      <c r="L257" s="248"/>
      <c r="M257" s="250">
        <f t="shared" si="20"/>
        <v>0</v>
      </c>
    </row>
    <row r="258" spans="1:13" x14ac:dyDescent="0.25">
      <c r="A258" s="265"/>
      <c r="G258" s="234"/>
      <c r="H258" s="248">
        <v>253</v>
      </c>
      <c r="I258" s="249" t="str">
        <f t="shared" si="18"/>
        <v/>
      </c>
      <c r="J258" s="248" t="e">
        <f t="shared" si="21"/>
        <v>#NUM!</v>
      </c>
      <c r="K258" s="248" t="e">
        <f t="shared" si="19"/>
        <v>#NUM!</v>
      </c>
      <c r="L258" s="248"/>
      <c r="M258" s="250">
        <f t="shared" si="20"/>
        <v>0</v>
      </c>
    </row>
    <row r="259" spans="1:13" x14ac:dyDescent="0.25">
      <c r="A259" s="265"/>
      <c r="G259" s="234"/>
      <c r="H259" s="251">
        <v>254</v>
      </c>
      <c r="I259" s="249" t="str">
        <f t="shared" si="18"/>
        <v/>
      </c>
      <c r="J259" s="248" t="e">
        <f t="shared" si="21"/>
        <v>#NUM!</v>
      </c>
      <c r="K259" s="248" t="e">
        <f t="shared" si="19"/>
        <v>#NUM!</v>
      </c>
      <c r="L259" s="248"/>
      <c r="M259" s="250">
        <f t="shared" si="20"/>
        <v>0</v>
      </c>
    </row>
    <row r="260" spans="1:13" x14ac:dyDescent="0.25">
      <c r="A260" s="265"/>
      <c r="G260" s="234"/>
      <c r="H260" s="248">
        <v>255</v>
      </c>
      <c r="I260" s="249" t="str">
        <f t="shared" si="18"/>
        <v/>
      </c>
      <c r="J260" s="248" t="e">
        <f t="shared" si="21"/>
        <v>#NUM!</v>
      </c>
      <c r="K260" s="248" t="e">
        <f t="shared" si="19"/>
        <v>#NUM!</v>
      </c>
      <c r="L260" s="248"/>
      <c r="M260" s="250">
        <f t="shared" si="20"/>
        <v>0</v>
      </c>
    </row>
    <row r="261" spans="1:13" x14ac:dyDescent="0.25">
      <c r="A261" s="265"/>
      <c r="G261" s="234"/>
      <c r="H261" s="251">
        <v>256</v>
      </c>
      <c r="I261" s="249" t="str">
        <f t="shared" si="18"/>
        <v/>
      </c>
      <c r="J261" s="248" t="e">
        <f t="shared" si="21"/>
        <v>#NUM!</v>
      </c>
      <c r="K261" s="248" t="e">
        <f t="shared" si="19"/>
        <v>#NUM!</v>
      </c>
      <c r="L261" s="248"/>
      <c r="M261" s="250">
        <f t="shared" si="20"/>
        <v>0</v>
      </c>
    </row>
    <row r="262" spans="1:13" x14ac:dyDescent="0.25">
      <c r="A262" s="265"/>
      <c r="G262" s="234"/>
      <c r="H262" s="248">
        <v>257</v>
      </c>
      <c r="I262" s="249" t="str">
        <f t="shared" ref="I262:I305" si="22">IF(H262&lt;$H$2+1,($I$2-($I$2-1)*(LOG(H262)/LOG($H$2))),"")</f>
        <v/>
      </c>
      <c r="J262" s="248" t="e">
        <f t="shared" si="21"/>
        <v>#NUM!</v>
      </c>
      <c r="K262" s="248" t="e">
        <f t="shared" ref="K262:K305" si="23">J262*$J$2</f>
        <v>#NUM!</v>
      </c>
      <c r="L262" s="248"/>
      <c r="M262" s="250">
        <f t="shared" ref="M262:M305" si="24">IF(I262&lt;&gt;"",K262+I262+L262,0)</f>
        <v>0</v>
      </c>
    </row>
    <row r="263" spans="1:13" x14ac:dyDescent="0.25">
      <c r="A263" s="265"/>
      <c r="G263" s="234"/>
      <c r="H263" s="251">
        <v>258</v>
      </c>
      <c r="I263" s="249" t="str">
        <f t="shared" si="22"/>
        <v/>
      </c>
      <c r="J263" s="248" t="e">
        <f t="shared" ref="J263:J305" si="25">INT(LOG($H$2,2))-ROUNDUP(LOG(H263,2),0)+IF(OR($H$2=1,$H$2=2,$H$2=4,$H$2=8,$H$2=16,$H$2=32,$H$2=64,$H$2=128,$H$2=256),0,1)</f>
        <v>#NUM!</v>
      </c>
      <c r="K263" s="248" t="e">
        <f t="shared" si="23"/>
        <v>#NUM!</v>
      </c>
      <c r="L263" s="248"/>
      <c r="M263" s="250">
        <f t="shared" si="24"/>
        <v>0</v>
      </c>
    </row>
    <row r="264" spans="1:13" x14ac:dyDescent="0.25">
      <c r="A264" s="265"/>
      <c r="G264" s="234"/>
      <c r="H264" s="248">
        <v>259</v>
      </c>
      <c r="I264" s="249" t="str">
        <f t="shared" si="22"/>
        <v/>
      </c>
      <c r="J264" s="248" t="e">
        <f t="shared" si="25"/>
        <v>#NUM!</v>
      </c>
      <c r="K264" s="248" t="e">
        <f t="shared" si="23"/>
        <v>#NUM!</v>
      </c>
      <c r="L264" s="248"/>
      <c r="M264" s="250">
        <f t="shared" si="24"/>
        <v>0</v>
      </c>
    </row>
    <row r="265" spans="1:13" x14ac:dyDescent="0.25">
      <c r="A265" s="265"/>
      <c r="G265" s="234"/>
      <c r="H265" s="251">
        <v>260</v>
      </c>
      <c r="I265" s="249" t="str">
        <f t="shared" si="22"/>
        <v/>
      </c>
      <c r="J265" s="248" t="e">
        <f t="shared" si="25"/>
        <v>#NUM!</v>
      </c>
      <c r="K265" s="248" t="e">
        <f t="shared" si="23"/>
        <v>#NUM!</v>
      </c>
      <c r="L265" s="248"/>
      <c r="M265" s="250">
        <f t="shared" si="24"/>
        <v>0</v>
      </c>
    </row>
    <row r="266" spans="1:13" x14ac:dyDescent="0.25">
      <c r="A266" s="265"/>
      <c r="G266" s="234"/>
      <c r="H266" s="248">
        <v>261</v>
      </c>
      <c r="I266" s="249" t="str">
        <f t="shared" si="22"/>
        <v/>
      </c>
      <c r="J266" s="248" t="e">
        <f t="shared" si="25"/>
        <v>#NUM!</v>
      </c>
      <c r="K266" s="248" t="e">
        <f t="shared" si="23"/>
        <v>#NUM!</v>
      </c>
      <c r="L266" s="248"/>
      <c r="M266" s="250">
        <f t="shared" si="24"/>
        <v>0</v>
      </c>
    </row>
    <row r="267" spans="1:13" x14ac:dyDescent="0.25">
      <c r="A267" s="265"/>
      <c r="G267" s="234"/>
      <c r="H267" s="251">
        <v>262</v>
      </c>
      <c r="I267" s="249" t="str">
        <f t="shared" si="22"/>
        <v/>
      </c>
      <c r="J267" s="248" t="e">
        <f t="shared" si="25"/>
        <v>#NUM!</v>
      </c>
      <c r="K267" s="248" t="e">
        <f t="shared" si="23"/>
        <v>#NUM!</v>
      </c>
      <c r="L267" s="248"/>
      <c r="M267" s="250">
        <f t="shared" si="24"/>
        <v>0</v>
      </c>
    </row>
    <row r="268" spans="1:13" x14ac:dyDescent="0.25">
      <c r="A268" s="265"/>
      <c r="G268" s="234"/>
      <c r="H268" s="248">
        <v>263</v>
      </c>
      <c r="I268" s="249" t="str">
        <f t="shared" si="22"/>
        <v/>
      </c>
      <c r="J268" s="248" t="e">
        <f t="shared" si="25"/>
        <v>#NUM!</v>
      </c>
      <c r="K268" s="248" t="e">
        <f t="shared" si="23"/>
        <v>#NUM!</v>
      </c>
      <c r="L268" s="248"/>
      <c r="M268" s="250">
        <f t="shared" si="24"/>
        <v>0</v>
      </c>
    </row>
    <row r="269" spans="1:13" x14ac:dyDescent="0.25">
      <c r="A269" s="265"/>
      <c r="G269" s="234"/>
      <c r="H269" s="251">
        <v>264</v>
      </c>
      <c r="I269" s="249" t="str">
        <f t="shared" si="22"/>
        <v/>
      </c>
      <c r="J269" s="248" t="e">
        <f t="shared" si="25"/>
        <v>#NUM!</v>
      </c>
      <c r="K269" s="248" t="e">
        <f t="shared" si="23"/>
        <v>#NUM!</v>
      </c>
      <c r="L269" s="248"/>
      <c r="M269" s="250">
        <f t="shared" si="24"/>
        <v>0</v>
      </c>
    </row>
    <row r="270" spans="1:13" x14ac:dyDescent="0.25">
      <c r="A270" s="265"/>
      <c r="G270" s="234"/>
      <c r="H270" s="248">
        <v>265</v>
      </c>
      <c r="I270" s="249" t="str">
        <f t="shared" si="22"/>
        <v/>
      </c>
      <c r="J270" s="248" t="e">
        <f t="shared" si="25"/>
        <v>#NUM!</v>
      </c>
      <c r="K270" s="248" t="e">
        <f t="shared" si="23"/>
        <v>#NUM!</v>
      </c>
      <c r="L270" s="248"/>
      <c r="M270" s="250">
        <f t="shared" si="24"/>
        <v>0</v>
      </c>
    </row>
    <row r="271" spans="1:13" x14ac:dyDescent="0.25">
      <c r="A271" s="265"/>
      <c r="G271" s="234"/>
      <c r="H271" s="251">
        <v>266</v>
      </c>
      <c r="I271" s="249" t="str">
        <f t="shared" si="22"/>
        <v/>
      </c>
      <c r="J271" s="248" t="e">
        <f t="shared" si="25"/>
        <v>#NUM!</v>
      </c>
      <c r="K271" s="248" t="e">
        <f t="shared" si="23"/>
        <v>#NUM!</v>
      </c>
      <c r="L271" s="248"/>
      <c r="M271" s="250">
        <f t="shared" si="24"/>
        <v>0</v>
      </c>
    </row>
    <row r="272" spans="1:13" x14ac:dyDescent="0.25">
      <c r="A272" s="265"/>
      <c r="G272" s="234"/>
      <c r="H272" s="248">
        <v>267</v>
      </c>
      <c r="I272" s="249" t="str">
        <f t="shared" si="22"/>
        <v/>
      </c>
      <c r="J272" s="248" t="e">
        <f t="shared" si="25"/>
        <v>#NUM!</v>
      </c>
      <c r="K272" s="248" t="e">
        <f t="shared" si="23"/>
        <v>#NUM!</v>
      </c>
      <c r="L272" s="248"/>
      <c r="M272" s="250">
        <f t="shared" si="24"/>
        <v>0</v>
      </c>
    </row>
    <row r="273" spans="1:13" x14ac:dyDescent="0.25">
      <c r="A273" s="265"/>
      <c r="G273" s="234"/>
      <c r="H273" s="251">
        <v>268</v>
      </c>
      <c r="I273" s="249" t="str">
        <f t="shared" si="22"/>
        <v/>
      </c>
      <c r="J273" s="248" t="e">
        <f t="shared" si="25"/>
        <v>#NUM!</v>
      </c>
      <c r="K273" s="248" t="e">
        <f t="shared" si="23"/>
        <v>#NUM!</v>
      </c>
      <c r="L273" s="248"/>
      <c r="M273" s="250">
        <f t="shared" si="24"/>
        <v>0</v>
      </c>
    </row>
    <row r="274" spans="1:13" x14ac:dyDescent="0.25">
      <c r="A274" s="265"/>
      <c r="G274" s="234"/>
      <c r="H274" s="248">
        <v>269</v>
      </c>
      <c r="I274" s="249" t="str">
        <f t="shared" si="22"/>
        <v/>
      </c>
      <c r="J274" s="248" t="e">
        <f t="shared" si="25"/>
        <v>#NUM!</v>
      </c>
      <c r="K274" s="248" t="e">
        <f t="shared" si="23"/>
        <v>#NUM!</v>
      </c>
      <c r="L274" s="248"/>
      <c r="M274" s="250">
        <f t="shared" si="24"/>
        <v>0</v>
      </c>
    </row>
    <row r="275" spans="1:13" x14ac:dyDescent="0.25">
      <c r="A275" s="265"/>
      <c r="G275" s="234"/>
      <c r="H275" s="251">
        <v>270</v>
      </c>
      <c r="I275" s="249" t="str">
        <f t="shared" si="22"/>
        <v/>
      </c>
      <c r="J275" s="248" t="e">
        <f t="shared" si="25"/>
        <v>#NUM!</v>
      </c>
      <c r="K275" s="248" t="e">
        <f t="shared" si="23"/>
        <v>#NUM!</v>
      </c>
      <c r="L275" s="248"/>
      <c r="M275" s="250">
        <f t="shared" si="24"/>
        <v>0</v>
      </c>
    </row>
    <row r="276" spans="1:13" x14ac:dyDescent="0.25">
      <c r="A276" s="265"/>
      <c r="G276" s="234"/>
      <c r="H276" s="248">
        <v>271</v>
      </c>
      <c r="I276" s="249" t="str">
        <f t="shared" si="22"/>
        <v/>
      </c>
      <c r="J276" s="248" t="e">
        <f t="shared" si="25"/>
        <v>#NUM!</v>
      </c>
      <c r="K276" s="248" t="e">
        <f t="shared" si="23"/>
        <v>#NUM!</v>
      </c>
      <c r="L276" s="248"/>
      <c r="M276" s="250">
        <f t="shared" si="24"/>
        <v>0</v>
      </c>
    </row>
    <row r="277" spans="1:13" x14ac:dyDescent="0.25">
      <c r="A277" s="265"/>
      <c r="G277" s="234"/>
      <c r="H277" s="251">
        <v>272</v>
      </c>
      <c r="I277" s="249" t="str">
        <f t="shared" si="22"/>
        <v/>
      </c>
      <c r="J277" s="248" t="e">
        <f t="shared" si="25"/>
        <v>#NUM!</v>
      </c>
      <c r="K277" s="248" t="e">
        <f t="shared" si="23"/>
        <v>#NUM!</v>
      </c>
      <c r="L277" s="248"/>
      <c r="M277" s="250">
        <f t="shared" si="24"/>
        <v>0</v>
      </c>
    </row>
    <row r="278" spans="1:13" x14ac:dyDescent="0.25">
      <c r="A278" s="265"/>
      <c r="G278" s="234"/>
      <c r="H278" s="248">
        <v>273</v>
      </c>
      <c r="I278" s="249" t="str">
        <f t="shared" si="22"/>
        <v/>
      </c>
      <c r="J278" s="248" t="e">
        <f t="shared" si="25"/>
        <v>#NUM!</v>
      </c>
      <c r="K278" s="248" t="e">
        <f t="shared" si="23"/>
        <v>#NUM!</v>
      </c>
      <c r="L278" s="248"/>
      <c r="M278" s="250">
        <f t="shared" si="24"/>
        <v>0</v>
      </c>
    </row>
    <row r="279" spans="1:13" x14ac:dyDescent="0.25">
      <c r="A279" s="265"/>
      <c r="G279" s="234"/>
      <c r="H279" s="251">
        <v>274</v>
      </c>
      <c r="I279" s="249" t="str">
        <f t="shared" si="22"/>
        <v/>
      </c>
      <c r="J279" s="248" t="e">
        <f t="shared" si="25"/>
        <v>#NUM!</v>
      </c>
      <c r="K279" s="248" t="e">
        <f t="shared" si="23"/>
        <v>#NUM!</v>
      </c>
      <c r="L279" s="248"/>
      <c r="M279" s="250">
        <f t="shared" si="24"/>
        <v>0</v>
      </c>
    </row>
    <row r="280" spans="1:13" x14ac:dyDescent="0.25">
      <c r="A280" s="265"/>
      <c r="G280" s="234"/>
      <c r="H280" s="248">
        <v>275</v>
      </c>
      <c r="I280" s="249" t="str">
        <f t="shared" si="22"/>
        <v/>
      </c>
      <c r="J280" s="248" t="e">
        <f t="shared" si="25"/>
        <v>#NUM!</v>
      </c>
      <c r="K280" s="248" t="e">
        <f t="shared" si="23"/>
        <v>#NUM!</v>
      </c>
      <c r="L280" s="248"/>
      <c r="M280" s="250">
        <f t="shared" si="24"/>
        <v>0</v>
      </c>
    </row>
    <row r="281" spans="1:13" x14ac:dyDescent="0.25">
      <c r="A281" s="265"/>
      <c r="G281" s="234"/>
      <c r="H281" s="251">
        <v>276</v>
      </c>
      <c r="I281" s="249" t="str">
        <f t="shared" si="22"/>
        <v/>
      </c>
      <c r="J281" s="248" t="e">
        <f t="shared" si="25"/>
        <v>#NUM!</v>
      </c>
      <c r="K281" s="248" t="e">
        <f t="shared" si="23"/>
        <v>#NUM!</v>
      </c>
      <c r="L281" s="248"/>
      <c r="M281" s="250">
        <f t="shared" si="24"/>
        <v>0</v>
      </c>
    </row>
    <row r="282" spans="1:13" x14ac:dyDescent="0.25">
      <c r="A282" s="265"/>
      <c r="G282" s="234"/>
      <c r="H282" s="248">
        <v>277</v>
      </c>
      <c r="I282" s="249" t="str">
        <f t="shared" si="22"/>
        <v/>
      </c>
      <c r="J282" s="248" t="e">
        <f t="shared" si="25"/>
        <v>#NUM!</v>
      </c>
      <c r="K282" s="248" t="e">
        <f t="shared" si="23"/>
        <v>#NUM!</v>
      </c>
      <c r="L282" s="248"/>
      <c r="M282" s="250">
        <f t="shared" si="24"/>
        <v>0</v>
      </c>
    </row>
    <row r="283" spans="1:13" x14ac:dyDescent="0.25">
      <c r="A283" s="265"/>
      <c r="G283" s="234"/>
      <c r="H283" s="251">
        <v>278</v>
      </c>
      <c r="I283" s="249" t="str">
        <f t="shared" si="22"/>
        <v/>
      </c>
      <c r="J283" s="248" t="e">
        <f t="shared" si="25"/>
        <v>#NUM!</v>
      </c>
      <c r="K283" s="248" t="e">
        <f t="shared" si="23"/>
        <v>#NUM!</v>
      </c>
      <c r="L283" s="248"/>
      <c r="M283" s="250">
        <f t="shared" si="24"/>
        <v>0</v>
      </c>
    </row>
    <row r="284" spans="1:13" x14ac:dyDescent="0.25">
      <c r="A284" s="265"/>
      <c r="G284" s="234"/>
      <c r="H284" s="248">
        <v>279</v>
      </c>
      <c r="I284" s="249" t="str">
        <f t="shared" si="22"/>
        <v/>
      </c>
      <c r="J284" s="248" t="e">
        <f t="shared" si="25"/>
        <v>#NUM!</v>
      </c>
      <c r="K284" s="248" t="e">
        <f t="shared" si="23"/>
        <v>#NUM!</v>
      </c>
      <c r="L284" s="248"/>
      <c r="M284" s="250">
        <f t="shared" si="24"/>
        <v>0</v>
      </c>
    </row>
    <row r="285" spans="1:13" x14ac:dyDescent="0.25">
      <c r="A285" s="265"/>
      <c r="G285" s="234"/>
      <c r="H285" s="251">
        <v>280</v>
      </c>
      <c r="I285" s="249" t="str">
        <f t="shared" si="22"/>
        <v/>
      </c>
      <c r="J285" s="248" t="e">
        <f t="shared" si="25"/>
        <v>#NUM!</v>
      </c>
      <c r="K285" s="248" t="e">
        <f t="shared" si="23"/>
        <v>#NUM!</v>
      </c>
      <c r="L285" s="248"/>
      <c r="M285" s="250">
        <f t="shared" si="24"/>
        <v>0</v>
      </c>
    </row>
    <row r="286" spans="1:13" x14ac:dyDescent="0.25">
      <c r="A286" s="265"/>
      <c r="G286" s="234"/>
      <c r="H286" s="248">
        <v>281</v>
      </c>
      <c r="I286" s="249" t="str">
        <f t="shared" si="22"/>
        <v/>
      </c>
      <c r="J286" s="248" t="e">
        <f t="shared" si="25"/>
        <v>#NUM!</v>
      </c>
      <c r="K286" s="248" t="e">
        <f t="shared" si="23"/>
        <v>#NUM!</v>
      </c>
      <c r="L286" s="248"/>
      <c r="M286" s="250">
        <f t="shared" si="24"/>
        <v>0</v>
      </c>
    </row>
    <row r="287" spans="1:13" x14ac:dyDescent="0.25">
      <c r="A287" s="265"/>
      <c r="G287" s="234"/>
      <c r="H287" s="251">
        <v>282</v>
      </c>
      <c r="I287" s="249" t="str">
        <f t="shared" si="22"/>
        <v/>
      </c>
      <c r="J287" s="248" t="e">
        <f t="shared" si="25"/>
        <v>#NUM!</v>
      </c>
      <c r="K287" s="248" t="e">
        <f t="shared" si="23"/>
        <v>#NUM!</v>
      </c>
      <c r="L287" s="248"/>
      <c r="M287" s="250">
        <f t="shared" si="24"/>
        <v>0</v>
      </c>
    </row>
    <row r="288" spans="1:13" x14ac:dyDescent="0.25">
      <c r="A288" s="265"/>
      <c r="G288" s="234"/>
      <c r="H288" s="248">
        <v>283</v>
      </c>
      <c r="I288" s="249" t="str">
        <f t="shared" si="22"/>
        <v/>
      </c>
      <c r="J288" s="248" t="e">
        <f t="shared" si="25"/>
        <v>#NUM!</v>
      </c>
      <c r="K288" s="248" t="e">
        <f t="shared" si="23"/>
        <v>#NUM!</v>
      </c>
      <c r="L288" s="248"/>
      <c r="M288" s="250">
        <f t="shared" si="24"/>
        <v>0</v>
      </c>
    </row>
    <row r="289" spans="1:13" x14ac:dyDescent="0.25">
      <c r="A289" s="265"/>
      <c r="G289" s="234"/>
      <c r="H289" s="251">
        <v>284</v>
      </c>
      <c r="I289" s="249" t="str">
        <f t="shared" si="22"/>
        <v/>
      </c>
      <c r="J289" s="248" t="e">
        <f t="shared" si="25"/>
        <v>#NUM!</v>
      </c>
      <c r="K289" s="248" t="e">
        <f t="shared" si="23"/>
        <v>#NUM!</v>
      </c>
      <c r="L289" s="248"/>
      <c r="M289" s="250">
        <f t="shared" si="24"/>
        <v>0</v>
      </c>
    </row>
    <row r="290" spans="1:13" x14ac:dyDescent="0.25">
      <c r="A290" s="265"/>
      <c r="G290" s="234"/>
      <c r="H290" s="248">
        <v>285</v>
      </c>
      <c r="I290" s="249" t="str">
        <f t="shared" si="22"/>
        <v/>
      </c>
      <c r="J290" s="248" t="e">
        <f t="shared" si="25"/>
        <v>#NUM!</v>
      </c>
      <c r="K290" s="248" t="e">
        <f t="shared" si="23"/>
        <v>#NUM!</v>
      </c>
      <c r="L290" s="248"/>
      <c r="M290" s="250">
        <f t="shared" si="24"/>
        <v>0</v>
      </c>
    </row>
    <row r="291" spans="1:13" x14ac:dyDescent="0.25">
      <c r="A291" s="265"/>
      <c r="G291" s="234"/>
      <c r="H291" s="251">
        <v>286</v>
      </c>
      <c r="I291" s="249" t="str">
        <f t="shared" si="22"/>
        <v/>
      </c>
      <c r="J291" s="248" t="e">
        <f t="shared" si="25"/>
        <v>#NUM!</v>
      </c>
      <c r="K291" s="248" t="e">
        <f t="shared" si="23"/>
        <v>#NUM!</v>
      </c>
      <c r="L291" s="248"/>
      <c r="M291" s="250">
        <f t="shared" si="24"/>
        <v>0</v>
      </c>
    </row>
    <row r="292" spans="1:13" x14ac:dyDescent="0.25">
      <c r="A292" s="265"/>
      <c r="G292" s="234"/>
      <c r="H292" s="248">
        <v>287</v>
      </c>
      <c r="I292" s="249" t="str">
        <f t="shared" si="22"/>
        <v/>
      </c>
      <c r="J292" s="248" t="e">
        <f t="shared" si="25"/>
        <v>#NUM!</v>
      </c>
      <c r="K292" s="248" t="e">
        <f t="shared" si="23"/>
        <v>#NUM!</v>
      </c>
      <c r="L292" s="248"/>
      <c r="M292" s="250">
        <f t="shared" si="24"/>
        <v>0</v>
      </c>
    </row>
    <row r="293" spans="1:13" x14ac:dyDescent="0.25">
      <c r="A293" s="265"/>
      <c r="G293" s="234"/>
      <c r="H293" s="248">
        <v>288</v>
      </c>
      <c r="I293" s="249" t="str">
        <f t="shared" si="22"/>
        <v/>
      </c>
      <c r="J293" s="248" t="e">
        <f t="shared" si="25"/>
        <v>#NUM!</v>
      </c>
      <c r="K293" s="248" t="e">
        <f t="shared" si="23"/>
        <v>#NUM!</v>
      </c>
      <c r="L293" s="248"/>
      <c r="M293" s="250">
        <f t="shared" si="24"/>
        <v>0</v>
      </c>
    </row>
    <row r="294" spans="1:13" x14ac:dyDescent="0.25">
      <c r="A294" s="265"/>
      <c r="G294" s="234"/>
      <c r="H294" s="248">
        <v>289</v>
      </c>
      <c r="I294" s="249" t="str">
        <f t="shared" si="22"/>
        <v/>
      </c>
      <c r="J294" s="248" t="e">
        <f t="shared" si="25"/>
        <v>#NUM!</v>
      </c>
      <c r="K294" s="248" t="e">
        <f t="shared" si="23"/>
        <v>#NUM!</v>
      </c>
      <c r="L294" s="248"/>
      <c r="M294" s="250">
        <f t="shared" si="24"/>
        <v>0</v>
      </c>
    </row>
    <row r="295" spans="1:13" x14ac:dyDescent="0.25">
      <c r="A295" s="265"/>
      <c r="G295" s="234"/>
      <c r="H295" s="248">
        <v>290</v>
      </c>
      <c r="I295" s="249" t="str">
        <f t="shared" si="22"/>
        <v/>
      </c>
      <c r="J295" s="248" t="e">
        <f t="shared" si="25"/>
        <v>#NUM!</v>
      </c>
      <c r="K295" s="248" t="e">
        <f t="shared" si="23"/>
        <v>#NUM!</v>
      </c>
      <c r="L295" s="248"/>
      <c r="M295" s="250">
        <f t="shared" si="24"/>
        <v>0</v>
      </c>
    </row>
    <row r="296" spans="1:13" x14ac:dyDescent="0.25">
      <c r="A296" s="265"/>
      <c r="G296" s="234"/>
      <c r="H296" s="248">
        <v>291</v>
      </c>
      <c r="I296" s="249" t="str">
        <f t="shared" si="22"/>
        <v/>
      </c>
      <c r="J296" s="248" t="e">
        <f t="shared" si="25"/>
        <v>#NUM!</v>
      </c>
      <c r="K296" s="248" t="e">
        <f t="shared" si="23"/>
        <v>#NUM!</v>
      </c>
      <c r="L296" s="248"/>
      <c r="M296" s="250">
        <f t="shared" si="24"/>
        <v>0</v>
      </c>
    </row>
    <row r="297" spans="1:13" x14ac:dyDescent="0.25">
      <c r="A297" s="265"/>
      <c r="G297" s="234"/>
      <c r="H297" s="248">
        <v>292</v>
      </c>
      <c r="I297" s="249" t="str">
        <f t="shared" si="22"/>
        <v/>
      </c>
      <c r="J297" s="248" t="e">
        <f t="shared" si="25"/>
        <v>#NUM!</v>
      </c>
      <c r="K297" s="248" t="e">
        <f t="shared" si="23"/>
        <v>#NUM!</v>
      </c>
      <c r="L297" s="248"/>
      <c r="M297" s="250">
        <f t="shared" si="24"/>
        <v>0</v>
      </c>
    </row>
    <row r="298" spans="1:13" x14ac:dyDescent="0.25">
      <c r="A298" s="265"/>
      <c r="G298" s="234"/>
      <c r="H298" s="248">
        <v>293</v>
      </c>
      <c r="I298" s="249" t="str">
        <f t="shared" si="22"/>
        <v/>
      </c>
      <c r="J298" s="248" t="e">
        <f t="shared" si="25"/>
        <v>#NUM!</v>
      </c>
      <c r="K298" s="248" t="e">
        <f t="shared" si="23"/>
        <v>#NUM!</v>
      </c>
      <c r="L298" s="248"/>
      <c r="M298" s="250">
        <f t="shared" si="24"/>
        <v>0</v>
      </c>
    </row>
    <row r="299" spans="1:13" x14ac:dyDescent="0.25">
      <c r="A299" s="265"/>
      <c r="G299" s="234"/>
      <c r="H299" s="248">
        <v>294</v>
      </c>
      <c r="I299" s="249" t="str">
        <f t="shared" si="22"/>
        <v/>
      </c>
      <c r="J299" s="248" t="e">
        <f t="shared" si="25"/>
        <v>#NUM!</v>
      </c>
      <c r="K299" s="248" t="e">
        <f t="shared" si="23"/>
        <v>#NUM!</v>
      </c>
      <c r="L299" s="248"/>
      <c r="M299" s="250">
        <f t="shared" si="24"/>
        <v>0</v>
      </c>
    </row>
    <row r="300" spans="1:13" x14ac:dyDescent="0.25">
      <c r="A300" s="265"/>
      <c r="G300" s="234"/>
      <c r="H300" s="248">
        <v>295</v>
      </c>
      <c r="I300" s="249" t="str">
        <f t="shared" si="22"/>
        <v/>
      </c>
      <c r="J300" s="248" t="e">
        <f t="shared" si="25"/>
        <v>#NUM!</v>
      </c>
      <c r="K300" s="248" t="e">
        <f t="shared" si="23"/>
        <v>#NUM!</v>
      </c>
      <c r="L300" s="248"/>
      <c r="M300" s="250">
        <f t="shared" si="24"/>
        <v>0</v>
      </c>
    </row>
    <row r="301" spans="1:13" x14ac:dyDescent="0.25">
      <c r="A301" s="265"/>
      <c r="G301" s="234"/>
      <c r="H301" s="248">
        <v>296</v>
      </c>
      <c r="I301" s="249" t="str">
        <f t="shared" si="22"/>
        <v/>
      </c>
      <c r="J301" s="248" t="e">
        <f t="shared" si="25"/>
        <v>#NUM!</v>
      </c>
      <c r="K301" s="248" t="e">
        <f t="shared" si="23"/>
        <v>#NUM!</v>
      </c>
      <c r="L301" s="248"/>
      <c r="M301" s="250">
        <f t="shared" si="24"/>
        <v>0</v>
      </c>
    </row>
    <row r="302" spans="1:13" x14ac:dyDescent="0.25">
      <c r="A302" s="265"/>
      <c r="G302" s="234"/>
      <c r="H302" s="248">
        <v>297</v>
      </c>
      <c r="I302" s="249" t="str">
        <f t="shared" si="22"/>
        <v/>
      </c>
      <c r="J302" s="248" t="e">
        <f t="shared" si="25"/>
        <v>#NUM!</v>
      </c>
      <c r="K302" s="248" t="e">
        <f t="shared" si="23"/>
        <v>#NUM!</v>
      </c>
      <c r="L302" s="248"/>
      <c r="M302" s="250">
        <f t="shared" si="24"/>
        <v>0</v>
      </c>
    </row>
    <row r="303" spans="1:13" x14ac:dyDescent="0.25">
      <c r="A303" s="265"/>
      <c r="G303" s="234"/>
      <c r="H303" s="248">
        <v>298</v>
      </c>
      <c r="I303" s="249" t="str">
        <f t="shared" si="22"/>
        <v/>
      </c>
      <c r="J303" s="248" t="e">
        <f t="shared" si="25"/>
        <v>#NUM!</v>
      </c>
      <c r="K303" s="248" t="e">
        <f t="shared" si="23"/>
        <v>#NUM!</v>
      </c>
      <c r="L303" s="248"/>
      <c r="M303" s="250">
        <f t="shared" si="24"/>
        <v>0</v>
      </c>
    </row>
    <row r="304" spans="1:13" x14ac:dyDescent="0.25">
      <c r="A304" s="265"/>
      <c r="G304" s="234"/>
      <c r="H304" s="248">
        <v>299</v>
      </c>
      <c r="I304" s="249" t="str">
        <f t="shared" si="22"/>
        <v/>
      </c>
      <c r="J304" s="248" t="e">
        <f t="shared" si="25"/>
        <v>#NUM!</v>
      </c>
      <c r="K304" s="248" t="e">
        <f t="shared" si="23"/>
        <v>#NUM!</v>
      </c>
      <c r="L304" s="248"/>
      <c r="M304" s="250">
        <f t="shared" si="24"/>
        <v>0</v>
      </c>
    </row>
    <row r="305" spans="1:16" x14ac:dyDescent="0.25">
      <c r="A305" s="265"/>
      <c r="G305" s="234"/>
      <c r="H305" s="248">
        <v>300</v>
      </c>
      <c r="I305" s="249" t="str">
        <f t="shared" si="22"/>
        <v/>
      </c>
      <c r="J305" s="248" t="e">
        <f t="shared" si="25"/>
        <v>#NUM!</v>
      </c>
      <c r="K305" s="248" t="e">
        <f t="shared" si="23"/>
        <v>#NUM!</v>
      </c>
      <c r="L305" s="248"/>
      <c r="M305" s="250">
        <f t="shared" si="24"/>
        <v>0</v>
      </c>
    </row>
    <row r="306" spans="1:16" x14ac:dyDescent="0.25">
      <c r="A306" s="266"/>
    </row>
    <row r="314" spans="1:16" x14ac:dyDescent="0.25">
      <c r="L314" s="269"/>
      <c r="P314" s="259"/>
    </row>
    <row r="315" spans="1:16" x14ac:dyDescent="0.25">
      <c r="L315" s="269"/>
      <c r="P315" s="259"/>
    </row>
    <row r="316" spans="1:16" x14ac:dyDescent="0.25">
      <c r="L316" s="269"/>
      <c r="P316" s="259"/>
    </row>
    <row r="317" spans="1:16" x14ac:dyDescent="0.25">
      <c r="L317" s="269"/>
      <c r="P317" s="259"/>
    </row>
  </sheetData>
  <conditionalFormatting sqref="J6:K305">
    <cfRule type="cellIs" dxfId="1" priority="1" operator="lessThanOrEqual">
      <formula>0</formula>
    </cfRule>
  </conditionalFormatting>
  <hyperlinks>
    <hyperlink ref="C2" r:id="rId1" xr:uid="{25A175BB-3E50-4213-9F9E-13036E241CD8}"/>
  </hyperlink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2BA0-F5D6-4354-8AA5-2353171C9239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1.75" style="59" customWidth="1"/>
    <col min="14" max="14" width="11.75" style="60" customWidth="1"/>
    <col min="15" max="16" width="13.875" style="13" customWidth="1"/>
    <col min="17" max="19" width="8.875" style="13"/>
    <col min="20" max="21" width="8.875" style="18"/>
    <col min="22" max="22" width="12.125" style="18" customWidth="1"/>
    <col min="23" max="23" width="27.375" style="18" customWidth="1"/>
    <col min="24" max="39" width="8.875" style="18"/>
    <col min="40" max="16384" width="8.875" style="57"/>
  </cols>
  <sheetData>
    <row r="1" spans="1:37" x14ac:dyDescent="0.25">
      <c r="A1" s="13"/>
      <c r="B1" s="13"/>
      <c r="C1" s="13"/>
      <c r="D1" s="13"/>
      <c r="E1" s="13"/>
      <c r="F1" s="13"/>
      <c r="G1" s="13"/>
      <c r="H1" s="14" t="s">
        <v>25</v>
      </c>
      <c r="I1" s="15" t="s">
        <v>26</v>
      </c>
      <c r="J1" s="15" t="s">
        <v>27</v>
      </c>
      <c r="K1" s="16" t="s">
        <v>85</v>
      </c>
      <c r="L1" s="62" t="s">
        <v>86</v>
      </c>
      <c r="M1" s="63"/>
      <c r="N1" s="17"/>
    </row>
    <row r="2" spans="1:37" x14ac:dyDescent="0.25">
      <c r="A2" s="13"/>
      <c r="B2" s="19" t="s">
        <v>29</v>
      </c>
      <c r="C2" s="211" t="s">
        <v>136</v>
      </c>
      <c r="D2" s="211"/>
      <c r="E2" s="20"/>
      <c r="F2" s="20"/>
      <c r="G2" s="20"/>
      <c r="H2" s="21">
        <v>46</v>
      </c>
      <c r="I2" s="22">
        <v>50</v>
      </c>
      <c r="J2" s="22">
        <v>10</v>
      </c>
      <c r="K2" s="23">
        <f>3*H2^(1/3)</f>
        <v>10.749143613047838</v>
      </c>
      <c r="L2" s="64">
        <v>1.2</v>
      </c>
      <c r="M2" s="17"/>
      <c r="N2" s="17"/>
    </row>
    <row r="3" spans="1:37" ht="14.3" customHeight="1" x14ac:dyDescent="0.25">
      <c r="A3" s="13"/>
      <c r="B3" s="24" t="s">
        <v>31</v>
      </c>
      <c r="C3" s="212" t="s">
        <v>137</v>
      </c>
      <c r="D3" s="212"/>
      <c r="E3" s="25"/>
      <c r="F3" s="25"/>
      <c r="G3" s="25"/>
      <c r="H3" s="17"/>
      <c r="I3" s="17"/>
      <c r="J3" s="26"/>
      <c r="K3" s="17"/>
      <c r="L3" s="17"/>
      <c r="M3" s="17"/>
      <c r="N3" s="17"/>
    </row>
    <row r="4" spans="1:37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  <c r="N4" s="17"/>
    </row>
    <row r="5" spans="1:37" ht="34.65" x14ac:dyDescent="0.25">
      <c r="A5" s="1" t="s">
        <v>33</v>
      </c>
      <c r="B5" s="28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7"/>
      <c r="H5" s="29" t="s">
        <v>39</v>
      </c>
      <c r="I5" s="30" t="s">
        <v>40</v>
      </c>
      <c r="J5" s="31" t="s">
        <v>41</v>
      </c>
      <c r="K5" s="30" t="s">
        <v>42</v>
      </c>
      <c r="L5" s="30" t="s">
        <v>43</v>
      </c>
      <c r="M5" s="29" t="s">
        <v>44</v>
      </c>
      <c r="N5" s="29" t="s">
        <v>87</v>
      </c>
    </row>
    <row r="6" spans="1:37" ht="14.45" customHeight="1" x14ac:dyDescent="0.25">
      <c r="A6" s="76">
        <f>N6</f>
        <v>170.69691700697223</v>
      </c>
      <c r="B6" s="33">
        <f t="shared" ref="B6:B69" si="0">IF(H6&gt;$H$2,"",(ROW()-5))</f>
        <v>1</v>
      </c>
      <c r="C6" s="34" t="s">
        <v>50</v>
      </c>
      <c r="D6" s="34"/>
      <c r="E6" s="34"/>
      <c r="F6" s="34" t="s">
        <v>128</v>
      </c>
      <c r="G6" s="27"/>
      <c r="H6" s="35">
        <v>1</v>
      </c>
      <c r="I6" s="36">
        <f t="shared" ref="I6:I69" si="1">IF(H6&lt;$H$2+1,($I$2-($I$2-1)*(LOG(H6)/LOG($H$2))),"")</f>
        <v>50</v>
      </c>
      <c r="J6" s="35">
        <f>INT(LOG($H$2,2))-ROUNDUP(LOG(H6,2),0)+IF(OR($H$2=1,$H$2=2,$H$2=4,$H$2=8,$H$2=16,$H$2=32,$H$2=64,$H$2=128,$H$2=256),0,1)</f>
        <v>6</v>
      </c>
      <c r="K6" s="35">
        <f t="shared" ref="K6:K69" si="2">J6*$J$2</f>
        <v>60</v>
      </c>
      <c r="L6" s="37">
        <f>3*K2</f>
        <v>32.247430839143519</v>
      </c>
      <c r="M6" s="37">
        <f t="shared" ref="M6:M69" si="3">IF(I6&lt;&gt;"",K6+I6+L6,0)</f>
        <v>142.24743083914353</v>
      </c>
      <c r="N6" s="37">
        <f t="shared" ref="N6:N69" si="4">IF(I6&lt;&gt;"",M6*L$2,0)</f>
        <v>170.69691700697223</v>
      </c>
    </row>
    <row r="7" spans="1:37" ht="14.45" customHeight="1" x14ac:dyDescent="0.25">
      <c r="A7" s="77">
        <f t="shared" ref="A7:A70" si="5">N7</f>
        <v>135.15263998064844</v>
      </c>
      <c r="B7" s="39">
        <f t="shared" si="0"/>
        <v>2</v>
      </c>
      <c r="C7" s="40" t="s">
        <v>50</v>
      </c>
      <c r="D7" s="40"/>
      <c r="E7" s="40"/>
      <c r="F7" s="40" t="s">
        <v>128</v>
      </c>
      <c r="G7" s="27"/>
      <c r="H7" s="41">
        <v>2</v>
      </c>
      <c r="I7" s="42">
        <f t="shared" si="1"/>
        <v>41.128912757778025</v>
      </c>
      <c r="J7" s="41">
        <f t="shared" ref="J7:J70" si="6">INT(LOG($H$2,2))-ROUNDUP(LOG(H7,2),0)+IF(OR($H$2=1,$H$2=2,$H$2=4,$H$2=8,$H$2=16,$H$2=32,$H$2=64,$H$2=128,$H$2=256),0,1)</f>
        <v>5</v>
      </c>
      <c r="K7" s="41">
        <f t="shared" si="2"/>
        <v>50</v>
      </c>
      <c r="L7" s="43">
        <f>2*K2</f>
        <v>21.498287226095677</v>
      </c>
      <c r="M7" s="43">
        <f t="shared" si="3"/>
        <v>112.62719998387371</v>
      </c>
      <c r="N7" s="43">
        <f t="shared" si="4"/>
        <v>135.15263998064844</v>
      </c>
    </row>
    <row r="8" spans="1:37" ht="14.45" customHeight="1" x14ac:dyDescent="0.25">
      <c r="A8" s="76">
        <f t="shared" si="5"/>
        <v>104.02656359220019</v>
      </c>
      <c r="B8" s="33">
        <f t="shared" si="0"/>
        <v>3</v>
      </c>
      <c r="C8" s="34" t="s">
        <v>50</v>
      </c>
      <c r="D8" s="34"/>
      <c r="E8" s="34"/>
      <c r="F8" s="34" t="s">
        <v>128</v>
      </c>
      <c r="G8" s="27"/>
      <c r="H8" s="35">
        <v>3</v>
      </c>
      <c r="I8" s="36">
        <f t="shared" si="1"/>
        <v>35.939659380452319</v>
      </c>
      <c r="J8" s="35">
        <f t="shared" si="6"/>
        <v>4</v>
      </c>
      <c r="K8" s="35">
        <f t="shared" si="2"/>
        <v>40</v>
      </c>
      <c r="L8" s="37">
        <f>K2</f>
        <v>10.749143613047838</v>
      </c>
      <c r="M8" s="37">
        <f t="shared" si="3"/>
        <v>86.688802993500161</v>
      </c>
      <c r="N8" s="37">
        <f t="shared" si="4"/>
        <v>104.02656359220019</v>
      </c>
    </row>
    <row r="9" spans="1:37" s="82" customFormat="1" ht="14.45" customHeight="1" x14ac:dyDescent="0.25">
      <c r="A9" s="77">
        <f>N9</f>
        <v>104.02656359220019</v>
      </c>
      <c r="B9" s="39">
        <f t="shared" si="0"/>
        <v>4</v>
      </c>
      <c r="C9" s="40" t="s">
        <v>50</v>
      </c>
      <c r="D9" s="40"/>
      <c r="E9" s="40"/>
      <c r="F9" s="40" t="s">
        <v>128</v>
      </c>
      <c r="G9" s="27"/>
      <c r="H9" s="78">
        <v>3</v>
      </c>
      <c r="I9" s="79">
        <f t="shared" si="1"/>
        <v>35.939659380452319</v>
      </c>
      <c r="J9" s="78">
        <f t="shared" si="6"/>
        <v>4</v>
      </c>
      <c r="K9" s="78">
        <f t="shared" si="2"/>
        <v>40</v>
      </c>
      <c r="L9" s="43">
        <f>K2</f>
        <v>10.749143613047838</v>
      </c>
      <c r="M9" s="43">
        <f t="shared" si="3"/>
        <v>86.688802993500161</v>
      </c>
      <c r="N9" s="43">
        <f t="shared" ref="N9" si="7">IF(I9&lt;&gt;"",M9*L$2,0)</f>
        <v>104.02656359220019</v>
      </c>
      <c r="O9" s="13"/>
      <c r="P9" s="13"/>
      <c r="Q9" s="13"/>
      <c r="R9" s="13"/>
      <c r="S9" s="13"/>
      <c r="V9" s="83"/>
      <c r="Z9" s="84"/>
      <c r="AA9" s="84"/>
      <c r="AG9" s="85"/>
      <c r="AH9" s="82" t="s">
        <v>50</v>
      </c>
      <c r="AI9" s="82">
        <v>23</v>
      </c>
    </row>
    <row r="10" spans="1:37" ht="14.45" customHeight="1" x14ac:dyDescent="0.25">
      <c r="A10" s="76">
        <f t="shared" si="5"/>
        <v>71.282367960105546</v>
      </c>
      <c r="B10" s="33">
        <f t="shared" si="0"/>
        <v>5</v>
      </c>
      <c r="C10" s="34" t="s">
        <v>50</v>
      </c>
      <c r="D10" s="34"/>
      <c r="E10" s="34"/>
      <c r="F10" s="34" t="s">
        <v>128</v>
      </c>
      <c r="G10" s="27"/>
      <c r="H10" s="35">
        <v>5</v>
      </c>
      <c r="I10" s="36">
        <f t="shared" si="1"/>
        <v>29.401973300087953</v>
      </c>
      <c r="J10" s="35">
        <f t="shared" si="6"/>
        <v>3</v>
      </c>
      <c r="K10" s="35">
        <f t="shared" si="2"/>
        <v>30</v>
      </c>
      <c r="L10" s="35"/>
      <c r="M10" s="37">
        <f t="shared" si="3"/>
        <v>59.401973300087953</v>
      </c>
      <c r="N10" s="37">
        <f t="shared" si="4"/>
        <v>71.282367960105546</v>
      </c>
      <c r="W10" s="44"/>
      <c r="AA10" s="45"/>
      <c r="AB10" s="45"/>
      <c r="AH10" s="46"/>
      <c r="AI10" s="18" t="s">
        <v>52</v>
      </c>
      <c r="AJ10" s="18">
        <v>45</v>
      </c>
    </row>
    <row r="11" spans="1:37" ht="14.45" customHeight="1" x14ac:dyDescent="0.25">
      <c r="A11" s="77">
        <f t="shared" si="5"/>
        <v>68.482286565876421</v>
      </c>
      <c r="B11" s="39">
        <f t="shared" si="0"/>
        <v>6</v>
      </c>
      <c r="C11" s="40" t="s">
        <v>50</v>
      </c>
      <c r="D11" s="40"/>
      <c r="E11" s="40"/>
      <c r="F11" s="40" t="s">
        <v>128</v>
      </c>
      <c r="G11" s="27"/>
      <c r="H11" s="41">
        <v>6</v>
      </c>
      <c r="I11" s="42">
        <f t="shared" si="1"/>
        <v>27.068572138230348</v>
      </c>
      <c r="J11" s="41">
        <f t="shared" si="6"/>
        <v>3</v>
      </c>
      <c r="K11" s="41">
        <f t="shared" si="2"/>
        <v>30</v>
      </c>
      <c r="L11" s="41"/>
      <c r="M11" s="43">
        <f t="shared" si="3"/>
        <v>57.068572138230351</v>
      </c>
      <c r="N11" s="43">
        <f t="shared" si="4"/>
        <v>68.482286565876421</v>
      </c>
      <c r="W11" s="47"/>
      <c r="AA11" s="45"/>
      <c r="AB11" s="45"/>
      <c r="AH11" s="46"/>
      <c r="AI11" s="18" t="s">
        <v>53</v>
      </c>
      <c r="AJ11" s="18">
        <v>50</v>
      </c>
    </row>
    <row r="12" spans="1:37" ht="14.45" customHeight="1" x14ac:dyDescent="0.25">
      <c r="A12" s="76">
        <f t="shared" si="5"/>
        <v>66.114851479854877</v>
      </c>
      <c r="B12" s="33">
        <f t="shared" si="0"/>
        <v>7</v>
      </c>
      <c r="C12" s="34" t="s">
        <v>50</v>
      </c>
      <c r="D12" s="34"/>
      <c r="E12" s="34"/>
      <c r="F12" s="34" t="s">
        <v>128</v>
      </c>
      <c r="G12" s="27"/>
      <c r="H12" s="35">
        <v>7</v>
      </c>
      <c r="I12" s="36">
        <f t="shared" si="1"/>
        <v>25.095709566545732</v>
      </c>
      <c r="J12" s="35">
        <f t="shared" si="6"/>
        <v>3</v>
      </c>
      <c r="K12" s="35">
        <f t="shared" si="2"/>
        <v>30</v>
      </c>
      <c r="L12" s="35"/>
      <c r="M12" s="37">
        <f t="shared" si="3"/>
        <v>55.095709566545736</v>
      </c>
      <c r="N12" s="37">
        <f t="shared" si="4"/>
        <v>66.114851479854877</v>
      </c>
      <c r="AA12" s="45"/>
      <c r="AB12" s="45"/>
      <c r="AH12" s="46"/>
      <c r="AI12" s="18" t="s">
        <v>54</v>
      </c>
      <c r="AJ12" s="18">
        <f>AJ11-1</f>
        <v>49</v>
      </c>
    </row>
    <row r="13" spans="1:37" ht="14.45" customHeight="1" x14ac:dyDescent="0.25">
      <c r="A13" s="77">
        <f t="shared" si="5"/>
        <v>64.064085928000907</v>
      </c>
      <c r="B13" s="39">
        <f t="shared" si="0"/>
        <v>8</v>
      </c>
      <c r="C13" s="40" t="s">
        <v>50</v>
      </c>
      <c r="D13" s="40"/>
      <c r="E13" s="40"/>
      <c r="F13" s="40" t="s">
        <v>128</v>
      </c>
      <c r="G13" s="27"/>
      <c r="H13" s="41">
        <v>8</v>
      </c>
      <c r="I13" s="42">
        <f t="shared" si="1"/>
        <v>23.386738273334089</v>
      </c>
      <c r="J13" s="41">
        <f t="shared" si="6"/>
        <v>3</v>
      </c>
      <c r="K13" s="41">
        <f t="shared" si="2"/>
        <v>30</v>
      </c>
      <c r="L13" s="41"/>
      <c r="M13" s="43">
        <f t="shared" si="3"/>
        <v>53.386738273334089</v>
      </c>
      <c r="N13" s="43">
        <f t="shared" si="4"/>
        <v>64.064085928000907</v>
      </c>
      <c r="Y13" s="44"/>
      <c r="AH13" s="46"/>
      <c r="AI13" s="18" t="s">
        <v>55</v>
      </c>
      <c r="AJ13" s="18" t="e">
        <f>LOG(AJ9)</f>
        <v>#NUM!</v>
      </c>
    </row>
    <row r="14" spans="1:37" x14ac:dyDescent="0.25">
      <c r="A14" s="76">
        <f t="shared" si="5"/>
        <v>50.255182513085565</v>
      </c>
      <c r="B14" s="33">
        <f t="shared" si="0"/>
        <v>9</v>
      </c>
      <c r="C14" s="34" t="s">
        <v>50</v>
      </c>
      <c r="D14" s="34"/>
      <c r="E14" s="34"/>
      <c r="F14" s="34" t="s">
        <v>128</v>
      </c>
      <c r="G14" s="27"/>
      <c r="H14" s="35">
        <v>9</v>
      </c>
      <c r="I14" s="36">
        <f t="shared" si="1"/>
        <v>21.879318760904642</v>
      </c>
      <c r="J14" s="35">
        <f t="shared" si="6"/>
        <v>2</v>
      </c>
      <c r="K14" s="35">
        <f t="shared" si="2"/>
        <v>20</v>
      </c>
      <c r="L14" s="35"/>
      <c r="M14" s="37">
        <f t="shared" si="3"/>
        <v>41.879318760904638</v>
      </c>
      <c r="N14" s="37">
        <f t="shared" si="4"/>
        <v>50.255182513085565</v>
      </c>
      <c r="Y14" s="50"/>
      <c r="AA14" s="45"/>
      <c r="AB14" s="45"/>
      <c r="AH14" s="46"/>
      <c r="AI14" s="18" t="s">
        <v>56</v>
      </c>
      <c r="AJ14" s="18">
        <f>LOG(AJ10)</f>
        <v>1.6532125137753437</v>
      </c>
    </row>
    <row r="15" spans="1:37" x14ac:dyDescent="0.25">
      <c r="A15" s="77">
        <f t="shared" si="5"/>
        <v>48.637063269439182</v>
      </c>
      <c r="B15" s="39">
        <f t="shared" si="0"/>
        <v>10</v>
      </c>
      <c r="C15" s="40" t="s">
        <v>50</v>
      </c>
      <c r="D15" s="40"/>
      <c r="E15" s="40"/>
      <c r="F15" s="40" t="s">
        <v>128</v>
      </c>
      <c r="G15" s="27"/>
      <c r="H15" s="41">
        <v>10</v>
      </c>
      <c r="I15" s="42">
        <f t="shared" si="1"/>
        <v>20.530886057865985</v>
      </c>
      <c r="J15" s="41">
        <f t="shared" si="6"/>
        <v>2</v>
      </c>
      <c r="K15" s="41">
        <f t="shared" si="2"/>
        <v>20</v>
      </c>
      <c r="L15" s="41"/>
      <c r="M15" s="43">
        <f t="shared" si="3"/>
        <v>40.530886057865985</v>
      </c>
      <c r="N15" s="43">
        <f t="shared" si="4"/>
        <v>48.637063269439182</v>
      </c>
      <c r="Y15" s="44"/>
      <c r="AA15" s="45"/>
      <c r="AB15" s="45"/>
    </row>
    <row r="16" spans="1:37" x14ac:dyDescent="0.25">
      <c r="A16" s="76">
        <f t="shared" si="5"/>
        <v>47.17329636308083</v>
      </c>
      <c r="B16" s="33">
        <f t="shared" si="0"/>
        <v>11</v>
      </c>
      <c r="C16" s="34" t="s">
        <v>50</v>
      </c>
      <c r="D16" s="34"/>
      <c r="E16" s="34"/>
      <c r="F16" s="34" t="s">
        <v>128</v>
      </c>
      <c r="G16" s="27"/>
      <c r="H16" s="35">
        <v>11</v>
      </c>
      <c r="I16" s="36">
        <f t="shared" si="1"/>
        <v>19.311080302567365</v>
      </c>
      <c r="J16" s="35">
        <f t="shared" si="6"/>
        <v>2</v>
      </c>
      <c r="K16" s="35">
        <f t="shared" si="2"/>
        <v>20</v>
      </c>
      <c r="L16" s="35"/>
      <c r="M16" s="37">
        <f t="shared" si="3"/>
        <v>39.311080302567362</v>
      </c>
      <c r="N16" s="37">
        <f t="shared" si="4"/>
        <v>47.17329636308083</v>
      </c>
      <c r="S16" s="51"/>
      <c r="AA16" s="45"/>
      <c r="AB16" s="45"/>
      <c r="AI16" s="52" t="s">
        <v>57</v>
      </c>
      <c r="AJ16" s="18" t="e">
        <f>AJ11-AJ12*AJ13/AJ14</f>
        <v>#NUM!</v>
      </c>
      <c r="AK16" s="18" t="s">
        <v>58</v>
      </c>
    </row>
    <row r="17" spans="1:20" x14ac:dyDescent="0.25">
      <c r="A17" s="77">
        <f t="shared" si="5"/>
        <v>45.83698187521005</v>
      </c>
      <c r="B17" s="39">
        <f t="shared" si="0"/>
        <v>12</v>
      </c>
      <c r="C17" s="40" t="s">
        <v>50</v>
      </c>
      <c r="D17" s="40"/>
      <c r="E17" s="40"/>
      <c r="F17" s="40" t="s">
        <v>128</v>
      </c>
      <c r="G17" s="27"/>
      <c r="H17" s="41">
        <v>12</v>
      </c>
      <c r="I17" s="42">
        <f t="shared" si="1"/>
        <v>18.197484896008376</v>
      </c>
      <c r="J17" s="41">
        <f t="shared" si="6"/>
        <v>2</v>
      </c>
      <c r="K17" s="41">
        <f t="shared" si="2"/>
        <v>20</v>
      </c>
      <c r="L17" s="41"/>
      <c r="M17" s="43">
        <f t="shared" si="3"/>
        <v>38.197484896008376</v>
      </c>
      <c r="N17" s="43">
        <f t="shared" si="4"/>
        <v>45.83698187521005</v>
      </c>
    </row>
    <row r="18" spans="1:20" x14ac:dyDescent="0.25">
      <c r="A18" s="76">
        <f t="shared" si="5"/>
        <v>44.607691710944515</v>
      </c>
      <c r="B18" s="33">
        <f t="shared" si="0"/>
        <v>13</v>
      </c>
      <c r="C18" s="34" t="s">
        <v>50</v>
      </c>
      <c r="D18" s="34"/>
      <c r="E18" s="34"/>
      <c r="F18" s="34" t="s">
        <v>128</v>
      </c>
      <c r="G18" s="27"/>
      <c r="H18" s="35">
        <v>13</v>
      </c>
      <c r="I18" s="36">
        <f t="shared" si="1"/>
        <v>17.173076425787094</v>
      </c>
      <c r="J18" s="35">
        <f t="shared" si="6"/>
        <v>2</v>
      </c>
      <c r="K18" s="35">
        <f t="shared" si="2"/>
        <v>20</v>
      </c>
      <c r="L18" s="35"/>
      <c r="M18" s="37">
        <f t="shared" si="3"/>
        <v>37.173076425787094</v>
      </c>
      <c r="N18" s="37">
        <f t="shared" si="4"/>
        <v>44.607691710944515</v>
      </c>
    </row>
    <row r="19" spans="1:20" x14ac:dyDescent="0.25">
      <c r="A19" s="77">
        <f t="shared" si="5"/>
        <v>43.469546789188513</v>
      </c>
      <c r="B19" s="39">
        <f t="shared" si="0"/>
        <v>14</v>
      </c>
      <c r="C19" s="40" t="s">
        <v>50</v>
      </c>
      <c r="D19" s="40"/>
      <c r="E19" s="40"/>
      <c r="F19" s="40" t="s">
        <v>128</v>
      </c>
      <c r="G19" s="27"/>
      <c r="H19" s="41">
        <v>14</v>
      </c>
      <c r="I19" s="42">
        <f t="shared" si="1"/>
        <v>16.224622324323761</v>
      </c>
      <c r="J19" s="41">
        <f t="shared" si="6"/>
        <v>2</v>
      </c>
      <c r="K19" s="41">
        <f t="shared" si="2"/>
        <v>20</v>
      </c>
      <c r="L19" s="41"/>
      <c r="M19" s="43">
        <f t="shared" si="3"/>
        <v>36.224622324323761</v>
      </c>
      <c r="N19" s="43">
        <f t="shared" si="4"/>
        <v>43.469546789188513</v>
      </c>
    </row>
    <row r="20" spans="1:20" x14ac:dyDescent="0.25">
      <c r="A20" s="76">
        <f t="shared" si="5"/>
        <v>42.409959216648325</v>
      </c>
      <c r="B20" s="33">
        <f t="shared" si="0"/>
        <v>15</v>
      </c>
      <c r="C20" s="34" t="s">
        <v>16</v>
      </c>
      <c r="D20" s="34"/>
      <c r="E20" s="34"/>
      <c r="F20" s="34" t="s">
        <v>128</v>
      </c>
      <c r="G20" s="27"/>
      <c r="H20" s="35">
        <v>15</v>
      </c>
      <c r="I20" s="36">
        <f t="shared" si="1"/>
        <v>15.341632680540272</v>
      </c>
      <c r="J20" s="35">
        <f t="shared" si="6"/>
        <v>2</v>
      </c>
      <c r="K20" s="35">
        <f t="shared" si="2"/>
        <v>20</v>
      </c>
      <c r="L20" s="35"/>
      <c r="M20" s="37">
        <f t="shared" si="3"/>
        <v>35.341632680540272</v>
      </c>
      <c r="N20" s="37">
        <f t="shared" si="4"/>
        <v>42.409959216648325</v>
      </c>
      <c r="S20" s="53"/>
      <c r="T20" s="54"/>
    </row>
    <row r="21" spans="1:20" x14ac:dyDescent="0.25">
      <c r="A21" s="77">
        <f t="shared" si="5"/>
        <v>41.418781237334535</v>
      </c>
      <c r="B21" s="39">
        <f t="shared" si="0"/>
        <v>16</v>
      </c>
      <c r="C21" s="40" t="s">
        <v>50</v>
      </c>
      <c r="D21" s="40"/>
      <c r="E21" s="40"/>
      <c r="F21" s="40" t="s">
        <v>128</v>
      </c>
      <c r="G21" s="27"/>
      <c r="H21" s="41">
        <v>16</v>
      </c>
      <c r="I21" s="42">
        <f t="shared" si="1"/>
        <v>14.515651031112114</v>
      </c>
      <c r="J21" s="41">
        <f t="shared" si="6"/>
        <v>2</v>
      </c>
      <c r="K21" s="41">
        <f t="shared" si="2"/>
        <v>20</v>
      </c>
      <c r="L21" s="41"/>
      <c r="M21" s="43">
        <f t="shared" si="3"/>
        <v>34.515651031112114</v>
      </c>
      <c r="N21" s="43">
        <f t="shared" si="4"/>
        <v>41.418781237334535</v>
      </c>
    </row>
    <row r="22" spans="1:20" x14ac:dyDescent="0.25">
      <c r="A22" s="76">
        <f t="shared" si="5"/>
        <v>28.487712643113291</v>
      </c>
      <c r="B22" s="33">
        <f t="shared" si="0"/>
        <v>17</v>
      </c>
      <c r="C22" s="34" t="s">
        <v>50</v>
      </c>
      <c r="D22" s="34"/>
      <c r="E22" s="34"/>
      <c r="F22" s="34" t="s">
        <v>128</v>
      </c>
      <c r="G22" s="27"/>
      <c r="H22" s="35">
        <v>17</v>
      </c>
      <c r="I22" s="36">
        <f t="shared" si="1"/>
        <v>13.739760535927743</v>
      </c>
      <c r="J22" s="35">
        <f t="shared" si="6"/>
        <v>1</v>
      </c>
      <c r="K22" s="35">
        <f t="shared" si="2"/>
        <v>10</v>
      </c>
      <c r="L22" s="35"/>
      <c r="M22" s="37">
        <f t="shared" si="3"/>
        <v>23.739760535927743</v>
      </c>
      <c r="N22" s="37">
        <f t="shared" si="4"/>
        <v>28.487712643113291</v>
      </c>
    </row>
    <row r="23" spans="1:20" x14ac:dyDescent="0.25">
      <c r="A23" s="77">
        <f t="shared" si="5"/>
        <v>27.609877822419204</v>
      </c>
      <c r="B23" s="39">
        <f t="shared" si="0"/>
        <v>18</v>
      </c>
      <c r="C23" s="40" t="s">
        <v>50</v>
      </c>
      <c r="D23" s="40"/>
      <c r="E23" s="40"/>
      <c r="F23" s="40" t="s">
        <v>128</v>
      </c>
      <c r="G23" s="27"/>
      <c r="H23" s="41">
        <v>18</v>
      </c>
      <c r="I23" s="42">
        <f t="shared" si="1"/>
        <v>13.00823151868267</v>
      </c>
      <c r="J23" s="41">
        <f t="shared" si="6"/>
        <v>1</v>
      </c>
      <c r="K23" s="41">
        <f t="shared" si="2"/>
        <v>10</v>
      </c>
      <c r="L23" s="41"/>
      <c r="M23" s="43">
        <f t="shared" si="3"/>
        <v>23.00823151868267</v>
      </c>
      <c r="N23" s="43">
        <f t="shared" si="4"/>
        <v>27.609877822419204</v>
      </c>
    </row>
    <row r="24" spans="1:20" x14ac:dyDescent="0.25">
      <c r="A24" s="76">
        <f t="shared" si="5"/>
        <v>26.779517315528292</v>
      </c>
      <c r="B24" s="33">
        <f t="shared" si="0"/>
        <v>19</v>
      </c>
      <c r="C24" s="34" t="s">
        <v>50</v>
      </c>
      <c r="D24" s="34"/>
      <c r="E24" s="34"/>
      <c r="F24" s="34" t="s">
        <v>128</v>
      </c>
      <c r="G24" s="27"/>
      <c r="H24" s="35">
        <v>19</v>
      </c>
      <c r="I24" s="36">
        <f t="shared" si="1"/>
        <v>12.31626442960691</v>
      </c>
      <c r="J24" s="35">
        <f t="shared" si="6"/>
        <v>1</v>
      </c>
      <c r="K24" s="35">
        <f t="shared" si="2"/>
        <v>10</v>
      </c>
      <c r="L24" s="35"/>
      <c r="M24" s="37">
        <f t="shared" si="3"/>
        <v>22.31626442960691</v>
      </c>
      <c r="N24" s="37">
        <f t="shared" si="4"/>
        <v>26.779517315528292</v>
      </c>
      <c r="S24" s="53"/>
      <c r="T24" s="54"/>
    </row>
    <row r="25" spans="1:20" x14ac:dyDescent="0.25">
      <c r="A25" s="77">
        <f t="shared" si="5"/>
        <v>25.991758578772821</v>
      </c>
      <c r="B25" s="39">
        <f t="shared" si="0"/>
        <v>20</v>
      </c>
      <c r="C25" s="40" t="s">
        <v>50</v>
      </c>
      <c r="D25" s="40"/>
      <c r="E25" s="40"/>
      <c r="F25" s="40" t="s">
        <v>128</v>
      </c>
      <c r="G25" s="27"/>
      <c r="H25" s="41">
        <v>20</v>
      </c>
      <c r="I25" s="42">
        <f t="shared" si="1"/>
        <v>11.659798815644017</v>
      </c>
      <c r="J25" s="41">
        <f t="shared" si="6"/>
        <v>1</v>
      </c>
      <c r="K25" s="41">
        <f t="shared" si="2"/>
        <v>10</v>
      </c>
      <c r="L25" s="41"/>
      <c r="M25" s="43">
        <f t="shared" si="3"/>
        <v>21.659798815644017</v>
      </c>
      <c r="N25" s="43">
        <f t="shared" si="4"/>
        <v>25.991758578772821</v>
      </c>
    </row>
    <row r="26" spans="1:20" x14ac:dyDescent="0.25">
      <c r="A26" s="76">
        <f t="shared" si="5"/>
        <v>25.242442736397667</v>
      </c>
      <c r="B26" s="33">
        <f t="shared" si="0"/>
        <v>21</v>
      </c>
      <c r="C26" s="34" t="s">
        <v>50</v>
      </c>
      <c r="D26" s="34"/>
      <c r="E26" s="34"/>
      <c r="F26" s="34" t="s">
        <v>128</v>
      </c>
      <c r="G26" s="27"/>
      <c r="H26" s="35">
        <v>21</v>
      </c>
      <c r="I26" s="36">
        <f t="shared" si="1"/>
        <v>11.035368946998055</v>
      </c>
      <c r="J26" s="35">
        <f t="shared" si="6"/>
        <v>1</v>
      </c>
      <c r="K26" s="35">
        <f t="shared" si="2"/>
        <v>10</v>
      </c>
      <c r="L26" s="35"/>
      <c r="M26" s="37">
        <f t="shared" si="3"/>
        <v>21.035368946998055</v>
      </c>
      <c r="N26" s="37">
        <f t="shared" si="4"/>
        <v>25.242442736397667</v>
      </c>
    </row>
    <row r="27" spans="1:20" x14ac:dyDescent="0.25">
      <c r="A27" s="77">
        <f t="shared" si="5"/>
        <v>24.52799167241448</v>
      </c>
      <c r="B27" s="39">
        <f t="shared" si="0"/>
        <v>22</v>
      </c>
      <c r="C27" s="40" t="s">
        <v>50</v>
      </c>
      <c r="D27" s="40"/>
      <c r="E27" s="40"/>
      <c r="F27" s="40" t="s">
        <v>128</v>
      </c>
      <c r="G27" s="27"/>
      <c r="H27" s="41">
        <v>22</v>
      </c>
      <c r="I27" s="42">
        <f t="shared" si="1"/>
        <v>10.439993060345401</v>
      </c>
      <c r="J27" s="41">
        <f t="shared" si="6"/>
        <v>1</v>
      </c>
      <c r="K27" s="41">
        <f t="shared" si="2"/>
        <v>10</v>
      </c>
      <c r="L27" s="41"/>
      <c r="M27" s="43">
        <f t="shared" si="3"/>
        <v>20.439993060345401</v>
      </c>
      <c r="N27" s="43">
        <f t="shared" si="4"/>
        <v>24.52799167241448</v>
      </c>
    </row>
    <row r="28" spans="1:20" x14ac:dyDescent="0.25">
      <c r="A28" s="76">
        <f t="shared" si="5"/>
        <v>23.84530469066636</v>
      </c>
      <c r="B28" s="33">
        <f t="shared" si="0"/>
        <v>23</v>
      </c>
      <c r="C28" s="34" t="s">
        <v>50</v>
      </c>
      <c r="D28" s="34"/>
      <c r="E28" s="34"/>
      <c r="F28" s="34" t="s">
        <v>128</v>
      </c>
      <c r="G28" s="27"/>
      <c r="H28" s="35">
        <v>23</v>
      </c>
      <c r="I28" s="36">
        <f t="shared" si="1"/>
        <v>9.871087242221968</v>
      </c>
      <c r="J28" s="35">
        <f t="shared" si="6"/>
        <v>1</v>
      </c>
      <c r="K28" s="35">
        <f t="shared" si="2"/>
        <v>10</v>
      </c>
      <c r="L28" s="35"/>
      <c r="M28" s="37">
        <f t="shared" si="3"/>
        <v>19.871087242221968</v>
      </c>
      <c r="N28" s="37">
        <f t="shared" si="4"/>
        <v>23.84530469066636</v>
      </c>
      <c r="S28" s="53"/>
      <c r="T28" s="54"/>
    </row>
    <row r="29" spans="1:20" x14ac:dyDescent="0.25">
      <c r="A29" s="77">
        <f t="shared" si="5"/>
        <v>23.191677184543696</v>
      </c>
      <c r="B29" s="39">
        <f t="shared" si="0"/>
        <v>24</v>
      </c>
      <c r="C29" s="40" t="s">
        <v>50</v>
      </c>
      <c r="D29" s="40"/>
      <c r="E29" s="40"/>
      <c r="F29" s="40" t="s">
        <v>128</v>
      </c>
      <c r="G29" s="13"/>
      <c r="H29" s="41">
        <v>24</v>
      </c>
      <c r="I29" s="42">
        <f t="shared" si="1"/>
        <v>9.3263976537864153</v>
      </c>
      <c r="J29" s="41">
        <f t="shared" si="6"/>
        <v>1</v>
      </c>
      <c r="K29" s="41">
        <f t="shared" si="2"/>
        <v>10</v>
      </c>
      <c r="L29" s="41"/>
      <c r="M29" s="43">
        <f t="shared" si="3"/>
        <v>19.326397653786415</v>
      </c>
      <c r="N29" s="43">
        <f t="shared" si="4"/>
        <v>23.191677184543696</v>
      </c>
    </row>
    <row r="30" spans="1:20" x14ac:dyDescent="0.25">
      <c r="A30" s="76">
        <f t="shared" si="5"/>
        <v>22.564735920211085</v>
      </c>
      <c r="B30" s="33">
        <f t="shared" si="0"/>
        <v>25</v>
      </c>
      <c r="C30" s="34" t="s">
        <v>50</v>
      </c>
      <c r="D30" s="34"/>
      <c r="E30" s="34"/>
      <c r="F30" s="34" t="s">
        <v>128</v>
      </c>
      <c r="G30" s="13"/>
      <c r="H30" s="35">
        <v>25</v>
      </c>
      <c r="I30" s="36">
        <f t="shared" si="1"/>
        <v>8.8039466001759052</v>
      </c>
      <c r="J30" s="35">
        <f t="shared" si="6"/>
        <v>1</v>
      </c>
      <c r="K30" s="35">
        <f t="shared" si="2"/>
        <v>10</v>
      </c>
      <c r="L30" s="35"/>
      <c r="M30" s="37">
        <f t="shared" si="3"/>
        <v>18.803946600175905</v>
      </c>
      <c r="N30" s="37">
        <f t="shared" si="4"/>
        <v>22.564735920211085</v>
      </c>
    </row>
    <row r="31" spans="1:20" x14ac:dyDescent="0.25">
      <c r="A31" s="77">
        <f t="shared" si="5"/>
        <v>21.962387020278143</v>
      </c>
      <c r="B31" s="39">
        <f t="shared" si="0"/>
        <v>26</v>
      </c>
      <c r="C31" s="40" t="s">
        <v>50</v>
      </c>
      <c r="D31" s="40"/>
      <c r="E31" s="40"/>
      <c r="F31" s="40" t="s">
        <v>128</v>
      </c>
      <c r="G31" s="13"/>
      <c r="H31" s="41">
        <v>26</v>
      </c>
      <c r="I31" s="42">
        <f t="shared" si="1"/>
        <v>8.3019891835651194</v>
      </c>
      <c r="J31" s="41">
        <f t="shared" si="6"/>
        <v>1</v>
      </c>
      <c r="K31" s="41">
        <f t="shared" si="2"/>
        <v>10</v>
      </c>
      <c r="L31" s="41"/>
      <c r="M31" s="43">
        <f t="shared" si="3"/>
        <v>18.301989183565119</v>
      </c>
      <c r="N31" s="43">
        <f t="shared" si="4"/>
        <v>21.962387020278143</v>
      </c>
    </row>
    <row r="32" spans="1:20" x14ac:dyDescent="0.25">
      <c r="A32" s="76">
        <f t="shared" si="5"/>
        <v>21.382773769628347</v>
      </c>
      <c r="B32" s="33">
        <f t="shared" si="0"/>
        <v>27</v>
      </c>
      <c r="C32" s="34" t="s">
        <v>50</v>
      </c>
      <c r="D32" s="34"/>
      <c r="E32" s="34"/>
      <c r="F32" s="34" t="s">
        <v>128</v>
      </c>
      <c r="G32" s="13"/>
      <c r="H32" s="35">
        <v>27</v>
      </c>
      <c r="I32" s="36">
        <f t="shared" si="1"/>
        <v>7.8189781413569577</v>
      </c>
      <c r="J32" s="35">
        <f t="shared" si="6"/>
        <v>1</v>
      </c>
      <c r="K32" s="35">
        <f t="shared" si="2"/>
        <v>10</v>
      </c>
      <c r="L32" s="35"/>
      <c r="M32" s="37">
        <f t="shared" si="3"/>
        <v>17.818978141356958</v>
      </c>
      <c r="N32" s="37">
        <f t="shared" si="4"/>
        <v>21.382773769628347</v>
      </c>
      <c r="S32" s="53"/>
      <c r="T32" s="54"/>
    </row>
    <row r="33" spans="1:22" x14ac:dyDescent="0.25">
      <c r="A33" s="77">
        <f t="shared" si="5"/>
        <v>20.824242098522152</v>
      </c>
      <c r="B33" s="39">
        <f t="shared" si="0"/>
        <v>28</v>
      </c>
      <c r="C33" s="40" t="s">
        <v>50</v>
      </c>
      <c r="D33" s="40"/>
      <c r="E33" s="40"/>
      <c r="F33" s="40" t="s">
        <v>128</v>
      </c>
      <c r="G33" s="13"/>
      <c r="H33" s="41">
        <v>28</v>
      </c>
      <c r="I33" s="42">
        <f t="shared" si="1"/>
        <v>7.3535350821017929</v>
      </c>
      <c r="J33" s="41">
        <f t="shared" si="6"/>
        <v>1</v>
      </c>
      <c r="K33" s="41">
        <f t="shared" si="2"/>
        <v>10</v>
      </c>
      <c r="L33" s="41"/>
      <c r="M33" s="43">
        <f t="shared" si="3"/>
        <v>17.353535082101793</v>
      </c>
      <c r="N33" s="43">
        <f t="shared" si="4"/>
        <v>20.824242098522152</v>
      </c>
    </row>
    <row r="34" spans="1:22" x14ac:dyDescent="0.25">
      <c r="A34" s="76">
        <f t="shared" si="5"/>
        <v>20.285312125400402</v>
      </c>
      <c r="B34" s="33">
        <f t="shared" si="0"/>
        <v>29</v>
      </c>
      <c r="C34" s="34" t="s">
        <v>18</v>
      </c>
      <c r="D34" s="34"/>
      <c r="E34" s="34"/>
      <c r="F34" s="34" t="s">
        <v>128</v>
      </c>
      <c r="G34" s="13"/>
      <c r="H34" s="35">
        <v>29</v>
      </c>
      <c r="I34" s="36">
        <f t="shared" si="1"/>
        <v>6.9044267711670031</v>
      </c>
      <c r="J34" s="35">
        <f t="shared" si="6"/>
        <v>1</v>
      </c>
      <c r="K34" s="35">
        <f t="shared" si="2"/>
        <v>10</v>
      </c>
      <c r="L34" s="35"/>
      <c r="M34" s="37">
        <f t="shared" si="3"/>
        <v>16.904426771167003</v>
      </c>
      <c r="N34" s="37">
        <f t="shared" si="4"/>
        <v>20.285312125400402</v>
      </c>
    </row>
    <row r="35" spans="1:22" x14ac:dyDescent="0.25">
      <c r="A35" s="77">
        <f t="shared" si="5"/>
        <v>19.764654525981964</v>
      </c>
      <c r="B35" s="39">
        <f t="shared" si="0"/>
        <v>30</v>
      </c>
      <c r="C35" s="40" t="s">
        <v>50</v>
      </c>
      <c r="D35" s="40"/>
      <c r="E35" s="40"/>
      <c r="F35" s="40" t="s">
        <v>128</v>
      </c>
      <c r="G35" s="13"/>
      <c r="H35" s="41">
        <v>30</v>
      </c>
      <c r="I35" s="42">
        <f t="shared" si="1"/>
        <v>6.4705454383183039</v>
      </c>
      <c r="J35" s="41">
        <f t="shared" si="6"/>
        <v>1</v>
      </c>
      <c r="K35" s="41">
        <f t="shared" si="2"/>
        <v>10</v>
      </c>
      <c r="L35" s="41"/>
      <c r="M35" s="43">
        <f t="shared" si="3"/>
        <v>16.470545438318304</v>
      </c>
      <c r="N35" s="43">
        <f t="shared" si="4"/>
        <v>19.764654525981964</v>
      </c>
    </row>
    <row r="36" spans="1:22" x14ac:dyDescent="0.25">
      <c r="A36" s="76">
        <f t="shared" si="5"/>
        <v>19.261070778556601</v>
      </c>
      <c r="B36" s="33">
        <f t="shared" si="0"/>
        <v>31</v>
      </c>
      <c r="C36" s="34" t="s">
        <v>50</v>
      </c>
      <c r="D36" s="34"/>
      <c r="E36" s="34"/>
      <c r="F36" s="34" t="s">
        <v>128</v>
      </c>
      <c r="G36" s="13"/>
      <c r="H36" s="35">
        <v>31</v>
      </c>
      <c r="I36" s="36">
        <f t="shared" si="1"/>
        <v>6.0508923154638339</v>
      </c>
      <c r="J36" s="35">
        <f t="shared" si="6"/>
        <v>1</v>
      </c>
      <c r="K36" s="35">
        <f t="shared" si="2"/>
        <v>10</v>
      </c>
      <c r="L36" s="35"/>
      <c r="M36" s="37">
        <f t="shared" si="3"/>
        <v>16.050892315463834</v>
      </c>
      <c r="N36" s="37">
        <f t="shared" si="4"/>
        <v>19.261070778556601</v>
      </c>
      <c r="S36" s="53"/>
      <c r="T36" s="54"/>
    </row>
    <row r="37" spans="1:22" x14ac:dyDescent="0.25">
      <c r="A37" s="77">
        <f t="shared" si="5"/>
        <v>18.773476546668174</v>
      </c>
      <c r="B37" s="39">
        <f t="shared" si="0"/>
        <v>32</v>
      </c>
      <c r="C37" s="40" t="s">
        <v>50</v>
      </c>
      <c r="D37" s="40"/>
      <c r="E37" s="40"/>
      <c r="F37" s="40" t="s">
        <v>128</v>
      </c>
      <c r="G37" s="13"/>
      <c r="H37" s="41">
        <v>32</v>
      </c>
      <c r="I37" s="42">
        <f t="shared" si="1"/>
        <v>5.6445637888901459</v>
      </c>
      <c r="J37" s="41">
        <f t="shared" si="6"/>
        <v>1</v>
      </c>
      <c r="K37" s="41">
        <f t="shared" si="2"/>
        <v>10</v>
      </c>
      <c r="L37" s="41"/>
      <c r="M37" s="43">
        <f t="shared" si="3"/>
        <v>15.644563788890146</v>
      </c>
      <c r="N37" s="43">
        <f t="shared" si="4"/>
        <v>18.773476546668174</v>
      </c>
    </row>
    <row r="38" spans="1:22" x14ac:dyDescent="0.25">
      <c r="A38" s="76">
        <f t="shared" si="5"/>
        <v>6.3008876196236256</v>
      </c>
      <c r="B38" s="33">
        <f t="shared" si="0"/>
        <v>33</v>
      </c>
      <c r="C38" s="34" t="s">
        <v>50</v>
      </c>
      <c r="D38" s="34"/>
      <c r="E38" s="34"/>
      <c r="F38" s="34" t="s">
        <v>128</v>
      </c>
      <c r="G38" s="13"/>
      <c r="H38" s="35">
        <v>33</v>
      </c>
      <c r="I38" s="36">
        <f t="shared" si="1"/>
        <v>5.2507396830196882</v>
      </c>
      <c r="J38" s="35">
        <f t="shared" si="6"/>
        <v>0</v>
      </c>
      <c r="K38" s="35">
        <f t="shared" si="2"/>
        <v>0</v>
      </c>
      <c r="L38" s="35"/>
      <c r="M38" s="37">
        <f t="shared" si="3"/>
        <v>5.2507396830196882</v>
      </c>
      <c r="N38" s="37">
        <f t="shared" si="4"/>
        <v>6.3008876196236256</v>
      </c>
    </row>
    <row r="39" spans="1:22" x14ac:dyDescent="0.25">
      <c r="A39" s="77">
        <f t="shared" si="5"/>
        <v>5.8424079524469308</v>
      </c>
      <c r="B39" s="39">
        <f t="shared" si="0"/>
        <v>34</v>
      </c>
      <c r="C39" s="40" t="s">
        <v>50</v>
      </c>
      <c r="D39" s="40"/>
      <c r="E39" s="40"/>
      <c r="F39" s="40" t="s">
        <v>128</v>
      </c>
      <c r="G39" s="13"/>
      <c r="H39" s="41">
        <v>34</v>
      </c>
      <c r="I39" s="42">
        <f t="shared" si="1"/>
        <v>4.8686732937057755</v>
      </c>
      <c r="J39" s="41">
        <f t="shared" si="6"/>
        <v>0</v>
      </c>
      <c r="K39" s="41">
        <f t="shared" si="2"/>
        <v>0</v>
      </c>
      <c r="L39" s="41"/>
      <c r="M39" s="43">
        <f t="shared" si="3"/>
        <v>4.8686732937057755</v>
      </c>
      <c r="N39" s="43">
        <f t="shared" si="4"/>
        <v>5.8424079524469308</v>
      </c>
    </row>
    <row r="40" spans="1:22" x14ac:dyDescent="0.25">
      <c r="A40" s="76">
        <f t="shared" si="5"/>
        <v>5.3972194399604261</v>
      </c>
      <c r="B40" s="33">
        <f t="shared" si="0"/>
        <v>35</v>
      </c>
      <c r="C40" s="34" t="s">
        <v>50</v>
      </c>
      <c r="D40" s="34"/>
      <c r="E40" s="34"/>
      <c r="F40" s="34" t="s">
        <v>128</v>
      </c>
      <c r="G40" s="13"/>
      <c r="H40" s="35">
        <v>35</v>
      </c>
      <c r="I40" s="36">
        <f t="shared" si="1"/>
        <v>4.4976828666336885</v>
      </c>
      <c r="J40" s="35">
        <f t="shared" si="6"/>
        <v>0</v>
      </c>
      <c r="K40" s="35">
        <f t="shared" si="2"/>
        <v>0</v>
      </c>
      <c r="L40" s="35"/>
      <c r="M40" s="37">
        <f t="shared" si="3"/>
        <v>4.4976828666336885</v>
      </c>
      <c r="N40" s="37">
        <f t="shared" si="4"/>
        <v>5.3972194399604261</v>
      </c>
    </row>
    <row r="41" spans="1:22" x14ac:dyDescent="0.25">
      <c r="A41" s="77">
        <f t="shared" si="5"/>
        <v>4.9645731317528341</v>
      </c>
      <c r="B41" s="39">
        <f t="shared" si="0"/>
        <v>36</v>
      </c>
      <c r="C41" s="40" t="s">
        <v>50</v>
      </c>
      <c r="D41" s="40"/>
      <c r="E41" s="40"/>
      <c r="F41" s="40" t="s">
        <v>128</v>
      </c>
      <c r="G41" s="13"/>
      <c r="H41" s="41">
        <v>36</v>
      </c>
      <c r="I41" s="42">
        <f t="shared" si="1"/>
        <v>4.1371442764606954</v>
      </c>
      <c r="J41" s="41">
        <f t="shared" si="6"/>
        <v>0</v>
      </c>
      <c r="K41" s="41">
        <f t="shared" si="2"/>
        <v>0</v>
      </c>
      <c r="L41" s="41"/>
      <c r="M41" s="43">
        <f t="shared" si="3"/>
        <v>4.1371442764606954</v>
      </c>
      <c r="N41" s="43">
        <f t="shared" si="4"/>
        <v>4.9645731317528341</v>
      </c>
      <c r="T41" s="55"/>
    </row>
    <row r="42" spans="1:22" x14ac:dyDescent="0.25">
      <c r="A42" s="76">
        <f t="shared" si="5"/>
        <v>4.5437816510624627</v>
      </c>
      <c r="B42" s="33">
        <f t="shared" si="0"/>
        <v>37</v>
      </c>
      <c r="C42" s="34" t="s">
        <v>50</v>
      </c>
      <c r="D42" s="34"/>
      <c r="E42" s="34"/>
      <c r="F42" s="34" t="s">
        <v>128</v>
      </c>
      <c r="G42" s="13"/>
      <c r="H42" s="35">
        <v>37</v>
      </c>
      <c r="I42" s="36">
        <f t="shared" si="1"/>
        <v>3.786484709218719</v>
      </c>
      <c r="J42" s="35">
        <f t="shared" si="6"/>
        <v>0</v>
      </c>
      <c r="K42" s="35">
        <f t="shared" si="2"/>
        <v>0</v>
      </c>
      <c r="L42" s="35"/>
      <c r="M42" s="37">
        <f t="shared" si="3"/>
        <v>3.786484709218719</v>
      </c>
      <c r="N42" s="37">
        <f t="shared" si="4"/>
        <v>4.5437816510624627</v>
      </c>
    </row>
    <row r="43" spans="1:22" x14ac:dyDescent="0.25">
      <c r="A43" s="77">
        <f t="shared" si="5"/>
        <v>4.134212624861922</v>
      </c>
      <c r="B43" s="39">
        <f t="shared" si="0"/>
        <v>38</v>
      </c>
      <c r="C43" s="40" t="s">
        <v>50</v>
      </c>
      <c r="D43" s="40"/>
      <c r="E43" s="40"/>
      <c r="F43" s="40" t="s">
        <v>128</v>
      </c>
      <c r="G43" s="13"/>
      <c r="H43" s="41">
        <v>38</v>
      </c>
      <c r="I43" s="42">
        <f t="shared" si="1"/>
        <v>3.4451771873849353</v>
      </c>
      <c r="J43" s="41">
        <f t="shared" si="6"/>
        <v>0</v>
      </c>
      <c r="K43" s="41">
        <f t="shared" si="2"/>
        <v>0</v>
      </c>
      <c r="L43" s="41"/>
      <c r="M43" s="43">
        <f t="shared" si="3"/>
        <v>3.4451771873849353</v>
      </c>
      <c r="N43" s="43">
        <f t="shared" si="4"/>
        <v>4.134212624861922</v>
      </c>
    </row>
    <row r="44" spans="1:22" x14ac:dyDescent="0.25">
      <c r="A44" s="76">
        <f t="shared" si="5"/>
        <v>3.7352829674873047</v>
      </c>
      <c r="B44" s="33">
        <f t="shared" si="0"/>
        <v>39</v>
      </c>
      <c r="C44" s="34" t="s">
        <v>50</v>
      </c>
      <c r="D44" s="34"/>
      <c r="E44" s="34"/>
      <c r="F44" s="34" t="s">
        <v>128</v>
      </c>
      <c r="G44" s="13"/>
      <c r="H44" s="35">
        <v>39</v>
      </c>
      <c r="I44" s="36">
        <f t="shared" si="1"/>
        <v>3.1127358062394208</v>
      </c>
      <c r="J44" s="35">
        <f t="shared" si="6"/>
        <v>0</v>
      </c>
      <c r="K44" s="35">
        <f t="shared" si="2"/>
        <v>0</v>
      </c>
      <c r="L44" s="35"/>
      <c r="M44" s="37">
        <f t="shared" si="3"/>
        <v>3.1127358062394208</v>
      </c>
      <c r="N44" s="37">
        <f t="shared" si="4"/>
        <v>3.7352829674873047</v>
      </c>
    </row>
    <row r="45" spans="1:22" x14ac:dyDescent="0.25">
      <c r="A45" s="77">
        <f t="shared" si="5"/>
        <v>3.3464538881064496</v>
      </c>
      <c r="B45" s="39">
        <f t="shared" si="0"/>
        <v>40</v>
      </c>
      <c r="C45" s="40" t="s">
        <v>50</v>
      </c>
      <c r="D45" s="40"/>
      <c r="E45" s="40"/>
      <c r="F45" s="40" t="s">
        <v>128</v>
      </c>
      <c r="G45" s="13"/>
      <c r="H45" s="41">
        <v>40</v>
      </c>
      <c r="I45" s="42">
        <f t="shared" si="1"/>
        <v>2.7887115734220416</v>
      </c>
      <c r="J45" s="41">
        <f t="shared" si="6"/>
        <v>0</v>
      </c>
      <c r="K45" s="41">
        <f t="shared" si="2"/>
        <v>0</v>
      </c>
      <c r="L45" s="41"/>
      <c r="M45" s="43">
        <f t="shared" si="3"/>
        <v>2.7887115734220416</v>
      </c>
      <c r="N45" s="43">
        <f t="shared" si="4"/>
        <v>3.3464538881064496</v>
      </c>
    </row>
    <row r="46" spans="1:22" x14ac:dyDescent="0.25">
      <c r="A46" s="76">
        <f t="shared" si="5"/>
        <v>2.9672265147501378</v>
      </c>
      <c r="B46" s="33">
        <f t="shared" si="0"/>
        <v>41</v>
      </c>
      <c r="C46" s="34" t="s">
        <v>50</v>
      </c>
      <c r="D46" s="34"/>
      <c r="E46" s="34"/>
      <c r="F46" s="34" t="s">
        <v>128</v>
      </c>
      <c r="G46" s="13"/>
      <c r="H46" s="35">
        <v>41</v>
      </c>
      <c r="I46" s="36">
        <f t="shared" si="1"/>
        <v>2.4726887622917815</v>
      </c>
      <c r="J46" s="35">
        <f t="shared" si="6"/>
        <v>0</v>
      </c>
      <c r="K46" s="35">
        <f t="shared" si="2"/>
        <v>0</v>
      </c>
      <c r="L46" s="35"/>
      <c r="M46" s="37">
        <f t="shared" si="3"/>
        <v>2.4726887622917815</v>
      </c>
      <c r="N46" s="37">
        <f t="shared" si="4"/>
        <v>2.9672265147501378</v>
      </c>
      <c r="S46" s="13">
        <f>LOG($H$2,2)</f>
        <v>5.5235619560570131</v>
      </c>
      <c r="U46" s="18">
        <f>LOG(H38,2)</f>
        <v>5.0443941193584534</v>
      </c>
      <c r="V46" s="18">
        <f>S46-U46</f>
        <v>0.47916783669855967</v>
      </c>
    </row>
    <row r="47" spans="1:22" x14ac:dyDescent="0.25">
      <c r="A47" s="77">
        <f t="shared" si="5"/>
        <v>2.5971380457312958</v>
      </c>
      <c r="B47" s="39">
        <f t="shared" si="0"/>
        <v>42</v>
      </c>
      <c r="C47" s="40" t="s">
        <v>50</v>
      </c>
      <c r="D47" s="40"/>
      <c r="E47" s="40"/>
      <c r="F47" s="40" t="s">
        <v>128</v>
      </c>
      <c r="G47" s="13"/>
      <c r="H47" s="41">
        <v>42</v>
      </c>
      <c r="I47" s="42">
        <f t="shared" si="1"/>
        <v>2.1642817047760801</v>
      </c>
      <c r="J47" s="41">
        <f t="shared" si="6"/>
        <v>0</v>
      </c>
      <c r="K47" s="41">
        <f t="shared" si="2"/>
        <v>0</v>
      </c>
      <c r="L47" s="41"/>
      <c r="M47" s="43">
        <f t="shared" si="3"/>
        <v>2.1642817047760801</v>
      </c>
      <c r="N47" s="43">
        <f t="shared" si="4"/>
        <v>2.5971380457312958</v>
      </c>
    </row>
    <row r="48" spans="1:22" x14ac:dyDescent="0.25">
      <c r="A48" s="76">
        <f t="shared" si="5"/>
        <v>2.2357583539721873</v>
      </c>
      <c r="B48" s="33">
        <f t="shared" si="0"/>
        <v>43</v>
      </c>
      <c r="C48" s="34" t="s">
        <v>50</v>
      </c>
      <c r="D48" s="34"/>
      <c r="E48" s="34"/>
      <c r="F48" s="34" t="s">
        <v>128</v>
      </c>
      <c r="G48" s="13"/>
      <c r="H48" s="35">
        <v>43</v>
      </c>
      <c r="I48" s="36">
        <f t="shared" si="1"/>
        <v>1.8631319616434894</v>
      </c>
      <c r="J48" s="35">
        <f t="shared" si="6"/>
        <v>0</v>
      </c>
      <c r="K48" s="35">
        <f t="shared" si="2"/>
        <v>0</v>
      </c>
      <c r="L48" s="35"/>
      <c r="M48" s="37">
        <f t="shared" si="3"/>
        <v>1.8631319616434894</v>
      </c>
      <c r="N48" s="37">
        <f t="shared" si="4"/>
        <v>2.2357583539721873</v>
      </c>
    </row>
    <row r="49" spans="1:14" x14ac:dyDescent="0.25">
      <c r="A49" s="77">
        <f t="shared" si="5"/>
        <v>1.8826869817481195</v>
      </c>
      <c r="B49" s="39">
        <f t="shared" si="0"/>
        <v>44</v>
      </c>
      <c r="C49" s="40" t="s">
        <v>50</v>
      </c>
      <c r="D49" s="40"/>
      <c r="E49" s="40"/>
      <c r="F49" s="40" t="s">
        <v>128</v>
      </c>
      <c r="G49" s="13"/>
      <c r="H49" s="41">
        <v>44</v>
      </c>
      <c r="I49" s="42">
        <f t="shared" si="1"/>
        <v>1.568905818123433</v>
      </c>
      <c r="J49" s="41">
        <f t="shared" si="6"/>
        <v>0</v>
      </c>
      <c r="K49" s="41">
        <f t="shared" si="2"/>
        <v>0</v>
      </c>
      <c r="L49" s="41"/>
      <c r="M49" s="43">
        <f t="shared" si="3"/>
        <v>1.568905818123433</v>
      </c>
      <c r="N49" s="43">
        <f t="shared" si="4"/>
        <v>1.8826869817481195</v>
      </c>
    </row>
    <row r="50" spans="1:14" x14ac:dyDescent="0.25">
      <c r="A50" s="76">
        <f t="shared" si="5"/>
        <v>1.5375504731911178</v>
      </c>
      <c r="B50" s="33">
        <f t="shared" si="0"/>
        <v>45</v>
      </c>
      <c r="C50" s="34" t="s">
        <v>50</v>
      </c>
      <c r="D50" s="34"/>
      <c r="E50" s="34"/>
      <c r="F50" s="34" t="s">
        <v>128</v>
      </c>
      <c r="G50" s="13"/>
      <c r="H50" s="35">
        <v>45</v>
      </c>
      <c r="I50" s="36">
        <f t="shared" si="1"/>
        <v>1.2812920609925982</v>
      </c>
      <c r="J50" s="35">
        <f t="shared" si="6"/>
        <v>0</v>
      </c>
      <c r="K50" s="35">
        <f t="shared" si="2"/>
        <v>0</v>
      </c>
      <c r="L50" s="35"/>
      <c r="M50" s="37">
        <f t="shared" si="3"/>
        <v>1.2812920609925982</v>
      </c>
      <c r="N50" s="37">
        <f t="shared" si="4"/>
        <v>1.5375504731911178</v>
      </c>
    </row>
    <row r="51" spans="1:14" x14ac:dyDescent="0.25">
      <c r="A51" s="77">
        <f t="shared" si="5"/>
        <v>1.2</v>
      </c>
      <c r="B51" s="39">
        <f t="shared" si="0"/>
        <v>46</v>
      </c>
      <c r="C51" s="40" t="s">
        <v>50</v>
      </c>
      <c r="D51" s="40"/>
      <c r="E51" s="40"/>
      <c r="F51" s="40" t="s">
        <v>128</v>
      </c>
      <c r="G51" s="13"/>
      <c r="H51" s="41">
        <v>46</v>
      </c>
      <c r="I51" s="42">
        <f t="shared" si="1"/>
        <v>1</v>
      </c>
      <c r="J51" s="41">
        <f t="shared" si="6"/>
        <v>0</v>
      </c>
      <c r="K51" s="41">
        <f t="shared" si="2"/>
        <v>0</v>
      </c>
      <c r="L51" s="41"/>
      <c r="M51" s="43">
        <f t="shared" si="3"/>
        <v>1</v>
      </c>
      <c r="N51" s="43">
        <f t="shared" si="4"/>
        <v>1.2</v>
      </c>
    </row>
    <row r="52" spans="1:14" x14ac:dyDescent="0.25">
      <c r="A52" s="76">
        <f t="shared" si="5"/>
        <v>0</v>
      </c>
      <c r="B52" s="33" t="str">
        <f t="shared" si="0"/>
        <v/>
      </c>
      <c r="C52" s="34"/>
      <c r="D52" s="34"/>
      <c r="E52" s="34"/>
      <c r="F52" s="34" t="s">
        <v>128</v>
      </c>
      <c r="G52" s="13"/>
      <c r="H52" s="35">
        <v>47</v>
      </c>
      <c r="I52" s="36" t="str">
        <f t="shared" si="1"/>
        <v/>
      </c>
      <c r="J52" s="35">
        <f t="shared" si="6"/>
        <v>0</v>
      </c>
      <c r="K52" s="35">
        <f t="shared" si="2"/>
        <v>0</v>
      </c>
      <c r="L52" s="35"/>
      <c r="M52" s="37">
        <f t="shared" si="3"/>
        <v>0</v>
      </c>
      <c r="N52" s="37">
        <f t="shared" si="4"/>
        <v>0</v>
      </c>
    </row>
    <row r="53" spans="1:14" x14ac:dyDescent="0.25">
      <c r="A53" s="77">
        <f t="shared" si="5"/>
        <v>0</v>
      </c>
      <c r="B53" s="39" t="str">
        <f t="shared" si="0"/>
        <v/>
      </c>
      <c r="C53" s="40"/>
      <c r="D53" s="40"/>
      <c r="E53" s="40"/>
      <c r="F53" s="40" t="s">
        <v>128</v>
      </c>
      <c r="G53" s="13"/>
      <c r="H53" s="41">
        <v>48</v>
      </c>
      <c r="I53" s="42" t="str">
        <f t="shared" si="1"/>
        <v/>
      </c>
      <c r="J53" s="41">
        <f t="shared" si="6"/>
        <v>0</v>
      </c>
      <c r="K53" s="41">
        <f t="shared" si="2"/>
        <v>0</v>
      </c>
      <c r="L53" s="41"/>
      <c r="M53" s="43">
        <f t="shared" si="3"/>
        <v>0</v>
      </c>
      <c r="N53" s="43">
        <f t="shared" si="4"/>
        <v>0</v>
      </c>
    </row>
    <row r="54" spans="1:14" x14ac:dyDescent="0.25">
      <c r="A54" s="76">
        <f t="shared" si="5"/>
        <v>0</v>
      </c>
      <c r="B54" s="33" t="str">
        <f t="shared" si="0"/>
        <v/>
      </c>
      <c r="C54" s="34"/>
      <c r="D54" s="34"/>
      <c r="E54" s="34"/>
      <c r="F54" s="34" t="s">
        <v>128</v>
      </c>
      <c r="G54" s="13"/>
      <c r="H54" s="35">
        <v>49</v>
      </c>
      <c r="I54" s="36" t="str">
        <f t="shared" si="1"/>
        <v/>
      </c>
      <c r="J54" s="35">
        <f t="shared" si="6"/>
        <v>0</v>
      </c>
      <c r="K54" s="35">
        <f t="shared" si="2"/>
        <v>0</v>
      </c>
      <c r="L54" s="35"/>
      <c r="M54" s="37">
        <f t="shared" si="3"/>
        <v>0</v>
      </c>
      <c r="N54" s="37">
        <f t="shared" si="4"/>
        <v>0</v>
      </c>
    </row>
    <row r="55" spans="1:14" x14ac:dyDescent="0.25">
      <c r="A55" s="77">
        <f t="shared" si="5"/>
        <v>0</v>
      </c>
      <c r="B55" s="39" t="str">
        <f t="shared" si="0"/>
        <v/>
      </c>
      <c r="C55" s="40"/>
      <c r="D55" s="40"/>
      <c r="E55" s="40"/>
      <c r="F55" s="40" t="s">
        <v>128</v>
      </c>
      <c r="G55" s="13"/>
      <c r="H55" s="41">
        <v>50</v>
      </c>
      <c r="I55" s="42" t="str">
        <f t="shared" si="1"/>
        <v/>
      </c>
      <c r="J55" s="41">
        <f t="shared" si="6"/>
        <v>0</v>
      </c>
      <c r="K55" s="41">
        <f t="shared" si="2"/>
        <v>0</v>
      </c>
      <c r="L55" s="41"/>
      <c r="M55" s="43">
        <f t="shared" si="3"/>
        <v>0</v>
      </c>
      <c r="N55" s="43">
        <f t="shared" si="4"/>
        <v>0</v>
      </c>
    </row>
    <row r="56" spans="1:14" x14ac:dyDescent="0.25">
      <c r="A56" s="76">
        <f t="shared" si="5"/>
        <v>0</v>
      </c>
      <c r="B56" s="33" t="str">
        <f t="shared" si="0"/>
        <v/>
      </c>
      <c r="C56" s="34"/>
      <c r="D56" s="34"/>
      <c r="E56" s="34"/>
      <c r="F56" s="34" t="s">
        <v>128</v>
      </c>
      <c r="G56" s="13"/>
      <c r="H56" s="35">
        <v>51</v>
      </c>
      <c r="I56" s="36" t="str">
        <f t="shared" si="1"/>
        <v/>
      </c>
      <c r="J56" s="35">
        <f t="shared" si="6"/>
        <v>0</v>
      </c>
      <c r="K56" s="35">
        <f t="shared" si="2"/>
        <v>0</v>
      </c>
      <c r="L56" s="35"/>
      <c r="M56" s="37">
        <f t="shared" si="3"/>
        <v>0</v>
      </c>
      <c r="N56" s="37">
        <f t="shared" si="4"/>
        <v>0</v>
      </c>
    </row>
    <row r="57" spans="1:14" x14ac:dyDescent="0.25">
      <c r="A57" s="77">
        <f t="shared" si="5"/>
        <v>0</v>
      </c>
      <c r="B57" s="39" t="str">
        <f t="shared" si="0"/>
        <v/>
      </c>
      <c r="C57" s="40"/>
      <c r="D57" s="40"/>
      <c r="E57" s="40"/>
      <c r="F57" s="40" t="s">
        <v>128</v>
      </c>
      <c r="G57" s="13"/>
      <c r="H57" s="41">
        <v>52</v>
      </c>
      <c r="I57" s="42" t="str">
        <f t="shared" si="1"/>
        <v/>
      </c>
      <c r="J57" s="41">
        <f t="shared" si="6"/>
        <v>0</v>
      </c>
      <c r="K57" s="41">
        <f t="shared" si="2"/>
        <v>0</v>
      </c>
      <c r="L57" s="41"/>
      <c r="M57" s="43">
        <f t="shared" si="3"/>
        <v>0</v>
      </c>
      <c r="N57" s="43">
        <f t="shared" si="4"/>
        <v>0</v>
      </c>
    </row>
    <row r="58" spans="1:14" x14ac:dyDescent="0.25">
      <c r="A58" s="76">
        <f t="shared" si="5"/>
        <v>0</v>
      </c>
      <c r="B58" s="33" t="str">
        <f t="shared" si="0"/>
        <v/>
      </c>
      <c r="C58" s="34"/>
      <c r="D58" s="34"/>
      <c r="E58" s="34"/>
      <c r="F58" s="34" t="s">
        <v>128</v>
      </c>
      <c r="G58" s="13"/>
      <c r="H58" s="35">
        <v>53</v>
      </c>
      <c r="I58" s="36" t="str">
        <f t="shared" si="1"/>
        <v/>
      </c>
      <c r="J58" s="35">
        <f t="shared" si="6"/>
        <v>0</v>
      </c>
      <c r="K58" s="35">
        <f t="shared" si="2"/>
        <v>0</v>
      </c>
      <c r="L58" s="35"/>
      <c r="M58" s="37">
        <f t="shared" si="3"/>
        <v>0</v>
      </c>
      <c r="N58" s="37">
        <f t="shared" si="4"/>
        <v>0</v>
      </c>
    </row>
    <row r="59" spans="1:14" x14ac:dyDescent="0.25">
      <c r="A59" s="77">
        <f t="shared" si="5"/>
        <v>0</v>
      </c>
      <c r="B59" s="39" t="str">
        <f t="shared" si="0"/>
        <v/>
      </c>
      <c r="C59" s="40"/>
      <c r="D59" s="40"/>
      <c r="E59" s="40"/>
      <c r="F59" s="40" t="s">
        <v>128</v>
      </c>
      <c r="G59" s="13"/>
      <c r="H59" s="41">
        <v>54</v>
      </c>
      <c r="I59" s="42" t="str">
        <f t="shared" si="1"/>
        <v/>
      </c>
      <c r="J59" s="41">
        <f t="shared" si="6"/>
        <v>0</v>
      </c>
      <c r="K59" s="41">
        <f t="shared" si="2"/>
        <v>0</v>
      </c>
      <c r="L59" s="41"/>
      <c r="M59" s="43">
        <f t="shared" si="3"/>
        <v>0</v>
      </c>
      <c r="N59" s="43">
        <f t="shared" si="4"/>
        <v>0</v>
      </c>
    </row>
    <row r="60" spans="1:14" x14ac:dyDescent="0.25">
      <c r="A60" s="76">
        <f t="shared" si="5"/>
        <v>0</v>
      </c>
      <c r="B60" s="33" t="str">
        <f t="shared" si="0"/>
        <v/>
      </c>
      <c r="C60" s="34"/>
      <c r="D60" s="34"/>
      <c r="E60" s="34"/>
      <c r="F60" s="34" t="s">
        <v>128</v>
      </c>
      <c r="G60" s="13"/>
      <c r="H60" s="35">
        <v>55</v>
      </c>
      <c r="I60" s="36" t="str">
        <f t="shared" si="1"/>
        <v/>
      </c>
      <c r="J60" s="35">
        <f t="shared" si="6"/>
        <v>0</v>
      </c>
      <c r="K60" s="35">
        <f t="shared" si="2"/>
        <v>0</v>
      </c>
      <c r="L60" s="35"/>
      <c r="M60" s="37">
        <f t="shared" si="3"/>
        <v>0</v>
      </c>
      <c r="N60" s="37">
        <f t="shared" si="4"/>
        <v>0</v>
      </c>
    </row>
    <row r="61" spans="1:14" x14ac:dyDescent="0.25">
      <c r="A61" s="77">
        <f t="shared" si="5"/>
        <v>0</v>
      </c>
      <c r="B61" s="39" t="str">
        <f t="shared" si="0"/>
        <v/>
      </c>
      <c r="C61" s="40"/>
      <c r="D61" s="40"/>
      <c r="E61" s="40"/>
      <c r="F61" s="40" t="s">
        <v>128</v>
      </c>
      <c r="G61" s="13"/>
      <c r="H61" s="41">
        <v>56</v>
      </c>
      <c r="I61" s="42" t="str">
        <f t="shared" si="1"/>
        <v/>
      </c>
      <c r="J61" s="41">
        <f t="shared" si="6"/>
        <v>0</v>
      </c>
      <c r="K61" s="41">
        <f t="shared" si="2"/>
        <v>0</v>
      </c>
      <c r="L61" s="41"/>
      <c r="M61" s="43">
        <f t="shared" si="3"/>
        <v>0</v>
      </c>
      <c r="N61" s="43">
        <f t="shared" si="4"/>
        <v>0</v>
      </c>
    </row>
    <row r="62" spans="1:14" x14ac:dyDescent="0.25">
      <c r="A62" s="76">
        <f t="shared" si="5"/>
        <v>0</v>
      </c>
      <c r="B62" s="33" t="str">
        <f t="shared" si="0"/>
        <v/>
      </c>
      <c r="C62" s="34"/>
      <c r="D62" s="34"/>
      <c r="E62" s="34"/>
      <c r="F62" s="34" t="s">
        <v>128</v>
      </c>
      <c r="G62" s="13"/>
      <c r="H62" s="35">
        <v>57</v>
      </c>
      <c r="I62" s="36" t="str">
        <f t="shared" si="1"/>
        <v/>
      </c>
      <c r="J62" s="35">
        <f t="shared" si="6"/>
        <v>0</v>
      </c>
      <c r="K62" s="35">
        <f t="shared" si="2"/>
        <v>0</v>
      </c>
      <c r="L62" s="35"/>
      <c r="M62" s="37">
        <f t="shared" si="3"/>
        <v>0</v>
      </c>
      <c r="N62" s="37">
        <f t="shared" si="4"/>
        <v>0</v>
      </c>
    </row>
    <row r="63" spans="1:14" x14ac:dyDescent="0.25">
      <c r="A63" s="77">
        <f t="shared" si="5"/>
        <v>0</v>
      </c>
      <c r="B63" s="39" t="str">
        <f t="shared" si="0"/>
        <v/>
      </c>
      <c r="C63" s="183"/>
      <c r="D63" s="40"/>
      <c r="E63" s="40"/>
      <c r="F63" s="40" t="s">
        <v>128</v>
      </c>
      <c r="G63" s="13"/>
      <c r="H63" s="41">
        <v>58</v>
      </c>
      <c r="I63" s="42" t="str">
        <f t="shared" si="1"/>
        <v/>
      </c>
      <c r="J63" s="41">
        <f t="shared" si="6"/>
        <v>0</v>
      </c>
      <c r="K63" s="41">
        <f t="shared" si="2"/>
        <v>0</v>
      </c>
      <c r="L63" s="41"/>
      <c r="M63" s="43">
        <f t="shared" si="3"/>
        <v>0</v>
      </c>
      <c r="N63" s="43">
        <f t="shared" si="4"/>
        <v>0</v>
      </c>
    </row>
    <row r="64" spans="1:14" x14ac:dyDescent="0.25">
      <c r="A64" s="76">
        <f t="shared" si="5"/>
        <v>0</v>
      </c>
      <c r="B64" s="33" t="str">
        <f t="shared" si="0"/>
        <v/>
      </c>
      <c r="C64" s="34"/>
      <c r="D64" s="34"/>
      <c r="E64" s="34"/>
      <c r="F64" s="34" t="s">
        <v>128</v>
      </c>
      <c r="G64" s="13"/>
      <c r="H64" s="35">
        <v>59</v>
      </c>
      <c r="I64" s="36" t="str">
        <f t="shared" si="1"/>
        <v/>
      </c>
      <c r="J64" s="35">
        <f t="shared" si="6"/>
        <v>0</v>
      </c>
      <c r="K64" s="35">
        <f t="shared" si="2"/>
        <v>0</v>
      </c>
      <c r="L64" s="35"/>
      <c r="M64" s="37">
        <f t="shared" si="3"/>
        <v>0</v>
      </c>
      <c r="N64" s="37">
        <f t="shared" si="4"/>
        <v>0</v>
      </c>
    </row>
    <row r="65" spans="1:14" x14ac:dyDescent="0.25">
      <c r="A65" s="77">
        <f t="shared" si="5"/>
        <v>0</v>
      </c>
      <c r="B65" s="39" t="str">
        <f t="shared" si="0"/>
        <v/>
      </c>
      <c r="C65" s="40"/>
      <c r="D65" s="40"/>
      <c r="E65" s="40"/>
      <c r="F65" s="40" t="s">
        <v>128</v>
      </c>
      <c r="G65" s="13"/>
      <c r="H65" s="41">
        <v>60</v>
      </c>
      <c r="I65" s="42" t="str">
        <f t="shared" si="1"/>
        <v/>
      </c>
      <c r="J65" s="41">
        <f t="shared" si="6"/>
        <v>0</v>
      </c>
      <c r="K65" s="41">
        <f t="shared" si="2"/>
        <v>0</v>
      </c>
      <c r="L65" s="41"/>
      <c r="M65" s="43">
        <f t="shared" si="3"/>
        <v>0</v>
      </c>
      <c r="N65" s="43">
        <f t="shared" si="4"/>
        <v>0</v>
      </c>
    </row>
    <row r="66" spans="1:14" x14ac:dyDescent="0.25">
      <c r="A66" s="76">
        <f t="shared" si="5"/>
        <v>0</v>
      </c>
      <c r="B66" s="33" t="str">
        <f t="shared" si="0"/>
        <v/>
      </c>
      <c r="F66" s="57" t="s">
        <v>128</v>
      </c>
      <c r="G66" s="13"/>
      <c r="H66" s="35">
        <v>61</v>
      </c>
      <c r="I66" s="36" t="str">
        <f t="shared" si="1"/>
        <v/>
      </c>
      <c r="J66" s="35">
        <f t="shared" si="6"/>
        <v>0</v>
      </c>
      <c r="K66" s="35">
        <f t="shared" si="2"/>
        <v>0</v>
      </c>
      <c r="L66" s="35"/>
      <c r="M66" s="37">
        <f t="shared" si="3"/>
        <v>0</v>
      </c>
      <c r="N66" s="37">
        <f t="shared" si="4"/>
        <v>0</v>
      </c>
    </row>
    <row r="67" spans="1:14" x14ac:dyDescent="0.25">
      <c r="A67" s="77">
        <f t="shared" si="5"/>
        <v>0</v>
      </c>
      <c r="B67" s="39" t="str">
        <f t="shared" si="0"/>
        <v/>
      </c>
      <c r="C67" s="40"/>
      <c r="D67" s="40"/>
      <c r="E67" s="40"/>
      <c r="F67" s="40" t="s">
        <v>128</v>
      </c>
      <c r="G67" s="13"/>
      <c r="H67" s="41">
        <v>62</v>
      </c>
      <c r="I67" s="42" t="str">
        <f t="shared" si="1"/>
        <v/>
      </c>
      <c r="J67" s="41">
        <f t="shared" si="6"/>
        <v>0</v>
      </c>
      <c r="K67" s="41">
        <f t="shared" si="2"/>
        <v>0</v>
      </c>
      <c r="L67" s="41"/>
      <c r="M67" s="43">
        <f t="shared" si="3"/>
        <v>0</v>
      </c>
      <c r="N67" s="43">
        <f t="shared" si="4"/>
        <v>0</v>
      </c>
    </row>
    <row r="68" spans="1:14" x14ac:dyDescent="0.25">
      <c r="A68" s="76">
        <f t="shared" si="5"/>
        <v>0</v>
      </c>
      <c r="B68" s="33" t="str">
        <f t="shared" si="0"/>
        <v/>
      </c>
      <c r="F68" s="57" t="s">
        <v>128</v>
      </c>
      <c r="G68" s="13"/>
      <c r="H68" s="35">
        <v>63</v>
      </c>
      <c r="I68" s="36" t="str">
        <f t="shared" si="1"/>
        <v/>
      </c>
      <c r="J68" s="35">
        <f t="shared" si="6"/>
        <v>0</v>
      </c>
      <c r="K68" s="35">
        <f t="shared" si="2"/>
        <v>0</v>
      </c>
      <c r="L68" s="35"/>
      <c r="M68" s="37">
        <f t="shared" si="3"/>
        <v>0</v>
      </c>
      <c r="N68" s="37">
        <f t="shared" si="4"/>
        <v>0</v>
      </c>
    </row>
    <row r="69" spans="1:14" x14ac:dyDescent="0.25">
      <c r="A69" s="77">
        <f t="shared" si="5"/>
        <v>0</v>
      </c>
      <c r="B69" s="39" t="str">
        <f t="shared" si="0"/>
        <v/>
      </c>
      <c r="C69" s="40"/>
      <c r="D69" s="40"/>
      <c r="E69" s="40"/>
      <c r="F69" s="40" t="s">
        <v>128</v>
      </c>
      <c r="G69" s="13"/>
      <c r="H69" s="41">
        <v>64</v>
      </c>
      <c r="I69" s="42" t="str">
        <f t="shared" si="1"/>
        <v/>
      </c>
      <c r="J69" s="41">
        <f t="shared" si="6"/>
        <v>0</v>
      </c>
      <c r="K69" s="41">
        <f t="shared" si="2"/>
        <v>0</v>
      </c>
      <c r="L69" s="41"/>
      <c r="M69" s="43">
        <f t="shared" si="3"/>
        <v>0</v>
      </c>
      <c r="N69" s="43">
        <f t="shared" si="4"/>
        <v>0</v>
      </c>
    </row>
    <row r="70" spans="1:14" x14ac:dyDescent="0.25">
      <c r="A70" s="76">
        <f t="shared" si="5"/>
        <v>0</v>
      </c>
      <c r="B70" s="33" t="str">
        <f t="shared" ref="B70:B133" si="8">IF(H70&gt;$H$2,"",(ROW()-5))</f>
        <v/>
      </c>
      <c r="F70" s="57" t="s">
        <v>128</v>
      </c>
      <c r="G70" s="13"/>
      <c r="H70" s="35">
        <v>65</v>
      </c>
      <c r="I70" s="36" t="str">
        <f t="shared" ref="I70:I133" si="9">IF(H70&lt;$H$2+1,($I$2-($I$2-1)*(LOG(H70)/LOG($H$2))),"")</f>
        <v/>
      </c>
      <c r="J70" s="35">
        <f t="shared" si="6"/>
        <v>-1</v>
      </c>
      <c r="K70" s="35">
        <f t="shared" ref="K70:K133" si="10">J70*$J$2</f>
        <v>-10</v>
      </c>
      <c r="L70" s="35"/>
      <c r="M70" s="37">
        <f t="shared" ref="M70:M133" si="11">IF(I70&lt;&gt;"",K70+I70+L70,0)</f>
        <v>0</v>
      </c>
      <c r="N70" s="37">
        <f t="shared" ref="N70:N133" si="12">IF(I70&lt;&gt;"",M70*L$2,0)</f>
        <v>0</v>
      </c>
    </row>
    <row r="71" spans="1:14" x14ac:dyDescent="0.25">
      <c r="A71" s="77">
        <f t="shared" ref="A71:A134" si="13">N71</f>
        <v>0</v>
      </c>
      <c r="B71" s="39" t="str">
        <f t="shared" si="8"/>
        <v/>
      </c>
      <c r="C71" s="40"/>
      <c r="D71" s="40"/>
      <c r="E71" s="40"/>
      <c r="F71" s="40" t="s">
        <v>128</v>
      </c>
      <c r="G71" s="13"/>
      <c r="H71" s="41">
        <v>66</v>
      </c>
      <c r="I71" s="42" t="str">
        <f t="shared" si="9"/>
        <v/>
      </c>
      <c r="J71" s="41">
        <f t="shared" ref="J71:J134" si="14">INT(LOG($H$2,2))-ROUNDUP(LOG(H71,2),0)+IF(OR($H$2=1,$H$2=2,$H$2=4,$H$2=8,$H$2=16,$H$2=32,$H$2=64,$H$2=128,$H$2=256),0,1)</f>
        <v>-1</v>
      </c>
      <c r="K71" s="41">
        <f t="shared" si="10"/>
        <v>-10</v>
      </c>
      <c r="L71" s="41"/>
      <c r="M71" s="43">
        <f t="shared" si="11"/>
        <v>0</v>
      </c>
      <c r="N71" s="43">
        <f t="shared" si="12"/>
        <v>0</v>
      </c>
    </row>
    <row r="72" spans="1:14" x14ac:dyDescent="0.25">
      <c r="A72" s="76">
        <f t="shared" si="13"/>
        <v>0</v>
      </c>
      <c r="B72" s="33" t="str">
        <f t="shared" si="8"/>
        <v/>
      </c>
      <c r="F72" s="57" t="s">
        <v>128</v>
      </c>
      <c r="G72" s="13"/>
      <c r="H72" s="35">
        <v>67</v>
      </c>
      <c r="I72" s="36" t="str">
        <f t="shared" si="9"/>
        <v/>
      </c>
      <c r="J72" s="35">
        <f t="shared" si="14"/>
        <v>-1</v>
      </c>
      <c r="K72" s="35">
        <f t="shared" si="10"/>
        <v>-10</v>
      </c>
      <c r="L72" s="35"/>
      <c r="M72" s="37">
        <f t="shared" si="11"/>
        <v>0</v>
      </c>
      <c r="N72" s="37">
        <f t="shared" si="12"/>
        <v>0</v>
      </c>
    </row>
    <row r="73" spans="1:14" x14ac:dyDescent="0.25">
      <c r="A73" s="77">
        <f t="shared" si="13"/>
        <v>0</v>
      </c>
      <c r="B73" s="39" t="str">
        <f t="shared" si="8"/>
        <v/>
      </c>
      <c r="C73" s="40"/>
      <c r="D73" s="40"/>
      <c r="E73" s="40"/>
      <c r="F73" s="40" t="s">
        <v>128</v>
      </c>
      <c r="G73" s="13"/>
      <c r="H73" s="41">
        <v>68</v>
      </c>
      <c r="I73" s="42" t="str">
        <f t="shared" si="9"/>
        <v/>
      </c>
      <c r="J73" s="41">
        <f t="shared" si="14"/>
        <v>-1</v>
      </c>
      <c r="K73" s="41">
        <f t="shared" si="10"/>
        <v>-10</v>
      </c>
      <c r="L73" s="41"/>
      <c r="M73" s="43">
        <f t="shared" si="11"/>
        <v>0</v>
      </c>
      <c r="N73" s="43">
        <f t="shared" si="12"/>
        <v>0</v>
      </c>
    </row>
    <row r="74" spans="1:14" x14ac:dyDescent="0.25">
      <c r="A74" s="76">
        <f t="shared" si="13"/>
        <v>0</v>
      </c>
      <c r="B74" s="33" t="str">
        <f t="shared" si="8"/>
        <v/>
      </c>
      <c r="F74" s="57" t="s">
        <v>128</v>
      </c>
      <c r="G74" s="13"/>
      <c r="H74" s="35">
        <v>69</v>
      </c>
      <c r="I74" s="36" t="str">
        <f t="shared" si="9"/>
        <v/>
      </c>
      <c r="J74" s="35">
        <f t="shared" si="14"/>
        <v>-1</v>
      </c>
      <c r="K74" s="35">
        <f t="shared" si="10"/>
        <v>-10</v>
      </c>
      <c r="L74" s="35"/>
      <c r="M74" s="37">
        <f t="shared" si="11"/>
        <v>0</v>
      </c>
      <c r="N74" s="37">
        <f t="shared" si="12"/>
        <v>0</v>
      </c>
    </row>
    <row r="75" spans="1:14" x14ac:dyDescent="0.25">
      <c r="A75" s="77">
        <f t="shared" si="13"/>
        <v>0</v>
      </c>
      <c r="B75" s="39" t="str">
        <f t="shared" si="8"/>
        <v/>
      </c>
      <c r="C75" s="40"/>
      <c r="D75" s="40"/>
      <c r="E75" s="40"/>
      <c r="F75" s="40" t="s">
        <v>128</v>
      </c>
      <c r="G75" s="13"/>
      <c r="H75" s="41">
        <v>70</v>
      </c>
      <c r="I75" s="42" t="str">
        <f t="shared" si="9"/>
        <v/>
      </c>
      <c r="J75" s="41">
        <f t="shared" si="14"/>
        <v>-1</v>
      </c>
      <c r="K75" s="41">
        <f t="shared" si="10"/>
        <v>-10</v>
      </c>
      <c r="L75" s="41"/>
      <c r="M75" s="43">
        <f t="shared" si="11"/>
        <v>0</v>
      </c>
      <c r="N75" s="43">
        <f t="shared" si="12"/>
        <v>0</v>
      </c>
    </row>
    <row r="76" spans="1:14" x14ac:dyDescent="0.25">
      <c r="A76" s="76">
        <f t="shared" si="13"/>
        <v>0</v>
      </c>
      <c r="B76" s="33" t="str">
        <f t="shared" si="8"/>
        <v/>
      </c>
      <c r="F76" s="57" t="s">
        <v>128</v>
      </c>
      <c r="G76" s="13"/>
      <c r="H76" s="35">
        <v>71</v>
      </c>
      <c r="I76" s="36" t="str">
        <f t="shared" si="9"/>
        <v/>
      </c>
      <c r="J76" s="35">
        <f t="shared" si="14"/>
        <v>-1</v>
      </c>
      <c r="K76" s="35">
        <f t="shared" si="10"/>
        <v>-10</v>
      </c>
      <c r="L76" s="35"/>
      <c r="M76" s="37">
        <f t="shared" si="11"/>
        <v>0</v>
      </c>
      <c r="N76" s="37">
        <f t="shared" si="12"/>
        <v>0</v>
      </c>
    </row>
    <row r="77" spans="1:14" x14ac:dyDescent="0.25">
      <c r="A77" s="77">
        <f t="shared" si="13"/>
        <v>0</v>
      </c>
      <c r="B77" s="39" t="str">
        <f t="shared" si="8"/>
        <v/>
      </c>
      <c r="C77" s="40"/>
      <c r="D77" s="40"/>
      <c r="E77" s="40"/>
      <c r="F77" s="40" t="s">
        <v>128</v>
      </c>
      <c r="G77" s="13"/>
      <c r="H77" s="41">
        <v>72</v>
      </c>
      <c r="I77" s="42" t="str">
        <f t="shared" si="9"/>
        <v/>
      </c>
      <c r="J77" s="41">
        <f t="shared" si="14"/>
        <v>-1</v>
      </c>
      <c r="K77" s="41">
        <f t="shared" si="10"/>
        <v>-10</v>
      </c>
      <c r="L77" s="41"/>
      <c r="M77" s="43">
        <f t="shared" si="11"/>
        <v>0</v>
      </c>
      <c r="N77" s="43">
        <f t="shared" si="12"/>
        <v>0</v>
      </c>
    </row>
    <row r="78" spans="1:14" x14ac:dyDescent="0.25">
      <c r="A78" s="76">
        <f t="shared" si="13"/>
        <v>0</v>
      </c>
      <c r="B78" s="33" t="str">
        <f t="shared" si="8"/>
        <v/>
      </c>
      <c r="F78" s="57" t="s">
        <v>128</v>
      </c>
      <c r="G78" s="13"/>
      <c r="H78" s="35">
        <v>73</v>
      </c>
      <c r="I78" s="36" t="str">
        <f t="shared" si="9"/>
        <v/>
      </c>
      <c r="J78" s="35">
        <f t="shared" si="14"/>
        <v>-1</v>
      </c>
      <c r="K78" s="35">
        <f t="shared" si="10"/>
        <v>-10</v>
      </c>
      <c r="L78" s="35"/>
      <c r="M78" s="37">
        <f t="shared" si="11"/>
        <v>0</v>
      </c>
      <c r="N78" s="37">
        <f t="shared" si="12"/>
        <v>0</v>
      </c>
    </row>
    <row r="79" spans="1:14" x14ac:dyDescent="0.25">
      <c r="A79" s="77">
        <f t="shared" si="13"/>
        <v>0</v>
      </c>
      <c r="B79" s="39" t="str">
        <f t="shared" si="8"/>
        <v/>
      </c>
      <c r="C79" s="40"/>
      <c r="D79" s="40"/>
      <c r="E79" s="40"/>
      <c r="F79" s="40" t="s">
        <v>128</v>
      </c>
      <c r="G79" s="13"/>
      <c r="H79" s="41">
        <v>74</v>
      </c>
      <c r="I79" s="42" t="str">
        <f t="shared" si="9"/>
        <v/>
      </c>
      <c r="J79" s="41">
        <f t="shared" si="14"/>
        <v>-1</v>
      </c>
      <c r="K79" s="41">
        <f t="shared" si="10"/>
        <v>-10</v>
      </c>
      <c r="L79" s="41"/>
      <c r="M79" s="43">
        <f t="shared" si="11"/>
        <v>0</v>
      </c>
      <c r="N79" s="43">
        <f t="shared" si="12"/>
        <v>0</v>
      </c>
    </row>
    <row r="80" spans="1:14" x14ac:dyDescent="0.25">
      <c r="A80" s="76">
        <f t="shared" si="13"/>
        <v>0</v>
      </c>
      <c r="B80" s="33" t="str">
        <f t="shared" si="8"/>
        <v/>
      </c>
      <c r="F80" s="57" t="s">
        <v>128</v>
      </c>
      <c r="G80" s="13"/>
      <c r="H80" s="35">
        <v>75</v>
      </c>
      <c r="I80" s="36" t="str">
        <f t="shared" si="9"/>
        <v/>
      </c>
      <c r="J80" s="35">
        <f t="shared" si="14"/>
        <v>-1</v>
      </c>
      <c r="K80" s="35">
        <f t="shared" si="10"/>
        <v>-10</v>
      </c>
      <c r="L80" s="35"/>
      <c r="M80" s="37">
        <f t="shared" si="11"/>
        <v>0</v>
      </c>
      <c r="N80" s="37">
        <f t="shared" si="12"/>
        <v>0</v>
      </c>
    </row>
    <row r="81" spans="1:14" x14ac:dyDescent="0.25">
      <c r="A81" s="77">
        <f t="shared" si="13"/>
        <v>0</v>
      </c>
      <c r="B81" s="39" t="str">
        <f t="shared" si="8"/>
        <v/>
      </c>
      <c r="C81" s="40"/>
      <c r="D81" s="40"/>
      <c r="E81" s="40"/>
      <c r="F81" s="40" t="s">
        <v>128</v>
      </c>
      <c r="G81" s="13"/>
      <c r="H81" s="41">
        <v>76</v>
      </c>
      <c r="I81" s="42" t="str">
        <f t="shared" si="9"/>
        <v/>
      </c>
      <c r="J81" s="41">
        <f t="shared" si="14"/>
        <v>-1</v>
      </c>
      <c r="K81" s="41">
        <f t="shared" si="10"/>
        <v>-10</v>
      </c>
      <c r="L81" s="41"/>
      <c r="M81" s="43">
        <f t="shared" si="11"/>
        <v>0</v>
      </c>
      <c r="N81" s="43">
        <f t="shared" si="12"/>
        <v>0</v>
      </c>
    </row>
    <row r="82" spans="1:14" x14ac:dyDescent="0.25">
      <c r="A82" s="76">
        <f t="shared" si="13"/>
        <v>0</v>
      </c>
      <c r="B82" s="33" t="str">
        <f t="shared" si="8"/>
        <v/>
      </c>
      <c r="F82" s="57" t="s">
        <v>128</v>
      </c>
      <c r="G82" s="13"/>
      <c r="H82" s="35">
        <v>77</v>
      </c>
      <c r="I82" s="36" t="str">
        <f t="shared" si="9"/>
        <v/>
      </c>
      <c r="J82" s="35">
        <f t="shared" si="14"/>
        <v>-1</v>
      </c>
      <c r="K82" s="35">
        <f t="shared" si="10"/>
        <v>-10</v>
      </c>
      <c r="L82" s="35"/>
      <c r="M82" s="37">
        <f t="shared" si="11"/>
        <v>0</v>
      </c>
      <c r="N82" s="37">
        <f t="shared" si="12"/>
        <v>0</v>
      </c>
    </row>
    <row r="83" spans="1:14" x14ac:dyDescent="0.25">
      <c r="A83" s="77">
        <f t="shared" si="13"/>
        <v>0</v>
      </c>
      <c r="B83" s="39" t="str">
        <f t="shared" si="8"/>
        <v/>
      </c>
      <c r="C83" s="40"/>
      <c r="D83" s="40"/>
      <c r="E83" s="40"/>
      <c r="F83" s="40" t="s">
        <v>128</v>
      </c>
      <c r="G83" s="13"/>
      <c r="H83" s="41">
        <v>78</v>
      </c>
      <c r="I83" s="42" t="str">
        <f t="shared" si="9"/>
        <v/>
      </c>
      <c r="J83" s="41">
        <f t="shared" si="14"/>
        <v>-1</v>
      </c>
      <c r="K83" s="41">
        <f t="shared" si="10"/>
        <v>-10</v>
      </c>
      <c r="L83" s="41"/>
      <c r="M83" s="43">
        <f t="shared" si="11"/>
        <v>0</v>
      </c>
      <c r="N83" s="43">
        <f t="shared" si="12"/>
        <v>0</v>
      </c>
    </row>
    <row r="84" spans="1:14" x14ac:dyDescent="0.25">
      <c r="A84" s="76">
        <f t="shared" si="13"/>
        <v>0</v>
      </c>
      <c r="B84" s="33" t="str">
        <f t="shared" si="8"/>
        <v/>
      </c>
      <c r="F84" s="57" t="s">
        <v>128</v>
      </c>
      <c r="G84" s="13"/>
      <c r="H84" s="35">
        <v>79</v>
      </c>
      <c r="I84" s="36" t="str">
        <f t="shared" si="9"/>
        <v/>
      </c>
      <c r="J84" s="35">
        <f t="shared" si="14"/>
        <v>-1</v>
      </c>
      <c r="K84" s="35">
        <f t="shared" si="10"/>
        <v>-10</v>
      </c>
      <c r="L84" s="35"/>
      <c r="M84" s="37">
        <f t="shared" si="11"/>
        <v>0</v>
      </c>
      <c r="N84" s="37">
        <f t="shared" si="12"/>
        <v>0</v>
      </c>
    </row>
    <row r="85" spans="1:14" x14ac:dyDescent="0.25">
      <c r="A85" s="77">
        <f t="shared" si="13"/>
        <v>0</v>
      </c>
      <c r="B85" s="39" t="str">
        <f t="shared" si="8"/>
        <v/>
      </c>
      <c r="C85" s="40"/>
      <c r="D85" s="40"/>
      <c r="E85" s="40"/>
      <c r="F85" s="40" t="s">
        <v>128</v>
      </c>
      <c r="G85" s="13"/>
      <c r="H85" s="41">
        <v>80</v>
      </c>
      <c r="I85" s="42" t="str">
        <f t="shared" si="9"/>
        <v/>
      </c>
      <c r="J85" s="41">
        <f t="shared" si="14"/>
        <v>-1</v>
      </c>
      <c r="K85" s="41">
        <f t="shared" si="10"/>
        <v>-10</v>
      </c>
      <c r="L85" s="41"/>
      <c r="M85" s="43">
        <f t="shared" si="11"/>
        <v>0</v>
      </c>
      <c r="N85" s="43">
        <f t="shared" si="12"/>
        <v>0</v>
      </c>
    </row>
    <row r="86" spans="1:14" x14ac:dyDescent="0.25">
      <c r="A86" s="76">
        <f t="shared" si="13"/>
        <v>0</v>
      </c>
      <c r="B86" s="33" t="str">
        <f t="shared" si="8"/>
        <v/>
      </c>
      <c r="F86" s="57" t="s">
        <v>128</v>
      </c>
      <c r="G86" s="13"/>
      <c r="H86" s="35">
        <v>81</v>
      </c>
      <c r="I86" s="36" t="str">
        <f t="shared" si="9"/>
        <v/>
      </c>
      <c r="J86" s="35">
        <f t="shared" si="14"/>
        <v>-1</v>
      </c>
      <c r="K86" s="35">
        <f t="shared" si="10"/>
        <v>-10</v>
      </c>
      <c r="L86" s="35"/>
      <c r="M86" s="37">
        <f t="shared" si="11"/>
        <v>0</v>
      </c>
      <c r="N86" s="37">
        <f t="shared" si="12"/>
        <v>0</v>
      </c>
    </row>
    <row r="87" spans="1:14" x14ac:dyDescent="0.25">
      <c r="A87" s="77">
        <f t="shared" si="13"/>
        <v>0</v>
      </c>
      <c r="B87" s="39" t="str">
        <f t="shared" si="8"/>
        <v/>
      </c>
      <c r="C87" s="40"/>
      <c r="D87" s="40"/>
      <c r="E87" s="40"/>
      <c r="F87" s="40" t="s">
        <v>128</v>
      </c>
      <c r="G87" s="13"/>
      <c r="H87" s="41">
        <v>82</v>
      </c>
      <c r="I87" s="42" t="str">
        <f t="shared" si="9"/>
        <v/>
      </c>
      <c r="J87" s="41">
        <f t="shared" si="14"/>
        <v>-1</v>
      </c>
      <c r="K87" s="41">
        <f t="shared" si="10"/>
        <v>-10</v>
      </c>
      <c r="L87" s="41"/>
      <c r="M87" s="43">
        <f t="shared" si="11"/>
        <v>0</v>
      </c>
      <c r="N87" s="43">
        <f t="shared" si="12"/>
        <v>0</v>
      </c>
    </row>
    <row r="88" spans="1:14" x14ac:dyDescent="0.25">
      <c r="A88" s="76">
        <f t="shared" si="13"/>
        <v>0</v>
      </c>
      <c r="B88" s="33" t="str">
        <f t="shared" si="8"/>
        <v/>
      </c>
      <c r="G88" s="13"/>
      <c r="H88" s="35">
        <v>83</v>
      </c>
      <c r="I88" s="36" t="str">
        <f t="shared" si="9"/>
        <v/>
      </c>
      <c r="J88" s="35">
        <f t="shared" si="14"/>
        <v>-1</v>
      </c>
      <c r="K88" s="35">
        <f t="shared" si="10"/>
        <v>-10</v>
      </c>
      <c r="L88" s="35"/>
      <c r="M88" s="37">
        <f t="shared" si="11"/>
        <v>0</v>
      </c>
      <c r="N88" s="37">
        <f t="shared" si="12"/>
        <v>0</v>
      </c>
    </row>
    <row r="89" spans="1:14" x14ac:dyDescent="0.25">
      <c r="A89" s="77">
        <f t="shared" si="13"/>
        <v>0</v>
      </c>
      <c r="B89" s="39" t="str">
        <f t="shared" si="8"/>
        <v/>
      </c>
      <c r="C89" s="40"/>
      <c r="D89" s="40"/>
      <c r="E89" s="40"/>
      <c r="F89" s="40"/>
      <c r="G89" s="13"/>
      <c r="H89" s="41">
        <v>84</v>
      </c>
      <c r="I89" s="42" t="str">
        <f t="shared" si="9"/>
        <v/>
      </c>
      <c r="J89" s="41">
        <f t="shared" si="14"/>
        <v>-1</v>
      </c>
      <c r="K89" s="41">
        <f t="shared" si="10"/>
        <v>-10</v>
      </c>
      <c r="L89" s="41"/>
      <c r="M89" s="43">
        <f t="shared" si="11"/>
        <v>0</v>
      </c>
      <c r="N89" s="43">
        <f t="shared" si="12"/>
        <v>0</v>
      </c>
    </row>
    <row r="90" spans="1:14" x14ac:dyDescent="0.25">
      <c r="A90" s="76">
        <f t="shared" si="13"/>
        <v>0</v>
      </c>
      <c r="B90" s="33" t="str">
        <f t="shared" si="8"/>
        <v/>
      </c>
      <c r="G90" s="13"/>
      <c r="H90" s="35">
        <v>85</v>
      </c>
      <c r="I90" s="36" t="str">
        <f t="shared" si="9"/>
        <v/>
      </c>
      <c r="J90" s="35">
        <f t="shared" si="14"/>
        <v>-1</v>
      </c>
      <c r="K90" s="35">
        <f t="shared" si="10"/>
        <v>-10</v>
      </c>
      <c r="L90" s="35"/>
      <c r="M90" s="37">
        <f t="shared" si="11"/>
        <v>0</v>
      </c>
      <c r="N90" s="37">
        <f t="shared" si="12"/>
        <v>0</v>
      </c>
    </row>
    <row r="91" spans="1:14" x14ac:dyDescent="0.25">
      <c r="A91" s="77">
        <f t="shared" si="13"/>
        <v>0</v>
      </c>
      <c r="B91" s="39" t="str">
        <f t="shared" si="8"/>
        <v/>
      </c>
      <c r="C91" s="40"/>
      <c r="D91" s="40"/>
      <c r="E91" s="40"/>
      <c r="F91" s="40"/>
      <c r="G91" s="13"/>
      <c r="H91" s="41">
        <v>86</v>
      </c>
      <c r="I91" s="42" t="str">
        <f t="shared" si="9"/>
        <v/>
      </c>
      <c r="J91" s="41">
        <f t="shared" si="14"/>
        <v>-1</v>
      </c>
      <c r="K91" s="41">
        <f t="shared" si="10"/>
        <v>-10</v>
      </c>
      <c r="L91" s="41"/>
      <c r="M91" s="43">
        <f t="shared" si="11"/>
        <v>0</v>
      </c>
      <c r="N91" s="43">
        <f t="shared" si="12"/>
        <v>0</v>
      </c>
    </row>
    <row r="92" spans="1:14" x14ac:dyDescent="0.25">
      <c r="A92" s="76">
        <f t="shared" si="13"/>
        <v>0</v>
      </c>
      <c r="B92" s="57" t="str">
        <f t="shared" si="8"/>
        <v/>
      </c>
      <c r="G92" s="13"/>
      <c r="H92" s="35">
        <v>87</v>
      </c>
      <c r="I92" s="36" t="str">
        <f t="shared" si="9"/>
        <v/>
      </c>
      <c r="J92" s="35">
        <f t="shared" si="14"/>
        <v>-1</v>
      </c>
      <c r="K92" s="35">
        <f t="shared" si="10"/>
        <v>-10</v>
      </c>
      <c r="L92" s="35"/>
      <c r="M92" s="37">
        <f t="shared" si="11"/>
        <v>0</v>
      </c>
      <c r="N92" s="37">
        <f t="shared" si="12"/>
        <v>0</v>
      </c>
    </row>
    <row r="93" spans="1:14" x14ac:dyDescent="0.25">
      <c r="A93" s="77">
        <f t="shared" si="13"/>
        <v>0</v>
      </c>
      <c r="B93" s="57" t="str">
        <f t="shared" si="8"/>
        <v/>
      </c>
      <c r="G93" s="13"/>
      <c r="H93" s="35">
        <v>88</v>
      </c>
      <c r="I93" s="36" t="str">
        <f t="shared" si="9"/>
        <v/>
      </c>
      <c r="J93" s="35">
        <f t="shared" si="14"/>
        <v>-1</v>
      </c>
      <c r="K93" s="35">
        <f t="shared" si="10"/>
        <v>-10</v>
      </c>
      <c r="L93" s="35"/>
      <c r="M93" s="37">
        <f t="shared" si="11"/>
        <v>0</v>
      </c>
      <c r="N93" s="37">
        <f t="shared" si="12"/>
        <v>0</v>
      </c>
    </row>
    <row r="94" spans="1:14" x14ac:dyDescent="0.25">
      <c r="A94" s="76">
        <f t="shared" si="13"/>
        <v>0</v>
      </c>
      <c r="B94" s="57" t="str">
        <f t="shared" si="8"/>
        <v/>
      </c>
      <c r="G94" s="13"/>
      <c r="H94" s="35">
        <v>89</v>
      </c>
      <c r="I94" s="36" t="str">
        <f t="shared" si="9"/>
        <v/>
      </c>
      <c r="J94" s="35">
        <f t="shared" si="14"/>
        <v>-1</v>
      </c>
      <c r="K94" s="35">
        <f t="shared" si="10"/>
        <v>-10</v>
      </c>
      <c r="L94" s="35"/>
      <c r="M94" s="37">
        <f t="shared" si="11"/>
        <v>0</v>
      </c>
      <c r="N94" s="37">
        <f t="shared" si="12"/>
        <v>0</v>
      </c>
    </row>
    <row r="95" spans="1:14" x14ac:dyDescent="0.25">
      <c r="A95" s="77">
        <f t="shared" si="13"/>
        <v>0</v>
      </c>
      <c r="B95" s="57" t="str">
        <f t="shared" si="8"/>
        <v/>
      </c>
      <c r="G95" s="13"/>
      <c r="H95" s="35">
        <v>90</v>
      </c>
      <c r="I95" s="36" t="str">
        <f t="shared" si="9"/>
        <v/>
      </c>
      <c r="J95" s="35">
        <f t="shared" si="14"/>
        <v>-1</v>
      </c>
      <c r="K95" s="35">
        <f t="shared" si="10"/>
        <v>-10</v>
      </c>
      <c r="L95" s="35"/>
      <c r="M95" s="37">
        <f t="shared" si="11"/>
        <v>0</v>
      </c>
      <c r="N95" s="37">
        <f t="shared" si="12"/>
        <v>0</v>
      </c>
    </row>
    <row r="96" spans="1:14" x14ac:dyDescent="0.25">
      <c r="A96" s="76">
        <f t="shared" si="13"/>
        <v>0</v>
      </c>
      <c r="B96" s="57" t="str">
        <f t="shared" si="8"/>
        <v/>
      </c>
      <c r="G96" s="13"/>
      <c r="H96" s="35">
        <v>91</v>
      </c>
      <c r="I96" s="36" t="str">
        <f t="shared" si="9"/>
        <v/>
      </c>
      <c r="J96" s="35">
        <f t="shared" si="14"/>
        <v>-1</v>
      </c>
      <c r="K96" s="35">
        <f t="shared" si="10"/>
        <v>-10</v>
      </c>
      <c r="L96" s="35"/>
      <c r="M96" s="37">
        <f t="shared" si="11"/>
        <v>0</v>
      </c>
      <c r="N96" s="37">
        <f t="shared" si="12"/>
        <v>0</v>
      </c>
    </row>
    <row r="97" spans="1:14" x14ac:dyDescent="0.25">
      <c r="A97" s="77">
        <f t="shared" si="13"/>
        <v>0</v>
      </c>
      <c r="B97" s="57" t="str">
        <f t="shared" si="8"/>
        <v/>
      </c>
      <c r="G97" s="13"/>
      <c r="H97" s="35">
        <v>92</v>
      </c>
      <c r="I97" s="36" t="str">
        <f t="shared" si="9"/>
        <v/>
      </c>
      <c r="J97" s="35">
        <f t="shared" si="14"/>
        <v>-1</v>
      </c>
      <c r="K97" s="35">
        <f t="shared" si="10"/>
        <v>-10</v>
      </c>
      <c r="L97" s="35"/>
      <c r="M97" s="37">
        <f t="shared" si="11"/>
        <v>0</v>
      </c>
      <c r="N97" s="37">
        <f t="shared" si="12"/>
        <v>0</v>
      </c>
    </row>
    <row r="98" spans="1:14" x14ac:dyDescent="0.25">
      <c r="A98" s="76">
        <f t="shared" si="13"/>
        <v>0</v>
      </c>
      <c r="B98" s="57" t="str">
        <f t="shared" si="8"/>
        <v/>
      </c>
      <c r="G98" s="13"/>
      <c r="H98" s="35">
        <v>93</v>
      </c>
      <c r="I98" s="36" t="str">
        <f t="shared" si="9"/>
        <v/>
      </c>
      <c r="J98" s="35">
        <f t="shared" si="14"/>
        <v>-1</v>
      </c>
      <c r="K98" s="35">
        <f t="shared" si="10"/>
        <v>-10</v>
      </c>
      <c r="L98" s="35"/>
      <c r="M98" s="37">
        <f t="shared" si="11"/>
        <v>0</v>
      </c>
      <c r="N98" s="37">
        <f t="shared" si="12"/>
        <v>0</v>
      </c>
    </row>
    <row r="99" spans="1:14" x14ac:dyDescent="0.25">
      <c r="A99" s="77">
        <f t="shared" si="13"/>
        <v>0</v>
      </c>
      <c r="B99" s="57" t="str">
        <f t="shared" si="8"/>
        <v/>
      </c>
      <c r="G99" s="13"/>
      <c r="H99" s="35">
        <v>94</v>
      </c>
      <c r="I99" s="36" t="str">
        <f t="shared" si="9"/>
        <v/>
      </c>
      <c r="J99" s="35">
        <f t="shared" si="14"/>
        <v>-1</v>
      </c>
      <c r="K99" s="35">
        <f t="shared" si="10"/>
        <v>-10</v>
      </c>
      <c r="L99" s="35"/>
      <c r="M99" s="37">
        <f t="shared" si="11"/>
        <v>0</v>
      </c>
      <c r="N99" s="37">
        <f t="shared" si="12"/>
        <v>0</v>
      </c>
    </row>
    <row r="100" spans="1:14" x14ac:dyDescent="0.25">
      <c r="A100" s="76">
        <f t="shared" si="13"/>
        <v>0</v>
      </c>
      <c r="B100" s="57" t="str">
        <f t="shared" si="8"/>
        <v/>
      </c>
      <c r="G100" s="13"/>
      <c r="H100" s="35">
        <v>95</v>
      </c>
      <c r="I100" s="36" t="str">
        <f t="shared" si="9"/>
        <v/>
      </c>
      <c r="J100" s="35">
        <f t="shared" si="14"/>
        <v>-1</v>
      </c>
      <c r="K100" s="35">
        <f t="shared" si="10"/>
        <v>-10</v>
      </c>
      <c r="L100" s="35"/>
      <c r="M100" s="37">
        <f t="shared" si="11"/>
        <v>0</v>
      </c>
      <c r="N100" s="37">
        <f t="shared" si="12"/>
        <v>0</v>
      </c>
    </row>
    <row r="101" spans="1:14" x14ac:dyDescent="0.25">
      <c r="A101" s="77">
        <f t="shared" si="13"/>
        <v>0</v>
      </c>
      <c r="B101" s="57" t="str">
        <f t="shared" si="8"/>
        <v/>
      </c>
      <c r="G101" s="13"/>
      <c r="H101" s="35">
        <v>96</v>
      </c>
      <c r="I101" s="36" t="str">
        <f t="shared" si="9"/>
        <v/>
      </c>
      <c r="J101" s="35">
        <f t="shared" si="14"/>
        <v>-1</v>
      </c>
      <c r="K101" s="35">
        <f t="shared" si="10"/>
        <v>-10</v>
      </c>
      <c r="L101" s="35"/>
      <c r="M101" s="37">
        <f t="shared" si="11"/>
        <v>0</v>
      </c>
      <c r="N101" s="37">
        <f t="shared" si="12"/>
        <v>0</v>
      </c>
    </row>
    <row r="102" spans="1:14" x14ac:dyDescent="0.25">
      <c r="A102" s="76">
        <f t="shared" si="13"/>
        <v>0</v>
      </c>
      <c r="B102" s="57" t="str">
        <f t="shared" si="8"/>
        <v/>
      </c>
      <c r="G102" s="13"/>
      <c r="H102" s="35">
        <v>97</v>
      </c>
      <c r="I102" s="36" t="str">
        <f t="shared" si="9"/>
        <v/>
      </c>
      <c r="J102" s="35">
        <f t="shared" si="14"/>
        <v>-1</v>
      </c>
      <c r="K102" s="35">
        <f t="shared" si="10"/>
        <v>-10</v>
      </c>
      <c r="L102" s="35"/>
      <c r="M102" s="37">
        <f t="shared" si="11"/>
        <v>0</v>
      </c>
      <c r="N102" s="37">
        <f t="shared" si="12"/>
        <v>0</v>
      </c>
    </row>
    <row r="103" spans="1:14" x14ac:dyDescent="0.25">
      <c r="A103" s="77">
        <f t="shared" si="13"/>
        <v>0</v>
      </c>
      <c r="B103" s="57" t="str">
        <f t="shared" si="8"/>
        <v/>
      </c>
      <c r="G103" s="13"/>
      <c r="H103" s="35">
        <v>98</v>
      </c>
      <c r="I103" s="36" t="str">
        <f t="shared" si="9"/>
        <v/>
      </c>
      <c r="J103" s="35">
        <f t="shared" si="14"/>
        <v>-1</v>
      </c>
      <c r="K103" s="35">
        <f t="shared" si="10"/>
        <v>-10</v>
      </c>
      <c r="L103" s="35"/>
      <c r="M103" s="37">
        <f t="shared" si="11"/>
        <v>0</v>
      </c>
      <c r="N103" s="37">
        <f t="shared" si="12"/>
        <v>0</v>
      </c>
    </row>
    <row r="104" spans="1:14" x14ac:dyDescent="0.25">
      <c r="A104" s="76">
        <f t="shared" si="13"/>
        <v>0</v>
      </c>
      <c r="B104" s="57" t="str">
        <f t="shared" si="8"/>
        <v/>
      </c>
      <c r="G104" s="13"/>
      <c r="H104" s="35">
        <v>99</v>
      </c>
      <c r="I104" s="36" t="str">
        <f t="shared" si="9"/>
        <v/>
      </c>
      <c r="J104" s="35">
        <f t="shared" si="14"/>
        <v>-1</v>
      </c>
      <c r="K104" s="35">
        <f t="shared" si="10"/>
        <v>-10</v>
      </c>
      <c r="L104" s="35"/>
      <c r="M104" s="37">
        <f t="shared" si="11"/>
        <v>0</v>
      </c>
      <c r="N104" s="37">
        <f t="shared" si="12"/>
        <v>0</v>
      </c>
    </row>
    <row r="105" spans="1:14" x14ac:dyDescent="0.25">
      <c r="A105" s="77">
        <f t="shared" si="13"/>
        <v>0</v>
      </c>
      <c r="B105" s="57" t="str">
        <f t="shared" si="8"/>
        <v/>
      </c>
      <c r="G105" s="13"/>
      <c r="H105" s="35">
        <v>100</v>
      </c>
      <c r="I105" s="36" t="str">
        <f t="shared" si="9"/>
        <v/>
      </c>
      <c r="J105" s="35">
        <f t="shared" si="14"/>
        <v>-1</v>
      </c>
      <c r="K105" s="35">
        <f t="shared" si="10"/>
        <v>-10</v>
      </c>
      <c r="L105" s="35"/>
      <c r="M105" s="37">
        <f t="shared" si="11"/>
        <v>0</v>
      </c>
      <c r="N105" s="37">
        <f t="shared" si="12"/>
        <v>0</v>
      </c>
    </row>
    <row r="106" spans="1:14" x14ac:dyDescent="0.25">
      <c r="A106" s="76">
        <f t="shared" si="13"/>
        <v>0</v>
      </c>
      <c r="B106" s="57" t="str">
        <f t="shared" si="8"/>
        <v/>
      </c>
      <c r="G106" s="13"/>
      <c r="H106" s="35">
        <v>101</v>
      </c>
      <c r="I106" s="36" t="str">
        <f t="shared" si="9"/>
        <v/>
      </c>
      <c r="J106" s="35">
        <f t="shared" si="14"/>
        <v>-1</v>
      </c>
      <c r="K106" s="35">
        <f t="shared" si="10"/>
        <v>-10</v>
      </c>
      <c r="L106" s="35"/>
      <c r="M106" s="37">
        <f t="shared" si="11"/>
        <v>0</v>
      </c>
      <c r="N106" s="37">
        <f t="shared" si="12"/>
        <v>0</v>
      </c>
    </row>
    <row r="107" spans="1:14" x14ac:dyDescent="0.25">
      <c r="A107" s="77">
        <f t="shared" si="13"/>
        <v>0</v>
      </c>
      <c r="B107" s="57" t="str">
        <f t="shared" si="8"/>
        <v/>
      </c>
      <c r="G107" s="13"/>
      <c r="H107" s="35">
        <v>102</v>
      </c>
      <c r="I107" s="36" t="str">
        <f t="shared" si="9"/>
        <v/>
      </c>
      <c r="J107" s="35">
        <f t="shared" si="14"/>
        <v>-1</v>
      </c>
      <c r="K107" s="35">
        <f t="shared" si="10"/>
        <v>-10</v>
      </c>
      <c r="L107" s="35"/>
      <c r="M107" s="37">
        <f t="shared" si="11"/>
        <v>0</v>
      </c>
      <c r="N107" s="37">
        <f t="shared" si="12"/>
        <v>0</v>
      </c>
    </row>
    <row r="108" spans="1:14" x14ac:dyDescent="0.25">
      <c r="A108" s="76">
        <f t="shared" si="13"/>
        <v>0</v>
      </c>
      <c r="B108" s="57" t="str">
        <f t="shared" si="8"/>
        <v/>
      </c>
      <c r="G108" s="13"/>
      <c r="H108" s="35">
        <v>103</v>
      </c>
      <c r="I108" s="36" t="str">
        <f t="shared" si="9"/>
        <v/>
      </c>
      <c r="J108" s="35">
        <f t="shared" si="14"/>
        <v>-1</v>
      </c>
      <c r="K108" s="35">
        <f t="shared" si="10"/>
        <v>-10</v>
      </c>
      <c r="L108" s="35"/>
      <c r="M108" s="37">
        <f t="shared" si="11"/>
        <v>0</v>
      </c>
      <c r="N108" s="37">
        <f t="shared" si="12"/>
        <v>0</v>
      </c>
    </row>
    <row r="109" spans="1:14" x14ac:dyDescent="0.25">
      <c r="A109" s="77">
        <f t="shared" si="13"/>
        <v>0</v>
      </c>
      <c r="B109" s="57" t="str">
        <f t="shared" si="8"/>
        <v/>
      </c>
      <c r="G109" s="13"/>
      <c r="H109" s="35">
        <v>104</v>
      </c>
      <c r="I109" s="36" t="str">
        <f t="shared" si="9"/>
        <v/>
      </c>
      <c r="J109" s="35">
        <f t="shared" si="14"/>
        <v>-1</v>
      </c>
      <c r="K109" s="35">
        <f t="shared" si="10"/>
        <v>-10</v>
      </c>
      <c r="L109" s="35"/>
      <c r="M109" s="37">
        <f t="shared" si="11"/>
        <v>0</v>
      </c>
      <c r="N109" s="37">
        <f t="shared" si="12"/>
        <v>0</v>
      </c>
    </row>
    <row r="110" spans="1:14" x14ac:dyDescent="0.25">
      <c r="A110" s="76">
        <f t="shared" si="13"/>
        <v>0</v>
      </c>
      <c r="B110" s="57" t="str">
        <f t="shared" si="8"/>
        <v/>
      </c>
      <c r="G110" s="13"/>
      <c r="H110" s="35">
        <v>105</v>
      </c>
      <c r="I110" s="36" t="str">
        <f t="shared" si="9"/>
        <v/>
      </c>
      <c r="J110" s="35">
        <f t="shared" si="14"/>
        <v>-1</v>
      </c>
      <c r="K110" s="35">
        <f t="shared" si="10"/>
        <v>-10</v>
      </c>
      <c r="L110" s="35"/>
      <c r="M110" s="37">
        <f t="shared" si="11"/>
        <v>0</v>
      </c>
      <c r="N110" s="37">
        <f t="shared" si="12"/>
        <v>0</v>
      </c>
    </row>
    <row r="111" spans="1:14" x14ac:dyDescent="0.25">
      <c r="A111" s="77">
        <f t="shared" si="13"/>
        <v>0</v>
      </c>
      <c r="B111" s="57" t="str">
        <f t="shared" si="8"/>
        <v/>
      </c>
      <c r="G111" s="13"/>
      <c r="H111" s="35">
        <v>106</v>
      </c>
      <c r="I111" s="36" t="str">
        <f t="shared" si="9"/>
        <v/>
      </c>
      <c r="J111" s="35">
        <f t="shared" si="14"/>
        <v>-1</v>
      </c>
      <c r="K111" s="35">
        <f t="shared" si="10"/>
        <v>-10</v>
      </c>
      <c r="L111" s="35"/>
      <c r="M111" s="37">
        <f t="shared" si="11"/>
        <v>0</v>
      </c>
      <c r="N111" s="37">
        <f t="shared" si="12"/>
        <v>0</v>
      </c>
    </row>
    <row r="112" spans="1:14" x14ac:dyDescent="0.25">
      <c r="A112" s="76">
        <f t="shared" si="13"/>
        <v>0</v>
      </c>
      <c r="B112" s="57" t="str">
        <f t="shared" si="8"/>
        <v/>
      </c>
      <c r="G112" s="13"/>
      <c r="H112" s="35">
        <v>107</v>
      </c>
      <c r="I112" s="36" t="str">
        <f t="shared" si="9"/>
        <v/>
      </c>
      <c r="J112" s="35">
        <f t="shared" si="14"/>
        <v>-1</v>
      </c>
      <c r="K112" s="35">
        <f t="shared" si="10"/>
        <v>-10</v>
      </c>
      <c r="L112" s="35"/>
      <c r="M112" s="37">
        <f t="shared" si="11"/>
        <v>0</v>
      </c>
      <c r="N112" s="37">
        <f t="shared" si="12"/>
        <v>0</v>
      </c>
    </row>
    <row r="113" spans="1:14" x14ac:dyDescent="0.25">
      <c r="A113" s="77">
        <f t="shared" si="13"/>
        <v>0</v>
      </c>
      <c r="B113" s="57" t="str">
        <f t="shared" si="8"/>
        <v/>
      </c>
      <c r="G113" s="13"/>
      <c r="H113" s="35">
        <v>108</v>
      </c>
      <c r="I113" s="36" t="str">
        <f t="shared" si="9"/>
        <v/>
      </c>
      <c r="J113" s="35">
        <f t="shared" si="14"/>
        <v>-1</v>
      </c>
      <c r="K113" s="35">
        <f t="shared" si="10"/>
        <v>-10</v>
      </c>
      <c r="L113" s="35"/>
      <c r="M113" s="37">
        <f t="shared" si="11"/>
        <v>0</v>
      </c>
      <c r="N113" s="37">
        <f t="shared" si="12"/>
        <v>0</v>
      </c>
    </row>
    <row r="114" spans="1:14" x14ac:dyDescent="0.25">
      <c r="A114" s="76">
        <f t="shared" si="13"/>
        <v>0</v>
      </c>
      <c r="B114" s="57" t="str">
        <f t="shared" si="8"/>
        <v/>
      </c>
      <c r="G114" s="13"/>
      <c r="H114" s="35">
        <v>109</v>
      </c>
      <c r="I114" s="36" t="str">
        <f t="shared" si="9"/>
        <v/>
      </c>
      <c r="J114" s="35">
        <f t="shared" si="14"/>
        <v>-1</v>
      </c>
      <c r="K114" s="35">
        <f t="shared" si="10"/>
        <v>-10</v>
      </c>
      <c r="L114" s="35"/>
      <c r="M114" s="37">
        <f t="shared" si="11"/>
        <v>0</v>
      </c>
      <c r="N114" s="37">
        <f t="shared" si="12"/>
        <v>0</v>
      </c>
    </row>
    <row r="115" spans="1:14" x14ac:dyDescent="0.25">
      <c r="A115" s="77">
        <f t="shared" si="13"/>
        <v>0</v>
      </c>
      <c r="B115" s="57" t="str">
        <f t="shared" si="8"/>
        <v/>
      </c>
      <c r="G115" s="13"/>
      <c r="H115" s="35">
        <v>110</v>
      </c>
      <c r="I115" s="36" t="str">
        <f t="shared" si="9"/>
        <v/>
      </c>
      <c r="J115" s="35">
        <f t="shared" si="14"/>
        <v>-1</v>
      </c>
      <c r="K115" s="35">
        <f t="shared" si="10"/>
        <v>-10</v>
      </c>
      <c r="L115" s="35"/>
      <c r="M115" s="37">
        <f t="shared" si="11"/>
        <v>0</v>
      </c>
      <c r="N115" s="37">
        <f t="shared" si="12"/>
        <v>0</v>
      </c>
    </row>
    <row r="116" spans="1:14" x14ac:dyDescent="0.25">
      <c r="A116" s="76">
        <f t="shared" si="13"/>
        <v>0</v>
      </c>
      <c r="B116" s="57" t="str">
        <f t="shared" si="8"/>
        <v/>
      </c>
      <c r="G116" s="13"/>
      <c r="H116" s="35">
        <v>111</v>
      </c>
      <c r="I116" s="36" t="str">
        <f t="shared" si="9"/>
        <v/>
      </c>
      <c r="J116" s="35">
        <f t="shared" si="14"/>
        <v>-1</v>
      </c>
      <c r="K116" s="35">
        <f t="shared" si="10"/>
        <v>-10</v>
      </c>
      <c r="L116" s="35"/>
      <c r="M116" s="37">
        <f t="shared" si="11"/>
        <v>0</v>
      </c>
      <c r="N116" s="37">
        <f t="shared" si="12"/>
        <v>0</v>
      </c>
    </row>
    <row r="117" spans="1:14" x14ac:dyDescent="0.25">
      <c r="A117" s="77">
        <f t="shared" si="13"/>
        <v>0</v>
      </c>
      <c r="B117" s="57" t="str">
        <f t="shared" si="8"/>
        <v/>
      </c>
      <c r="G117" s="13"/>
      <c r="H117" s="35">
        <v>112</v>
      </c>
      <c r="I117" s="36" t="str">
        <f t="shared" si="9"/>
        <v/>
      </c>
      <c r="J117" s="35">
        <f t="shared" si="14"/>
        <v>-1</v>
      </c>
      <c r="K117" s="35">
        <f t="shared" si="10"/>
        <v>-10</v>
      </c>
      <c r="L117" s="35"/>
      <c r="M117" s="37">
        <f t="shared" si="11"/>
        <v>0</v>
      </c>
      <c r="N117" s="37">
        <f t="shared" si="12"/>
        <v>0</v>
      </c>
    </row>
    <row r="118" spans="1:14" x14ac:dyDescent="0.25">
      <c r="A118" s="76">
        <f t="shared" si="13"/>
        <v>0</v>
      </c>
      <c r="B118" s="57" t="str">
        <f t="shared" si="8"/>
        <v/>
      </c>
      <c r="G118" s="13"/>
      <c r="H118" s="35">
        <v>113</v>
      </c>
      <c r="I118" s="36" t="str">
        <f t="shared" si="9"/>
        <v/>
      </c>
      <c r="J118" s="35">
        <f t="shared" si="14"/>
        <v>-1</v>
      </c>
      <c r="K118" s="35">
        <f t="shared" si="10"/>
        <v>-10</v>
      </c>
      <c r="L118" s="35"/>
      <c r="M118" s="37">
        <f t="shared" si="11"/>
        <v>0</v>
      </c>
      <c r="N118" s="37">
        <f t="shared" si="12"/>
        <v>0</v>
      </c>
    </row>
    <row r="119" spans="1:14" x14ac:dyDescent="0.25">
      <c r="A119" s="77">
        <f t="shared" si="13"/>
        <v>0</v>
      </c>
      <c r="B119" s="57" t="str">
        <f t="shared" si="8"/>
        <v/>
      </c>
      <c r="G119" s="13"/>
      <c r="H119" s="35">
        <v>114</v>
      </c>
      <c r="I119" s="36" t="str">
        <f t="shared" si="9"/>
        <v/>
      </c>
      <c r="J119" s="35">
        <f t="shared" si="14"/>
        <v>-1</v>
      </c>
      <c r="K119" s="35">
        <f t="shared" si="10"/>
        <v>-10</v>
      </c>
      <c r="L119" s="35"/>
      <c r="M119" s="37">
        <f t="shared" si="11"/>
        <v>0</v>
      </c>
      <c r="N119" s="37">
        <f t="shared" si="12"/>
        <v>0</v>
      </c>
    </row>
    <row r="120" spans="1:14" x14ac:dyDescent="0.25">
      <c r="A120" s="76">
        <f t="shared" si="13"/>
        <v>0</v>
      </c>
      <c r="B120" s="57" t="str">
        <f t="shared" si="8"/>
        <v/>
      </c>
      <c r="G120" s="13"/>
      <c r="H120" s="35">
        <v>115</v>
      </c>
      <c r="I120" s="36" t="str">
        <f t="shared" si="9"/>
        <v/>
      </c>
      <c r="J120" s="35">
        <f t="shared" si="14"/>
        <v>-1</v>
      </c>
      <c r="K120" s="35">
        <f t="shared" si="10"/>
        <v>-10</v>
      </c>
      <c r="L120" s="35"/>
      <c r="M120" s="37">
        <f t="shared" si="11"/>
        <v>0</v>
      </c>
      <c r="N120" s="37">
        <f t="shared" si="12"/>
        <v>0</v>
      </c>
    </row>
    <row r="121" spans="1:14" x14ac:dyDescent="0.25">
      <c r="A121" s="77">
        <f t="shared" si="13"/>
        <v>0</v>
      </c>
      <c r="B121" s="57" t="str">
        <f t="shared" si="8"/>
        <v/>
      </c>
      <c r="G121" s="13"/>
      <c r="H121" s="35">
        <v>116</v>
      </c>
      <c r="I121" s="36" t="str">
        <f t="shared" si="9"/>
        <v/>
      </c>
      <c r="J121" s="35">
        <f t="shared" si="14"/>
        <v>-1</v>
      </c>
      <c r="K121" s="35">
        <f t="shared" si="10"/>
        <v>-10</v>
      </c>
      <c r="L121" s="35"/>
      <c r="M121" s="37">
        <f t="shared" si="11"/>
        <v>0</v>
      </c>
      <c r="N121" s="37">
        <f t="shared" si="12"/>
        <v>0</v>
      </c>
    </row>
    <row r="122" spans="1:14" x14ac:dyDescent="0.25">
      <c r="A122" s="76">
        <f t="shared" si="13"/>
        <v>0</v>
      </c>
      <c r="B122" s="57" t="str">
        <f t="shared" si="8"/>
        <v/>
      </c>
      <c r="G122" s="13"/>
      <c r="H122" s="35">
        <v>117</v>
      </c>
      <c r="I122" s="36" t="str">
        <f t="shared" si="9"/>
        <v/>
      </c>
      <c r="J122" s="35">
        <f t="shared" si="14"/>
        <v>-1</v>
      </c>
      <c r="K122" s="35">
        <f t="shared" si="10"/>
        <v>-10</v>
      </c>
      <c r="L122" s="35"/>
      <c r="M122" s="37">
        <f t="shared" si="11"/>
        <v>0</v>
      </c>
      <c r="N122" s="37">
        <f t="shared" si="12"/>
        <v>0</v>
      </c>
    </row>
    <row r="123" spans="1:14" x14ac:dyDescent="0.25">
      <c r="A123" s="77">
        <f t="shared" si="13"/>
        <v>0</v>
      </c>
      <c r="B123" s="57" t="str">
        <f t="shared" si="8"/>
        <v/>
      </c>
      <c r="G123" s="13"/>
      <c r="H123" s="35">
        <v>118</v>
      </c>
      <c r="I123" s="36" t="str">
        <f t="shared" si="9"/>
        <v/>
      </c>
      <c r="J123" s="35">
        <f t="shared" si="14"/>
        <v>-1</v>
      </c>
      <c r="K123" s="35">
        <f t="shared" si="10"/>
        <v>-10</v>
      </c>
      <c r="L123" s="35"/>
      <c r="M123" s="37">
        <f t="shared" si="11"/>
        <v>0</v>
      </c>
      <c r="N123" s="37">
        <f t="shared" si="12"/>
        <v>0</v>
      </c>
    </row>
    <row r="124" spans="1:14" x14ac:dyDescent="0.25">
      <c r="A124" s="76">
        <f t="shared" si="13"/>
        <v>0</v>
      </c>
      <c r="B124" s="57" t="str">
        <f t="shared" si="8"/>
        <v/>
      </c>
      <c r="G124" s="13"/>
      <c r="H124" s="35">
        <v>119</v>
      </c>
      <c r="I124" s="36" t="str">
        <f t="shared" si="9"/>
        <v/>
      </c>
      <c r="J124" s="35">
        <f t="shared" si="14"/>
        <v>-1</v>
      </c>
      <c r="K124" s="35">
        <f t="shared" si="10"/>
        <v>-10</v>
      </c>
      <c r="L124" s="35"/>
      <c r="M124" s="37">
        <f t="shared" si="11"/>
        <v>0</v>
      </c>
      <c r="N124" s="37">
        <f t="shared" si="12"/>
        <v>0</v>
      </c>
    </row>
    <row r="125" spans="1:14" x14ac:dyDescent="0.25">
      <c r="A125" s="77">
        <f t="shared" si="13"/>
        <v>0</v>
      </c>
      <c r="B125" s="57" t="str">
        <f t="shared" si="8"/>
        <v/>
      </c>
      <c r="G125" s="13"/>
      <c r="H125" s="35">
        <v>120</v>
      </c>
      <c r="I125" s="36" t="str">
        <f t="shared" si="9"/>
        <v/>
      </c>
      <c r="J125" s="35">
        <f t="shared" si="14"/>
        <v>-1</v>
      </c>
      <c r="K125" s="35">
        <f t="shared" si="10"/>
        <v>-10</v>
      </c>
      <c r="L125" s="35"/>
      <c r="M125" s="37">
        <f t="shared" si="11"/>
        <v>0</v>
      </c>
      <c r="N125" s="37">
        <f t="shared" si="12"/>
        <v>0</v>
      </c>
    </row>
    <row r="126" spans="1:14" x14ac:dyDescent="0.25">
      <c r="A126" s="76">
        <f t="shared" si="13"/>
        <v>0</v>
      </c>
      <c r="B126" s="57" t="str">
        <f t="shared" si="8"/>
        <v/>
      </c>
      <c r="G126" s="13"/>
      <c r="H126" s="35">
        <v>121</v>
      </c>
      <c r="I126" s="36" t="str">
        <f t="shared" si="9"/>
        <v/>
      </c>
      <c r="J126" s="35">
        <f t="shared" si="14"/>
        <v>-1</v>
      </c>
      <c r="K126" s="35">
        <f t="shared" si="10"/>
        <v>-10</v>
      </c>
      <c r="L126" s="35"/>
      <c r="M126" s="37">
        <f t="shared" si="11"/>
        <v>0</v>
      </c>
      <c r="N126" s="37">
        <f t="shared" si="12"/>
        <v>0</v>
      </c>
    </row>
    <row r="127" spans="1:14" x14ac:dyDescent="0.25">
      <c r="A127" s="77">
        <f t="shared" si="13"/>
        <v>0</v>
      </c>
      <c r="B127" s="57" t="str">
        <f t="shared" si="8"/>
        <v/>
      </c>
      <c r="G127" s="13"/>
      <c r="H127" s="35">
        <v>122</v>
      </c>
      <c r="I127" s="36" t="str">
        <f t="shared" si="9"/>
        <v/>
      </c>
      <c r="J127" s="35">
        <f t="shared" si="14"/>
        <v>-1</v>
      </c>
      <c r="K127" s="35">
        <f t="shared" si="10"/>
        <v>-10</v>
      </c>
      <c r="L127" s="35"/>
      <c r="M127" s="37">
        <f t="shared" si="11"/>
        <v>0</v>
      </c>
      <c r="N127" s="37">
        <f t="shared" si="12"/>
        <v>0</v>
      </c>
    </row>
    <row r="128" spans="1:14" x14ac:dyDescent="0.25">
      <c r="A128" s="76">
        <f t="shared" si="13"/>
        <v>0</v>
      </c>
      <c r="B128" s="57" t="str">
        <f t="shared" si="8"/>
        <v/>
      </c>
      <c r="G128" s="13"/>
      <c r="H128" s="35">
        <v>123</v>
      </c>
      <c r="I128" s="36" t="str">
        <f t="shared" si="9"/>
        <v/>
      </c>
      <c r="J128" s="35">
        <f t="shared" si="14"/>
        <v>-1</v>
      </c>
      <c r="K128" s="35">
        <f t="shared" si="10"/>
        <v>-10</v>
      </c>
      <c r="L128" s="35"/>
      <c r="M128" s="37">
        <f t="shared" si="11"/>
        <v>0</v>
      </c>
      <c r="N128" s="37">
        <f t="shared" si="12"/>
        <v>0</v>
      </c>
    </row>
    <row r="129" spans="1:14" x14ac:dyDescent="0.25">
      <c r="A129" s="77">
        <f t="shared" si="13"/>
        <v>0</v>
      </c>
      <c r="B129" s="57" t="str">
        <f t="shared" si="8"/>
        <v/>
      </c>
      <c r="G129" s="13"/>
      <c r="H129" s="35">
        <v>124</v>
      </c>
      <c r="I129" s="36" t="str">
        <f t="shared" si="9"/>
        <v/>
      </c>
      <c r="J129" s="35">
        <f t="shared" si="14"/>
        <v>-1</v>
      </c>
      <c r="K129" s="35">
        <f t="shared" si="10"/>
        <v>-10</v>
      </c>
      <c r="L129" s="35"/>
      <c r="M129" s="37">
        <f t="shared" si="11"/>
        <v>0</v>
      </c>
      <c r="N129" s="37">
        <f t="shared" si="12"/>
        <v>0</v>
      </c>
    </row>
    <row r="130" spans="1:14" x14ac:dyDescent="0.25">
      <c r="A130" s="76">
        <f t="shared" si="13"/>
        <v>0</v>
      </c>
      <c r="B130" s="57" t="str">
        <f t="shared" si="8"/>
        <v/>
      </c>
      <c r="G130" s="13"/>
      <c r="H130" s="35">
        <v>125</v>
      </c>
      <c r="I130" s="36" t="str">
        <f t="shared" si="9"/>
        <v/>
      </c>
      <c r="J130" s="35">
        <f t="shared" si="14"/>
        <v>-1</v>
      </c>
      <c r="K130" s="35">
        <f t="shared" si="10"/>
        <v>-10</v>
      </c>
      <c r="L130" s="35"/>
      <c r="M130" s="37">
        <f t="shared" si="11"/>
        <v>0</v>
      </c>
      <c r="N130" s="37">
        <f t="shared" si="12"/>
        <v>0</v>
      </c>
    </row>
    <row r="131" spans="1:14" x14ac:dyDescent="0.25">
      <c r="A131" s="77">
        <f t="shared" si="13"/>
        <v>0</v>
      </c>
      <c r="B131" s="57" t="str">
        <f t="shared" si="8"/>
        <v/>
      </c>
      <c r="G131" s="13"/>
      <c r="H131" s="35">
        <v>126</v>
      </c>
      <c r="I131" s="36" t="str">
        <f t="shared" si="9"/>
        <v/>
      </c>
      <c r="J131" s="35">
        <f t="shared" si="14"/>
        <v>-1</v>
      </c>
      <c r="K131" s="35">
        <f t="shared" si="10"/>
        <v>-10</v>
      </c>
      <c r="L131" s="35"/>
      <c r="M131" s="37">
        <f t="shared" si="11"/>
        <v>0</v>
      </c>
      <c r="N131" s="37">
        <f t="shared" si="12"/>
        <v>0</v>
      </c>
    </row>
    <row r="132" spans="1:14" x14ac:dyDescent="0.25">
      <c r="A132" s="76">
        <f t="shared" si="13"/>
        <v>0</v>
      </c>
      <c r="B132" s="57" t="str">
        <f t="shared" si="8"/>
        <v/>
      </c>
      <c r="G132" s="13"/>
      <c r="H132" s="35">
        <v>127</v>
      </c>
      <c r="I132" s="36" t="str">
        <f t="shared" si="9"/>
        <v/>
      </c>
      <c r="J132" s="35">
        <f t="shared" si="14"/>
        <v>-1</v>
      </c>
      <c r="K132" s="35">
        <f t="shared" si="10"/>
        <v>-10</v>
      </c>
      <c r="L132" s="35"/>
      <c r="M132" s="37">
        <f t="shared" si="11"/>
        <v>0</v>
      </c>
      <c r="N132" s="37">
        <f t="shared" si="12"/>
        <v>0</v>
      </c>
    </row>
    <row r="133" spans="1:14" x14ac:dyDescent="0.25">
      <c r="A133" s="77">
        <f t="shared" si="13"/>
        <v>0</v>
      </c>
      <c r="B133" s="57" t="str">
        <f t="shared" si="8"/>
        <v/>
      </c>
      <c r="G133" s="13"/>
      <c r="H133" s="35">
        <v>128</v>
      </c>
      <c r="I133" s="36" t="str">
        <f t="shared" si="9"/>
        <v/>
      </c>
      <c r="J133" s="35">
        <f t="shared" si="14"/>
        <v>-1</v>
      </c>
      <c r="K133" s="35">
        <f t="shared" si="10"/>
        <v>-10</v>
      </c>
      <c r="L133" s="35"/>
      <c r="M133" s="37">
        <f t="shared" si="11"/>
        <v>0</v>
      </c>
      <c r="N133" s="37">
        <f t="shared" si="12"/>
        <v>0</v>
      </c>
    </row>
    <row r="134" spans="1:14" x14ac:dyDescent="0.25">
      <c r="A134" s="76">
        <f t="shared" si="13"/>
        <v>0</v>
      </c>
      <c r="B134" s="57" t="str">
        <f t="shared" ref="B134:B143" si="15">IF(H134&gt;$H$2,"",(ROW()-5))</f>
        <v/>
      </c>
      <c r="G134" s="13"/>
      <c r="H134" s="35">
        <v>129</v>
      </c>
      <c r="I134" s="36" t="str">
        <f t="shared" ref="I134:I197" si="16">IF(H134&lt;$H$2+1,($I$2-($I$2-1)*(LOG(H134)/LOG($H$2))),"")</f>
        <v/>
      </c>
      <c r="J134" s="35">
        <f t="shared" si="14"/>
        <v>-2</v>
      </c>
      <c r="K134" s="35">
        <f t="shared" ref="K134:K197" si="17">J134*$J$2</f>
        <v>-20</v>
      </c>
      <c r="L134" s="35"/>
      <c r="M134" s="37">
        <f t="shared" ref="M134:M197" si="18">IF(I134&lt;&gt;"",K134+I134+L134,0)</f>
        <v>0</v>
      </c>
      <c r="N134" s="37">
        <f t="shared" ref="N134:N197" si="19">IF(I134&lt;&gt;"",M134*L$2,0)</f>
        <v>0</v>
      </c>
    </row>
    <row r="135" spans="1:14" x14ac:dyDescent="0.25">
      <c r="A135" s="77">
        <f t="shared" ref="A135:A198" si="20">N135</f>
        <v>0</v>
      </c>
      <c r="B135" s="57" t="str">
        <f t="shared" si="15"/>
        <v/>
      </c>
      <c r="G135" s="13"/>
      <c r="H135" s="35">
        <v>130</v>
      </c>
      <c r="I135" s="36" t="str">
        <f t="shared" si="16"/>
        <v/>
      </c>
      <c r="J135" s="35">
        <f t="shared" ref="J135:J198" si="21">INT(LOG($H$2,2))-ROUNDUP(LOG(H135,2),0)+IF(OR($H$2=1,$H$2=2,$H$2=4,$H$2=8,$H$2=16,$H$2=32,$H$2=64,$H$2=128,$H$2=256),0,1)</f>
        <v>-2</v>
      </c>
      <c r="K135" s="35">
        <f t="shared" si="17"/>
        <v>-20</v>
      </c>
      <c r="L135" s="35"/>
      <c r="M135" s="37">
        <f t="shared" si="18"/>
        <v>0</v>
      </c>
      <c r="N135" s="37">
        <f t="shared" si="19"/>
        <v>0</v>
      </c>
    </row>
    <row r="136" spans="1:14" x14ac:dyDescent="0.25">
      <c r="A136" s="76">
        <f t="shared" si="20"/>
        <v>0</v>
      </c>
      <c r="B136" s="57" t="str">
        <f t="shared" si="15"/>
        <v/>
      </c>
      <c r="G136" s="13"/>
      <c r="H136" s="35">
        <v>131</v>
      </c>
      <c r="I136" s="36" t="str">
        <f t="shared" si="16"/>
        <v/>
      </c>
      <c r="J136" s="35">
        <f t="shared" si="21"/>
        <v>-2</v>
      </c>
      <c r="K136" s="35">
        <f t="shared" si="17"/>
        <v>-20</v>
      </c>
      <c r="L136" s="35"/>
      <c r="M136" s="37">
        <f t="shared" si="18"/>
        <v>0</v>
      </c>
      <c r="N136" s="37">
        <f t="shared" si="19"/>
        <v>0</v>
      </c>
    </row>
    <row r="137" spans="1:14" x14ac:dyDescent="0.25">
      <c r="A137" s="77">
        <f t="shared" si="20"/>
        <v>0</v>
      </c>
      <c r="B137" s="57" t="str">
        <f t="shared" si="15"/>
        <v/>
      </c>
      <c r="G137" s="13"/>
      <c r="H137" s="35">
        <v>132</v>
      </c>
      <c r="I137" s="36" t="str">
        <f t="shared" si="16"/>
        <v/>
      </c>
      <c r="J137" s="35">
        <f t="shared" si="21"/>
        <v>-2</v>
      </c>
      <c r="K137" s="35">
        <f t="shared" si="17"/>
        <v>-20</v>
      </c>
      <c r="L137" s="35"/>
      <c r="M137" s="37">
        <f t="shared" si="18"/>
        <v>0</v>
      </c>
      <c r="N137" s="37">
        <f t="shared" si="19"/>
        <v>0</v>
      </c>
    </row>
    <row r="138" spans="1:14" x14ac:dyDescent="0.25">
      <c r="A138" s="76">
        <f t="shared" si="20"/>
        <v>0</v>
      </c>
      <c r="B138" s="57" t="str">
        <f t="shared" si="15"/>
        <v/>
      </c>
      <c r="G138" s="13"/>
      <c r="H138" s="35">
        <v>133</v>
      </c>
      <c r="I138" s="36" t="str">
        <f t="shared" si="16"/>
        <v/>
      </c>
      <c r="J138" s="35">
        <f t="shared" si="21"/>
        <v>-2</v>
      </c>
      <c r="K138" s="35">
        <f t="shared" si="17"/>
        <v>-20</v>
      </c>
      <c r="L138" s="35"/>
      <c r="M138" s="37">
        <f t="shared" si="18"/>
        <v>0</v>
      </c>
      <c r="N138" s="37">
        <f t="shared" si="19"/>
        <v>0</v>
      </c>
    </row>
    <row r="139" spans="1:14" x14ac:dyDescent="0.25">
      <c r="A139" s="77">
        <f t="shared" si="20"/>
        <v>0</v>
      </c>
      <c r="B139" s="57" t="str">
        <f t="shared" si="15"/>
        <v/>
      </c>
      <c r="G139" s="13"/>
      <c r="H139" s="35">
        <v>134</v>
      </c>
      <c r="I139" s="36" t="str">
        <f t="shared" si="16"/>
        <v/>
      </c>
      <c r="J139" s="35">
        <f t="shared" si="21"/>
        <v>-2</v>
      </c>
      <c r="K139" s="35">
        <f t="shared" si="17"/>
        <v>-20</v>
      </c>
      <c r="L139" s="35"/>
      <c r="M139" s="37">
        <f t="shared" si="18"/>
        <v>0</v>
      </c>
      <c r="N139" s="37">
        <f t="shared" si="19"/>
        <v>0</v>
      </c>
    </row>
    <row r="140" spans="1:14" x14ac:dyDescent="0.25">
      <c r="A140" s="76">
        <f t="shared" si="20"/>
        <v>0</v>
      </c>
      <c r="B140" s="57" t="str">
        <f t="shared" si="15"/>
        <v/>
      </c>
      <c r="G140" s="13"/>
      <c r="H140" s="35">
        <v>135</v>
      </c>
      <c r="I140" s="36" t="str">
        <f t="shared" si="16"/>
        <v/>
      </c>
      <c r="J140" s="35">
        <f t="shared" si="21"/>
        <v>-2</v>
      </c>
      <c r="K140" s="35">
        <f t="shared" si="17"/>
        <v>-20</v>
      </c>
      <c r="L140" s="35"/>
      <c r="M140" s="37">
        <f t="shared" si="18"/>
        <v>0</v>
      </c>
      <c r="N140" s="37">
        <f t="shared" si="19"/>
        <v>0</v>
      </c>
    </row>
    <row r="141" spans="1:14" x14ac:dyDescent="0.25">
      <c r="A141" s="77">
        <f t="shared" si="20"/>
        <v>0</v>
      </c>
      <c r="B141" s="57" t="str">
        <f t="shared" si="15"/>
        <v/>
      </c>
      <c r="G141" s="13"/>
      <c r="H141" s="35">
        <v>136</v>
      </c>
      <c r="I141" s="36" t="str">
        <f t="shared" si="16"/>
        <v/>
      </c>
      <c r="J141" s="35">
        <f t="shared" si="21"/>
        <v>-2</v>
      </c>
      <c r="K141" s="35">
        <f t="shared" si="17"/>
        <v>-20</v>
      </c>
      <c r="L141" s="35"/>
      <c r="M141" s="37">
        <f t="shared" si="18"/>
        <v>0</v>
      </c>
      <c r="N141" s="37">
        <f t="shared" si="19"/>
        <v>0</v>
      </c>
    </row>
    <row r="142" spans="1:14" x14ac:dyDescent="0.25">
      <c r="A142" s="76">
        <f t="shared" si="20"/>
        <v>0</v>
      </c>
      <c r="B142" s="57" t="str">
        <f t="shared" si="15"/>
        <v/>
      </c>
      <c r="G142" s="13"/>
      <c r="H142" s="35">
        <v>137</v>
      </c>
      <c r="I142" s="36" t="str">
        <f t="shared" si="16"/>
        <v/>
      </c>
      <c r="J142" s="35">
        <f t="shared" si="21"/>
        <v>-2</v>
      </c>
      <c r="K142" s="35">
        <f t="shared" si="17"/>
        <v>-20</v>
      </c>
      <c r="L142" s="35"/>
      <c r="M142" s="37">
        <f t="shared" si="18"/>
        <v>0</v>
      </c>
      <c r="N142" s="37">
        <f t="shared" si="19"/>
        <v>0</v>
      </c>
    </row>
    <row r="143" spans="1:14" x14ac:dyDescent="0.25">
      <c r="A143" s="77">
        <f t="shared" si="20"/>
        <v>0</v>
      </c>
      <c r="B143" s="57" t="str">
        <f t="shared" si="15"/>
        <v/>
      </c>
      <c r="G143" s="13"/>
      <c r="H143" s="35">
        <v>138</v>
      </c>
      <c r="I143" s="36" t="str">
        <f t="shared" si="16"/>
        <v/>
      </c>
      <c r="J143" s="35">
        <f t="shared" si="21"/>
        <v>-2</v>
      </c>
      <c r="K143" s="35">
        <f t="shared" si="17"/>
        <v>-20</v>
      </c>
      <c r="L143" s="35"/>
      <c r="M143" s="37">
        <f t="shared" si="18"/>
        <v>0</v>
      </c>
      <c r="N143" s="37">
        <f t="shared" si="19"/>
        <v>0</v>
      </c>
    </row>
    <row r="144" spans="1:14" x14ac:dyDescent="0.25">
      <c r="A144" s="76">
        <f t="shared" si="20"/>
        <v>0</v>
      </c>
      <c r="G144" s="13"/>
      <c r="H144" s="35">
        <v>139</v>
      </c>
      <c r="I144" s="36" t="str">
        <f t="shared" si="16"/>
        <v/>
      </c>
      <c r="J144" s="35">
        <f t="shared" si="21"/>
        <v>-2</v>
      </c>
      <c r="K144" s="35">
        <f t="shared" si="17"/>
        <v>-20</v>
      </c>
      <c r="L144" s="35"/>
      <c r="M144" s="37">
        <f t="shared" si="18"/>
        <v>0</v>
      </c>
      <c r="N144" s="37">
        <f t="shared" si="19"/>
        <v>0</v>
      </c>
    </row>
    <row r="145" spans="1:14" x14ac:dyDescent="0.25">
      <c r="A145" s="77">
        <f t="shared" si="20"/>
        <v>0</v>
      </c>
      <c r="G145" s="13"/>
      <c r="H145" s="35">
        <v>140</v>
      </c>
      <c r="I145" s="36" t="str">
        <f t="shared" si="16"/>
        <v/>
      </c>
      <c r="J145" s="35">
        <f t="shared" si="21"/>
        <v>-2</v>
      </c>
      <c r="K145" s="35">
        <f t="shared" si="17"/>
        <v>-20</v>
      </c>
      <c r="L145" s="35"/>
      <c r="M145" s="37">
        <f t="shared" si="18"/>
        <v>0</v>
      </c>
      <c r="N145" s="37">
        <f t="shared" si="19"/>
        <v>0</v>
      </c>
    </row>
    <row r="146" spans="1:14" x14ac:dyDescent="0.25">
      <c r="A146" s="76">
        <f t="shared" si="20"/>
        <v>0</v>
      </c>
      <c r="G146" s="13"/>
      <c r="H146" s="35">
        <v>141</v>
      </c>
      <c r="I146" s="36" t="str">
        <f t="shared" si="16"/>
        <v/>
      </c>
      <c r="J146" s="35">
        <f t="shared" si="21"/>
        <v>-2</v>
      </c>
      <c r="K146" s="35">
        <f t="shared" si="17"/>
        <v>-20</v>
      </c>
      <c r="L146" s="35"/>
      <c r="M146" s="37">
        <f t="shared" si="18"/>
        <v>0</v>
      </c>
      <c r="N146" s="37">
        <f t="shared" si="19"/>
        <v>0</v>
      </c>
    </row>
    <row r="147" spans="1:14" x14ac:dyDescent="0.25">
      <c r="A147" s="77">
        <f t="shared" si="20"/>
        <v>0</v>
      </c>
      <c r="G147" s="13"/>
      <c r="H147" s="35">
        <v>142</v>
      </c>
      <c r="I147" s="36" t="str">
        <f t="shared" si="16"/>
        <v/>
      </c>
      <c r="J147" s="35">
        <f t="shared" si="21"/>
        <v>-2</v>
      </c>
      <c r="K147" s="35">
        <f t="shared" si="17"/>
        <v>-20</v>
      </c>
      <c r="L147" s="35"/>
      <c r="M147" s="37">
        <f t="shared" si="18"/>
        <v>0</v>
      </c>
      <c r="N147" s="37">
        <f t="shared" si="19"/>
        <v>0</v>
      </c>
    </row>
    <row r="148" spans="1:14" x14ac:dyDescent="0.25">
      <c r="A148" s="76">
        <f t="shared" si="20"/>
        <v>0</v>
      </c>
      <c r="G148" s="13"/>
      <c r="H148" s="35">
        <v>143</v>
      </c>
      <c r="I148" s="36" t="str">
        <f t="shared" si="16"/>
        <v/>
      </c>
      <c r="J148" s="35">
        <f t="shared" si="21"/>
        <v>-2</v>
      </c>
      <c r="K148" s="35">
        <f t="shared" si="17"/>
        <v>-20</v>
      </c>
      <c r="L148" s="35"/>
      <c r="M148" s="37">
        <f t="shared" si="18"/>
        <v>0</v>
      </c>
      <c r="N148" s="37">
        <f t="shared" si="19"/>
        <v>0</v>
      </c>
    </row>
    <row r="149" spans="1:14" x14ac:dyDescent="0.25">
      <c r="A149" s="77">
        <f t="shared" si="20"/>
        <v>0</v>
      </c>
      <c r="G149" s="13"/>
      <c r="H149" s="35">
        <v>144</v>
      </c>
      <c r="I149" s="36" t="str">
        <f t="shared" si="16"/>
        <v/>
      </c>
      <c r="J149" s="35">
        <f t="shared" si="21"/>
        <v>-2</v>
      </c>
      <c r="K149" s="35">
        <f t="shared" si="17"/>
        <v>-20</v>
      </c>
      <c r="L149" s="35"/>
      <c r="M149" s="37">
        <f t="shared" si="18"/>
        <v>0</v>
      </c>
      <c r="N149" s="37">
        <f t="shared" si="19"/>
        <v>0</v>
      </c>
    </row>
    <row r="150" spans="1:14" x14ac:dyDescent="0.25">
      <c r="A150" s="76">
        <f t="shared" si="20"/>
        <v>0</v>
      </c>
      <c r="G150" s="13"/>
      <c r="H150" s="35">
        <v>145</v>
      </c>
      <c r="I150" s="36" t="str">
        <f t="shared" si="16"/>
        <v/>
      </c>
      <c r="J150" s="35">
        <f t="shared" si="21"/>
        <v>-2</v>
      </c>
      <c r="K150" s="35">
        <f t="shared" si="17"/>
        <v>-20</v>
      </c>
      <c r="L150" s="35"/>
      <c r="M150" s="37">
        <f t="shared" si="18"/>
        <v>0</v>
      </c>
      <c r="N150" s="37">
        <f t="shared" si="19"/>
        <v>0</v>
      </c>
    </row>
    <row r="151" spans="1:14" x14ac:dyDescent="0.25">
      <c r="A151" s="77">
        <f t="shared" si="20"/>
        <v>0</v>
      </c>
      <c r="G151" s="13"/>
      <c r="H151" s="35">
        <v>146</v>
      </c>
      <c r="I151" s="36" t="str">
        <f t="shared" si="16"/>
        <v/>
      </c>
      <c r="J151" s="35">
        <f t="shared" si="21"/>
        <v>-2</v>
      </c>
      <c r="K151" s="35">
        <f t="shared" si="17"/>
        <v>-20</v>
      </c>
      <c r="L151" s="35"/>
      <c r="M151" s="37">
        <f t="shared" si="18"/>
        <v>0</v>
      </c>
      <c r="N151" s="37">
        <f t="shared" si="19"/>
        <v>0</v>
      </c>
    </row>
    <row r="152" spans="1:14" x14ac:dyDescent="0.25">
      <c r="A152" s="76">
        <f t="shared" si="20"/>
        <v>0</v>
      </c>
      <c r="G152" s="13"/>
      <c r="H152" s="35">
        <v>147</v>
      </c>
      <c r="I152" s="36" t="str">
        <f t="shared" si="16"/>
        <v/>
      </c>
      <c r="J152" s="35">
        <f t="shared" si="21"/>
        <v>-2</v>
      </c>
      <c r="K152" s="35">
        <f t="shared" si="17"/>
        <v>-20</v>
      </c>
      <c r="L152" s="35"/>
      <c r="M152" s="37">
        <f t="shared" si="18"/>
        <v>0</v>
      </c>
      <c r="N152" s="37">
        <f t="shared" si="19"/>
        <v>0</v>
      </c>
    </row>
    <row r="153" spans="1:14" x14ac:dyDescent="0.25">
      <c r="A153" s="77">
        <f t="shared" si="20"/>
        <v>0</v>
      </c>
      <c r="G153" s="13"/>
      <c r="H153" s="35">
        <v>148</v>
      </c>
      <c r="I153" s="36" t="str">
        <f t="shared" si="16"/>
        <v/>
      </c>
      <c r="J153" s="35">
        <f t="shared" si="21"/>
        <v>-2</v>
      </c>
      <c r="K153" s="35">
        <f t="shared" si="17"/>
        <v>-20</v>
      </c>
      <c r="L153" s="35"/>
      <c r="M153" s="37">
        <f t="shared" si="18"/>
        <v>0</v>
      </c>
      <c r="N153" s="37">
        <f t="shared" si="19"/>
        <v>0</v>
      </c>
    </row>
    <row r="154" spans="1:14" x14ac:dyDescent="0.25">
      <c r="A154" s="76">
        <f t="shared" si="20"/>
        <v>0</v>
      </c>
      <c r="G154" s="13"/>
      <c r="H154" s="35">
        <v>149</v>
      </c>
      <c r="I154" s="36" t="str">
        <f t="shared" si="16"/>
        <v/>
      </c>
      <c r="J154" s="35">
        <f t="shared" si="21"/>
        <v>-2</v>
      </c>
      <c r="K154" s="35">
        <f t="shared" si="17"/>
        <v>-20</v>
      </c>
      <c r="L154" s="35"/>
      <c r="M154" s="37">
        <f t="shared" si="18"/>
        <v>0</v>
      </c>
      <c r="N154" s="37">
        <f t="shared" si="19"/>
        <v>0</v>
      </c>
    </row>
    <row r="155" spans="1:14" x14ac:dyDescent="0.25">
      <c r="A155" s="77">
        <f t="shared" si="20"/>
        <v>0</v>
      </c>
      <c r="G155" s="13"/>
      <c r="H155" s="35">
        <v>150</v>
      </c>
      <c r="I155" s="36" t="str">
        <f t="shared" si="16"/>
        <v/>
      </c>
      <c r="J155" s="35">
        <f t="shared" si="21"/>
        <v>-2</v>
      </c>
      <c r="K155" s="35">
        <f t="shared" si="17"/>
        <v>-20</v>
      </c>
      <c r="L155" s="35"/>
      <c r="M155" s="37">
        <f t="shared" si="18"/>
        <v>0</v>
      </c>
      <c r="N155" s="37">
        <f t="shared" si="19"/>
        <v>0</v>
      </c>
    </row>
    <row r="156" spans="1:14" x14ac:dyDescent="0.25">
      <c r="A156" s="76">
        <f t="shared" si="20"/>
        <v>0</v>
      </c>
      <c r="G156" s="13"/>
      <c r="H156" s="35">
        <v>151</v>
      </c>
      <c r="I156" s="36" t="str">
        <f t="shared" si="16"/>
        <v/>
      </c>
      <c r="J156" s="35">
        <f t="shared" si="21"/>
        <v>-2</v>
      </c>
      <c r="K156" s="35">
        <f t="shared" si="17"/>
        <v>-20</v>
      </c>
      <c r="L156" s="35"/>
      <c r="M156" s="37">
        <f t="shared" si="18"/>
        <v>0</v>
      </c>
      <c r="N156" s="37">
        <f t="shared" si="19"/>
        <v>0</v>
      </c>
    </row>
    <row r="157" spans="1:14" x14ac:dyDescent="0.25">
      <c r="A157" s="77">
        <f t="shared" si="20"/>
        <v>0</v>
      </c>
      <c r="G157" s="13"/>
      <c r="H157" s="35">
        <v>152</v>
      </c>
      <c r="I157" s="36" t="str">
        <f t="shared" si="16"/>
        <v/>
      </c>
      <c r="J157" s="35">
        <f t="shared" si="21"/>
        <v>-2</v>
      </c>
      <c r="K157" s="35">
        <f t="shared" si="17"/>
        <v>-20</v>
      </c>
      <c r="L157" s="35"/>
      <c r="M157" s="37">
        <f t="shared" si="18"/>
        <v>0</v>
      </c>
      <c r="N157" s="37">
        <f t="shared" si="19"/>
        <v>0</v>
      </c>
    </row>
    <row r="158" spans="1:14" x14ac:dyDescent="0.25">
      <c r="A158" s="76">
        <f t="shared" si="20"/>
        <v>0</v>
      </c>
      <c r="G158" s="13"/>
      <c r="H158" s="35">
        <v>153</v>
      </c>
      <c r="I158" s="36" t="str">
        <f t="shared" si="16"/>
        <v/>
      </c>
      <c r="J158" s="35">
        <f t="shared" si="21"/>
        <v>-2</v>
      </c>
      <c r="K158" s="35">
        <f t="shared" si="17"/>
        <v>-20</v>
      </c>
      <c r="L158" s="35"/>
      <c r="M158" s="37">
        <f t="shared" si="18"/>
        <v>0</v>
      </c>
      <c r="N158" s="37">
        <f t="shared" si="19"/>
        <v>0</v>
      </c>
    </row>
    <row r="159" spans="1:14" x14ac:dyDescent="0.25">
      <c r="A159" s="77">
        <f t="shared" si="20"/>
        <v>0</v>
      </c>
      <c r="G159" s="13"/>
      <c r="H159" s="35">
        <v>154</v>
      </c>
      <c r="I159" s="36" t="str">
        <f t="shared" si="16"/>
        <v/>
      </c>
      <c r="J159" s="35">
        <f t="shared" si="21"/>
        <v>-2</v>
      </c>
      <c r="K159" s="35">
        <f t="shared" si="17"/>
        <v>-20</v>
      </c>
      <c r="L159" s="35"/>
      <c r="M159" s="37">
        <f t="shared" si="18"/>
        <v>0</v>
      </c>
      <c r="N159" s="37">
        <f t="shared" si="19"/>
        <v>0</v>
      </c>
    </row>
    <row r="160" spans="1:14" x14ac:dyDescent="0.25">
      <c r="A160" s="76">
        <f t="shared" si="20"/>
        <v>0</v>
      </c>
      <c r="G160" s="13"/>
      <c r="H160" s="35">
        <v>155</v>
      </c>
      <c r="I160" s="36" t="str">
        <f t="shared" si="16"/>
        <v/>
      </c>
      <c r="J160" s="35">
        <f t="shared" si="21"/>
        <v>-2</v>
      </c>
      <c r="K160" s="35">
        <f t="shared" si="17"/>
        <v>-20</v>
      </c>
      <c r="L160" s="35"/>
      <c r="M160" s="37">
        <f t="shared" si="18"/>
        <v>0</v>
      </c>
      <c r="N160" s="37">
        <f t="shared" si="19"/>
        <v>0</v>
      </c>
    </row>
    <row r="161" spans="1:14" x14ac:dyDescent="0.25">
      <c r="A161" s="77">
        <f t="shared" si="20"/>
        <v>0</v>
      </c>
      <c r="G161" s="13"/>
      <c r="H161" s="35">
        <v>156</v>
      </c>
      <c r="I161" s="36" t="str">
        <f t="shared" si="16"/>
        <v/>
      </c>
      <c r="J161" s="35">
        <f t="shared" si="21"/>
        <v>-2</v>
      </c>
      <c r="K161" s="35">
        <f t="shared" si="17"/>
        <v>-20</v>
      </c>
      <c r="L161" s="35"/>
      <c r="M161" s="37">
        <f t="shared" si="18"/>
        <v>0</v>
      </c>
      <c r="N161" s="37">
        <f t="shared" si="19"/>
        <v>0</v>
      </c>
    </row>
    <row r="162" spans="1:14" x14ac:dyDescent="0.25">
      <c r="A162" s="76">
        <f t="shared" si="20"/>
        <v>0</v>
      </c>
      <c r="G162" s="13"/>
      <c r="H162" s="35">
        <v>157</v>
      </c>
      <c r="I162" s="36" t="str">
        <f t="shared" si="16"/>
        <v/>
      </c>
      <c r="J162" s="35">
        <f t="shared" si="21"/>
        <v>-2</v>
      </c>
      <c r="K162" s="35">
        <f t="shared" si="17"/>
        <v>-20</v>
      </c>
      <c r="L162" s="35"/>
      <c r="M162" s="37">
        <f t="shared" si="18"/>
        <v>0</v>
      </c>
      <c r="N162" s="37">
        <f t="shared" si="19"/>
        <v>0</v>
      </c>
    </row>
    <row r="163" spans="1:14" x14ac:dyDescent="0.25">
      <c r="A163" s="77">
        <f t="shared" si="20"/>
        <v>0</v>
      </c>
      <c r="G163" s="13"/>
      <c r="H163" s="35">
        <v>158</v>
      </c>
      <c r="I163" s="36" t="str">
        <f t="shared" si="16"/>
        <v/>
      </c>
      <c r="J163" s="35">
        <f t="shared" si="21"/>
        <v>-2</v>
      </c>
      <c r="K163" s="35">
        <f t="shared" si="17"/>
        <v>-20</v>
      </c>
      <c r="L163" s="35"/>
      <c r="M163" s="37">
        <f t="shared" si="18"/>
        <v>0</v>
      </c>
      <c r="N163" s="37">
        <f t="shared" si="19"/>
        <v>0</v>
      </c>
    </row>
    <row r="164" spans="1:14" x14ac:dyDescent="0.25">
      <c r="A164" s="76">
        <f t="shared" si="20"/>
        <v>0</v>
      </c>
      <c r="G164" s="13"/>
      <c r="H164" s="35">
        <v>159</v>
      </c>
      <c r="I164" s="36" t="str">
        <f t="shared" si="16"/>
        <v/>
      </c>
      <c r="J164" s="35">
        <f t="shared" si="21"/>
        <v>-2</v>
      </c>
      <c r="K164" s="35">
        <f t="shared" si="17"/>
        <v>-20</v>
      </c>
      <c r="L164" s="35"/>
      <c r="M164" s="37">
        <f t="shared" si="18"/>
        <v>0</v>
      </c>
      <c r="N164" s="37">
        <f t="shared" si="19"/>
        <v>0</v>
      </c>
    </row>
    <row r="165" spans="1:14" x14ac:dyDescent="0.25">
      <c r="A165" s="77">
        <f t="shared" si="20"/>
        <v>0</v>
      </c>
      <c r="G165" s="13"/>
      <c r="H165" s="35">
        <v>160</v>
      </c>
      <c r="I165" s="36" t="str">
        <f t="shared" si="16"/>
        <v/>
      </c>
      <c r="J165" s="35">
        <f t="shared" si="21"/>
        <v>-2</v>
      </c>
      <c r="K165" s="35">
        <f t="shared" si="17"/>
        <v>-20</v>
      </c>
      <c r="L165" s="35"/>
      <c r="M165" s="37">
        <f t="shared" si="18"/>
        <v>0</v>
      </c>
      <c r="N165" s="37">
        <f t="shared" si="19"/>
        <v>0</v>
      </c>
    </row>
    <row r="166" spans="1:14" x14ac:dyDescent="0.25">
      <c r="A166" s="76">
        <f t="shared" si="20"/>
        <v>0</v>
      </c>
      <c r="G166" s="13"/>
      <c r="H166" s="35">
        <v>161</v>
      </c>
      <c r="I166" s="36" t="str">
        <f t="shared" si="16"/>
        <v/>
      </c>
      <c r="J166" s="35">
        <f t="shared" si="21"/>
        <v>-2</v>
      </c>
      <c r="K166" s="35">
        <f t="shared" si="17"/>
        <v>-20</v>
      </c>
      <c r="L166" s="35"/>
      <c r="M166" s="37">
        <f t="shared" si="18"/>
        <v>0</v>
      </c>
      <c r="N166" s="37">
        <f t="shared" si="19"/>
        <v>0</v>
      </c>
    </row>
    <row r="167" spans="1:14" x14ac:dyDescent="0.25">
      <c r="A167" s="77">
        <f t="shared" si="20"/>
        <v>0</v>
      </c>
      <c r="G167" s="13"/>
      <c r="H167" s="35">
        <v>162</v>
      </c>
      <c r="I167" s="36" t="str">
        <f t="shared" si="16"/>
        <v/>
      </c>
      <c r="J167" s="35">
        <f t="shared" si="21"/>
        <v>-2</v>
      </c>
      <c r="K167" s="35">
        <f t="shared" si="17"/>
        <v>-20</v>
      </c>
      <c r="L167" s="35"/>
      <c r="M167" s="37">
        <f t="shared" si="18"/>
        <v>0</v>
      </c>
      <c r="N167" s="37">
        <f t="shared" si="19"/>
        <v>0</v>
      </c>
    </row>
    <row r="168" spans="1:14" x14ac:dyDescent="0.25">
      <c r="A168" s="76">
        <f t="shared" si="20"/>
        <v>0</v>
      </c>
      <c r="G168" s="13"/>
      <c r="H168" s="35">
        <v>163</v>
      </c>
      <c r="I168" s="36" t="str">
        <f t="shared" si="16"/>
        <v/>
      </c>
      <c r="J168" s="35">
        <f t="shared" si="21"/>
        <v>-2</v>
      </c>
      <c r="K168" s="35">
        <f t="shared" si="17"/>
        <v>-20</v>
      </c>
      <c r="L168" s="35"/>
      <c r="M168" s="37">
        <f t="shared" si="18"/>
        <v>0</v>
      </c>
      <c r="N168" s="37">
        <f t="shared" si="19"/>
        <v>0</v>
      </c>
    </row>
    <row r="169" spans="1:14" x14ac:dyDescent="0.25">
      <c r="A169" s="77">
        <f t="shared" si="20"/>
        <v>0</v>
      </c>
      <c r="G169" s="13"/>
      <c r="H169" s="35">
        <v>164</v>
      </c>
      <c r="I169" s="36" t="str">
        <f t="shared" si="16"/>
        <v/>
      </c>
      <c r="J169" s="35">
        <f t="shared" si="21"/>
        <v>-2</v>
      </c>
      <c r="K169" s="35">
        <f t="shared" si="17"/>
        <v>-20</v>
      </c>
      <c r="L169" s="35"/>
      <c r="M169" s="37">
        <f t="shared" si="18"/>
        <v>0</v>
      </c>
      <c r="N169" s="37">
        <f t="shared" si="19"/>
        <v>0</v>
      </c>
    </row>
    <row r="170" spans="1:14" x14ac:dyDescent="0.25">
      <c r="A170" s="76">
        <f t="shared" si="20"/>
        <v>0</v>
      </c>
      <c r="G170" s="13"/>
      <c r="H170" s="35">
        <v>165</v>
      </c>
      <c r="I170" s="36" t="str">
        <f t="shared" si="16"/>
        <v/>
      </c>
      <c r="J170" s="35">
        <f t="shared" si="21"/>
        <v>-2</v>
      </c>
      <c r="K170" s="35">
        <f t="shared" si="17"/>
        <v>-20</v>
      </c>
      <c r="L170" s="35"/>
      <c r="M170" s="37">
        <f t="shared" si="18"/>
        <v>0</v>
      </c>
      <c r="N170" s="37">
        <f t="shared" si="19"/>
        <v>0</v>
      </c>
    </row>
    <row r="171" spans="1:14" x14ac:dyDescent="0.25">
      <c r="A171" s="77">
        <f t="shared" si="20"/>
        <v>0</v>
      </c>
      <c r="G171" s="13"/>
      <c r="H171" s="35">
        <v>166</v>
      </c>
      <c r="I171" s="36" t="str">
        <f t="shared" si="16"/>
        <v/>
      </c>
      <c r="J171" s="35">
        <f t="shared" si="21"/>
        <v>-2</v>
      </c>
      <c r="K171" s="35">
        <f t="shared" si="17"/>
        <v>-20</v>
      </c>
      <c r="L171" s="35"/>
      <c r="M171" s="37">
        <f t="shared" si="18"/>
        <v>0</v>
      </c>
      <c r="N171" s="37">
        <f t="shared" si="19"/>
        <v>0</v>
      </c>
    </row>
    <row r="172" spans="1:14" x14ac:dyDescent="0.25">
      <c r="A172" s="76">
        <f t="shared" si="20"/>
        <v>0</v>
      </c>
      <c r="G172" s="13"/>
      <c r="H172" s="35">
        <v>167</v>
      </c>
      <c r="I172" s="36" t="str">
        <f t="shared" si="16"/>
        <v/>
      </c>
      <c r="J172" s="35">
        <f t="shared" si="21"/>
        <v>-2</v>
      </c>
      <c r="K172" s="35">
        <f t="shared" si="17"/>
        <v>-20</v>
      </c>
      <c r="L172" s="35"/>
      <c r="M172" s="37">
        <f t="shared" si="18"/>
        <v>0</v>
      </c>
      <c r="N172" s="37">
        <f t="shared" si="19"/>
        <v>0</v>
      </c>
    </row>
    <row r="173" spans="1:14" x14ac:dyDescent="0.25">
      <c r="A173" s="77">
        <f t="shared" si="20"/>
        <v>0</v>
      </c>
      <c r="G173" s="13"/>
      <c r="H173" s="35">
        <v>168</v>
      </c>
      <c r="I173" s="36" t="str">
        <f t="shared" si="16"/>
        <v/>
      </c>
      <c r="J173" s="35">
        <f t="shared" si="21"/>
        <v>-2</v>
      </c>
      <c r="K173" s="35">
        <f t="shared" si="17"/>
        <v>-20</v>
      </c>
      <c r="L173" s="35"/>
      <c r="M173" s="37">
        <f t="shared" si="18"/>
        <v>0</v>
      </c>
      <c r="N173" s="37">
        <f t="shared" si="19"/>
        <v>0</v>
      </c>
    </row>
    <row r="174" spans="1:14" x14ac:dyDescent="0.25">
      <c r="A174" s="76">
        <f t="shared" si="20"/>
        <v>0</v>
      </c>
      <c r="G174" s="13"/>
      <c r="H174" s="35">
        <v>169</v>
      </c>
      <c r="I174" s="36" t="str">
        <f t="shared" si="16"/>
        <v/>
      </c>
      <c r="J174" s="35">
        <f t="shared" si="21"/>
        <v>-2</v>
      </c>
      <c r="K174" s="35">
        <f t="shared" si="17"/>
        <v>-20</v>
      </c>
      <c r="L174" s="35"/>
      <c r="M174" s="37">
        <f t="shared" si="18"/>
        <v>0</v>
      </c>
      <c r="N174" s="37">
        <f t="shared" si="19"/>
        <v>0</v>
      </c>
    </row>
    <row r="175" spans="1:14" x14ac:dyDescent="0.25">
      <c r="A175" s="77">
        <f t="shared" si="20"/>
        <v>0</v>
      </c>
      <c r="G175" s="13"/>
      <c r="H175" s="35">
        <v>170</v>
      </c>
      <c r="I175" s="36" t="str">
        <f t="shared" si="16"/>
        <v/>
      </c>
      <c r="J175" s="35">
        <f t="shared" si="21"/>
        <v>-2</v>
      </c>
      <c r="K175" s="35">
        <f t="shared" si="17"/>
        <v>-20</v>
      </c>
      <c r="L175" s="35"/>
      <c r="M175" s="37">
        <f t="shared" si="18"/>
        <v>0</v>
      </c>
      <c r="N175" s="37">
        <f t="shared" si="19"/>
        <v>0</v>
      </c>
    </row>
    <row r="176" spans="1:14" x14ac:dyDescent="0.25">
      <c r="A176" s="76">
        <f t="shared" si="20"/>
        <v>0</v>
      </c>
      <c r="G176" s="13"/>
      <c r="H176" s="35">
        <v>171</v>
      </c>
      <c r="I176" s="36" t="str">
        <f t="shared" si="16"/>
        <v/>
      </c>
      <c r="J176" s="35">
        <f t="shared" si="21"/>
        <v>-2</v>
      </c>
      <c r="K176" s="35">
        <f t="shared" si="17"/>
        <v>-20</v>
      </c>
      <c r="L176" s="35"/>
      <c r="M176" s="37">
        <f t="shared" si="18"/>
        <v>0</v>
      </c>
      <c r="N176" s="37">
        <f t="shared" si="19"/>
        <v>0</v>
      </c>
    </row>
    <row r="177" spans="1:14" x14ac:dyDescent="0.25">
      <c r="A177" s="77">
        <f t="shared" si="20"/>
        <v>0</v>
      </c>
      <c r="G177" s="13"/>
      <c r="H177" s="35">
        <v>172</v>
      </c>
      <c r="I177" s="36" t="str">
        <f t="shared" si="16"/>
        <v/>
      </c>
      <c r="J177" s="35">
        <f t="shared" si="21"/>
        <v>-2</v>
      </c>
      <c r="K177" s="35">
        <f t="shared" si="17"/>
        <v>-20</v>
      </c>
      <c r="L177" s="35"/>
      <c r="M177" s="37">
        <f t="shared" si="18"/>
        <v>0</v>
      </c>
      <c r="N177" s="37">
        <f t="shared" si="19"/>
        <v>0</v>
      </c>
    </row>
    <row r="178" spans="1:14" x14ac:dyDescent="0.25">
      <c r="A178" s="76">
        <f t="shared" si="20"/>
        <v>0</v>
      </c>
      <c r="G178" s="13"/>
      <c r="H178" s="35">
        <v>173</v>
      </c>
      <c r="I178" s="36" t="str">
        <f t="shared" si="16"/>
        <v/>
      </c>
      <c r="J178" s="35">
        <f t="shared" si="21"/>
        <v>-2</v>
      </c>
      <c r="K178" s="35">
        <f t="shared" si="17"/>
        <v>-20</v>
      </c>
      <c r="L178" s="35"/>
      <c r="M178" s="37">
        <f t="shared" si="18"/>
        <v>0</v>
      </c>
      <c r="N178" s="37">
        <f t="shared" si="19"/>
        <v>0</v>
      </c>
    </row>
    <row r="179" spans="1:14" x14ac:dyDescent="0.25">
      <c r="A179" s="77">
        <f t="shared" si="20"/>
        <v>0</v>
      </c>
      <c r="G179" s="13"/>
      <c r="H179" s="35">
        <v>174</v>
      </c>
      <c r="I179" s="36" t="str">
        <f t="shared" si="16"/>
        <v/>
      </c>
      <c r="J179" s="35">
        <f t="shared" si="21"/>
        <v>-2</v>
      </c>
      <c r="K179" s="35">
        <f t="shared" si="17"/>
        <v>-20</v>
      </c>
      <c r="L179" s="35"/>
      <c r="M179" s="37">
        <f t="shared" si="18"/>
        <v>0</v>
      </c>
      <c r="N179" s="37">
        <f t="shared" si="19"/>
        <v>0</v>
      </c>
    </row>
    <row r="180" spans="1:14" x14ac:dyDescent="0.25">
      <c r="A180" s="76">
        <f t="shared" si="20"/>
        <v>0</v>
      </c>
      <c r="G180" s="13"/>
      <c r="H180" s="35">
        <v>175</v>
      </c>
      <c r="I180" s="36" t="str">
        <f t="shared" si="16"/>
        <v/>
      </c>
      <c r="J180" s="35">
        <f t="shared" si="21"/>
        <v>-2</v>
      </c>
      <c r="K180" s="35">
        <f t="shared" si="17"/>
        <v>-20</v>
      </c>
      <c r="L180" s="35"/>
      <c r="M180" s="37">
        <f t="shared" si="18"/>
        <v>0</v>
      </c>
      <c r="N180" s="37">
        <f t="shared" si="19"/>
        <v>0</v>
      </c>
    </row>
    <row r="181" spans="1:14" x14ac:dyDescent="0.25">
      <c r="A181" s="77">
        <f t="shared" si="20"/>
        <v>0</v>
      </c>
      <c r="G181" s="13"/>
      <c r="H181" s="35">
        <v>176</v>
      </c>
      <c r="I181" s="36" t="str">
        <f t="shared" si="16"/>
        <v/>
      </c>
      <c r="J181" s="35">
        <f t="shared" si="21"/>
        <v>-2</v>
      </c>
      <c r="K181" s="35">
        <f t="shared" si="17"/>
        <v>-20</v>
      </c>
      <c r="L181" s="35"/>
      <c r="M181" s="37">
        <f t="shared" si="18"/>
        <v>0</v>
      </c>
      <c r="N181" s="37">
        <f t="shared" si="19"/>
        <v>0</v>
      </c>
    </row>
    <row r="182" spans="1:14" x14ac:dyDescent="0.25">
      <c r="A182" s="76">
        <f t="shared" si="20"/>
        <v>0</v>
      </c>
      <c r="G182" s="13"/>
      <c r="H182" s="35">
        <v>177</v>
      </c>
      <c r="I182" s="36" t="str">
        <f t="shared" si="16"/>
        <v/>
      </c>
      <c r="J182" s="35">
        <f t="shared" si="21"/>
        <v>-2</v>
      </c>
      <c r="K182" s="35">
        <f t="shared" si="17"/>
        <v>-20</v>
      </c>
      <c r="L182" s="35"/>
      <c r="M182" s="37">
        <f t="shared" si="18"/>
        <v>0</v>
      </c>
      <c r="N182" s="37">
        <f t="shared" si="19"/>
        <v>0</v>
      </c>
    </row>
    <row r="183" spans="1:14" x14ac:dyDescent="0.25">
      <c r="A183" s="77">
        <f t="shared" si="20"/>
        <v>0</v>
      </c>
      <c r="G183" s="13"/>
      <c r="H183" s="35">
        <v>178</v>
      </c>
      <c r="I183" s="36" t="str">
        <f t="shared" si="16"/>
        <v/>
      </c>
      <c r="J183" s="35">
        <f t="shared" si="21"/>
        <v>-2</v>
      </c>
      <c r="K183" s="35">
        <f t="shared" si="17"/>
        <v>-20</v>
      </c>
      <c r="L183" s="35"/>
      <c r="M183" s="37">
        <f t="shared" si="18"/>
        <v>0</v>
      </c>
      <c r="N183" s="37">
        <f t="shared" si="19"/>
        <v>0</v>
      </c>
    </row>
    <row r="184" spans="1:14" x14ac:dyDescent="0.25">
      <c r="A184" s="76">
        <f t="shared" si="20"/>
        <v>0</v>
      </c>
      <c r="G184" s="13"/>
      <c r="H184" s="35">
        <v>179</v>
      </c>
      <c r="I184" s="36" t="str">
        <f t="shared" si="16"/>
        <v/>
      </c>
      <c r="J184" s="35">
        <f t="shared" si="21"/>
        <v>-2</v>
      </c>
      <c r="K184" s="35">
        <f t="shared" si="17"/>
        <v>-20</v>
      </c>
      <c r="L184" s="35"/>
      <c r="M184" s="37">
        <f t="shared" si="18"/>
        <v>0</v>
      </c>
      <c r="N184" s="37">
        <f t="shared" si="19"/>
        <v>0</v>
      </c>
    </row>
    <row r="185" spans="1:14" x14ac:dyDescent="0.25">
      <c r="A185" s="77">
        <f t="shared" si="20"/>
        <v>0</v>
      </c>
      <c r="G185" s="13"/>
      <c r="H185" s="35">
        <v>180</v>
      </c>
      <c r="I185" s="36" t="str">
        <f t="shared" si="16"/>
        <v/>
      </c>
      <c r="J185" s="35">
        <f t="shared" si="21"/>
        <v>-2</v>
      </c>
      <c r="K185" s="35">
        <f t="shared" si="17"/>
        <v>-20</v>
      </c>
      <c r="L185" s="35"/>
      <c r="M185" s="37">
        <f t="shared" si="18"/>
        <v>0</v>
      </c>
      <c r="N185" s="37">
        <f t="shared" si="19"/>
        <v>0</v>
      </c>
    </row>
    <row r="186" spans="1:14" x14ac:dyDescent="0.25">
      <c r="A186" s="76">
        <f t="shared" si="20"/>
        <v>0</v>
      </c>
      <c r="G186" s="13"/>
      <c r="H186" s="35">
        <v>181</v>
      </c>
      <c r="I186" s="36" t="str">
        <f t="shared" si="16"/>
        <v/>
      </c>
      <c r="J186" s="35">
        <f t="shared" si="21"/>
        <v>-2</v>
      </c>
      <c r="K186" s="35">
        <f t="shared" si="17"/>
        <v>-20</v>
      </c>
      <c r="L186" s="35"/>
      <c r="M186" s="37">
        <f t="shared" si="18"/>
        <v>0</v>
      </c>
      <c r="N186" s="37">
        <f t="shared" si="19"/>
        <v>0</v>
      </c>
    </row>
    <row r="187" spans="1:14" x14ac:dyDescent="0.25">
      <c r="A187" s="77">
        <f t="shared" si="20"/>
        <v>0</v>
      </c>
      <c r="G187" s="13"/>
      <c r="H187" s="35">
        <v>182</v>
      </c>
      <c r="I187" s="36" t="str">
        <f t="shared" si="16"/>
        <v/>
      </c>
      <c r="J187" s="35">
        <f t="shared" si="21"/>
        <v>-2</v>
      </c>
      <c r="K187" s="35">
        <f t="shared" si="17"/>
        <v>-20</v>
      </c>
      <c r="L187" s="35"/>
      <c r="M187" s="37">
        <f t="shared" si="18"/>
        <v>0</v>
      </c>
      <c r="N187" s="37">
        <f t="shared" si="19"/>
        <v>0</v>
      </c>
    </row>
    <row r="188" spans="1:14" x14ac:dyDescent="0.25">
      <c r="A188" s="76">
        <f t="shared" si="20"/>
        <v>0</v>
      </c>
      <c r="G188" s="13"/>
      <c r="H188" s="35">
        <v>183</v>
      </c>
      <c r="I188" s="36" t="str">
        <f t="shared" si="16"/>
        <v/>
      </c>
      <c r="J188" s="35">
        <f t="shared" si="21"/>
        <v>-2</v>
      </c>
      <c r="K188" s="35">
        <f t="shared" si="17"/>
        <v>-20</v>
      </c>
      <c r="L188" s="35"/>
      <c r="M188" s="37">
        <f t="shared" si="18"/>
        <v>0</v>
      </c>
      <c r="N188" s="37">
        <f t="shared" si="19"/>
        <v>0</v>
      </c>
    </row>
    <row r="189" spans="1:14" x14ac:dyDescent="0.25">
      <c r="A189" s="77">
        <f t="shared" si="20"/>
        <v>0</v>
      </c>
      <c r="G189" s="13"/>
      <c r="H189" s="35">
        <v>184</v>
      </c>
      <c r="I189" s="36" t="str">
        <f t="shared" si="16"/>
        <v/>
      </c>
      <c r="J189" s="35">
        <f t="shared" si="21"/>
        <v>-2</v>
      </c>
      <c r="K189" s="35">
        <f t="shared" si="17"/>
        <v>-20</v>
      </c>
      <c r="L189" s="35"/>
      <c r="M189" s="37">
        <f t="shared" si="18"/>
        <v>0</v>
      </c>
      <c r="N189" s="37">
        <f t="shared" si="19"/>
        <v>0</v>
      </c>
    </row>
    <row r="190" spans="1:14" x14ac:dyDescent="0.25">
      <c r="A190" s="76">
        <f t="shared" si="20"/>
        <v>0</v>
      </c>
      <c r="G190" s="13"/>
      <c r="H190" s="35">
        <v>185</v>
      </c>
      <c r="I190" s="36" t="str">
        <f t="shared" si="16"/>
        <v/>
      </c>
      <c r="J190" s="35">
        <f t="shared" si="21"/>
        <v>-2</v>
      </c>
      <c r="K190" s="35">
        <f t="shared" si="17"/>
        <v>-20</v>
      </c>
      <c r="L190" s="35"/>
      <c r="M190" s="37">
        <f t="shared" si="18"/>
        <v>0</v>
      </c>
      <c r="N190" s="37">
        <f t="shared" si="19"/>
        <v>0</v>
      </c>
    </row>
    <row r="191" spans="1:14" x14ac:dyDescent="0.25">
      <c r="A191" s="77">
        <f t="shared" si="20"/>
        <v>0</v>
      </c>
      <c r="G191" s="13"/>
      <c r="H191" s="35">
        <v>186</v>
      </c>
      <c r="I191" s="36" t="str">
        <f t="shared" si="16"/>
        <v/>
      </c>
      <c r="J191" s="35">
        <f t="shared" si="21"/>
        <v>-2</v>
      </c>
      <c r="K191" s="35">
        <f t="shared" si="17"/>
        <v>-20</v>
      </c>
      <c r="L191" s="35"/>
      <c r="M191" s="37">
        <f t="shared" si="18"/>
        <v>0</v>
      </c>
      <c r="N191" s="37">
        <f t="shared" si="19"/>
        <v>0</v>
      </c>
    </row>
    <row r="192" spans="1:14" x14ac:dyDescent="0.25">
      <c r="A192" s="76">
        <f t="shared" si="20"/>
        <v>0</v>
      </c>
      <c r="G192" s="13"/>
      <c r="H192" s="35">
        <v>187</v>
      </c>
      <c r="I192" s="36" t="str">
        <f t="shared" si="16"/>
        <v/>
      </c>
      <c r="J192" s="35">
        <f t="shared" si="21"/>
        <v>-2</v>
      </c>
      <c r="K192" s="35">
        <f t="shared" si="17"/>
        <v>-20</v>
      </c>
      <c r="L192" s="35"/>
      <c r="M192" s="37">
        <f t="shared" si="18"/>
        <v>0</v>
      </c>
      <c r="N192" s="37">
        <f t="shared" si="19"/>
        <v>0</v>
      </c>
    </row>
    <row r="193" spans="1:14" x14ac:dyDescent="0.25">
      <c r="A193" s="77">
        <f t="shared" si="20"/>
        <v>0</v>
      </c>
      <c r="G193" s="13"/>
      <c r="H193" s="35">
        <v>188</v>
      </c>
      <c r="I193" s="36" t="str">
        <f t="shared" si="16"/>
        <v/>
      </c>
      <c r="J193" s="35">
        <f t="shared" si="21"/>
        <v>-2</v>
      </c>
      <c r="K193" s="35">
        <f t="shared" si="17"/>
        <v>-20</v>
      </c>
      <c r="L193" s="35"/>
      <c r="M193" s="37">
        <f t="shared" si="18"/>
        <v>0</v>
      </c>
      <c r="N193" s="37">
        <f t="shared" si="19"/>
        <v>0</v>
      </c>
    </row>
    <row r="194" spans="1:14" x14ac:dyDescent="0.25">
      <c r="A194" s="76">
        <f t="shared" si="20"/>
        <v>0</v>
      </c>
      <c r="G194" s="13"/>
      <c r="H194" s="35">
        <v>189</v>
      </c>
      <c r="I194" s="36" t="str">
        <f t="shared" si="16"/>
        <v/>
      </c>
      <c r="J194" s="35">
        <f t="shared" si="21"/>
        <v>-2</v>
      </c>
      <c r="K194" s="35">
        <f t="shared" si="17"/>
        <v>-20</v>
      </c>
      <c r="L194" s="35"/>
      <c r="M194" s="37">
        <f t="shared" si="18"/>
        <v>0</v>
      </c>
      <c r="N194" s="37">
        <f t="shared" si="19"/>
        <v>0</v>
      </c>
    </row>
    <row r="195" spans="1:14" x14ac:dyDescent="0.25">
      <c r="A195" s="77">
        <f t="shared" si="20"/>
        <v>0</v>
      </c>
      <c r="G195" s="13"/>
      <c r="H195" s="35">
        <v>190</v>
      </c>
      <c r="I195" s="36" t="str">
        <f t="shared" si="16"/>
        <v/>
      </c>
      <c r="J195" s="35">
        <f t="shared" si="21"/>
        <v>-2</v>
      </c>
      <c r="K195" s="35">
        <f t="shared" si="17"/>
        <v>-20</v>
      </c>
      <c r="L195" s="35"/>
      <c r="M195" s="37">
        <f t="shared" si="18"/>
        <v>0</v>
      </c>
      <c r="N195" s="37">
        <f t="shared" si="19"/>
        <v>0</v>
      </c>
    </row>
    <row r="196" spans="1:14" x14ac:dyDescent="0.25">
      <c r="A196" s="76">
        <f t="shared" si="20"/>
        <v>0</v>
      </c>
      <c r="G196" s="13"/>
      <c r="H196" s="35">
        <v>191</v>
      </c>
      <c r="I196" s="36" t="str">
        <f t="shared" si="16"/>
        <v/>
      </c>
      <c r="J196" s="35">
        <f t="shared" si="21"/>
        <v>-2</v>
      </c>
      <c r="K196" s="35">
        <f t="shared" si="17"/>
        <v>-20</v>
      </c>
      <c r="L196" s="35"/>
      <c r="M196" s="37">
        <f t="shared" si="18"/>
        <v>0</v>
      </c>
      <c r="N196" s="37">
        <f t="shared" si="19"/>
        <v>0</v>
      </c>
    </row>
    <row r="197" spans="1:14" x14ac:dyDescent="0.25">
      <c r="A197" s="77">
        <f t="shared" si="20"/>
        <v>0</v>
      </c>
      <c r="G197" s="13"/>
      <c r="H197" s="35">
        <v>192</v>
      </c>
      <c r="I197" s="36" t="str">
        <f t="shared" si="16"/>
        <v/>
      </c>
      <c r="J197" s="35">
        <f t="shared" si="21"/>
        <v>-2</v>
      </c>
      <c r="K197" s="35">
        <f t="shared" si="17"/>
        <v>-20</v>
      </c>
      <c r="L197" s="35"/>
      <c r="M197" s="37">
        <f t="shared" si="18"/>
        <v>0</v>
      </c>
      <c r="N197" s="37">
        <f t="shared" si="19"/>
        <v>0</v>
      </c>
    </row>
    <row r="198" spans="1:14" x14ac:dyDescent="0.25">
      <c r="A198" s="76">
        <f t="shared" si="20"/>
        <v>0</v>
      </c>
      <c r="G198" s="13"/>
      <c r="H198" s="35">
        <v>193</v>
      </c>
      <c r="I198" s="36" t="str">
        <f t="shared" ref="I198:I261" si="22">IF(H198&lt;$H$2+1,($I$2-($I$2-1)*(LOG(H198)/LOG($H$2))),"")</f>
        <v/>
      </c>
      <c r="J198" s="35">
        <f t="shared" si="21"/>
        <v>-2</v>
      </c>
      <c r="K198" s="35">
        <f t="shared" ref="K198:K261" si="23">J198*$J$2</f>
        <v>-20</v>
      </c>
      <c r="L198" s="35"/>
      <c r="M198" s="37">
        <f t="shared" ref="M198:M261" si="24">IF(I198&lt;&gt;"",K198+I198+L198,0)</f>
        <v>0</v>
      </c>
      <c r="N198" s="37">
        <f t="shared" ref="N198:N261" si="25">IF(I198&lt;&gt;"",M198*L$2,0)</f>
        <v>0</v>
      </c>
    </row>
    <row r="199" spans="1:14" x14ac:dyDescent="0.25">
      <c r="A199" s="77">
        <f t="shared" ref="A199:A262" si="26">N199</f>
        <v>0</v>
      </c>
      <c r="G199" s="13"/>
      <c r="H199" s="35">
        <v>194</v>
      </c>
      <c r="I199" s="36" t="str">
        <f t="shared" si="22"/>
        <v/>
      </c>
      <c r="J199" s="35">
        <f t="shared" ref="J199:J262" si="27">INT(LOG($H$2,2))-ROUNDUP(LOG(H199,2),0)+IF(OR($H$2=1,$H$2=2,$H$2=4,$H$2=8,$H$2=16,$H$2=32,$H$2=64,$H$2=128,$H$2=256),0,1)</f>
        <v>-2</v>
      </c>
      <c r="K199" s="35">
        <f t="shared" si="23"/>
        <v>-20</v>
      </c>
      <c r="L199" s="35"/>
      <c r="M199" s="37">
        <f t="shared" si="24"/>
        <v>0</v>
      </c>
      <c r="N199" s="37">
        <f t="shared" si="25"/>
        <v>0</v>
      </c>
    </row>
    <row r="200" spans="1:14" x14ac:dyDescent="0.25">
      <c r="A200" s="76">
        <f t="shared" si="26"/>
        <v>0</v>
      </c>
      <c r="G200" s="13"/>
      <c r="H200" s="35">
        <v>195</v>
      </c>
      <c r="I200" s="36" t="str">
        <f t="shared" si="22"/>
        <v/>
      </c>
      <c r="J200" s="35">
        <f t="shared" si="27"/>
        <v>-2</v>
      </c>
      <c r="K200" s="35">
        <f t="shared" si="23"/>
        <v>-20</v>
      </c>
      <c r="L200" s="35"/>
      <c r="M200" s="37">
        <f t="shared" si="24"/>
        <v>0</v>
      </c>
      <c r="N200" s="37">
        <f t="shared" si="25"/>
        <v>0</v>
      </c>
    </row>
    <row r="201" spans="1:14" x14ac:dyDescent="0.25">
      <c r="A201" s="56">
        <f t="shared" si="26"/>
        <v>0</v>
      </c>
      <c r="G201" s="13"/>
      <c r="H201" s="35">
        <v>196</v>
      </c>
      <c r="I201" s="36" t="str">
        <f t="shared" si="22"/>
        <v/>
      </c>
      <c r="J201" s="35">
        <f t="shared" si="27"/>
        <v>-2</v>
      </c>
      <c r="K201" s="35">
        <f t="shared" si="23"/>
        <v>-20</v>
      </c>
      <c r="L201" s="35"/>
      <c r="M201" s="37">
        <f t="shared" si="24"/>
        <v>0</v>
      </c>
      <c r="N201" s="37">
        <f t="shared" si="25"/>
        <v>0</v>
      </c>
    </row>
    <row r="202" spans="1:14" x14ac:dyDescent="0.25">
      <c r="A202" s="56">
        <f t="shared" si="26"/>
        <v>0</v>
      </c>
      <c r="G202" s="13"/>
      <c r="H202" s="35">
        <v>197</v>
      </c>
      <c r="I202" s="36" t="str">
        <f t="shared" si="22"/>
        <v/>
      </c>
      <c r="J202" s="35">
        <f t="shared" si="27"/>
        <v>-2</v>
      </c>
      <c r="K202" s="35">
        <f t="shared" si="23"/>
        <v>-20</v>
      </c>
      <c r="L202" s="35"/>
      <c r="M202" s="37">
        <f t="shared" si="24"/>
        <v>0</v>
      </c>
      <c r="N202" s="37">
        <f t="shared" si="25"/>
        <v>0</v>
      </c>
    </row>
    <row r="203" spans="1:14" x14ac:dyDescent="0.25">
      <c r="A203" s="56">
        <f t="shared" si="26"/>
        <v>0</v>
      </c>
      <c r="G203" s="13"/>
      <c r="H203" s="35">
        <v>198</v>
      </c>
      <c r="I203" s="36" t="str">
        <f t="shared" si="22"/>
        <v/>
      </c>
      <c r="J203" s="35">
        <f t="shared" si="27"/>
        <v>-2</v>
      </c>
      <c r="K203" s="35">
        <f t="shared" si="23"/>
        <v>-20</v>
      </c>
      <c r="L203" s="35"/>
      <c r="M203" s="37">
        <f t="shared" si="24"/>
        <v>0</v>
      </c>
      <c r="N203" s="37">
        <f t="shared" si="25"/>
        <v>0</v>
      </c>
    </row>
    <row r="204" spans="1:14" x14ac:dyDescent="0.25">
      <c r="A204" s="56">
        <f t="shared" si="26"/>
        <v>0</v>
      </c>
      <c r="G204" s="13"/>
      <c r="H204" s="35">
        <v>199</v>
      </c>
      <c r="I204" s="36" t="str">
        <f t="shared" si="22"/>
        <v/>
      </c>
      <c r="J204" s="35">
        <f t="shared" si="27"/>
        <v>-2</v>
      </c>
      <c r="K204" s="35">
        <f t="shared" si="23"/>
        <v>-20</v>
      </c>
      <c r="L204" s="35"/>
      <c r="M204" s="37">
        <f t="shared" si="24"/>
        <v>0</v>
      </c>
      <c r="N204" s="37">
        <f t="shared" si="25"/>
        <v>0</v>
      </c>
    </row>
    <row r="205" spans="1:14" x14ac:dyDescent="0.25">
      <c r="A205" s="56">
        <f t="shared" si="26"/>
        <v>0</v>
      </c>
      <c r="G205" s="13"/>
      <c r="H205" s="35">
        <v>200</v>
      </c>
      <c r="I205" s="36" t="str">
        <f t="shared" si="22"/>
        <v/>
      </c>
      <c r="J205" s="35">
        <f t="shared" si="27"/>
        <v>-2</v>
      </c>
      <c r="K205" s="35">
        <f t="shared" si="23"/>
        <v>-20</v>
      </c>
      <c r="L205" s="35"/>
      <c r="M205" s="37">
        <f t="shared" si="24"/>
        <v>0</v>
      </c>
      <c r="N205" s="37">
        <f t="shared" si="25"/>
        <v>0</v>
      </c>
    </row>
    <row r="206" spans="1:14" x14ac:dyDescent="0.25">
      <c r="A206" s="56">
        <f t="shared" si="26"/>
        <v>0</v>
      </c>
      <c r="G206" s="13"/>
      <c r="H206" s="35">
        <v>201</v>
      </c>
      <c r="I206" s="36" t="str">
        <f t="shared" si="22"/>
        <v/>
      </c>
      <c r="J206" s="35">
        <f t="shared" si="27"/>
        <v>-2</v>
      </c>
      <c r="K206" s="35">
        <f t="shared" si="23"/>
        <v>-20</v>
      </c>
      <c r="L206" s="35"/>
      <c r="M206" s="37">
        <f t="shared" si="24"/>
        <v>0</v>
      </c>
      <c r="N206" s="37">
        <f t="shared" si="25"/>
        <v>0</v>
      </c>
    </row>
    <row r="207" spans="1:14" x14ac:dyDescent="0.25">
      <c r="A207" s="56">
        <f t="shared" si="26"/>
        <v>0</v>
      </c>
      <c r="G207" s="13"/>
      <c r="H207" s="35">
        <v>202</v>
      </c>
      <c r="I207" s="36" t="str">
        <f t="shared" si="22"/>
        <v/>
      </c>
      <c r="J207" s="35">
        <f t="shared" si="27"/>
        <v>-2</v>
      </c>
      <c r="K207" s="35">
        <f t="shared" si="23"/>
        <v>-20</v>
      </c>
      <c r="L207" s="35"/>
      <c r="M207" s="37">
        <f t="shared" si="24"/>
        <v>0</v>
      </c>
      <c r="N207" s="37">
        <f t="shared" si="25"/>
        <v>0</v>
      </c>
    </row>
    <row r="208" spans="1:14" x14ac:dyDescent="0.25">
      <c r="A208" s="56">
        <f t="shared" si="26"/>
        <v>0</v>
      </c>
      <c r="G208" s="13"/>
      <c r="H208" s="35">
        <v>203</v>
      </c>
      <c r="I208" s="36" t="str">
        <f t="shared" si="22"/>
        <v/>
      </c>
      <c r="J208" s="35">
        <f t="shared" si="27"/>
        <v>-2</v>
      </c>
      <c r="K208" s="35">
        <f t="shared" si="23"/>
        <v>-20</v>
      </c>
      <c r="L208" s="35"/>
      <c r="M208" s="37">
        <f t="shared" si="24"/>
        <v>0</v>
      </c>
      <c r="N208" s="37">
        <f t="shared" si="25"/>
        <v>0</v>
      </c>
    </row>
    <row r="209" spans="1:14" x14ac:dyDescent="0.25">
      <c r="A209" s="56">
        <f t="shared" si="26"/>
        <v>0</v>
      </c>
      <c r="G209" s="13"/>
      <c r="H209" s="35">
        <v>204</v>
      </c>
      <c r="I209" s="36" t="str">
        <f t="shared" si="22"/>
        <v/>
      </c>
      <c r="J209" s="35">
        <f t="shared" si="27"/>
        <v>-2</v>
      </c>
      <c r="K209" s="35">
        <f t="shared" si="23"/>
        <v>-20</v>
      </c>
      <c r="L209" s="35"/>
      <c r="M209" s="37">
        <f t="shared" si="24"/>
        <v>0</v>
      </c>
      <c r="N209" s="37">
        <f t="shared" si="25"/>
        <v>0</v>
      </c>
    </row>
    <row r="210" spans="1:14" x14ac:dyDescent="0.25">
      <c r="A210" s="56">
        <f t="shared" si="26"/>
        <v>0</v>
      </c>
      <c r="G210" s="13"/>
      <c r="H210" s="35">
        <v>205</v>
      </c>
      <c r="I210" s="36" t="str">
        <f t="shared" si="22"/>
        <v/>
      </c>
      <c r="J210" s="35">
        <f t="shared" si="27"/>
        <v>-2</v>
      </c>
      <c r="K210" s="35">
        <f t="shared" si="23"/>
        <v>-20</v>
      </c>
      <c r="L210" s="35"/>
      <c r="M210" s="37">
        <f t="shared" si="24"/>
        <v>0</v>
      </c>
      <c r="N210" s="37">
        <f t="shared" si="25"/>
        <v>0</v>
      </c>
    </row>
    <row r="211" spans="1:14" x14ac:dyDescent="0.25">
      <c r="A211" s="56">
        <f t="shared" si="26"/>
        <v>0</v>
      </c>
      <c r="G211" s="13"/>
      <c r="H211" s="35">
        <v>206</v>
      </c>
      <c r="I211" s="36" t="str">
        <f t="shared" si="22"/>
        <v/>
      </c>
      <c r="J211" s="35">
        <f t="shared" si="27"/>
        <v>-2</v>
      </c>
      <c r="K211" s="35">
        <f t="shared" si="23"/>
        <v>-20</v>
      </c>
      <c r="L211" s="35"/>
      <c r="M211" s="37">
        <f t="shared" si="24"/>
        <v>0</v>
      </c>
      <c r="N211" s="37">
        <f t="shared" si="25"/>
        <v>0</v>
      </c>
    </row>
    <row r="212" spans="1:14" x14ac:dyDescent="0.25">
      <c r="A212" s="56">
        <f t="shared" si="26"/>
        <v>0</v>
      </c>
      <c r="G212" s="13"/>
      <c r="H212" s="35">
        <v>207</v>
      </c>
      <c r="I212" s="36" t="str">
        <f t="shared" si="22"/>
        <v/>
      </c>
      <c r="J212" s="35">
        <f t="shared" si="27"/>
        <v>-2</v>
      </c>
      <c r="K212" s="35">
        <f t="shared" si="23"/>
        <v>-20</v>
      </c>
      <c r="L212" s="35"/>
      <c r="M212" s="37">
        <f t="shared" si="24"/>
        <v>0</v>
      </c>
      <c r="N212" s="37">
        <f t="shared" si="25"/>
        <v>0</v>
      </c>
    </row>
    <row r="213" spans="1:14" x14ac:dyDescent="0.25">
      <c r="A213" s="56">
        <f t="shared" si="26"/>
        <v>0</v>
      </c>
      <c r="G213" s="13"/>
      <c r="H213" s="35">
        <v>208</v>
      </c>
      <c r="I213" s="36" t="str">
        <f t="shared" si="22"/>
        <v/>
      </c>
      <c r="J213" s="35">
        <f t="shared" si="27"/>
        <v>-2</v>
      </c>
      <c r="K213" s="35">
        <f t="shared" si="23"/>
        <v>-20</v>
      </c>
      <c r="L213" s="35"/>
      <c r="M213" s="37">
        <f t="shared" si="24"/>
        <v>0</v>
      </c>
      <c r="N213" s="37">
        <f t="shared" si="25"/>
        <v>0</v>
      </c>
    </row>
    <row r="214" spans="1:14" x14ac:dyDescent="0.25">
      <c r="A214" s="56">
        <f t="shared" si="26"/>
        <v>0</v>
      </c>
      <c r="G214" s="13"/>
      <c r="H214" s="35">
        <v>209</v>
      </c>
      <c r="I214" s="36" t="str">
        <f t="shared" si="22"/>
        <v/>
      </c>
      <c r="J214" s="35">
        <f t="shared" si="27"/>
        <v>-2</v>
      </c>
      <c r="K214" s="35">
        <f t="shared" si="23"/>
        <v>-20</v>
      </c>
      <c r="L214" s="35"/>
      <c r="M214" s="37">
        <f t="shared" si="24"/>
        <v>0</v>
      </c>
      <c r="N214" s="37">
        <f t="shared" si="25"/>
        <v>0</v>
      </c>
    </row>
    <row r="215" spans="1:14" x14ac:dyDescent="0.25">
      <c r="A215" s="56">
        <f t="shared" si="26"/>
        <v>0</v>
      </c>
      <c r="G215" s="13"/>
      <c r="H215" s="35">
        <v>210</v>
      </c>
      <c r="I215" s="36" t="str">
        <f t="shared" si="22"/>
        <v/>
      </c>
      <c r="J215" s="35">
        <f t="shared" si="27"/>
        <v>-2</v>
      </c>
      <c r="K215" s="35">
        <f t="shared" si="23"/>
        <v>-20</v>
      </c>
      <c r="L215" s="35"/>
      <c r="M215" s="37">
        <f t="shared" si="24"/>
        <v>0</v>
      </c>
      <c r="N215" s="37">
        <f t="shared" si="25"/>
        <v>0</v>
      </c>
    </row>
    <row r="216" spans="1:14" x14ac:dyDescent="0.25">
      <c r="A216" s="56">
        <f t="shared" si="26"/>
        <v>0</v>
      </c>
      <c r="G216" s="13"/>
      <c r="H216" s="35">
        <v>211</v>
      </c>
      <c r="I216" s="36" t="str">
        <f t="shared" si="22"/>
        <v/>
      </c>
      <c r="J216" s="35">
        <f t="shared" si="27"/>
        <v>-2</v>
      </c>
      <c r="K216" s="35">
        <f t="shared" si="23"/>
        <v>-20</v>
      </c>
      <c r="L216" s="35"/>
      <c r="M216" s="37">
        <f t="shared" si="24"/>
        <v>0</v>
      </c>
      <c r="N216" s="37">
        <f t="shared" si="25"/>
        <v>0</v>
      </c>
    </row>
    <row r="217" spans="1:14" x14ac:dyDescent="0.25">
      <c r="A217" s="56">
        <f t="shared" si="26"/>
        <v>0</v>
      </c>
      <c r="G217" s="13"/>
      <c r="H217" s="35">
        <v>212</v>
      </c>
      <c r="I217" s="36" t="str">
        <f t="shared" si="22"/>
        <v/>
      </c>
      <c r="J217" s="35">
        <f t="shared" si="27"/>
        <v>-2</v>
      </c>
      <c r="K217" s="35">
        <f t="shared" si="23"/>
        <v>-20</v>
      </c>
      <c r="L217" s="35"/>
      <c r="M217" s="37">
        <f t="shared" si="24"/>
        <v>0</v>
      </c>
      <c r="N217" s="37">
        <f t="shared" si="25"/>
        <v>0</v>
      </c>
    </row>
    <row r="218" spans="1:14" x14ac:dyDescent="0.25">
      <c r="A218" s="56">
        <f t="shared" si="26"/>
        <v>0</v>
      </c>
      <c r="G218" s="13"/>
      <c r="H218" s="35">
        <v>213</v>
      </c>
      <c r="I218" s="36" t="str">
        <f t="shared" si="22"/>
        <v/>
      </c>
      <c r="J218" s="35">
        <f t="shared" si="27"/>
        <v>-2</v>
      </c>
      <c r="K218" s="35">
        <f t="shared" si="23"/>
        <v>-20</v>
      </c>
      <c r="L218" s="35"/>
      <c r="M218" s="37">
        <f t="shared" si="24"/>
        <v>0</v>
      </c>
      <c r="N218" s="37">
        <f t="shared" si="25"/>
        <v>0</v>
      </c>
    </row>
    <row r="219" spans="1:14" x14ac:dyDescent="0.25">
      <c r="A219" s="56">
        <f t="shared" si="26"/>
        <v>0</v>
      </c>
      <c r="G219" s="13"/>
      <c r="H219" s="35">
        <v>214</v>
      </c>
      <c r="I219" s="36" t="str">
        <f t="shared" si="22"/>
        <v/>
      </c>
      <c r="J219" s="35">
        <f t="shared" si="27"/>
        <v>-2</v>
      </c>
      <c r="K219" s="35">
        <f t="shared" si="23"/>
        <v>-20</v>
      </c>
      <c r="L219" s="35"/>
      <c r="M219" s="37">
        <f t="shared" si="24"/>
        <v>0</v>
      </c>
      <c r="N219" s="37">
        <f t="shared" si="25"/>
        <v>0</v>
      </c>
    </row>
    <row r="220" spans="1:14" x14ac:dyDescent="0.25">
      <c r="A220" s="56">
        <f t="shared" si="26"/>
        <v>0</v>
      </c>
      <c r="G220" s="13"/>
      <c r="H220" s="35">
        <v>215</v>
      </c>
      <c r="I220" s="36" t="str">
        <f t="shared" si="22"/>
        <v/>
      </c>
      <c r="J220" s="35">
        <f t="shared" si="27"/>
        <v>-2</v>
      </c>
      <c r="K220" s="35">
        <f t="shared" si="23"/>
        <v>-20</v>
      </c>
      <c r="L220" s="35"/>
      <c r="M220" s="37">
        <f t="shared" si="24"/>
        <v>0</v>
      </c>
      <c r="N220" s="37">
        <f t="shared" si="25"/>
        <v>0</v>
      </c>
    </row>
    <row r="221" spans="1:14" x14ac:dyDescent="0.25">
      <c r="A221" s="56">
        <f t="shared" si="26"/>
        <v>0</v>
      </c>
      <c r="G221" s="13"/>
      <c r="H221" s="35">
        <v>216</v>
      </c>
      <c r="I221" s="36" t="str">
        <f t="shared" si="22"/>
        <v/>
      </c>
      <c r="J221" s="35">
        <f t="shared" si="27"/>
        <v>-2</v>
      </c>
      <c r="K221" s="35">
        <f t="shared" si="23"/>
        <v>-20</v>
      </c>
      <c r="L221" s="35"/>
      <c r="M221" s="37">
        <f t="shared" si="24"/>
        <v>0</v>
      </c>
      <c r="N221" s="37">
        <f t="shared" si="25"/>
        <v>0</v>
      </c>
    </row>
    <row r="222" spans="1:14" x14ac:dyDescent="0.25">
      <c r="A222" s="56">
        <f t="shared" si="26"/>
        <v>0</v>
      </c>
      <c r="G222" s="13"/>
      <c r="H222" s="35">
        <v>217</v>
      </c>
      <c r="I222" s="36" t="str">
        <f t="shared" si="22"/>
        <v/>
      </c>
      <c r="J222" s="35">
        <f t="shared" si="27"/>
        <v>-2</v>
      </c>
      <c r="K222" s="35">
        <f t="shared" si="23"/>
        <v>-20</v>
      </c>
      <c r="L222" s="35"/>
      <c r="M222" s="37">
        <f t="shared" si="24"/>
        <v>0</v>
      </c>
      <c r="N222" s="37">
        <f t="shared" si="25"/>
        <v>0</v>
      </c>
    </row>
    <row r="223" spans="1:14" x14ac:dyDescent="0.25">
      <c r="A223" s="56">
        <f t="shared" si="26"/>
        <v>0</v>
      </c>
      <c r="G223" s="13"/>
      <c r="H223" s="35">
        <v>218</v>
      </c>
      <c r="I223" s="36" t="str">
        <f t="shared" si="22"/>
        <v/>
      </c>
      <c r="J223" s="35">
        <f t="shared" si="27"/>
        <v>-2</v>
      </c>
      <c r="K223" s="35">
        <f t="shared" si="23"/>
        <v>-20</v>
      </c>
      <c r="L223" s="35"/>
      <c r="M223" s="37">
        <f t="shared" si="24"/>
        <v>0</v>
      </c>
      <c r="N223" s="37">
        <f t="shared" si="25"/>
        <v>0</v>
      </c>
    </row>
    <row r="224" spans="1:14" x14ac:dyDescent="0.25">
      <c r="A224" s="56">
        <f t="shared" si="26"/>
        <v>0</v>
      </c>
      <c r="G224" s="13"/>
      <c r="H224" s="35">
        <v>219</v>
      </c>
      <c r="I224" s="36" t="str">
        <f t="shared" si="22"/>
        <v/>
      </c>
      <c r="J224" s="35">
        <f t="shared" si="27"/>
        <v>-2</v>
      </c>
      <c r="K224" s="35">
        <f t="shared" si="23"/>
        <v>-20</v>
      </c>
      <c r="L224" s="35"/>
      <c r="M224" s="37">
        <f t="shared" si="24"/>
        <v>0</v>
      </c>
      <c r="N224" s="37">
        <f t="shared" si="25"/>
        <v>0</v>
      </c>
    </row>
    <row r="225" spans="1:14" x14ac:dyDescent="0.25">
      <c r="A225" s="56">
        <f t="shared" si="26"/>
        <v>0</v>
      </c>
      <c r="G225" s="13"/>
      <c r="H225" s="35">
        <v>220</v>
      </c>
      <c r="I225" s="36" t="str">
        <f t="shared" si="22"/>
        <v/>
      </c>
      <c r="J225" s="35">
        <f t="shared" si="27"/>
        <v>-2</v>
      </c>
      <c r="K225" s="35">
        <f t="shared" si="23"/>
        <v>-20</v>
      </c>
      <c r="L225" s="35"/>
      <c r="M225" s="37">
        <f t="shared" si="24"/>
        <v>0</v>
      </c>
      <c r="N225" s="37">
        <f t="shared" si="25"/>
        <v>0</v>
      </c>
    </row>
    <row r="226" spans="1:14" x14ac:dyDescent="0.25">
      <c r="A226" s="56">
        <f t="shared" si="26"/>
        <v>0</v>
      </c>
      <c r="G226" s="13"/>
      <c r="H226" s="35">
        <v>221</v>
      </c>
      <c r="I226" s="36" t="str">
        <f t="shared" si="22"/>
        <v/>
      </c>
      <c r="J226" s="35">
        <f t="shared" si="27"/>
        <v>-2</v>
      </c>
      <c r="K226" s="35">
        <f t="shared" si="23"/>
        <v>-20</v>
      </c>
      <c r="L226" s="35"/>
      <c r="M226" s="37">
        <f t="shared" si="24"/>
        <v>0</v>
      </c>
      <c r="N226" s="37">
        <f t="shared" si="25"/>
        <v>0</v>
      </c>
    </row>
    <row r="227" spans="1:14" x14ac:dyDescent="0.25">
      <c r="A227" s="56">
        <f t="shared" si="26"/>
        <v>0</v>
      </c>
      <c r="G227" s="13"/>
      <c r="H227" s="35">
        <v>222</v>
      </c>
      <c r="I227" s="36" t="str">
        <f t="shared" si="22"/>
        <v/>
      </c>
      <c r="J227" s="35">
        <f t="shared" si="27"/>
        <v>-2</v>
      </c>
      <c r="K227" s="35">
        <f t="shared" si="23"/>
        <v>-20</v>
      </c>
      <c r="L227" s="35"/>
      <c r="M227" s="37">
        <f t="shared" si="24"/>
        <v>0</v>
      </c>
      <c r="N227" s="37">
        <f t="shared" si="25"/>
        <v>0</v>
      </c>
    </row>
    <row r="228" spans="1:14" x14ac:dyDescent="0.25">
      <c r="A228" s="56">
        <f t="shared" si="26"/>
        <v>0</v>
      </c>
      <c r="G228" s="13"/>
      <c r="H228" s="35">
        <v>223</v>
      </c>
      <c r="I228" s="36" t="str">
        <f t="shared" si="22"/>
        <v/>
      </c>
      <c r="J228" s="35">
        <f t="shared" si="27"/>
        <v>-2</v>
      </c>
      <c r="K228" s="35">
        <f t="shared" si="23"/>
        <v>-20</v>
      </c>
      <c r="L228" s="35"/>
      <c r="M228" s="37">
        <f t="shared" si="24"/>
        <v>0</v>
      </c>
      <c r="N228" s="37">
        <f t="shared" si="25"/>
        <v>0</v>
      </c>
    </row>
    <row r="229" spans="1:14" x14ac:dyDescent="0.25">
      <c r="A229" s="56">
        <f t="shared" si="26"/>
        <v>0</v>
      </c>
      <c r="G229" s="13"/>
      <c r="H229" s="35">
        <v>224</v>
      </c>
      <c r="I229" s="36" t="str">
        <f t="shared" si="22"/>
        <v/>
      </c>
      <c r="J229" s="35">
        <f t="shared" si="27"/>
        <v>-2</v>
      </c>
      <c r="K229" s="35">
        <f t="shared" si="23"/>
        <v>-20</v>
      </c>
      <c r="L229" s="35"/>
      <c r="M229" s="37">
        <f t="shared" si="24"/>
        <v>0</v>
      </c>
      <c r="N229" s="37">
        <f t="shared" si="25"/>
        <v>0</v>
      </c>
    </row>
    <row r="230" spans="1:14" x14ac:dyDescent="0.25">
      <c r="A230" s="56">
        <f t="shared" si="26"/>
        <v>0</v>
      </c>
      <c r="G230" s="13"/>
      <c r="H230" s="35">
        <v>225</v>
      </c>
      <c r="I230" s="36" t="str">
        <f t="shared" si="22"/>
        <v/>
      </c>
      <c r="J230" s="35">
        <f t="shared" si="27"/>
        <v>-2</v>
      </c>
      <c r="K230" s="35">
        <f t="shared" si="23"/>
        <v>-20</v>
      </c>
      <c r="L230" s="35"/>
      <c r="M230" s="37">
        <f t="shared" si="24"/>
        <v>0</v>
      </c>
      <c r="N230" s="37">
        <f t="shared" si="25"/>
        <v>0</v>
      </c>
    </row>
    <row r="231" spans="1:14" x14ac:dyDescent="0.25">
      <c r="A231" s="56">
        <f t="shared" si="26"/>
        <v>0</v>
      </c>
      <c r="G231" s="13"/>
      <c r="H231" s="35">
        <v>226</v>
      </c>
      <c r="I231" s="36" t="str">
        <f t="shared" si="22"/>
        <v/>
      </c>
      <c r="J231" s="35">
        <f t="shared" si="27"/>
        <v>-2</v>
      </c>
      <c r="K231" s="35">
        <f t="shared" si="23"/>
        <v>-20</v>
      </c>
      <c r="L231" s="35"/>
      <c r="M231" s="37">
        <f t="shared" si="24"/>
        <v>0</v>
      </c>
      <c r="N231" s="37">
        <f t="shared" si="25"/>
        <v>0</v>
      </c>
    </row>
    <row r="232" spans="1:14" x14ac:dyDescent="0.25">
      <c r="A232" s="56">
        <f t="shared" si="26"/>
        <v>0</v>
      </c>
      <c r="G232" s="13"/>
      <c r="H232" s="35">
        <v>227</v>
      </c>
      <c r="I232" s="36" t="str">
        <f t="shared" si="22"/>
        <v/>
      </c>
      <c r="J232" s="35">
        <f t="shared" si="27"/>
        <v>-2</v>
      </c>
      <c r="K232" s="35">
        <f t="shared" si="23"/>
        <v>-20</v>
      </c>
      <c r="L232" s="35"/>
      <c r="M232" s="37">
        <f t="shared" si="24"/>
        <v>0</v>
      </c>
      <c r="N232" s="37">
        <f t="shared" si="25"/>
        <v>0</v>
      </c>
    </row>
    <row r="233" spans="1:14" x14ac:dyDescent="0.25">
      <c r="A233" s="56">
        <f t="shared" si="26"/>
        <v>0</v>
      </c>
      <c r="G233" s="13"/>
      <c r="H233" s="35">
        <v>228</v>
      </c>
      <c r="I233" s="36" t="str">
        <f t="shared" si="22"/>
        <v/>
      </c>
      <c r="J233" s="35">
        <f t="shared" si="27"/>
        <v>-2</v>
      </c>
      <c r="K233" s="35">
        <f t="shared" si="23"/>
        <v>-20</v>
      </c>
      <c r="L233" s="35"/>
      <c r="M233" s="37">
        <f t="shared" si="24"/>
        <v>0</v>
      </c>
      <c r="N233" s="37">
        <f t="shared" si="25"/>
        <v>0</v>
      </c>
    </row>
    <row r="234" spans="1:14" x14ac:dyDescent="0.25">
      <c r="A234" s="56">
        <f t="shared" si="26"/>
        <v>0</v>
      </c>
      <c r="G234" s="13"/>
      <c r="H234" s="35">
        <v>229</v>
      </c>
      <c r="I234" s="36" t="str">
        <f t="shared" si="22"/>
        <v/>
      </c>
      <c r="J234" s="35">
        <f t="shared" si="27"/>
        <v>-2</v>
      </c>
      <c r="K234" s="35">
        <f t="shared" si="23"/>
        <v>-20</v>
      </c>
      <c r="L234" s="35"/>
      <c r="M234" s="37">
        <f t="shared" si="24"/>
        <v>0</v>
      </c>
      <c r="N234" s="37">
        <f t="shared" si="25"/>
        <v>0</v>
      </c>
    </row>
    <row r="235" spans="1:14" x14ac:dyDescent="0.25">
      <c r="A235" s="56">
        <f t="shared" si="26"/>
        <v>0</v>
      </c>
      <c r="G235" s="13"/>
      <c r="H235" s="35">
        <v>230</v>
      </c>
      <c r="I235" s="36" t="str">
        <f t="shared" si="22"/>
        <v/>
      </c>
      <c r="J235" s="35">
        <f t="shared" si="27"/>
        <v>-2</v>
      </c>
      <c r="K235" s="35">
        <f t="shared" si="23"/>
        <v>-20</v>
      </c>
      <c r="L235" s="35"/>
      <c r="M235" s="37">
        <f t="shared" si="24"/>
        <v>0</v>
      </c>
      <c r="N235" s="37">
        <f t="shared" si="25"/>
        <v>0</v>
      </c>
    </row>
    <row r="236" spans="1:14" x14ac:dyDescent="0.25">
      <c r="A236" s="56">
        <f t="shared" si="26"/>
        <v>0</v>
      </c>
      <c r="G236" s="13"/>
      <c r="H236" s="35">
        <v>231</v>
      </c>
      <c r="I236" s="36" t="str">
        <f t="shared" si="22"/>
        <v/>
      </c>
      <c r="J236" s="35">
        <f t="shared" si="27"/>
        <v>-2</v>
      </c>
      <c r="K236" s="35">
        <f t="shared" si="23"/>
        <v>-20</v>
      </c>
      <c r="L236" s="35"/>
      <c r="M236" s="37">
        <f t="shared" si="24"/>
        <v>0</v>
      </c>
      <c r="N236" s="37">
        <f t="shared" si="25"/>
        <v>0</v>
      </c>
    </row>
    <row r="237" spans="1:14" x14ac:dyDescent="0.25">
      <c r="A237" s="56">
        <f t="shared" si="26"/>
        <v>0</v>
      </c>
      <c r="G237" s="13"/>
      <c r="H237" s="35">
        <v>232</v>
      </c>
      <c r="I237" s="36" t="str">
        <f t="shared" si="22"/>
        <v/>
      </c>
      <c r="J237" s="35">
        <f t="shared" si="27"/>
        <v>-2</v>
      </c>
      <c r="K237" s="35">
        <f t="shared" si="23"/>
        <v>-20</v>
      </c>
      <c r="L237" s="35"/>
      <c r="M237" s="37">
        <f t="shared" si="24"/>
        <v>0</v>
      </c>
      <c r="N237" s="37">
        <f t="shared" si="25"/>
        <v>0</v>
      </c>
    </row>
    <row r="238" spans="1:14" x14ac:dyDescent="0.25">
      <c r="A238" s="56">
        <f t="shared" si="26"/>
        <v>0</v>
      </c>
      <c r="G238" s="13"/>
      <c r="H238" s="35">
        <v>233</v>
      </c>
      <c r="I238" s="36" t="str">
        <f t="shared" si="22"/>
        <v/>
      </c>
      <c r="J238" s="35">
        <f t="shared" si="27"/>
        <v>-2</v>
      </c>
      <c r="K238" s="35">
        <f t="shared" si="23"/>
        <v>-20</v>
      </c>
      <c r="L238" s="35"/>
      <c r="M238" s="37">
        <f t="shared" si="24"/>
        <v>0</v>
      </c>
      <c r="N238" s="37">
        <f t="shared" si="25"/>
        <v>0</v>
      </c>
    </row>
    <row r="239" spans="1:14" x14ac:dyDescent="0.25">
      <c r="A239" s="56">
        <f t="shared" si="26"/>
        <v>0</v>
      </c>
      <c r="G239" s="13"/>
      <c r="H239" s="35">
        <v>234</v>
      </c>
      <c r="I239" s="36" t="str">
        <f t="shared" si="22"/>
        <v/>
      </c>
      <c r="J239" s="35">
        <f t="shared" si="27"/>
        <v>-2</v>
      </c>
      <c r="K239" s="35">
        <f t="shared" si="23"/>
        <v>-20</v>
      </c>
      <c r="L239" s="35"/>
      <c r="M239" s="37">
        <f t="shared" si="24"/>
        <v>0</v>
      </c>
      <c r="N239" s="37">
        <f t="shared" si="25"/>
        <v>0</v>
      </c>
    </row>
    <row r="240" spans="1:14" x14ac:dyDescent="0.25">
      <c r="A240" s="56">
        <f t="shared" si="26"/>
        <v>0</v>
      </c>
      <c r="G240" s="13"/>
      <c r="H240" s="35">
        <v>235</v>
      </c>
      <c r="I240" s="36" t="str">
        <f t="shared" si="22"/>
        <v/>
      </c>
      <c r="J240" s="35">
        <f t="shared" si="27"/>
        <v>-2</v>
      </c>
      <c r="K240" s="35">
        <f t="shared" si="23"/>
        <v>-20</v>
      </c>
      <c r="L240" s="35"/>
      <c r="M240" s="37">
        <f t="shared" si="24"/>
        <v>0</v>
      </c>
      <c r="N240" s="37">
        <f t="shared" si="25"/>
        <v>0</v>
      </c>
    </row>
    <row r="241" spans="1:14" x14ac:dyDescent="0.25">
      <c r="A241" s="56">
        <f t="shared" si="26"/>
        <v>0</v>
      </c>
      <c r="G241" s="13"/>
      <c r="H241" s="35">
        <v>236</v>
      </c>
      <c r="I241" s="36" t="str">
        <f t="shared" si="22"/>
        <v/>
      </c>
      <c r="J241" s="35">
        <f t="shared" si="27"/>
        <v>-2</v>
      </c>
      <c r="K241" s="35">
        <f t="shared" si="23"/>
        <v>-20</v>
      </c>
      <c r="L241" s="35"/>
      <c r="M241" s="37">
        <f t="shared" si="24"/>
        <v>0</v>
      </c>
      <c r="N241" s="37">
        <f t="shared" si="25"/>
        <v>0</v>
      </c>
    </row>
    <row r="242" spans="1:14" x14ac:dyDescent="0.25">
      <c r="A242" s="56">
        <f t="shared" si="26"/>
        <v>0</v>
      </c>
      <c r="G242" s="13"/>
      <c r="H242" s="35">
        <v>237</v>
      </c>
      <c r="I242" s="36" t="str">
        <f t="shared" si="22"/>
        <v/>
      </c>
      <c r="J242" s="35">
        <f t="shared" si="27"/>
        <v>-2</v>
      </c>
      <c r="K242" s="35">
        <f t="shared" si="23"/>
        <v>-20</v>
      </c>
      <c r="L242" s="35"/>
      <c r="M242" s="37">
        <f t="shared" si="24"/>
        <v>0</v>
      </c>
      <c r="N242" s="37">
        <f t="shared" si="25"/>
        <v>0</v>
      </c>
    </row>
    <row r="243" spans="1:14" x14ac:dyDescent="0.25">
      <c r="A243" s="56">
        <f t="shared" si="26"/>
        <v>0</v>
      </c>
      <c r="G243" s="13"/>
      <c r="H243" s="35">
        <v>238</v>
      </c>
      <c r="I243" s="36" t="str">
        <f t="shared" si="22"/>
        <v/>
      </c>
      <c r="J243" s="35">
        <f t="shared" si="27"/>
        <v>-2</v>
      </c>
      <c r="K243" s="35">
        <f t="shared" si="23"/>
        <v>-20</v>
      </c>
      <c r="L243" s="35"/>
      <c r="M243" s="37">
        <f t="shared" si="24"/>
        <v>0</v>
      </c>
      <c r="N243" s="37">
        <f t="shared" si="25"/>
        <v>0</v>
      </c>
    </row>
    <row r="244" spans="1:14" x14ac:dyDescent="0.25">
      <c r="A244" s="56">
        <f t="shared" si="26"/>
        <v>0</v>
      </c>
      <c r="G244" s="13"/>
      <c r="H244" s="35">
        <v>239</v>
      </c>
      <c r="I244" s="36" t="str">
        <f t="shared" si="22"/>
        <v/>
      </c>
      <c r="J244" s="35">
        <f t="shared" si="27"/>
        <v>-2</v>
      </c>
      <c r="K244" s="35">
        <f t="shared" si="23"/>
        <v>-20</v>
      </c>
      <c r="L244" s="35"/>
      <c r="M244" s="37">
        <f t="shared" si="24"/>
        <v>0</v>
      </c>
      <c r="N244" s="37">
        <f t="shared" si="25"/>
        <v>0</v>
      </c>
    </row>
    <row r="245" spans="1:14" x14ac:dyDescent="0.25">
      <c r="A245" s="56">
        <f t="shared" si="26"/>
        <v>0</v>
      </c>
      <c r="G245" s="13"/>
      <c r="H245" s="35">
        <v>240</v>
      </c>
      <c r="I245" s="36" t="str">
        <f t="shared" si="22"/>
        <v/>
      </c>
      <c r="J245" s="35">
        <f t="shared" si="27"/>
        <v>-2</v>
      </c>
      <c r="K245" s="35">
        <f t="shared" si="23"/>
        <v>-20</v>
      </c>
      <c r="L245" s="35"/>
      <c r="M245" s="37">
        <f t="shared" si="24"/>
        <v>0</v>
      </c>
      <c r="N245" s="37">
        <f t="shared" si="25"/>
        <v>0</v>
      </c>
    </row>
    <row r="246" spans="1:14" x14ac:dyDescent="0.25">
      <c r="A246" s="56">
        <f t="shared" si="26"/>
        <v>0</v>
      </c>
      <c r="G246" s="13"/>
      <c r="H246" s="35">
        <v>241</v>
      </c>
      <c r="I246" s="36" t="str">
        <f t="shared" si="22"/>
        <v/>
      </c>
      <c r="J246" s="35">
        <f t="shared" si="27"/>
        <v>-2</v>
      </c>
      <c r="K246" s="35">
        <f t="shared" si="23"/>
        <v>-20</v>
      </c>
      <c r="L246" s="35"/>
      <c r="M246" s="37">
        <f t="shared" si="24"/>
        <v>0</v>
      </c>
      <c r="N246" s="37">
        <f t="shared" si="25"/>
        <v>0</v>
      </c>
    </row>
    <row r="247" spans="1:14" x14ac:dyDescent="0.25">
      <c r="A247" s="56">
        <f t="shared" si="26"/>
        <v>0</v>
      </c>
      <c r="G247" s="13"/>
      <c r="H247" s="35">
        <v>242</v>
      </c>
      <c r="I247" s="36" t="str">
        <f t="shared" si="22"/>
        <v/>
      </c>
      <c r="J247" s="35">
        <f t="shared" si="27"/>
        <v>-2</v>
      </c>
      <c r="K247" s="35">
        <f t="shared" si="23"/>
        <v>-20</v>
      </c>
      <c r="L247" s="35"/>
      <c r="M247" s="37">
        <f t="shared" si="24"/>
        <v>0</v>
      </c>
      <c r="N247" s="37">
        <f t="shared" si="25"/>
        <v>0</v>
      </c>
    </row>
    <row r="248" spans="1:14" x14ac:dyDescent="0.25">
      <c r="A248" s="56">
        <f t="shared" si="26"/>
        <v>0</v>
      </c>
      <c r="G248" s="13"/>
      <c r="H248" s="35">
        <v>243</v>
      </c>
      <c r="I248" s="36" t="str">
        <f t="shared" si="22"/>
        <v/>
      </c>
      <c r="J248" s="35">
        <f t="shared" si="27"/>
        <v>-2</v>
      </c>
      <c r="K248" s="35">
        <f t="shared" si="23"/>
        <v>-20</v>
      </c>
      <c r="L248" s="35"/>
      <c r="M248" s="37">
        <f t="shared" si="24"/>
        <v>0</v>
      </c>
      <c r="N248" s="37">
        <f t="shared" si="25"/>
        <v>0</v>
      </c>
    </row>
    <row r="249" spans="1:14" x14ac:dyDescent="0.25">
      <c r="A249" s="56">
        <f t="shared" si="26"/>
        <v>0</v>
      </c>
      <c r="G249" s="13"/>
      <c r="H249" s="35">
        <v>244</v>
      </c>
      <c r="I249" s="36" t="str">
        <f t="shared" si="22"/>
        <v/>
      </c>
      <c r="J249" s="35">
        <f t="shared" si="27"/>
        <v>-2</v>
      </c>
      <c r="K249" s="35">
        <f t="shared" si="23"/>
        <v>-20</v>
      </c>
      <c r="L249" s="35"/>
      <c r="M249" s="37">
        <f t="shared" si="24"/>
        <v>0</v>
      </c>
      <c r="N249" s="37">
        <f t="shared" si="25"/>
        <v>0</v>
      </c>
    </row>
    <row r="250" spans="1:14" x14ac:dyDescent="0.25">
      <c r="A250" s="56">
        <f t="shared" si="26"/>
        <v>0</v>
      </c>
      <c r="G250" s="13"/>
      <c r="H250" s="35">
        <v>245</v>
      </c>
      <c r="I250" s="36" t="str">
        <f t="shared" si="22"/>
        <v/>
      </c>
      <c r="J250" s="35">
        <f t="shared" si="27"/>
        <v>-2</v>
      </c>
      <c r="K250" s="35">
        <f t="shared" si="23"/>
        <v>-20</v>
      </c>
      <c r="L250" s="35"/>
      <c r="M250" s="37">
        <f t="shared" si="24"/>
        <v>0</v>
      </c>
      <c r="N250" s="37">
        <f t="shared" si="25"/>
        <v>0</v>
      </c>
    </row>
    <row r="251" spans="1:14" x14ac:dyDescent="0.25">
      <c r="A251" s="56">
        <f t="shared" si="26"/>
        <v>0</v>
      </c>
      <c r="G251" s="13"/>
      <c r="H251" s="35">
        <v>246</v>
      </c>
      <c r="I251" s="36" t="str">
        <f t="shared" si="22"/>
        <v/>
      </c>
      <c r="J251" s="35">
        <f t="shared" si="27"/>
        <v>-2</v>
      </c>
      <c r="K251" s="35">
        <f t="shared" si="23"/>
        <v>-20</v>
      </c>
      <c r="L251" s="35"/>
      <c r="M251" s="37">
        <f t="shared" si="24"/>
        <v>0</v>
      </c>
      <c r="N251" s="37">
        <f t="shared" si="25"/>
        <v>0</v>
      </c>
    </row>
    <row r="252" spans="1:14" x14ac:dyDescent="0.25">
      <c r="A252" s="56">
        <f t="shared" si="26"/>
        <v>0</v>
      </c>
      <c r="G252" s="13"/>
      <c r="H252" s="35">
        <v>247</v>
      </c>
      <c r="I252" s="36" t="str">
        <f t="shared" si="22"/>
        <v/>
      </c>
      <c r="J252" s="35">
        <f t="shared" si="27"/>
        <v>-2</v>
      </c>
      <c r="K252" s="35">
        <f t="shared" si="23"/>
        <v>-20</v>
      </c>
      <c r="L252" s="35"/>
      <c r="M252" s="37">
        <f t="shared" si="24"/>
        <v>0</v>
      </c>
      <c r="N252" s="37">
        <f t="shared" si="25"/>
        <v>0</v>
      </c>
    </row>
    <row r="253" spans="1:14" x14ac:dyDescent="0.25">
      <c r="A253" s="56">
        <f t="shared" si="26"/>
        <v>0</v>
      </c>
      <c r="G253" s="13"/>
      <c r="H253" s="35">
        <v>248</v>
      </c>
      <c r="I253" s="36" t="str">
        <f t="shared" si="22"/>
        <v/>
      </c>
      <c r="J253" s="35">
        <f t="shared" si="27"/>
        <v>-2</v>
      </c>
      <c r="K253" s="35">
        <f t="shared" si="23"/>
        <v>-20</v>
      </c>
      <c r="L253" s="35"/>
      <c r="M253" s="37">
        <f t="shared" si="24"/>
        <v>0</v>
      </c>
      <c r="N253" s="37">
        <f t="shared" si="25"/>
        <v>0</v>
      </c>
    </row>
    <row r="254" spans="1:14" x14ac:dyDescent="0.25">
      <c r="A254" s="56">
        <f t="shared" si="26"/>
        <v>0</v>
      </c>
      <c r="G254" s="13"/>
      <c r="H254" s="35">
        <v>249</v>
      </c>
      <c r="I254" s="36" t="str">
        <f t="shared" si="22"/>
        <v/>
      </c>
      <c r="J254" s="35">
        <f t="shared" si="27"/>
        <v>-2</v>
      </c>
      <c r="K254" s="35">
        <f t="shared" si="23"/>
        <v>-20</v>
      </c>
      <c r="L254" s="35"/>
      <c r="M254" s="37">
        <f t="shared" si="24"/>
        <v>0</v>
      </c>
      <c r="N254" s="37">
        <f t="shared" si="25"/>
        <v>0</v>
      </c>
    </row>
    <row r="255" spans="1:14" x14ac:dyDescent="0.25">
      <c r="A255" s="56">
        <f t="shared" si="26"/>
        <v>0</v>
      </c>
      <c r="G255" s="13"/>
      <c r="H255" s="35">
        <v>250</v>
      </c>
      <c r="I255" s="36" t="str">
        <f t="shared" si="22"/>
        <v/>
      </c>
      <c r="J255" s="35">
        <f t="shared" si="27"/>
        <v>-2</v>
      </c>
      <c r="K255" s="35">
        <f t="shared" si="23"/>
        <v>-20</v>
      </c>
      <c r="L255" s="35"/>
      <c r="M255" s="37">
        <f t="shared" si="24"/>
        <v>0</v>
      </c>
      <c r="N255" s="37">
        <f t="shared" si="25"/>
        <v>0</v>
      </c>
    </row>
    <row r="256" spans="1:14" x14ac:dyDescent="0.25">
      <c r="A256" s="56">
        <f t="shared" si="26"/>
        <v>0</v>
      </c>
      <c r="G256" s="13"/>
      <c r="H256" s="35">
        <v>251</v>
      </c>
      <c r="I256" s="36" t="str">
        <f t="shared" si="22"/>
        <v/>
      </c>
      <c r="J256" s="35">
        <f t="shared" si="27"/>
        <v>-2</v>
      </c>
      <c r="K256" s="35">
        <f t="shared" si="23"/>
        <v>-20</v>
      </c>
      <c r="L256" s="35"/>
      <c r="M256" s="37">
        <f t="shared" si="24"/>
        <v>0</v>
      </c>
      <c r="N256" s="37">
        <f t="shared" si="25"/>
        <v>0</v>
      </c>
    </row>
    <row r="257" spans="1:14" x14ac:dyDescent="0.25">
      <c r="A257" s="56">
        <f t="shared" si="26"/>
        <v>0</v>
      </c>
      <c r="G257" s="13"/>
      <c r="H257" s="35">
        <v>252</v>
      </c>
      <c r="I257" s="36" t="str">
        <f t="shared" si="22"/>
        <v/>
      </c>
      <c r="J257" s="35">
        <f t="shared" si="27"/>
        <v>-2</v>
      </c>
      <c r="K257" s="35">
        <f t="shared" si="23"/>
        <v>-20</v>
      </c>
      <c r="L257" s="35"/>
      <c r="M257" s="37">
        <f t="shared" si="24"/>
        <v>0</v>
      </c>
      <c r="N257" s="37">
        <f t="shared" si="25"/>
        <v>0</v>
      </c>
    </row>
    <row r="258" spans="1:14" x14ac:dyDescent="0.25">
      <c r="A258" s="56">
        <f t="shared" si="26"/>
        <v>0</v>
      </c>
      <c r="G258" s="13"/>
      <c r="H258" s="35">
        <v>253</v>
      </c>
      <c r="I258" s="36" t="str">
        <f t="shared" si="22"/>
        <v/>
      </c>
      <c r="J258" s="35">
        <f t="shared" si="27"/>
        <v>-2</v>
      </c>
      <c r="K258" s="35">
        <f t="shared" si="23"/>
        <v>-20</v>
      </c>
      <c r="L258" s="35"/>
      <c r="M258" s="37">
        <f t="shared" si="24"/>
        <v>0</v>
      </c>
      <c r="N258" s="37">
        <f t="shared" si="25"/>
        <v>0</v>
      </c>
    </row>
    <row r="259" spans="1:14" x14ac:dyDescent="0.25">
      <c r="A259" s="56">
        <f t="shared" si="26"/>
        <v>0</v>
      </c>
      <c r="G259" s="13"/>
      <c r="H259" s="35">
        <v>254</v>
      </c>
      <c r="I259" s="36" t="str">
        <f t="shared" si="22"/>
        <v/>
      </c>
      <c r="J259" s="35">
        <f t="shared" si="27"/>
        <v>-2</v>
      </c>
      <c r="K259" s="35">
        <f t="shared" si="23"/>
        <v>-20</v>
      </c>
      <c r="L259" s="35"/>
      <c r="M259" s="37">
        <f t="shared" si="24"/>
        <v>0</v>
      </c>
      <c r="N259" s="37">
        <f t="shared" si="25"/>
        <v>0</v>
      </c>
    </row>
    <row r="260" spans="1:14" x14ac:dyDescent="0.25">
      <c r="A260" s="56">
        <f t="shared" si="26"/>
        <v>0</v>
      </c>
      <c r="G260" s="13"/>
      <c r="H260" s="35">
        <v>255</v>
      </c>
      <c r="I260" s="36" t="str">
        <f t="shared" si="22"/>
        <v/>
      </c>
      <c r="J260" s="35">
        <f t="shared" si="27"/>
        <v>-2</v>
      </c>
      <c r="K260" s="35">
        <f t="shared" si="23"/>
        <v>-20</v>
      </c>
      <c r="L260" s="35"/>
      <c r="M260" s="37">
        <f t="shared" si="24"/>
        <v>0</v>
      </c>
      <c r="N260" s="37">
        <f t="shared" si="25"/>
        <v>0</v>
      </c>
    </row>
    <row r="261" spans="1:14" x14ac:dyDescent="0.25">
      <c r="A261" s="56">
        <f t="shared" si="26"/>
        <v>0</v>
      </c>
      <c r="G261" s="13"/>
      <c r="H261" s="35">
        <v>256</v>
      </c>
      <c r="I261" s="36" t="str">
        <f t="shared" si="22"/>
        <v/>
      </c>
      <c r="J261" s="35">
        <f t="shared" si="27"/>
        <v>-2</v>
      </c>
      <c r="K261" s="35">
        <f t="shared" si="23"/>
        <v>-20</v>
      </c>
      <c r="L261" s="35"/>
      <c r="M261" s="37">
        <f t="shared" si="24"/>
        <v>0</v>
      </c>
      <c r="N261" s="37">
        <f t="shared" si="25"/>
        <v>0</v>
      </c>
    </row>
    <row r="262" spans="1:14" x14ac:dyDescent="0.25">
      <c r="A262" s="56">
        <f t="shared" si="26"/>
        <v>0</v>
      </c>
      <c r="G262" s="13"/>
      <c r="H262" s="35">
        <v>257</v>
      </c>
      <c r="I262" s="36" t="str">
        <f t="shared" ref="I262:I305" si="28">IF(H262&lt;$H$2+1,($I$2-($I$2-1)*(LOG(H262)/LOG($H$2))),"")</f>
        <v/>
      </c>
      <c r="J262" s="35">
        <f t="shared" si="27"/>
        <v>-3</v>
      </c>
      <c r="K262" s="35">
        <f t="shared" ref="K262:K305" si="29">J262*$J$2</f>
        <v>-30</v>
      </c>
      <c r="L262" s="35"/>
      <c r="M262" s="37">
        <f t="shared" ref="M262:M305" si="30">IF(I262&lt;&gt;"",K262+I262+L262,0)</f>
        <v>0</v>
      </c>
      <c r="N262" s="37">
        <f t="shared" ref="N262:N305" si="31">IF(I262&lt;&gt;"",M262*L$2,0)</f>
        <v>0</v>
      </c>
    </row>
    <row r="263" spans="1:14" x14ac:dyDescent="0.25">
      <c r="A263" s="56">
        <f t="shared" ref="A263:A305" si="32">N263</f>
        <v>0</v>
      </c>
      <c r="G263" s="13"/>
      <c r="H263" s="35">
        <v>258</v>
      </c>
      <c r="I263" s="36" t="str">
        <f t="shared" si="28"/>
        <v/>
      </c>
      <c r="J263" s="35">
        <f t="shared" ref="J263:J305" si="33">INT(LOG($H$2,2))-ROUNDUP(LOG(H263,2),0)+IF(OR($H$2=1,$H$2=2,$H$2=4,$H$2=8,$H$2=16,$H$2=32,$H$2=64,$H$2=128,$H$2=256),0,1)</f>
        <v>-3</v>
      </c>
      <c r="K263" s="35">
        <f t="shared" si="29"/>
        <v>-30</v>
      </c>
      <c r="L263" s="35"/>
      <c r="M263" s="37">
        <f t="shared" si="30"/>
        <v>0</v>
      </c>
      <c r="N263" s="37">
        <f t="shared" si="31"/>
        <v>0</v>
      </c>
    </row>
    <row r="264" spans="1:14" x14ac:dyDescent="0.25">
      <c r="A264" s="56">
        <f t="shared" si="32"/>
        <v>0</v>
      </c>
      <c r="G264" s="13"/>
      <c r="H264" s="35">
        <v>259</v>
      </c>
      <c r="I264" s="36" t="str">
        <f t="shared" si="28"/>
        <v/>
      </c>
      <c r="J264" s="35">
        <f t="shared" si="33"/>
        <v>-3</v>
      </c>
      <c r="K264" s="35">
        <f t="shared" si="29"/>
        <v>-30</v>
      </c>
      <c r="L264" s="35"/>
      <c r="M264" s="37">
        <f t="shared" si="30"/>
        <v>0</v>
      </c>
      <c r="N264" s="37">
        <f t="shared" si="31"/>
        <v>0</v>
      </c>
    </row>
    <row r="265" spans="1:14" x14ac:dyDescent="0.25">
      <c r="A265" s="56">
        <f t="shared" si="32"/>
        <v>0</v>
      </c>
      <c r="G265" s="13"/>
      <c r="H265" s="35">
        <v>260</v>
      </c>
      <c r="I265" s="36" t="str">
        <f t="shared" si="28"/>
        <v/>
      </c>
      <c r="J265" s="35">
        <f t="shared" si="33"/>
        <v>-3</v>
      </c>
      <c r="K265" s="35">
        <f t="shared" si="29"/>
        <v>-30</v>
      </c>
      <c r="L265" s="35"/>
      <c r="M265" s="37">
        <f t="shared" si="30"/>
        <v>0</v>
      </c>
      <c r="N265" s="37">
        <f t="shared" si="31"/>
        <v>0</v>
      </c>
    </row>
    <row r="266" spans="1:14" x14ac:dyDescent="0.25">
      <c r="A266" s="56">
        <f t="shared" si="32"/>
        <v>0</v>
      </c>
      <c r="G266" s="13"/>
      <c r="H266" s="35">
        <v>261</v>
      </c>
      <c r="I266" s="36" t="str">
        <f t="shared" si="28"/>
        <v/>
      </c>
      <c r="J266" s="35">
        <f t="shared" si="33"/>
        <v>-3</v>
      </c>
      <c r="K266" s="35">
        <f t="shared" si="29"/>
        <v>-30</v>
      </c>
      <c r="L266" s="35"/>
      <c r="M266" s="37">
        <f t="shared" si="30"/>
        <v>0</v>
      </c>
      <c r="N266" s="37">
        <f t="shared" si="31"/>
        <v>0</v>
      </c>
    </row>
    <row r="267" spans="1:14" x14ac:dyDescent="0.25">
      <c r="A267" s="56">
        <f t="shared" si="32"/>
        <v>0</v>
      </c>
      <c r="G267" s="13"/>
      <c r="H267" s="35">
        <v>262</v>
      </c>
      <c r="I267" s="36" t="str">
        <f t="shared" si="28"/>
        <v/>
      </c>
      <c r="J267" s="35">
        <f t="shared" si="33"/>
        <v>-3</v>
      </c>
      <c r="K267" s="35">
        <f t="shared" si="29"/>
        <v>-30</v>
      </c>
      <c r="L267" s="35"/>
      <c r="M267" s="37">
        <f t="shared" si="30"/>
        <v>0</v>
      </c>
      <c r="N267" s="37">
        <f t="shared" si="31"/>
        <v>0</v>
      </c>
    </row>
    <row r="268" spans="1:14" x14ac:dyDescent="0.25">
      <c r="A268" s="56">
        <f t="shared" si="32"/>
        <v>0</v>
      </c>
      <c r="G268" s="13"/>
      <c r="H268" s="35">
        <v>263</v>
      </c>
      <c r="I268" s="36" t="str">
        <f t="shared" si="28"/>
        <v/>
      </c>
      <c r="J268" s="35">
        <f t="shared" si="33"/>
        <v>-3</v>
      </c>
      <c r="K268" s="35">
        <f t="shared" si="29"/>
        <v>-30</v>
      </c>
      <c r="L268" s="35"/>
      <c r="M268" s="37">
        <f t="shared" si="30"/>
        <v>0</v>
      </c>
      <c r="N268" s="37">
        <f t="shared" si="31"/>
        <v>0</v>
      </c>
    </row>
    <row r="269" spans="1:14" x14ac:dyDescent="0.25">
      <c r="A269" s="56">
        <f t="shared" si="32"/>
        <v>0</v>
      </c>
      <c r="G269" s="13"/>
      <c r="H269" s="35">
        <v>264</v>
      </c>
      <c r="I269" s="36" t="str">
        <f t="shared" si="28"/>
        <v/>
      </c>
      <c r="J269" s="35">
        <f t="shared" si="33"/>
        <v>-3</v>
      </c>
      <c r="K269" s="35">
        <f t="shared" si="29"/>
        <v>-30</v>
      </c>
      <c r="L269" s="35"/>
      <c r="M269" s="37">
        <f t="shared" si="30"/>
        <v>0</v>
      </c>
      <c r="N269" s="37">
        <f t="shared" si="31"/>
        <v>0</v>
      </c>
    </row>
    <row r="270" spans="1:14" x14ac:dyDescent="0.25">
      <c r="A270" s="56">
        <f t="shared" si="32"/>
        <v>0</v>
      </c>
      <c r="G270" s="13"/>
      <c r="H270" s="35">
        <v>265</v>
      </c>
      <c r="I270" s="36" t="str">
        <f t="shared" si="28"/>
        <v/>
      </c>
      <c r="J270" s="35">
        <f t="shared" si="33"/>
        <v>-3</v>
      </c>
      <c r="K270" s="35">
        <f t="shared" si="29"/>
        <v>-30</v>
      </c>
      <c r="L270" s="35"/>
      <c r="M270" s="37">
        <f t="shared" si="30"/>
        <v>0</v>
      </c>
      <c r="N270" s="37">
        <f t="shared" si="31"/>
        <v>0</v>
      </c>
    </row>
    <row r="271" spans="1:14" x14ac:dyDescent="0.25">
      <c r="A271" s="56">
        <f t="shared" si="32"/>
        <v>0</v>
      </c>
      <c r="G271" s="13"/>
      <c r="H271" s="35">
        <v>266</v>
      </c>
      <c r="I271" s="36" t="str">
        <f t="shared" si="28"/>
        <v/>
      </c>
      <c r="J271" s="35">
        <f t="shared" si="33"/>
        <v>-3</v>
      </c>
      <c r="K271" s="35">
        <f t="shared" si="29"/>
        <v>-30</v>
      </c>
      <c r="L271" s="35"/>
      <c r="M271" s="37">
        <f t="shared" si="30"/>
        <v>0</v>
      </c>
      <c r="N271" s="37">
        <f t="shared" si="31"/>
        <v>0</v>
      </c>
    </row>
    <row r="272" spans="1:14" x14ac:dyDescent="0.25">
      <c r="A272" s="56">
        <f t="shared" si="32"/>
        <v>0</v>
      </c>
      <c r="G272" s="13"/>
      <c r="H272" s="35">
        <v>267</v>
      </c>
      <c r="I272" s="36" t="str">
        <f t="shared" si="28"/>
        <v/>
      </c>
      <c r="J272" s="35">
        <f t="shared" si="33"/>
        <v>-3</v>
      </c>
      <c r="K272" s="35">
        <f t="shared" si="29"/>
        <v>-30</v>
      </c>
      <c r="L272" s="35"/>
      <c r="M272" s="37">
        <f t="shared" si="30"/>
        <v>0</v>
      </c>
      <c r="N272" s="37">
        <f t="shared" si="31"/>
        <v>0</v>
      </c>
    </row>
    <row r="273" spans="1:14" x14ac:dyDescent="0.25">
      <c r="A273" s="56">
        <f t="shared" si="32"/>
        <v>0</v>
      </c>
      <c r="G273" s="13"/>
      <c r="H273" s="35">
        <v>268</v>
      </c>
      <c r="I273" s="36" t="str">
        <f t="shared" si="28"/>
        <v/>
      </c>
      <c r="J273" s="35">
        <f t="shared" si="33"/>
        <v>-3</v>
      </c>
      <c r="K273" s="35">
        <f t="shared" si="29"/>
        <v>-30</v>
      </c>
      <c r="L273" s="35"/>
      <c r="M273" s="37">
        <f t="shared" si="30"/>
        <v>0</v>
      </c>
      <c r="N273" s="37">
        <f t="shared" si="31"/>
        <v>0</v>
      </c>
    </row>
    <row r="274" spans="1:14" x14ac:dyDescent="0.25">
      <c r="A274" s="56">
        <f t="shared" si="32"/>
        <v>0</v>
      </c>
      <c r="G274" s="13"/>
      <c r="H274" s="35">
        <v>269</v>
      </c>
      <c r="I274" s="36" t="str">
        <f t="shared" si="28"/>
        <v/>
      </c>
      <c r="J274" s="35">
        <f t="shared" si="33"/>
        <v>-3</v>
      </c>
      <c r="K274" s="35">
        <f t="shared" si="29"/>
        <v>-30</v>
      </c>
      <c r="L274" s="35"/>
      <c r="M274" s="37">
        <f t="shared" si="30"/>
        <v>0</v>
      </c>
      <c r="N274" s="37">
        <f t="shared" si="31"/>
        <v>0</v>
      </c>
    </row>
    <row r="275" spans="1:14" x14ac:dyDescent="0.25">
      <c r="A275" s="56">
        <f t="shared" si="32"/>
        <v>0</v>
      </c>
      <c r="G275" s="13"/>
      <c r="H275" s="35">
        <v>270</v>
      </c>
      <c r="I275" s="36" t="str">
        <f t="shared" si="28"/>
        <v/>
      </c>
      <c r="J275" s="35">
        <f t="shared" si="33"/>
        <v>-3</v>
      </c>
      <c r="K275" s="35">
        <f t="shared" si="29"/>
        <v>-30</v>
      </c>
      <c r="L275" s="35"/>
      <c r="M275" s="37">
        <f t="shared" si="30"/>
        <v>0</v>
      </c>
      <c r="N275" s="37">
        <f t="shared" si="31"/>
        <v>0</v>
      </c>
    </row>
    <row r="276" spans="1:14" x14ac:dyDescent="0.25">
      <c r="A276" s="56">
        <f t="shared" si="32"/>
        <v>0</v>
      </c>
      <c r="G276" s="13"/>
      <c r="H276" s="35">
        <v>271</v>
      </c>
      <c r="I276" s="36" t="str">
        <f t="shared" si="28"/>
        <v/>
      </c>
      <c r="J276" s="35">
        <f t="shared" si="33"/>
        <v>-3</v>
      </c>
      <c r="K276" s="35">
        <f t="shared" si="29"/>
        <v>-30</v>
      </c>
      <c r="L276" s="35"/>
      <c r="M276" s="37">
        <f t="shared" si="30"/>
        <v>0</v>
      </c>
      <c r="N276" s="37">
        <f t="shared" si="31"/>
        <v>0</v>
      </c>
    </row>
    <row r="277" spans="1:14" x14ac:dyDescent="0.25">
      <c r="A277" s="56">
        <f t="shared" si="32"/>
        <v>0</v>
      </c>
      <c r="G277" s="13"/>
      <c r="H277" s="35">
        <v>272</v>
      </c>
      <c r="I277" s="36" t="str">
        <f t="shared" si="28"/>
        <v/>
      </c>
      <c r="J277" s="35">
        <f t="shared" si="33"/>
        <v>-3</v>
      </c>
      <c r="K277" s="35">
        <f t="shared" si="29"/>
        <v>-30</v>
      </c>
      <c r="L277" s="35"/>
      <c r="M277" s="37">
        <f t="shared" si="30"/>
        <v>0</v>
      </c>
      <c r="N277" s="37">
        <f t="shared" si="31"/>
        <v>0</v>
      </c>
    </row>
    <row r="278" spans="1:14" x14ac:dyDescent="0.25">
      <c r="A278" s="56">
        <f t="shared" si="32"/>
        <v>0</v>
      </c>
      <c r="G278" s="13"/>
      <c r="H278" s="35">
        <v>273</v>
      </c>
      <c r="I278" s="36" t="str">
        <f t="shared" si="28"/>
        <v/>
      </c>
      <c r="J278" s="35">
        <f t="shared" si="33"/>
        <v>-3</v>
      </c>
      <c r="K278" s="35">
        <f t="shared" si="29"/>
        <v>-30</v>
      </c>
      <c r="L278" s="35"/>
      <c r="M278" s="37">
        <f t="shared" si="30"/>
        <v>0</v>
      </c>
      <c r="N278" s="37">
        <f t="shared" si="31"/>
        <v>0</v>
      </c>
    </row>
    <row r="279" spans="1:14" x14ac:dyDescent="0.25">
      <c r="A279" s="56">
        <f t="shared" si="32"/>
        <v>0</v>
      </c>
      <c r="G279" s="13"/>
      <c r="H279" s="35">
        <v>274</v>
      </c>
      <c r="I279" s="36" t="str">
        <f t="shared" si="28"/>
        <v/>
      </c>
      <c r="J279" s="35">
        <f t="shared" si="33"/>
        <v>-3</v>
      </c>
      <c r="K279" s="35">
        <f t="shared" si="29"/>
        <v>-30</v>
      </c>
      <c r="L279" s="35"/>
      <c r="M279" s="37">
        <f t="shared" si="30"/>
        <v>0</v>
      </c>
      <c r="N279" s="37">
        <f t="shared" si="31"/>
        <v>0</v>
      </c>
    </row>
    <row r="280" spans="1:14" x14ac:dyDescent="0.25">
      <c r="A280" s="56">
        <f t="shared" si="32"/>
        <v>0</v>
      </c>
      <c r="G280" s="13"/>
      <c r="H280" s="35">
        <v>275</v>
      </c>
      <c r="I280" s="36" t="str">
        <f t="shared" si="28"/>
        <v/>
      </c>
      <c r="J280" s="35">
        <f t="shared" si="33"/>
        <v>-3</v>
      </c>
      <c r="K280" s="35">
        <f t="shared" si="29"/>
        <v>-30</v>
      </c>
      <c r="L280" s="35"/>
      <c r="M280" s="37">
        <f t="shared" si="30"/>
        <v>0</v>
      </c>
      <c r="N280" s="37">
        <f t="shared" si="31"/>
        <v>0</v>
      </c>
    </row>
    <row r="281" spans="1:14" x14ac:dyDescent="0.25">
      <c r="A281" s="56">
        <f t="shared" si="32"/>
        <v>0</v>
      </c>
      <c r="G281" s="13"/>
      <c r="H281" s="35">
        <v>276</v>
      </c>
      <c r="I281" s="36" t="str">
        <f t="shared" si="28"/>
        <v/>
      </c>
      <c r="J281" s="35">
        <f t="shared" si="33"/>
        <v>-3</v>
      </c>
      <c r="K281" s="35">
        <f t="shared" si="29"/>
        <v>-30</v>
      </c>
      <c r="L281" s="35"/>
      <c r="M281" s="37">
        <f t="shared" si="30"/>
        <v>0</v>
      </c>
      <c r="N281" s="37">
        <f t="shared" si="31"/>
        <v>0</v>
      </c>
    </row>
    <row r="282" spans="1:14" x14ac:dyDescent="0.25">
      <c r="A282" s="56">
        <f t="shared" si="32"/>
        <v>0</v>
      </c>
      <c r="G282" s="13"/>
      <c r="H282" s="35">
        <v>277</v>
      </c>
      <c r="I282" s="36" t="str">
        <f t="shared" si="28"/>
        <v/>
      </c>
      <c r="J282" s="35">
        <f t="shared" si="33"/>
        <v>-3</v>
      </c>
      <c r="K282" s="35">
        <f t="shared" si="29"/>
        <v>-30</v>
      </c>
      <c r="L282" s="35"/>
      <c r="M282" s="37">
        <f t="shared" si="30"/>
        <v>0</v>
      </c>
      <c r="N282" s="37">
        <f t="shared" si="31"/>
        <v>0</v>
      </c>
    </row>
    <row r="283" spans="1:14" x14ac:dyDescent="0.25">
      <c r="A283" s="56">
        <f t="shared" si="32"/>
        <v>0</v>
      </c>
      <c r="G283" s="13"/>
      <c r="H283" s="35">
        <v>278</v>
      </c>
      <c r="I283" s="36" t="str">
        <f t="shared" si="28"/>
        <v/>
      </c>
      <c r="J283" s="35">
        <f t="shared" si="33"/>
        <v>-3</v>
      </c>
      <c r="K283" s="35">
        <f t="shared" si="29"/>
        <v>-30</v>
      </c>
      <c r="L283" s="35"/>
      <c r="M283" s="37">
        <f t="shared" si="30"/>
        <v>0</v>
      </c>
      <c r="N283" s="37">
        <f t="shared" si="31"/>
        <v>0</v>
      </c>
    </row>
    <row r="284" spans="1:14" x14ac:dyDescent="0.25">
      <c r="A284" s="56">
        <f t="shared" si="32"/>
        <v>0</v>
      </c>
      <c r="G284" s="13"/>
      <c r="H284" s="35">
        <v>279</v>
      </c>
      <c r="I284" s="36" t="str">
        <f t="shared" si="28"/>
        <v/>
      </c>
      <c r="J284" s="35">
        <f t="shared" si="33"/>
        <v>-3</v>
      </c>
      <c r="K284" s="35">
        <f t="shared" si="29"/>
        <v>-30</v>
      </c>
      <c r="L284" s="35"/>
      <c r="M284" s="37">
        <f t="shared" si="30"/>
        <v>0</v>
      </c>
      <c r="N284" s="37">
        <f t="shared" si="31"/>
        <v>0</v>
      </c>
    </row>
    <row r="285" spans="1:14" x14ac:dyDescent="0.25">
      <c r="A285" s="56">
        <f t="shared" si="32"/>
        <v>0</v>
      </c>
      <c r="G285" s="13"/>
      <c r="H285" s="35">
        <v>280</v>
      </c>
      <c r="I285" s="36" t="str">
        <f t="shared" si="28"/>
        <v/>
      </c>
      <c r="J285" s="35">
        <f t="shared" si="33"/>
        <v>-3</v>
      </c>
      <c r="K285" s="35">
        <f t="shared" si="29"/>
        <v>-30</v>
      </c>
      <c r="L285" s="35"/>
      <c r="M285" s="37">
        <f t="shared" si="30"/>
        <v>0</v>
      </c>
      <c r="N285" s="37">
        <f t="shared" si="31"/>
        <v>0</v>
      </c>
    </row>
    <row r="286" spans="1:14" x14ac:dyDescent="0.25">
      <c r="A286" s="56">
        <f t="shared" si="32"/>
        <v>0</v>
      </c>
      <c r="G286" s="13"/>
      <c r="H286" s="35">
        <v>281</v>
      </c>
      <c r="I286" s="36" t="str">
        <f t="shared" si="28"/>
        <v/>
      </c>
      <c r="J286" s="35">
        <f t="shared" si="33"/>
        <v>-3</v>
      </c>
      <c r="K286" s="35">
        <f t="shared" si="29"/>
        <v>-30</v>
      </c>
      <c r="L286" s="35"/>
      <c r="M286" s="37">
        <f t="shared" si="30"/>
        <v>0</v>
      </c>
      <c r="N286" s="37">
        <f t="shared" si="31"/>
        <v>0</v>
      </c>
    </row>
    <row r="287" spans="1:14" x14ac:dyDescent="0.25">
      <c r="A287" s="56">
        <f t="shared" si="32"/>
        <v>0</v>
      </c>
      <c r="G287" s="13"/>
      <c r="H287" s="35">
        <v>282</v>
      </c>
      <c r="I287" s="36" t="str">
        <f t="shared" si="28"/>
        <v/>
      </c>
      <c r="J287" s="35">
        <f t="shared" si="33"/>
        <v>-3</v>
      </c>
      <c r="K287" s="35">
        <f t="shared" si="29"/>
        <v>-30</v>
      </c>
      <c r="L287" s="35"/>
      <c r="M287" s="37">
        <f t="shared" si="30"/>
        <v>0</v>
      </c>
      <c r="N287" s="37">
        <f t="shared" si="31"/>
        <v>0</v>
      </c>
    </row>
    <row r="288" spans="1:14" x14ac:dyDescent="0.25">
      <c r="A288" s="56">
        <f t="shared" si="32"/>
        <v>0</v>
      </c>
      <c r="G288" s="13"/>
      <c r="H288" s="35">
        <v>283</v>
      </c>
      <c r="I288" s="36" t="str">
        <f t="shared" si="28"/>
        <v/>
      </c>
      <c r="J288" s="35">
        <f t="shared" si="33"/>
        <v>-3</v>
      </c>
      <c r="K288" s="35">
        <f t="shared" si="29"/>
        <v>-30</v>
      </c>
      <c r="L288" s="35"/>
      <c r="M288" s="37">
        <f t="shared" si="30"/>
        <v>0</v>
      </c>
      <c r="N288" s="37">
        <f t="shared" si="31"/>
        <v>0</v>
      </c>
    </row>
    <row r="289" spans="1:14" x14ac:dyDescent="0.25">
      <c r="A289" s="56">
        <f t="shared" si="32"/>
        <v>0</v>
      </c>
      <c r="G289" s="13"/>
      <c r="H289" s="35">
        <v>284</v>
      </c>
      <c r="I289" s="36" t="str">
        <f t="shared" si="28"/>
        <v/>
      </c>
      <c r="J289" s="35">
        <f t="shared" si="33"/>
        <v>-3</v>
      </c>
      <c r="K289" s="35">
        <f t="shared" si="29"/>
        <v>-30</v>
      </c>
      <c r="L289" s="35"/>
      <c r="M289" s="37">
        <f t="shared" si="30"/>
        <v>0</v>
      </c>
      <c r="N289" s="37">
        <f t="shared" si="31"/>
        <v>0</v>
      </c>
    </row>
    <row r="290" spans="1:14" x14ac:dyDescent="0.25">
      <c r="A290" s="56">
        <f t="shared" si="32"/>
        <v>0</v>
      </c>
      <c r="G290" s="13"/>
      <c r="H290" s="35">
        <v>285</v>
      </c>
      <c r="I290" s="36" t="str">
        <f t="shared" si="28"/>
        <v/>
      </c>
      <c r="J290" s="35">
        <f t="shared" si="33"/>
        <v>-3</v>
      </c>
      <c r="K290" s="35">
        <f t="shared" si="29"/>
        <v>-30</v>
      </c>
      <c r="L290" s="35"/>
      <c r="M290" s="37">
        <f t="shared" si="30"/>
        <v>0</v>
      </c>
      <c r="N290" s="37">
        <f t="shared" si="31"/>
        <v>0</v>
      </c>
    </row>
    <row r="291" spans="1:14" x14ac:dyDescent="0.25">
      <c r="A291" s="56">
        <f t="shared" si="32"/>
        <v>0</v>
      </c>
      <c r="G291" s="13"/>
      <c r="H291" s="35">
        <v>286</v>
      </c>
      <c r="I291" s="36" t="str">
        <f t="shared" si="28"/>
        <v/>
      </c>
      <c r="J291" s="35">
        <f t="shared" si="33"/>
        <v>-3</v>
      </c>
      <c r="K291" s="35">
        <f t="shared" si="29"/>
        <v>-30</v>
      </c>
      <c r="L291" s="35"/>
      <c r="M291" s="37">
        <f t="shared" si="30"/>
        <v>0</v>
      </c>
      <c r="N291" s="37">
        <f t="shared" si="31"/>
        <v>0</v>
      </c>
    </row>
    <row r="292" spans="1:14" x14ac:dyDescent="0.25">
      <c r="A292" s="56">
        <f t="shared" si="32"/>
        <v>0</v>
      </c>
      <c r="G292" s="13"/>
      <c r="H292" s="35">
        <v>287</v>
      </c>
      <c r="I292" s="36" t="str">
        <f t="shared" si="28"/>
        <v/>
      </c>
      <c r="J292" s="35">
        <f t="shared" si="33"/>
        <v>-3</v>
      </c>
      <c r="K292" s="35">
        <f t="shared" si="29"/>
        <v>-30</v>
      </c>
      <c r="L292" s="35"/>
      <c r="M292" s="37">
        <f t="shared" si="30"/>
        <v>0</v>
      </c>
      <c r="N292" s="37">
        <f t="shared" si="31"/>
        <v>0</v>
      </c>
    </row>
    <row r="293" spans="1:14" x14ac:dyDescent="0.25">
      <c r="A293" s="56">
        <f t="shared" si="32"/>
        <v>0</v>
      </c>
      <c r="G293" s="13"/>
      <c r="H293" s="35">
        <v>288</v>
      </c>
      <c r="I293" s="36" t="str">
        <f t="shared" si="28"/>
        <v/>
      </c>
      <c r="J293" s="35">
        <f t="shared" si="33"/>
        <v>-3</v>
      </c>
      <c r="K293" s="35">
        <f t="shared" si="29"/>
        <v>-30</v>
      </c>
      <c r="L293" s="35"/>
      <c r="M293" s="37">
        <f t="shared" si="30"/>
        <v>0</v>
      </c>
      <c r="N293" s="37">
        <f t="shared" si="31"/>
        <v>0</v>
      </c>
    </row>
    <row r="294" spans="1:14" x14ac:dyDescent="0.25">
      <c r="A294" s="56">
        <f t="shared" si="32"/>
        <v>0</v>
      </c>
      <c r="G294" s="13"/>
      <c r="H294" s="35">
        <v>289</v>
      </c>
      <c r="I294" s="36" t="str">
        <f t="shared" si="28"/>
        <v/>
      </c>
      <c r="J294" s="35">
        <f t="shared" si="33"/>
        <v>-3</v>
      </c>
      <c r="K294" s="35">
        <f t="shared" si="29"/>
        <v>-30</v>
      </c>
      <c r="L294" s="35"/>
      <c r="M294" s="37">
        <f t="shared" si="30"/>
        <v>0</v>
      </c>
      <c r="N294" s="37">
        <f t="shared" si="31"/>
        <v>0</v>
      </c>
    </row>
    <row r="295" spans="1:14" x14ac:dyDescent="0.25">
      <c r="A295" s="56">
        <f t="shared" si="32"/>
        <v>0</v>
      </c>
      <c r="G295" s="13"/>
      <c r="H295" s="35">
        <v>290</v>
      </c>
      <c r="I295" s="36" t="str">
        <f t="shared" si="28"/>
        <v/>
      </c>
      <c r="J295" s="35">
        <f t="shared" si="33"/>
        <v>-3</v>
      </c>
      <c r="K295" s="35">
        <f t="shared" si="29"/>
        <v>-30</v>
      </c>
      <c r="L295" s="35"/>
      <c r="M295" s="37">
        <f t="shared" si="30"/>
        <v>0</v>
      </c>
      <c r="N295" s="37">
        <f t="shared" si="31"/>
        <v>0</v>
      </c>
    </row>
    <row r="296" spans="1:14" x14ac:dyDescent="0.25">
      <c r="A296" s="56">
        <f t="shared" si="32"/>
        <v>0</v>
      </c>
      <c r="G296" s="13"/>
      <c r="H296" s="35">
        <v>291</v>
      </c>
      <c r="I296" s="36" t="str">
        <f t="shared" si="28"/>
        <v/>
      </c>
      <c r="J296" s="35">
        <f t="shared" si="33"/>
        <v>-3</v>
      </c>
      <c r="K296" s="35">
        <f t="shared" si="29"/>
        <v>-30</v>
      </c>
      <c r="L296" s="35"/>
      <c r="M296" s="37">
        <f t="shared" si="30"/>
        <v>0</v>
      </c>
      <c r="N296" s="37">
        <f t="shared" si="31"/>
        <v>0</v>
      </c>
    </row>
    <row r="297" spans="1:14" x14ac:dyDescent="0.25">
      <c r="A297" s="56">
        <f t="shared" si="32"/>
        <v>0</v>
      </c>
      <c r="G297" s="13"/>
      <c r="H297" s="35">
        <v>292</v>
      </c>
      <c r="I297" s="36" t="str">
        <f t="shared" si="28"/>
        <v/>
      </c>
      <c r="J297" s="35">
        <f t="shared" si="33"/>
        <v>-3</v>
      </c>
      <c r="K297" s="35">
        <f t="shared" si="29"/>
        <v>-30</v>
      </c>
      <c r="L297" s="35"/>
      <c r="M297" s="37">
        <f t="shared" si="30"/>
        <v>0</v>
      </c>
      <c r="N297" s="37">
        <f t="shared" si="31"/>
        <v>0</v>
      </c>
    </row>
    <row r="298" spans="1:14" x14ac:dyDescent="0.25">
      <c r="A298" s="56">
        <f t="shared" si="32"/>
        <v>0</v>
      </c>
      <c r="G298" s="13"/>
      <c r="H298" s="35">
        <v>293</v>
      </c>
      <c r="I298" s="36" t="str">
        <f t="shared" si="28"/>
        <v/>
      </c>
      <c r="J298" s="35">
        <f t="shared" si="33"/>
        <v>-3</v>
      </c>
      <c r="K298" s="35">
        <f t="shared" si="29"/>
        <v>-30</v>
      </c>
      <c r="L298" s="35"/>
      <c r="M298" s="37">
        <f t="shared" si="30"/>
        <v>0</v>
      </c>
      <c r="N298" s="37">
        <f t="shared" si="31"/>
        <v>0</v>
      </c>
    </row>
    <row r="299" spans="1:14" x14ac:dyDescent="0.25">
      <c r="A299" s="56">
        <f t="shared" si="32"/>
        <v>0</v>
      </c>
      <c r="G299" s="13"/>
      <c r="H299" s="35">
        <v>294</v>
      </c>
      <c r="I299" s="36" t="str">
        <f t="shared" si="28"/>
        <v/>
      </c>
      <c r="J299" s="35">
        <f t="shared" si="33"/>
        <v>-3</v>
      </c>
      <c r="K299" s="35">
        <f t="shared" si="29"/>
        <v>-30</v>
      </c>
      <c r="L299" s="35"/>
      <c r="M299" s="37">
        <f t="shared" si="30"/>
        <v>0</v>
      </c>
      <c r="N299" s="37">
        <f t="shared" si="31"/>
        <v>0</v>
      </c>
    </row>
    <row r="300" spans="1:14" x14ac:dyDescent="0.25">
      <c r="A300" s="56">
        <f t="shared" si="32"/>
        <v>0</v>
      </c>
      <c r="G300" s="13"/>
      <c r="H300" s="35">
        <v>295</v>
      </c>
      <c r="I300" s="36" t="str">
        <f t="shared" si="28"/>
        <v/>
      </c>
      <c r="J300" s="35">
        <f t="shared" si="33"/>
        <v>-3</v>
      </c>
      <c r="K300" s="35">
        <f t="shared" si="29"/>
        <v>-30</v>
      </c>
      <c r="L300" s="35"/>
      <c r="M300" s="37">
        <f t="shared" si="30"/>
        <v>0</v>
      </c>
      <c r="N300" s="37">
        <f t="shared" si="31"/>
        <v>0</v>
      </c>
    </row>
    <row r="301" spans="1:14" x14ac:dyDescent="0.25">
      <c r="A301" s="56">
        <f t="shared" si="32"/>
        <v>0</v>
      </c>
      <c r="G301" s="13"/>
      <c r="H301" s="35">
        <v>296</v>
      </c>
      <c r="I301" s="36" t="str">
        <f t="shared" si="28"/>
        <v/>
      </c>
      <c r="J301" s="35">
        <f t="shared" si="33"/>
        <v>-3</v>
      </c>
      <c r="K301" s="35">
        <f t="shared" si="29"/>
        <v>-30</v>
      </c>
      <c r="L301" s="35"/>
      <c r="M301" s="37">
        <f t="shared" si="30"/>
        <v>0</v>
      </c>
      <c r="N301" s="37">
        <f t="shared" si="31"/>
        <v>0</v>
      </c>
    </row>
    <row r="302" spans="1:14" x14ac:dyDescent="0.25">
      <c r="A302" s="56">
        <f t="shared" si="32"/>
        <v>0</v>
      </c>
      <c r="G302" s="13"/>
      <c r="H302" s="35">
        <v>297</v>
      </c>
      <c r="I302" s="36" t="str">
        <f t="shared" si="28"/>
        <v/>
      </c>
      <c r="J302" s="35">
        <f t="shared" si="33"/>
        <v>-3</v>
      </c>
      <c r="K302" s="35">
        <f t="shared" si="29"/>
        <v>-30</v>
      </c>
      <c r="L302" s="35"/>
      <c r="M302" s="37">
        <f t="shared" si="30"/>
        <v>0</v>
      </c>
      <c r="N302" s="37">
        <f t="shared" si="31"/>
        <v>0</v>
      </c>
    </row>
    <row r="303" spans="1:14" x14ac:dyDescent="0.25">
      <c r="A303" s="56">
        <f t="shared" si="32"/>
        <v>0</v>
      </c>
      <c r="G303" s="13"/>
      <c r="H303" s="35">
        <v>298</v>
      </c>
      <c r="I303" s="36" t="str">
        <f t="shared" si="28"/>
        <v/>
      </c>
      <c r="J303" s="35">
        <f t="shared" si="33"/>
        <v>-3</v>
      </c>
      <c r="K303" s="35">
        <f t="shared" si="29"/>
        <v>-30</v>
      </c>
      <c r="L303" s="35"/>
      <c r="M303" s="37">
        <f t="shared" si="30"/>
        <v>0</v>
      </c>
      <c r="N303" s="37">
        <f t="shared" si="31"/>
        <v>0</v>
      </c>
    </row>
    <row r="304" spans="1:14" x14ac:dyDescent="0.25">
      <c r="A304" s="56">
        <f t="shared" si="32"/>
        <v>0</v>
      </c>
      <c r="G304" s="13"/>
      <c r="H304" s="35">
        <v>299</v>
      </c>
      <c r="I304" s="36" t="str">
        <f t="shared" si="28"/>
        <v/>
      </c>
      <c r="J304" s="35">
        <f t="shared" si="33"/>
        <v>-3</v>
      </c>
      <c r="K304" s="35">
        <f t="shared" si="29"/>
        <v>-30</v>
      </c>
      <c r="L304" s="35"/>
      <c r="M304" s="37">
        <f t="shared" si="30"/>
        <v>0</v>
      </c>
      <c r="N304" s="37">
        <f t="shared" si="31"/>
        <v>0</v>
      </c>
    </row>
    <row r="305" spans="1:17" x14ac:dyDescent="0.25">
      <c r="A305" s="56">
        <f t="shared" si="32"/>
        <v>0</v>
      </c>
      <c r="G305" s="13"/>
      <c r="H305" s="35">
        <v>300</v>
      </c>
      <c r="I305" s="36" t="str">
        <f t="shared" si="28"/>
        <v/>
      </c>
      <c r="J305" s="35">
        <f t="shared" si="33"/>
        <v>-3</v>
      </c>
      <c r="K305" s="35">
        <f t="shared" si="29"/>
        <v>-30</v>
      </c>
      <c r="L305" s="35"/>
      <c r="M305" s="37">
        <f t="shared" si="30"/>
        <v>0</v>
      </c>
      <c r="N305" s="37">
        <f t="shared" si="31"/>
        <v>0</v>
      </c>
    </row>
    <row r="306" spans="1:17" x14ac:dyDescent="0.25">
      <c r="A306" s="58"/>
    </row>
    <row r="314" spans="1:17" x14ac:dyDescent="0.25">
      <c r="L314" s="61"/>
      <c r="M314" s="61"/>
      <c r="Q314" s="51"/>
    </row>
    <row r="315" spans="1:17" x14ac:dyDescent="0.25">
      <c r="L315" s="61"/>
      <c r="M315" s="61"/>
      <c r="Q315" s="51"/>
    </row>
    <row r="316" spans="1:17" x14ac:dyDescent="0.25">
      <c r="L316" s="61"/>
      <c r="M316" s="61"/>
      <c r="Q316" s="51"/>
    </row>
    <row r="317" spans="1:17" x14ac:dyDescent="0.25">
      <c r="L317" s="61"/>
      <c r="M317" s="61"/>
      <c r="Q317" s="51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CD3AA86D-835B-4A21-AED3-A77EF9F7F4F2}">
      <formula1>#REF!</formula1>
    </dataValidation>
  </dataValidations>
  <hyperlinks>
    <hyperlink ref="C2" r:id="rId1" display="https://www.fencingtimelive.com/events/results/ABAADCA376B1472397749EEA732DC198" xr:uid="{BCBE1BA6-C31B-4154-87E5-018F3A86026E}"/>
    <hyperlink ref="C2:D2" r:id="rId2" display="Płowdiw" xr:uid="{6B1427F7-261E-423A-9B45-B3D3546B5944}"/>
  </hyperlinks>
  <pageMargins left="0.7" right="0.7" top="0.75" bottom="0.75" header="0.3" footer="0.3"/>
  <pageSetup paperSize="9" orientation="portrait" r:id="rId3"/>
  <ignoredErrors>
    <ignoredError sqref="K30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2025-07-16T23:40:56Z</dcterms:modified>
  <cp:category/>
  <cp:contentStatus/>
</cp:coreProperties>
</file>