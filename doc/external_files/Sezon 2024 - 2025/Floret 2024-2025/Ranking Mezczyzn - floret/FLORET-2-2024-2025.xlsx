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Mezczyzn - floret/"/>
    </mc:Choice>
  </mc:AlternateContent>
  <xr:revisionPtr revIDLastSave="1332" documentId="8_{7DCFD9FF-8A32-4034-AFB0-C083BCE09D45}" xr6:coauthVersionLast="47" xr6:coauthVersionMax="47" xr10:uidLastSave="{108E7C4D-395E-415D-B0F5-C45CF5DFEC1C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S" sheetId="37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  <definedName name="ExternalData_1" localSheetId="3" hidden="1">'PP3'!#REF!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7" i="20" l="1"/>
  <c r="AI27" i="20" s="1"/>
  <c r="AH21" i="20"/>
  <c r="AH16" i="20"/>
  <c r="AI16" i="20" s="1"/>
  <c r="AH13" i="20"/>
  <c r="AH12" i="20"/>
  <c r="AH11" i="20"/>
  <c r="AH10" i="20"/>
  <c r="AH9" i="20"/>
  <c r="AH8" i="20"/>
  <c r="AH7" i="20"/>
  <c r="AH6" i="20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M286" i="37"/>
  <c r="J286" i="37"/>
  <c r="K286" i="37" s="1"/>
  <c r="I286" i="37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M242" i="37"/>
  <c r="J242" i="37"/>
  <c r="K242" i="37" s="1"/>
  <c r="I242" i="37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M226" i="37"/>
  <c r="J226" i="37"/>
  <c r="K226" i="37" s="1"/>
  <c r="I226" i="37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M220" i="37"/>
  <c r="J220" i="37"/>
  <c r="K220" i="37" s="1"/>
  <c r="I220" i="37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K214" i="37"/>
  <c r="J214" i="37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K208" i="37"/>
  <c r="J208" i="37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M202" i="37"/>
  <c r="K202" i="37"/>
  <c r="J202" i="37"/>
  <c r="I202" i="37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M194" i="37"/>
  <c r="J194" i="37"/>
  <c r="K194" i="37" s="1"/>
  <c r="I194" i="37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M188" i="37"/>
  <c r="J188" i="37"/>
  <c r="K188" i="37" s="1"/>
  <c r="I188" i="37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M180" i="37"/>
  <c r="J180" i="37"/>
  <c r="K180" i="37" s="1"/>
  <c r="I180" i="37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M172" i="37"/>
  <c r="J172" i="37"/>
  <c r="K172" i="37" s="1"/>
  <c r="I172" i="37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M164" i="37"/>
  <c r="J164" i="37"/>
  <c r="K164" i="37" s="1"/>
  <c r="I164" i="37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M156" i="37"/>
  <c r="J156" i="37"/>
  <c r="K156" i="37" s="1"/>
  <c r="I156" i="37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M148" i="37"/>
  <c r="J148" i="37"/>
  <c r="K148" i="37" s="1"/>
  <c r="I148" i="37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M140" i="37"/>
  <c r="A140" i="37" s="1"/>
  <c r="J140" i="37"/>
  <c r="K140" i="37" s="1"/>
  <c r="I140" i="37"/>
  <c r="B140" i="37"/>
  <c r="J139" i="37"/>
  <c r="K139" i="37" s="1"/>
  <c r="I139" i="37"/>
  <c r="M139" i="37" s="1"/>
  <c r="A139" i="37" s="1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J136" i="37"/>
  <c r="K136" i="37" s="1"/>
  <c r="I136" i="37"/>
  <c r="M136" i="37" s="1"/>
  <c r="A136" i="37" s="1"/>
  <c r="B136" i="37"/>
  <c r="J135" i="37"/>
  <c r="K135" i="37" s="1"/>
  <c r="I135" i="37"/>
  <c r="M135" i="37" s="1"/>
  <c r="A135" i="37" s="1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J129" i="37"/>
  <c r="K129" i="37" s="1"/>
  <c r="I129" i="37"/>
  <c r="M129" i="37" s="1"/>
  <c r="A129" i="37" s="1"/>
  <c r="B129" i="37"/>
  <c r="J128" i="37"/>
  <c r="K128" i="37" s="1"/>
  <c r="I128" i="37"/>
  <c r="M128" i="37" s="1"/>
  <c r="A128" i="37" s="1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A124" i="37" s="1"/>
  <c r="B124" i="37"/>
  <c r="J123" i="37"/>
  <c r="K123" i="37" s="1"/>
  <c r="I123" i="37"/>
  <c r="M123" i="37" s="1"/>
  <c r="A123" i="37" s="1"/>
  <c r="B123" i="37"/>
  <c r="J122" i="37"/>
  <c r="K122" i="37" s="1"/>
  <c r="I122" i="37"/>
  <c r="M122" i="37" s="1"/>
  <c r="A122" i="37" s="1"/>
  <c r="B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A120" i="37" s="1"/>
  <c r="B120" i="37"/>
  <c r="J119" i="37"/>
  <c r="K119" i="37" s="1"/>
  <c r="I119" i="37"/>
  <c r="M119" i="37" s="1"/>
  <c r="A119" i="37" s="1"/>
  <c r="B119" i="37"/>
  <c r="J118" i="37"/>
  <c r="K118" i="37" s="1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A112" i="37" s="1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J109" i="37"/>
  <c r="K109" i="37" s="1"/>
  <c r="I109" i="37"/>
  <c r="M109" i="37" s="1"/>
  <c r="A109" i="37" s="1"/>
  <c r="B109" i="37"/>
  <c r="J108" i="37"/>
  <c r="K108" i="37" s="1"/>
  <c r="I108" i="37"/>
  <c r="M108" i="37" s="1"/>
  <c r="A108" i="37" s="1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A105" i="37" s="1"/>
  <c r="B105" i="37"/>
  <c r="J104" i="37"/>
  <c r="K104" i="37" s="1"/>
  <c r="I104" i="37"/>
  <c r="M104" i="37" s="1"/>
  <c r="A104" i="37" s="1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J101" i="37"/>
  <c r="K101" i="37" s="1"/>
  <c r="I101" i="37"/>
  <c r="M101" i="37" s="1"/>
  <c r="A101" i="37" s="1"/>
  <c r="B101" i="37"/>
  <c r="J100" i="37"/>
  <c r="K100" i="37" s="1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J97" i="37"/>
  <c r="K97" i="37" s="1"/>
  <c r="I97" i="37"/>
  <c r="M97" i="37" s="1"/>
  <c r="A97" i="37" s="1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J93" i="37"/>
  <c r="K93" i="37" s="1"/>
  <c r="I93" i="37"/>
  <c r="M93" i="37" s="1"/>
  <c r="A93" i="37" s="1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J85" i="37"/>
  <c r="K85" i="37" s="1"/>
  <c r="I85" i="37"/>
  <c r="M85" i="37" s="1"/>
  <c r="A85" i="37" s="1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J77" i="37"/>
  <c r="K77" i="37" s="1"/>
  <c r="I77" i="37"/>
  <c r="M77" i="37" s="1"/>
  <c r="A77" i="37" s="1"/>
  <c r="B77" i="37"/>
  <c r="J76" i="37"/>
  <c r="K76" i="37" s="1"/>
  <c r="I76" i="37"/>
  <c r="M76" i="37" s="1"/>
  <c r="A76" i="37" s="1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M72" i="37"/>
  <c r="A72" i="37" s="1"/>
  <c r="K72" i="37"/>
  <c r="J72" i="37"/>
  <c r="I72" i="37"/>
  <c r="B72" i="37"/>
  <c r="K71" i="37"/>
  <c r="J71" i="37"/>
  <c r="I71" i="37"/>
  <c r="M71" i="37" s="1"/>
  <c r="A71" i="37" s="1"/>
  <c r="B71" i="37"/>
  <c r="K70" i="37"/>
  <c r="J70" i="37"/>
  <c r="I70" i="37"/>
  <c r="M70" i="37" s="1"/>
  <c r="A70" i="37" s="1"/>
  <c r="B70" i="37"/>
  <c r="M69" i="37"/>
  <c r="A69" i="37" s="1"/>
  <c r="J69" i="37"/>
  <c r="K69" i="37" s="1"/>
  <c r="I69" i="37"/>
  <c r="B69" i="37"/>
  <c r="M68" i="37"/>
  <c r="A68" i="37" s="1"/>
  <c r="K68" i="37"/>
  <c r="J68" i="37"/>
  <c r="I68" i="37"/>
  <c r="B68" i="37"/>
  <c r="K67" i="37"/>
  <c r="J67" i="37"/>
  <c r="I67" i="37"/>
  <c r="M67" i="37" s="1"/>
  <c r="A67" i="37" s="1"/>
  <c r="B67" i="37"/>
  <c r="K66" i="37"/>
  <c r="J66" i="37"/>
  <c r="I66" i="37"/>
  <c r="M66" i="37" s="1"/>
  <c r="A66" i="37" s="1"/>
  <c r="B66" i="37"/>
  <c r="M65" i="37"/>
  <c r="A65" i="37" s="1"/>
  <c r="J65" i="37"/>
  <c r="K65" i="37" s="1"/>
  <c r="I65" i="37"/>
  <c r="B65" i="37"/>
  <c r="J64" i="37"/>
  <c r="K64" i="37" s="1"/>
  <c r="I64" i="37"/>
  <c r="M64" i="37" s="1"/>
  <c r="A64" i="37" s="1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J57" i="37"/>
  <c r="K57" i="37" s="1"/>
  <c r="I57" i="37"/>
  <c r="M57" i="37" s="1"/>
  <c r="A57" i="37" s="1"/>
  <c r="B57" i="37"/>
  <c r="J56" i="37"/>
  <c r="K56" i="37" s="1"/>
  <c r="I56" i="37"/>
  <c r="M56" i="37" s="1"/>
  <c r="A56" i="37" s="1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J53" i="37"/>
  <c r="K53" i="37" s="1"/>
  <c r="I53" i="37"/>
  <c r="M53" i="37" s="1"/>
  <c r="A53" i="37" s="1"/>
  <c r="B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J49" i="37"/>
  <c r="K49" i="37" s="1"/>
  <c r="I49" i="37"/>
  <c r="M49" i="37" s="1"/>
  <c r="A49" i="37" s="1"/>
  <c r="B49" i="37"/>
  <c r="J48" i="37"/>
  <c r="K48" i="37" s="1"/>
  <c r="I48" i="37"/>
  <c r="M48" i="37" s="1"/>
  <c r="A48" i="37" s="1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J45" i="37"/>
  <c r="K45" i="37" s="1"/>
  <c r="I45" i="37"/>
  <c r="M45" i="37" s="1"/>
  <c r="A45" i="37" s="1"/>
  <c r="B45" i="37"/>
  <c r="J44" i="37"/>
  <c r="K44" i="37" s="1"/>
  <c r="I44" i="37"/>
  <c r="M44" i="37" s="1"/>
  <c r="A44" i="37" s="1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J41" i="37"/>
  <c r="K41" i="37" s="1"/>
  <c r="I41" i="37"/>
  <c r="M41" i="37" s="1"/>
  <c r="A41" i="37" s="1"/>
  <c r="B41" i="37"/>
  <c r="J40" i="37"/>
  <c r="K40" i="37" s="1"/>
  <c r="I40" i="37"/>
  <c r="M40" i="37" s="1"/>
  <c r="A40" i="37" s="1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J37" i="37"/>
  <c r="K37" i="37" s="1"/>
  <c r="I37" i="37"/>
  <c r="M37" i="37" s="1"/>
  <c r="A37" i="37" s="1"/>
  <c r="B37" i="37"/>
  <c r="J36" i="37"/>
  <c r="K36" i="37" s="1"/>
  <c r="I36" i="37"/>
  <c r="M36" i="37" s="1"/>
  <c r="A36" i="37" s="1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J33" i="37"/>
  <c r="K33" i="37" s="1"/>
  <c r="I33" i="37"/>
  <c r="M33" i="37" s="1"/>
  <c r="A33" i="37" s="1"/>
  <c r="B33" i="37"/>
  <c r="J32" i="37"/>
  <c r="K32" i="37" s="1"/>
  <c r="I32" i="37"/>
  <c r="M32" i="37" s="1"/>
  <c r="A32" i="37" s="1"/>
  <c r="B32" i="37"/>
  <c r="J31" i="37"/>
  <c r="K31" i="37" s="1"/>
  <c r="I31" i="37"/>
  <c r="B31" i="37"/>
  <c r="J30" i="37"/>
  <c r="K30" i="37" s="1"/>
  <c r="I30" i="37"/>
  <c r="M30" i="37" s="1"/>
  <c r="A30" i="37" s="1"/>
  <c r="B30" i="37"/>
  <c r="J29" i="37"/>
  <c r="K29" i="37" s="1"/>
  <c r="I29" i="37"/>
  <c r="B29" i="37"/>
  <c r="J28" i="37"/>
  <c r="K28" i="37" s="1"/>
  <c r="I28" i="37"/>
  <c r="M28" i="37" s="1"/>
  <c r="A28" i="37" s="1"/>
  <c r="B28" i="37"/>
  <c r="J27" i="37"/>
  <c r="K27" i="37" s="1"/>
  <c r="I27" i="37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J24" i="37"/>
  <c r="K24" i="37" s="1"/>
  <c r="I24" i="37"/>
  <c r="M24" i="37" s="1"/>
  <c r="A24" i="37" s="1"/>
  <c r="B24" i="37"/>
  <c r="J23" i="37"/>
  <c r="K23" i="37" s="1"/>
  <c r="I23" i="37"/>
  <c r="B23" i="37"/>
  <c r="J22" i="37"/>
  <c r="K22" i="37" s="1"/>
  <c r="I22" i="37"/>
  <c r="M22" i="37" s="1"/>
  <c r="A22" i="37" s="1"/>
  <c r="B22" i="37"/>
  <c r="AH26" i="20" s="1"/>
  <c r="AI26" i="20" s="1"/>
  <c r="J21" i="37"/>
  <c r="K21" i="37" s="1"/>
  <c r="I21" i="37"/>
  <c r="B21" i="37"/>
  <c r="J20" i="37"/>
  <c r="K20" i="37" s="1"/>
  <c r="I20" i="37"/>
  <c r="B20" i="37"/>
  <c r="J19" i="37"/>
  <c r="K19" i="37" s="1"/>
  <c r="I19" i="37"/>
  <c r="B19" i="37"/>
  <c r="J18" i="37"/>
  <c r="K18" i="37" s="1"/>
  <c r="I18" i="37"/>
  <c r="B18" i="37"/>
  <c r="J17" i="37"/>
  <c r="K17" i="37" s="1"/>
  <c r="I17" i="37"/>
  <c r="M17" i="37" s="1"/>
  <c r="A17" i="37" s="1"/>
  <c r="B17" i="37"/>
  <c r="AI16" i="37"/>
  <c r="J16" i="37"/>
  <c r="K16" i="37" s="1"/>
  <c r="M16" i="37" s="1"/>
  <c r="A16" i="37" s="1"/>
  <c r="I16" i="37"/>
  <c r="B16" i="37"/>
  <c r="J15" i="37"/>
  <c r="K15" i="37" s="1"/>
  <c r="I15" i="37"/>
  <c r="M15" i="37" s="1"/>
  <c r="A15" i="37" s="1"/>
  <c r="B15" i="37"/>
  <c r="AI14" i="37"/>
  <c r="J14" i="37"/>
  <c r="K14" i="37" s="1"/>
  <c r="I14" i="37"/>
  <c r="B14" i="37"/>
  <c r="AI13" i="37"/>
  <c r="J13" i="37"/>
  <c r="K13" i="37" s="1"/>
  <c r="I13" i="37"/>
  <c r="B13" i="37"/>
  <c r="AI12" i="37"/>
  <c r="J12" i="37"/>
  <c r="K12" i="37" s="1"/>
  <c r="I12" i="37"/>
  <c r="B12" i="37"/>
  <c r="K11" i="37"/>
  <c r="M11" i="37" s="1"/>
  <c r="A11" i="37" s="1"/>
  <c r="J11" i="37"/>
  <c r="I11" i="37"/>
  <c r="B11" i="37"/>
  <c r="J10" i="37"/>
  <c r="K10" i="37" s="1"/>
  <c r="M10" i="37" s="1"/>
  <c r="A10" i="37" s="1"/>
  <c r="I10" i="37"/>
  <c r="B10" i="37"/>
  <c r="J9" i="37"/>
  <c r="K9" i="37" s="1"/>
  <c r="I9" i="37"/>
  <c r="B9" i="37"/>
  <c r="J8" i="37"/>
  <c r="K8" i="37" s="1"/>
  <c r="I8" i="37"/>
  <c r="B8" i="37"/>
  <c r="J7" i="37"/>
  <c r="K7" i="37" s="1"/>
  <c r="I7" i="37"/>
  <c r="B7" i="37"/>
  <c r="J6" i="37"/>
  <c r="K6" i="37" s="1"/>
  <c r="I6" i="37"/>
  <c r="B6" i="37"/>
  <c r="K2" i="37"/>
  <c r="L6" i="37" s="1"/>
  <c r="B13" i="19"/>
  <c r="B12" i="19"/>
  <c r="B11" i="19"/>
  <c r="B10" i="19"/>
  <c r="B9" i="19"/>
  <c r="B8" i="19"/>
  <c r="B7" i="19"/>
  <c r="B6" i="19"/>
  <c r="B9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AF12" i="20" s="1"/>
  <c r="B15" i="36"/>
  <c r="B14" i="36"/>
  <c r="B13" i="36"/>
  <c r="B12" i="36"/>
  <c r="B11" i="36"/>
  <c r="B10" i="36"/>
  <c r="B8" i="36"/>
  <c r="AF7" i="20" s="1"/>
  <c r="B7" i="36"/>
  <c r="B6" i="36"/>
  <c r="B9" i="31"/>
  <c r="B8" i="31"/>
  <c r="B7" i="31"/>
  <c r="B6" i="31"/>
  <c r="M9" i="13"/>
  <c r="B9" i="30"/>
  <c r="B8" i="30"/>
  <c r="B7" i="30"/>
  <c r="K8" i="20" s="1"/>
  <c r="B6" i="30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1" i="20"/>
  <c r="AA11" i="20" s="1"/>
  <c r="Z12" i="20"/>
  <c r="AA12" i="20" s="1"/>
  <c r="Z10" i="20"/>
  <c r="AA10" i="20" s="1"/>
  <c r="Z8" i="20"/>
  <c r="AA8" i="20" s="1"/>
  <c r="Z9" i="20"/>
  <c r="AA9" i="20" s="1"/>
  <c r="Z7" i="20"/>
  <c r="AA7" i="20" s="1"/>
  <c r="Z6" i="20"/>
  <c r="AA6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1" i="20"/>
  <c r="AC11" i="20" s="1"/>
  <c r="AB12" i="20"/>
  <c r="AC12" i="20" s="1"/>
  <c r="AB10" i="20"/>
  <c r="AC10" i="20" s="1"/>
  <c r="AB8" i="20"/>
  <c r="AC8" i="20" s="1"/>
  <c r="AB9" i="20"/>
  <c r="AC9" i="20" s="1"/>
  <c r="AB7" i="20"/>
  <c r="AC7" i="20" s="1"/>
  <c r="AB6" i="20"/>
  <c r="AC6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1" i="20"/>
  <c r="Y11" i="20" s="1"/>
  <c r="X12" i="20"/>
  <c r="Y12" i="20" s="1"/>
  <c r="X10" i="20"/>
  <c r="Y10" i="20" s="1"/>
  <c r="X8" i="20"/>
  <c r="Y8" i="20" s="1"/>
  <c r="X9" i="20"/>
  <c r="Y9" i="20" s="1"/>
  <c r="X7" i="20"/>
  <c r="Y7" i="20" s="1"/>
  <c r="X6" i="20"/>
  <c r="Y6" i="20" s="1"/>
  <c r="B16" i="29"/>
  <c r="B15" i="29"/>
  <c r="B14" i="29"/>
  <c r="B13" i="29"/>
  <c r="B12" i="29"/>
  <c r="B11" i="29"/>
  <c r="B10" i="29"/>
  <c r="B9" i="29"/>
  <c r="I7" i="20" s="1"/>
  <c r="B8" i="29"/>
  <c r="B7" i="29"/>
  <c r="I8" i="20" s="1"/>
  <c r="B6" i="29"/>
  <c r="I19" i="20"/>
  <c r="I11" i="13"/>
  <c r="B10" i="26"/>
  <c r="B15" i="18"/>
  <c r="B14" i="18"/>
  <c r="B13" i="18"/>
  <c r="B12" i="18"/>
  <c r="B11" i="18"/>
  <c r="B10" i="18"/>
  <c r="B9" i="18"/>
  <c r="B8" i="18"/>
  <c r="B7" i="18"/>
  <c r="B6" i="18"/>
  <c r="B13" i="17"/>
  <c r="B12" i="17"/>
  <c r="E25" i="20" s="1"/>
  <c r="F25" i="20" s="1"/>
  <c r="B11" i="17"/>
  <c r="B10" i="17"/>
  <c r="B9" i="17"/>
  <c r="B8" i="17"/>
  <c r="B7" i="17"/>
  <c r="B6" i="17"/>
  <c r="B15" i="19"/>
  <c r="B14" i="19"/>
  <c r="Q46" i="18"/>
  <c r="AF23" i="20"/>
  <c r="AF11" i="20"/>
  <c r="AF15" i="20"/>
  <c r="AF14" i="20"/>
  <c r="AF13" i="20"/>
  <c r="AF9" i="20"/>
  <c r="AF6" i="20"/>
  <c r="AF10" i="20"/>
  <c r="AF8" i="20"/>
  <c r="AD11" i="20"/>
  <c r="AD14" i="20"/>
  <c r="AD13" i="20"/>
  <c r="AD9" i="20"/>
  <c r="AD6" i="20"/>
  <c r="AD10" i="20"/>
  <c r="AD12" i="20"/>
  <c r="AD8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K284" i="36"/>
  <c r="J284" i="36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K220" i="36"/>
  <c r="J220" i="36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K188" i="36"/>
  <c r="J188" i="36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J135" i="36"/>
  <c r="K135" i="36" s="1"/>
  <c r="I135" i="36"/>
  <c r="M135" i="36" s="1"/>
  <c r="A135" i="36" s="1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A127" i="36" s="1"/>
  <c r="B127" i="36"/>
  <c r="J126" i="36"/>
  <c r="K126" i="36" s="1"/>
  <c r="I126" i="36"/>
  <c r="M126" i="36" s="1"/>
  <c r="A126" i="36" s="1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J123" i="36"/>
  <c r="K123" i="36" s="1"/>
  <c r="I123" i="36"/>
  <c r="M123" i="36" s="1"/>
  <c r="A123" i="36" s="1"/>
  <c r="B123" i="36"/>
  <c r="J122" i="36"/>
  <c r="K122" i="36" s="1"/>
  <c r="I122" i="36"/>
  <c r="M122" i="36" s="1"/>
  <c r="A122" i="36" s="1"/>
  <c r="B122" i="36"/>
  <c r="M121" i="36"/>
  <c r="A121" i="36" s="1"/>
  <c r="J121" i="36"/>
  <c r="K121" i="36" s="1"/>
  <c r="I121" i="36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K117" i="36"/>
  <c r="J117" i="36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J114" i="36"/>
  <c r="K114" i="36" s="1"/>
  <c r="I114" i="36"/>
  <c r="M114" i="36" s="1"/>
  <c r="A114" i="36" s="1"/>
  <c r="B114" i="36"/>
  <c r="M113" i="36"/>
  <c r="A113" i="36" s="1"/>
  <c r="J113" i="36"/>
  <c r="K113" i="36" s="1"/>
  <c r="I113" i="36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M105" i="36"/>
  <c r="A105" i="36" s="1"/>
  <c r="J105" i="36"/>
  <c r="K105" i="36" s="1"/>
  <c r="I105" i="36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J102" i="36"/>
  <c r="K102" i="36" s="1"/>
  <c r="I102" i="36"/>
  <c r="M102" i="36" s="1"/>
  <c r="A102" i="36" s="1"/>
  <c r="B102" i="36"/>
  <c r="M101" i="36"/>
  <c r="A101" i="36" s="1"/>
  <c r="K101" i="36"/>
  <c r="J101" i="36"/>
  <c r="I101" i="36"/>
  <c r="B101" i="36"/>
  <c r="J100" i="36"/>
  <c r="K100" i="36" s="1"/>
  <c r="I100" i="36"/>
  <c r="M100" i="36" s="1"/>
  <c r="A100" i="36" s="1"/>
  <c r="B100" i="36"/>
  <c r="M99" i="36"/>
  <c r="A99" i="36" s="1"/>
  <c r="J99" i="36"/>
  <c r="K99" i="36" s="1"/>
  <c r="I99" i="36"/>
  <c r="B99" i="36"/>
  <c r="J98" i="36"/>
  <c r="K98" i="36" s="1"/>
  <c r="I98" i="36"/>
  <c r="M98" i="36" s="1"/>
  <c r="A98" i="36" s="1"/>
  <c r="B98" i="36"/>
  <c r="M97" i="36"/>
  <c r="A97" i="36" s="1"/>
  <c r="J97" i="36"/>
  <c r="K97" i="36" s="1"/>
  <c r="I97" i="36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J94" i="36"/>
  <c r="K94" i="36" s="1"/>
  <c r="I94" i="36"/>
  <c r="M94" i="36" s="1"/>
  <c r="A94" i="36" s="1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J91" i="36"/>
  <c r="K91" i="36" s="1"/>
  <c r="I91" i="36"/>
  <c r="M91" i="36" s="1"/>
  <c r="A91" i="36" s="1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J82" i="36"/>
  <c r="K82" i="36" s="1"/>
  <c r="I82" i="36"/>
  <c r="M82" i="36" s="1"/>
  <c r="A82" i="36" s="1"/>
  <c r="B82" i="36"/>
  <c r="M81" i="36"/>
  <c r="A81" i="36" s="1"/>
  <c r="J81" i="36"/>
  <c r="K81" i="36" s="1"/>
  <c r="I81" i="36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J70" i="36"/>
  <c r="K70" i="36" s="1"/>
  <c r="I70" i="36"/>
  <c r="M70" i="36" s="1"/>
  <c r="A70" i="36" s="1"/>
  <c r="B70" i="36"/>
  <c r="K69" i="36"/>
  <c r="J69" i="36"/>
  <c r="I69" i="36"/>
  <c r="M69" i="36" s="1"/>
  <c r="A69" i="36" s="1"/>
  <c r="B69" i="36"/>
  <c r="J68" i="36"/>
  <c r="K68" i="36" s="1"/>
  <c r="I68" i="36"/>
  <c r="M68" i="36" s="1"/>
  <c r="A68" i="36" s="1"/>
  <c r="B68" i="36"/>
  <c r="M67" i="36"/>
  <c r="J67" i="36"/>
  <c r="K67" i="36" s="1"/>
  <c r="I67" i="36"/>
  <c r="B67" i="36"/>
  <c r="A67" i="36"/>
  <c r="J66" i="36"/>
  <c r="K66" i="36" s="1"/>
  <c r="I66" i="36"/>
  <c r="M66" i="36" s="1"/>
  <c r="A66" i="36" s="1"/>
  <c r="B66" i="36"/>
  <c r="M65" i="36"/>
  <c r="A65" i="36" s="1"/>
  <c r="J65" i="36"/>
  <c r="K65" i="36" s="1"/>
  <c r="I65" i="36"/>
  <c r="B65" i="36"/>
  <c r="J64" i="36"/>
  <c r="K64" i="36" s="1"/>
  <c r="I64" i="36"/>
  <c r="M64" i="36" s="1"/>
  <c r="A64" i="36" s="1"/>
  <c r="B64" i="36"/>
  <c r="M63" i="36"/>
  <c r="J63" i="36"/>
  <c r="K63" i="36" s="1"/>
  <c r="I63" i="36"/>
  <c r="B63" i="36"/>
  <c r="A63" i="36"/>
  <c r="J62" i="36"/>
  <c r="K62" i="36" s="1"/>
  <c r="I62" i="36"/>
  <c r="M62" i="36" s="1"/>
  <c r="A62" i="36" s="1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J59" i="36"/>
  <c r="K59" i="36" s="1"/>
  <c r="I59" i="36"/>
  <c r="M59" i="36" s="1"/>
  <c r="A59" i="36" s="1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J39" i="36"/>
  <c r="K39" i="36" s="1"/>
  <c r="I39" i="36"/>
  <c r="M39" i="36" s="1"/>
  <c r="A39" i="36" s="1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J28" i="36"/>
  <c r="K28" i="36" s="1"/>
  <c r="I28" i="36"/>
  <c r="J27" i="36"/>
  <c r="K27" i="36" s="1"/>
  <c r="I27" i="36"/>
  <c r="M27" i="36" s="1"/>
  <c r="A27" i="36" s="1"/>
  <c r="M26" i="36"/>
  <c r="A26" i="36" s="1"/>
  <c r="J26" i="36"/>
  <c r="K26" i="36" s="1"/>
  <c r="I26" i="36"/>
  <c r="J25" i="36"/>
  <c r="K25" i="36" s="1"/>
  <c r="I25" i="36"/>
  <c r="J24" i="36"/>
  <c r="K24" i="36" s="1"/>
  <c r="I24" i="36"/>
  <c r="J23" i="36"/>
  <c r="K23" i="36" s="1"/>
  <c r="I23" i="36"/>
  <c r="M23" i="36" s="1"/>
  <c r="A23" i="36" s="1"/>
  <c r="J22" i="36"/>
  <c r="K22" i="36" s="1"/>
  <c r="M22" i="36" s="1"/>
  <c r="A22" i="36" s="1"/>
  <c r="I22" i="36"/>
  <c r="J21" i="36"/>
  <c r="K21" i="36" s="1"/>
  <c r="I21" i="36"/>
  <c r="M21" i="36" s="1"/>
  <c r="A21" i="36" s="1"/>
  <c r="J20" i="36"/>
  <c r="K20" i="36" s="1"/>
  <c r="I20" i="36"/>
  <c r="J19" i="36"/>
  <c r="K19" i="36" s="1"/>
  <c r="I19" i="36"/>
  <c r="J18" i="36"/>
  <c r="K18" i="36" s="1"/>
  <c r="I18" i="36"/>
  <c r="M18" i="36" s="1"/>
  <c r="A18" i="36" s="1"/>
  <c r="J17" i="36"/>
  <c r="K17" i="36" s="1"/>
  <c r="I17" i="36"/>
  <c r="J16" i="36"/>
  <c r="K16" i="36" s="1"/>
  <c r="I16" i="36"/>
  <c r="K15" i="36"/>
  <c r="J15" i="36"/>
  <c r="I15" i="36"/>
  <c r="AI14" i="36"/>
  <c r="J14" i="36"/>
  <c r="K14" i="36" s="1"/>
  <c r="I14" i="36"/>
  <c r="M14" i="36" s="1"/>
  <c r="A14" i="36" s="1"/>
  <c r="AI13" i="36"/>
  <c r="J13" i="36"/>
  <c r="K13" i="36" s="1"/>
  <c r="I13" i="36"/>
  <c r="AI12" i="36"/>
  <c r="AI16" i="36" s="1"/>
  <c r="J12" i="36"/>
  <c r="K12" i="36" s="1"/>
  <c r="I12" i="36"/>
  <c r="M12" i="36" s="1"/>
  <c r="A12" i="36" s="1"/>
  <c r="J11" i="36"/>
  <c r="K11" i="36" s="1"/>
  <c r="I11" i="36"/>
  <c r="J10" i="36"/>
  <c r="K10" i="36" s="1"/>
  <c r="I10" i="36"/>
  <c r="J9" i="36"/>
  <c r="K9" i="36" s="1"/>
  <c r="M9" i="36" s="1"/>
  <c r="A9" i="36" s="1"/>
  <c r="I9" i="36"/>
  <c r="J8" i="36"/>
  <c r="K8" i="36" s="1"/>
  <c r="I8" i="36"/>
  <c r="J7" i="36"/>
  <c r="K7" i="36" s="1"/>
  <c r="I7" i="36"/>
  <c r="J6" i="36"/>
  <c r="K6" i="36" s="1"/>
  <c r="I6" i="36"/>
  <c r="AF22" i="20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J63" i="35"/>
  <c r="K63" i="35" s="1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J59" i="35"/>
  <c r="K59" i="35" s="1"/>
  <c r="I59" i="35"/>
  <c r="M59" i="35" s="1"/>
  <c r="B59" i="35"/>
  <c r="J58" i="35"/>
  <c r="K58" i="35" s="1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J55" i="35"/>
  <c r="K55" i="35" s="1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J51" i="35"/>
  <c r="K51" i="35" s="1"/>
  <c r="I51" i="35"/>
  <c r="M51" i="35" s="1"/>
  <c r="B51" i="35"/>
  <c r="J50" i="35"/>
  <c r="K50" i="35" s="1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J47" i="35"/>
  <c r="K47" i="35" s="1"/>
  <c r="I47" i="35"/>
  <c r="M47" i="35" s="1"/>
  <c r="B47" i="35"/>
  <c r="T46" i="35"/>
  <c r="R46" i="35"/>
  <c r="J46" i="35"/>
  <c r="K46" i="35" s="1"/>
  <c r="I46" i="35"/>
  <c r="M46" i="35" s="1"/>
  <c r="B46" i="35"/>
  <c r="J45" i="35"/>
  <c r="K45" i="35" s="1"/>
  <c r="I45" i="35"/>
  <c r="M45" i="35" s="1"/>
  <c r="B45" i="35"/>
  <c r="J44" i="35"/>
  <c r="K44" i="35" s="1"/>
  <c r="I44" i="35"/>
  <c r="M44" i="35" s="1"/>
  <c r="B44" i="35"/>
  <c r="J43" i="35"/>
  <c r="K43" i="35" s="1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J40" i="35"/>
  <c r="K40" i="35" s="1"/>
  <c r="I40" i="35"/>
  <c r="M40" i="35" s="1"/>
  <c r="B40" i="35"/>
  <c r="J39" i="35"/>
  <c r="K39" i="35" s="1"/>
  <c r="I39" i="35"/>
  <c r="M39" i="35" s="1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AI16" i="35" s="1"/>
  <c r="J12" i="35"/>
  <c r="K12" i="35" s="1"/>
  <c r="I12" i="35"/>
  <c r="M12" i="35" s="1"/>
  <c r="A12" i="35" s="1"/>
  <c r="B12" i="35"/>
  <c r="J11" i="35"/>
  <c r="K11" i="35" s="1"/>
  <c r="I11" i="35"/>
  <c r="M11" i="35" s="1"/>
  <c r="A11" i="35" s="1"/>
  <c r="B11" i="35"/>
  <c r="J10" i="35"/>
  <c r="K10" i="35" s="1"/>
  <c r="I10" i="35"/>
  <c r="M10" i="35" s="1"/>
  <c r="A10" i="35" s="1"/>
  <c r="B10" i="35"/>
  <c r="J9" i="35"/>
  <c r="K9" i="35" s="1"/>
  <c r="I9" i="35"/>
  <c r="B9" i="35"/>
  <c r="J8" i="35"/>
  <c r="K8" i="35" s="1"/>
  <c r="I8" i="35"/>
  <c r="B8" i="35"/>
  <c r="J7" i="35"/>
  <c r="K7" i="35" s="1"/>
  <c r="I7" i="35"/>
  <c r="B7" i="35"/>
  <c r="J6" i="35"/>
  <c r="K6" i="35" s="1"/>
  <c r="I6" i="35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K304" i="34"/>
  <c r="J304" i="34"/>
  <c r="I304" i="34"/>
  <c r="M304" i="34" s="1"/>
  <c r="M303" i="34"/>
  <c r="J303" i="34"/>
  <c r="K303" i="34" s="1"/>
  <c r="I303" i="34"/>
  <c r="K302" i="34"/>
  <c r="J302" i="34"/>
  <c r="I302" i="34"/>
  <c r="M302" i="34" s="1"/>
  <c r="J301" i="34"/>
  <c r="K301" i="34" s="1"/>
  <c r="I301" i="34"/>
  <c r="M301" i="34" s="1"/>
  <c r="K300" i="34"/>
  <c r="J300" i="34"/>
  <c r="I300" i="34"/>
  <c r="M300" i="34" s="1"/>
  <c r="M299" i="34"/>
  <c r="J299" i="34"/>
  <c r="K299" i="34" s="1"/>
  <c r="I299" i="34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M213" i="34"/>
  <c r="J213" i="34"/>
  <c r="K213" i="34" s="1"/>
  <c r="I213" i="34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M197" i="34"/>
  <c r="J197" i="34"/>
  <c r="K197" i="34" s="1"/>
  <c r="I197" i="34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M181" i="34"/>
  <c r="J181" i="34"/>
  <c r="K181" i="34" s="1"/>
  <c r="I181" i="34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M177" i="34"/>
  <c r="J177" i="34"/>
  <c r="K177" i="34" s="1"/>
  <c r="I177" i="34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M165" i="34"/>
  <c r="J165" i="34"/>
  <c r="K165" i="34" s="1"/>
  <c r="I165" i="34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M161" i="34"/>
  <c r="J161" i="34"/>
  <c r="K161" i="34" s="1"/>
  <c r="I161" i="34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M149" i="34"/>
  <c r="J149" i="34"/>
  <c r="K149" i="34" s="1"/>
  <c r="I149" i="34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M143" i="34"/>
  <c r="J143" i="34"/>
  <c r="K143" i="34" s="1"/>
  <c r="I143" i="34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J135" i="34"/>
  <c r="K135" i="34" s="1"/>
  <c r="I135" i="34"/>
  <c r="M134" i="34"/>
  <c r="J134" i="34"/>
  <c r="K134" i="34" s="1"/>
  <c r="I134" i="34"/>
  <c r="M133" i="34"/>
  <c r="J133" i="34"/>
  <c r="K133" i="34" s="1"/>
  <c r="I133" i="34"/>
  <c r="M132" i="34"/>
  <c r="J132" i="34"/>
  <c r="K132" i="34" s="1"/>
  <c r="I132" i="34"/>
  <c r="M131" i="34"/>
  <c r="J131" i="34"/>
  <c r="K131" i="34" s="1"/>
  <c r="I131" i="34"/>
  <c r="M130" i="34"/>
  <c r="J130" i="34"/>
  <c r="K130" i="34" s="1"/>
  <c r="I130" i="34"/>
  <c r="M129" i="34"/>
  <c r="J129" i="34"/>
  <c r="K129" i="34" s="1"/>
  <c r="I129" i="34"/>
  <c r="M128" i="34"/>
  <c r="J128" i="34"/>
  <c r="K128" i="34" s="1"/>
  <c r="I128" i="34"/>
  <c r="M127" i="34"/>
  <c r="J127" i="34"/>
  <c r="K127" i="34" s="1"/>
  <c r="I127" i="34"/>
  <c r="M126" i="34"/>
  <c r="J126" i="34"/>
  <c r="K126" i="34" s="1"/>
  <c r="I126" i="34"/>
  <c r="M125" i="34"/>
  <c r="J125" i="34"/>
  <c r="K125" i="34" s="1"/>
  <c r="I125" i="34"/>
  <c r="M124" i="34"/>
  <c r="J124" i="34"/>
  <c r="K124" i="34" s="1"/>
  <c r="I124" i="34"/>
  <c r="M123" i="34"/>
  <c r="J123" i="34"/>
  <c r="K123" i="34" s="1"/>
  <c r="I123" i="34"/>
  <c r="M122" i="34"/>
  <c r="J122" i="34"/>
  <c r="K122" i="34" s="1"/>
  <c r="I122" i="34"/>
  <c r="M121" i="34"/>
  <c r="J121" i="34"/>
  <c r="K121" i="34" s="1"/>
  <c r="I121" i="34"/>
  <c r="M120" i="34"/>
  <c r="J120" i="34"/>
  <c r="K120" i="34" s="1"/>
  <c r="I120" i="34"/>
  <c r="M119" i="34"/>
  <c r="J119" i="34"/>
  <c r="K119" i="34" s="1"/>
  <c r="I119" i="34"/>
  <c r="M118" i="34"/>
  <c r="J118" i="34"/>
  <c r="K118" i="34" s="1"/>
  <c r="I118" i="34"/>
  <c r="M117" i="34"/>
  <c r="J117" i="34"/>
  <c r="K117" i="34" s="1"/>
  <c r="I117" i="34"/>
  <c r="M116" i="34"/>
  <c r="J116" i="34"/>
  <c r="K116" i="34" s="1"/>
  <c r="I116" i="34"/>
  <c r="M115" i="34"/>
  <c r="J115" i="34"/>
  <c r="K115" i="34" s="1"/>
  <c r="I115" i="34"/>
  <c r="M114" i="34"/>
  <c r="J114" i="34"/>
  <c r="K114" i="34" s="1"/>
  <c r="I114" i="34"/>
  <c r="M113" i="34"/>
  <c r="J113" i="34"/>
  <c r="K113" i="34" s="1"/>
  <c r="I113" i="34"/>
  <c r="M112" i="34"/>
  <c r="J112" i="34"/>
  <c r="K112" i="34" s="1"/>
  <c r="I112" i="34"/>
  <c r="M111" i="34"/>
  <c r="J111" i="34"/>
  <c r="K111" i="34" s="1"/>
  <c r="I111" i="34"/>
  <c r="M110" i="34"/>
  <c r="J110" i="34"/>
  <c r="K110" i="34" s="1"/>
  <c r="I110" i="34"/>
  <c r="M109" i="34"/>
  <c r="J109" i="34"/>
  <c r="K109" i="34" s="1"/>
  <c r="I109" i="34"/>
  <c r="M108" i="34"/>
  <c r="J108" i="34"/>
  <c r="K108" i="34" s="1"/>
  <c r="I108" i="34"/>
  <c r="M107" i="34"/>
  <c r="J107" i="34"/>
  <c r="K107" i="34" s="1"/>
  <c r="I107" i="34"/>
  <c r="M106" i="34"/>
  <c r="J106" i="34"/>
  <c r="K106" i="34" s="1"/>
  <c r="I106" i="34"/>
  <c r="M105" i="34"/>
  <c r="J105" i="34"/>
  <c r="K105" i="34" s="1"/>
  <c r="I105" i="34"/>
  <c r="M104" i="34"/>
  <c r="J104" i="34"/>
  <c r="K104" i="34" s="1"/>
  <c r="I104" i="34"/>
  <c r="M103" i="34"/>
  <c r="J103" i="34"/>
  <c r="K103" i="34" s="1"/>
  <c r="I103" i="34"/>
  <c r="M102" i="34"/>
  <c r="J102" i="34"/>
  <c r="K102" i="34" s="1"/>
  <c r="I102" i="34"/>
  <c r="M101" i="34"/>
  <c r="J101" i="34"/>
  <c r="K101" i="34" s="1"/>
  <c r="I101" i="34"/>
  <c r="M100" i="34"/>
  <c r="J100" i="34"/>
  <c r="K100" i="34" s="1"/>
  <c r="I100" i="34"/>
  <c r="M99" i="34"/>
  <c r="J99" i="34"/>
  <c r="K99" i="34" s="1"/>
  <c r="I99" i="34"/>
  <c r="M98" i="34"/>
  <c r="J98" i="34"/>
  <c r="K98" i="34" s="1"/>
  <c r="I98" i="34"/>
  <c r="M97" i="34"/>
  <c r="J97" i="34"/>
  <c r="K97" i="34" s="1"/>
  <c r="I97" i="34"/>
  <c r="M96" i="34"/>
  <c r="J96" i="34"/>
  <c r="K96" i="34" s="1"/>
  <c r="I96" i="34"/>
  <c r="M95" i="34"/>
  <c r="J95" i="34"/>
  <c r="K95" i="34" s="1"/>
  <c r="I95" i="34"/>
  <c r="M94" i="34"/>
  <c r="J94" i="34"/>
  <c r="K94" i="34" s="1"/>
  <c r="I94" i="34"/>
  <c r="M93" i="34"/>
  <c r="J93" i="34"/>
  <c r="K93" i="34" s="1"/>
  <c r="I93" i="34"/>
  <c r="M92" i="34"/>
  <c r="J92" i="34"/>
  <c r="K92" i="34" s="1"/>
  <c r="I92" i="34"/>
  <c r="M91" i="34"/>
  <c r="J91" i="34"/>
  <c r="K91" i="34" s="1"/>
  <c r="I91" i="34"/>
  <c r="M90" i="34"/>
  <c r="J90" i="34"/>
  <c r="K90" i="34" s="1"/>
  <c r="I90" i="34"/>
  <c r="M89" i="34"/>
  <c r="J89" i="34"/>
  <c r="K89" i="34" s="1"/>
  <c r="I89" i="34"/>
  <c r="M88" i="34"/>
  <c r="J88" i="34"/>
  <c r="K88" i="34" s="1"/>
  <c r="I88" i="34"/>
  <c r="M87" i="34"/>
  <c r="J87" i="34"/>
  <c r="K87" i="34" s="1"/>
  <c r="I87" i="34"/>
  <c r="M86" i="34"/>
  <c r="J86" i="34"/>
  <c r="K86" i="34" s="1"/>
  <c r="I86" i="34"/>
  <c r="M85" i="34"/>
  <c r="J85" i="34"/>
  <c r="K85" i="34" s="1"/>
  <c r="I85" i="34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M64" i="34"/>
  <c r="K64" i="34"/>
  <c r="J64" i="34"/>
  <c r="I64" i="34"/>
  <c r="B64" i="34"/>
  <c r="J63" i="34"/>
  <c r="K63" i="34" s="1"/>
  <c r="I63" i="34"/>
  <c r="M63" i="34" s="1"/>
  <c r="B63" i="34"/>
  <c r="K62" i="34"/>
  <c r="J62" i="34"/>
  <c r="I62" i="34"/>
  <c r="M62" i="34" s="1"/>
  <c r="B62" i="34"/>
  <c r="M61" i="34"/>
  <c r="J61" i="34"/>
  <c r="K61" i="34" s="1"/>
  <c r="I61" i="34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K56" i="34"/>
  <c r="J56" i="34"/>
  <c r="I56" i="34"/>
  <c r="B56" i="34"/>
  <c r="J55" i="34"/>
  <c r="K55" i="34" s="1"/>
  <c r="I55" i="34"/>
  <c r="M55" i="34" s="1"/>
  <c r="B55" i="34"/>
  <c r="K54" i="34"/>
  <c r="J54" i="34"/>
  <c r="I54" i="34"/>
  <c r="M54" i="34" s="1"/>
  <c r="B54" i="34"/>
  <c r="M53" i="34"/>
  <c r="J53" i="34"/>
  <c r="K53" i="34" s="1"/>
  <c r="I53" i="34"/>
  <c r="B53" i="34"/>
  <c r="K52" i="34"/>
  <c r="J52" i="34"/>
  <c r="I52" i="34"/>
  <c r="M52" i="34" s="1"/>
  <c r="B52" i="34"/>
  <c r="M51" i="34"/>
  <c r="J51" i="34"/>
  <c r="K51" i="34" s="1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K48" i="34"/>
  <c r="J48" i="34"/>
  <c r="I48" i="34"/>
  <c r="B48" i="34"/>
  <c r="J47" i="34"/>
  <c r="K47" i="34" s="1"/>
  <c r="I47" i="34"/>
  <c r="M47" i="34" s="1"/>
  <c r="B47" i="34"/>
  <c r="U46" i="34"/>
  <c r="T46" i="34"/>
  <c r="R46" i="34"/>
  <c r="J46" i="34"/>
  <c r="K46" i="34" s="1"/>
  <c r="I46" i="34"/>
  <c r="M46" i="34" s="1"/>
  <c r="B46" i="34"/>
  <c r="K45" i="34"/>
  <c r="J45" i="34"/>
  <c r="I45" i="34"/>
  <c r="M45" i="34" s="1"/>
  <c r="B45" i="34"/>
  <c r="M44" i="34"/>
  <c r="J44" i="34"/>
  <c r="K44" i="34" s="1"/>
  <c r="I44" i="34"/>
  <c r="B44" i="34"/>
  <c r="K43" i="34"/>
  <c r="J43" i="34"/>
  <c r="I43" i="34"/>
  <c r="M43" i="34" s="1"/>
  <c r="B43" i="34"/>
  <c r="M42" i="34"/>
  <c r="J42" i="34"/>
  <c r="K42" i="34" s="1"/>
  <c r="I42" i="34"/>
  <c r="B42" i="34"/>
  <c r="J41" i="34"/>
  <c r="K41" i="34" s="1"/>
  <c r="I41" i="34"/>
  <c r="M41" i="34" s="1"/>
  <c r="B41" i="34"/>
  <c r="M40" i="34"/>
  <c r="J40" i="34"/>
  <c r="K40" i="34" s="1"/>
  <c r="I40" i="34"/>
  <c r="B40" i="34"/>
  <c r="M39" i="34"/>
  <c r="K39" i="34"/>
  <c r="J39" i="34"/>
  <c r="I39" i="34"/>
  <c r="B39" i="34"/>
  <c r="J38" i="34"/>
  <c r="K38" i="34" s="1"/>
  <c r="I38" i="34"/>
  <c r="M38" i="34" s="1"/>
  <c r="B38" i="34"/>
  <c r="K37" i="34"/>
  <c r="J37" i="34"/>
  <c r="I37" i="34"/>
  <c r="M37" i="34" s="1"/>
  <c r="A37" i="34" s="1"/>
  <c r="B37" i="34"/>
  <c r="M36" i="34"/>
  <c r="A36" i="34" s="1"/>
  <c r="K36" i="34"/>
  <c r="J36" i="34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K33" i="34"/>
  <c r="J33" i="34"/>
  <c r="I33" i="34"/>
  <c r="M33" i="34" s="1"/>
  <c r="A33" i="34" s="1"/>
  <c r="B33" i="34"/>
  <c r="M32" i="34"/>
  <c r="A32" i="34" s="1"/>
  <c r="K32" i="34"/>
  <c r="J32" i="34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K29" i="34"/>
  <c r="J29" i="34"/>
  <c r="I29" i="34"/>
  <c r="M29" i="34" s="1"/>
  <c r="A29" i="34" s="1"/>
  <c r="B29" i="34"/>
  <c r="M28" i="34"/>
  <c r="A28" i="34" s="1"/>
  <c r="K28" i="34"/>
  <c r="J28" i="34"/>
  <c r="I28" i="34"/>
  <c r="B28" i="34"/>
  <c r="J27" i="34"/>
  <c r="K27" i="34" s="1"/>
  <c r="I27" i="34"/>
  <c r="M27" i="34" s="1"/>
  <c r="A27" i="34" s="1"/>
  <c r="B27" i="34"/>
  <c r="K26" i="34"/>
  <c r="J26" i="34"/>
  <c r="I26" i="34"/>
  <c r="M26" i="34" s="1"/>
  <c r="A26" i="34" s="1"/>
  <c r="B26" i="34"/>
  <c r="K25" i="34"/>
  <c r="J25" i="34"/>
  <c r="I25" i="34"/>
  <c r="M25" i="34" s="1"/>
  <c r="A25" i="34" s="1"/>
  <c r="B25" i="34"/>
  <c r="M24" i="34"/>
  <c r="A24" i="34" s="1"/>
  <c r="K24" i="34"/>
  <c r="J24" i="34"/>
  <c r="I24" i="34"/>
  <c r="B24" i="34"/>
  <c r="J23" i="34"/>
  <c r="K23" i="34" s="1"/>
  <c r="I23" i="34"/>
  <c r="M23" i="34" s="1"/>
  <c r="A23" i="34" s="1"/>
  <c r="B23" i="34"/>
  <c r="K22" i="34"/>
  <c r="J22" i="34"/>
  <c r="I22" i="34"/>
  <c r="M22" i="34" s="1"/>
  <c r="A22" i="34" s="1"/>
  <c r="B22" i="34"/>
  <c r="K21" i="34"/>
  <c r="J21" i="34"/>
  <c r="I21" i="34"/>
  <c r="M21" i="34" s="1"/>
  <c r="A21" i="34" s="1"/>
  <c r="B21" i="34"/>
  <c r="M20" i="34"/>
  <c r="A20" i="34" s="1"/>
  <c r="K20" i="34"/>
  <c r="J20" i="34"/>
  <c r="I20" i="34"/>
  <c r="B20" i="34"/>
  <c r="J19" i="34"/>
  <c r="K19" i="34" s="1"/>
  <c r="I19" i="34"/>
  <c r="M19" i="34" s="1"/>
  <c r="A19" i="34" s="1"/>
  <c r="B19" i="34"/>
  <c r="K18" i="34"/>
  <c r="J18" i="34"/>
  <c r="I18" i="34"/>
  <c r="M18" i="34" s="1"/>
  <c r="A18" i="34" s="1"/>
  <c r="B18" i="34"/>
  <c r="K17" i="34"/>
  <c r="J17" i="34"/>
  <c r="I17" i="34"/>
  <c r="M17" i="34" s="1"/>
  <c r="A17" i="34" s="1"/>
  <c r="B17" i="34"/>
  <c r="AI16" i="34"/>
  <c r="M16" i="34"/>
  <c r="A16" i="34" s="1"/>
  <c r="K16" i="34"/>
  <c r="J16" i="34"/>
  <c r="I16" i="34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K12" i="34"/>
  <c r="J12" i="34"/>
  <c r="I12" i="34"/>
  <c r="M12" i="34" s="1"/>
  <c r="A12" i="34" s="1"/>
  <c r="B12" i="34"/>
  <c r="K11" i="34"/>
  <c r="J11" i="34"/>
  <c r="I11" i="34"/>
  <c r="M11" i="34" s="1"/>
  <c r="A11" i="34" s="1"/>
  <c r="B11" i="34"/>
  <c r="M10" i="34"/>
  <c r="A10" i="34" s="1"/>
  <c r="K10" i="34"/>
  <c r="J10" i="34"/>
  <c r="I10" i="34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L7" i="34"/>
  <c r="K7" i="34"/>
  <c r="J7" i="34"/>
  <c r="I7" i="34"/>
  <c r="M7" i="34" s="1"/>
  <c r="A7" i="34" s="1"/>
  <c r="B7" i="34"/>
  <c r="K6" i="34"/>
  <c r="J6" i="34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K137" i="33"/>
  <c r="J137" i="33"/>
  <c r="I137" i="33"/>
  <c r="M137" i="33" s="1"/>
  <c r="J136" i="33"/>
  <c r="K136" i="33" s="1"/>
  <c r="I136" i="33"/>
  <c r="M136" i="33" s="1"/>
  <c r="M135" i="33"/>
  <c r="K135" i="33"/>
  <c r="J135" i="33"/>
  <c r="I135" i="33"/>
  <c r="J134" i="33"/>
  <c r="K134" i="33" s="1"/>
  <c r="I134" i="33"/>
  <c r="M134" i="33" s="1"/>
  <c r="M133" i="33"/>
  <c r="K133" i="33"/>
  <c r="J133" i="33"/>
  <c r="I133" i="33"/>
  <c r="J132" i="33"/>
  <c r="K132" i="33" s="1"/>
  <c r="I132" i="33"/>
  <c r="M132" i="33" s="1"/>
  <c r="M131" i="33"/>
  <c r="K131" i="33"/>
  <c r="J131" i="33"/>
  <c r="I131" i="33"/>
  <c r="J130" i="33"/>
  <c r="K130" i="33" s="1"/>
  <c r="I130" i="33"/>
  <c r="M130" i="33" s="1"/>
  <c r="M129" i="33"/>
  <c r="K129" i="33"/>
  <c r="J129" i="33"/>
  <c r="I129" i="33"/>
  <c r="J128" i="33"/>
  <c r="K128" i="33" s="1"/>
  <c r="I128" i="33"/>
  <c r="M128" i="33" s="1"/>
  <c r="M127" i="33"/>
  <c r="K127" i="33"/>
  <c r="J127" i="33"/>
  <c r="I127" i="33"/>
  <c r="J126" i="33"/>
  <c r="K126" i="33" s="1"/>
  <c r="I126" i="33"/>
  <c r="M126" i="33" s="1"/>
  <c r="M125" i="33"/>
  <c r="K125" i="33"/>
  <c r="J125" i="33"/>
  <c r="I125" i="33"/>
  <c r="J124" i="33"/>
  <c r="K124" i="33" s="1"/>
  <c r="I124" i="33"/>
  <c r="M124" i="33" s="1"/>
  <c r="M123" i="33"/>
  <c r="K123" i="33"/>
  <c r="J123" i="33"/>
  <c r="I123" i="33"/>
  <c r="J122" i="33"/>
  <c r="K122" i="33" s="1"/>
  <c r="I122" i="33"/>
  <c r="M122" i="33" s="1"/>
  <c r="M121" i="33"/>
  <c r="K121" i="33"/>
  <c r="J121" i="33"/>
  <c r="I121" i="33"/>
  <c r="J120" i="33"/>
  <c r="K120" i="33" s="1"/>
  <c r="I120" i="33"/>
  <c r="M120" i="33" s="1"/>
  <c r="M119" i="33"/>
  <c r="K119" i="33"/>
  <c r="J119" i="33"/>
  <c r="I119" i="33"/>
  <c r="J118" i="33"/>
  <c r="K118" i="33" s="1"/>
  <c r="I118" i="33"/>
  <c r="M118" i="33" s="1"/>
  <c r="M117" i="33"/>
  <c r="K117" i="33"/>
  <c r="J117" i="33"/>
  <c r="I117" i="33"/>
  <c r="J116" i="33"/>
  <c r="K116" i="33" s="1"/>
  <c r="I116" i="33"/>
  <c r="M116" i="33" s="1"/>
  <c r="M115" i="33"/>
  <c r="K115" i="33"/>
  <c r="J115" i="33"/>
  <c r="I115" i="33"/>
  <c r="J114" i="33"/>
  <c r="K114" i="33" s="1"/>
  <c r="I114" i="33"/>
  <c r="M114" i="33" s="1"/>
  <c r="M113" i="33"/>
  <c r="K113" i="33"/>
  <c r="J113" i="33"/>
  <c r="I113" i="33"/>
  <c r="J112" i="33"/>
  <c r="K112" i="33" s="1"/>
  <c r="I112" i="33"/>
  <c r="M112" i="33" s="1"/>
  <c r="M111" i="33"/>
  <c r="K111" i="33"/>
  <c r="J111" i="33"/>
  <c r="I111" i="33"/>
  <c r="J110" i="33"/>
  <c r="K110" i="33" s="1"/>
  <c r="I110" i="33"/>
  <c r="M110" i="33" s="1"/>
  <c r="M109" i="33"/>
  <c r="K109" i="33"/>
  <c r="J109" i="33"/>
  <c r="I109" i="33"/>
  <c r="J108" i="33"/>
  <c r="K108" i="33" s="1"/>
  <c r="I108" i="33"/>
  <c r="M108" i="33" s="1"/>
  <c r="M107" i="33"/>
  <c r="K107" i="33"/>
  <c r="J107" i="33"/>
  <c r="I107" i="33"/>
  <c r="J106" i="33"/>
  <c r="K106" i="33" s="1"/>
  <c r="I106" i="33"/>
  <c r="M106" i="33" s="1"/>
  <c r="M105" i="33"/>
  <c r="K105" i="33"/>
  <c r="J105" i="33"/>
  <c r="I105" i="33"/>
  <c r="J104" i="33"/>
  <c r="K104" i="33" s="1"/>
  <c r="I104" i="33"/>
  <c r="M104" i="33" s="1"/>
  <c r="M103" i="33"/>
  <c r="K103" i="33"/>
  <c r="J103" i="33"/>
  <c r="I103" i="33"/>
  <c r="J102" i="33"/>
  <c r="K102" i="33" s="1"/>
  <c r="I102" i="33"/>
  <c r="M102" i="33" s="1"/>
  <c r="M101" i="33"/>
  <c r="K101" i="33"/>
  <c r="J101" i="33"/>
  <c r="I101" i="33"/>
  <c r="J100" i="33"/>
  <c r="K100" i="33" s="1"/>
  <c r="I100" i="33"/>
  <c r="M100" i="33" s="1"/>
  <c r="M99" i="33"/>
  <c r="K99" i="33"/>
  <c r="J99" i="33"/>
  <c r="I99" i="33"/>
  <c r="J98" i="33"/>
  <c r="K98" i="33" s="1"/>
  <c r="I98" i="33"/>
  <c r="M98" i="33" s="1"/>
  <c r="M97" i="33"/>
  <c r="K97" i="33"/>
  <c r="J97" i="33"/>
  <c r="I97" i="33"/>
  <c r="J96" i="33"/>
  <c r="K96" i="33" s="1"/>
  <c r="I96" i="33"/>
  <c r="M96" i="33" s="1"/>
  <c r="M95" i="33"/>
  <c r="K95" i="33"/>
  <c r="J95" i="33"/>
  <c r="I95" i="33"/>
  <c r="J94" i="33"/>
  <c r="K94" i="33" s="1"/>
  <c r="I94" i="33"/>
  <c r="M94" i="33" s="1"/>
  <c r="M93" i="33"/>
  <c r="K93" i="33"/>
  <c r="J93" i="33"/>
  <c r="I93" i="33"/>
  <c r="J92" i="33"/>
  <c r="K92" i="33" s="1"/>
  <c r="I92" i="33"/>
  <c r="M92" i="33" s="1"/>
  <c r="M91" i="33"/>
  <c r="K91" i="33"/>
  <c r="J91" i="33"/>
  <c r="I91" i="33"/>
  <c r="J90" i="33"/>
  <c r="K90" i="33" s="1"/>
  <c r="I90" i="33"/>
  <c r="M90" i="33" s="1"/>
  <c r="M89" i="33"/>
  <c r="K89" i="33"/>
  <c r="J89" i="33"/>
  <c r="I89" i="33"/>
  <c r="J88" i="33"/>
  <c r="K88" i="33" s="1"/>
  <c r="I88" i="33"/>
  <c r="M88" i="33" s="1"/>
  <c r="M87" i="33"/>
  <c r="K87" i="33"/>
  <c r="J87" i="33"/>
  <c r="I87" i="33"/>
  <c r="J86" i="33"/>
  <c r="K86" i="33" s="1"/>
  <c r="I86" i="33"/>
  <c r="M86" i="33" s="1"/>
  <c r="M85" i="33"/>
  <c r="K85" i="33"/>
  <c r="J85" i="33"/>
  <c r="I85" i="33"/>
  <c r="J84" i="33"/>
  <c r="K84" i="33" s="1"/>
  <c r="I84" i="33"/>
  <c r="M84" i="33" s="1"/>
  <c r="M83" i="33"/>
  <c r="K83" i="33"/>
  <c r="J83" i="33"/>
  <c r="I83" i="33"/>
  <c r="J82" i="33"/>
  <c r="K82" i="33" s="1"/>
  <c r="I82" i="33"/>
  <c r="M82" i="33" s="1"/>
  <c r="M81" i="33"/>
  <c r="K81" i="33"/>
  <c r="J81" i="33"/>
  <c r="I81" i="33"/>
  <c r="J80" i="33"/>
  <c r="K80" i="33" s="1"/>
  <c r="I80" i="33"/>
  <c r="M80" i="33" s="1"/>
  <c r="M79" i="33"/>
  <c r="A79" i="33" s="1"/>
  <c r="K79" i="33"/>
  <c r="J79" i="33"/>
  <c r="I79" i="33"/>
  <c r="K78" i="33"/>
  <c r="J78" i="33"/>
  <c r="I78" i="33"/>
  <c r="M78" i="33" s="1"/>
  <c r="A78" i="33" s="1"/>
  <c r="K77" i="33"/>
  <c r="J77" i="33"/>
  <c r="I77" i="33"/>
  <c r="M77" i="33" s="1"/>
  <c r="A77" i="33" s="1"/>
  <c r="M76" i="33"/>
  <c r="A76" i="33" s="1"/>
  <c r="K76" i="33"/>
  <c r="J76" i="33"/>
  <c r="I76" i="33"/>
  <c r="J75" i="33"/>
  <c r="K75" i="33" s="1"/>
  <c r="I75" i="33"/>
  <c r="M75" i="33" s="1"/>
  <c r="A75" i="33" s="1"/>
  <c r="J74" i="33"/>
  <c r="K74" i="33" s="1"/>
  <c r="I74" i="33"/>
  <c r="M74" i="33" s="1"/>
  <c r="A74" i="33" s="1"/>
  <c r="M73" i="33"/>
  <c r="A73" i="33" s="1"/>
  <c r="J73" i="33"/>
  <c r="K73" i="33" s="1"/>
  <c r="I73" i="33"/>
  <c r="J72" i="33"/>
  <c r="K72" i="33" s="1"/>
  <c r="I72" i="33"/>
  <c r="M72" i="33" s="1"/>
  <c r="A72" i="33" s="1"/>
  <c r="M71" i="33"/>
  <c r="A71" i="33" s="1"/>
  <c r="K71" i="33"/>
  <c r="J71" i="33"/>
  <c r="I71" i="33"/>
  <c r="K70" i="33"/>
  <c r="J70" i="33"/>
  <c r="I70" i="33"/>
  <c r="M70" i="33" s="1"/>
  <c r="A70" i="33" s="1"/>
  <c r="K69" i="33"/>
  <c r="J69" i="33"/>
  <c r="I69" i="33"/>
  <c r="M69" i="33" s="1"/>
  <c r="A69" i="33" s="1"/>
  <c r="M68" i="33"/>
  <c r="A68" i="33" s="1"/>
  <c r="K68" i="33"/>
  <c r="J68" i="33"/>
  <c r="I68" i="33"/>
  <c r="J67" i="33"/>
  <c r="K67" i="33" s="1"/>
  <c r="I67" i="33"/>
  <c r="M67" i="33" s="1"/>
  <c r="A67" i="33" s="1"/>
  <c r="J66" i="33"/>
  <c r="K66" i="33" s="1"/>
  <c r="I66" i="33"/>
  <c r="M66" i="33" s="1"/>
  <c r="A66" i="33" s="1"/>
  <c r="M65" i="33"/>
  <c r="A65" i="33" s="1"/>
  <c r="J65" i="33"/>
  <c r="K65" i="33" s="1"/>
  <c r="I65" i="33"/>
  <c r="B65" i="33"/>
  <c r="J64" i="33"/>
  <c r="K64" i="33" s="1"/>
  <c r="I64" i="33"/>
  <c r="M64" i="33" s="1"/>
  <c r="A64" i="33" s="1"/>
  <c r="B64" i="33"/>
  <c r="K63" i="33"/>
  <c r="J63" i="33"/>
  <c r="I63" i="33"/>
  <c r="M63" i="33" s="1"/>
  <c r="A63" i="33" s="1"/>
  <c r="B63" i="33"/>
  <c r="M62" i="33"/>
  <c r="A62" i="33" s="1"/>
  <c r="K62" i="33"/>
  <c r="J62" i="33"/>
  <c r="I62" i="33"/>
  <c r="B62" i="33"/>
  <c r="M61" i="33"/>
  <c r="A61" i="33" s="1"/>
  <c r="J61" i="33"/>
  <c r="K61" i="33" s="1"/>
  <c r="I61" i="33"/>
  <c r="B61" i="33"/>
  <c r="J60" i="33"/>
  <c r="K60" i="33" s="1"/>
  <c r="I60" i="33"/>
  <c r="M60" i="33" s="1"/>
  <c r="A60" i="33" s="1"/>
  <c r="B60" i="33"/>
  <c r="K59" i="33"/>
  <c r="J59" i="33"/>
  <c r="I59" i="33"/>
  <c r="M59" i="33" s="1"/>
  <c r="A59" i="33" s="1"/>
  <c r="B59" i="33"/>
  <c r="M58" i="33"/>
  <c r="A58" i="33" s="1"/>
  <c r="K58" i="33"/>
  <c r="J58" i="33"/>
  <c r="I58" i="33"/>
  <c r="B58" i="33"/>
  <c r="M57" i="33"/>
  <c r="A57" i="33" s="1"/>
  <c r="J57" i="33"/>
  <c r="K57" i="33" s="1"/>
  <c r="I57" i="33"/>
  <c r="B57" i="33"/>
  <c r="J56" i="33"/>
  <c r="K56" i="33" s="1"/>
  <c r="I56" i="33"/>
  <c r="M56" i="33" s="1"/>
  <c r="A56" i="33" s="1"/>
  <c r="B56" i="33"/>
  <c r="K55" i="33"/>
  <c r="J55" i="33"/>
  <c r="I55" i="33"/>
  <c r="M55" i="33" s="1"/>
  <c r="A55" i="33" s="1"/>
  <c r="B55" i="33"/>
  <c r="M54" i="33"/>
  <c r="A54" i="33" s="1"/>
  <c r="K54" i="33"/>
  <c r="J54" i="33"/>
  <c r="I54" i="33"/>
  <c r="B54" i="33"/>
  <c r="M53" i="33"/>
  <c r="A53" i="33" s="1"/>
  <c r="J53" i="33"/>
  <c r="K53" i="33" s="1"/>
  <c r="I53" i="33"/>
  <c r="B53" i="33"/>
  <c r="J52" i="33"/>
  <c r="K52" i="33" s="1"/>
  <c r="I52" i="33"/>
  <c r="M52" i="33" s="1"/>
  <c r="A52" i="33" s="1"/>
  <c r="B52" i="33"/>
  <c r="K51" i="33"/>
  <c r="J51" i="33"/>
  <c r="I51" i="33"/>
  <c r="M51" i="33" s="1"/>
  <c r="A51" i="33" s="1"/>
  <c r="B51" i="33"/>
  <c r="M50" i="33"/>
  <c r="A50" i="33" s="1"/>
  <c r="K50" i="33"/>
  <c r="J50" i="33"/>
  <c r="I50" i="33"/>
  <c r="B50" i="33"/>
  <c r="M49" i="33"/>
  <c r="A49" i="33" s="1"/>
  <c r="J49" i="33"/>
  <c r="K49" i="33" s="1"/>
  <c r="I49" i="33"/>
  <c r="B49" i="33"/>
  <c r="J48" i="33"/>
  <c r="K48" i="33" s="1"/>
  <c r="I48" i="33"/>
  <c r="M48" i="33" s="1"/>
  <c r="A48" i="33" s="1"/>
  <c r="B48" i="33"/>
  <c r="K47" i="33"/>
  <c r="J47" i="33"/>
  <c r="I47" i="33"/>
  <c r="M47" i="33" s="1"/>
  <c r="A47" i="33" s="1"/>
  <c r="B47" i="33"/>
  <c r="U46" i="33"/>
  <c r="T46" i="33"/>
  <c r="R46" i="33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M44" i="33"/>
  <c r="A44" i="33" s="1"/>
  <c r="K44" i="33"/>
  <c r="J44" i="33"/>
  <c r="I44" i="33"/>
  <c r="B44" i="33"/>
  <c r="K43" i="33"/>
  <c r="J43" i="33"/>
  <c r="I43" i="33"/>
  <c r="M43" i="33" s="1"/>
  <c r="A43" i="33" s="1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M40" i="33"/>
  <c r="A40" i="33" s="1"/>
  <c r="K40" i="33"/>
  <c r="J40" i="33"/>
  <c r="I40" i="33"/>
  <c r="B40" i="33"/>
  <c r="K39" i="33"/>
  <c r="J39" i="33"/>
  <c r="I39" i="33"/>
  <c r="M39" i="33" s="1"/>
  <c r="A39" i="33" s="1"/>
  <c r="B39" i="33"/>
  <c r="J38" i="33"/>
  <c r="K38" i="33" s="1"/>
  <c r="I38" i="33"/>
  <c r="M38" i="33" s="1"/>
  <c r="A38" i="33" s="1"/>
  <c r="B38" i="33"/>
  <c r="J37" i="33"/>
  <c r="K37" i="33" s="1"/>
  <c r="I37" i="33"/>
  <c r="M37" i="33" s="1"/>
  <c r="A37" i="33" s="1"/>
  <c r="B37" i="33"/>
  <c r="M36" i="33"/>
  <c r="A36" i="33" s="1"/>
  <c r="K36" i="33"/>
  <c r="J36" i="33"/>
  <c r="I36" i="33"/>
  <c r="B36" i="33"/>
  <c r="K35" i="33"/>
  <c r="J35" i="33"/>
  <c r="I35" i="33"/>
  <c r="M35" i="33" s="1"/>
  <c r="A35" i="33" s="1"/>
  <c r="B35" i="33"/>
  <c r="J34" i="33"/>
  <c r="K34" i="33" s="1"/>
  <c r="I34" i="33"/>
  <c r="M34" i="33" s="1"/>
  <c r="A34" i="33" s="1"/>
  <c r="B34" i="33"/>
  <c r="J33" i="33"/>
  <c r="K33" i="33" s="1"/>
  <c r="I33" i="33"/>
  <c r="M33" i="33" s="1"/>
  <c r="A33" i="33" s="1"/>
  <c r="B33" i="33"/>
  <c r="M32" i="33"/>
  <c r="A32" i="33" s="1"/>
  <c r="K32" i="33"/>
  <c r="J32" i="33"/>
  <c r="I32" i="33"/>
  <c r="B32" i="33"/>
  <c r="K31" i="33"/>
  <c r="J31" i="33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M28" i="33"/>
  <c r="A28" i="33" s="1"/>
  <c r="K28" i="33"/>
  <c r="J28" i="33"/>
  <c r="I28" i="33"/>
  <c r="B28" i="33"/>
  <c r="K27" i="33"/>
  <c r="J27" i="33"/>
  <c r="I27" i="33"/>
  <c r="M27" i="33" s="1"/>
  <c r="A27" i="33" s="1"/>
  <c r="B27" i="33"/>
  <c r="J26" i="33"/>
  <c r="K26" i="33" s="1"/>
  <c r="I26" i="33"/>
  <c r="M26" i="33" s="1"/>
  <c r="A26" i="33" s="1"/>
  <c r="B26" i="33"/>
  <c r="J25" i="33"/>
  <c r="K25" i="33" s="1"/>
  <c r="I25" i="33"/>
  <c r="M25" i="33" s="1"/>
  <c r="A25" i="33" s="1"/>
  <c r="B25" i="33"/>
  <c r="M24" i="33"/>
  <c r="A24" i="33" s="1"/>
  <c r="K24" i="33"/>
  <c r="J24" i="33"/>
  <c r="I24" i="33"/>
  <c r="B24" i="33"/>
  <c r="K23" i="33"/>
  <c r="J23" i="33"/>
  <c r="I23" i="33"/>
  <c r="M23" i="33" s="1"/>
  <c r="A23" i="33" s="1"/>
  <c r="B23" i="33"/>
  <c r="J22" i="33"/>
  <c r="K22" i="33" s="1"/>
  <c r="I22" i="33"/>
  <c r="M22" i="33" s="1"/>
  <c r="A22" i="33" s="1"/>
  <c r="B22" i="33"/>
  <c r="J21" i="33"/>
  <c r="K21" i="33" s="1"/>
  <c r="I21" i="33"/>
  <c r="M21" i="33" s="1"/>
  <c r="A21" i="33" s="1"/>
  <c r="B21" i="33"/>
  <c r="M20" i="33"/>
  <c r="A20" i="33" s="1"/>
  <c r="K20" i="33"/>
  <c r="J20" i="33"/>
  <c r="I20" i="33"/>
  <c r="B20" i="33"/>
  <c r="K19" i="33"/>
  <c r="J19" i="33"/>
  <c r="I19" i="33"/>
  <c r="M19" i="33" s="1"/>
  <c r="A19" i="33" s="1"/>
  <c r="B19" i="33"/>
  <c r="J18" i="33"/>
  <c r="K18" i="33" s="1"/>
  <c r="I18" i="33"/>
  <c r="M18" i="33" s="1"/>
  <c r="A18" i="33" s="1"/>
  <c r="B18" i="33"/>
  <c r="J17" i="33"/>
  <c r="K17" i="33" s="1"/>
  <c r="I17" i="33"/>
  <c r="M17" i="33" s="1"/>
  <c r="A17" i="33" s="1"/>
  <c r="B17" i="33"/>
  <c r="AI16" i="33"/>
  <c r="M16" i="33"/>
  <c r="A16" i="33" s="1"/>
  <c r="K16" i="33"/>
  <c r="J16" i="33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J11" i="33"/>
  <c r="K11" i="33" s="1"/>
  <c r="I11" i="33"/>
  <c r="M11" i="33" s="1"/>
  <c r="A11" i="33" s="1"/>
  <c r="B11" i="33"/>
  <c r="M10" i="33"/>
  <c r="A10" i="33" s="1"/>
  <c r="K10" i="33"/>
  <c r="J10" i="33"/>
  <c r="I10" i="33"/>
  <c r="B10" i="33"/>
  <c r="M9" i="33"/>
  <c r="L9" i="33"/>
  <c r="J9" i="33"/>
  <c r="K9" i="33" s="1"/>
  <c r="I9" i="33"/>
  <c r="B9" i="33"/>
  <c r="A9" i="33"/>
  <c r="L8" i="33"/>
  <c r="K8" i="33"/>
  <c r="J8" i="33"/>
  <c r="I8" i="33"/>
  <c r="M8" i="33" s="1"/>
  <c r="A8" i="33" s="1"/>
  <c r="B8" i="33"/>
  <c r="L7" i="33"/>
  <c r="J7" i="33"/>
  <c r="K7" i="33" s="1"/>
  <c r="I7" i="33"/>
  <c r="M7" i="33" s="1"/>
  <c r="A7" i="33" s="1"/>
  <c r="B7" i="33"/>
  <c r="L6" i="33"/>
  <c r="J6" i="33"/>
  <c r="K6" i="33" s="1"/>
  <c r="I6" i="33"/>
  <c r="M6" i="33" s="1"/>
  <c r="A6" i="33" s="1"/>
  <c r="B6" i="33"/>
  <c r="K2" i="33"/>
  <c r="M305" i="32"/>
  <c r="J305" i="32"/>
  <c r="K305" i="32" s="1"/>
  <c r="I305" i="32"/>
  <c r="J304" i="32"/>
  <c r="K304" i="32" s="1"/>
  <c r="I304" i="32"/>
  <c r="M304" i="32" s="1"/>
  <c r="M303" i="32"/>
  <c r="J303" i="32"/>
  <c r="K303" i="32" s="1"/>
  <c r="I303" i="32"/>
  <c r="J302" i="32"/>
  <c r="K302" i="32" s="1"/>
  <c r="I302" i="32"/>
  <c r="M302" i="32" s="1"/>
  <c r="M301" i="32"/>
  <c r="J301" i="32"/>
  <c r="K301" i="32" s="1"/>
  <c r="I301" i="32"/>
  <c r="J300" i="32"/>
  <c r="K300" i="32" s="1"/>
  <c r="I300" i="32"/>
  <c r="M300" i="32" s="1"/>
  <c r="M299" i="32"/>
  <c r="J299" i="32"/>
  <c r="K299" i="32" s="1"/>
  <c r="I299" i="32"/>
  <c r="J298" i="32"/>
  <c r="K298" i="32" s="1"/>
  <c r="I298" i="32"/>
  <c r="M298" i="32" s="1"/>
  <c r="M297" i="32"/>
  <c r="J297" i="32"/>
  <c r="K297" i="32" s="1"/>
  <c r="I297" i="32"/>
  <c r="J296" i="32"/>
  <c r="K296" i="32" s="1"/>
  <c r="I296" i="32"/>
  <c r="M296" i="32" s="1"/>
  <c r="M295" i="32"/>
  <c r="J295" i="32"/>
  <c r="K295" i="32" s="1"/>
  <c r="I295" i="32"/>
  <c r="J294" i="32"/>
  <c r="K294" i="32" s="1"/>
  <c r="I294" i="32"/>
  <c r="M294" i="32" s="1"/>
  <c r="M293" i="32"/>
  <c r="J293" i="32"/>
  <c r="K293" i="32" s="1"/>
  <c r="I293" i="32"/>
  <c r="J292" i="32"/>
  <c r="K292" i="32" s="1"/>
  <c r="I292" i="32"/>
  <c r="M292" i="32" s="1"/>
  <c r="M291" i="32"/>
  <c r="J291" i="32"/>
  <c r="K291" i="32" s="1"/>
  <c r="I291" i="32"/>
  <c r="J290" i="32"/>
  <c r="K290" i="32" s="1"/>
  <c r="I290" i="32"/>
  <c r="M290" i="32" s="1"/>
  <c r="M289" i="32"/>
  <c r="J289" i="32"/>
  <c r="K289" i="32" s="1"/>
  <c r="I289" i="32"/>
  <c r="J288" i="32"/>
  <c r="K288" i="32" s="1"/>
  <c r="I288" i="32"/>
  <c r="M288" i="32" s="1"/>
  <c r="M287" i="32"/>
  <c r="J287" i="32"/>
  <c r="K287" i="32" s="1"/>
  <c r="I287" i="32"/>
  <c r="J286" i="32"/>
  <c r="K286" i="32" s="1"/>
  <c r="I286" i="32"/>
  <c r="M286" i="32" s="1"/>
  <c r="M285" i="32"/>
  <c r="J285" i="32"/>
  <c r="K285" i="32" s="1"/>
  <c r="I285" i="32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J280" i="32"/>
  <c r="K280" i="32" s="1"/>
  <c r="I280" i="32"/>
  <c r="M280" i="32" s="1"/>
  <c r="M279" i="32"/>
  <c r="J279" i="32"/>
  <c r="K279" i="32" s="1"/>
  <c r="I279" i="32"/>
  <c r="J278" i="32"/>
  <c r="K278" i="32" s="1"/>
  <c r="I278" i="32"/>
  <c r="M278" i="32" s="1"/>
  <c r="M277" i="32"/>
  <c r="J277" i="32"/>
  <c r="K277" i="32" s="1"/>
  <c r="I277" i="32"/>
  <c r="J276" i="32"/>
  <c r="K276" i="32" s="1"/>
  <c r="I276" i="32"/>
  <c r="M276" i="32" s="1"/>
  <c r="M275" i="32"/>
  <c r="J275" i="32"/>
  <c r="K275" i="32" s="1"/>
  <c r="I275" i="32"/>
  <c r="J274" i="32"/>
  <c r="K274" i="32" s="1"/>
  <c r="I274" i="32"/>
  <c r="M274" i="32" s="1"/>
  <c r="M273" i="32"/>
  <c r="J273" i="32"/>
  <c r="K273" i="32" s="1"/>
  <c r="I273" i="32"/>
  <c r="J272" i="32"/>
  <c r="K272" i="32" s="1"/>
  <c r="I272" i="32"/>
  <c r="M272" i="32" s="1"/>
  <c r="M271" i="32"/>
  <c r="J271" i="32"/>
  <c r="K271" i="32" s="1"/>
  <c r="I271" i="32"/>
  <c r="J270" i="32"/>
  <c r="K270" i="32" s="1"/>
  <c r="I270" i="32"/>
  <c r="M270" i="32" s="1"/>
  <c r="M269" i="32"/>
  <c r="J269" i="32"/>
  <c r="K269" i="32" s="1"/>
  <c r="I269" i="32"/>
  <c r="J268" i="32"/>
  <c r="K268" i="32" s="1"/>
  <c r="I268" i="32"/>
  <c r="M268" i="32" s="1"/>
  <c r="M267" i="32"/>
  <c r="J267" i="32"/>
  <c r="K267" i="32" s="1"/>
  <c r="I267" i="32"/>
  <c r="J266" i="32"/>
  <c r="K266" i="32" s="1"/>
  <c r="I266" i="32"/>
  <c r="M266" i="32" s="1"/>
  <c r="M265" i="32"/>
  <c r="J265" i="32"/>
  <c r="K265" i="32" s="1"/>
  <c r="I265" i="32"/>
  <c r="J264" i="32"/>
  <c r="K264" i="32" s="1"/>
  <c r="I264" i="32"/>
  <c r="M264" i="32" s="1"/>
  <c r="M263" i="32"/>
  <c r="J263" i="32"/>
  <c r="K263" i="32" s="1"/>
  <c r="I263" i="32"/>
  <c r="J262" i="32"/>
  <c r="K262" i="32" s="1"/>
  <c r="I262" i="32"/>
  <c r="M262" i="32" s="1"/>
  <c r="M261" i="32"/>
  <c r="J261" i="32"/>
  <c r="K261" i="32" s="1"/>
  <c r="I261" i="32"/>
  <c r="J260" i="32"/>
  <c r="K260" i="32" s="1"/>
  <c r="I260" i="32"/>
  <c r="M260" i="32" s="1"/>
  <c r="M259" i="32"/>
  <c r="J259" i="32"/>
  <c r="K259" i="32" s="1"/>
  <c r="I259" i="32"/>
  <c r="J258" i="32"/>
  <c r="K258" i="32" s="1"/>
  <c r="I258" i="32"/>
  <c r="M258" i="32" s="1"/>
  <c r="M257" i="32"/>
  <c r="J257" i="32"/>
  <c r="K257" i="32" s="1"/>
  <c r="I257" i="32"/>
  <c r="J256" i="32"/>
  <c r="K256" i="32" s="1"/>
  <c r="I256" i="32"/>
  <c r="M256" i="32" s="1"/>
  <c r="M255" i="32"/>
  <c r="J255" i="32"/>
  <c r="K255" i="32" s="1"/>
  <c r="I255" i="32"/>
  <c r="J254" i="32"/>
  <c r="K254" i="32" s="1"/>
  <c r="I254" i="32"/>
  <c r="M254" i="32" s="1"/>
  <c r="M253" i="32"/>
  <c r="J253" i="32"/>
  <c r="K253" i="32" s="1"/>
  <c r="I253" i="32"/>
  <c r="J252" i="32"/>
  <c r="K252" i="32" s="1"/>
  <c r="I252" i="32"/>
  <c r="M252" i="32" s="1"/>
  <c r="M251" i="32"/>
  <c r="J251" i="32"/>
  <c r="K251" i="32" s="1"/>
  <c r="I251" i="32"/>
  <c r="J250" i="32"/>
  <c r="K250" i="32" s="1"/>
  <c r="I250" i="32"/>
  <c r="M250" i="32" s="1"/>
  <c r="M249" i="32"/>
  <c r="J249" i="32"/>
  <c r="K249" i="32" s="1"/>
  <c r="I249" i="32"/>
  <c r="J248" i="32"/>
  <c r="K248" i="32" s="1"/>
  <c r="I248" i="32"/>
  <c r="M248" i="32" s="1"/>
  <c r="M247" i="32"/>
  <c r="J247" i="32"/>
  <c r="K247" i="32" s="1"/>
  <c r="I247" i="32"/>
  <c r="J246" i="32"/>
  <c r="K246" i="32" s="1"/>
  <c r="I246" i="32"/>
  <c r="M246" i="32" s="1"/>
  <c r="M245" i="32"/>
  <c r="J245" i="32"/>
  <c r="K245" i="32" s="1"/>
  <c r="I245" i="32"/>
  <c r="J244" i="32"/>
  <c r="K244" i="32" s="1"/>
  <c r="I244" i="32"/>
  <c r="M244" i="32" s="1"/>
  <c r="M243" i="32"/>
  <c r="J243" i="32"/>
  <c r="K243" i="32" s="1"/>
  <c r="I243" i="32"/>
  <c r="J242" i="32"/>
  <c r="K242" i="32" s="1"/>
  <c r="I242" i="32"/>
  <c r="M242" i="32" s="1"/>
  <c r="M241" i="32"/>
  <c r="J241" i="32"/>
  <c r="K241" i="32" s="1"/>
  <c r="I241" i="32"/>
  <c r="J240" i="32"/>
  <c r="K240" i="32" s="1"/>
  <c r="I240" i="32"/>
  <c r="M240" i="32" s="1"/>
  <c r="M239" i="32"/>
  <c r="J239" i="32"/>
  <c r="K239" i="32" s="1"/>
  <c r="I239" i="32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M235" i="32"/>
  <c r="J235" i="32"/>
  <c r="K235" i="32" s="1"/>
  <c r="I235" i="32"/>
  <c r="J234" i="32"/>
  <c r="K234" i="32" s="1"/>
  <c r="I234" i="32"/>
  <c r="M234" i="32" s="1"/>
  <c r="M233" i="32"/>
  <c r="J233" i="32"/>
  <c r="K233" i="32" s="1"/>
  <c r="I233" i="32"/>
  <c r="J232" i="32"/>
  <c r="K232" i="32" s="1"/>
  <c r="I232" i="32"/>
  <c r="M232" i="32" s="1"/>
  <c r="M231" i="32"/>
  <c r="J231" i="32"/>
  <c r="K231" i="32" s="1"/>
  <c r="I231" i="32"/>
  <c r="J230" i="32"/>
  <c r="K230" i="32" s="1"/>
  <c r="I230" i="32"/>
  <c r="M230" i="32" s="1"/>
  <c r="M229" i="32"/>
  <c r="J229" i="32"/>
  <c r="K229" i="32" s="1"/>
  <c r="I229" i="32"/>
  <c r="J228" i="32"/>
  <c r="K228" i="32" s="1"/>
  <c r="I228" i="32"/>
  <c r="M228" i="32" s="1"/>
  <c r="M227" i="32"/>
  <c r="J227" i="32"/>
  <c r="K227" i="32" s="1"/>
  <c r="I227" i="32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M223" i="32"/>
  <c r="J223" i="32"/>
  <c r="K223" i="32" s="1"/>
  <c r="I223" i="32"/>
  <c r="J222" i="32"/>
  <c r="K222" i="32" s="1"/>
  <c r="I222" i="32"/>
  <c r="M222" i="32" s="1"/>
  <c r="M221" i="32"/>
  <c r="J221" i="32"/>
  <c r="K221" i="32" s="1"/>
  <c r="I221" i="32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M217" i="32"/>
  <c r="J217" i="32"/>
  <c r="K217" i="32" s="1"/>
  <c r="I217" i="32"/>
  <c r="J216" i="32"/>
  <c r="K216" i="32" s="1"/>
  <c r="I216" i="32"/>
  <c r="M216" i="32" s="1"/>
  <c r="M215" i="32"/>
  <c r="J215" i="32"/>
  <c r="K215" i="32" s="1"/>
  <c r="I215" i="32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M207" i="32"/>
  <c r="J207" i="32"/>
  <c r="K207" i="32" s="1"/>
  <c r="I207" i="32"/>
  <c r="J206" i="32"/>
  <c r="K206" i="32" s="1"/>
  <c r="I206" i="32"/>
  <c r="M206" i="32" s="1"/>
  <c r="M205" i="32"/>
  <c r="J205" i="32"/>
  <c r="K205" i="32" s="1"/>
  <c r="I205" i="32"/>
  <c r="J204" i="32"/>
  <c r="K204" i="32" s="1"/>
  <c r="I204" i="32"/>
  <c r="M204" i="32" s="1"/>
  <c r="M203" i="32"/>
  <c r="J203" i="32"/>
  <c r="K203" i="32" s="1"/>
  <c r="I203" i="32"/>
  <c r="J202" i="32"/>
  <c r="K202" i="32" s="1"/>
  <c r="I202" i="32"/>
  <c r="M202" i="32" s="1"/>
  <c r="M201" i="32"/>
  <c r="J201" i="32"/>
  <c r="K201" i="32" s="1"/>
  <c r="I201" i="32"/>
  <c r="J200" i="32"/>
  <c r="K200" i="32" s="1"/>
  <c r="I200" i="32"/>
  <c r="M200" i="32" s="1"/>
  <c r="M199" i="32"/>
  <c r="J199" i="32"/>
  <c r="K199" i="32" s="1"/>
  <c r="I199" i="32"/>
  <c r="J198" i="32"/>
  <c r="K198" i="32" s="1"/>
  <c r="I198" i="32"/>
  <c r="M198" i="32" s="1"/>
  <c r="M197" i="32"/>
  <c r="J197" i="32"/>
  <c r="K197" i="32" s="1"/>
  <c r="I197" i="32"/>
  <c r="J196" i="32"/>
  <c r="K196" i="32" s="1"/>
  <c r="I196" i="32"/>
  <c r="M196" i="32" s="1"/>
  <c r="M195" i="32"/>
  <c r="J195" i="32"/>
  <c r="K195" i="32" s="1"/>
  <c r="I195" i="32"/>
  <c r="J194" i="32"/>
  <c r="K194" i="32" s="1"/>
  <c r="I194" i="32"/>
  <c r="M194" i="32" s="1"/>
  <c r="M193" i="32"/>
  <c r="J193" i="32"/>
  <c r="K193" i="32" s="1"/>
  <c r="I193" i="32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M189" i="32"/>
  <c r="J189" i="32"/>
  <c r="K189" i="32" s="1"/>
  <c r="I189" i="32"/>
  <c r="J188" i="32"/>
  <c r="K188" i="32" s="1"/>
  <c r="I188" i="32"/>
  <c r="M188" i="32" s="1"/>
  <c r="M187" i="32"/>
  <c r="J187" i="32"/>
  <c r="K187" i="32" s="1"/>
  <c r="I187" i="32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M181" i="32"/>
  <c r="J181" i="32"/>
  <c r="K181" i="32" s="1"/>
  <c r="I181" i="32"/>
  <c r="J180" i="32"/>
  <c r="K180" i="32" s="1"/>
  <c r="I180" i="32"/>
  <c r="M180" i="32" s="1"/>
  <c r="M179" i="32"/>
  <c r="J179" i="32"/>
  <c r="K179" i="32" s="1"/>
  <c r="I179" i="32"/>
  <c r="J178" i="32"/>
  <c r="K178" i="32" s="1"/>
  <c r="I178" i="32"/>
  <c r="M178" i="32" s="1"/>
  <c r="M177" i="32"/>
  <c r="J177" i="32"/>
  <c r="K177" i="32" s="1"/>
  <c r="I177" i="32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M173" i="32"/>
  <c r="J173" i="32"/>
  <c r="K173" i="32" s="1"/>
  <c r="I173" i="32"/>
  <c r="J172" i="32"/>
  <c r="K172" i="32" s="1"/>
  <c r="I172" i="32"/>
  <c r="M172" i="32" s="1"/>
  <c r="M171" i="32"/>
  <c r="J171" i="32"/>
  <c r="K171" i="32" s="1"/>
  <c r="I171" i="32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M165" i="32"/>
  <c r="J165" i="32"/>
  <c r="K165" i="32" s="1"/>
  <c r="I165" i="32"/>
  <c r="J164" i="32"/>
  <c r="K164" i="32" s="1"/>
  <c r="I164" i="32"/>
  <c r="M164" i="32" s="1"/>
  <c r="M163" i="32"/>
  <c r="J163" i="32"/>
  <c r="K163" i="32" s="1"/>
  <c r="I163" i="32"/>
  <c r="J162" i="32"/>
  <c r="K162" i="32" s="1"/>
  <c r="I162" i="32"/>
  <c r="M162" i="32" s="1"/>
  <c r="M161" i="32"/>
  <c r="J161" i="32"/>
  <c r="K161" i="32" s="1"/>
  <c r="I161" i="32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M157" i="32"/>
  <c r="J157" i="32"/>
  <c r="K157" i="32" s="1"/>
  <c r="I157" i="32"/>
  <c r="J156" i="32"/>
  <c r="K156" i="32" s="1"/>
  <c r="I156" i="32"/>
  <c r="M156" i="32" s="1"/>
  <c r="M155" i="32"/>
  <c r="J155" i="32"/>
  <c r="K155" i="32" s="1"/>
  <c r="I155" i="32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M149" i="32"/>
  <c r="J149" i="32"/>
  <c r="K149" i="32" s="1"/>
  <c r="I149" i="32"/>
  <c r="J148" i="32"/>
  <c r="K148" i="32" s="1"/>
  <c r="I148" i="32"/>
  <c r="M148" i="32" s="1"/>
  <c r="M147" i="32"/>
  <c r="J147" i="32"/>
  <c r="K147" i="32" s="1"/>
  <c r="I147" i="32"/>
  <c r="J146" i="32"/>
  <c r="K146" i="32" s="1"/>
  <c r="I146" i="32"/>
  <c r="M146" i="32" s="1"/>
  <c r="M145" i="32"/>
  <c r="J145" i="32"/>
  <c r="K145" i="32" s="1"/>
  <c r="I145" i="32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M141" i="32"/>
  <c r="J141" i="32"/>
  <c r="K141" i="32" s="1"/>
  <c r="I141" i="32"/>
  <c r="J140" i="32"/>
  <c r="K140" i="32" s="1"/>
  <c r="I140" i="32"/>
  <c r="M140" i="32" s="1"/>
  <c r="M139" i="32"/>
  <c r="J139" i="32"/>
  <c r="K139" i="32" s="1"/>
  <c r="I139" i="32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J135" i="32"/>
  <c r="K135" i="32" s="1"/>
  <c r="I135" i="32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M131" i="32"/>
  <c r="J131" i="32"/>
  <c r="K131" i="32" s="1"/>
  <c r="I131" i="32"/>
  <c r="J130" i="32"/>
  <c r="K130" i="32" s="1"/>
  <c r="I130" i="32"/>
  <c r="M130" i="32" s="1"/>
  <c r="M129" i="32"/>
  <c r="J129" i="32"/>
  <c r="K129" i="32" s="1"/>
  <c r="I129" i="32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M123" i="32"/>
  <c r="J123" i="32"/>
  <c r="K123" i="32" s="1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M78" i="32"/>
  <c r="A78" i="32" s="1"/>
  <c r="K78" i="32"/>
  <c r="J78" i="32"/>
  <c r="I78" i="32"/>
  <c r="K77" i="32"/>
  <c r="J77" i="32"/>
  <c r="I77" i="32"/>
  <c r="M77" i="32" s="1"/>
  <c r="A77" i="32" s="1"/>
  <c r="K76" i="32"/>
  <c r="J76" i="32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K70" i="32"/>
  <c r="J70" i="32"/>
  <c r="I70" i="32"/>
  <c r="K69" i="32"/>
  <c r="J69" i="32"/>
  <c r="I69" i="32"/>
  <c r="M69" i="32" s="1"/>
  <c r="A69" i="32" s="1"/>
  <c r="K68" i="32"/>
  <c r="J68" i="32"/>
  <c r="I68" i="32"/>
  <c r="M68" i="32" s="1"/>
  <c r="A68" i="32" s="1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M58" i="32"/>
  <c r="J58" i="32"/>
  <c r="K58" i="32" s="1"/>
  <c r="I58" i="32"/>
  <c r="B58" i="32"/>
  <c r="A58" i="32"/>
  <c r="M57" i="32"/>
  <c r="A57" i="32" s="1"/>
  <c r="K57" i="32"/>
  <c r="J57" i="32"/>
  <c r="I57" i="32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M54" i="32"/>
  <c r="J54" i="32"/>
  <c r="K54" i="32" s="1"/>
  <c r="I54" i="32"/>
  <c r="B54" i="32"/>
  <c r="A54" i="32"/>
  <c r="M53" i="32"/>
  <c r="A53" i="32" s="1"/>
  <c r="K53" i="32"/>
  <c r="J53" i="32"/>
  <c r="I53" i="32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K36" i="32"/>
  <c r="J36" i="32"/>
  <c r="I36" i="32"/>
  <c r="M36" i="32" s="1"/>
  <c r="A36" i="32" s="1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K33" i="32"/>
  <c r="J33" i="32"/>
  <c r="I33" i="32"/>
  <c r="M33" i="32" s="1"/>
  <c r="A33" i="32" s="1"/>
  <c r="B33" i="32"/>
  <c r="J32" i="32"/>
  <c r="K32" i="32" s="1"/>
  <c r="I32" i="32"/>
  <c r="M32" i="32" s="1"/>
  <c r="A32" i="32" s="1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J28" i="32"/>
  <c r="K28" i="32" s="1"/>
  <c r="I28" i="32"/>
  <c r="M28" i="32" s="1"/>
  <c r="A28" i="32" s="1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J24" i="32"/>
  <c r="K24" i="32" s="1"/>
  <c r="I24" i="32"/>
  <c r="M24" i="32" s="1"/>
  <c r="A24" i="32" s="1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J20" i="32"/>
  <c r="K20" i="32" s="1"/>
  <c r="I20" i="32"/>
  <c r="M20" i="32" s="1"/>
  <c r="A20" i="32" s="1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M17" i="32"/>
  <c r="K17" i="32"/>
  <c r="J17" i="32"/>
  <c r="I17" i="32"/>
  <c r="B17" i="32"/>
  <c r="A17" i="32"/>
  <c r="J16" i="32"/>
  <c r="K16" i="32" s="1"/>
  <c r="I16" i="32"/>
  <c r="M16" i="32" s="1"/>
  <c r="A16" i="32" s="1"/>
  <c r="B16" i="32"/>
  <c r="M15" i="32"/>
  <c r="A15" i="32" s="1"/>
  <c r="K15" i="32"/>
  <c r="J15" i="32"/>
  <c r="I15" i="32"/>
  <c r="B15" i="32"/>
  <c r="AI14" i="32"/>
  <c r="M14" i="32"/>
  <c r="A14" i="32" s="1"/>
  <c r="K14" i="32"/>
  <c r="J14" i="32"/>
  <c r="I14" i="32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K11" i="32"/>
  <c r="J11" i="32"/>
  <c r="I11" i="32"/>
  <c r="B11" i="32"/>
  <c r="A11" i="32"/>
  <c r="J10" i="32"/>
  <c r="K10" i="32" s="1"/>
  <c r="I10" i="32"/>
  <c r="M10" i="32" s="1"/>
  <c r="A10" i="32" s="1"/>
  <c r="B10" i="32"/>
  <c r="M9" i="32"/>
  <c r="A9" i="32" s="1"/>
  <c r="L9" i="32"/>
  <c r="K9" i="32"/>
  <c r="J9" i="32"/>
  <c r="I9" i="32"/>
  <c r="B9" i="32"/>
  <c r="L8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K27" i="20"/>
  <c r="I25" i="20"/>
  <c r="K24" i="20"/>
  <c r="I23" i="20"/>
  <c r="I20" i="20"/>
  <c r="K15" i="20"/>
  <c r="K7" i="20"/>
  <c r="M14" i="20"/>
  <c r="K14" i="20"/>
  <c r="I14" i="20"/>
  <c r="M13" i="20"/>
  <c r="K13" i="20"/>
  <c r="I13" i="20"/>
  <c r="K9" i="20"/>
  <c r="I9" i="20"/>
  <c r="M6" i="20"/>
  <c r="K6" i="20"/>
  <c r="I6" i="20"/>
  <c r="M10" i="20"/>
  <c r="K10" i="20"/>
  <c r="I10" i="20"/>
  <c r="M12" i="20"/>
  <c r="K12" i="20"/>
  <c r="I12" i="20"/>
  <c r="M8" i="20"/>
  <c r="M14" i="13"/>
  <c r="M15" i="13"/>
  <c r="M6" i="13"/>
  <c r="M13" i="13"/>
  <c r="M10" i="13"/>
  <c r="M12" i="13"/>
  <c r="M7" i="13"/>
  <c r="K20" i="13"/>
  <c r="K15" i="13"/>
  <c r="K6" i="13"/>
  <c r="K13" i="13"/>
  <c r="K9" i="13"/>
  <c r="K8" i="13"/>
  <c r="K10" i="13"/>
  <c r="K12" i="13"/>
  <c r="I17" i="13"/>
  <c r="I6" i="13"/>
  <c r="I13" i="13"/>
  <c r="I9" i="13"/>
  <c r="I10" i="13"/>
  <c r="I12" i="13"/>
  <c r="J305" i="31"/>
  <c r="K305" i="31" s="1"/>
  <c r="I305" i="31"/>
  <c r="M305" i="31" s="1"/>
  <c r="J304" i="31"/>
  <c r="K304" i="31" s="1"/>
  <c r="I304" i="31"/>
  <c r="M304" i="31" s="1"/>
  <c r="M303" i="31"/>
  <c r="J303" i="31"/>
  <c r="K303" i="31" s="1"/>
  <c r="I303" i="3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M291" i="31"/>
  <c r="J291" i="31"/>
  <c r="K291" i="31" s="1"/>
  <c r="I291" i="3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M279" i="31"/>
  <c r="J279" i="31"/>
  <c r="K279" i="31" s="1"/>
  <c r="I279" i="31"/>
  <c r="J278" i="31"/>
  <c r="K278" i="31" s="1"/>
  <c r="I278" i="31"/>
  <c r="M278" i="31" s="1"/>
  <c r="M277" i="31"/>
  <c r="J277" i="31"/>
  <c r="K277" i="31" s="1"/>
  <c r="I277" i="3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M177" i="31"/>
  <c r="J177" i="31"/>
  <c r="K177" i="31" s="1"/>
  <c r="I177" i="3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M151" i="31"/>
  <c r="J151" i="31"/>
  <c r="K151" i="31" s="1"/>
  <c r="I151" i="3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M141" i="31"/>
  <c r="J141" i="31"/>
  <c r="K141" i="31" s="1"/>
  <c r="I141" i="3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M123" i="31"/>
  <c r="J123" i="31"/>
  <c r="K123" i="31" s="1"/>
  <c r="I123" i="3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M117" i="31"/>
  <c r="J117" i="31"/>
  <c r="K117" i="31" s="1"/>
  <c r="I117" i="3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M105" i="31"/>
  <c r="J105" i="31"/>
  <c r="K105" i="31" s="1"/>
  <c r="I105" i="3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M85" i="31"/>
  <c r="J85" i="31"/>
  <c r="K85" i="31" s="1"/>
  <c r="I85" i="3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K64" i="31"/>
  <c r="J64" i="3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M52" i="31"/>
  <c r="J52" i="31"/>
  <c r="K52" i="31" s="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M46" i="31"/>
  <c r="J46" i="31"/>
  <c r="K46" i="31" s="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J26" i="31"/>
  <c r="K26" i="31" s="1"/>
  <c r="I26" i="3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K22" i="31"/>
  <c r="J22" i="31"/>
  <c r="I22" i="3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M18" i="13" s="1"/>
  <c r="J9" i="31"/>
  <c r="K9" i="31" s="1"/>
  <c r="I9" i="31"/>
  <c r="J8" i="31"/>
  <c r="K8" i="31" s="1"/>
  <c r="I8" i="31"/>
  <c r="J7" i="31"/>
  <c r="K7" i="31" s="1"/>
  <c r="I7" i="31"/>
  <c r="M8" i="13"/>
  <c r="J6" i="31"/>
  <c r="K6" i="31" s="1"/>
  <c r="I6" i="31"/>
  <c r="M9" i="20"/>
  <c r="K2" i="31"/>
  <c r="L7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M262" i="30"/>
  <c r="J262" i="30"/>
  <c r="K262" i="30" s="1"/>
  <c r="I262" i="30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M246" i="30"/>
  <c r="J246" i="30"/>
  <c r="K246" i="30" s="1"/>
  <c r="I246" i="30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M214" i="30"/>
  <c r="J214" i="30"/>
  <c r="K214" i="30" s="1"/>
  <c r="I214" i="30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M182" i="30"/>
  <c r="J182" i="30"/>
  <c r="K182" i="30" s="1"/>
  <c r="I182" i="30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M150" i="30"/>
  <c r="J150" i="30"/>
  <c r="K150" i="30" s="1"/>
  <c r="I150" i="30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M127" i="30"/>
  <c r="J127" i="30"/>
  <c r="K127" i="30" s="1"/>
  <c r="I127" i="30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M121" i="30"/>
  <c r="J121" i="30"/>
  <c r="K121" i="30" s="1"/>
  <c r="I121" i="30"/>
  <c r="J120" i="30"/>
  <c r="K120" i="30" s="1"/>
  <c r="I120" i="30"/>
  <c r="M120" i="30" s="1"/>
  <c r="M119" i="30"/>
  <c r="J119" i="30"/>
  <c r="K119" i="30" s="1"/>
  <c r="I119" i="30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M111" i="30"/>
  <c r="J111" i="30"/>
  <c r="K111" i="30" s="1"/>
  <c r="I111" i="30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M105" i="30"/>
  <c r="J105" i="30"/>
  <c r="K105" i="30" s="1"/>
  <c r="I105" i="30"/>
  <c r="J104" i="30"/>
  <c r="K104" i="30" s="1"/>
  <c r="I104" i="30"/>
  <c r="M104" i="30" s="1"/>
  <c r="M103" i="30"/>
  <c r="J103" i="30"/>
  <c r="K103" i="30" s="1"/>
  <c r="I103" i="30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M95" i="30"/>
  <c r="J95" i="30"/>
  <c r="K95" i="30" s="1"/>
  <c r="I95" i="30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M89" i="30"/>
  <c r="J89" i="30"/>
  <c r="K89" i="30" s="1"/>
  <c r="I89" i="30"/>
  <c r="J88" i="30"/>
  <c r="K88" i="30" s="1"/>
  <c r="I88" i="30"/>
  <c r="M88" i="30" s="1"/>
  <c r="M87" i="30"/>
  <c r="J87" i="30"/>
  <c r="K87" i="30" s="1"/>
  <c r="I87" i="30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M79" i="30"/>
  <c r="J79" i="30"/>
  <c r="K79" i="30" s="1"/>
  <c r="I79" i="30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K69" i="30"/>
  <c r="J69" i="30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M57" i="30"/>
  <c r="J57" i="30"/>
  <c r="K57" i="30" s="1"/>
  <c r="I57" i="30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M45" i="30"/>
  <c r="J45" i="30"/>
  <c r="K45" i="30" s="1"/>
  <c r="I45" i="30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M29" i="30"/>
  <c r="A29" i="30" s="1"/>
  <c r="J29" i="30"/>
  <c r="K29" i="30" s="1"/>
  <c r="I29" i="30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K9" i="30"/>
  <c r="J9" i="30"/>
  <c r="I9" i="30"/>
  <c r="M9" i="30" s="1"/>
  <c r="A9" i="30" s="1"/>
  <c r="J8" i="30"/>
  <c r="K8" i="30" s="1"/>
  <c r="I8" i="30"/>
  <c r="K7" i="30"/>
  <c r="I7" i="30"/>
  <c r="K6" i="30"/>
  <c r="I6" i="30"/>
  <c r="K20" i="20"/>
  <c r="K2" i="30"/>
  <c r="L6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M198" i="29"/>
  <c r="J198" i="29"/>
  <c r="K198" i="29" s="1"/>
  <c r="I198" i="29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M167" i="29"/>
  <c r="J167" i="29"/>
  <c r="K167" i="29" s="1"/>
  <c r="I167" i="29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M133" i="29"/>
  <c r="J133" i="29"/>
  <c r="K133" i="29" s="1"/>
  <c r="I133" i="29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M115" i="29"/>
  <c r="J115" i="29"/>
  <c r="K115" i="29" s="1"/>
  <c r="I115" i="29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M65" i="29"/>
  <c r="J65" i="29"/>
  <c r="K65" i="29" s="1"/>
  <c r="I65" i="29"/>
  <c r="B65" i="29"/>
  <c r="J64" i="29"/>
  <c r="K64" i="29" s="1"/>
  <c r="I64" i="29"/>
  <c r="M64" i="29" s="1"/>
  <c r="B64" i="29"/>
  <c r="M63" i="29"/>
  <c r="J63" i="29"/>
  <c r="K63" i="29" s="1"/>
  <c r="I63" i="29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M30" i="29"/>
  <c r="A30" i="29" s="1"/>
  <c r="J30" i="29"/>
  <c r="K30" i="29" s="1"/>
  <c r="I30" i="29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J15" i="29"/>
  <c r="K15" i="29" s="1"/>
  <c r="I15" i="29"/>
  <c r="M15" i="29" s="1"/>
  <c r="A15" i="29" s="1"/>
  <c r="AI14" i="29"/>
  <c r="J14" i="29"/>
  <c r="K14" i="29" s="1"/>
  <c r="I14" i="29"/>
  <c r="M14" i="29" s="1"/>
  <c r="A14" i="29" s="1"/>
  <c r="AI13" i="29"/>
  <c r="M13" i="29"/>
  <c r="A13" i="29" s="1"/>
  <c r="J13" i="29"/>
  <c r="K13" i="29" s="1"/>
  <c r="I13" i="29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M10" i="29" s="1"/>
  <c r="A10" i="29" s="1"/>
  <c r="J9" i="29"/>
  <c r="K9" i="29" s="1"/>
  <c r="I9" i="29"/>
  <c r="M9" i="29" s="1"/>
  <c r="A9" i="29" s="1"/>
  <c r="J8" i="29"/>
  <c r="K8" i="29" s="1"/>
  <c r="I8" i="29"/>
  <c r="J7" i="29"/>
  <c r="K7" i="29" s="1"/>
  <c r="I7" i="29"/>
  <c r="J6" i="29"/>
  <c r="K6" i="29" s="1"/>
  <c r="I6" i="29"/>
  <c r="K2" i="29"/>
  <c r="L8" i="29" s="1"/>
  <c r="E13" i="20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O27" i="20"/>
  <c r="O26" i="20"/>
  <c r="E26" i="20"/>
  <c r="O25" i="20"/>
  <c r="O24" i="20"/>
  <c r="O23" i="20"/>
  <c r="O22" i="20"/>
  <c r="E22" i="20"/>
  <c r="O21" i="20"/>
  <c r="O20" i="20"/>
  <c r="O19" i="20"/>
  <c r="O18" i="20"/>
  <c r="E18" i="20"/>
  <c r="O17" i="20"/>
  <c r="O16" i="20"/>
  <c r="O11" i="20"/>
  <c r="E11" i="20"/>
  <c r="O15" i="20"/>
  <c r="E15" i="20"/>
  <c r="O7" i="20"/>
  <c r="E7" i="20"/>
  <c r="O14" i="20"/>
  <c r="G14" i="20"/>
  <c r="E14" i="20"/>
  <c r="O13" i="20"/>
  <c r="G13" i="20"/>
  <c r="O9" i="20"/>
  <c r="E9" i="20"/>
  <c r="O10" i="20"/>
  <c r="E10" i="20"/>
  <c r="O6" i="20"/>
  <c r="G6" i="20"/>
  <c r="E6" i="20"/>
  <c r="O12" i="20"/>
  <c r="G12" i="20"/>
  <c r="E12" i="20"/>
  <c r="O8" i="20"/>
  <c r="G8" i="20"/>
  <c r="E8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N272" i="28" s="1"/>
  <c r="A272" i="28" s="1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M191" i="28" s="1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M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N161" i="28" s="1"/>
  <c r="A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N153" i="28" s="1"/>
  <c r="A153" i="28" s="1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N147" i="28" s="1"/>
  <c r="A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M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M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M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M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M98" i="28" s="1"/>
  <c r="B98" i="28"/>
  <c r="J97" i="28"/>
  <c r="K97" i="28" s="1"/>
  <c r="I97" i="28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J77" i="28"/>
  <c r="K77" i="28" s="1"/>
  <c r="I77" i="28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M71" i="28" s="1"/>
  <c r="N71" i="28" s="1"/>
  <c r="A71" i="28" s="1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M64" i="28" s="1"/>
  <c r="N64" i="28" s="1"/>
  <c r="A64" i="28" s="1"/>
  <c r="J63" i="28"/>
  <c r="K63" i="28" s="1"/>
  <c r="I63" i="28"/>
  <c r="M63" i="28" s="1"/>
  <c r="N63" i="28" s="1"/>
  <c r="A63" i="28" s="1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M58" i="28" s="1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M50" i="28" s="1"/>
  <c r="J49" i="28"/>
  <c r="K49" i="28" s="1"/>
  <c r="I49" i="28"/>
  <c r="J48" i="28"/>
  <c r="K48" i="28" s="1"/>
  <c r="I48" i="28"/>
  <c r="M48" i="28" s="1"/>
  <c r="N48" i="28" s="1"/>
  <c r="A48" i="28" s="1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M41" i="28" s="1"/>
  <c r="N41" i="28" s="1"/>
  <c r="A41" i="28" s="1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N20" i="28" s="1"/>
  <c r="A20" i="28" s="1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K300" i="27"/>
  <c r="J300" i="27"/>
  <c r="I300" i="27"/>
  <c r="M300" i="27" s="1"/>
  <c r="J299" i="27"/>
  <c r="K299" i="27" s="1"/>
  <c r="I299" i="27"/>
  <c r="M299" i="27" s="1"/>
  <c r="J298" i="27"/>
  <c r="K298" i="27" s="1"/>
  <c r="I298" i="27"/>
  <c r="M298" i="27" s="1"/>
  <c r="K297" i="27"/>
  <c r="J297" i="27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M286" i="27"/>
  <c r="J286" i="27"/>
  <c r="K286" i="27" s="1"/>
  <c r="I286" i="27"/>
  <c r="J285" i="27"/>
  <c r="K285" i="27" s="1"/>
  <c r="I285" i="27"/>
  <c r="M285" i="27" s="1"/>
  <c r="M284" i="27"/>
  <c r="J284" i="27"/>
  <c r="K284" i="27" s="1"/>
  <c r="I284" i="27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K280" i="27"/>
  <c r="J280" i="27"/>
  <c r="I280" i="27"/>
  <c r="M280" i="27" s="1"/>
  <c r="J279" i="27"/>
  <c r="K279" i="27" s="1"/>
  <c r="I279" i="27"/>
  <c r="M279" i="27" s="1"/>
  <c r="K278" i="27"/>
  <c r="J278" i="27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K266" i="27"/>
  <c r="J266" i="27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M262" i="27"/>
  <c r="J262" i="27"/>
  <c r="K262" i="27" s="1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K258" i="27"/>
  <c r="J258" i="27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M252" i="27"/>
  <c r="J252" i="27"/>
  <c r="K252" i="27" s="1"/>
  <c r="I252" i="27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K248" i="27"/>
  <c r="J248" i="27"/>
  <c r="I248" i="27"/>
  <c r="M248" i="27" s="1"/>
  <c r="J247" i="27"/>
  <c r="K247" i="27" s="1"/>
  <c r="I247" i="27"/>
  <c r="M247" i="27" s="1"/>
  <c r="K246" i="27"/>
  <c r="J246" i="27"/>
  <c r="I246" i="27"/>
  <c r="M246" i="27" s="1"/>
  <c r="J245" i="27"/>
  <c r="K245" i="27" s="1"/>
  <c r="I245" i="27"/>
  <c r="M245" i="27" s="1"/>
  <c r="M244" i="27"/>
  <c r="J244" i="27"/>
  <c r="K244" i="27" s="1"/>
  <c r="I244" i="27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K240" i="27"/>
  <c r="J240" i="27"/>
  <c r="I240" i="27"/>
  <c r="M240" i="27" s="1"/>
  <c r="J239" i="27"/>
  <c r="K239" i="27" s="1"/>
  <c r="I239" i="27"/>
  <c r="M239" i="27" s="1"/>
  <c r="K238" i="27"/>
  <c r="J238" i="27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K232" i="27"/>
  <c r="J232" i="27"/>
  <c r="I232" i="27"/>
  <c r="M232" i="27" s="1"/>
  <c r="J231" i="27"/>
  <c r="K231" i="27" s="1"/>
  <c r="I231" i="27"/>
  <c r="M231" i="27" s="1"/>
  <c r="K230" i="27"/>
  <c r="J230" i="27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K222" i="27"/>
  <c r="J222" i="27"/>
  <c r="I222" i="27"/>
  <c r="M222" i="27" s="1"/>
  <c r="J221" i="27"/>
  <c r="K221" i="27" s="1"/>
  <c r="I221" i="27"/>
  <c r="M221" i="27" s="1"/>
  <c r="M220" i="27"/>
  <c r="J220" i="27"/>
  <c r="K220" i="27" s="1"/>
  <c r="I220" i="27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M214" i="27"/>
  <c r="J214" i="27"/>
  <c r="K214" i="27" s="1"/>
  <c r="I214" i="27"/>
  <c r="J213" i="27"/>
  <c r="K213" i="27" s="1"/>
  <c r="I213" i="27"/>
  <c r="M213" i="27" s="1"/>
  <c r="K212" i="27"/>
  <c r="J212" i="27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M204" i="27"/>
  <c r="J204" i="27"/>
  <c r="K204" i="27" s="1"/>
  <c r="I204" i="27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M198" i="27"/>
  <c r="J198" i="27"/>
  <c r="K198" i="27" s="1"/>
  <c r="I198" i="27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M190" i="27"/>
  <c r="J190" i="27"/>
  <c r="K190" i="27" s="1"/>
  <c r="I190" i="27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K186" i="27"/>
  <c r="J186" i="27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K182" i="27"/>
  <c r="J182" i="27"/>
  <c r="I182" i="27"/>
  <c r="M182" i="27" s="1"/>
  <c r="J181" i="27"/>
  <c r="K181" i="27" s="1"/>
  <c r="I181" i="27"/>
  <c r="M181" i="27" s="1"/>
  <c r="K180" i="27"/>
  <c r="J180" i="27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K174" i="27"/>
  <c r="J174" i="27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K166" i="27"/>
  <c r="J166" i="27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K158" i="27"/>
  <c r="J158" i="27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M150" i="27"/>
  <c r="J150" i="27"/>
  <c r="K150" i="27" s="1"/>
  <c r="I150" i="27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K146" i="27"/>
  <c r="J146" i="27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K142" i="27"/>
  <c r="J142" i="27"/>
  <c r="I142" i="27"/>
  <c r="M142" i="27" s="1"/>
  <c r="J141" i="27"/>
  <c r="K141" i="27" s="1"/>
  <c r="I141" i="27"/>
  <c r="M141" i="27" s="1"/>
  <c r="K140" i="27"/>
  <c r="J140" i="27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M134" i="27"/>
  <c r="K134" i="27"/>
  <c r="J134" i="27"/>
  <c r="I134" i="27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M124" i="27"/>
  <c r="K124" i="27"/>
  <c r="J124" i="27"/>
  <c r="I124" i="27"/>
  <c r="J123" i="27"/>
  <c r="K123" i="27" s="1"/>
  <c r="I123" i="27"/>
  <c r="M123" i="27" s="1"/>
  <c r="M122" i="27"/>
  <c r="K122" i="27"/>
  <c r="J122" i="27"/>
  <c r="I122" i="27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M116" i="27"/>
  <c r="K116" i="27"/>
  <c r="J116" i="27"/>
  <c r="I116" i="27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M109" i="27"/>
  <c r="J109" i="27"/>
  <c r="K109" i="27" s="1"/>
  <c r="I109" i="27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M102" i="27"/>
  <c r="K102" i="27"/>
  <c r="J102" i="27"/>
  <c r="I102" i="27"/>
  <c r="J101" i="27"/>
  <c r="K101" i="27" s="1"/>
  <c r="I101" i="27"/>
  <c r="M101" i="27" s="1"/>
  <c r="J100" i="27"/>
  <c r="K100" i="27" s="1"/>
  <c r="I100" i="27"/>
  <c r="M100" i="27" s="1"/>
  <c r="M99" i="27"/>
  <c r="J99" i="27"/>
  <c r="K99" i="27" s="1"/>
  <c r="I99" i="27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K93" i="27"/>
  <c r="J93" i="27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M85" i="27"/>
  <c r="K85" i="27"/>
  <c r="J85" i="27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M76" i="27"/>
  <c r="A76" i="27" s="1"/>
  <c r="J76" i="27"/>
  <c r="K76" i="27" s="1"/>
  <c r="I76" i="27"/>
  <c r="J75" i="27"/>
  <c r="K75" i="27" s="1"/>
  <c r="I75" i="27"/>
  <c r="M75" i="27" s="1"/>
  <c r="A75" i="27"/>
  <c r="M74" i="27"/>
  <c r="A74" i="27" s="1"/>
  <c r="K74" i="27"/>
  <c r="J74" i="27"/>
  <c r="I74" i="27"/>
  <c r="J73" i="27"/>
  <c r="K73" i="27" s="1"/>
  <c r="I73" i="27"/>
  <c r="M73" i="27" s="1"/>
  <c r="A73" i="27"/>
  <c r="M72" i="27"/>
  <c r="A72" i="27" s="1"/>
  <c r="K72" i="27"/>
  <c r="J72" i="27"/>
  <c r="I72" i="27"/>
  <c r="J71" i="27"/>
  <c r="K71" i="27" s="1"/>
  <c r="I71" i="27"/>
  <c r="M71" i="27" s="1"/>
  <c r="A71" i="27" s="1"/>
  <c r="J70" i="27"/>
  <c r="K70" i="27" s="1"/>
  <c r="I70" i="27"/>
  <c r="M70" i="27" s="1"/>
  <c r="A70" i="27"/>
  <c r="M69" i="27"/>
  <c r="A69" i="27" s="1"/>
  <c r="K69" i="27"/>
  <c r="J69" i="27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K63" i="27"/>
  <c r="J63" i="27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M54" i="27"/>
  <c r="A54" i="27" s="1"/>
  <c r="K54" i="27"/>
  <c r="J54" i="27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M50" i="27"/>
  <c r="A50" i="27" s="1"/>
  <c r="J50" i="27"/>
  <c r="K50" i="27" s="1"/>
  <c r="I50" i="27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K47" i="27"/>
  <c r="J47" i="27"/>
  <c r="I47" i="27"/>
  <c r="M47" i="27" s="1"/>
  <c r="A47" i="27" s="1"/>
  <c r="B47" i="27"/>
  <c r="U46" i="27"/>
  <c r="T46" i="27"/>
  <c r="R46" i="27"/>
  <c r="M46" i="27"/>
  <c r="A46" i="27" s="1"/>
  <c r="K46" i="27"/>
  <c r="J46" i="27"/>
  <c r="I46" i="27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M41" i="27"/>
  <c r="A41" i="27" s="1"/>
  <c r="J41" i="27"/>
  <c r="K41" i="27" s="1"/>
  <c r="I41" i="27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M38" i="27"/>
  <c r="A38" i="27" s="1"/>
  <c r="J38" i="27"/>
  <c r="K38" i="27" s="1"/>
  <c r="I38" i="27"/>
  <c r="B38" i="27"/>
  <c r="M37" i="27"/>
  <c r="A37" i="27" s="1"/>
  <c r="K37" i="27"/>
  <c r="J37" i="27"/>
  <c r="I37" i="27"/>
  <c r="B37" i="27"/>
  <c r="M36" i="27"/>
  <c r="A36" i="27" s="1"/>
  <c r="J36" i="27"/>
  <c r="K36" i="27" s="1"/>
  <c r="I36" i="27"/>
  <c r="B36" i="27"/>
  <c r="J35" i="27"/>
  <c r="K35" i="27" s="1"/>
  <c r="I35" i="27"/>
  <c r="M35" i="27" s="1"/>
  <c r="A35" i="27" s="1"/>
  <c r="B35" i="27"/>
  <c r="M34" i="27"/>
  <c r="K34" i="27"/>
  <c r="J34" i="27"/>
  <c r="I34" i="27"/>
  <c r="B34" i="27"/>
  <c r="A34" i="27"/>
  <c r="M33" i="27"/>
  <c r="A33" i="27" s="1"/>
  <c r="J33" i="27"/>
  <c r="K33" i="27" s="1"/>
  <c r="I33" i="27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M30" i="27"/>
  <c r="K30" i="27"/>
  <c r="J30" i="27"/>
  <c r="I30" i="27"/>
  <c r="B30" i="27"/>
  <c r="A30" i="27"/>
  <c r="J29" i="27"/>
  <c r="K29" i="27" s="1"/>
  <c r="M29" i="27" s="1"/>
  <c r="A29" i="27" s="1"/>
  <c r="I29" i="27"/>
  <c r="B29" i="27"/>
  <c r="K28" i="27"/>
  <c r="J28" i="27"/>
  <c r="I28" i="27"/>
  <c r="M28" i="27" s="1"/>
  <c r="A28" i="27" s="1"/>
  <c r="B28" i="27"/>
  <c r="J27" i="27"/>
  <c r="K27" i="27" s="1"/>
  <c r="I27" i="27"/>
  <c r="M27" i="27" s="1"/>
  <c r="A27" i="27" s="1"/>
  <c r="B27" i="27"/>
  <c r="K26" i="27"/>
  <c r="J26" i="27"/>
  <c r="I26" i="27"/>
  <c r="M26" i="27" s="1"/>
  <c r="A26" i="27" s="1"/>
  <c r="B26" i="27"/>
  <c r="J25" i="27"/>
  <c r="K25" i="27" s="1"/>
  <c r="M25" i="27" s="1"/>
  <c r="A25" i="27" s="1"/>
  <c r="I25" i="27"/>
  <c r="B25" i="27"/>
  <c r="J24" i="27"/>
  <c r="K24" i="27" s="1"/>
  <c r="I24" i="27"/>
  <c r="B24" i="27"/>
  <c r="K23" i="27"/>
  <c r="J23" i="27"/>
  <c r="I23" i="27"/>
  <c r="M23" i="27" s="1"/>
  <c r="B23" i="27"/>
  <c r="A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J19" i="27"/>
  <c r="K19" i="27" s="1"/>
  <c r="I19" i="27"/>
  <c r="M19" i="27" s="1"/>
  <c r="A19" i="27" s="1"/>
  <c r="B19" i="27"/>
  <c r="M18" i="27"/>
  <c r="A18" i="27" s="1"/>
  <c r="K18" i="27"/>
  <c r="J18" i="27"/>
  <c r="I18" i="27"/>
  <c r="B18" i="27"/>
  <c r="J17" i="27"/>
  <c r="K17" i="27" s="1"/>
  <c r="I17" i="27"/>
  <c r="M17" i="27" s="1"/>
  <c r="A17" i="27" s="1"/>
  <c r="B17" i="27"/>
  <c r="J16" i="27"/>
  <c r="K16" i="27" s="1"/>
  <c r="I16" i="27"/>
  <c r="B16" i="27"/>
  <c r="J15" i="27"/>
  <c r="K15" i="27" s="1"/>
  <c r="I15" i="27"/>
  <c r="M15" i="27" s="1"/>
  <c r="A15" i="27" s="1"/>
  <c r="B15" i="27"/>
  <c r="AI14" i="27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AI16" i="27" s="1"/>
  <c r="J12" i="27"/>
  <c r="K12" i="27" s="1"/>
  <c r="I12" i="27"/>
  <c r="M12" i="27" s="1"/>
  <c r="A12" i="27" s="1"/>
  <c r="B12" i="27"/>
  <c r="M11" i="27"/>
  <c r="A11" i="27" s="1"/>
  <c r="J11" i="27"/>
  <c r="K11" i="27" s="1"/>
  <c r="I11" i="27"/>
  <c r="B11" i="27"/>
  <c r="J10" i="27"/>
  <c r="K10" i="27" s="1"/>
  <c r="I10" i="27"/>
  <c r="M10" i="27" s="1"/>
  <c r="A10" i="27" s="1"/>
  <c r="B10" i="27"/>
  <c r="K9" i="27"/>
  <c r="J9" i="27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B27" i="26"/>
  <c r="J26" i="26"/>
  <c r="K26" i="26" s="1"/>
  <c r="I26" i="26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B18" i="26"/>
  <c r="A18" i="26"/>
  <c r="J17" i="26"/>
  <c r="K17" i="26" s="1"/>
  <c r="I17" i="26"/>
  <c r="B17" i="26"/>
  <c r="AI16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B14" i="26"/>
  <c r="AI13" i="26"/>
  <c r="J13" i="26"/>
  <c r="K13" i="26" s="1"/>
  <c r="I13" i="26"/>
  <c r="M13" i="26" s="1"/>
  <c r="A13" i="26" s="1"/>
  <c r="B13" i="26"/>
  <c r="AI12" i="26"/>
  <c r="J12" i="26"/>
  <c r="K12" i="26" s="1"/>
  <c r="I12" i="26"/>
  <c r="B12" i="26"/>
  <c r="J11" i="26"/>
  <c r="K11" i="26" s="1"/>
  <c r="I11" i="26"/>
  <c r="B11" i="26"/>
  <c r="J10" i="26"/>
  <c r="K10" i="26" s="1"/>
  <c r="I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8" i="26" s="1"/>
  <c r="M8" i="26" s="1"/>
  <c r="A8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M300" i="25"/>
  <c r="J300" i="25"/>
  <c r="K300" i="25" s="1"/>
  <c r="I300" i="25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M276" i="25"/>
  <c r="J276" i="25"/>
  <c r="K276" i="25" s="1"/>
  <c r="I276" i="25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M268" i="25"/>
  <c r="J268" i="25"/>
  <c r="K268" i="25" s="1"/>
  <c r="I268" i="25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M220" i="25"/>
  <c r="J220" i="25"/>
  <c r="K220" i="25" s="1"/>
  <c r="I220" i="25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M206" i="25"/>
  <c r="J206" i="25"/>
  <c r="K206" i="25" s="1"/>
  <c r="I206" i="25"/>
  <c r="J205" i="25"/>
  <c r="K205" i="25" s="1"/>
  <c r="I205" i="25"/>
  <c r="M205" i="25" s="1"/>
  <c r="K204" i="25"/>
  <c r="J204" i="25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K197" i="25"/>
  <c r="J197" i="25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M156" i="25"/>
  <c r="J156" i="25"/>
  <c r="K156" i="25" s="1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K152" i="25"/>
  <c r="J152" i="25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M140" i="25"/>
  <c r="J140" i="25"/>
  <c r="K140" i="25" s="1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K104" i="25"/>
  <c r="J104" i="25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K100" i="25"/>
  <c r="J100" i="25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M78" i="25"/>
  <c r="J78" i="25"/>
  <c r="K78" i="25" s="1"/>
  <c r="I78" i="25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K63" i="25"/>
  <c r="J63" i="25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M57" i="25"/>
  <c r="A57" i="25" s="1"/>
  <c r="J57" i="25"/>
  <c r="K57" i="25" s="1"/>
  <c r="I57" i="25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M51" i="25"/>
  <c r="A51" i="25" s="1"/>
  <c r="J51" i="25"/>
  <c r="K51" i="25" s="1"/>
  <c r="I51" i="25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M47" i="25"/>
  <c r="A47" i="25" s="1"/>
  <c r="J47" i="25"/>
  <c r="K47" i="25" s="1"/>
  <c r="I47" i="25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K42" i="25"/>
  <c r="J42" i="25"/>
  <c r="I42" i="25"/>
  <c r="M42" i="25" s="1"/>
  <c r="A42" i="25" s="1"/>
  <c r="B42" i="25"/>
  <c r="J41" i="25"/>
  <c r="K41" i="25" s="1"/>
  <c r="I41" i="25"/>
  <c r="M41" i="25" s="1"/>
  <c r="A41" i="25" s="1"/>
  <c r="B41" i="25"/>
  <c r="M40" i="25"/>
  <c r="A40" i="25" s="1"/>
  <c r="J40" i="25"/>
  <c r="K40" i="25" s="1"/>
  <c r="I40" i="25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M31" i="25"/>
  <c r="A31" i="25" s="1"/>
  <c r="K31" i="25"/>
  <c r="J31" i="25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B27" i="25"/>
  <c r="J26" i="25"/>
  <c r="K26" i="25" s="1"/>
  <c r="I26" i="25"/>
  <c r="B26" i="25"/>
  <c r="J25" i="25"/>
  <c r="K25" i="25" s="1"/>
  <c r="I25" i="25"/>
  <c r="B25" i="25"/>
  <c r="J24" i="25"/>
  <c r="K24" i="25" s="1"/>
  <c r="M24" i="25" s="1"/>
  <c r="A24" i="25" s="1"/>
  <c r="I24" i="25"/>
  <c r="B24" i="25"/>
  <c r="J23" i="25"/>
  <c r="K23" i="25" s="1"/>
  <c r="I23" i="25"/>
  <c r="B23" i="25"/>
  <c r="R7" i="20" s="1"/>
  <c r="J22" i="25"/>
  <c r="K22" i="25" s="1"/>
  <c r="I22" i="25"/>
  <c r="B22" i="25"/>
  <c r="J21" i="25"/>
  <c r="K21" i="25" s="1"/>
  <c r="I21" i="25"/>
  <c r="B21" i="25"/>
  <c r="K20" i="25"/>
  <c r="M20" i="25" s="1"/>
  <c r="A20" i="25" s="1"/>
  <c r="J20" i="25"/>
  <c r="I20" i="25"/>
  <c r="B20" i="25"/>
  <c r="J19" i="25"/>
  <c r="K19" i="25" s="1"/>
  <c r="I19" i="25"/>
  <c r="B19" i="25"/>
  <c r="J18" i="25"/>
  <c r="K18" i="25" s="1"/>
  <c r="I18" i="25"/>
  <c r="B18" i="25"/>
  <c r="J17" i="25"/>
  <c r="K17" i="25" s="1"/>
  <c r="I17" i="25"/>
  <c r="B17" i="25"/>
  <c r="J16" i="25"/>
  <c r="K16" i="25" s="1"/>
  <c r="M16" i="25" s="1"/>
  <c r="A16" i="25" s="1"/>
  <c r="I16" i="25"/>
  <c r="B16" i="25"/>
  <c r="J15" i="25"/>
  <c r="K15" i="25" s="1"/>
  <c r="M15" i="25" s="1"/>
  <c r="A15" i="25" s="1"/>
  <c r="I15" i="25"/>
  <c r="B15" i="25"/>
  <c r="AI14" i="25"/>
  <c r="AI16" i="25" s="1"/>
  <c r="K14" i="25"/>
  <c r="M14" i="25" s="1"/>
  <c r="A14" i="25" s="1"/>
  <c r="J14" i="25"/>
  <c r="I14" i="25"/>
  <c r="B14" i="25"/>
  <c r="AI13" i="25"/>
  <c r="J13" i="25"/>
  <c r="K13" i="25" s="1"/>
  <c r="I13" i="25"/>
  <c r="B13" i="25"/>
  <c r="AI12" i="25"/>
  <c r="J12" i="25"/>
  <c r="K12" i="25" s="1"/>
  <c r="I12" i="25"/>
  <c r="B12" i="25"/>
  <c r="J11" i="25"/>
  <c r="K11" i="25" s="1"/>
  <c r="I11" i="25"/>
  <c r="B11" i="25"/>
  <c r="K10" i="25"/>
  <c r="M10" i="25" s="1"/>
  <c r="A10" i="25" s="1"/>
  <c r="J10" i="25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L8" i="25" s="1"/>
  <c r="AJ27" i="20" a="1"/>
  <c r="AJ27" i="20" s="1"/>
  <c r="V27" i="20"/>
  <c r="A27" i="20"/>
  <c r="AJ26" i="20" a="1"/>
  <c r="AJ26" i="20" s="1"/>
  <c r="V26" i="20"/>
  <c r="A26" i="20"/>
  <c r="AJ25" i="20" a="1"/>
  <c r="AJ25" i="20" s="1"/>
  <c r="V25" i="20"/>
  <c r="A25" i="20"/>
  <c r="AJ24" i="20" a="1"/>
  <c r="AJ24" i="20" s="1"/>
  <c r="V24" i="20"/>
  <c r="A24" i="20"/>
  <c r="AJ23" i="20" a="1"/>
  <c r="AJ23" i="20" s="1"/>
  <c r="V23" i="20"/>
  <c r="A23" i="20"/>
  <c r="AJ22" i="20" a="1"/>
  <c r="AJ22" i="20" s="1"/>
  <c r="V22" i="20"/>
  <c r="R22" i="20"/>
  <c r="A22" i="20"/>
  <c r="AJ21" i="20" a="1"/>
  <c r="AJ21" i="20" s="1"/>
  <c r="V21" i="20"/>
  <c r="T21" i="20"/>
  <c r="A21" i="20"/>
  <c r="AJ20" i="20" a="1"/>
  <c r="AJ20" i="20" s="1"/>
  <c r="V20" i="20"/>
  <c r="A20" i="20"/>
  <c r="AJ19" i="20" a="1"/>
  <c r="AJ19" i="20" s="1"/>
  <c r="V19" i="20"/>
  <c r="A19" i="20"/>
  <c r="AJ18" i="20" a="1"/>
  <c r="AJ18" i="20" s="1"/>
  <c r="V18" i="20"/>
  <c r="A18" i="20"/>
  <c r="AJ17" i="20" a="1"/>
  <c r="AJ17" i="20" s="1"/>
  <c r="V17" i="20"/>
  <c r="R17" i="20"/>
  <c r="A17" i="20"/>
  <c r="AJ16" i="20" a="1"/>
  <c r="AJ16" i="20" s="1"/>
  <c r="V16" i="20"/>
  <c r="A16" i="20"/>
  <c r="AJ11" i="20" a="1"/>
  <c r="AJ11" i="20" s="1"/>
  <c r="V11" i="20"/>
  <c r="W11" i="20" s="1"/>
  <c r="A11" i="20"/>
  <c r="AJ15" i="20" a="1"/>
  <c r="AJ15" i="20" s="1"/>
  <c r="V15" i="20"/>
  <c r="A15" i="20"/>
  <c r="AJ7" i="20" a="1"/>
  <c r="AJ7" i="20" s="1"/>
  <c r="V7" i="20"/>
  <c r="W7" i="20" s="1"/>
  <c r="A7" i="20"/>
  <c r="AJ14" i="20" a="1"/>
  <c r="AJ14" i="20" s="1"/>
  <c r="V14" i="20"/>
  <c r="W14" i="20" s="1"/>
  <c r="R14" i="20"/>
  <c r="A14" i="20"/>
  <c r="AJ13" i="20" a="1"/>
  <c r="AJ13" i="20" s="1"/>
  <c r="V13" i="20"/>
  <c r="W13" i="20" s="1"/>
  <c r="T13" i="20"/>
  <c r="R13" i="20"/>
  <c r="A13" i="20"/>
  <c r="AJ9" i="20" a="1"/>
  <c r="AJ9" i="20" s="1"/>
  <c r="V9" i="20"/>
  <c r="W9" i="20" s="1"/>
  <c r="T9" i="20"/>
  <c r="R9" i="20"/>
  <c r="A9" i="20"/>
  <c r="AJ10" i="20" a="1"/>
  <c r="AJ10" i="20" s="1"/>
  <c r="V10" i="20"/>
  <c r="W10" i="20" s="1"/>
  <c r="T10" i="20"/>
  <c r="R10" i="20"/>
  <c r="A10" i="20"/>
  <c r="AJ6" i="20" a="1"/>
  <c r="AJ6" i="20" s="1"/>
  <c r="V6" i="20"/>
  <c r="W6" i="20" s="1"/>
  <c r="T6" i="20"/>
  <c r="R6" i="20"/>
  <c r="A6" i="20"/>
  <c r="AJ12" i="20" a="1"/>
  <c r="AJ12" i="20" s="1"/>
  <c r="V12" i="20"/>
  <c r="W12" i="20" s="1"/>
  <c r="T12" i="20"/>
  <c r="R12" i="20"/>
  <c r="A12" i="20"/>
  <c r="AJ8" i="20" a="1"/>
  <c r="AJ8" i="20" s="1"/>
  <c r="V8" i="20"/>
  <c r="W8" i="20" s="1"/>
  <c r="T8" i="20"/>
  <c r="R8" i="20"/>
  <c r="A8" i="20"/>
  <c r="O7" i="13"/>
  <c r="O6" i="13"/>
  <c r="O10" i="13"/>
  <c r="O12" i="13"/>
  <c r="O13" i="13"/>
  <c r="O8" i="13"/>
  <c r="O9" i="13"/>
  <c r="G7" i="13"/>
  <c r="G6" i="13"/>
  <c r="G12" i="13"/>
  <c r="G13" i="13"/>
  <c r="E7" i="13"/>
  <c r="E10" i="13"/>
  <c r="E8" i="13"/>
  <c r="E12" i="13"/>
  <c r="E13" i="13"/>
  <c r="E9" i="13"/>
  <c r="J305" i="19"/>
  <c r="K305" i="19" s="1"/>
  <c r="J304" i="19"/>
  <c r="J303" i="19"/>
  <c r="J302" i="19"/>
  <c r="K302" i="19" s="1"/>
  <c r="J301" i="19"/>
  <c r="J300" i="19"/>
  <c r="J299" i="19"/>
  <c r="J298" i="19"/>
  <c r="K298" i="19" s="1"/>
  <c r="J297" i="19"/>
  <c r="K297" i="19" s="1"/>
  <c r="J296" i="19"/>
  <c r="J295" i="19"/>
  <c r="J294" i="19"/>
  <c r="K294" i="19" s="1"/>
  <c r="J293" i="19"/>
  <c r="J292" i="19"/>
  <c r="J291" i="19"/>
  <c r="K291" i="19" s="1"/>
  <c r="J290" i="19"/>
  <c r="K290" i="19" s="1"/>
  <c r="J289" i="19"/>
  <c r="K289" i="19" s="1"/>
  <c r="J288" i="19"/>
  <c r="J287" i="19"/>
  <c r="J286" i="19"/>
  <c r="J285" i="19"/>
  <c r="K285" i="19" s="1"/>
  <c r="J284" i="19"/>
  <c r="J283" i="19"/>
  <c r="J282" i="19"/>
  <c r="K282" i="19" s="1"/>
  <c r="J281" i="19"/>
  <c r="K281" i="19" s="1"/>
  <c r="J280" i="19"/>
  <c r="J279" i="19"/>
  <c r="J278" i="19"/>
  <c r="J277" i="19"/>
  <c r="J276" i="19"/>
  <c r="J275" i="19"/>
  <c r="K275" i="19" s="1"/>
  <c r="J274" i="19"/>
  <c r="K274" i="19" s="1"/>
  <c r="J273" i="19"/>
  <c r="K273" i="19" s="1"/>
  <c r="J272" i="19"/>
  <c r="J271" i="19"/>
  <c r="J270" i="19"/>
  <c r="J269" i="19"/>
  <c r="K269" i="19" s="1"/>
  <c r="J268" i="19"/>
  <c r="J267" i="19"/>
  <c r="J266" i="19"/>
  <c r="K266" i="19" s="1"/>
  <c r="J265" i="19"/>
  <c r="K265" i="19" s="1"/>
  <c r="J264" i="19"/>
  <c r="J263" i="19"/>
  <c r="J262" i="19"/>
  <c r="K262" i="19" s="1"/>
  <c r="J261" i="19"/>
  <c r="K261" i="19" s="1"/>
  <c r="J260" i="19"/>
  <c r="J259" i="19"/>
  <c r="K259" i="19" s="1"/>
  <c r="J258" i="19"/>
  <c r="J257" i="19"/>
  <c r="J256" i="19"/>
  <c r="J255" i="19"/>
  <c r="J254" i="19"/>
  <c r="J253" i="19"/>
  <c r="J252" i="19"/>
  <c r="J251" i="19"/>
  <c r="J250" i="19"/>
  <c r="K250" i="19" s="1"/>
  <c r="J249" i="19"/>
  <c r="K249" i="19" s="1"/>
  <c r="J248" i="19"/>
  <c r="J247" i="19"/>
  <c r="J246" i="19"/>
  <c r="K246" i="19" s="1"/>
  <c r="J245" i="19"/>
  <c r="J244" i="19"/>
  <c r="J243" i="19"/>
  <c r="J242" i="19"/>
  <c r="K242" i="19" s="1"/>
  <c r="J241" i="19"/>
  <c r="K241" i="19" s="1"/>
  <c r="J240" i="19"/>
  <c r="J239" i="19"/>
  <c r="J238" i="19"/>
  <c r="J237" i="19"/>
  <c r="J236" i="19"/>
  <c r="J235" i="19"/>
  <c r="K235" i="19" s="1"/>
  <c r="J234" i="19"/>
  <c r="K234" i="19" s="1"/>
  <c r="J233" i="19"/>
  <c r="K233" i="19" s="1"/>
  <c r="J232" i="19"/>
  <c r="J231" i="19"/>
  <c r="J230" i="19"/>
  <c r="K230" i="19" s="1"/>
  <c r="J229" i="19"/>
  <c r="J228" i="19"/>
  <c r="J227" i="19"/>
  <c r="J226" i="19"/>
  <c r="K226" i="19" s="1"/>
  <c r="J225" i="19"/>
  <c r="K225" i="19" s="1"/>
  <c r="J224" i="19"/>
  <c r="J223" i="19"/>
  <c r="J222" i="19"/>
  <c r="J221" i="19"/>
  <c r="K221" i="19" s="1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K209" i="19" s="1"/>
  <c r="J208" i="19"/>
  <c r="J207" i="19"/>
  <c r="J206" i="19"/>
  <c r="J205" i="19"/>
  <c r="J204" i="19"/>
  <c r="J203" i="19"/>
  <c r="J202" i="19"/>
  <c r="K202" i="19" s="1"/>
  <c r="J201" i="19"/>
  <c r="K201" i="19" s="1"/>
  <c r="J200" i="19"/>
  <c r="J199" i="19"/>
  <c r="J198" i="19"/>
  <c r="J197" i="19"/>
  <c r="J196" i="19"/>
  <c r="J195" i="19"/>
  <c r="J194" i="19"/>
  <c r="J193" i="19"/>
  <c r="K193" i="19" s="1"/>
  <c r="J192" i="19"/>
  <c r="J191" i="19"/>
  <c r="J190" i="19"/>
  <c r="J189" i="19"/>
  <c r="J188" i="19"/>
  <c r="J187" i="19"/>
  <c r="K187" i="19" s="1"/>
  <c r="J186" i="19"/>
  <c r="K186" i="19" s="1"/>
  <c r="J185" i="19"/>
  <c r="K185" i="19" s="1"/>
  <c r="J184" i="19"/>
  <c r="J183" i="19"/>
  <c r="J182" i="19"/>
  <c r="J181" i="19"/>
  <c r="K181" i="19" s="1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K169" i="19" s="1"/>
  <c r="J168" i="19"/>
  <c r="J167" i="19"/>
  <c r="J166" i="19"/>
  <c r="J165" i="19"/>
  <c r="J164" i="19"/>
  <c r="J163" i="19"/>
  <c r="J162" i="19"/>
  <c r="K162" i="19" s="1"/>
  <c r="J161" i="19"/>
  <c r="K161" i="19" s="1"/>
  <c r="J160" i="19"/>
  <c r="J159" i="19"/>
  <c r="J158" i="19"/>
  <c r="J157" i="19"/>
  <c r="K157" i="19" s="1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K145" i="19" s="1"/>
  <c r="J144" i="19"/>
  <c r="J143" i="19"/>
  <c r="J142" i="19"/>
  <c r="J141" i="19"/>
  <c r="K141" i="19" s="1"/>
  <c r="J140" i="19"/>
  <c r="J139" i="19"/>
  <c r="K139" i="19" s="1"/>
  <c r="J138" i="19"/>
  <c r="K138" i="19" s="1"/>
  <c r="J137" i="19"/>
  <c r="K137" i="19" s="1"/>
  <c r="J136" i="19"/>
  <c r="K136" i="19" s="1"/>
  <c r="J135" i="19"/>
  <c r="J134" i="19"/>
  <c r="J133" i="19"/>
  <c r="K133" i="19" s="1"/>
  <c r="J132" i="19"/>
  <c r="J131" i="19"/>
  <c r="J130" i="19"/>
  <c r="K130" i="19" s="1"/>
  <c r="J129" i="19"/>
  <c r="J128" i="19"/>
  <c r="K128" i="19" s="1"/>
  <c r="J127" i="19"/>
  <c r="J126" i="19"/>
  <c r="J125" i="19"/>
  <c r="J124" i="19"/>
  <c r="J123" i="19"/>
  <c r="J122" i="19"/>
  <c r="K122" i="19" s="1"/>
  <c r="J121" i="19"/>
  <c r="K121" i="19" s="1"/>
  <c r="J120" i="19"/>
  <c r="J119" i="19"/>
  <c r="J118" i="19"/>
  <c r="J117" i="19"/>
  <c r="K117" i="19" s="1"/>
  <c r="J116" i="19"/>
  <c r="J115" i="19"/>
  <c r="K115" i="19" s="1"/>
  <c r="J114" i="19"/>
  <c r="K114" i="19" s="1"/>
  <c r="J113" i="19"/>
  <c r="K113" i="19" s="1"/>
  <c r="J112" i="19"/>
  <c r="K112" i="19" s="1"/>
  <c r="J111" i="19"/>
  <c r="J110" i="19"/>
  <c r="J109" i="19"/>
  <c r="K109" i="19" s="1"/>
  <c r="J108" i="19"/>
  <c r="J107" i="19"/>
  <c r="K107" i="19" s="1"/>
  <c r="J106" i="19"/>
  <c r="K106" i="19" s="1"/>
  <c r="J105" i="19"/>
  <c r="J104" i="19"/>
  <c r="K104" i="19" s="1"/>
  <c r="J103" i="19"/>
  <c r="J102" i="19"/>
  <c r="J101" i="19"/>
  <c r="J100" i="19"/>
  <c r="J99" i="19"/>
  <c r="K99" i="19" s="1"/>
  <c r="J98" i="19"/>
  <c r="K98" i="19" s="1"/>
  <c r="J97" i="19"/>
  <c r="K97" i="19" s="1"/>
  <c r="J96" i="19"/>
  <c r="J95" i="19"/>
  <c r="J94" i="19"/>
  <c r="J93" i="19"/>
  <c r="J92" i="19"/>
  <c r="J91" i="19"/>
  <c r="J90" i="19"/>
  <c r="K90" i="19" s="1"/>
  <c r="J89" i="19"/>
  <c r="K89" i="19" s="1"/>
  <c r="J88" i="19"/>
  <c r="K88" i="19" s="1"/>
  <c r="J87" i="19"/>
  <c r="J86" i="19"/>
  <c r="J85" i="19"/>
  <c r="K85" i="19" s="1"/>
  <c r="J84" i="19"/>
  <c r="J83" i="19"/>
  <c r="J82" i="19"/>
  <c r="K82" i="19" s="1"/>
  <c r="J81" i="19"/>
  <c r="J80" i="19"/>
  <c r="K80" i="19" s="1"/>
  <c r="J79" i="19"/>
  <c r="J78" i="19"/>
  <c r="J77" i="19"/>
  <c r="J76" i="19"/>
  <c r="J75" i="19"/>
  <c r="K75" i="19" s="1"/>
  <c r="J74" i="19"/>
  <c r="K74" i="19" s="1"/>
  <c r="J73" i="19"/>
  <c r="K73" i="19" s="1"/>
  <c r="J72" i="19"/>
  <c r="J71" i="19"/>
  <c r="J70" i="19"/>
  <c r="J69" i="19"/>
  <c r="K69" i="19" s="1"/>
  <c r="J68" i="19"/>
  <c r="J67" i="19"/>
  <c r="J66" i="19"/>
  <c r="K66" i="19" s="1"/>
  <c r="J65" i="19"/>
  <c r="K65" i="19" s="1"/>
  <c r="J64" i="19"/>
  <c r="K64" i="19" s="1"/>
  <c r="J63" i="19"/>
  <c r="J62" i="19"/>
  <c r="J61" i="19"/>
  <c r="J60" i="19"/>
  <c r="J59" i="19"/>
  <c r="J58" i="19"/>
  <c r="K58" i="19" s="1"/>
  <c r="J57" i="19"/>
  <c r="K57" i="19" s="1"/>
  <c r="J56" i="19"/>
  <c r="K56" i="19" s="1"/>
  <c r="J55" i="19"/>
  <c r="J54" i="19"/>
  <c r="K54" i="19" s="1"/>
  <c r="J53" i="19"/>
  <c r="K53" i="19" s="1"/>
  <c r="J52" i="19"/>
  <c r="J51" i="19"/>
  <c r="J50" i="19"/>
  <c r="K50" i="19" s="1"/>
  <c r="J49" i="19"/>
  <c r="K49" i="19" s="1"/>
  <c r="J48" i="19"/>
  <c r="J47" i="19"/>
  <c r="J46" i="19"/>
  <c r="J45" i="19"/>
  <c r="J44" i="19"/>
  <c r="J43" i="19"/>
  <c r="J42" i="19"/>
  <c r="K42" i="19" s="1"/>
  <c r="J41" i="19"/>
  <c r="K41" i="19" s="1"/>
  <c r="J40" i="19"/>
  <c r="J39" i="19"/>
  <c r="J38" i="19"/>
  <c r="J37" i="19"/>
  <c r="J36" i="19"/>
  <c r="J35" i="19"/>
  <c r="K35" i="19" s="1"/>
  <c r="J34" i="19"/>
  <c r="K34" i="19" s="1"/>
  <c r="J33" i="19"/>
  <c r="K33" i="19" s="1"/>
  <c r="J32" i="19"/>
  <c r="K32" i="19" s="1"/>
  <c r="J31" i="19"/>
  <c r="J30" i="19"/>
  <c r="J29" i="19"/>
  <c r="J28" i="19"/>
  <c r="J27" i="19"/>
  <c r="J26" i="19"/>
  <c r="K26" i="19" s="1"/>
  <c r="J25" i="19"/>
  <c r="K25" i="19" s="1"/>
  <c r="J24" i="19"/>
  <c r="K24" i="19" s="1"/>
  <c r="J23" i="19"/>
  <c r="J22" i="19"/>
  <c r="J21" i="19"/>
  <c r="K21" i="19" s="1"/>
  <c r="J20" i="19"/>
  <c r="K20" i="19" s="1"/>
  <c r="J19" i="19"/>
  <c r="J18" i="19"/>
  <c r="K18" i="19" s="1"/>
  <c r="J17" i="19"/>
  <c r="K17" i="19" s="1"/>
  <c r="J16" i="19"/>
  <c r="J15" i="19"/>
  <c r="J14" i="19"/>
  <c r="J13" i="19"/>
  <c r="J12" i="19"/>
  <c r="J11" i="19"/>
  <c r="K11" i="19" s="1"/>
  <c r="J10" i="19"/>
  <c r="K10" i="19" s="1"/>
  <c r="J9" i="19"/>
  <c r="K9" i="19" s="1"/>
  <c r="J8" i="19"/>
  <c r="J7" i="19"/>
  <c r="K12" i="19"/>
  <c r="K27" i="19"/>
  <c r="K28" i="19"/>
  <c r="K36" i="19"/>
  <c r="K43" i="19"/>
  <c r="K44" i="19"/>
  <c r="K51" i="19"/>
  <c r="K52" i="19"/>
  <c r="K60" i="19"/>
  <c r="K67" i="19"/>
  <c r="K76" i="19"/>
  <c r="K83" i="19"/>
  <c r="K84" i="19"/>
  <c r="K91" i="19"/>
  <c r="K92" i="19"/>
  <c r="K100" i="19"/>
  <c r="K108" i="19"/>
  <c r="K116" i="19"/>
  <c r="K123" i="19"/>
  <c r="K124" i="19"/>
  <c r="K131" i="19"/>
  <c r="K140" i="19"/>
  <c r="K147" i="19"/>
  <c r="K148" i="19"/>
  <c r="K155" i="19"/>
  <c r="K156" i="19"/>
  <c r="K163" i="19"/>
  <c r="K164" i="19"/>
  <c r="K180" i="19"/>
  <c r="K188" i="19"/>
  <c r="K190" i="19"/>
  <c r="K196" i="19"/>
  <c r="K198" i="19"/>
  <c r="K204" i="19"/>
  <c r="K206" i="19"/>
  <c r="K211" i="19"/>
  <c r="K212" i="19"/>
  <c r="K219" i="19"/>
  <c r="K220" i="19"/>
  <c r="K227" i="19"/>
  <c r="K228" i="19"/>
  <c r="K243" i="19"/>
  <c r="K244" i="19"/>
  <c r="K251" i="19"/>
  <c r="K252" i="19"/>
  <c r="K254" i="19"/>
  <c r="K260" i="19"/>
  <c r="K268" i="19"/>
  <c r="K270" i="19"/>
  <c r="K276" i="19"/>
  <c r="K279" i="19"/>
  <c r="K283" i="19"/>
  <c r="K284" i="19"/>
  <c r="K287" i="19"/>
  <c r="K292" i="19"/>
  <c r="K299" i="19"/>
  <c r="K258" i="19"/>
  <c r="K194" i="19"/>
  <c r="J305" i="18"/>
  <c r="J304" i="18"/>
  <c r="K304" i="18" s="1"/>
  <c r="J303" i="18"/>
  <c r="K303" i="18" s="1"/>
  <c r="J302" i="18"/>
  <c r="K302" i="18" s="1"/>
  <c r="J301" i="18"/>
  <c r="J300" i="18"/>
  <c r="K300" i="18" s="1"/>
  <c r="J299" i="18"/>
  <c r="J298" i="18"/>
  <c r="K298" i="18" s="1"/>
  <c r="J297" i="18"/>
  <c r="J296" i="18"/>
  <c r="J295" i="18"/>
  <c r="J294" i="18"/>
  <c r="K294" i="18" s="1"/>
  <c r="J293" i="18"/>
  <c r="J292" i="18"/>
  <c r="K292" i="18" s="1"/>
  <c r="J291" i="18"/>
  <c r="J290" i="18"/>
  <c r="K290" i="18" s="1"/>
  <c r="J289" i="18"/>
  <c r="J288" i="18"/>
  <c r="J287" i="18"/>
  <c r="K287" i="18" s="1"/>
  <c r="J286" i="18"/>
  <c r="K286" i="18" s="1"/>
  <c r="J285" i="18"/>
  <c r="J284" i="18"/>
  <c r="J283" i="18"/>
  <c r="J282" i="18"/>
  <c r="K282" i="18" s="1"/>
  <c r="J281" i="18"/>
  <c r="J280" i="18"/>
  <c r="K280" i="18" s="1"/>
  <c r="J279" i="18"/>
  <c r="J278" i="18"/>
  <c r="K278" i="18" s="1"/>
  <c r="J277" i="18"/>
  <c r="J276" i="18"/>
  <c r="K276" i="18" s="1"/>
  <c r="J275" i="18"/>
  <c r="J274" i="18"/>
  <c r="K274" i="18" s="1"/>
  <c r="J273" i="18"/>
  <c r="J272" i="18"/>
  <c r="K272" i="18" s="1"/>
  <c r="J271" i="18"/>
  <c r="K271" i="18" s="1"/>
  <c r="J270" i="18"/>
  <c r="K270" i="18" s="1"/>
  <c r="J269" i="18"/>
  <c r="J268" i="18"/>
  <c r="J267" i="18"/>
  <c r="J266" i="18"/>
  <c r="K266" i="18" s="1"/>
  <c r="J265" i="18"/>
  <c r="J264" i="18"/>
  <c r="J263" i="18"/>
  <c r="K263" i="18" s="1"/>
  <c r="J262" i="18"/>
  <c r="K262" i="18" s="1"/>
  <c r="J261" i="18"/>
  <c r="J260" i="18"/>
  <c r="J259" i="18"/>
  <c r="J258" i="18"/>
  <c r="K258" i="18" s="1"/>
  <c r="J257" i="18"/>
  <c r="J256" i="18"/>
  <c r="J255" i="18"/>
  <c r="J254" i="18"/>
  <c r="K254" i="18" s="1"/>
  <c r="J253" i="18"/>
  <c r="J252" i="18"/>
  <c r="K252" i="18" s="1"/>
  <c r="J251" i="18"/>
  <c r="J250" i="18"/>
  <c r="K250" i="18" s="1"/>
  <c r="J249" i="18"/>
  <c r="J248" i="18"/>
  <c r="K248" i="18" s="1"/>
  <c r="J247" i="18"/>
  <c r="K247" i="18" s="1"/>
  <c r="J246" i="18"/>
  <c r="K246" i="18" s="1"/>
  <c r="J245" i="18"/>
  <c r="J244" i="18"/>
  <c r="K244" i="18" s="1"/>
  <c r="J243" i="18"/>
  <c r="J242" i="18"/>
  <c r="K242" i="18" s="1"/>
  <c r="J241" i="18"/>
  <c r="J240" i="18"/>
  <c r="K240" i="18" s="1"/>
  <c r="J239" i="18"/>
  <c r="K239" i="18" s="1"/>
  <c r="J238" i="18"/>
  <c r="K238" i="18" s="1"/>
  <c r="J237" i="18"/>
  <c r="J236" i="18"/>
  <c r="K236" i="18" s="1"/>
  <c r="J235" i="18"/>
  <c r="J234" i="18"/>
  <c r="K234" i="18" s="1"/>
  <c r="J233" i="18"/>
  <c r="J232" i="18"/>
  <c r="J231" i="18"/>
  <c r="J230" i="18"/>
  <c r="K230" i="18" s="1"/>
  <c r="J229" i="18"/>
  <c r="J228" i="18"/>
  <c r="K228" i="18" s="1"/>
  <c r="J227" i="18"/>
  <c r="J226" i="18"/>
  <c r="K226" i="18" s="1"/>
  <c r="J225" i="18"/>
  <c r="J224" i="18"/>
  <c r="J223" i="18"/>
  <c r="K223" i="18" s="1"/>
  <c r="J222" i="18"/>
  <c r="K222" i="18" s="1"/>
  <c r="J221" i="18"/>
  <c r="J220" i="18"/>
  <c r="K220" i="18" s="1"/>
  <c r="J219" i="18"/>
  <c r="J218" i="18"/>
  <c r="K218" i="18" s="1"/>
  <c r="J217" i="18"/>
  <c r="J216" i="18"/>
  <c r="K216" i="18" s="1"/>
  <c r="J215" i="18"/>
  <c r="K215" i="18" s="1"/>
  <c r="J214" i="18"/>
  <c r="K214" i="18" s="1"/>
  <c r="J213" i="18"/>
  <c r="J212" i="18"/>
  <c r="J211" i="18"/>
  <c r="J210" i="18"/>
  <c r="K210" i="18" s="1"/>
  <c r="J209" i="18"/>
  <c r="J208" i="18"/>
  <c r="K208" i="18" s="1"/>
  <c r="J207" i="18"/>
  <c r="K207" i="18" s="1"/>
  <c r="J206" i="18"/>
  <c r="K206" i="18" s="1"/>
  <c r="J205" i="18"/>
  <c r="J204" i="18"/>
  <c r="K204" i="18" s="1"/>
  <c r="J203" i="18"/>
  <c r="J202" i="18"/>
  <c r="J201" i="18"/>
  <c r="J200" i="18"/>
  <c r="K200" i="18" s="1"/>
  <c r="J199" i="18"/>
  <c r="K199" i="18" s="1"/>
  <c r="J198" i="18"/>
  <c r="K198" i="18" s="1"/>
  <c r="J197" i="18"/>
  <c r="J196" i="18"/>
  <c r="J195" i="18"/>
  <c r="J194" i="18"/>
  <c r="K194" i="18" s="1"/>
  <c r="J193" i="18"/>
  <c r="J192" i="18"/>
  <c r="K192" i="18" s="1"/>
  <c r="J191" i="18"/>
  <c r="K191" i="18" s="1"/>
  <c r="J190" i="18"/>
  <c r="K190" i="18" s="1"/>
  <c r="J189" i="18"/>
  <c r="J188" i="18"/>
  <c r="J187" i="18"/>
  <c r="J186" i="18"/>
  <c r="K186" i="18" s="1"/>
  <c r="J185" i="18"/>
  <c r="J184" i="18"/>
  <c r="K184" i="18" s="1"/>
  <c r="J183" i="18"/>
  <c r="K183" i="18" s="1"/>
  <c r="J182" i="18"/>
  <c r="K182" i="18" s="1"/>
  <c r="J181" i="18"/>
  <c r="J180" i="18"/>
  <c r="K180" i="18" s="1"/>
  <c r="J179" i="18"/>
  <c r="J178" i="18"/>
  <c r="K178" i="18" s="1"/>
  <c r="J177" i="18"/>
  <c r="J176" i="18"/>
  <c r="K176" i="18" s="1"/>
  <c r="J175" i="18"/>
  <c r="K175" i="18" s="1"/>
  <c r="J174" i="18"/>
  <c r="K174" i="18" s="1"/>
  <c r="J173" i="18"/>
  <c r="J172" i="18"/>
  <c r="K172" i="18" s="1"/>
  <c r="J171" i="18"/>
  <c r="J170" i="18"/>
  <c r="K170" i="18" s="1"/>
  <c r="J169" i="18"/>
  <c r="J168" i="18"/>
  <c r="K168" i="18" s="1"/>
  <c r="J167" i="18"/>
  <c r="K167" i="18" s="1"/>
  <c r="J166" i="18"/>
  <c r="K166" i="18" s="1"/>
  <c r="J165" i="18"/>
  <c r="J164" i="18"/>
  <c r="K164" i="18" s="1"/>
  <c r="J163" i="18"/>
  <c r="J162" i="18"/>
  <c r="K162" i="18" s="1"/>
  <c r="J161" i="18"/>
  <c r="J160" i="18"/>
  <c r="K160" i="18" s="1"/>
  <c r="J159" i="18"/>
  <c r="K159" i="18" s="1"/>
  <c r="J158" i="18"/>
  <c r="K158" i="18" s="1"/>
  <c r="J157" i="18"/>
  <c r="J156" i="18"/>
  <c r="K156" i="18" s="1"/>
  <c r="J155" i="18"/>
  <c r="J154" i="18"/>
  <c r="K154" i="18" s="1"/>
  <c r="J153" i="18"/>
  <c r="J152" i="18"/>
  <c r="K152" i="18" s="1"/>
  <c r="J151" i="18"/>
  <c r="K151" i="18" s="1"/>
  <c r="J150" i="18"/>
  <c r="K150" i="18" s="1"/>
  <c r="J149" i="18"/>
  <c r="J148" i="18"/>
  <c r="K148" i="18" s="1"/>
  <c r="J147" i="18"/>
  <c r="J146" i="18"/>
  <c r="K146" i="18" s="1"/>
  <c r="J145" i="18"/>
  <c r="J144" i="18"/>
  <c r="K144" i="18" s="1"/>
  <c r="J143" i="18"/>
  <c r="K143" i="18" s="1"/>
  <c r="J142" i="18"/>
  <c r="J141" i="18"/>
  <c r="J140" i="18"/>
  <c r="J139" i="18"/>
  <c r="J138" i="18"/>
  <c r="K138" i="18" s="1"/>
  <c r="J137" i="18"/>
  <c r="J136" i="18"/>
  <c r="K136" i="18" s="1"/>
  <c r="J135" i="18"/>
  <c r="K135" i="18" s="1"/>
  <c r="J134" i="18"/>
  <c r="K134" i="18" s="1"/>
  <c r="J133" i="18"/>
  <c r="J132" i="18"/>
  <c r="K132" i="18" s="1"/>
  <c r="J131" i="18"/>
  <c r="J130" i="18"/>
  <c r="K130" i="18" s="1"/>
  <c r="J129" i="18"/>
  <c r="J128" i="18"/>
  <c r="J127" i="18"/>
  <c r="K127" i="18" s="1"/>
  <c r="J126" i="18"/>
  <c r="K126" i="18" s="1"/>
  <c r="J125" i="18"/>
  <c r="J124" i="18"/>
  <c r="J123" i="18"/>
  <c r="J122" i="18"/>
  <c r="K122" i="18" s="1"/>
  <c r="J121" i="18"/>
  <c r="J120" i="18"/>
  <c r="J119" i="18"/>
  <c r="K119" i="18" s="1"/>
  <c r="J118" i="18"/>
  <c r="K118" i="18" s="1"/>
  <c r="J117" i="18"/>
  <c r="J116" i="18"/>
  <c r="J115" i="18"/>
  <c r="J114" i="18"/>
  <c r="K114" i="18" s="1"/>
  <c r="J113" i="18"/>
  <c r="J112" i="18"/>
  <c r="K112" i="18" s="1"/>
  <c r="J111" i="18"/>
  <c r="K111" i="18" s="1"/>
  <c r="J110" i="18"/>
  <c r="K110" i="18" s="1"/>
  <c r="J109" i="18"/>
  <c r="J108" i="18"/>
  <c r="K108" i="18" s="1"/>
  <c r="J107" i="18"/>
  <c r="J106" i="18"/>
  <c r="K106" i="18" s="1"/>
  <c r="J105" i="18"/>
  <c r="J104" i="18"/>
  <c r="K104" i="18" s="1"/>
  <c r="J103" i="18"/>
  <c r="J102" i="18"/>
  <c r="K102" i="18" s="1"/>
  <c r="J101" i="18"/>
  <c r="J100" i="18"/>
  <c r="K100" i="18" s="1"/>
  <c r="J99" i="18"/>
  <c r="J98" i="18"/>
  <c r="K98" i="18" s="1"/>
  <c r="J97" i="18"/>
  <c r="J96" i="18"/>
  <c r="J95" i="18"/>
  <c r="K95" i="18" s="1"/>
  <c r="J94" i="18"/>
  <c r="K94" i="18" s="1"/>
  <c r="J93" i="18"/>
  <c r="J92" i="18"/>
  <c r="K92" i="18" s="1"/>
  <c r="J91" i="18"/>
  <c r="J90" i="18"/>
  <c r="K90" i="18" s="1"/>
  <c r="J89" i="18"/>
  <c r="J88" i="18"/>
  <c r="J87" i="18"/>
  <c r="K87" i="18" s="1"/>
  <c r="J86" i="18"/>
  <c r="K86" i="18" s="1"/>
  <c r="J85" i="18"/>
  <c r="J84" i="18"/>
  <c r="K84" i="18" s="1"/>
  <c r="J83" i="18"/>
  <c r="J82" i="18"/>
  <c r="K82" i="18" s="1"/>
  <c r="J81" i="18"/>
  <c r="J80" i="18"/>
  <c r="K80" i="18" s="1"/>
  <c r="J79" i="18"/>
  <c r="K79" i="18" s="1"/>
  <c r="J78" i="18"/>
  <c r="K78" i="18" s="1"/>
  <c r="J77" i="18"/>
  <c r="J76" i="18"/>
  <c r="K76" i="18" s="1"/>
  <c r="J75" i="18"/>
  <c r="J74" i="18"/>
  <c r="K74" i="18" s="1"/>
  <c r="J73" i="18"/>
  <c r="J72" i="18"/>
  <c r="K72" i="18" s="1"/>
  <c r="J71" i="18"/>
  <c r="K71" i="18" s="1"/>
  <c r="J70" i="18"/>
  <c r="K70" i="18" s="1"/>
  <c r="J69" i="18"/>
  <c r="J68" i="18"/>
  <c r="K68" i="18" s="1"/>
  <c r="J67" i="18"/>
  <c r="J66" i="18"/>
  <c r="J65" i="18"/>
  <c r="J64" i="18"/>
  <c r="K64" i="18" s="1"/>
  <c r="J63" i="18"/>
  <c r="K63" i="18" s="1"/>
  <c r="J62" i="18"/>
  <c r="K62" i="18" s="1"/>
  <c r="J61" i="18"/>
  <c r="J60" i="18"/>
  <c r="K60" i="18" s="1"/>
  <c r="J59" i="18"/>
  <c r="J58" i="18"/>
  <c r="K58" i="18" s="1"/>
  <c r="J57" i="18"/>
  <c r="J56" i="18"/>
  <c r="J55" i="18"/>
  <c r="J54" i="18"/>
  <c r="K54" i="18" s="1"/>
  <c r="J53" i="18"/>
  <c r="J52" i="18"/>
  <c r="J51" i="18"/>
  <c r="J50" i="18"/>
  <c r="K50" i="18" s="1"/>
  <c r="J49" i="18"/>
  <c r="J48" i="18"/>
  <c r="J47" i="18"/>
  <c r="K47" i="18" s="1"/>
  <c r="J46" i="18"/>
  <c r="K46" i="18" s="1"/>
  <c r="J45" i="18"/>
  <c r="J44" i="18"/>
  <c r="K44" i="18" s="1"/>
  <c r="J43" i="18"/>
  <c r="J42" i="18"/>
  <c r="K42" i="18" s="1"/>
  <c r="J41" i="18"/>
  <c r="J40" i="18"/>
  <c r="K40" i="18" s="1"/>
  <c r="J39" i="18"/>
  <c r="K39" i="18" s="1"/>
  <c r="J38" i="18"/>
  <c r="K38" i="18" s="1"/>
  <c r="J37" i="18"/>
  <c r="J36" i="18"/>
  <c r="J35" i="18"/>
  <c r="J34" i="18"/>
  <c r="K34" i="18" s="1"/>
  <c r="J33" i="18"/>
  <c r="J32" i="18"/>
  <c r="K32" i="18" s="1"/>
  <c r="J31" i="18"/>
  <c r="K31" i="18" s="1"/>
  <c r="J30" i="18"/>
  <c r="K30" i="18" s="1"/>
  <c r="J29" i="18"/>
  <c r="J28" i="18"/>
  <c r="K28" i="18" s="1"/>
  <c r="J27" i="18"/>
  <c r="J26" i="18"/>
  <c r="K26" i="18" s="1"/>
  <c r="J25" i="18"/>
  <c r="J24" i="18"/>
  <c r="K24" i="18" s="1"/>
  <c r="J23" i="18"/>
  <c r="K23" i="18" s="1"/>
  <c r="J22" i="18"/>
  <c r="K22" i="18" s="1"/>
  <c r="J21" i="18"/>
  <c r="J20" i="18"/>
  <c r="K20" i="18" s="1"/>
  <c r="J19" i="18"/>
  <c r="J18" i="18"/>
  <c r="K18" i="18" s="1"/>
  <c r="J17" i="18"/>
  <c r="J16" i="18"/>
  <c r="J15" i="18"/>
  <c r="J14" i="18"/>
  <c r="K14" i="18" s="1"/>
  <c r="J13" i="18"/>
  <c r="J12" i="18"/>
  <c r="K12" i="18" s="1"/>
  <c r="K10" i="18"/>
  <c r="J9" i="18"/>
  <c r="J8" i="18"/>
  <c r="K8" i="18" s="1"/>
  <c r="K7" i="18"/>
  <c r="K36" i="18"/>
  <c r="K52" i="18"/>
  <c r="K116" i="18"/>
  <c r="K124" i="18"/>
  <c r="K140" i="18"/>
  <c r="K188" i="18"/>
  <c r="K196" i="18"/>
  <c r="K212" i="18"/>
  <c r="K260" i="18"/>
  <c r="K268" i="18"/>
  <c r="K284" i="18"/>
  <c r="K202" i="18"/>
  <c r="K66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54" i="17"/>
  <c r="K70" i="17"/>
  <c r="K78" i="17"/>
  <c r="K86" i="17"/>
  <c r="K94" i="17"/>
  <c r="K102" i="17"/>
  <c r="K110" i="17"/>
  <c r="K118" i="17"/>
  <c r="K126" i="17"/>
  <c r="K142" i="17"/>
  <c r="K150" i="17"/>
  <c r="K158" i="17"/>
  <c r="K166" i="17"/>
  <c r="K174" i="17"/>
  <c r="K182" i="17"/>
  <c r="K190" i="17"/>
  <c r="K198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K282" i="17"/>
  <c r="K218" i="17"/>
  <c r="K154" i="17"/>
  <c r="K82" i="17"/>
  <c r="J6" i="19"/>
  <c r="K6" i="19" s="1"/>
  <c r="J6" i="17"/>
  <c r="A20" i="13"/>
  <c r="A19" i="13"/>
  <c r="A18" i="13"/>
  <c r="A17" i="13"/>
  <c r="A16" i="13"/>
  <c r="A11" i="13"/>
  <c r="A14" i="13"/>
  <c r="A15" i="13"/>
  <c r="A9" i="13"/>
  <c r="A8" i="13"/>
  <c r="A12" i="13"/>
  <c r="A13" i="13"/>
  <c r="A10" i="13"/>
  <c r="A6" i="13"/>
  <c r="A7" i="13"/>
  <c r="I305" i="19"/>
  <c r="K304" i="19"/>
  <c r="I304" i="19"/>
  <c r="M304" i="19" s="1"/>
  <c r="K303" i="19"/>
  <c r="I303" i="19"/>
  <c r="I302" i="19"/>
  <c r="M302" i="19" s="1"/>
  <c r="K301" i="19"/>
  <c r="I301" i="19"/>
  <c r="K300" i="19"/>
  <c r="I300" i="19"/>
  <c r="M300" i="19" s="1"/>
  <c r="I299" i="19"/>
  <c r="I298" i="19"/>
  <c r="M298" i="19" s="1"/>
  <c r="I297" i="19"/>
  <c r="K296" i="19"/>
  <c r="I296" i="19"/>
  <c r="M296" i="19" s="1"/>
  <c r="K295" i="19"/>
  <c r="I295" i="19"/>
  <c r="I294" i="19"/>
  <c r="M294" i="19" s="1"/>
  <c r="K293" i="19"/>
  <c r="I293" i="19"/>
  <c r="I292" i="19"/>
  <c r="M292" i="19" s="1"/>
  <c r="I291" i="19"/>
  <c r="I290" i="19"/>
  <c r="M290" i="19" s="1"/>
  <c r="I289" i="19"/>
  <c r="K288" i="19"/>
  <c r="I288" i="19"/>
  <c r="M288" i="19" s="1"/>
  <c r="I287" i="19"/>
  <c r="K286" i="19"/>
  <c r="I286" i="19"/>
  <c r="M286" i="19" s="1"/>
  <c r="I285" i="19"/>
  <c r="I284" i="19"/>
  <c r="M284" i="19" s="1"/>
  <c r="I283" i="19"/>
  <c r="I282" i="19"/>
  <c r="M282" i="19" s="1"/>
  <c r="I281" i="19"/>
  <c r="K280" i="19"/>
  <c r="I280" i="19"/>
  <c r="M280" i="19" s="1"/>
  <c r="I279" i="19"/>
  <c r="K278" i="19"/>
  <c r="I278" i="19"/>
  <c r="M278" i="19" s="1"/>
  <c r="K277" i="19"/>
  <c r="I277" i="19"/>
  <c r="I276" i="19"/>
  <c r="M276" i="19" s="1"/>
  <c r="I275" i="19"/>
  <c r="I274" i="19"/>
  <c r="M274" i="19" s="1"/>
  <c r="I273" i="19"/>
  <c r="K272" i="19"/>
  <c r="I272" i="19"/>
  <c r="M272" i="19" s="1"/>
  <c r="K271" i="19"/>
  <c r="I271" i="19"/>
  <c r="I270" i="19"/>
  <c r="M270" i="19" s="1"/>
  <c r="I269" i="19"/>
  <c r="I268" i="19"/>
  <c r="M268" i="19" s="1"/>
  <c r="K267" i="19"/>
  <c r="I267" i="19"/>
  <c r="I266" i="19"/>
  <c r="M266" i="19" s="1"/>
  <c r="I265" i="19"/>
  <c r="K264" i="19"/>
  <c r="I264" i="19"/>
  <c r="M264" i="19" s="1"/>
  <c r="K263" i="19"/>
  <c r="I263" i="19"/>
  <c r="I262" i="19"/>
  <c r="M262" i="19" s="1"/>
  <c r="I261" i="19"/>
  <c r="I260" i="19"/>
  <c r="M260" i="19" s="1"/>
  <c r="I259" i="19"/>
  <c r="I258" i="19"/>
  <c r="M258" i="19" s="1"/>
  <c r="K257" i="19"/>
  <c r="I257" i="19"/>
  <c r="K256" i="19"/>
  <c r="I256" i="19"/>
  <c r="M256" i="19" s="1"/>
  <c r="K255" i="19"/>
  <c r="I255" i="19"/>
  <c r="I254" i="19"/>
  <c r="M254" i="19" s="1"/>
  <c r="K253" i="19"/>
  <c r="I253" i="19"/>
  <c r="I252" i="19"/>
  <c r="M252" i="19" s="1"/>
  <c r="I251" i="19"/>
  <c r="I250" i="19"/>
  <c r="M250" i="19" s="1"/>
  <c r="I249" i="19"/>
  <c r="K248" i="19"/>
  <c r="I248" i="19"/>
  <c r="M248" i="19" s="1"/>
  <c r="K247" i="19"/>
  <c r="I247" i="19"/>
  <c r="I246" i="19"/>
  <c r="M246" i="19" s="1"/>
  <c r="K245" i="19"/>
  <c r="I245" i="19"/>
  <c r="I244" i="19"/>
  <c r="M244" i="19" s="1"/>
  <c r="I243" i="19"/>
  <c r="I242" i="19"/>
  <c r="M242" i="19" s="1"/>
  <c r="I241" i="19"/>
  <c r="K240" i="19"/>
  <c r="I240" i="19"/>
  <c r="M240" i="19" s="1"/>
  <c r="K239" i="19"/>
  <c r="I239" i="19"/>
  <c r="K238" i="19"/>
  <c r="I238" i="19"/>
  <c r="M238" i="19" s="1"/>
  <c r="K237" i="19"/>
  <c r="I237" i="19"/>
  <c r="K236" i="19"/>
  <c r="I236" i="19"/>
  <c r="M236" i="19" s="1"/>
  <c r="I235" i="19"/>
  <c r="I234" i="19"/>
  <c r="M234" i="19" s="1"/>
  <c r="I233" i="19"/>
  <c r="K232" i="19"/>
  <c r="I232" i="19"/>
  <c r="M232" i="19" s="1"/>
  <c r="K231" i="19"/>
  <c r="I231" i="19"/>
  <c r="I230" i="19"/>
  <c r="M230" i="19" s="1"/>
  <c r="K229" i="19"/>
  <c r="I229" i="19"/>
  <c r="I228" i="19"/>
  <c r="M228" i="19" s="1"/>
  <c r="I227" i="19"/>
  <c r="I226" i="19"/>
  <c r="M226" i="19" s="1"/>
  <c r="I225" i="19"/>
  <c r="K224" i="19"/>
  <c r="I224" i="19"/>
  <c r="M224" i="19" s="1"/>
  <c r="K223" i="19"/>
  <c r="I223" i="19"/>
  <c r="K222" i="19"/>
  <c r="I222" i="19"/>
  <c r="M222" i="19" s="1"/>
  <c r="I221" i="19"/>
  <c r="I220" i="19"/>
  <c r="M220" i="19" s="1"/>
  <c r="I219" i="19"/>
  <c r="I218" i="19"/>
  <c r="M218" i="19" s="1"/>
  <c r="K217" i="19"/>
  <c r="I217" i="19"/>
  <c r="K216" i="19"/>
  <c r="I216" i="19"/>
  <c r="M216" i="19" s="1"/>
  <c r="K215" i="19"/>
  <c r="I215" i="19"/>
  <c r="K214" i="19"/>
  <c r="I214" i="19"/>
  <c r="M214" i="19" s="1"/>
  <c r="K213" i="19"/>
  <c r="I213" i="19"/>
  <c r="I212" i="19"/>
  <c r="M212" i="19" s="1"/>
  <c r="I211" i="19"/>
  <c r="I210" i="19"/>
  <c r="M210" i="19" s="1"/>
  <c r="I209" i="19"/>
  <c r="K208" i="19"/>
  <c r="I208" i="19"/>
  <c r="M208" i="19" s="1"/>
  <c r="K207" i="19"/>
  <c r="I207" i="19"/>
  <c r="I206" i="19"/>
  <c r="M206" i="19" s="1"/>
  <c r="K205" i="19"/>
  <c r="I205" i="19"/>
  <c r="I204" i="19"/>
  <c r="M204" i="19" s="1"/>
  <c r="K203" i="19"/>
  <c r="I203" i="19"/>
  <c r="I202" i="19"/>
  <c r="M202" i="19" s="1"/>
  <c r="I201" i="19"/>
  <c r="K200" i="19"/>
  <c r="I200" i="19"/>
  <c r="M200" i="19" s="1"/>
  <c r="K199" i="19"/>
  <c r="I199" i="19"/>
  <c r="I198" i="19"/>
  <c r="M198" i="19" s="1"/>
  <c r="K197" i="19"/>
  <c r="I197" i="19"/>
  <c r="I196" i="19"/>
  <c r="M196" i="19" s="1"/>
  <c r="K195" i="19"/>
  <c r="I195" i="19"/>
  <c r="I194" i="19"/>
  <c r="M194" i="19" s="1"/>
  <c r="I193" i="19"/>
  <c r="K192" i="19"/>
  <c r="I192" i="19"/>
  <c r="M192" i="19" s="1"/>
  <c r="K191" i="19"/>
  <c r="I191" i="19"/>
  <c r="I190" i="19"/>
  <c r="M190" i="19" s="1"/>
  <c r="K189" i="19"/>
  <c r="I189" i="19"/>
  <c r="I188" i="19"/>
  <c r="M188" i="19" s="1"/>
  <c r="I187" i="19"/>
  <c r="I186" i="19"/>
  <c r="M186" i="19" s="1"/>
  <c r="I185" i="19"/>
  <c r="K184" i="19"/>
  <c r="I184" i="19"/>
  <c r="M184" i="19" s="1"/>
  <c r="K183" i="19"/>
  <c r="I183" i="19"/>
  <c r="K182" i="19"/>
  <c r="I182" i="19"/>
  <c r="M182" i="19" s="1"/>
  <c r="I181" i="19"/>
  <c r="I180" i="19"/>
  <c r="M180" i="19" s="1"/>
  <c r="I179" i="19"/>
  <c r="I178" i="19"/>
  <c r="M178" i="19" s="1"/>
  <c r="K177" i="19"/>
  <c r="I177" i="19"/>
  <c r="K176" i="19"/>
  <c r="I176" i="19"/>
  <c r="M176" i="19" s="1"/>
  <c r="K175" i="19"/>
  <c r="I175" i="19"/>
  <c r="K174" i="19"/>
  <c r="I174" i="19"/>
  <c r="M174" i="19" s="1"/>
  <c r="K173" i="19"/>
  <c r="I173" i="19"/>
  <c r="K172" i="19"/>
  <c r="I172" i="19"/>
  <c r="M172" i="19" s="1"/>
  <c r="I171" i="19"/>
  <c r="I170" i="19"/>
  <c r="M170" i="19" s="1"/>
  <c r="I169" i="19"/>
  <c r="K168" i="19"/>
  <c r="I168" i="19"/>
  <c r="M168" i="19" s="1"/>
  <c r="K167" i="19"/>
  <c r="I167" i="19"/>
  <c r="K166" i="19"/>
  <c r="I166" i="19"/>
  <c r="M166" i="19" s="1"/>
  <c r="K165" i="19"/>
  <c r="I165" i="19"/>
  <c r="I164" i="19"/>
  <c r="M164" i="19" s="1"/>
  <c r="I163" i="19"/>
  <c r="I162" i="19"/>
  <c r="M162" i="19" s="1"/>
  <c r="I161" i="19"/>
  <c r="K160" i="19"/>
  <c r="I160" i="19"/>
  <c r="M160" i="19" s="1"/>
  <c r="K159" i="19"/>
  <c r="I159" i="19"/>
  <c r="K158" i="19"/>
  <c r="I158" i="19"/>
  <c r="M158" i="19" s="1"/>
  <c r="I157" i="19"/>
  <c r="I156" i="19"/>
  <c r="M156" i="19" s="1"/>
  <c r="I155" i="19"/>
  <c r="I154" i="19"/>
  <c r="M154" i="19" s="1"/>
  <c r="K153" i="19"/>
  <c r="I153" i="19"/>
  <c r="K152" i="19"/>
  <c r="I152" i="19"/>
  <c r="M152" i="19" s="1"/>
  <c r="K151" i="19"/>
  <c r="I151" i="19"/>
  <c r="K150" i="19"/>
  <c r="I150" i="19"/>
  <c r="M150" i="19" s="1"/>
  <c r="K149" i="19"/>
  <c r="I149" i="19"/>
  <c r="I148" i="19"/>
  <c r="M148" i="19" s="1"/>
  <c r="I147" i="19"/>
  <c r="I146" i="19"/>
  <c r="M146" i="19" s="1"/>
  <c r="I145" i="19"/>
  <c r="K144" i="19"/>
  <c r="I144" i="19"/>
  <c r="M144" i="19" s="1"/>
  <c r="K143" i="19"/>
  <c r="I143" i="19"/>
  <c r="K142" i="19"/>
  <c r="I142" i="19"/>
  <c r="M142" i="19" s="1"/>
  <c r="I141" i="19"/>
  <c r="I140" i="19"/>
  <c r="M140" i="19" s="1"/>
  <c r="I139" i="19"/>
  <c r="I138" i="19"/>
  <c r="M138" i="19" s="1"/>
  <c r="I137" i="19"/>
  <c r="I136" i="19"/>
  <c r="M136" i="19" s="1"/>
  <c r="K135" i="19"/>
  <c r="I135" i="19"/>
  <c r="K134" i="19"/>
  <c r="I134" i="19"/>
  <c r="I133" i="19"/>
  <c r="K132" i="19"/>
  <c r="I132" i="19"/>
  <c r="I131" i="19"/>
  <c r="I130" i="19"/>
  <c r="K129" i="19"/>
  <c r="I129" i="19"/>
  <c r="I128" i="19"/>
  <c r="K127" i="19"/>
  <c r="I127" i="19"/>
  <c r="K126" i="19"/>
  <c r="I126" i="19"/>
  <c r="K125" i="19"/>
  <c r="I125" i="19"/>
  <c r="I124" i="19"/>
  <c r="I123" i="19"/>
  <c r="I122" i="19"/>
  <c r="I121" i="19"/>
  <c r="K120" i="19"/>
  <c r="I120" i="19"/>
  <c r="K119" i="19"/>
  <c r="I119" i="19"/>
  <c r="K118" i="19"/>
  <c r="I118" i="19"/>
  <c r="I117" i="19"/>
  <c r="I116" i="19"/>
  <c r="I115" i="19"/>
  <c r="I114" i="19"/>
  <c r="I113" i="19"/>
  <c r="I112" i="19"/>
  <c r="K111" i="19"/>
  <c r="I111" i="19"/>
  <c r="K110" i="19"/>
  <c r="I110" i="19"/>
  <c r="I109" i="19"/>
  <c r="I108" i="19"/>
  <c r="I107" i="19"/>
  <c r="I106" i="19"/>
  <c r="K105" i="19"/>
  <c r="I105" i="19"/>
  <c r="I104" i="19"/>
  <c r="K103" i="19"/>
  <c r="I103" i="19"/>
  <c r="K102" i="19"/>
  <c r="I102" i="19"/>
  <c r="K101" i="19"/>
  <c r="I101" i="19"/>
  <c r="I100" i="19"/>
  <c r="I99" i="19"/>
  <c r="I98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I89" i="19"/>
  <c r="I88" i="19"/>
  <c r="K87" i="19"/>
  <c r="I87" i="19"/>
  <c r="K86" i="19"/>
  <c r="I86" i="19"/>
  <c r="I85" i="19"/>
  <c r="I84" i="19"/>
  <c r="I83" i="19"/>
  <c r="I82" i="19"/>
  <c r="K81" i="19"/>
  <c r="I81" i="19"/>
  <c r="I80" i="19"/>
  <c r="K79" i="19"/>
  <c r="I79" i="19"/>
  <c r="K78" i="19"/>
  <c r="I78" i="19"/>
  <c r="K77" i="19"/>
  <c r="I77" i="19"/>
  <c r="I76" i="19"/>
  <c r="I75" i="19"/>
  <c r="I74" i="19"/>
  <c r="I73" i="19"/>
  <c r="K72" i="19"/>
  <c r="I72" i="19"/>
  <c r="K71" i="19"/>
  <c r="I71" i="19"/>
  <c r="M71" i="19" s="1"/>
  <c r="K70" i="19"/>
  <c r="I70" i="19"/>
  <c r="I69" i="19"/>
  <c r="K68" i="19"/>
  <c r="I68" i="19"/>
  <c r="I67" i="19"/>
  <c r="I66" i="19"/>
  <c r="I65" i="19"/>
  <c r="B65" i="19"/>
  <c r="I64" i="19"/>
  <c r="B64" i="19"/>
  <c r="K63" i="19"/>
  <c r="I63" i="19"/>
  <c r="B63" i="19"/>
  <c r="K62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I57" i="19"/>
  <c r="B57" i="19"/>
  <c r="I56" i="19"/>
  <c r="B56" i="19"/>
  <c r="K55" i="19"/>
  <c r="I55" i="19"/>
  <c r="B55" i="19"/>
  <c r="I54" i="19"/>
  <c r="M54" i="19" s="1"/>
  <c r="B54" i="19"/>
  <c r="I53" i="19"/>
  <c r="B53" i="19"/>
  <c r="I52" i="19"/>
  <c r="M52" i="19" s="1"/>
  <c r="B52" i="19"/>
  <c r="I51" i="19"/>
  <c r="B51" i="19"/>
  <c r="I50" i="19"/>
  <c r="B50" i="19"/>
  <c r="I49" i="19"/>
  <c r="B49" i="19"/>
  <c r="K48" i="19"/>
  <c r="I48" i="19"/>
  <c r="M48" i="19" s="1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I32" i="19"/>
  <c r="B32" i="19"/>
  <c r="K31" i="19"/>
  <c r="I31" i="19"/>
  <c r="M31" i="19" s="1"/>
  <c r="B31" i="19"/>
  <c r="K30" i="19"/>
  <c r="I30" i="19"/>
  <c r="B30" i="19"/>
  <c r="K29" i="19"/>
  <c r="I29" i="19"/>
  <c r="M29" i="19" s="1"/>
  <c r="B29" i="19"/>
  <c r="I28" i="19"/>
  <c r="B28" i="19"/>
  <c r="I27" i="19"/>
  <c r="M27" i="19" s="1"/>
  <c r="B27" i="19"/>
  <c r="I26" i="19"/>
  <c r="B26" i="19"/>
  <c r="I25" i="19"/>
  <c r="M25" i="19" s="1"/>
  <c r="B25" i="19"/>
  <c r="I24" i="19"/>
  <c r="B24" i="19"/>
  <c r="K23" i="19"/>
  <c r="I23" i="19"/>
  <c r="B23" i="19"/>
  <c r="K22" i="19"/>
  <c r="I22" i="19"/>
  <c r="B22" i="19"/>
  <c r="I21" i="19"/>
  <c r="M21" i="19" s="1"/>
  <c r="B21" i="19"/>
  <c r="I20" i="19"/>
  <c r="M20" i="19" s="1"/>
  <c r="B20" i="19"/>
  <c r="K19" i="19"/>
  <c r="I19" i="19"/>
  <c r="M19" i="19" s="1"/>
  <c r="B19" i="19"/>
  <c r="I18" i="19"/>
  <c r="B18" i="19"/>
  <c r="I17" i="19"/>
  <c r="B17" i="19"/>
  <c r="K16" i="19"/>
  <c r="I16" i="19"/>
  <c r="M16" i="19" s="1"/>
  <c r="B16" i="19"/>
  <c r="K15" i="19"/>
  <c r="I15" i="19"/>
  <c r="AJ14" i="19"/>
  <c r="K14" i="19"/>
  <c r="I14" i="19"/>
  <c r="AJ13" i="19"/>
  <c r="K13" i="19"/>
  <c r="I13" i="19"/>
  <c r="AJ12" i="19"/>
  <c r="AJ16" i="19" s="1"/>
  <c r="I12" i="19"/>
  <c r="I11" i="19"/>
  <c r="I10" i="19"/>
  <c r="I9" i="19"/>
  <c r="K8" i="19"/>
  <c r="I8" i="19"/>
  <c r="K7" i="19"/>
  <c r="I7" i="19"/>
  <c r="L2" i="19"/>
  <c r="K2" i="19"/>
  <c r="L6" i="19" s="1"/>
  <c r="K305" i="18"/>
  <c r="I305" i="18"/>
  <c r="M305" i="18" s="1"/>
  <c r="I304" i="18"/>
  <c r="M304" i="18" s="1"/>
  <c r="I303" i="18"/>
  <c r="M303" i="18" s="1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I280" i="18"/>
  <c r="M280" i="18" s="1"/>
  <c r="K279" i="18"/>
  <c r="I279" i="18"/>
  <c r="M279" i="18" s="1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I272" i="18"/>
  <c r="M272" i="18" s="1"/>
  <c r="I271" i="18"/>
  <c r="M271" i="18" s="1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I248" i="18"/>
  <c r="M248" i="18" s="1"/>
  <c r="I247" i="18"/>
  <c r="M247" i="18" s="1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I240" i="18"/>
  <c r="M240" i="18" s="1"/>
  <c r="I239" i="18"/>
  <c r="M239" i="18" s="1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I208" i="18"/>
  <c r="M208" i="18" s="1"/>
  <c r="I207" i="18"/>
  <c r="M207" i="18" s="1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I200" i="18"/>
  <c r="M200" i="18" s="1"/>
  <c r="I199" i="18"/>
  <c r="M199" i="18" s="1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I192" i="18"/>
  <c r="M192" i="18" s="1"/>
  <c r="I191" i="18"/>
  <c r="M191" i="18" s="1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I176" i="18"/>
  <c r="M176" i="18" s="1"/>
  <c r="I175" i="18"/>
  <c r="M175" i="18" s="1"/>
  <c r="I174" i="18"/>
  <c r="M174" i="18" s="1"/>
  <c r="K173" i="18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I168" i="18"/>
  <c r="M168" i="18" s="1"/>
  <c r="I167" i="18"/>
  <c r="M167" i="18" s="1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I160" i="18"/>
  <c r="M160" i="18" s="1"/>
  <c r="I159" i="18"/>
  <c r="M159" i="18" s="1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I152" i="18"/>
  <c r="M152" i="18" s="1"/>
  <c r="I151" i="18"/>
  <c r="M151" i="18" s="1"/>
  <c r="I150" i="18"/>
  <c r="M150" i="18" s="1"/>
  <c r="K149" i="18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K142" i="18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I136" i="18"/>
  <c r="M136" i="18" s="1"/>
  <c r="I135" i="18"/>
  <c r="M135" i="18" s="1"/>
  <c r="I134" i="18"/>
  <c r="M134" i="18" s="1"/>
  <c r="K133" i="18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I112" i="18"/>
  <c r="M112" i="18" s="1"/>
  <c r="I111" i="18"/>
  <c r="M111" i="18" s="1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I72" i="18"/>
  <c r="M72" i="18" s="1"/>
  <c r="I71" i="18"/>
  <c r="M71" i="18" s="1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I47" i="18"/>
  <c r="M47" i="18" s="1"/>
  <c r="B47" i="18"/>
  <c r="T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B34" i="18"/>
  <c r="K33" i="18"/>
  <c r="I33" i="18"/>
  <c r="B33" i="18"/>
  <c r="I32" i="18"/>
  <c r="B32" i="18"/>
  <c r="I31" i="18"/>
  <c r="M31" i="18" s="1"/>
  <c r="A31" i="18" s="1"/>
  <c r="B31" i="18"/>
  <c r="I30" i="18"/>
  <c r="B30" i="18"/>
  <c r="K29" i="18"/>
  <c r="I29" i="18"/>
  <c r="B29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I24" i="18"/>
  <c r="M24" i="18" s="1"/>
  <c r="A24" i="18" s="1"/>
  <c r="B24" i="18"/>
  <c r="I23" i="18"/>
  <c r="M23" i="18" s="1"/>
  <c r="A23" i="18" s="1"/>
  <c r="B23" i="18"/>
  <c r="I22" i="18"/>
  <c r="B22" i="18"/>
  <c r="K21" i="18"/>
  <c r="I21" i="18"/>
  <c r="B21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AI14" i="18"/>
  <c r="I14" i="18"/>
  <c r="AI13" i="18"/>
  <c r="K13" i="18"/>
  <c r="I13" i="18"/>
  <c r="AI12" i="18"/>
  <c r="I12" i="18"/>
  <c r="M12" i="18" s="1"/>
  <c r="A12" i="18" s="1"/>
  <c r="K11" i="18"/>
  <c r="I11" i="18"/>
  <c r="I10" i="18"/>
  <c r="K9" i="18"/>
  <c r="I9" i="18"/>
  <c r="G20" i="20"/>
  <c r="I8" i="18"/>
  <c r="G8" i="13"/>
  <c r="I7" i="18"/>
  <c r="G10" i="20"/>
  <c r="K6" i="18"/>
  <c r="G9" i="20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B28" i="17"/>
  <c r="K27" i="17"/>
  <c r="I27" i="17"/>
  <c r="M27" i="17" s="1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AI12" i="17"/>
  <c r="AI16" i="17" s="1"/>
  <c r="K12" i="17"/>
  <c r="I12" i="17"/>
  <c r="K11" i="17"/>
  <c r="I11" i="17"/>
  <c r="M11" i="17" s="1"/>
  <c r="I10" i="17"/>
  <c r="M10" i="17" s="1"/>
  <c r="K9" i="17"/>
  <c r="I9" i="17"/>
  <c r="K8" i="17"/>
  <c r="I8" i="17"/>
  <c r="K7" i="17"/>
  <c r="I7" i="17"/>
  <c r="K6" i="17"/>
  <c r="K2" i="17"/>
  <c r="M21" i="37" l="1"/>
  <c r="A21" i="37" s="1"/>
  <c r="M29" i="37"/>
  <c r="A29" i="37" s="1"/>
  <c r="AI11" i="20"/>
  <c r="AI12" i="20"/>
  <c r="AI7" i="20"/>
  <c r="AI8" i="20"/>
  <c r="M20" i="37"/>
  <c r="A20" i="37" s="1"/>
  <c r="AI6" i="20"/>
  <c r="AH22" i="20"/>
  <c r="AI22" i="20" s="1"/>
  <c r="M6" i="37"/>
  <c r="A6" i="37" s="1"/>
  <c r="AH17" i="20"/>
  <c r="AI17" i="20" s="1"/>
  <c r="AH23" i="20"/>
  <c r="AI23" i="20" s="1"/>
  <c r="M13" i="37"/>
  <c r="A13" i="37" s="1"/>
  <c r="M23" i="37"/>
  <c r="A23" i="37" s="1"/>
  <c r="M27" i="37"/>
  <c r="A27" i="37" s="1"/>
  <c r="M31" i="37"/>
  <c r="A31" i="37" s="1"/>
  <c r="AH18" i="20"/>
  <c r="AI18" i="20" s="1"/>
  <c r="M19" i="37"/>
  <c r="A19" i="37" s="1"/>
  <c r="AI13" i="20"/>
  <c r="AH19" i="20"/>
  <c r="AI19" i="20" s="1"/>
  <c r="AH24" i="20"/>
  <c r="AI24" i="20" s="1"/>
  <c r="AI21" i="20"/>
  <c r="AH14" i="20"/>
  <c r="AI14" i="20" s="1"/>
  <c r="AI9" i="20"/>
  <c r="AH15" i="20"/>
  <c r="AI15" i="20" s="1"/>
  <c r="AH20" i="20"/>
  <c r="AI20" i="20" s="1"/>
  <c r="AH25" i="20"/>
  <c r="AI25" i="20" s="1"/>
  <c r="M14" i="37"/>
  <c r="A14" i="37" s="1"/>
  <c r="AI10" i="20"/>
  <c r="M18" i="37"/>
  <c r="A18" i="37" s="1"/>
  <c r="M7" i="37"/>
  <c r="A7" i="37" s="1"/>
  <c r="M12" i="37"/>
  <c r="A12" i="37" s="1"/>
  <c r="L9" i="37"/>
  <c r="M9" i="37" s="1"/>
  <c r="A9" i="37" s="1"/>
  <c r="L8" i="37"/>
  <c r="M8" i="37" s="1"/>
  <c r="A8" i="37" s="1"/>
  <c r="L7" i="37"/>
  <c r="AD22" i="20"/>
  <c r="AD7" i="20"/>
  <c r="AE7" i="20" s="1"/>
  <c r="AD24" i="20"/>
  <c r="AE24" i="20" s="1"/>
  <c r="AD23" i="20"/>
  <c r="AD16" i="20"/>
  <c r="U46" i="35"/>
  <c r="M17" i="36"/>
  <c r="A17" i="36" s="1"/>
  <c r="M11" i="36"/>
  <c r="A11" i="36" s="1"/>
  <c r="M15" i="36"/>
  <c r="A15" i="36" s="1"/>
  <c r="M25" i="36"/>
  <c r="A25" i="36" s="1"/>
  <c r="M10" i="36"/>
  <c r="A10" i="36" s="1"/>
  <c r="M16" i="36"/>
  <c r="A16" i="36" s="1"/>
  <c r="M19" i="36"/>
  <c r="A19" i="36" s="1"/>
  <c r="AE6" i="20"/>
  <c r="AD17" i="20"/>
  <c r="AD25" i="20"/>
  <c r="AE25" i="20" s="1"/>
  <c r="AE12" i="20"/>
  <c r="L7" i="35"/>
  <c r="L9" i="35"/>
  <c r="AE9" i="20"/>
  <c r="AD18" i="20"/>
  <c r="AD26" i="20"/>
  <c r="AE26" i="20" s="1"/>
  <c r="AE10" i="20"/>
  <c r="AE13" i="20"/>
  <c r="AD19" i="20"/>
  <c r="AE19" i="20" s="1"/>
  <c r="AD27" i="20"/>
  <c r="AE27" i="20" s="1"/>
  <c r="M9" i="35"/>
  <c r="A9" i="35" s="1"/>
  <c r="M6" i="35"/>
  <c r="A6" i="35" s="1"/>
  <c r="AE14" i="20"/>
  <c r="AD20" i="20"/>
  <c r="AE20" i="20" s="1"/>
  <c r="AE11" i="20"/>
  <c r="AD21" i="20"/>
  <c r="AE21" i="20" s="1"/>
  <c r="M7" i="35"/>
  <c r="A7" i="35" s="1"/>
  <c r="AE8" i="20"/>
  <c r="AD15" i="20"/>
  <c r="AE15" i="20" s="1"/>
  <c r="M26" i="20"/>
  <c r="N26" i="20" s="1"/>
  <c r="M9" i="31"/>
  <c r="A9" i="31" s="1"/>
  <c r="M7" i="31"/>
  <c r="A7" i="31" s="1"/>
  <c r="M15" i="20"/>
  <c r="N15" i="20" s="1"/>
  <c r="U46" i="31"/>
  <c r="M17" i="20"/>
  <c r="N17" i="20" s="1"/>
  <c r="N18" i="13"/>
  <c r="N12" i="20"/>
  <c r="K7" i="13"/>
  <c r="L7" i="13" s="1"/>
  <c r="M24" i="27"/>
  <c r="A24" i="27" s="1"/>
  <c r="W22" i="20"/>
  <c r="M6" i="27"/>
  <c r="A6" i="27" s="1"/>
  <c r="W24" i="20" s="1"/>
  <c r="W26" i="20"/>
  <c r="M14" i="27"/>
  <c r="A14" i="27" s="1"/>
  <c r="M16" i="27"/>
  <c r="A16" i="27" s="1"/>
  <c r="I7" i="13"/>
  <c r="J7" i="13" s="1"/>
  <c r="I8" i="13"/>
  <c r="J8" i="13" s="1"/>
  <c r="I16" i="20"/>
  <c r="J16" i="20" s="1"/>
  <c r="I26" i="20"/>
  <c r="J26" i="20" s="1"/>
  <c r="I17" i="20"/>
  <c r="J17" i="20" s="1"/>
  <c r="M14" i="26"/>
  <c r="A14" i="26" s="1"/>
  <c r="M21" i="26"/>
  <c r="A21" i="26" s="1"/>
  <c r="M17" i="26"/>
  <c r="A17" i="26" s="1"/>
  <c r="M27" i="26"/>
  <c r="A27" i="26" s="1"/>
  <c r="M10" i="18"/>
  <c r="A10" i="18" s="1"/>
  <c r="M14" i="18"/>
  <c r="A14" i="18" s="1"/>
  <c r="F22" i="20"/>
  <c r="F13" i="20"/>
  <c r="F10" i="20"/>
  <c r="F7" i="20"/>
  <c r="F12" i="20"/>
  <c r="E19" i="20"/>
  <c r="F19" i="20" s="1"/>
  <c r="E23" i="20"/>
  <c r="F23" i="20" s="1"/>
  <c r="E27" i="20"/>
  <c r="F27" i="20" s="1"/>
  <c r="E16" i="20"/>
  <c r="F16" i="20" s="1"/>
  <c r="E20" i="20"/>
  <c r="F20" i="20" s="1"/>
  <c r="E24" i="20"/>
  <c r="F24" i="20" s="1"/>
  <c r="E6" i="13"/>
  <c r="E17" i="20"/>
  <c r="F17" i="20" s="1"/>
  <c r="E21" i="20"/>
  <c r="F21" i="20" s="1"/>
  <c r="M11" i="25"/>
  <c r="A11" i="25" s="1"/>
  <c r="M23" i="25"/>
  <c r="A23" i="25" s="1"/>
  <c r="N9" i="20"/>
  <c r="N13" i="13"/>
  <c r="M19" i="13"/>
  <c r="N19" i="13" s="1"/>
  <c r="M18" i="20"/>
  <c r="N18" i="20" s="1"/>
  <c r="M23" i="20"/>
  <c r="N23" i="20" s="1"/>
  <c r="M27" i="20"/>
  <c r="N27" i="20" s="1"/>
  <c r="N6" i="13"/>
  <c r="M20" i="13"/>
  <c r="N20" i="13" s="1"/>
  <c r="M7" i="20"/>
  <c r="N15" i="13"/>
  <c r="N10" i="20"/>
  <c r="M19" i="20"/>
  <c r="N19" i="20" s="1"/>
  <c r="M24" i="20"/>
  <c r="N24" i="20" s="1"/>
  <c r="N7" i="13"/>
  <c r="N14" i="13"/>
  <c r="N13" i="20"/>
  <c r="N12" i="13"/>
  <c r="M11" i="13"/>
  <c r="N11" i="13" s="1"/>
  <c r="N8" i="20"/>
  <c r="M11" i="20"/>
  <c r="N11" i="20" s="1"/>
  <c r="M20" i="20"/>
  <c r="N20" i="20" s="1"/>
  <c r="M25" i="20"/>
  <c r="N25" i="20" s="1"/>
  <c r="N10" i="13"/>
  <c r="M16" i="13"/>
  <c r="N16" i="13" s="1"/>
  <c r="N6" i="20"/>
  <c r="M16" i="20"/>
  <c r="N16" i="20" s="1"/>
  <c r="M21" i="20"/>
  <c r="N21" i="20" s="1"/>
  <c r="L6" i="31"/>
  <c r="M6" i="31" s="1"/>
  <c r="A6" i="31" s="1"/>
  <c r="N9" i="13" s="1"/>
  <c r="M17" i="13"/>
  <c r="N17" i="13" s="1"/>
  <c r="N14" i="20"/>
  <c r="M22" i="20"/>
  <c r="N22" i="20" s="1"/>
  <c r="L8" i="36"/>
  <c r="AG10" i="20"/>
  <c r="AF16" i="20"/>
  <c r="AF24" i="20"/>
  <c r="AG6" i="20"/>
  <c r="AF17" i="20"/>
  <c r="AF25" i="20"/>
  <c r="AG9" i="20"/>
  <c r="AF18" i="20"/>
  <c r="AF26" i="20"/>
  <c r="AG12" i="20"/>
  <c r="AG13" i="20"/>
  <c r="AF19" i="20"/>
  <c r="AF27" i="20"/>
  <c r="M13" i="36"/>
  <c r="A13" i="36" s="1"/>
  <c r="M20" i="36"/>
  <c r="A20" i="36" s="1"/>
  <c r="AG14" i="20"/>
  <c r="AF20" i="20"/>
  <c r="M24" i="36"/>
  <c r="A24" i="36" s="1"/>
  <c r="AG7" i="20"/>
  <c r="AF21" i="20"/>
  <c r="M8" i="36"/>
  <c r="A8" i="36" s="1"/>
  <c r="M28" i="36"/>
  <c r="A28" i="36" s="1"/>
  <c r="AG8" i="20"/>
  <c r="AG15" i="20"/>
  <c r="L20" i="20"/>
  <c r="M6" i="30"/>
  <c r="L13" i="20"/>
  <c r="L15" i="13"/>
  <c r="K18" i="20"/>
  <c r="L18" i="20" s="1"/>
  <c r="K21" i="20"/>
  <c r="L21" i="20" s="1"/>
  <c r="L7" i="30"/>
  <c r="M7" i="30" s="1"/>
  <c r="A7" i="30" s="1"/>
  <c r="L8" i="20" s="1"/>
  <c r="K14" i="13"/>
  <c r="L14" i="13" s="1"/>
  <c r="L6" i="20"/>
  <c r="K11" i="20"/>
  <c r="L11" i="20" s="1"/>
  <c r="L6" i="13"/>
  <c r="L27" i="20"/>
  <c r="L12" i="13"/>
  <c r="K11" i="13"/>
  <c r="L11" i="13" s="1"/>
  <c r="L14" i="20"/>
  <c r="K22" i="20"/>
  <c r="L22" i="20" s="1"/>
  <c r="K25" i="20"/>
  <c r="L25" i="20" s="1"/>
  <c r="L10" i="13"/>
  <c r="K16" i="13"/>
  <c r="L16" i="13" s="1"/>
  <c r="L12" i="20"/>
  <c r="K16" i="20"/>
  <c r="L16" i="20" s="1"/>
  <c r="K19" i="20"/>
  <c r="L19" i="20" s="1"/>
  <c r="K17" i="13"/>
  <c r="L17" i="13" s="1"/>
  <c r="L9" i="20"/>
  <c r="L20" i="13"/>
  <c r="L24" i="20"/>
  <c r="L8" i="30"/>
  <c r="M8" i="30" s="1"/>
  <c r="A8" i="30" s="1"/>
  <c r="L9" i="13"/>
  <c r="K18" i="13"/>
  <c r="L18" i="13" s="1"/>
  <c r="K23" i="20"/>
  <c r="L23" i="20" s="1"/>
  <c r="K26" i="20"/>
  <c r="L26" i="20" s="1"/>
  <c r="L15" i="20"/>
  <c r="L13" i="13"/>
  <c r="K19" i="13"/>
  <c r="L19" i="13" s="1"/>
  <c r="L10" i="20"/>
  <c r="K17" i="20"/>
  <c r="L17" i="20" s="1"/>
  <c r="J12" i="20"/>
  <c r="J25" i="20"/>
  <c r="J11" i="13"/>
  <c r="J20" i="20"/>
  <c r="J12" i="13"/>
  <c r="I18" i="13"/>
  <c r="J18" i="13" s="1"/>
  <c r="J9" i="13"/>
  <c r="J19" i="20"/>
  <c r="J6" i="13"/>
  <c r="J10" i="20"/>
  <c r="J23" i="20"/>
  <c r="J17" i="13"/>
  <c r="I20" i="13"/>
  <c r="J20" i="13" s="1"/>
  <c r="J6" i="20"/>
  <c r="I18" i="20"/>
  <c r="J18" i="20" s="1"/>
  <c r="I24" i="20"/>
  <c r="J24" i="20" s="1"/>
  <c r="M6" i="29"/>
  <c r="A6" i="29" s="1"/>
  <c r="J13" i="20"/>
  <c r="M8" i="29"/>
  <c r="A8" i="29" s="1"/>
  <c r="J14" i="20"/>
  <c r="I11" i="20"/>
  <c r="J11" i="20" s="1"/>
  <c r="L6" i="29"/>
  <c r="I15" i="13"/>
  <c r="J15" i="13" s="1"/>
  <c r="J9" i="20"/>
  <c r="I27" i="20"/>
  <c r="J27" i="20" s="1"/>
  <c r="I22" i="20"/>
  <c r="J22" i="20" s="1"/>
  <c r="I14" i="13"/>
  <c r="J14" i="13" s="1"/>
  <c r="AI16" i="29"/>
  <c r="J10" i="13"/>
  <c r="I16" i="13"/>
  <c r="J16" i="13" s="1"/>
  <c r="J7" i="20"/>
  <c r="I21" i="20"/>
  <c r="J21" i="20" s="1"/>
  <c r="L7" i="29"/>
  <c r="M7" i="29" s="1"/>
  <c r="A7" i="29" s="1"/>
  <c r="J13" i="13"/>
  <c r="I19" i="13"/>
  <c r="J19" i="13" s="1"/>
  <c r="J8" i="20"/>
  <c r="I15" i="20"/>
  <c r="J15" i="20" s="1"/>
  <c r="M20" i="26"/>
  <c r="A20" i="26" s="1"/>
  <c r="G15" i="20"/>
  <c r="G23" i="20"/>
  <c r="G26" i="20"/>
  <c r="G16" i="20"/>
  <c r="G9" i="13"/>
  <c r="G7" i="20"/>
  <c r="G19" i="20"/>
  <c r="G22" i="20"/>
  <c r="G25" i="20"/>
  <c r="G18" i="20"/>
  <c r="G21" i="20"/>
  <c r="G11" i="20"/>
  <c r="G24" i="20"/>
  <c r="G10" i="13"/>
  <c r="G17" i="20"/>
  <c r="G27" i="20"/>
  <c r="R21" i="20"/>
  <c r="R25" i="20"/>
  <c r="L9" i="25"/>
  <c r="M26" i="25"/>
  <c r="A26" i="25" s="1"/>
  <c r="R16" i="20"/>
  <c r="S16" i="20" s="1"/>
  <c r="L7" i="25"/>
  <c r="R11" i="20"/>
  <c r="R20" i="20"/>
  <c r="M17" i="25"/>
  <c r="A17" i="25" s="1"/>
  <c r="M21" i="25"/>
  <c r="A21" i="25" s="1"/>
  <c r="R19" i="20"/>
  <c r="S19" i="20" s="1"/>
  <c r="R24" i="20"/>
  <c r="S24" i="20" s="1"/>
  <c r="R27" i="20"/>
  <c r="L6" i="25"/>
  <c r="M8" i="25"/>
  <c r="A8" i="25" s="1"/>
  <c r="R15" i="20"/>
  <c r="M25" i="25"/>
  <c r="A25" i="25" s="1"/>
  <c r="M27" i="25"/>
  <c r="A27" i="25" s="1"/>
  <c r="S22" i="20" s="1"/>
  <c r="M9" i="25"/>
  <c r="A9" i="25" s="1"/>
  <c r="R18" i="20"/>
  <c r="R23" i="20"/>
  <c r="R26" i="20"/>
  <c r="M13" i="25"/>
  <c r="A13" i="25" s="1"/>
  <c r="L7" i="36"/>
  <c r="M7" i="36" s="1"/>
  <c r="A7" i="36" s="1"/>
  <c r="L6" i="36"/>
  <c r="M6" i="36" s="1"/>
  <c r="A6" i="36" s="1"/>
  <c r="L8" i="35"/>
  <c r="M8" i="35" s="1"/>
  <c r="A8" i="35" s="1"/>
  <c r="L9" i="34"/>
  <c r="L8" i="34"/>
  <c r="L7" i="32"/>
  <c r="L8" i="31"/>
  <c r="M8" i="31" s="1"/>
  <c r="A8" i="31" s="1"/>
  <c r="N8" i="13" s="1"/>
  <c r="F6" i="20"/>
  <c r="F15" i="20"/>
  <c r="F26" i="20"/>
  <c r="F9" i="20"/>
  <c r="F18" i="20"/>
  <c r="F11" i="20"/>
  <c r="F14" i="20"/>
  <c r="M26" i="28"/>
  <c r="N26" i="28" s="1"/>
  <c r="A26" i="28" s="1"/>
  <c r="M35" i="28"/>
  <c r="N35" i="28" s="1"/>
  <c r="A35" i="28" s="1"/>
  <c r="M43" i="28"/>
  <c r="N43" i="28" s="1"/>
  <c r="A43" i="28" s="1"/>
  <c r="M44" i="28"/>
  <c r="N44" i="28" s="1"/>
  <c r="A44" i="28" s="1"/>
  <c r="M53" i="28"/>
  <c r="N53" i="28" s="1"/>
  <c r="A53" i="28" s="1"/>
  <c r="M55" i="28"/>
  <c r="M56" i="28"/>
  <c r="N56" i="28" s="1"/>
  <c r="A56" i="28" s="1"/>
  <c r="M66" i="28"/>
  <c r="N66" i="28"/>
  <c r="A66" i="28" s="1"/>
  <c r="M70" i="28"/>
  <c r="N70" i="28" s="1"/>
  <c r="A70" i="28" s="1"/>
  <c r="N92" i="28"/>
  <c r="A92" i="28" s="1"/>
  <c r="M92" i="28"/>
  <c r="N94" i="28"/>
  <c r="A94" i="28" s="1"/>
  <c r="M94" i="28"/>
  <c r="N97" i="28"/>
  <c r="A97" i="28" s="1"/>
  <c r="M97" i="28"/>
  <c r="N104" i="28"/>
  <c r="A104" i="28" s="1"/>
  <c r="M104" i="28"/>
  <c r="N108" i="28"/>
  <c r="A108" i="28" s="1"/>
  <c r="M108" i="28"/>
  <c r="N113" i="28"/>
  <c r="A113" i="28" s="1"/>
  <c r="M113" i="28"/>
  <c r="M117" i="28"/>
  <c r="N117" i="28"/>
  <c r="A117" i="28" s="1"/>
  <c r="N119" i="28"/>
  <c r="A119" i="28" s="1"/>
  <c r="M119" i="28"/>
  <c r="N120" i="28"/>
  <c r="A120" i="28" s="1"/>
  <c r="M120" i="28"/>
  <c r="N127" i="28"/>
  <c r="A127" i="28" s="1"/>
  <c r="M127" i="28"/>
  <c r="N132" i="28"/>
  <c r="A132" i="28" s="1"/>
  <c r="M132" i="28"/>
  <c r="N136" i="28"/>
  <c r="A136" i="28" s="1"/>
  <c r="M136" i="28"/>
  <c r="N137" i="28"/>
  <c r="A137" i="28" s="1"/>
  <c r="M137" i="28"/>
  <c r="N139" i="28"/>
  <c r="A139" i="28" s="1"/>
  <c r="M139" i="28"/>
  <c r="N141" i="28"/>
  <c r="A141" i="28" s="1"/>
  <c r="M141" i="28"/>
  <c r="M152" i="28"/>
  <c r="N152" i="28"/>
  <c r="A152" i="28" s="1"/>
  <c r="N156" i="28"/>
  <c r="A156" i="28" s="1"/>
  <c r="M156" i="28"/>
  <c r="N157" i="28"/>
  <c r="A157" i="28" s="1"/>
  <c r="M157" i="28"/>
  <c r="N162" i="28"/>
  <c r="A162" i="28" s="1"/>
  <c r="M162" i="28"/>
  <c r="M164" i="28"/>
  <c r="N164" i="28"/>
  <c r="A164" i="28" s="1"/>
  <c r="N165" i="28"/>
  <c r="A165" i="28" s="1"/>
  <c r="M165" i="28"/>
  <c r="N167" i="28"/>
  <c r="A167" i="28" s="1"/>
  <c r="M167" i="28"/>
  <c r="M172" i="28"/>
  <c r="N172" i="28"/>
  <c r="A172" i="28" s="1"/>
  <c r="N174" i="28"/>
  <c r="A174" i="28" s="1"/>
  <c r="M174" i="28"/>
  <c r="M175" i="28"/>
  <c r="N175" i="28"/>
  <c r="A175" i="28" s="1"/>
  <c r="N178" i="28"/>
  <c r="A178" i="28" s="1"/>
  <c r="M178" i="28"/>
  <c r="N179" i="28"/>
  <c r="A179" i="28" s="1"/>
  <c r="M179" i="28"/>
  <c r="N181" i="28"/>
  <c r="A181" i="28" s="1"/>
  <c r="M181" i="28"/>
  <c r="N188" i="28"/>
  <c r="A188" i="28" s="1"/>
  <c r="M188" i="28"/>
  <c r="N193" i="28"/>
  <c r="A193" i="28" s="1"/>
  <c r="M193" i="28"/>
  <c r="N197" i="28"/>
  <c r="A197" i="28" s="1"/>
  <c r="M197" i="28"/>
  <c r="N198" i="28"/>
  <c r="A198" i="28" s="1"/>
  <c r="M198" i="28"/>
  <c r="N202" i="28"/>
  <c r="A202" i="28" s="1"/>
  <c r="M202" i="28"/>
  <c r="N205" i="28"/>
  <c r="A205" i="28" s="1"/>
  <c r="M205" i="28"/>
  <c r="M206" i="28"/>
  <c r="N206" i="28"/>
  <c r="A206" i="28" s="1"/>
  <c r="M210" i="28"/>
  <c r="N210" i="28"/>
  <c r="A210" i="28" s="1"/>
  <c r="N212" i="28"/>
  <c r="A212" i="28" s="1"/>
  <c r="M212" i="28"/>
  <c r="N213" i="28"/>
  <c r="A213" i="28" s="1"/>
  <c r="M213" i="28"/>
  <c r="N219" i="28"/>
  <c r="A219" i="28" s="1"/>
  <c r="M219" i="28"/>
  <c r="N220" i="28"/>
  <c r="A220" i="28" s="1"/>
  <c r="M220" i="28"/>
  <c r="M221" i="28"/>
  <c r="N221" i="28"/>
  <c r="A221" i="28" s="1"/>
  <c r="N227" i="28"/>
  <c r="A227" i="28" s="1"/>
  <c r="M227" i="28"/>
  <c r="M228" i="28"/>
  <c r="N228" i="28"/>
  <c r="A228" i="28" s="1"/>
  <c r="N235" i="28"/>
  <c r="A235" i="28" s="1"/>
  <c r="M235" i="28"/>
  <c r="N236" i="28"/>
  <c r="A236" i="28" s="1"/>
  <c r="M236" i="28"/>
  <c r="N237" i="28"/>
  <c r="A237" i="28" s="1"/>
  <c r="M237" i="28"/>
  <c r="M239" i="28"/>
  <c r="N239" i="28"/>
  <c r="A239" i="28" s="1"/>
  <c r="M243" i="28"/>
  <c r="N243" i="28"/>
  <c r="A243" i="28" s="1"/>
  <c r="N245" i="28"/>
  <c r="A245" i="28" s="1"/>
  <c r="M245" i="28"/>
  <c r="N251" i="28"/>
  <c r="A251" i="28" s="1"/>
  <c r="M251" i="28"/>
  <c r="N254" i="28"/>
  <c r="A254" i="28" s="1"/>
  <c r="M254" i="28"/>
  <c r="M256" i="28"/>
  <c r="N256" i="28"/>
  <c r="A256" i="28" s="1"/>
  <c r="N258" i="28"/>
  <c r="A258" i="28" s="1"/>
  <c r="M258" i="28"/>
  <c r="M262" i="28"/>
  <c r="N262" i="28"/>
  <c r="A262" i="28" s="1"/>
  <c r="N263" i="28"/>
  <c r="A263" i="28" s="1"/>
  <c r="M263" i="28"/>
  <c r="N267" i="28"/>
  <c r="A267" i="28" s="1"/>
  <c r="M267" i="28"/>
  <c r="N270" i="28"/>
  <c r="A270" i="28" s="1"/>
  <c r="M270" i="28"/>
  <c r="N274" i="28"/>
  <c r="A274" i="28" s="1"/>
  <c r="M274" i="28"/>
  <c r="N278" i="28"/>
  <c r="A278" i="28" s="1"/>
  <c r="M278" i="28"/>
  <c r="N282" i="28"/>
  <c r="A282" i="28" s="1"/>
  <c r="M282" i="28"/>
  <c r="N287" i="28"/>
  <c r="A287" i="28" s="1"/>
  <c r="M287" i="28"/>
  <c r="N294" i="28"/>
  <c r="A294" i="28" s="1"/>
  <c r="M294" i="28"/>
  <c r="N298" i="28"/>
  <c r="A298" i="28" s="1"/>
  <c r="M298" i="28"/>
  <c r="N303" i="28"/>
  <c r="A303" i="28" s="1"/>
  <c r="M303" i="28"/>
  <c r="T23" i="20"/>
  <c r="T11" i="20"/>
  <c r="T19" i="20"/>
  <c r="T16" i="20"/>
  <c r="T26" i="20"/>
  <c r="T25" i="20"/>
  <c r="T20" i="20"/>
  <c r="T15" i="20"/>
  <c r="U15" i="20" s="1"/>
  <c r="T24" i="20"/>
  <c r="T18" i="20"/>
  <c r="T7" i="20"/>
  <c r="U7" i="20" s="1"/>
  <c r="T22" i="20"/>
  <c r="T17" i="20"/>
  <c r="T27" i="20"/>
  <c r="T14" i="20"/>
  <c r="M12" i="26"/>
  <c r="A12" i="26" s="1"/>
  <c r="M16" i="26"/>
  <c r="A16" i="26" s="1"/>
  <c r="M10" i="26"/>
  <c r="A10" i="26" s="1"/>
  <c r="U6" i="20" s="1"/>
  <c r="M30" i="26"/>
  <c r="A30" i="26" s="1"/>
  <c r="M11" i="26"/>
  <c r="A11" i="26" s="1"/>
  <c r="M22" i="26"/>
  <c r="A22" i="26" s="1"/>
  <c r="M26" i="26"/>
  <c r="A26" i="26" s="1"/>
  <c r="N158" i="28"/>
  <c r="A158" i="28" s="1"/>
  <c r="M158" i="28"/>
  <c r="M211" i="28"/>
  <c r="N211" i="28"/>
  <c r="A211" i="28" s="1"/>
  <c r="M49" i="28"/>
  <c r="N49" i="28" s="1"/>
  <c r="A49" i="28" s="1"/>
  <c r="N84" i="28"/>
  <c r="A84" i="28" s="1"/>
  <c r="M84" i="28"/>
  <c r="N95" i="28"/>
  <c r="A95" i="28" s="1"/>
  <c r="M95" i="28"/>
  <c r="N142" i="28"/>
  <c r="A142" i="28" s="1"/>
  <c r="M142" i="28"/>
  <c r="N196" i="28"/>
  <c r="A196" i="28" s="1"/>
  <c r="M196" i="28"/>
  <c r="M168" i="28"/>
  <c r="N168" i="28"/>
  <c r="A168" i="28" s="1"/>
  <c r="M18" i="28"/>
  <c r="N18" i="28" s="1"/>
  <c r="A18" i="28" s="1"/>
  <c r="M112" i="28"/>
  <c r="N112" i="28"/>
  <c r="A112" i="28" s="1"/>
  <c r="N295" i="28"/>
  <c r="A295" i="28" s="1"/>
  <c r="M295" i="28"/>
  <c r="M27" i="28"/>
  <c r="N27" i="28" s="1"/>
  <c r="A27" i="28" s="1"/>
  <c r="N128" i="28"/>
  <c r="A128" i="28" s="1"/>
  <c r="M128" i="28"/>
  <c r="N151" i="28"/>
  <c r="A151" i="28" s="1"/>
  <c r="M151" i="28"/>
  <c r="N189" i="28"/>
  <c r="A189" i="28" s="1"/>
  <c r="M189" i="28"/>
  <c r="M199" i="28"/>
  <c r="N199" i="28"/>
  <c r="A199" i="28" s="1"/>
  <c r="M25" i="28"/>
  <c r="N25" i="28" s="1"/>
  <c r="A25" i="28" s="1"/>
  <c r="N103" i="28"/>
  <c r="A103" i="28" s="1"/>
  <c r="N163" i="28"/>
  <c r="A163" i="28" s="1"/>
  <c r="M163" i="28"/>
  <c r="M207" i="28"/>
  <c r="N207" i="28"/>
  <c r="A207" i="28" s="1"/>
  <c r="N229" i="28"/>
  <c r="A229" i="28" s="1"/>
  <c r="M229" i="28"/>
  <c r="N244" i="28"/>
  <c r="A244" i="28" s="1"/>
  <c r="M244" i="28"/>
  <c r="M272" i="28"/>
  <c r="M283" i="28"/>
  <c r="M42" i="28"/>
  <c r="N42" i="28" s="1"/>
  <c r="A42" i="28" s="1"/>
  <c r="N218" i="28"/>
  <c r="A218" i="28" s="1"/>
  <c r="M218" i="28"/>
  <c r="M72" i="28"/>
  <c r="N72" i="28" s="1"/>
  <c r="A72" i="28" s="1"/>
  <c r="M147" i="28"/>
  <c r="N190" i="28"/>
  <c r="A190" i="28" s="1"/>
  <c r="M190" i="28"/>
  <c r="M226" i="28"/>
  <c r="M34" i="28"/>
  <c r="N34" i="28" s="1"/>
  <c r="A34" i="28" s="1"/>
  <c r="M36" i="28"/>
  <c r="N36" i="28" s="1"/>
  <c r="A36" i="28" s="1"/>
  <c r="N50" i="28"/>
  <c r="A50" i="28" s="1"/>
  <c r="N58" i="28"/>
  <c r="A58" i="28" s="1"/>
  <c r="M61" i="28"/>
  <c r="N61" i="28" s="1"/>
  <c r="A61" i="28" s="1"/>
  <c r="M69" i="28"/>
  <c r="N69" i="28"/>
  <c r="A69" i="28" s="1"/>
  <c r="N100" i="28"/>
  <c r="A100" i="28" s="1"/>
  <c r="M100" i="28"/>
  <c r="N111" i="28"/>
  <c r="A111" i="28" s="1"/>
  <c r="M111" i="28"/>
  <c r="M169" i="28"/>
  <c r="N291" i="28"/>
  <c r="A291" i="28" s="1"/>
  <c r="M291" i="28"/>
  <c r="N88" i="28"/>
  <c r="A88" i="28" s="1"/>
  <c r="M88" i="28"/>
  <c r="M109" i="28"/>
  <c r="N109" i="28"/>
  <c r="A109" i="28" s="1"/>
  <c r="M286" i="28"/>
  <c r="N286" i="28"/>
  <c r="A286" i="28" s="1"/>
  <c r="M15" i="28"/>
  <c r="N15" i="28" s="1"/>
  <c r="A15" i="28" s="1"/>
  <c r="M80" i="28"/>
  <c r="N80" i="28"/>
  <c r="A80" i="28" s="1"/>
  <c r="N185" i="28"/>
  <c r="A185" i="28" s="1"/>
  <c r="M185" i="28"/>
  <c r="M259" i="28"/>
  <c r="N259" i="28"/>
  <c r="A259" i="28" s="1"/>
  <c r="N275" i="28"/>
  <c r="A275" i="28" s="1"/>
  <c r="M275" i="28"/>
  <c r="M62" i="28"/>
  <c r="N62" i="28" s="1"/>
  <c r="A62" i="28" s="1"/>
  <c r="N105" i="28"/>
  <c r="A105" i="28" s="1"/>
  <c r="M105" i="28"/>
  <c r="M124" i="28"/>
  <c r="N135" i="28"/>
  <c r="A135" i="28" s="1"/>
  <c r="M135" i="28"/>
  <c r="M149" i="28"/>
  <c r="N149" i="28"/>
  <c r="A149" i="28" s="1"/>
  <c r="N173" i="28"/>
  <c r="A173" i="28" s="1"/>
  <c r="M173" i="28"/>
  <c r="M54" i="28"/>
  <c r="N54" i="28" s="1"/>
  <c r="A54" i="28" s="1"/>
  <c r="M89" i="28"/>
  <c r="N89" i="28" s="1"/>
  <c r="A89" i="28" s="1"/>
  <c r="M159" i="28"/>
  <c r="N159" i="28"/>
  <c r="A159" i="28" s="1"/>
  <c r="M161" i="28"/>
  <c r="M194" i="28"/>
  <c r="N194" i="28"/>
  <c r="A194" i="28" s="1"/>
  <c r="N302" i="28"/>
  <c r="A302" i="28" s="1"/>
  <c r="M302" i="28"/>
  <c r="N279" i="28"/>
  <c r="A279" i="28" s="1"/>
  <c r="M279" i="28"/>
  <c r="M17" i="28"/>
  <c r="N17" i="28" s="1"/>
  <c r="A17" i="28" s="1"/>
  <c r="M19" i="28"/>
  <c r="N19" i="28" s="1"/>
  <c r="A19" i="28" s="1"/>
  <c r="M32" i="28"/>
  <c r="N32" i="28" s="1"/>
  <c r="A32" i="28" s="1"/>
  <c r="N55" i="28"/>
  <c r="A55" i="28" s="1"/>
  <c r="M79" i="28"/>
  <c r="N79" i="28" s="1"/>
  <c r="A79" i="28" s="1"/>
  <c r="M96" i="28"/>
  <c r="M129" i="28"/>
  <c r="N143" i="28"/>
  <c r="A143" i="28" s="1"/>
  <c r="M184" i="28"/>
  <c r="N184" i="28"/>
  <c r="A184" i="28" s="1"/>
  <c r="M204" i="28"/>
  <c r="N214" i="28"/>
  <c r="A214" i="28" s="1"/>
  <c r="M214" i="28"/>
  <c r="N250" i="28"/>
  <c r="A250" i="28" s="1"/>
  <c r="M250" i="28"/>
  <c r="N255" i="28"/>
  <c r="A255" i="28" s="1"/>
  <c r="M255" i="28"/>
  <c r="N266" i="28"/>
  <c r="A266" i="28" s="1"/>
  <c r="M266" i="28"/>
  <c r="N288" i="28"/>
  <c r="A288" i="28" s="1"/>
  <c r="M288" i="28"/>
  <c r="M299" i="28"/>
  <c r="M74" i="28"/>
  <c r="N74" i="28" s="1"/>
  <c r="A74" i="28" s="1"/>
  <c r="M29" i="28"/>
  <c r="N29" i="28" s="1"/>
  <c r="A29" i="28" s="1"/>
  <c r="M78" i="28"/>
  <c r="N78" i="28" s="1"/>
  <c r="A78" i="28" s="1"/>
  <c r="M116" i="28"/>
  <c r="M121" i="28"/>
  <c r="M146" i="28"/>
  <c r="M271" i="28"/>
  <c r="M14" i="28"/>
  <c r="N125" i="28"/>
  <c r="A125" i="28" s="1"/>
  <c r="M153" i="28"/>
  <c r="S7" i="20"/>
  <c r="S14" i="20"/>
  <c r="S6" i="20"/>
  <c r="N304" i="28"/>
  <c r="A304" i="28" s="1"/>
  <c r="M304" i="28"/>
  <c r="S13" i="20"/>
  <c r="S17" i="20"/>
  <c r="M68" i="28"/>
  <c r="N68" i="28" s="1"/>
  <c r="A68" i="28" s="1"/>
  <c r="U9" i="20"/>
  <c r="M47" i="28"/>
  <c r="N47" i="28" s="1"/>
  <c r="A47" i="28" s="1"/>
  <c r="M38" i="28"/>
  <c r="N38" i="28" s="1"/>
  <c r="A38" i="28" s="1"/>
  <c r="M45" i="28"/>
  <c r="N45" i="28" s="1"/>
  <c r="A45" i="28" s="1"/>
  <c r="M6" i="25"/>
  <c r="A6" i="25" s="1"/>
  <c r="U12" i="20"/>
  <c r="U13" i="20"/>
  <c r="M86" i="28"/>
  <c r="N86" i="28" s="1"/>
  <c r="A86" i="28" s="1"/>
  <c r="N126" i="28"/>
  <c r="A126" i="28" s="1"/>
  <c r="M126" i="28"/>
  <c r="L7" i="27"/>
  <c r="M7" i="27" s="1"/>
  <c r="A7" i="27" s="1"/>
  <c r="L8" i="27"/>
  <c r="M8" i="27" s="1"/>
  <c r="A8" i="27" s="1"/>
  <c r="L9" i="27"/>
  <c r="M9" i="27" s="1"/>
  <c r="A9" i="27" s="1"/>
  <c r="L6" i="27"/>
  <c r="N296" i="28"/>
  <c r="A296" i="28" s="1"/>
  <c r="M296" i="28"/>
  <c r="L6" i="26"/>
  <c r="M6" i="26" s="1"/>
  <c r="A6" i="26" s="1"/>
  <c r="L9" i="26"/>
  <c r="M9" i="26" s="1"/>
  <c r="A9" i="26" s="1"/>
  <c r="L7" i="26"/>
  <c r="M7" i="26" s="1"/>
  <c r="A7" i="26" s="1"/>
  <c r="M13" i="28"/>
  <c r="N13" i="28" s="1"/>
  <c r="A13" i="28" s="1"/>
  <c r="M7" i="25"/>
  <c r="A7" i="25" s="1"/>
  <c r="M22" i="25"/>
  <c r="A22" i="25" s="1"/>
  <c r="M19" i="25"/>
  <c r="A19" i="25" s="1"/>
  <c r="N155" i="28"/>
  <c r="A155" i="28" s="1"/>
  <c r="M155" i="28"/>
  <c r="N238" i="28"/>
  <c r="A238" i="28" s="1"/>
  <c r="M238" i="28"/>
  <c r="M23" i="28"/>
  <c r="N23" i="28" s="1"/>
  <c r="A23" i="28" s="1"/>
  <c r="M52" i="28"/>
  <c r="N52" i="28" s="1"/>
  <c r="A52" i="28" s="1"/>
  <c r="M148" i="28"/>
  <c r="N148" i="28"/>
  <c r="A148" i="28" s="1"/>
  <c r="M12" i="25"/>
  <c r="A12" i="25" s="1"/>
  <c r="M21" i="28"/>
  <c r="N21" i="28" s="1"/>
  <c r="A21" i="28" s="1"/>
  <c r="M51" i="28"/>
  <c r="N51" i="28" s="1"/>
  <c r="A51" i="28" s="1"/>
  <c r="M57" i="28"/>
  <c r="N57" i="28" s="1"/>
  <c r="A57" i="28" s="1"/>
  <c r="N171" i="28"/>
  <c r="A171" i="28" s="1"/>
  <c r="M171" i="28"/>
  <c r="N290" i="28"/>
  <c r="A290" i="28" s="1"/>
  <c r="M290" i="28"/>
  <c r="M18" i="25"/>
  <c r="A18" i="25" s="1"/>
  <c r="N253" i="28"/>
  <c r="A253" i="28" s="1"/>
  <c r="M253" i="28"/>
  <c r="N187" i="28"/>
  <c r="A187" i="28" s="1"/>
  <c r="M187" i="28"/>
  <c r="N230" i="28"/>
  <c r="A230" i="28" s="1"/>
  <c r="M230" i="28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M24" i="28"/>
  <c r="N24" i="28" s="1"/>
  <c r="A24" i="28" s="1"/>
  <c r="M81" i="28"/>
  <c r="N81" i="28"/>
  <c r="A81" i="28" s="1"/>
  <c r="M101" i="28"/>
  <c r="N101" i="28"/>
  <c r="A101" i="28" s="1"/>
  <c r="M160" i="28"/>
  <c r="N160" i="28"/>
  <c r="A160" i="28" s="1"/>
  <c r="N222" i="28"/>
  <c r="A222" i="28" s="1"/>
  <c r="M222" i="28"/>
  <c r="N292" i="28"/>
  <c r="A292" i="28" s="1"/>
  <c r="M292" i="28"/>
  <c r="M22" i="28"/>
  <c r="N22" i="28" s="1"/>
  <c r="A22" i="28" s="1"/>
  <c r="N93" i="28"/>
  <c r="A93" i="28" s="1"/>
  <c r="M93" i="28"/>
  <c r="N118" i="28"/>
  <c r="A118" i="28" s="1"/>
  <c r="M118" i="28"/>
  <c r="M133" i="28"/>
  <c r="N133" i="28"/>
  <c r="A133" i="28" s="1"/>
  <c r="N249" i="28"/>
  <c r="A249" i="28" s="1"/>
  <c r="M249" i="28"/>
  <c r="M10" i="28"/>
  <c r="N10" i="28" s="1"/>
  <c r="A10" i="28" s="1"/>
  <c r="M16" i="28"/>
  <c r="N16" i="28" s="1"/>
  <c r="A16" i="28" s="1"/>
  <c r="M31" i="28"/>
  <c r="N31" i="28" s="1"/>
  <c r="A31" i="28" s="1"/>
  <c r="M33" i="28"/>
  <c r="N33" i="28" s="1"/>
  <c r="A33" i="28" s="1"/>
  <c r="M40" i="28"/>
  <c r="N40" i="28" s="1"/>
  <c r="A40" i="28" s="1"/>
  <c r="N110" i="28"/>
  <c r="A110" i="28" s="1"/>
  <c r="M110" i="28"/>
  <c r="N115" i="28"/>
  <c r="A115" i="28" s="1"/>
  <c r="M115" i="28"/>
  <c r="N195" i="28"/>
  <c r="A195" i="28" s="1"/>
  <c r="M195" i="28"/>
  <c r="N208" i="28"/>
  <c r="A208" i="28" s="1"/>
  <c r="M208" i="28"/>
  <c r="M82" i="28"/>
  <c r="N82" i="28"/>
  <c r="A82" i="28" s="1"/>
  <c r="N102" i="28"/>
  <c r="A102" i="28" s="1"/>
  <c r="M102" i="28"/>
  <c r="N107" i="28"/>
  <c r="A107" i="28" s="1"/>
  <c r="M107" i="28"/>
  <c r="N145" i="28"/>
  <c r="A145" i="28" s="1"/>
  <c r="M145" i="28"/>
  <c r="N242" i="28"/>
  <c r="A242" i="28" s="1"/>
  <c r="M242" i="28"/>
  <c r="M247" i="28"/>
  <c r="N247" i="28"/>
  <c r="A247" i="28" s="1"/>
  <c r="N264" i="28"/>
  <c r="A264" i="28" s="1"/>
  <c r="M264" i="28"/>
  <c r="N280" i="28"/>
  <c r="A280" i="28" s="1"/>
  <c r="M280" i="28"/>
  <c r="N301" i="28"/>
  <c r="A301" i="28" s="1"/>
  <c r="M301" i="28"/>
  <c r="M73" i="28"/>
  <c r="N73" i="28" s="1"/>
  <c r="A73" i="28" s="1"/>
  <c r="N138" i="28"/>
  <c r="A138" i="28" s="1"/>
  <c r="M138" i="28"/>
  <c r="M140" i="28"/>
  <c r="N140" i="28"/>
  <c r="A140" i="28" s="1"/>
  <c r="N177" i="28"/>
  <c r="A177" i="28" s="1"/>
  <c r="M177" i="28"/>
  <c r="N182" i="28"/>
  <c r="A182" i="28" s="1"/>
  <c r="M182" i="28"/>
  <c r="M215" i="28"/>
  <c r="N215" i="28"/>
  <c r="A215" i="28" s="1"/>
  <c r="N260" i="28"/>
  <c r="A260" i="28" s="1"/>
  <c r="M260" i="28"/>
  <c r="N276" i="28"/>
  <c r="A276" i="28" s="1"/>
  <c r="M276" i="28"/>
  <c r="M12" i="28"/>
  <c r="N12" i="28" s="1"/>
  <c r="A12" i="28" s="1"/>
  <c r="M37" i="28"/>
  <c r="N37" i="28"/>
  <c r="A37" i="28" s="1"/>
  <c r="M77" i="28"/>
  <c r="N77" i="28" s="1"/>
  <c r="A77" i="28" s="1"/>
  <c r="M91" i="28"/>
  <c r="N91" i="28" s="1"/>
  <c r="A91" i="28" s="1"/>
  <c r="N99" i="28"/>
  <c r="A99" i="28" s="1"/>
  <c r="M99" i="28"/>
  <c r="N154" i="28"/>
  <c r="A154" i="28" s="1"/>
  <c r="M154" i="28"/>
  <c r="N234" i="28"/>
  <c r="A234" i="28" s="1"/>
  <c r="M234" i="28"/>
  <c r="N269" i="28"/>
  <c r="A269" i="28" s="1"/>
  <c r="M269" i="28"/>
  <c r="N285" i="28"/>
  <c r="A285" i="28" s="1"/>
  <c r="M285" i="28"/>
  <c r="M30" i="28"/>
  <c r="N30" i="28" s="1"/>
  <c r="A30" i="28" s="1"/>
  <c r="M65" i="28"/>
  <c r="N65" i="28" s="1"/>
  <c r="A65" i="28" s="1"/>
  <c r="N83" i="28"/>
  <c r="A83" i="28" s="1"/>
  <c r="M83" i="28"/>
  <c r="M90" i="28"/>
  <c r="N90" i="28"/>
  <c r="A90" i="28" s="1"/>
  <c r="N123" i="28"/>
  <c r="A123" i="28" s="1"/>
  <c r="M123" i="28"/>
  <c r="N134" i="28"/>
  <c r="A134" i="28" s="1"/>
  <c r="M134" i="28"/>
  <c r="N209" i="28"/>
  <c r="A209" i="28" s="1"/>
  <c r="M209" i="28"/>
  <c r="M39" i="28"/>
  <c r="N39" i="28" s="1"/>
  <c r="A39" i="28" s="1"/>
  <c r="M76" i="28"/>
  <c r="N76" i="28" s="1"/>
  <c r="A76" i="28" s="1"/>
  <c r="M85" i="28"/>
  <c r="N85" i="28" s="1"/>
  <c r="A85" i="28" s="1"/>
  <c r="N131" i="28"/>
  <c r="A131" i="28" s="1"/>
  <c r="M131" i="28"/>
  <c r="N150" i="28"/>
  <c r="A150" i="28" s="1"/>
  <c r="M150" i="28"/>
  <c r="N166" i="28"/>
  <c r="A166" i="28" s="1"/>
  <c r="M166" i="28"/>
  <c r="N201" i="28"/>
  <c r="A201" i="28" s="1"/>
  <c r="M201" i="28"/>
  <c r="N241" i="28"/>
  <c r="A241" i="28" s="1"/>
  <c r="M241" i="28"/>
  <c r="M11" i="28"/>
  <c r="N11" i="28" s="1"/>
  <c r="A11" i="28" s="1"/>
  <c r="N14" i="28"/>
  <c r="A14" i="28" s="1"/>
  <c r="M46" i="28"/>
  <c r="N46" i="28" s="1"/>
  <c r="A46" i="28" s="1"/>
  <c r="M60" i="28"/>
  <c r="N60" i="28" s="1"/>
  <c r="A60" i="28" s="1"/>
  <c r="M176" i="28"/>
  <c r="N176" i="28"/>
  <c r="A176" i="28" s="1"/>
  <c r="N183" i="28"/>
  <c r="A183" i="28" s="1"/>
  <c r="M183" i="28"/>
  <c r="N223" i="28"/>
  <c r="A223" i="28" s="1"/>
  <c r="N225" i="28"/>
  <c r="A225" i="28" s="1"/>
  <c r="M225" i="28"/>
  <c r="M59" i="28"/>
  <c r="N59" i="28" s="1"/>
  <c r="A59" i="28" s="1"/>
  <c r="M144" i="28"/>
  <c r="N144" i="28"/>
  <c r="A144" i="28" s="1"/>
  <c r="N186" i="28"/>
  <c r="A186" i="28" s="1"/>
  <c r="M186" i="28"/>
  <c r="N192" i="28"/>
  <c r="A192" i="28" s="1"/>
  <c r="M192" i="28"/>
  <c r="N203" i="28"/>
  <c r="A203" i="28" s="1"/>
  <c r="M203" i="28"/>
  <c r="N246" i="28"/>
  <c r="A246" i="28" s="1"/>
  <c r="M246" i="28"/>
  <c r="M67" i="28"/>
  <c r="N67" i="28" s="1"/>
  <c r="A67" i="28" s="1"/>
  <c r="N217" i="28"/>
  <c r="A217" i="28" s="1"/>
  <c r="M217" i="28"/>
  <c r="N233" i="28"/>
  <c r="A233" i="28" s="1"/>
  <c r="M233" i="28"/>
  <c r="N261" i="28"/>
  <c r="A261" i="28" s="1"/>
  <c r="M261" i="28"/>
  <c r="N277" i="28"/>
  <c r="A277" i="28" s="1"/>
  <c r="M277" i="28"/>
  <c r="N293" i="28"/>
  <c r="A293" i="28" s="1"/>
  <c r="M293" i="28"/>
  <c r="M75" i="28"/>
  <c r="N75" i="28" s="1"/>
  <c r="A75" i="28" s="1"/>
  <c r="N98" i="28"/>
  <c r="A98" i="28" s="1"/>
  <c r="N106" i="28"/>
  <c r="A106" i="28" s="1"/>
  <c r="N114" i="28"/>
  <c r="A114" i="28" s="1"/>
  <c r="N122" i="28"/>
  <c r="A122" i="28" s="1"/>
  <c r="N130" i="28"/>
  <c r="A130" i="28" s="1"/>
  <c r="N170" i="28"/>
  <c r="A170" i="28" s="1"/>
  <c r="M170" i="28"/>
  <c r="N180" i="28"/>
  <c r="A180" i="28" s="1"/>
  <c r="N200" i="28"/>
  <c r="A200" i="28" s="1"/>
  <c r="M200" i="28"/>
  <c r="N231" i="28"/>
  <c r="A231" i="28" s="1"/>
  <c r="N252" i="28"/>
  <c r="A252" i="28" s="1"/>
  <c r="M252" i="28"/>
  <c r="N268" i="28"/>
  <c r="A268" i="28" s="1"/>
  <c r="M268" i="28"/>
  <c r="N284" i="28"/>
  <c r="A284" i="28" s="1"/>
  <c r="M284" i="28"/>
  <c r="N300" i="28"/>
  <c r="A300" i="28" s="1"/>
  <c r="M300" i="28"/>
  <c r="N216" i="28"/>
  <c r="A216" i="28" s="1"/>
  <c r="M216" i="28"/>
  <c r="N257" i="28"/>
  <c r="A257" i="28" s="1"/>
  <c r="M257" i="28"/>
  <c r="N265" i="28"/>
  <c r="A265" i="28" s="1"/>
  <c r="M265" i="28"/>
  <c r="N273" i="28"/>
  <c r="A273" i="28" s="1"/>
  <c r="M273" i="28"/>
  <c r="N281" i="28"/>
  <c r="A281" i="28" s="1"/>
  <c r="M281" i="28"/>
  <c r="N289" i="28"/>
  <c r="A289" i="28" s="1"/>
  <c r="M289" i="28"/>
  <c r="N297" i="28"/>
  <c r="A297" i="28" s="1"/>
  <c r="M297" i="28"/>
  <c r="N305" i="28"/>
  <c r="A305" i="28" s="1"/>
  <c r="M305" i="28"/>
  <c r="N224" i="28"/>
  <c r="A224" i="28" s="1"/>
  <c r="M224" i="28"/>
  <c r="N191" i="28"/>
  <c r="A191" i="28" s="1"/>
  <c r="N232" i="28"/>
  <c r="A232" i="28" s="1"/>
  <c r="M232" i="28"/>
  <c r="N240" i="28"/>
  <c r="A240" i="28" s="1"/>
  <c r="M240" i="28"/>
  <c r="N248" i="28"/>
  <c r="A248" i="28" s="1"/>
  <c r="M248" i="28"/>
  <c r="O15" i="13"/>
  <c r="O14" i="13"/>
  <c r="O11" i="13"/>
  <c r="O16" i="13"/>
  <c r="O17" i="13"/>
  <c r="O18" i="13"/>
  <c r="O19" i="13"/>
  <c r="O20" i="13"/>
  <c r="G15" i="13"/>
  <c r="G14" i="13"/>
  <c r="G11" i="13"/>
  <c r="G16" i="13"/>
  <c r="G17" i="13"/>
  <c r="G18" i="13"/>
  <c r="G19" i="13"/>
  <c r="G20" i="13"/>
  <c r="M7" i="18"/>
  <c r="A7" i="18" s="1"/>
  <c r="M9" i="18"/>
  <c r="A9" i="18" s="1"/>
  <c r="M11" i="18"/>
  <c r="A11" i="18" s="1"/>
  <c r="M13" i="18"/>
  <c r="A13" i="18" s="1"/>
  <c r="AI16" i="18"/>
  <c r="M15" i="18"/>
  <c r="A15" i="18" s="1"/>
  <c r="M17" i="18"/>
  <c r="A17" i="18" s="1"/>
  <c r="M19" i="18"/>
  <c r="A19" i="18" s="1"/>
  <c r="M21" i="18"/>
  <c r="A21" i="18" s="1"/>
  <c r="M22" i="18"/>
  <c r="A22" i="18" s="1"/>
  <c r="M25" i="18"/>
  <c r="A25" i="18" s="1"/>
  <c r="M27" i="18"/>
  <c r="A27" i="18" s="1"/>
  <c r="M29" i="18"/>
  <c r="A29" i="18" s="1"/>
  <c r="M30" i="18"/>
  <c r="A30" i="18" s="1"/>
  <c r="M32" i="18"/>
  <c r="A32" i="18" s="1"/>
  <c r="M33" i="18"/>
  <c r="A33" i="18" s="1"/>
  <c r="U46" i="18"/>
  <c r="M6" i="19"/>
  <c r="M9" i="19"/>
  <c r="N9" i="19"/>
  <c r="A9" i="19" s="1"/>
  <c r="P10" i="20" s="1"/>
  <c r="M10" i="19"/>
  <c r="N10" i="19" s="1"/>
  <c r="A10" i="19" s="1"/>
  <c r="P13" i="20" s="1"/>
  <c r="M11" i="19"/>
  <c r="N11" i="19" s="1"/>
  <c r="A11" i="19" s="1"/>
  <c r="P14" i="20" s="1"/>
  <c r="M12" i="19"/>
  <c r="N12" i="19" s="1"/>
  <c r="A12" i="19" s="1"/>
  <c r="M13" i="19"/>
  <c r="N13" i="19"/>
  <c r="A13" i="19" s="1"/>
  <c r="P12" i="20" s="1"/>
  <c r="N14" i="19"/>
  <c r="A14" i="19" s="1"/>
  <c r="M14" i="19"/>
  <c r="N15" i="19"/>
  <c r="A15" i="19" s="1"/>
  <c r="M15" i="19"/>
  <c r="N17" i="19"/>
  <c r="A17" i="19" s="1"/>
  <c r="M17" i="19"/>
  <c r="N18" i="19"/>
  <c r="A18" i="19" s="1"/>
  <c r="M18" i="19"/>
  <c r="M22" i="19"/>
  <c r="N22" i="19"/>
  <c r="A22" i="19" s="1"/>
  <c r="N23" i="19"/>
  <c r="A23" i="19" s="1"/>
  <c r="M23" i="19"/>
  <c r="N24" i="19"/>
  <c r="A24" i="19" s="1"/>
  <c r="M24" i="19"/>
  <c r="N26" i="19"/>
  <c r="A26" i="19" s="1"/>
  <c r="M26" i="19"/>
  <c r="M28" i="19"/>
  <c r="N28" i="19"/>
  <c r="A28" i="19" s="1"/>
  <c r="N30" i="19"/>
  <c r="A30" i="19" s="1"/>
  <c r="M30" i="19"/>
  <c r="N32" i="19"/>
  <c r="A32" i="19" s="1"/>
  <c r="M32" i="19"/>
  <c r="M33" i="19"/>
  <c r="N33" i="19"/>
  <c r="A33" i="19" s="1"/>
  <c r="M34" i="19"/>
  <c r="N34" i="19"/>
  <c r="A34" i="19" s="1"/>
  <c r="N35" i="19"/>
  <c r="A35" i="19" s="1"/>
  <c r="M35" i="19"/>
  <c r="N36" i="19"/>
  <c r="A36" i="19" s="1"/>
  <c r="M36" i="19"/>
  <c r="M37" i="19"/>
  <c r="N37" i="19"/>
  <c r="A37" i="19" s="1"/>
  <c r="N38" i="19"/>
  <c r="A38" i="19" s="1"/>
  <c r="M38" i="19"/>
  <c r="M39" i="19"/>
  <c r="N39" i="19"/>
  <c r="A39" i="19" s="1"/>
  <c r="M40" i="19"/>
  <c r="N40" i="19"/>
  <c r="A40" i="19" s="1"/>
  <c r="M41" i="19"/>
  <c r="N41" i="19"/>
  <c r="A41" i="19" s="1"/>
  <c r="N42" i="19"/>
  <c r="A42" i="19" s="1"/>
  <c r="M42" i="19"/>
  <c r="M43" i="19"/>
  <c r="N43" i="19"/>
  <c r="A43" i="19" s="1"/>
  <c r="N44" i="19"/>
  <c r="A44" i="19" s="1"/>
  <c r="M44" i="19"/>
  <c r="M45" i="19"/>
  <c r="N45" i="19"/>
  <c r="A45" i="19" s="1"/>
  <c r="M46" i="19"/>
  <c r="N46" i="19"/>
  <c r="A46" i="19" s="1"/>
  <c r="N47" i="19"/>
  <c r="A47" i="19" s="1"/>
  <c r="M47" i="19"/>
  <c r="M49" i="19"/>
  <c r="N49" i="19"/>
  <c r="A49" i="19" s="1"/>
  <c r="N50" i="19"/>
  <c r="A50" i="19" s="1"/>
  <c r="M50" i="19"/>
  <c r="N51" i="19"/>
  <c r="A51" i="19" s="1"/>
  <c r="M51" i="19"/>
  <c r="N53" i="19"/>
  <c r="A53" i="19" s="1"/>
  <c r="M53" i="19"/>
  <c r="M55" i="19"/>
  <c r="N55" i="19"/>
  <c r="A55" i="19" s="1"/>
  <c r="N56" i="19"/>
  <c r="A56" i="19" s="1"/>
  <c r="M56" i="19"/>
  <c r="N57" i="19"/>
  <c r="A57" i="19" s="1"/>
  <c r="M57" i="19"/>
  <c r="M58" i="19"/>
  <c r="N58" i="19"/>
  <c r="A58" i="19" s="1"/>
  <c r="N59" i="19"/>
  <c r="A59" i="19" s="1"/>
  <c r="M59" i="19"/>
  <c r="M60" i="19"/>
  <c r="N60" i="19"/>
  <c r="A60" i="19" s="1"/>
  <c r="M61" i="19"/>
  <c r="N61" i="19"/>
  <c r="A61" i="19" s="1"/>
  <c r="M62" i="19"/>
  <c r="N62" i="19"/>
  <c r="A62" i="19" s="1"/>
  <c r="N63" i="19"/>
  <c r="A63" i="19" s="1"/>
  <c r="M63" i="19"/>
  <c r="M64" i="19"/>
  <c r="N64" i="19"/>
  <c r="A64" i="19" s="1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M137" i="19"/>
  <c r="N137" i="19"/>
  <c r="A137" i="19" s="1"/>
  <c r="N139" i="19"/>
  <c r="A139" i="19" s="1"/>
  <c r="M139" i="19"/>
  <c r="M141" i="19"/>
  <c r="N141" i="19"/>
  <c r="A141" i="19" s="1"/>
  <c r="N143" i="19"/>
  <c r="A143" i="19" s="1"/>
  <c r="M143" i="19"/>
  <c r="M145" i="19"/>
  <c r="N145" i="19"/>
  <c r="A145" i="19" s="1"/>
  <c r="M147" i="19"/>
  <c r="N147" i="19"/>
  <c r="A147" i="19" s="1"/>
  <c r="M149" i="19"/>
  <c r="N149" i="19"/>
  <c r="A149" i="19" s="1"/>
  <c r="M151" i="19"/>
  <c r="N151" i="19"/>
  <c r="A151" i="19" s="1"/>
  <c r="M153" i="19"/>
  <c r="N153" i="19"/>
  <c r="A153" i="19" s="1"/>
  <c r="M155" i="19"/>
  <c r="N155" i="19"/>
  <c r="A155" i="19" s="1"/>
  <c r="M157" i="19"/>
  <c r="N157" i="19"/>
  <c r="A157" i="19" s="1"/>
  <c r="M159" i="19"/>
  <c r="N159" i="19"/>
  <c r="A159" i="19" s="1"/>
  <c r="M161" i="19"/>
  <c r="N161" i="19"/>
  <c r="A161" i="19" s="1"/>
  <c r="M163" i="19"/>
  <c r="N163" i="19"/>
  <c r="A163" i="19" s="1"/>
  <c r="M165" i="19"/>
  <c r="N165" i="19"/>
  <c r="A165" i="19" s="1"/>
  <c r="M167" i="19"/>
  <c r="N167" i="19"/>
  <c r="A167" i="19" s="1"/>
  <c r="M169" i="19"/>
  <c r="N169" i="19"/>
  <c r="A169" i="19" s="1"/>
  <c r="M171" i="19"/>
  <c r="N171" i="19"/>
  <c r="A171" i="19" s="1"/>
  <c r="M173" i="19"/>
  <c r="N173" i="19"/>
  <c r="A173" i="19" s="1"/>
  <c r="M175" i="19"/>
  <c r="N175" i="19"/>
  <c r="A175" i="19" s="1"/>
  <c r="M177" i="19"/>
  <c r="N177" i="19"/>
  <c r="A177" i="19" s="1"/>
  <c r="M179" i="19"/>
  <c r="N179" i="19"/>
  <c r="A179" i="19" s="1"/>
  <c r="M181" i="19"/>
  <c r="N181" i="19"/>
  <c r="A181" i="19" s="1"/>
  <c r="M183" i="19"/>
  <c r="N183" i="19"/>
  <c r="A183" i="19" s="1"/>
  <c r="M185" i="19"/>
  <c r="N185" i="19"/>
  <c r="A185" i="19" s="1"/>
  <c r="M187" i="19"/>
  <c r="N187" i="19"/>
  <c r="A187" i="19" s="1"/>
  <c r="M189" i="19"/>
  <c r="N189" i="19"/>
  <c r="A189" i="19" s="1"/>
  <c r="M191" i="19"/>
  <c r="N191" i="19"/>
  <c r="A191" i="19" s="1"/>
  <c r="M193" i="19"/>
  <c r="N193" i="19"/>
  <c r="A193" i="19" s="1"/>
  <c r="M195" i="19"/>
  <c r="N195" i="19"/>
  <c r="A195" i="19" s="1"/>
  <c r="M197" i="19"/>
  <c r="N197" i="19"/>
  <c r="A197" i="19" s="1"/>
  <c r="M199" i="19"/>
  <c r="N199" i="19"/>
  <c r="A199" i="19" s="1"/>
  <c r="M201" i="19"/>
  <c r="N201" i="19"/>
  <c r="A201" i="19" s="1"/>
  <c r="M203" i="19"/>
  <c r="N203" i="19"/>
  <c r="A203" i="19" s="1"/>
  <c r="M205" i="19"/>
  <c r="N205" i="19"/>
  <c r="A205" i="19" s="1"/>
  <c r="M207" i="19"/>
  <c r="N207" i="19"/>
  <c r="A207" i="19" s="1"/>
  <c r="M209" i="19"/>
  <c r="N209" i="19"/>
  <c r="A209" i="19" s="1"/>
  <c r="M211" i="19"/>
  <c r="N211" i="19"/>
  <c r="A211" i="19" s="1"/>
  <c r="M213" i="19"/>
  <c r="N213" i="19"/>
  <c r="A213" i="19" s="1"/>
  <c r="M215" i="19"/>
  <c r="N215" i="19"/>
  <c r="A215" i="19" s="1"/>
  <c r="M217" i="19"/>
  <c r="N217" i="19"/>
  <c r="A217" i="19" s="1"/>
  <c r="M219" i="19"/>
  <c r="N219" i="19"/>
  <c r="A219" i="19" s="1"/>
  <c r="M221" i="19"/>
  <c r="N221" i="19"/>
  <c r="A221" i="19" s="1"/>
  <c r="M223" i="19"/>
  <c r="N223" i="19"/>
  <c r="A223" i="19" s="1"/>
  <c r="M225" i="19"/>
  <c r="N225" i="19"/>
  <c r="A225" i="19" s="1"/>
  <c r="M227" i="19"/>
  <c r="N227" i="19"/>
  <c r="A227" i="19" s="1"/>
  <c r="M229" i="19"/>
  <c r="N229" i="19"/>
  <c r="A229" i="19" s="1"/>
  <c r="M231" i="19"/>
  <c r="N231" i="19"/>
  <c r="A231" i="19" s="1"/>
  <c r="M233" i="19"/>
  <c r="N233" i="19"/>
  <c r="A233" i="19" s="1"/>
  <c r="M235" i="19"/>
  <c r="N235" i="19"/>
  <c r="A235" i="19" s="1"/>
  <c r="M237" i="19"/>
  <c r="N237" i="19"/>
  <c r="A237" i="19" s="1"/>
  <c r="M239" i="19"/>
  <c r="N239" i="19"/>
  <c r="A239" i="19" s="1"/>
  <c r="M241" i="19"/>
  <c r="N241" i="19"/>
  <c r="A241" i="19" s="1"/>
  <c r="M243" i="19"/>
  <c r="N243" i="19"/>
  <c r="A243" i="19" s="1"/>
  <c r="M245" i="19"/>
  <c r="N245" i="19"/>
  <c r="A245" i="19" s="1"/>
  <c r="M247" i="19"/>
  <c r="N247" i="19"/>
  <c r="A247" i="19" s="1"/>
  <c r="M249" i="19"/>
  <c r="N249" i="19"/>
  <c r="A249" i="19" s="1"/>
  <c r="M251" i="19"/>
  <c r="N251" i="19"/>
  <c r="A251" i="19" s="1"/>
  <c r="M253" i="19"/>
  <c r="N253" i="19"/>
  <c r="A253" i="19" s="1"/>
  <c r="M255" i="19"/>
  <c r="N255" i="19"/>
  <c r="A255" i="19" s="1"/>
  <c r="M257" i="19"/>
  <c r="N257" i="19"/>
  <c r="A257" i="19" s="1"/>
  <c r="M259" i="19"/>
  <c r="N259" i="19"/>
  <c r="A259" i="19" s="1"/>
  <c r="M261" i="19"/>
  <c r="N261" i="19"/>
  <c r="A261" i="19" s="1"/>
  <c r="M263" i="19"/>
  <c r="N263" i="19"/>
  <c r="A263" i="19" s="1"/>
  <c r="M265" i="19"/>
  <c r="N265" i="19"/>
  <c r="A265" i="19" s="1"/>
  <c r="M267" i="19"/>
  <c r="N267" i="19"/>
  <c r="A267" i="19" s="1"/>
  <c r="M269" i="19"/>
  <c r="N269" i="19"/>
  <c r="A269" i="19" s="1"/>
  <c r="M271" i="19"/>
  <c r="N271" i="19"/>
  <c r="A271" i="19" s="1"/>
  <c r="M273" i="19"/>
  <c r="N273" i="19"/>
  <c r="A273" i="19" s="1"/>
  <c r="M275" i="19"/>
  <c r="N275" i="19"/>
  <c r="A275" i="19" s="1"/>
  <c r="M277" i="19"/>
  <c r="N277" i="19"/>
  <c r="A277" i="19" s="1"/>
  <c r="M279" i="19"/>
  <c r="N279" i="19"/>
  <c r="A279" i="19" s="1"/>
  <c r="M281" i="19"/>
  <c r="N281" i="19"/>
  <c r="A281" i="19" s="1"/>
  <c r="M283" i="19"/>
  <c r="N283" i="19"/>
  <c r="A283" i="19" s="1"/>
  <c r="M285" i="19"/>
  <c r="N285" i="19"/>
  <c r="A285" i="19" s="1"/>
  <c r="M287" i="19"/>
  <c r="N287" i="19"/>
  <c r="A287" i="19" s="1"/>
  <c r="M289" i="19"/>
  <c r="N289" i="19"/>
  <c r="A289" i="19" s="1"/>
  <c r="M291" i="19"/>
  <c r="N291" i="19"/>
  <c r="A291" i="19" s="1"/>
  <c r="M293" i="19"/>
  <c r="N293" i="19"/>
  <c r="A293" i="19" s="1"/>
  <c r="M295" i="19"/>
  <c r="N295" i="19"/>
  <c r="A295" i="19" s="1"/>
  <c r="M297" i="19"/>
  <c r="N297" i="19"/>
  <c r="A297" i="19" s="1"/>
  <c r="M299" i="19"/>
  <c r="N299" i="19"/>
  <c r="A299" i="19" s="1"/>
  <c r="M301" i="19"/>
  <c r="N301" i="19"/>
  <c r="A301" i="19" s="1"/>
  <c r="M303" i="19"/>
  <c r="N303" i="19"/>
  <c r="A303" i="19" s="1"/>
  <c r="M305" i="19"/>
  <c r="N305" i="19"/>
  <c r="A305" i="19" s="1"/>
  <c r="M9" i="17"/>
  <c r="F12" i="13" s="1"/>
  <c r="E15" i="13"/>
  <c r="E14" i="13"/>
  <c r="E11" i="13"/>
  <c r="E16" i="13"/>
  <c r="E17" i="13"/>
  <c r="E18" i="13"/>
  <c r="E19" i="13"/>
  <c r="E20" i="13"/>
  <c r="M12" i="17"/>
  <c r="A12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A34" i="18"/>
  <c r="A34" i="17"/>
  <c r="A10" i="17"/>
  <c r="A11" i="17"/>
  <c r="A26" i="17"/>
  <c r="A18" i="17"/>
  <c r="A27" i="17"/>
  <c r="L8" i="17"/>
  <c r="L7" i="17"/>
  <c r="M7" i="17" s="1"/>
  <c r="A7" i="17" s="1"/>
  <c r="L6" i="17"/>
  <c r="M6" i="17" s="1"/>
  <c r="A6" i="17" s="1"/>
  <c r="F7" i="13" s="1"/>
  <c r="L8" i="18"/>
  <c r="L6" i="18"/>
  <c r="N71" i="19"/>
  <c r="A71" i="19" s="1"/>
  <c r="N31" i="19"/>
  <c r="A31" i="19" s="1"/>
  <c r="N20" i="19"/>
  <c r="A20" i="19" s="1"/>
  <c r="N6" i="19"/>
  <c r="A6" i="19" s="1"/>
  <c r="N29" i="19"/>
  <c r="A29" i="19" s="1"/>
  <c r="N27" i="19"/>
  <c r="A27" i="19" s="1"/>
  <c r="N16" i="19"/>
  <c r="A16" i="19" s="1"/>
  <c r="N54" i="19"/>
  <c r="A54" i="19" s="1"/>
  <c r="N48" i="19"/>
  <c r="A48" i="19" s="1"/>
  <c r="N52" i="19"/>
  <c r="A52" i="19" s="1"/>
  <c r="N140" i="19"/>
  <c r="A140" i="19" s="1"/>
  <c r="L8" i="19"/>
  <c r="L7" i="19"/>
  <c r="N21" i="19"/>
  <c r="A21" i="19" s="1"/>
  <c r="N25" i="19"/>
  <c r="A25" i="19" s="1"/>
  <c r="N19" i="19"/>
  <c r="A19" i="19" s="1"/>
  <c r="N146" i="19"/>
  <c r="A146" i="19" s="1"/>
  <c r="N150" i="19"/>
  <c r="A150" i="19" s="1"/>
  <c r="N154" i="19"/>
  <c r="A154" i="19" s="1"/>
  <c r="N158" i="19"/>
  <c r="A158" i="19" s="1"/>
  <c r="N162" i="19"/>
  <c r="A162" i="19" s="1"/>
  <c r="N166" i="19"/>
  <c r="A166" i="19" s="1"/>
  <c r="N170" i="19"/>
  <c r="A170" i="19" s="1"/>
  <c r="N174" i="19"/>
  <c r="A174" i="19" s="1"/>
  <c r="N178" i="19"/>
  <c r="A178" i="19" s="1"/>
  <c r="N182" i="19"/>
  <c r="A182" i="19" s="1"/>
  <c r="N186" i="19"/>
  <c r="A186" i="19" s="1"/>
  <c r="N190" i="19"/>
  <c r="A190" i="19" s="1"/>
  <c r="N194" i="19"/>
  <c r="A194" i="19" s="1"/>
  <c r="N198" i="19"/>
  <c r="A198" i="19" s="1"/>
  <c r="N202" i="19"/>
  <c r="A202" i="19" s="1"/>
  <c r="N206" i="19"/>
  <c r="A206" i="19" s="1"/>
  <c r="N210" i="19"/>
  <c r="A210" i="19" s="1"/>
  <c r="N214" i="19"/>
  <c r="A214" i="19" s="1"/>
  <c r="N218" i="19"/>
  <c r="A218" i="19" s="1"/>
  <c r="N222" i="19"/>
  <c r="A222" i="19" s="1"/>
  <c r="N226" i="19"/>
  <c r="A226" i="19" s="1"/>
  <c r="N230" i="19"/>
  <c r="A230" i="19" s="1"/>
  <c r="N234" i="19"/>
  <c r="A234" i="19" s="1"/>
  <c r="N238" i="19"/>
  <c r="A238" i="19" s="1"/>
  <c r="N242" i="19"/>
  <c r="A242" i="19" s="1"/>
  <c r="N246" i="19"/>
  <c r="A246" i="19" s="1"/>
  <c r="N250" i="19"/>
  <c r="A250" i="19" s="1"/>
  <c r="N254" i="19"/>
  <c r="A254" i="19" s="1"/>
  <c r="N258" i="19"/>
  <c r="A258" i="19" s="1"/>
  <c r="N262" i="19"/>
  <c r="A262" i="19" s="1"/>
  <c r="N266" i="19"/>
  <c r="A266" i="19" s="1"/>
  <c r="N270" i="19"/>
  <c r="A270" i="19" s="1"/>
  <c r="N274" i="19"/>
  <c r="A274" i="19" s="1"/>
  <c r="N278" i="19"/>
  <c r="A278" i="19" s="1"/>
  <c r="N282" i="19"/>
  <c r="A282" i="19" s="1"/>
  <c r="N286" i="19"/>
  <c r="A286" i="19" s="1"/>
  <c r="N290" i="19"/>
  <c r="A290" i="19" s="1"/>
  <c r="N294" i="19"/>
  <c r="A294" i="19" s="1"/>
  <c r="N298" i="19"/>
  <c r="A298" i="19" s="1"/>
  <c r="N302" i="19"/>
  <c r="A302" i="19" s="1"/>
  <c r="N144" i="19"/>
  <c r="A144" i="19" s="1"/>
  <c r="N148" i="19"/>
  <c r="A148" i="19" s="1"/>
  <c r="N152" i="19"/>
  <c r="A152" i="19" s="1"/>
  <c r="N156" i="19"/>
  <c r="A156" i="19" s="1"/>
  <c r="N160" i="19"/>
  <c r="A160" i="19" s="1"/>
  <c r="N164" i="19"/>
  <c r="A164" i="19" s="1"/>
  <c r="N168" i="19"/>
  <c r="A168" i="19" s="1"/>
  <c r="N172" i="19"/>
  <c r="A172" i="19" s="1"/>
  <c r="N176" i="19"/>
  <c r="A176" i="19" s="1"/>
  <c r="N180" i="19"/>
  <c r="A180" i="19" s="1"/>
  <c r="N184" i="19"/>
  <c r="A184" i="19" s="1"/>
  <c r="N188" i="19"/>
  <c r="A188" i="19" s="1"/>
  <c r="N192" i="19"/>
  <c r="A192" i="19" s="1"/>
  <c r="N196" i="19"/>
  <c r="A196" i="19" s="1"/>
  <c r="N200" i="19"/>
  <c r="A200" i="19" s="1"/>
  <c r="N204" i="19"/>
  <c r="A204" i="19" s="1"/>
  <c r="N208" i="19"/>
  <c r="A208" i="19" s="1"/>
  <c r="N212" i="19"/>
  <c r="A212" i="19" s="1"/>
  <c r="N216" i="19"/>
  <c r="A216" i="19" s="1"/>
  <c r="N220" i="19"/>
  <c r="A220" i="19" s="1"/>
  <c r="N224" i="19"/>
  <c r="A224" i="19" s="1"/>
  <c r="N228" i="19"/>
  <c r="A228" i="19" s="1"/>
  <c r="N232" i="19"/>
  <c r="A232" i="19" s="1"/>
  <c r="N236" i="19"/>
  <c r="A236" i="19" s="1"/>
  <c r="N240" i="19"/>
  <c r="A240" i="19" s="1"/>
  <c r="N244" i="19"/>
  <c r="A244" i="19" s="1"/>
  <c r="N248" i="19"/>
  <c r="A248" i="19" s="1"/>
  <c r="N252" i="19"/>
  <c r="A252" i="19" s="1"/>
  <c r="N256" i="19"/>
  <c r="A256" i="19" s="1"/>
  <c r="N260" i="19"/>
  <c r="A260" i="19" s="1"/>
  <c r="N264" i="19"/>
  <c r="A264" i="19" s="1"/>
  <c r="N268" i="19"/>
  <c r="A268" i="19" s="1"/>
  <c r="N272" i="19"/>
  <c r="A272" i="19" s="1"/>
  <c r="N276" i="19"/>
  <c r="A276" i="19" s="1"/>
  <c r="N280" i="19"/>
  <c r="A280" i="19" s="1"/>
  <c r="N284" i="19"/>
  <c r="A284" i="19" s="1"/>
  <c r="N288" i="19"/>
  <c r="A288" i="19" s="1"/>
  <c r="N292" i="19"/>
  <c r="A292" i="19" s="1"/>
  <c r="N296" i="19"/>
  <c r="A296" i="19" s="1"/>
  <c r="N300" i="19"/>
  <c r="A300" i="19" s="1"/>
  <c r="N304" i="19"/>
  <c r="A304" i="19" s="1"/>
  <c r="N138" i="19"/>
  <c r="A138" i="19" s="1"/>
  <c r="N142" i="19"/>
  <c r="A142" i="19" s="1"/>
  <c r="N136" i="19"/>
  <c r="A136" i="19" s="1"/>
  <c r="P8" i="20" l="1"/>
  <c r="P19" i="20"/>
  <c r="P15" i="20"/>
  <c r="P17" i="20"/>
  <c r="P21" i="20"/>
  <c r="P18" i="20"/>
  <c r="P24" i="20"/>
  <c r="P20" i="20"/>
  <c r="P27" i="20"/>
  <c r="P26" i="20"/>
  <c r="P16" i="20"/>
  <c r="P22" i="20"/>
  <c r="P23" i="20"/>
  <c r="P25" i="20"/>
  <c r="P6" i="20"/>
  <c r="P11" i="20"/>
  <c r="AE22" i="20"/>
  <c r="AE17" i="20"/>
  <c r="AE18" i="20"/>
  <c r="AE16" i="20"/>
  <c r="AE23" i="20"/>
  <c r="N7" i="20"/>
  <c r="L7" i="20"/>
  <c r="A6" i="30"/>
  <c r="W25" i="20"/>
  <c r="W21" i="20"/>
  <c r="W20" i="20"/>
  <c r="W23" i="20"/>
  <c r="W27" i="20"/>
  <c r="W19" i="20"/>
  <c r="W16" i="20"/>
  <c r="W17" i="20"/>
  <c r="W15" i="20"/>
  <c r="W18" i="20"/>
  <c r="U8" i="20"/>
  <c r="U21" i="20"/>
  <c r="U23" i="20"/>
  <c r="U24" i="20"/>
  <c r="U17" i="20"/>
  <c r="U26" i="20"/>
  <c r="F6" i="13"/>
  <c r="S18" i="20"/>
  <c r="S27" i="20"/>
  <c r="S8" i="20"/>
  <c r="S9" i="20"/>
  <c r="S15" i="20"/>
  <c r="S25" i="20"/>
  <c r="S10" i="20"/>
  <c r="S12" i="20"/>
  <c r="S21" i="20"/>
  <c r="S26" i="20"/>
  <c r="S20" i="20"/>
  <c r="S23" i="20"/>
  <c r="S11" i="20"/>
  <c r="AG22" i="20"/>
  <c r="AG23" i="20"/>
  <c r="AG11" i="20"/>
  <c r="AG24" i="20"/>
  <c r="AG20" i="20"/>
  <c r="AG26" i="20"/>
  <c r="AG16" i="20"/>
  <c r="AG18" i="20"/>
  <c r="AG25" i="20"/>
  <c r="AG27" i="20"/>
  <c r="AG17" i="20"/>
  <c r="AG21" i="20"/>
  <c r="AG19" i="20"/>
  <c r="L8" i="13"/>
  <c r="U14" i="20"/>
  <c r="U20" i="20"/>
  <c r="U27" i="20"/>
  <c r="U25" i="20"/>
  <c r="U22" i="20"/>
  <c r="U16" i="20"/>
  <c r="U10" i="20"/>
  <c r="U19" i="20"/>
  <c r="U18" i="20"/>
  <c r="U11" i="20"/>
  <c r="AK10" i="20"/>
  <c r="AK22" i="20"/>
  <c r="AK26" i="20"/>
  <c r="AK17" i="20"/>
  <c r="AK20" i="20"/>
  <c r="AK23" i="20"/>
  <c r="AK6" i="20"/>
  <c r="AK14" i="20"/>
  <c r="AK7" i="20"/>
  <c r="AK9" i="20"/>
  <c r="AK16" i="20"/>
  <c r="AK8" i="20"/>
  <c r="AK15" i="20"/>
  <c r="AK18" i="20"/>
  <c r="AK24" i="20"/>
  <c r="AK27" i="20"/>
  <c r="AK13" i="20"/>
  <c r="AK11" i="20"/>
  <c r="AK12" i="20"/>
  <c r="AK19" i="20"/>
  <c r="AK21" i="20"/>
  <c r="AK25" i="20"/>
  <c r="F8" i="20"/>
  <c r="P7" i="13"/>
  <c r="P6" i="13"/>
  <c r="P10" i="13"/>
  <c r="P13" i="13"/>
  <c r="P20" i="13"/>
  <c r="P19" i="13"/>
  <c r="P18" i="13"/>
  <c r="P17" i="13"/>
  <c r="P16" i="13"/>
  <c r="P11" i="13"/>
  <c r="P14" i="13"/>
  <c r="P15" i="13"/>
  <c r="M7" i="19"/>
  <c r="N7" i="19" s="1"/>
  <c r="A7" i="19" s="1"/>
  <c r="P9" i="20" s="1"/>
  <c r="M8" i="19"/>
  <c r="N8" i="19" s="1"/>
  <c r="M6" i="18"/>
  <c r="A6" i="18" s="1"/>
  <c r="M8" i="18"/>
  <c r="A8" i="18" s="1"/>
  <c r="M8" i="17"/>
  <c r="A8" i="17" s="1"/>
  <c r="F10" i="13" s="1"/>
  <c r="F8" i="13"/>
  <c r="F13" i="13"/>
  <c r="F9" i="13"/>
  <c r="F20" i="13"/>
  <c r="F19" i="13"/>
  <c r="F18" i="13"/>
  <c r="F17" i="13"/>
  <c r="F16" i="13"/>
  <c r="F11" i="13"/>
  <c r="F14" i="13"/>
  <c r="F15" i="13"/>
  <c r="P12" i="13" l="1"/>
  <c r="A8" i="19"/>
  <c r="P9" i="13"/>
  <c r="H10" i="20"/>
  <c r="D10" i="20" s="1"/>
  <c r="H16" i="20"/>
  <c r="D16" i="20" s="1"/>
  <c r="H6" i="20"/>
  <c r="D6" i="20" s="1"/>
  <c r="H19" i="20"/>
  <c r="D19" i="20" s="1"/>
  <c r="H15" i="20"/>
  <c r="D15" i="20" s="1"/>
  <c r="H26" i="20"/>
  <c r="D26" i="20" s="1"/>
  <c r="H9" i="20"/>
  <c r="D9" i="20" s="1"/>
  <c r="H17" i="20"/>
  <c r="D17" i="20" s="1"/>
  <c r="H12" i="20"/>
  <c r="D12" i="20" s="1"/>
  <c r="H25" i="20"/>
  <c r="D25" i="20" s="1"/>
  <c r="H8" i="20"/>
  <c r="D8" i="20" s="1"/>
  <c r="H14" i="20"/>
  <c r="D14" i="20" s="1"/>
  <c r="H20" i="20"/>
  <c r="D20" i="20" s="1"/>
  <c r="H23" i="20"/>
  <c r="D23" i="20" s="1"/>
  <c r="H11" i="20"/>
  <c r="D11" i="20" s="1"/>
  <c r="H27" i="20"/>
  <c r="D27" i="20" s="1"/>
  <c r="H7" i="20"/>
  <c r="H21" i="20"/>
  <c r="D21" i="20" s="1"/>
  <c r="H24" i="20"/>
  <c r="D24" i="20" s="1"/>
  <c r="H13" i="20"/>
  <c r="D13" i="20" s="1"/>
  <c r="H22" i="20"/>
  <c r="D22" i="20" s="1"/>
  <c r="H18" i="20"/>
  <c r="D18" i="20" s="1"/>
  <c r="H7" i="13"/>
  <c r="D7" i="13" s="1"/>
  <c r="H6" i="13"/>
  <c r="D6" i="13" s="1"/>
  <c r="H10" i="13"/>
  <c r="D10" i="13" s="1"/>
  <c r="H12" i="13"/>
  <c r="H8" i="13"/>
  <c r="H13" i="13"/>
  <c r="D13" i="13" s="1"/>
  <c r="H9" i="13"/>
  <c r="H20" i="13"/>
  <c r="D20" i="13" s="1"/>
  <c r="H19" i="13"/>
  <c r="D19" i="13" s="1"/>
  <c r="H18" i="13"/>
  <c r="D18" i="13" s="1"/>
  <c r="H17" i="13"/>
  <c r="D17" i="13" s="1"/>
  <c r="H16" i="13"/>
  <c r="D16" i="13" s="1"/>
  <c r="H11" i="13"/>
  <c r="D11" i="13" s="1"/>
  <c r="H14" i="13"/>
  <c r="D14" i="13" s="1"/>
  <c r="H15" i="13"/>
  <c r="D15" i="13" s="1"/>
  <c r="D9" i="13" l="1"/>
  <c r="D12" i="13"/>
  <c r="P7" i="20"/>
  <c r="D7" i="20" s="1"/>
  <c r="P8" i="13"/>
  <c r="D8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2C463-A1D1-4533-82AB-053EC368C415}" keepAlive="1" name="Query - eventResults (1)" description="Connection to the 'eventResults (1)' query in the workbook." type="5" refreshedVersion="0" background="1" saveData="1">
    <dbPr connection="Provider=Microsoft.Mashup.OleDb.1;Data Source=$Workbook$;Location=&quot;eventResults (1)&quot;;Extended Properties=&quot;&quot;" command="SELECT * FROM [eventResults (1)]"/>
  </connection>
  <connection id="2" xr16:uid="{197876CA-1BB9-4C85-9A2E-1423143C0F0A}" keepAlive="1" name="Query - eventResults (2)" description="Connection to the 'eventResults (2)' query in the workbook." type="5" refreshedVersion="0" background="1" saveData="1">
    <dbPr connection="Provider=Microsoft.Mashup.OleDb.1;Data Source=$Workbook$;Location=&quot;eventResults (2)&quot;;Extended Properties=&quot;&quot;" command="SELECT * FROM [eventResults (2)]"/>
  </connection>
  <connection id="3" xr16:uid="{ADBD945B-610C-4865-914D-638030A87245}" keepAlive="1" name="Query - eventResults (3)" description="Connection to the 'eventResults (3)' query in the workbook." type="5" refreshedVersion="0" background="1" saveData="1">
    <dbPr connection="Provider=Microsoft.Mashup.OleDb.1;Data Source=$Workbook$;Location=&quot;eventResults (3)&quot;;Extended Properties=&quot;&quot;" command="SELECT * FROM [eventResults (3)]"/>
  </connection>
  <connection id="4" xr16:uid="{76092ECB-DCB3-44D0-BE27-A7A3B087A03C}" keepAlive="1" name="Query - eventResults (4)" description="Connection to the 'eventResults (4)' query in the workbook." type="5" refreshedVersion="0" background="1" saveData="1">
    <dbPr connection="Provider=Microsoft.Mashup.OleDb.1;Data Source=$Workbook$;Location=&quot;eventResults (4)&quot;;Extended Properties=&quot;&quot;" command="SELECT * FROM [eventResults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<sst xmlns="http://schemas.openxmlformats.org/spreadsheetml/2006/main" count="804" uniqueCount="137">
  <si>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</si>
  <si>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</si>
  <si>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</si>
  <si>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2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</si>
  <si>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</si>
  <si>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</si>
  <si>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</si>
  <si>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</si>
  <si>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</si>
  <si>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</si>
  <si>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</si>
  <si>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</si>
  <si>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</si>
  <si>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</si>
  <si>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</si>
  <si>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</si>
  <si>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TK</t>
  </si>
  <si>
    <t>SZMIDT Grzegorz</t>
  </si>
  <si>
    <t>BAZAK Jacek</t>
  </si>
  <si>
    <t>HAŚKO Sergiusz</t>
  </si>
  <si>
    <t>POŚPIESZNY Sławomir</t>
  </si>
  <si>
    <t>ŻUKOWSKI Wojciech</t>
  </si>
  <si>
    <t>GWIAZDA Paweł</t>
  </si>
  <si>
    <t>BOCHEŃSKI JACEK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</si>
  <si>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</si>
  <si>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</si>
  <si>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</si>
  <si>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</si>
  <si>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</si>
  <si>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</si>
  <si>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</si>
  <si>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</si>
  <si>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</si>
  <si>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</si>
  <si>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</si>
  <si>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</si>
  <si>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</si>
  <si>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</si>
  <si>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</si>
  <si>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</si>
  <si>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</si>
  <si>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</si>
  <si>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</si>
  <si>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</si>
  <si>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KU AZS ASzWoj</t>
  </si>
  <si>
    <t> POL</t>
  </si>
  <si>
    <t>UKS Floret Ruda Śląska</t>
  </si>
  <si>
    <t>Kolejarz Wrocław</t>
  </si>
  <si>
    <t>x</t>
  </si>
  <si>
    <t>BTS Bytom</t>
  </si>
  <si>
    <t>N</t>
  </si>
  <si>
    <t>Szczecińska Szkoła Szermiercza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</si>
  <si>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</si>
  <si>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</si>
  <si>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</si>
  <si>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</si>
  <si>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</si>
  <si>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</si>
  <si>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</si>
  <si>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</si>
  <si>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KU AZS ASZWOJ</t>
  </si>
  <si>
    <t>KOŃCZYŁO Tomasz (2)</t>
  </si>
  <si>
    <t>BYTOMSKIE TOWARZYSTWO SZERMIERCZE</t>
  </si>
  <si>
    <t>HAŚKO Sergiusz (2)</t>
  </si>
  <si>
    <t>AKS MIKOŁÓW</t>
  </si>
  <si>
    <t>NIKALAICHUK Aliaksandr (3)</t>
  </si>
  <si>
    <t>WKS KOLEJARZ WROCŁAW</t>
  </si>
  <si>
    <t>POKRZYWA Mariusz (3)</t>
  </si>
  <si>
    <t>BAZAK Jacek (2)</t>
  </si>
  <si>
    <t>PTG SOKÓŁ 1893 MIELEC</t>
  </si>
  <si>
    <t>SZMIDT Grzegorz (2)</t>
  </si>
  <si>
    <t>Szczecińska Szkoła Szermierki</t>
  </si>
  <si>
    <t>POŚPIESZNY Sławomir (2)</t>
  </si>
  <si>
    <t>GWIAZDA Paweł (2)</t>
  </si>
  <si>
    <t>ŻUKOWSKI Wojciech (2)</t>
  </si>
  <si>
    <t>KRAKÓW</t>
  </si>
  <si>
    <t>01.12.2024</t>
  </si>
  <si>
    <t>KU AZS ASZWOJ WARSZAWA</t>
  </si>
  <si>
    <t>BTS BYTOM</t>
  </si>
  <si>
    <t>SZCZECIŃSKA SZKOŁA SZERMIERCZA</t>
  </si>
  <si>
    <t>WARSZAWA</t>
  </si>
  <si>
    <t>23.02.2025</t>
  </si>
  <si>
    <t>SZCZECIN</t>
  </si>
  <si>
    <t>27.04.2025</t>
  </si>
  <si>
    <t>runda</t>
  </si>
  <si>
    <t>bonus</t>
  </si>
  <si>
    <t>KOLEJARZ WROCŁAW</t>
  </si>
  <si>
    <t>Podium</t>
  </si>
  <si>
    <t>Współczynnik MPW</t>
  </si>
  <si>
    <t>PABIANICE</t>
  </si>
  <si>
    <t>8.06.2025</t>
  </si>
  <si>
    <t>Punkty MPW</t>
  </si>
  <si>
    <t>miejsce</t>
  </si>
  <si>
    <t>imię i nazwisko</t>
  </si>
  <si>
    <t>punkty</t>
  </si>
  <si>
    <t>KU AZS ASzwoj Warszawa</t>
  </si>
  <si>
    <t>KORONA Przemysław (1)</t>
  </si>
  <si>
    <t>AKS Mikołów</t>
  </si>
  <si>
    <t>MALINOWSKI Piotr (1)</t>
  </si>
  <si>
    <t>Niezrzeszony</t>
  </si>
  <si>
    <t>BAZAK Jacek (2) I.</t>
  </si>
  <si>
    <t>BOCHEŃSKI JACEK (2)</t>
  </si>
  <si>
    <t>Klasyfikacja będą podstawą do rekomendacji dla PZSZERM powołań do kadry na międzynarodowe zawody rangi mistrzowskiej.</t>
  </si>
  <si>
    <t>MĘŻCZYŹNI Kat.2</t>
  </si>
  <si>
    <t>I PEW</t>
  </si>
  <si>
    <t>II PEW</t>
  </si>
  <si>
    <t>III PEW</t>
  </si>
  <si>
    <t>IV PEW</t>
  </si>
  <si>
    <t>V PEW</t>
  </si>
  <si>
    <t>VI PEW</t>
  </si>
  <si>
    <t>VII PEW</t>
  </si>
  <si>
    <t>VIII PEW</t>
  </si>
  <si>
    <t>IMEW</t>
  </si>
  <si>
    <t>Bonus za podium</t>
  </si>
  <si>
    <t>Budapest</t>
  </si>
  <si>
    <t>22.09.2024</t>
  </si>
  <si>
    <t>X</t>
  </si>
  <si>
    <t>Madrid</t>
  </si>
  <si>
    <t>17.11.2024</t>
  </si>
  <si>
    <t>Munich</t>
  </si>
  <si>
    <t>8.12.2024</t>
  </si>
  <si>
    <t>Guildford</t>
  </si>
  <si>
    <t>05.01.2025</t>
  </si>
  <si>
    <t>Faches-Thumesnil</t>
  </si>
  <si>
    <t>19.01.2025</t>
  </si>
  <si>
    <t>POL</t>
  </si>
  <si>
    <t>Terni</t>
  </si>
  <si>
    <t>02.02.2025</t>
  </si>
  <si>
    <t>Stockholm</t>
  </si>
  <si>
    <t>15.05.2025</t>
  </si>
  <si>
    <t>30.03.2025</t>
  </si>
  <si>
    <t>Płowdiw</t>
  </si>
  <si>
    <t>29.05.2025</t>
  </si>
  <si>
    <t>Paryż</t>
  </si>
  <si>
    <t>05-07.07.2025</t>
  </si>
  <si>
    <t>PS</t>
  </si>
  <si>
    <t>Na sumę punktów w rankingu skłądają się 4 najlepsze wyniki (z 5 możliwych) w turniejach PP Weteranów, wynik z Mistrzostw Polski Weteranów, 3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</si>
</sst>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6">
    <xf numFmtId="0" fontId="0" fillId="0" borderId="0"/>
    <xf numFmtId="0" fontId="10" fillId="3" borderId="0" applyNumberFormat="0" applyBorder="0" applyAlignment="0" applyProtection="0"/>
    <xf numFmtId="0" fontId="6" fillId="0" borderId="0"/>
    <xf numFmtId="0" fontId="5" fillId="1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0" fontId="3" fillId="0" borderId="0"/>
    <xf numFmtId="0" fontId="11" fillId="0" borderId="0" applyNumberFormat="0" applyFill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298">
    <xf numFmtId="0" fontId="0" fillId="0" borderId="0" xfId="0"/>
    <xf numFmtId="0" fontId="10" fillId="3" borderId="0" xfId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5" fillId="4" borderId="0" xfId="0" applyFont="1" applyFill="1"/>
    <xf numFmtId="0" fontId="14" fillId="4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left"/>
    </xf>
    <xf numFmtId="0" fontId="16" fillId="7" borderId="13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 vertical="center"/>
    </xf>
    <xf numFmtId="0" fontId="0" fillId="7" borderId="0" xfId="0" applyFill="1"/>
    <xf numFmtId="0" fontId="6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6" fillId="8" borderId="0" xfId="2" applyFill="1" applyAlignment="1">
      <alignment horizontal="center" vertical="center"/>
    </xf>
    <xf numFmtId="0" fontId="6" fillId="7" borderId="0" xfId="2" applyFill="1"/>
    <xf numFmtId="0" fontId="8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2" fillId="9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1" fontId="6" fillId="7" borderId="0" xfId="2" applyNumberFormat="1" applyFill="1" applyAlignment="1">
      <alignment horizontal="center" vertical="center"/>
    </xf>
    <xf numFmtId="0" fontId="6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6" fillId="8" borderId="0" xfId="2" applyNumberFormat="1" applyFill="1" applyAlignment="1">
      <alignment horizontal="center" vertical="center"/>
    </xf>
    <xf numFmtId="0" fontId="0" fillId="8" borderId="0" xfId="0" applyFill="1"/>
    <xf numFmtId="0" fontId="10" fillId="3" borderId="17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3" fillId="7" borderId="0" xfId="2" applyFont="1" applyFill="1"/>
    <xf numFmtId="1" fontId="6" fillId="7" borderId="0" xfId="2" applyNumberFormat="1" applyFill="1"/>
    <xf numFmtId="0" fontId="6" fillId="7" borderId="0" xfId="2" applyFill="1" applyAlignment="1">
      <alignment horizontal="right"/>
    </xf>
    <xf numFmtId="0" fontId="12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6" fillId="8" borderId="0" xfId="2" applyNumberFormat="1" applyFill="1"/>
    <xf numFmtId="49" fontId="6" fillId="7" borderId="0" xfId="2" applyNumberFormat="1" applyFill="1"/>
    <xf numFmtId="0" fontId="12" fillId="8" borderId="0" xfId="2" applyFont="1" applyFill="1"/>
    <xf numFmtId="164" fontId="12" fillId="7" borderId="0" xfId="2" applyNumberFormat="1" applyFont="1" applyFill="1"/>
    <xf numFmtId="164" fontId="6" fillId="7" borderId="0" xfId="2" applyNumberFormat="1" applyFill="1"/>
    <xf numFmtId="1" fontId="6" fillId="0" borderId="0" xfId="2" applyNumberFormat="1" applyAlignment="1">
      <alignment horizontal="center"/>
    </xf>
    <xf numFmtId="0" fontId="6" fillId="0" borderId="0" xfId="2"/>
    <xf numFmtId="164" fontId="6" fillId="0" borderId="0" xfId="2" applyNumberFormat="1" applyAlignment="1">
      <alignment horizontal="center"/>
    </xf>
    <xf numFmtId="0" fontId="6" fillId="0" borderId="0" xfId="2" applyAlignment="1">
      <alignment horizontal="center" vertical="center"/>
    </xf>
    <xf numFmtId="1" fontId="6" fillId="0" borderId="0" xfId="2" applyNumberFormat="1" applyAlignment="1">
      <alignment horizontal="center" vertical="center"/>
    </xf>
    <xf numFmtId="164" fontId="6" fillId="0" borderId="0" xfId="2" applyNumberFormat="1" applyAlignment="1">
      <alignment horizontal="center" vertical="center"/>
    </xf>
    <xf numFmtId="0" fontId="13" fillId="8" borderId="0" xfId="2" applyFont="1" applyFill="1" applyAlignment="1">
      <alignment horizontal="left" vertical="center"/>
    </xf>
    <xf numFmtId="0" fontId="6" fillId="8" borderId="0" xfId="2" applyFill="1" applyAlignment="1">
      <alignment horizontal="left" vertical="center"/>
    </xf>
    <xf numFmtId="164" fontId="6" fillId="7" borderId="0" xfId="2" applyNumberFormat="1" applyFill="1" applyAlignment="1">
      <alignment horizontal="center" vertical="center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3" fillId="12" borderId="1" xfId="3" applyFont="1" applyBorder="1" applyAlignment="1">
      <alignment horizontal="center" vertical="center" wrapText="1"/>
    </xf>
    <xf numFmtId="0" fontId="13" fillId="12" borderId="9" xfId="3" applyFont="1" applyBorder="1" applyAlignment="1">
      <alignment horizontal="center" vertical="center" wrapText="1"/>
    </xf>
    <xf numFmtId="2" fontId="15" fillId="7" borderId="12" xfId="0" applyNumberFormat="1" applyFont="1" applyFill="1" applyBorder="1" applyAlignment="1">
      <alignment horizontal="center" vertical="center"/>
    </xf>
    <xf numFmtId="2" fontId="29" fillId="7" borderId="12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0" fontId="5" fillId="8" borderId="0" xfId="4" applyFill="1"/>
    <xf numFmtId="0" fontId="18" fillId="8" borderId="0" xfId="4" applyFont="1" applyFill="1" applyAlignment="1">
      <alignment horizontal="right" vertical="center"/>
    </xf>
    <xf numFmtId="0" fontId="18" fillId="8" borderId="0" xfId="4" applyFont="1" applyFill="1" applyAlignment="1">
      <alignment horizontal="center" vertical="center"/>
    </xf>
    <xf numFmtId="1" fontId="19" fillId="8" borderId="0" xfId="4" applyNumberFormat="1" applyFont="1" applyFill="1" applyAlignment="1">
      <alignment horizontal="left" vertical="center"/>
    </xf>
    <xf numFmtId="0" fontId="5" fillId="8" borderId="0" xfId="4" applyFill="1" applyAlignment="1">
      <alignment horizontal="center" vertical="center"/>
    </xf>
    <xf numFmtId="0" fontId="5" fillId="7" borderId="0" xfId="4" applyFill="1"/>
    <xf numFmtId="0" fontId="12" fillId="9" borderId="0" xfId="4" applyFont="1" applyFill="1" applyAlignment="1">
      <alignment horizontal="center" vertical="center"/>
    </xf>
    <xf numFmtId="0" fontId="12" fillId="7" borderId="0" xfId="4" applyFont="1" applyFill="1" applyAlignment="1">
      <alignment horizontal="center" vertical="center"/>
    </xf>
    <xf numFmtId="0" fontId="5" fillId="8" borderId="0" xfId="4" applyFill="1" applyAlignment="1">
      <alignment horizontal="right"/>
    </xf>
    <xf numFmtId="1" fontId="5" fillId="8" borderId="0" xfId="4" applyNumberFormat="1" applyFill="1" applyAlignment="1">
      <alignment horizontal="center" vertical="center"/>
    </xf>
    <xf numFmtId="0" fontId="21" fillId="10" borderId="0" xfId="4" applyFont="1" applyFill="1" applyAlignment="1">
      <alignment horizontal="center" vertical="center"/>
    </xf>
    <xf numFmtId="0" fontId="21" fillId="10" borderId="0" xfId="4" applyFont="1" applyFill="1" applyAlignment="1">
      <alignment horizontal="center" vertical="center" wrapText="1"/>
    </xf>
    <xf numFmtId="1" fontId="21" fillId="10" borderId="0" xfId="4" applyNumberFormat="1" applyFont="1" applyFill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/>
    </xf>
    <xf numFmtId="0" fontId="23" fillId="8" borderId="0" xfId="4" applyFont="1" applyFill="1" applyAlignment="1">
      <alignment horizontal="center" vertical="center"/>
    </xf>
    <xf numFmtId="2" fontId="23" fillId="8" borderId="0" xfId="4" applyNumberFormat="1" applyFont="1" applyFill="1" applyAlignment="1">
      <alignment horizontal="center" vertical="center"/>
    </xf>
    <xf numFmtId="164" fontId="23" fillId="8" borderId="0" xfId="4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13" fillId="7" borderId="0" xfId="4" applyFont="1" applyFill="1"/>
    <xf numFmtId="1" fontId="5" fillId="7" borderId="0" xfId="4" applyNumberFormat="1" applyFill="1"/>
    <xf numFmtId="0" fontId="5" fillId="7" borderId="0" xfId="4" applyFill="1" applyAlignment="1">
      <alignment horizontal="right"/>
    </xf>
    <xf numFmtId="0" fontId="12" fillId="7" borderId="0" xfId="4" applyFont="1" applyFill="1"/>
    <xf numFmtId="0" fontId="24" fillId="7" borderId="0" xfId="4" applyFont="1" applyFill="1"/>
    <xf numFmtId="164" fontId="5" fillId="8" borderId="0" xfId="4" applyNumberFormat="1" applyFill="1"/>
    <xf numFmtId="49" fontId="5" fillId="7" borderId="0" xfId="4" applyNumberFormat="1" applyFill="1"/>
    <xf numFmtId="0" fontId="12" fillId="8" borderId="0" xfId="4" applyFont="1" applyFill="1"/>
    <xf numFmtId="164" fontId="12" fillId="7" borderId="0" xfId="4" applyNumberFormat="1" applyFont="1" applyFill="1"/>
    <xf numFmtId="164" fontId="5" fillId="7" borderId="0" xfId="4" applyNumberFormat="1" applyFill="1"/>
    <xf numFmtId="0" fontId="5" fillId="0" borderId="0" xfId="4"/>
    <xf numFmtId="1" fontId="5" fillId="0" borderId="0" xfId="4" applyNumberFormat="1" applyAlignment="1">
      <alignment horizontal="center"/>
    </xf>
    <xf numFmtId="164" fontId="5" fillId="0" borderId="0" xfId="4" applyNumberFormat="1" applyAlignment="1">
      <alignment horizontal="center"/>
    </xf>
    <xf numFmtId="0" fontId="5" fillId="0" borderId="0" xfId="4" applyAlignment="1">
      <alignment horizontal="center" vertical="center"/>
    </xf>
    <xf numFmtId="1" fontId="5" fillId="0" borderId="0" xfId="4" applyNumberFormat="1" applyAlignment="1">
      <alignment horizontal="center" vertical="center"/>
    </xf>
    <xf numFmtId="164" fontId="5" fillId="0" borderId="0" xfId="4" applyNumberFormat="1" applyAlignment="1">
      <alignment horizontal="center" vertical="center"/>
    </xf>
    <xf numFmtId="1" fontId="5" fillId="7" borderId="0" xfId="4" applyNumberFormat="1" applyFill="1" applyAlignment="1">
      <alignment horizontal="center" vertical="center"/>
    </xf>
    <xf numFmtId="0" fontId="13" fillId="8" borderId="0" xfId="4" applyFont="1" applyFill="1" applyAlignment="1">
      <alignment horizontal="left" vertical="center"/>
    </xf>
    <xf numFmtId="0" fontId="5" fillId="8" borderId="0" xfId="4" applyFill="1" applyAlignment="1">
      <alignment horizontal="left" vertical="center"/>
    </xf>
    <xf numFmtId="164" fontId="5" fillId="7" borderId="0" xfId="4" applyNumberFormat="1" applyFill="1" applyAlignment="1">
      <alignment horizontal="center" vertical="center"/>
    </xf>
    <xf numFmtId="2" fontId="17" fillId="7" borderId="12" xfId="0" applyNumberFormat="1" applyFont="1" applyFill="1" applyBorder="1" applyAlignment="1">
      <alignment horizontal="center" vertical="center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4" xfId="0" applyNumberFormat="1" applyFont="1" applyFill="1" applyBorder="1" applyAlignment="1">
      <alignment horizontal="center" vertical="center"/>
    </xf>
    <xf numFmtId="2" fontId="17" fillId="7" borderId="16" xfId="0" applyNumberFormat="1" applyFont="1" applyFill="1" applyBorder="1" applyAlignment="1">
      <alignment horizontal="center" vertical="center"/>
    </xf>
    <xf numFmtId="0" fontId="4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4" fillId="8" borderId="0" xfId="5" applyFill="1" applyAlignment="1">
      <alignment horizontal="center" vertical="center"/>
    </xf>
    <xf numFmtId="0" fontId="4" fillId="7" borderId="0" xfId="5" applyFill="1"/>
    <xf numFmtId="0" fontId="12" fillId="9" borderId="0" xfId="5" applyFont="1" applyFill="1" applyAlignment="1">
      <alignment horizontal="center" vertical="center"/>
    </xf>
    <xf numFmtId="0" fontId="12" fillId="7" borderId="0" xfId="5" applyFont="1" applyFill="1" applyAlignment="1">
      <alignment horizontal="center" vertical="center"/>
    </xf>
    <xf numFmtId="1" fontId="4" fillId="7" borderId="0" xfId="5" applyNumberFormat="1" applyFill="1" applyAlignment="1">
      <alignment horizontal="center" vertical="center"/>
    </xf>
    <xf numFmtId="0" fontId="4" fillId="8" borderId="0" xfId="5" applyFill="1" applyAlignment="1">
      <alignment horizontal="right"/>
    </xf>
    <xf numFmtId="1" fontId="4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3" fillId="7" borderId="0" xfId="5" applyFont="1" applyFill="1"/>
    <xf numFmtId="1" fontId="4" fillId="7" borderId="0" xfId="5" applyNumberFormat="1" applyFill="1"/>
    <xf numFmtId="0" fontId="4" fillId="7" borderId="0" xfId="5" applyFill="1" applyAlignment="1">
      <alignment horizontal="right"/>
    </xf>
    <xf numFmtId="0" fontId="12" fillId="7" borderId="0" xfId="5" applyFont="1" applyFill="1"/>
    <xf numFmtId="0" fontId="24" fillId="7" borderId="0" xfId="5" applyFont="1" applyFill="1"/>
    <xf numFmtId="164" fontId="4" fillId="8" borderId="0" xfId="5" applyNumberFormat="1" applyFill="1"/>
    <xf numFmtId="49" fontId="4" fillId="7" borderId="0" xfId="5" applyNumberFormat="1" applyFill="1"/>
    <xf numFmtId="0" fontId="12" fillId="8" borderId="0" xfId="5" applyFont="1" applyFill="1"/>
    <xf numFmtId="164" fontId="12" fillId="7" borderId="0" xfId="5" applyNumberFormat="1" applyFont="1" applyFill="1"/>
    <xf numFmtId="164" fontId="4" fillId="7" borderId="0" xfId="5" applyNumberFormat="1" applyFill="1"/>
    <xf numFmtId="1" fontId="4" fillId="0" borderId="0" xfId="5" applyNumberFormat="1" applyAlignment="1">
      <alignment horizontal="center"/>
    </xf>
    <xf numFmtId="0" fontId="4" fillId="0" borderId="0" xfId="5"/>
    <xf numFmtId="164" fontId="4" fillId="0" borderId="0" xfId="5" applyNumberFormat="1" applyAlignment="1">
      <alignment horizontal="center"/>
    </xf>
    <xf numFmtId="0" fontId="4" fillId="0" borderId="0" xfId="5" applyAlignment="1">
      <alignment horizontal="center" vertical="center"/>
    </xf>
    <xf numFmtId="1" fontId="4" fillId="0" borderId="0" xfId="5" applyNumberFormat="1" applyAlignment="1">
      <alignment horizontal="center" vertical="center"/>
    </xf>
    <xf numFmtId="164" fontId="4" fillId="0" borderId="0" xfId="5" applyNumberFormat="1" applyAlignment="1">
      <alignment horizontal="center" vertical="center"/>
    </xf>
    <xf numFmtId="0" fontId="4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4" fillId="8" borderId="0" xfId="6" applyFill="1" applyAlignment="1">
      <alignment horizontal="center" vertical="center"/>
    </xf>
    <xf numFmtId="0" fontId="4" fillId="7" borderId="0" xfId="6" applyFill="1"/>
    <xf numFmtId="0" fontId="12" fillId="9" borderId="0" xfId="6" applyFont="1" applyFill="1" applyAlignment="1">
      <alignment horizontal="center" vertical="center"/>
    </xf>
    <xf numFmtId="0" fontId="12" fillId="7" borderId="0" xfId="6" applyFont="1" applyFill="1" applyAlignment="1">
      <alignment horizontal="center" vertical="center"/>
    </xf>
    <xf numFmtId="1" fontId="4" fillId="7" borderId="0" xfId="6" applyNumberFormat="1" applyFill="1" applyAlignment="1">
      <alignment horizontal="center" vertical="center"/>
    </xf>
    <xf numFmtId="0" fontId="4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3" fillId="7" borderId="0" xfId="6" applyFont="1" applyFill="1"/>
    <xf numFmtId="1" fontId="4" fillId="7" borderId="0" xfId="6" applyNumberFormat="1" applyFill="1"/>
    <xf numFmtId="0" fontId="4" fillId="7" borderId="0" xfId="6" applyFill="1" applyAlignment="1">
      <alignment horizontal="right"/>
    </xf>
    <xf numFmtId="0" fontId="12" fillId="7" borderId="0" xfId="6" applyFont="1" applyFill="1"/>
    <xf numFmtId="0" fontId="24" fillId="7" borderId="0" xfId="6" applyFont="1" applyFill="1"/>
    <xf numFmtId="164" fontId="4" fillId="8" borderId="0" xfId="6" applyNumberFormat="1" applyFill="1"/>
    <xf numFmtId="49" fontId="4" fillId="7" borderId="0" xfId="6" applyNumberFormat="1" applyFill="1"/>
    <xf numFmtId="0" fontId="12" fillId="8" borderId="0" xfId="6" applyFont="1" applyFill="1"/>
    <xf numFmtId="164" fontId="12" fillId="7" borderId="0" xfId="6" applyNumberFormat="1" applyFont="1" applyFill="1"/>
    <xf numFmtId="164" fontId="4" fillId="7" borderId="0" xfId="6" applyNumberFormat="1" applyFill="1"/>
    <xf numFmtId="0" fontId="4" fillId="0" borderId="0" xfId="6"/>
    <xf numFmtId="1" fontId="4" fillId="0" borderId="0" xfId="6" applyNumberFormat="1" applyAlignment="1">
      <alignment horizontal="center"/>
    </xf>
    <xf numFmtId="164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1" fontId="4" fillId="0" borderId="0" xfId="6" applyNumberFormat="1" applyAlignment="1">
      <alignment horizontal="center" vertical="center"/>
    </xf>
    <xf numFmtId="164" fontId="4" fillId="0" borderId="0" xfId="6" applyNumberFormat="1" applyAlignment="1">
      <alignment horizontal="center" vertical="center"/>
    </xf>
    <xf numFmtId="2" fontId="4" fillId="7" borderId="0" xfId="6" applyNumberFormat="1" applyFill="1" applyAlignment="1">
      <alignment horizontal="center" vertical="center"/>
    </xf>
    <xf numFmtId="1" fontId="4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4" fillId="0" borderId="0" xfId="6" applyNumberFormat="1" applyAlignment="1">
      <alignment horizontal="center"/>
    </xf>
    <xf numFmtId="0" fontId="9" fillId="7" borderId="11" xfId="0" applyFont="1" applyFill="1" applyBorder="1" applyAlignment="1">
      <alignment vertical="center" wrapText="1"/>
    </xf>
    <xf numFmtId="0" fontId="30" fillId="8" borderId="0" xfId="2" applyFont="1" applyFill="1" applyAlignment="1">
      <alignment horizontal="left" vertical="center"/>
    </xf>
    <xf numFmtId="164" fontId="6" fillId="8" borderId="0" xfId="2" applyNumberFormat="1" applyFill="1" applyAlignment="1">
      <alignment horizontal="center" vertical="center"/>
    </xf>
    <xf numFmtId="0" fontId="12" fillId="8" borderId="0" xfId="2" applyFont="1" applyFill="1" applyAlignment="1">
      <alignment horizontal="center" vertical="center"/>
    </xf>
    <xf numFmtId="164" fontId="6" fillId="8" borderId="0" xfId="2" applyNumberFormat="1" applyFill="1" applyAlignment="1">
      <alignment horizontal="left" vertical="center"/>
    </xf>
    <xf numFmtId="0" fontId="30" fillId="8" borderId="0" xfId="5" applyFont="1" applyFill="1" applyAlignment="1">
      <alignment horizontal="center"/>
    </xf>
    <xf numFmtId="0" fontId="30" fillId="8" borderId="0" xfId="5" applyFont="1" applyFill="1" applyAlignment="1">
      <alignment horizontal="left"/>
    </xf>
    <xf numFmtId="0" fontId="31" fillId="8" borderId="0" xfId="5" applyFont="1" applyFill="1" applyAlignment="1">
      <alignment horizontal="center" vertical="center"/>
    </xf>
    <xf numFmtId="0" fontId="31" fillId="11" borderId="0" xfId="5" applyFont="1" applyFill="1" applyAlignment="1">
      <alignment horizontal="center" vertical="center"/>
    </xf>
    <xf numFmtId="0" fontId="11" fillId="8" borderId="0" xfId="8" applyFill="1"/>
    <xf numFmtId="0" fontId="30" fillId="8" borderId="0" xfId="5" applyFont="1" applyFill="1"/>
    <xf numFmtId="0" fontId="30" fillId="8" borderId="0" xfId="5" applyFont="1" applyFill="1" applyAlignment="1">
      <alignment horizontal="center" vertical="center"/>
    </xf>
    <xf numFmtId="164" fontId="4" fillId="8" borderId="0" xfId="5" applyNumberFormat="1" applyFill="1" applyAlignment="1">
      <alignment horizontal="center" vertical="center"/>
    </xf>
    <xf numFmtId="0" fontId="12" fillId="8" borderId="0" xfId="5" applyFont="1" applyFill="1" applyAlignment="1">
      <alignment horizontal="center" vertical="center"/>
    </xf>
    <xf numFmtId="0" fontId="30" fillId="8" borderId="0" xfId="2" applyFont="1" applyFill="1" applyAlignment="1">
      <alignment horizontal="center" vertical="center"/>
    </xf>
    <xf numFmtId="0" fontId="9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6" fillId="4" borderId="0" xfId="0" applyFont="1" applyFill="1"/>
    <xf numFmtId="0" fontId="30" fillId="8" borderId="0" xfId="2" applyFont="1" applyFill="1" applyAlignment="1">
      <alignment vertical="center"/>
    </xf>
    <xf numFmtId="0" fontId="12" fillId="11" borderId="0" xfId="2" applyFont="1" applyFill="1" applyAlignment="1">
      <alignment horizontal="center"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1" fillId="8" borderId="0" xfId="8" applyNumberFormat="1" applyFill="1" applyAlignment="1">
      <alignment horizontal="left"/>
    </xf>
    <xf numFmtId="0" fontId="0" fillId="13" borderId="0" xfId="0" applyFill="1" applyAlignment="1">
      <alignment horizontal="left"/>
    </xf>
    <xf numFmtId="0" fontId="11" fillId="13" borderId="0" xfId="8" applyFill="1" applyAlignment="1">
      <alignment horizontal="left"/>
    </xf>
    <xf numFmtId="0" fontId="11" fillId="13" borderId="0" xfId="8" applyFill="1"/>
    <xf numFmtId="0" fontId="30" fillId="8" borderId="0" xfId="2" applyFont="1" applyFill="1"/>
    <xf numFmtId="0" fontId="30" fillId="8" borderId="0" xfId="2" applyFont="1" applyFill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1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13" fillId="12" borderId="27" xfId="3" applyFont="1" applyBorder="1" applyAlignment="1">
      <alignment horizontal="center" vertical="center"/>
    </xf>
    <xf numFmtId="0" fontId="13" fillId="12" borderId="28" xfId="3" applyFont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14" fontId="11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" fillId="8" borderId="0" xfId="15" applyFill="1"/>
    <xf numFmtId="0" fontId="18" fillId="8" borderId="0" xfId="15" applyFont="1" applyFill="1" applyAlignment="1">
      <alignment horizontal="right" vertical="center"/>
    </xf>
    <xf numFmtId="0" fontId="18" fillId="8" borderId="0" xfId="15" applyFont="1" applyFill="1" applyAlignment="1">
      <alignment horizontal="center" vertical="center"/>
    </xf>
    <xf numFmtId="1" fontId="19" fillId="8" borderId="0" xfId="15" applyNumberFormat="1" applyFont="1" applyFill="1" applyAlignment="1">
      <alignment horizontal="left" vertical="center"/>
    </xf>
    <xf numFmtId="0" fontId="1" fillId="8" borderId="0" xfId="15" applyFill="1" applyAlignment="1">
      <alignment horizontal="center" vertical="center"/>
    </xf>
    <xf numFmtId="0" fontId="1" fillId="7" borderId="0" xfId="15" applyFill="1"/>
    <xf numFmtId="0" fontId="12" fillId="9" borderId="0" xfId="15" applyFont="1" applyFill="1" applyAlignment="1">
      <alignment horizontal="center" vertical="center"/>
    </xf>
    <xf numFmtId="0" fontId="12" fillId="7" borderId="0" xfId="15" applyFont="1" applyFill="1" applyAlignment="1">
      <alignment horizontal="center" vertical="center"/>
    </xf>
    <xf numFmtId="1" fontId="1" fillId="7" borderId="0" xfId="15" applyNumberFormat="1" applyFill="1" applyAlignment="1">
      <alignment horizontal="center" vertical="center"/>
    </xf>
    <xf numFmtId="0" fontId="1" fillId="8" borderId="0" xfId="15" applyFill="1" applyAlignment="1">
      <alignment horizontal="right"/>
    </xf>
    <xf numFmtId="1" fontId="1" fillId="8" borderId="0" xfId="15" applyNumberFormat="1" applyFill="1" applyAlignment="1">
      <alignment horizontal="center" vertical="center"/>
    </xf>
    <xf numFmtId="0" fontId="21" fillId="10" borderId="0" xfId="15" applyFont="1" applyFill="1" applyAlignment="1">
      <alignment horizontal="center" vertical="center"/>
    </xf>
    <xf numFmtId="0" fontId="21" fillId="10" borderId="0" xfId="15" applyFont="1" applyFill="1" applyAlignment="1">
      <alignment horizontal="center" vertical="center" wrapText="1"/>
    </xf>
    <xf numFmtId="1" fontId="21" fillId="10" borderId="0" xfId="15" applyNumberFormat="1" applyFont="1" applyFill="1" applyAlignment="1">
      <alignment horizontal="center" vertical="center" wrapText="1"/>
    </xf>
    <xf numFmtId="0" fontId="23" fillId="8" borderId="0" xfId="15" applyFont="1" applyFill="1" applyAlignment="1">
      <alignment horizontal="center" vertical="center"/>
    </xf>
    <xf numFmtId="2" fontId="23" fillId="8" borderId="0" xfId="15" applyNumberFormat="1" applyFont="1" applyFill="1" applyAlignment="1">
      <alignment horizontal="center" vertical="center"/>
    </xf>
    <xf numFmtId="164" fontId="23" fillId="8" borderId="0" xfId="15" applyNumberFormat="1" applyFont="1" applyFill="1" applyAlignment="1">
      <alignment horizontal="center" vertical="center"/>
    </xf>
    <xf numFmtId="0" fontId="23" fillId="11" borderId="0" xfId="15" applyFont="1" applyFill="1" applyAlignment="1">
      <alignment horizontal="center" vertical="center"/>
    </xf>
    <xf numFmtId="2" fontId="23" fillId="11" borderId="0" xfId="15" applyNumberFormat="1" applyFont="1" applyFill="1" applyAlignment="1">
      <alignment horizontal="center" vertical="center"/>
    </xf>
    <xf numFmtId="164" fontId="23" fillId="11" borderId="0" xfId="15" applyNumberFormat="1" applyFont="1" applyFill="1" applyAlignment="1">
      <alignment horizontal="center" vertical="center"/>
    </xf>
    <xf numFmtId="0" fontId="13" fillId="7" borderId="0" xfId="15" applyFont="1" applyFill="1"/>
    <xf numFmtId="1" fontId="1" fillId="7" borderId="0" xfId="15" applyNumberFormat="1" applyFill="1"/>
    <xf numFmtId="0" fontId="1" fillId="7" borderId="0" xfId="15" applyFill="1" applyAlignment="1">
      <alignment horizontal="right"/>
    </xf>
    <xf numFmtId="0" fontId="12" fillId="7" borderId="0" xfId="15" applyFont="1" applyFill="1"/>
    <xf numFmtId="0" fontId="24" fillId="7" borderId="0" xfId="15" applyFont="1" applyFill="1"/>
    <xf numFmtId="164" fontId="1" fillId="8" borderId="0" xfId="15" applyNumberFormat="1" applyFill="1"/>
    <xf numFmtId="49" fontId="1" fillId="7" borderId="0" xfId="15" applyNumberFormat="1" applyFill="1"/>
    <xf numFmtId="0" fontId="12" fillId="8" borderId="0" xfId="15" applyFont="1" applyFill="1"/>
    <xf numFmtId="164" fontId="12" fillId="7" borderId="0" xfId="15" applyNumberFormat="1" applyFont="1" applyFill="1"/>
    <xf numFmtId="164" fontId="1" fillId="7" borderId="0" xfId="15" applyNumberFormat="1" applyFill="1"/>
    <xf numFmtId="0" fontId="1" fillId="0" borderId="0" xfId="15"/>
    <xf numFmtId="1" fontId="1" fillId="0" borderId="0" xfId="15" applyNumberFormat="1" applyAlignment="1">
      <alignment horizontal="center"/>
    </xf>
    <xf numFmtId="164" fontId="1" fillId="0" borderId="0" xfId="15" applyNumberFormat="1" applyAlignment="1">
      <alignment horizontal="center"/>
    </xf>
    <xf numFmtId="0" fontId="1" fillId="0" borderId="0" xfId="15" applyAlignment="1">
      <alignment horizontal="center" vertical="center"/>
    </xf>
    <xf numFmtId="1" fontId="1" fillId="0" borderId="0" xfId="15" applyNumberFormat="1" applyAlignment="1">
      <alignment horizontal="center" vertical="center"/>
    </xf>
    <xf numFmtId="164" fontId="1" fillId="0" borderId="0" xfId="15" applyNumberFormat="1" applyAlignment="1">
      <alignment horizontal="center" vertical="center"/>
    </xf>
  </cellXfs>
  <cellStyles count="16">
    <cellStyle name="20% — akcent 1" xfId="3" builtinId="30"/>
    <cellStyle name="20% — akcent 1 2" xfId="10" xr:uid="{1BF08651-7088-44B7-A631-8C961680080D}"/>
    <cellStyle name="Akcent 1" xfId="1" builtinId="29"/>
    <cellStyle name="Hiperłącze" xfId="8" builtinId="8"/>
    <cellStyle name="Normal 2" xfId="2" xr:uid="{FE9AD0D7-7239-4A8F-8732-AF2408B73F51}"/>
    <cellStyle name="Normal 2 2" xfId="5" xr:uid="{2533F5BE-ACBB-4344-9E7C-62FE07A1C097}"/>
    <cellStyle name="Normal 2 2 2" xfId="4" xr:uid="{0FCF3E4E-997A-4E98-8323-BF193C36AE66}"/>
    <cellStyle name="Normal 2 2 2 2" xfId="6" xr:uid="{D076CFC3-500F-4EA6-B90D-E748A7E987EB}"/>
    <cellStyle name="Normal 2 2 2 2 2" xfId="13" xr:uid="{87DAD01A-723C-41E9-8ED7-F6F44F69AE65}"/>
    <cellStyle name="Normal 2 2 2 2 2 2" xfId="15" xr:uid="{4972744F-0C01-4237-B64A-2194045840BF}"/>
    <cellStyle name="Normal 2 2 2 3" xfId="7" xr:uid="{8A0622BB-D91F-4382-80A1-3461977E8E82}"/>
    <cellStyle name="Normal 2 2 2 3 2" xfId="14" xr:uid="{8D8AFA9E-5515-43DD-A3CD-70B248F46E3E}"/>
    <cellStyle name="Normal 2 2 2 4" xfId="11" xr:uid="{E8B21330-8D70-406D-A75C-2527E32DD96A}"/>
    <cellStyle name="Normal 2 2 3" xfId="12" xr:uid="{8CAA8FBA-2E10-4BC7-A31F-FB63E4A87668}"/>
    <cellStyle name="Normal 2 3" xfId="9" xr:uid="{B277C44B-202D-4CE4-8486-F94E081AFE47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086C52C38C084D51BD2EADD1D74DE52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events/results/BB46C864D2EE498A96C27152A07AE1AE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FCFAE68C86A425185E62AD8B40DE2D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53D51FF97B24F758AAFDFFAF4EA265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FCB6D82765C40D2B7C59DC3BFD70CB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9S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fm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40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AB48ED10532E49A98C250EB6C6D6212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FLORET-2-2024-2025.xlsx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M&amp;c=7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/30279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1EA8595859334E548870539DB91198E2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hv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2E03B7BA603346B282574D1E979190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F62-5C11-4954-85F4-7B84A7920683}">
  <dimension ref="A1:U36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210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28" t="s">
        <v>2</v>
      </c>
      <c r="S2" s="229"/>
      <c r="T2" s="229"/>
      <c r="U2" s="230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31"/>
      <c r="S3" s="232"/>
      <c r="T3" s="232"/>
      <c r="U3" s="233"/>
    </row>
    <row r="4" spans="1:21" ht="24.8" customHeight="1" thickBot="1" x14ac:dyDescent="0.25">
      <c r="A4" s="221" t="s">
        <v>4</v>
      </c>
      <c r="B4" s="223" t="s">
        <v>5</v>
      </c>
      <c r="C4" s="223" t="s">
        <v>6</v>
      </c>
      <c r="D4" s="223" t="s">
        <v>7</v>
      </c>
      <c r="E4" s="226" t="s">
        <v>8</v>
      </c>
      <c r="F4" s="227"/>
      <c r="G4" s="226" t="s">
        <v>9</v>
      </c>
      <c r="H4" s="227"/>
      <c r="I4" s="226" t="s">
        <v>10</v>
      </c>
      <c r="J4" s="227"/>
      <c r="K4" s="226" t="s">
        <v>11</v>
      </c>
      <c r="L4" s="227"/>
      <c r="M4" s="226" t="s">
        <v>12</v>
      </c>
      <c r="N4" s="227"/>
      <c r="O4" s="226" t="s">
        <v>13</v>
      </c>
      <c r="P4" s="227"/>
      <c r="R4" s="234"/>
      <c r="S4" s="235"/>
      <c r="T4" s="235"/>
      <c r="U4" s="236"/>
    </row>
    <row r="5" spans="1:21" ht="18" customHeight="1" thickTop="1" x14ac:dyDescent="0.2">
      <c r="A5" s="222"/>
      <c r="B5" s="224"/>
      <c r="C5" s="224"/>
      <c r="D5" s="225"/>
      <c r="E5" s="2" t="s">
        <v>14</v>
      </c>
      <c r="F5" s="2" t="s">
        <v>15</v>
      </c>
      <c r="G5" s="2" t="s">
        <v>14</v>
      </c>
      <c r="H5" s="7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95" customHeight="1" x14ac:dyDescent="0.25">
      <c r="A6" s="8">
        <f t="shared" ref="A6:A20" si="0">ROW()-5</f>
        <v>1</v>
      </c>
      <c r="B6" s="193" t="s">
        <v>16</v>
      </c>
      <c r="C6" s="208"/>
      <c r="D6" s="71">
        <f t="shared" ref="D6:D20" si="1">SUM(F6,H6,J6,L6,N6,P6)-MIN(F6,H6,J6,L6,N6)</f>
        <v>497.71459919235315</v>
      </c>
      <c r="E6" s="10">
        <f>_xlfn.XLOOKUP($B6,'PP1'!$C$6:$C$55,'PP1'!$B$6:$B$55,"")</f>
        <v>1</v>
      </c>
      <c r="F6" s="115">
        <f>_xlfn.XLOOKUP(E6,'PP1'!$B$6:$B$55,'PP1'!$A$6:$A$55,0)</f>
        <v>96.354085335489259</v>
      </c>
      <c r="G6" s="10">
        <f>_xlfn.XLOOKUP($B6,'PP2'!$C$6:$C$55,'PP2'!$B$6:$B$55,"")</f>
        <v>1</v>
      </c>
      <c r="H6" s="117">
        <f>_xlfn.XLOOKUP(G6,'PP2'!$B$6:$B$55,'PP2'!$A$6:$A$55,0)</f>
        <v>107.2163806449515</v>
      </c>
      <c r="I6" s="10">
        <f>_xlfn.XLOOKUP($B6,'PP3'!$C$6:$C$55,'PP3'!$B$6:$B$55,"")</f>
        <v>1</v>
      </c>
      <c r="J6" s="117">
        <f>_xlfn.XLOOKUP(I6,'PP3'!$B$6:$B$55,'PP3'!$A$6:$A$55,0)</f>
        <v>95.389783520090276</v>
      </c>
      <c r="K6" s="10">
        <f>_xlfn.XLOOKUP($B6,'PP4'!$C$6:$C$55,'PP4'!$B$6:$B$55,"")</f>
        <v>1</v>
      </c>
      <c r="L6" s="117">
        <f>_xlfn.XLOOKUP(K6,'PP4'!$B$6:$B$55,'PP4'!$A$6:$A$55,0)</f>
        <v>82.980246132766666</v>
      </c>
      <c r="M6" s="10">
        <f>_xlfn.XLOOKUP($B6,'PP5'!$C$6:$C$55,'PP5'!$B$6:$B$55,"")</f>
        <v>1</v>
      </c>
      <c r="N6" s="117">
        <f>_xlfn.XLOOKUP(M6,'PP5'!$B$6:$B$55,'PP5'!$A$6:$A$55,0)</f>
        <v>84.286609467713788</v>
      </c>
      <c r="O6" s="10">
        <f>_xlfn.XLOOKUP(B6,MPW!C$6:C$55,MPW!B$6:B$55,"")</f>
        <v>1</v>
      </c>
      <c r="P6" s="117">
        <f>_xlfn.XLOOKUP(O6,MPW!B$6:B$55,MPW!A$6:A$55,0)</f>
        <v>114.46774022410833</v>
      </c>
    </row>
    <row r="7" spans="1:21" ht="14.95" customHeight="1" x14ac:dyDescent="0.25">
      <c r="A7" s="8">
        <f t="shared" si="0"/>
        <v>2</v>
      </c>
      <c r="B7" s="193" t="s">
        <v>17</v>
      </c>
      <c r="C7" s="209"/>
      <c r="D7" s="71">
        <f t="shared" si="1"/>
        <v>248.31424467746183</v>
      </c>
      <c r="E7" s="12">
        <f>_xlfn.XLOOKUP($B7,'PP1'!$C$6:$C$55,'PP1'!$B$6:$B$55,"")</f>
        <v>3</v>
      </c>
      <c r="F7" s="116">
        <f>_xlfn.XLOOKUP(E7,'PP1'!$B$6:$B$55,'PP1'!$A$6:$A$55,0)</f>
        <v>35.407149332988958</v>
      </c>
      <c r="G7" s="12">
        <f>_xlfn.XLOOKUP($B7,'PP2'!$C$6:$C$55,'PP2'!$B$6:$B$55,"")</f>
        <v>4</v>
      </c>
      <c r="H7" s="118">
        <f>_xlfn.XLOOKUP(G7,'PP2'!$B$6:$B$55,'PP2'!$A$6:$A$55,0)</f>
        <v>25.091695663413823</v>
      </c>
      <c r="I7" s="12">
        <f>_xlfn.XLOOKUP($B7,'PP3'!$C$6:$C$55,'PP3'!$B$6:$B$55,"")</f>
        <v>2</v>
      </c>
      <c r="J7" s="118">
        <f>_xlfn.XLOOKUP(I7,'PP3'!$B$6:$B$55,'PP3'!$A$6:$A$55,0)</f>
        <v>59.156704334463925</v>
      </c>
      <c r="K7" s="12">
        <f>_xlfn.XLOOKUP($B7,'PP4'!$C$6:$C$55,'PP4'!$B$6:$B$55,"")</f>
        <v>2</v>
      </c>
      <c r="L7" s="118">
        <f>_xlfn.XLOOKUP(K7,'PP4'!$B$6:$B$55,'PP4'!$A$6:$A$55,0)</f>
        <v>37.73793949684304</v>
      </c>
      <c r="M7" s="12">
        <f>_xlfn.XLOOKUP($B7,'PP5'!$C$6:$C$55,'PP5'!$B$6:$B$55,"")</f>
        <v>2</v>
      </c>
      <c r="N7" s="118">
        <f>_xlfn.XLOOKUP(M7,'PP5'!$B$6:$B$55,'PP5'!$A$6:$A$55,0)</f>
        <v>45.024406311809194</v>
      </c>
      <c r="O7" s="12">
        <f>_xlfn.XLOOKUP(B7,MPW!C$6:C$55,MPW!B$6:B$55,"")</f>
        <v>2</v>
      </c>
      <c r="P7" s="118">
        <f>_xlfn.XLOOKUP(O7,MPW!B$6:B$55,MPW!A$6:A$55,0)</f>
        <v>70.988045201356712</v>
      </c>
    </row>
    <row r="8" spans="1:21" ht="14.95" customHeight="1" x14ac:dyDescent="0.25">
      <c r="A8" s="8">
        <f t="shared" si="0"/>
        <v>3</v>
      </c>
      <c r="B8" s="193" t="s">
        <v>18</v>
      </c>
      <c r="C8" s="11"/>
      <c r="D8" s="71">
        <f t="shared" si="1"/>
        <v>171.76454125149601</v>
      </c>
      <c r="E8" s="12">
        <f>_xlfn.XLOOKUP($B8,'PP1'!$C$6:$C$55,'PP1'!$B$6:$B$55,"")</f>
        <v>2</v>
      </c>
      <c r="F8" s="116">
        <f>_xlfn.XLOOKUP(E8,'PP1'!$B$6:$B$55,'PP1'!$A$6:$A$55,0)</f>
        <v>61.946936002500301</v>
      </c>
      <c r="G8" s="12">
        <f>_xlfn.XLOOKUP($B8,'PP2'!$C$6:$C$55,'PP2'!$B$6:$B$55,"")</f>
        <v>3</v>
      </c>
      <c r="H8" s="118">
        <f>_xlfn.XLOOKUP(G8,'PP2'!$B$6:$B$55,'PP2'!$A$6:$A$55,0)</f>
        <v>38.074616879691767</v>
      </c>
      <c r="I8" s="12">
        <f>_xlfn.XLOOKUP($B8,'PP3'!$C$6:$C$55,'PP3'!$B$6:$B$55,"")</f>
        <v>4</v>
      </c>
      <c r="J8" s="118">
        <f>_xlfn.XLOOKUP(I8,'PP3'!$B$6:$B$55,'PP3'!$A$6:$A$55,0)</f>
        <v>17.793697308807488</v>
      </c>
      <c r="K8" s="12">
        <f>_xlfn.XLOOKUP($B8,'PP4'!$C$6:$C$55,'PP4'!$B$6:$B$55,"")</f>
        <v>3</v>
      </c>
      <c r="L8" s="118">
        <f>_xlfn.XLOOKUP(K8,'PP4'!$B$6:$B$55,'PP4'!$A$6:$A$55,0)</f>
        <v>5.3267487109222245</v>
      </c>
      <c r="M8" s="12">
        <f>_xlfn.XLOOKUP($B8,'PP5'!$C$6:$C$55,'PP5'!$B$6:$B$55,"")</f>
        <v>3</v>
      </c>
      <c r="N8" s="118">
        <f>_xlfn.XLOOKUP(M8,'PP5'!$B$6:$B$55,'PP5'!$A$6:$A$55,0)</f>
        <v>15.930621888236271</v>
      </c>
      <c r="O8" s="12">
        <f>_xlfn.XLOOKUP(B8,MPW!C$6:C$55,MPW!B$6:B$55,"")</f>
        <v>3</v>
      </c>
      <c r="P8" s="118">
        <f>_xlfn.XLOOKUP(O8,MPW!B$6:B$55,MPW!A$6:A$55,0)</f>
        <v>38.018669172260182</v>
      </c>
    </row>
    <row r="9" spans="1:21" ht="14.95" customHeight="1" x14ac:dyDescent="0.25">
      <c r="A9" s="8">
        <f t="shared" si="0"/>
        <v>4</v>
      </c>
      <c r="B9" s="193" t="s">
        <v>19</v>
      </c>
      <c r="C9" s="11"/>
      <c r="D9" s="71">
        <f t="shared" si="1"/>
        <v>111.69168355506562</v>
      </c>
      <c r="E9" s="12">
        <f>_xlfn.XLOOKUP($B9,'PP1'!$C$6:$C$55,'PP1'!$B$6:$B$55,"")</f>
        <v>5</v>
      </c>
      <c r="F9" s="116">
        <f>_xlfn.XLOOKUP(E9,'PP1'!$B$6:$B$55,'PP1'!$A$6:$A$55,0)</f>
        <v>5.9860243165075602</v>
      </c>
      <c r="G9" s="12">
        <f>_xlfn.XLOOKUP($B9,'PP2'!$C$6:$C$55,'PP2'!$B$6:$B$55,"")</f>
        <v>2</v>
      </c>
      <c r="H9" s="118">
        <f>_xlfn.XLOOKUP(G9,'PP2'!$B$6:$B$55,'PP2'!$A$6:$A$55,0)</f>
        <v>74.023434928341246</v>
      </c>
      <c r="I9" s="12">
        <f>_xlfn.XLOOKUP($B9,'PP3'!$C$6:$C$55,'PP3'!$B$6:$B$55,"")</f>
        <v>3</v>
      </c>
      <c r="J9" s="118">
        <f>_xlfn.XLOOKUP(I9,'PP3'!$B$6:$B$55,'PP3'!$A$6:$A$55,0)</f>
        <v>31.682224310216817</v>
      </c>
      <c r="K9" s="12" t="str">
        <f>_xlfn.XLOOKUP($B9,'PP4'!$C$6:$C$55,'PP4'!$B$6:$B$55,"")</f>
        <v/>
      </c>
      <c r="L9" s="118">
        <f>_xlfn.XLOOKUP(K9,'PP4'!$B$6:$B$55,'PP4'!$A$6:$A$55,0)</f>
        <v>0</v>
      </c>
      <c r="M9" s="12" t="str">
        <f>_xlfn.XLOOKUP($B9,'PP5'!$C$6:$C$55,'PP5'!$B$6:$B$55,"")</f>
        <v/>
      </c>
      <c r="N9" s="118">
        <f>_xlfn.XLOOKUP(M9,'PP5'!$B$6:$B$55,'PP5'!$A$6:$A$55,0)</f>
        <v>0</v>
      </c>
      <c r="O9" s="12" t="str">
        <f>_xlfn.XLOOKUP(B9,MPW!C$6:C$55,MPW!B$6:B$55,"")</f>
        <v/>
      </c>
      <c r="P9" s="118" t="str">
        <f>_xlfn.XLOOKUP(O9,MPW!B$6:B$55,MPW!A$6:A$55,0)</f>
        <v/>
      </c>
    </row>
    <row r="10" spans="1:21" ht="14.95" customHeight="1" x14ac:dyDescent="0.25">
      <c r="A10" s="8">
        <f t="shared" si="0"/>
        <v>5</v>
      </c>
      <c r="B10" s="193" t="s">
        <v>20</v>
      </c>
      <c r="C10" s="11"/>
      <c r="D10" s="71">
        <f t="shared" si="1"/>
        <v>54.472713708001109</v>
      </c>
      <c r="E10" s="12">
        <f>_xlfn.XLOOKUP($B10,'PP1'!$C$6:$C$55,'PP1'!$B$6:$B$55,"")</f>
        <v>4</v>
      </c>
      <c r="F10" s="116">
        <f>_xlfn.XLOOKUP(E10,'PP1'!$B$6:$B$55,'PP1'!$A$6:$A$55,0)</f>
        <v>35</v>
      </c>
      <c r="G10" s="12">
        <f>_xlfn.XLOOKUP($B10,'PP2'!$C$6:$C$55,'PP2'!$B$6:$B$55,"")</f>
        <v>5</v>
      </c>
      <c r="H10" s="118">
        <f>_xlfn.XLOOKUP(G10,'PP2'!$B$6:$B$55,'PP2'!$A$6:$A$55,0)</f>
        <v>19.472713708001109</v>
      </c>
      <c r="I10" s="12" t="str">
        <f>_xlfn.XLOOKUP($B10,'PP3'!$C$6:$C$55,'PP3'!$B$6:$B$55,"")</f>
        <v/>
      </c>
      <c r="J10" s="118">
        <f>_xlfn.XLOOKUP(I10,'PP3'!$B$6:$B$55,'PP3'!$A$6:$A$55,0)</f>
        <v>0</v>
      </c>
      <c r="K10" s="12" t="str">
        <f>_xlfn.XLOOKUP($B10,'PP4'!$C$6:$C$55,'PP4'!$B$6:$B$55,"")</f>
        <v/>
      </c>
      <c r="L10" s="118">
        <f>_xlfn.XLOOKUP(K10,'PP4'!$B$6:$B$55,'PP4'!$A$6:$A$55,0)</f>
        <v>0</v>
      </c>
      <c r="M10" s="12" t="str">
        <f>_xlfn.XLOOKUP($B10,'PP5'!$C$6:$C$55,'PP5'!$B$6:$B$55,"")</f>
        <v/>
      </c>
      <c r="N10" s="118">
        <f>_xlfn.XLOOKUP(M10,'PP5'!$B$6:$B$55,'PP5'!$A$6:$A$55,0)</f>
        <v>0</v>
      </c>
      <c r="O10" s="12" t="str">
        <f>_xlfn.XLOOKUP(B10,MPW!C$6:C$55,MPW!B$6:B$55,"")</f>
        <v/>
      </c>
      <c r="P10" s="118" t="str">
        <f>_xlfn.XLOOKUP(O10,MPW!B$6:B$55,MPW!A$6:A$55,0)</f>
        <v/>
      </c>
    </row>
    <row r="11" spans="1:21" ht="14.95" customHeight="1" x14ac:dyDescent="0.25">
      <c r="A11" s="8">
        <f t="shared" si="0"/>
        <v>6</v>
      </c>
      <c r="B11" s="193" t="s">
        <v>21</v>
      </c>
      <c r="C11" s="11"/>
      <c r="D11" s="71">
        <f t="shared" si="1"/>
        <v>25.352436770568985</v>
      </c>
      <c r="E11" s="12">
        <f>_xlfn.XLOOKUP($B11,'PP1'!$C$6:$C$55,'PP1'!$B$6:$B$55,"")</f>
        <v>6</v>
      </c>
      <c r="F11" s="116">
        <f>_xlfn.XLOOKUP(E11,'PP1'!$B$6:$B$55,'PP1'!$A$6:$A$55,0)</f>
        <v>1</v>
      </c>
      <c r="G11" s="12">
        <f>_xlfn.XLOOKUP($B11,'PP2'!$C$6:$C$55,'PP2'!$B$6:$B$55,"")</f>
        <v>7</v>
      </c>
      <c r="H11" s="118">
        <f>_xlfn.XLOOKUP(G11,'PP2'!$B$6:$B$55,'PP2'!$A$6:$A$55,0)</f>
        <v>1</v>
      </c>
      <c r="I11" s="12">
        <f>_xlfn.XLOOKUP($B11,'PP3'!$C$6:$C$55,'PP3'!$B$6:$B$55,"")</f>
        <v>5</v>
      </c>
      <c r="J11" s="118">
        <f>_xlfn.XLOOKUP(I11,'PP3'!$B$6:$B$55,'PP3'!$A$6:$A$55,0)</f>
        <v>1</v>
      </c>
      <c r="K11" s="12" t="str">
        <f>_xlfn.XLOOKUP($B11,'PP4'!$C$6:$C$55,'PP4'!$B$6:$B$55,"")</f>
        <v/>
      </c>
      <c r="L11" s="118">
        <f>_xlfn.XLOOKUP(K11,'PP4'!$B$6:$B$55,'PP4'!$A$6:$A$55,0)</f>
        <v>0</v>
      </c>
      <c r="M11" s="12">
        <f>_xlfn.XLOOKUP($B11,'PP5'!$C$6:$C$55,'PP5'!$B$6:$B$55,"")</f>
        <v>4</v>
      </c>
      <c r="N11" s="118">
        <f>_xlfn.XLOOKUP(M11,'PP5'!$B$6:$B$55,'PP5'!$A$6:$A$55,0)</f>
        <v>1</v>
      </c>
      <c r="O11" s="12">
        <f>_xlfn.XLOOKUP(B11,MPW!C$6:C$55,MPW!B$6:B$55,"")</f>
        <v>4</v>
      </c>
      <c r="P11" s="118">
        <f>_xlfn.XLOOKUP(O11,MPW!B$6:B$55,MPW!A$6:A$55,0)</f>
        <v>21.352436770568985</v>
      </c>
    </row>
    <row r="12" spans="1:21" ht="14.95" customHeight="1" x14ac:dyDescent="0.25">
      <c r="A12" s="8">
        <f t="shared" si="0"/>
        <v>7</v>
      </c>
      <c r="B12" s="193" t="s">
        <v>22</v>
      </c>
      <c r="C12" s="11"/>
      <c r="D12" s="71">
        <f t="shared" si="1"/>
        <v>14.881671163081513</v>
      </c>
      <c r="E12" s="12" t="str">
        <f>_xlfn.XLOOKUP($B12,'PP1'!$C$6:$C$55,'PP1'!$B$6:$B$55,"")</f>
        <v/>
      </c>
      <c r="F12" s="116">
        <f>_xlfn.XLOOKUP(E12,'PP1'!$B$6:$B$55,'PP1'!$A$6:$A$55,0)</f>
        <v>0</v>
      </c>
      <c r="G12" s="12">
        <f>_xlfn.XLOOKUP($B12,'PP2'!$C$6:$C$55,'PP2'!$B$6:$B$55,"")</f>
        <v>6</v>
      </c>
      <c r="H12" s="118">
        <f>_xlfn.XLOOKUP(G12,'PP2'!$B$6:$B$55,'PP2'!$A$6:$A$55,0)</f>
        <v>14.881671163081513</v>
      </c>
      <c r="I12" s="12" t="str">
        <f>_xlfn.XLOOKUP($B12,'PP3'!$C$6:$C$55,'PP3'!$B$6:$B$55,"")</f>
        <v/>
      </c>
      <c r="J12" s="118">
        <f>_xlfn.XLOOKUP(I12,'PP3'!$B$6:$B$55,'PP3'!$A$6:$A$55,0)</f>
        <v>0</v>
      </c>
      <c r="K12" s="12" t="str">
        <f>_xlfn.XLOOKUP($B12,'PP4'!$C$6:$C$55,'PP4'!$B$6:$B$55,"")</f>
        <v/>
      </c>
      <c r="L12" s="118">
        <f>_xlfn.XLOOKUP(K12,'PP4'!$B$6:$B$55,'PP4'!$A$6:$A$55,0)</f>
        <v>0</v>
      </c>
      <c r="M12" s="12" t="str">
        <f>_xlfn.XLOOKUP($B12,'PP5'!$C$6:$C$55,'PP5'!$B$6:$B$55,"")</f>
        <v/>
      </c>
      <c r="N12" s="118">
        <f>_xlfn.XLOOKUP(M12,'PP5'!$B$6:$B$55,'PP5'!$A$6:$A$55,0)</f>
        <v>0</v>
      </c>
      <c r="O12" s="12" t="str">
        <f>_xlfn.XLOOKUP(B12,MPW!C$6:C$55,MPW!B$6:B$55,"")</f>
        <v/>
      </c>
      <c r="P12" s="118" t="str">
        <f>_xlfn.XLOOKUP(O12,MPW!B$6:B$55,MPW!A$6:A$55,0)</f>
        <v/>
      </c>
    </row>
    <row r="13" spans="1:21" ht="14.95" customHeight="1" x14ac:dyDescent="0.25">
      <c r="A13" s="8">
        <f t="shared" si="0"/>
        <v>8</v>
      </c>
      <c r="B13" s="193" t="s">
        <v>23</v>
      </c>
      <c r="C13" s="11"/>
      <c r="D13" s="71">
        <f t="shared" si="1"/>
        <v>1.2</v>
      </c>
      <c r="E13" s="12" t="str">
        <f>_xlfn.XLOOKUP($B13,'PP1'!$C$6:$C$55,'PP1'!$B$6:$B$55,"")</f>
        <v/>
      </c>
      <c r="F13" s="116">
        <f>_xlfn.XLOOKUP(E13,'PP1'!$B$6:$B$55,'PP1'!$A$6:$A$55,0)</f>
        <v>0</v>
      </c>
      <c r="G13" s="12" t="str">
        <f>_xlfn.XLOOKUP($B13,'PP2'!$C$6:$C$55,'PP2'!$B$6:$B$55,"")</f>
        <v/>
      </c>
      <c r="H13" s="118">
        <f>_xlfn.XLOOKUP(G13,'PP2'!$B$6:$B$55,'PP2'!$A$6:$A$55,0)</f>
        <v>0</v>
      </c>
      <c r="I13" s="12" t="str">
        <f>_xlfn.XLOOKUP($B13,'PP3'!$C$6:$C$55,'PP3'!$B$6:$B$55,"")</f>
        <v/>
      </c>
      <c r="J13" s="118">
        <f>_xlfn.XLOOKUP(I13,'PP3'!$B$6:$B$55,'PP3'!$A$6:$A$55,0)</f>
        <v>0</v>
      </c>
      <c r="K13" s="12" t="str">
        <f>_xlfn.XLOOKUP($B13,'PP4'!$C$6:$C$55,'PP4'!$B$6:$B$55,"")</f>
        <v/>
      </c>
      <c r="L13" s="118">
        <f>_xlfn.XLOOKUP(K13,'PP4'!$B$6:$B$55,'PP4'!$A$6:$A$55,0)</f>
        <v>0</v>
      </c>
      <c r="M13" s="12" t="str">
        <f>_xlfn.XLOOKUP($B13,'PP5'!$C$6:$C$55,'PP5'!$B$6:$B$55,"")</f>
        <v/>
      </c>
      <c r="N13" s="118">
        <f>_xlfn.XLOOKUP(M13,'PP5'!$B$6:$B$55,'PP5'!$A$6:$A$55,0)</f>
        <v>0</v>
      </c>
      <c r="O13" s="12">
        <f>_xlfn.XLOOKUP(B13,MPW!C$6:C$55,MPW!B$6:B$55,"")</f>
        <v>5</v>
      </c>
      <c r="P13" s="118">
        <f>_xlfn.XLOOKUP(O13,MPW!B$6:B$55,MPW!A$6:A$55,0)</f>
        <v>1.2</v>
      </c>
    </row>
    <row r="14" spans="1:21" ht="14.95" customHeight="1" x14ac:dyDescent="0.25">
      <c r="A14" s="8">
        <f t="shared" si="0"/>
        <v>9</v>
      </c>
      <c r="B14" s="193"/>
      <c r="C14" s="11"/>
      <c r="D14" s="71">
        <f t="shared" si="1"/>
        <v>0</v>
      </c>
      <c r="E14" s="12" t="str">
        <f>_xlfn.XLOOKUP($B14,'PP1'!$C$6:$C$55,'PP1'!$B$6:$B$55,"")</f>
        <v/>
      </c>
      <c r="F14" s="116">
        <f>_xlfn.XLOOKUP(E14,'PP1'!$B$6:$B$55,'PP1'!$A$6:$A$55,0)</f>
        <v>0</v>
      </c>
      <c r="G14" s="12" t="str">
        <f>_xlfn.XLOOKUP($B14,'PP2'!$C$6:$C$55,'PP2'!$B$6:$B$55,"")</f>
        <v/>
      </c>
      <c r="H14" s="118">
        <f>_xlfn.XLOOKUP(G14,'PP2'!$B$6:$B$55,'PP2'!$A$6:$A$55,0)</f>
        <v>0</v>
      </c>
      <c r="I14" s="12" t="str">
        <f>_xlfn.XLOOKUP($B14,'PP3'!$C$6:$C$55,'PP3'!$B$6:$B$55,"")</f>
        <v/>
      </c>
      <c r="J14" s="118">
        <f>_xlfn.XLOOKUP(I14,'PP3'!$B$6:$B$55,'PP3'!$A$6:$A$55,0)</f>
        <v>0</v>
      </c>
      <c r="K14" s="12" t="str">
        <f>_xlfn.XLOOKUP($B14,'PP4'!$C$6:$C$55,'PP4'!$B$6:$B$55,"")</f>
        <v/>
      </c>
      <c r="L14" s="118">
        <f>_xlfn.XLOOKUP(K14,'PP4'!$B$6:$B$55,'PP4'!$A$6:$A$55,0)</f>
        <v>0</v>
      </c>
      <c r="M14" s="12" t="str">
        <f>_xlfn.XLOOKUP($B14,'PP5'!$C$6:$C$55,'PP5'!$B$6:$B$55,"")</f>
        <v/>
      </c>
      <c r="N14" s="118">
        <f>_xlfn.XLOOKUP(M14,'PP5'!$B$6:$B$55,'PP5'!$A$6:$A$55,0)</f>
        <v>0</v>
      </c>
      <c r="O14" s="12" t="str">
        <f>_xlfn.XLOOKUP(B14,MPW!C$6:C$55,MPW!B$6:B$55,"")</f>
        <v/>
      </c>
      <c r="P14" s="118" t="str">
        <f>_xlfn.XLOOKUP(O14,MPW!B$6:B$55,MPW!A$6:A$55,0)</f>
        <v/>
      </c>
    </row>
    <row r="15" spans="1:21" ht="14.95" customHeight="1" x14ac:dyDescent="0.25">
      <c r="A15" s="8">
        <f t="shared" si="0"/>
        <v>10</v>
      </c>
      <c r="B15" s="193"/>
      <c r="C15" s="11"/>
      <c r="D15" s="71">
        <f t="shared" si="1"/>
        <v>0</v>
      </c>
      <c r="E15" s="12" t="str">
        <f>_xlfn.XLOOKUP($B15,'PP1'!$C$6:$C$55,'PP1'!$B$6:$B$55,"")</f>
        <v/>
      </c>
      <c r="F15" s="116">
        <f>_xlfn.XLOOKUP(E15,'PP1'!$B$6:$B$55,'PP1'!$A$6:$A$55,0)</f>
        <v>0</v>
      </c>
      <c r="G15" s="12" t="str">
        <f>_xlfn.XLOOKUP($B15,'PP2'!$C$6:$C$55,'PP2'!$B$6:$B$55,"")</f>
        <v/>
      </c>
      <c r="H15" s="118">
        <f>_xlfn.XLOOKUP(G15,'PP2'!$B$6:$B$55,'PP2'!$A$6:$A$55,0)</f>
        <v>0</v>
      </c>
      <c r="I15" s="12" t="str">
        <f>_xlfn.XLOOKUP($B15,'PP3'!$C$6:$C$55,'PP3'!$B$6:$B$55,"")</f>
        <v/>
      </c>
      <c r="J15" s="118">
        <f>_xlfn.XLOOKUP(I15,'PP3'!$B$6:$B$55,'PP3'!$A$6:$A$55,0)</f>
        <v>0</v>
      </c>
      <c r="K15" s="12" t="str">
        <f>_xlfn.XLOOKUP($B15,'PP4'!$C$6:$C$55,'PP4'!$B$6:$B$55,"")</f>
        <v/>
      </c>
      <c r="L15" s="118">
        <f>_xlfn.XLOOKUP(K15,'PP4'!$B$6:$B$55,'PP4'!$A$6:$A$55,0)</f>
        <v>0</v>
      </c>
      <c r="M15" s="12" t="str">
        <f>_xlfn.XLOOKUP($B15,'PP5'!$C$6:$C$55,'PP5'!$B$6:$B$55,"")</f>
        <v/>
      </c>
      <c r="N15" s="118">
        <f>_xlfn.XLOOKUP(M15,'PP5'!$B$6:$B$55,'PP5'!$A$6:$A$55,0)</f>
        <v>0</v>
      </c>
      <c r="O15" s="12" t="str">
        <f>_xlfn.XLOOKUP(B15,MPW!C$6:C$55,MPW!B$6:B$55,"")</f>
        <v/>
      </c>
      <c r="P15" s="118" t="str">
        <f>_xlfn.XLOOKUP(O15,MPW!B$6:B$55,MPW!A$6:A$55,0)</f>
        <v/>
      </c>
    </row>
    <row r="16" spans="1:21" ht="14.95" customHeight="1" x14ac:dyDescent="0.25">
      <c r="A16" s="8">
        <f t="shared" si="0"/>
        <v>11</v>
      </c>
      <c r="B16" s="193"/>
      <c r="C16" s="11"/>
      <c r="D16" s="71">
        <f t="shared" si="1"/>
        <v>0</v>
      </c>
      <c r="E16" s="12" t="str">
        <f>_xlfn.XLOOKUP($B16,'PP1'!$C$6:$C$55,'PP1'!$B$6:$B$55,"")</f>
        <v/>
      </c>
      <c r="F16" s="116">
        <f>_xlfn.XLOOKUP(E16,'PP1'!$B$6:$B$55,'PP1'!$A$6:$A$55,0)</f>
        <v>0</v>
      </c>
      <c r="G16" s="12" t="str">
        <f>_xlfn.XLOOKUP($B16,'PP2'!$C$6:$C$55,'PP2'!$B$6:$B$55,"")</f>
        <v/>
      </c>
      <c r="H16" s="118">
        <f>_xlfn.XLOOKUP(G16,'PP2'!$B$6:$B$55,'PP2'!$A$6:$A$55,0)</f>
        <v>0</v>
      </c>
      <c r="I16" s="12" t="str">
        <f>_xlfn.XLOOKUP($B16,'PP3'!$C$6:$C$55,'PP3'!$B$6:$B$55,"")</f>
        <v/>
      </c>
      <c r="J16" s="118">
        <f>_xlfn.XLOOKUP(I16,'PP3'!$B$6:$B$55,'PP3'!$A$6:$A$55,0)</f>
        <v>0</v>
      </c>
      <c r="K16" s="12" t="str">
        <f>_xlfn.XLOOKUP($B16,'PP4'!$C$6:$C$55,'PP4'!$B$6:$B$55,"")</f>
        <v/>
      </c>
      <c r="L16" s="118">
        <f>_xlfn.XLOOKUP(K16,'PP4'!$B$6:$B$55,'PP4'!$A$6:$A$55,0)</f>
        <v>0</v>
      </c>
      <c r="M16" s="12" t="str">
        <f>_xlfn.XLOOKUP($B16,'PP5'!$C$6:$C$55,'PP5'!$B$6:$B$55,"")</f>
        <v/>
      </c>
      <c r="N16" s="118">
        <f>_xlfn.XLOOKUP(M16,'PP5'!$B$6:$B$55,'PP5'!$A$6:$A$55,0)</f>
        <v>0</v>
      </c>
      <c r="O16" s="12" t="str">
        <f>_xlfn.XLOOKUP(B16,MPW!C$6:C$55,MPW!B$6:B$55,"")</f>
        <v/>
      </c>
      <c r="P16" s="118" t="str">
        <f>_xlfn.XLOOKUP(O16,MPW!B$6:B$55,MPW!A$6:A$55,0)</f>
        <v/>
      </c>
    </row>
    <row r="17" spans="1:16" ht="14.95" customHeight="1" x14ac:dyDescent="0.25">
      <c r="A17" s="8">
        <f t="shared" si="0"/>
        <v>12</v>
      </c>
      <c r="B17" s="9"/>
      <c r="C17" s="11"/>
      <c r="D17" s="71">
        <f t="shared" si="1"/>
        <v>0</v>
      </c>
      <c r="E17" s="12" t="str">
        <f>_xlfn.XLOOKUP($B17,'PP1'!$C$6:$C$55,'PP1'!$B$6:$B$55,"")</f>
        <v/>
      </c>
      <c r="F17" s="116">
        <f>_xlfn.XLOOKUP(E17,'PP1'!$B$6:$B$55,'PP1'!$A$6:$A$55,0)</f>
        <v>0</v>
      </c>
      <c r="G17" s="12" t="str">
        <f>_xlfn.XLOOKUP($B17,'PP2'!$C$6:$C$55,'PP2'!$B$6:$B$55,"")</f>
        <v/>
      </c>
      <c r="H17" s="118">
        <f>_xlfn.XLOOKUP(G17,'PP2'!$B$6:$B$55,'PP2'!$A$6:$A$55,0)</f>
        <v>0</v>
      </c>
      <c r="I17" s="12" t="str">
        <f>_xlfn.XLOOKUP($B17,'PP3'!$C$6:$C$55,'PP3'!$B$6:$B$55,"")</f>
        <v/>
      </c>
      <c r="J17" s="118">
        <f>_xlfn.XLOOKUP(I17,'PP3'!$B$6:$B$55,'PP3'!$A$6:$A$55,0)</f>
        <v>0</v>
      </c>
      <c r="K17" s="12" t="str">
        <f>_xlfn.XLOOKUP($B17,'PP4'!$C$6:$C$55,'PP4'!$B$6:$B$55,"")</f>
        <v/>
      </c>
      <c r="L17" s="118">
        <f>_xlfn.XLOOKUP(K17,'PP4'!$B$6:$B$55,'PP4'!$A$6:$A$55,0)</f>
        <v>0</v>
      </c>
      <c r="M17" s="12" t="str">
        <f>_xlfn.XLOOKUP($B17,'PP5'!$C$6:$C$55,'PP5'!$B$6:$B$55,"")</f>
        <v/>
      </c>
      <c r="N17" s="118">
        <f>_xlfn.XLOOKUP(M17,'PP5'!$B$6:$B$55,'PP5'!$A$6:$A$55,0)</f>
        <v>0</v>
      </c>
      <c r="O17" s="12" t="str">
        <f>_xlfn.XLOOKUP(B17,MPW!C$6:C$55,MPW!B$6:B$55,"")</f>
        <v/>
      </c>
      <c r="P17" s="118" t="str">
        <f>_xlfn.XLOOKUP(O17,MPW!B$6:B$55,MPW!A$6:A$55,0)</f>
        <v/>
      </c>
    </row>
    <row r="18" spans="1:16" ht="14.95" customHeight="1" x14ac:dyDescent="0.25">
      <c r="A18" s="8">
        <f t="shared" si="0"/>
        <v>13</v>
      </c>
      <c r="B18" s="9"/>
      <c r="C18" s="11"/>
      <c r="D18" s="71">
        <f t="shared" si="1"/>
        <v>0</v>
      </c>
      <c r="E18" s="12" t="str">
        <f>_xlfn.XLOOKUP($B18,'PP1'!$C$6:$C$55,'PP1'!$B$6:$B$55,"")</f>
        <v/>
      </c>
      <c r="F18" s="116">
        <f>_xlfn.XLOOKUP(E18,'PP1'!$B$6:$B$55,'PP1'!$A$6:$A$55,0)</f>
        <v>0</v>
      </c>
      <c r="G18" s="12" t="str">
        <f>_xlfn.XLOOKUP($B18,'PP2'!$C$6:$C$55,'PP2'!$B$6:$B$55,"")</f>
        <v/>
      </c>
      <c r="H18" s="118">
        <f>_xlfn.XLOOKUP(G18,'PP2'!$B$6:$B$55,'PP2'!$A$6:$A$55,0)</f>
        <v>0</v>
      </c>
      <c r="I18" s="12" t="str">
        <f>_xlfn.XLOOKUP($B18,'PP3'!$C$6:$C$55,'PP3'!$B$6:$B$55,"")</f>
        <v/>
      </c>
      <c r="J18" s="118">
        <f>_xlfn.XLOOKUP(I18,'PP3'!$B$6:$B$55,'PP3'!$A$6:$A$55,0)</f>
        <v>0</v>
      </c>
      <c r="K18" s="12" t="str">
        <f>_xlfn.XLOOKUP($B18,'PP4'!$C$6:$C$55,'PP4'!$B$6:$B$55,"")</f>
        <v/>
      </c>
      <c r="L18" s="118">
        <f>_xlfn.XLOOKUP(K18,'PP4'!$B$6:$B$55,'PP4'!$A$6:$A$55,0)</f>
        <v>0</v>
      </c>
      <c r="M18" s="12" t="str">
        <f>_xlfn.XLOOKUP($B18,'PP5'!$C$6:$C$55,'PP5'!$B$6:$B$55,"")</f>
        <v/>
      </c>
      <c r="N18" s="118">
        <f>_xlfn.XLOOKUP(M18,'PP5'!$B$6:$B$55,'PP5'!$A$6:$A$55,0)</f>
        <v>0</v>
      </c>
      <c r="O18" s="12" t="str">
        <f>_xlfn.XLOOKUP(B18,MPW!C$6:C$55,MPW!B$6:B$55,"")</f>
        <v/>
      </c>
      <c r="P18" s="118" t="str">
        <f>_xlfn.XLOOKUP(O18,MPW!B$6:B$55,MPW!A$6:A$55,0)</f>
        <v/>
      </c>
    </row>
    <row r="19" spans="1:16" ht="14.95" customHeight="1" x14ac:dyDescent="0.25">
      <c r="A19" s="8">
        <f t="shared" si="0"/>
        <v>14</v>
      </c>
      <c r="B19" s="9"/>
      <c r="C19" s="11"/>
      <c r="D19" s="71">
        <f t="shared" si="1"/>
        <v>0</v>
      </c>
      <c r="E19" s="12" t="str">
        <f>_xlfn.XLOOKUP($B19,'PP1'!$C$6:$C$55,'PP1'!$B$6:$B$55,"")</f>
        <v/>
      </c>
      <c r="F19" s="116">
        <f>_xlfn.XLOOKUP(E19,'PP1'!$B$6:$B$55,'PP1'!$A$6:$A$55,0)</f>
        <v>0</v>
      </c>
      <c r="G19" s="12" t="str">
        <f>_xlfn.XLOOKUP($B19,'PP2'!$C$6:$C$55,'PP2'!$B$6:$B$55,"")</f>
        <v/>
      </c>
      <c r="H19" s="118">
        <f>_xlfn.XLOOKUP(G19,'PP2'!$B$6:$B$55,'PP2'!$A$6:$A$55,0)</f>
        <v>0</v>
      </c>
      <c r="I19" s="12" t="str">
        <f>_xlfn.XLOOKUP($B19,'PP3'!$C$6:$C$55,'PP3'!$B$6:$B$55,"")</f>
        <v/>
      </c>
      <c r="J19" s="118">
        <f>_xlfn.XLOOKUP(I19,'PP3'!$B$6:$B$55,'PP3'!$A$6:$A$55,0)</f>
        <v>0</v>
      </c>
      <c r="K19" s="12" t="str">
        <f>_xlfn.XLOOKUP($B19,'PP4'!$C$6:$C$55,'PP4'!$B$6:$B$55,"")</f>
        <v/>
      </c>
      <c r="L19" s="118">
        <f>_xlfn.XLOOKUP(K19,'PP4'!$B$6:$B$55,'PP4'!$A$6:$A$55,0)</f>
        <v>0</v>
      </c>
      <c r="M19" s="12" t="str">
        <f>_xlfn.XLOOKUP($B19,'PP5'!$C$6:$C$55,'PP5'!$B$6:$B$55,"")</f>
        <v/>
      </c>
      <c r="N19" s="118">
        <f>_xlfn.XLOOKUP(M19,'PP5'!$B$6:$B$55,'PP5'!$A$6:$A$55,0)</f>
        <v>0</v>
      </c>
      <c r="O19" s="12" t="str">
        <f>_xlfn.XLOOKUP(B19,MPW!C$6:C$55,MPW!B$6:B$55,"")</f>
        <v/>
      </c>
      <c r="P19" s="118" t="str">
        <f>_xlfn.XLOOKUP(O19,MPW!B$6:B$55,MPW!A$6:A$55,0)</f>
        <v/>
      </c>
    </row>
    <row r="20" spans="1:16" ht="14.95" customHeight="1" x14ac:dyDescent="0.25">
      <c r="A20" s="8">
        <f t="shared" si="0"/>
        <v>15</v>
      </c>
      <c r="B20" s="9"/>
      <c r="C20" s="11"/>
      <c r="D20" s="71">
        <f t="shared" si="1"/>
        <v>0</v>
      </c>
      <c r="E20" s="12" t="str">
        <f>_xlfn.XLOOKUP($B20,'PP1'!$C$6:$C$55,'PP1'!$B$6:$B$55,"")</f>
        <v/>
      </c>
      <c r="F20" s="116">
        <f>_xlfn.XLOOKUP(E20,'PP1'!$B$6:$B$55,'PP1'!$A$6:$A$55,0)</f>
        <v>0</v>
      </c>
      <c r="G20" s="12" t="str">
        <f>_xlfn.XLOOKUP($B20,'PP2'!$C$6:$C$55,'PP2'!$B$6:$B$55,"")</f>
        <v/>
      </c>
      <c r="H20" s="118">
        <f>_xlfn.XLOOKUP(G20,'PP2'!$B$6:$B$55,'PP2'!$A$6:$A$55,0)</f>
        <v>0</v>
      </c>
      <c r="I20" s="12" t="str">
        <f>_xlfn.XLOOKUP($B20,'PP3'!$C$6:$C$55,'PP3'!$B$6:$B$55,"")</f>
        <v/>
      </c>
      <c r="J20" s="118">
        <f>_xlfn.XLOOKUP(I20,'PP3'!$B$6:$B$55,'PP3'!$A$6:$A$55,0)</f>
        <v>0</v>
      </c>
      <c r="K20" s="12" t="str">
        <f>_xlfn.XLOOKUP($B20,'PP4'!$C$6:$C$55,'PP4'!$B$6:$B$55,"")</f>
        <v/>
      </c>
      <c r="L20" s="118">
        <f>_xlfn.XLOOKUP(K20,'PP4'!$B$6:$B$55,'PP4'!$A$6:$A$55,0)</f>
        <v>0</v>
      </c>
      <c r="M20" s="12" t="str">
        <f>_xlfn.XLOOKUP($B20,'PP5'!$C$6:$C$55,'PP5'!$B$6:$B$55,"")</f>
        <v/>
      </c>
      <c r="N20" s="118">
        <f>_xlfn.XLOOKUP(M20,'PP5'!$B$6:$B$55,'PP5'!$A$6:$A$55,0)</f>
        <v>0</v>
      </c>
      <c r="O20" s="12" t="str">
        <f>_xlfn.XLOOKUP(B20,MPW!C$6:C$55,MPW!B$6:B$55,"")</f>
        <v/>
      </c>
      <c r="P20" s="118" t="str">
        <f>_xlfn.XLOOKUP(O20,MPW!B$6:B$55,MPW!A$6:A$55,0)</f>
        <v/>
      </c>
    </row>
    <row r="21" spans="1:16" ht="14.9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ht="14.9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ht="14.95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65.400000000000006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</sheetData>
  <sheetProtection selectLockedCells="1" selectUnlockedCells="1"/>
  <autoFilter ref="A5:P5" xr:uid="{16B0CF62-5C11-4954-85F4-7B84A7920683}">
    <sortState xmlns:xlrd2="http://schemas.microsoft.com/office/spreadsheetml/2017/richdata2" ref="A7:P20">
      <sortCondition descending="1" ref="D5"/>
    </sortState>
  </autoFilter>
  <sortState xmlns:xlrd2="http://schemas.microsoft.com/office/spreadsheetml/2017/richdata2" ref="B7:D12">
    <sortCondition descending="1" ref="D6:D12"/>
  </sortState>
  <mergeCells count="11">
    <mergeCell ref="R2:U4"/>
    <mergeCell ref="G4:H4"/>
    <mergeCell ref="O4:P4"/>
    <mergeCell ref="I4:J4"/>
    <mergeCell ref="K4:L4"/>
    <mergeCell ref="M4:N4"/>
    <mergeCell ref="A4:A5"/>
    <mergeCell ref="B4:B5"/>
    <mergeCell ref="C4:C5"/>
    <mergeCell ref="D4:D5"/>
    <mergeCell ref="E4:F4"/>
  </mergeCells>
  <conditionalFormatting sqref="A6:A20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0">
    <cfRule type="cellIs" dxfId="26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8AA3-1C8D-41CD-BDB6-8385C5DBEDCF}">
  <sheetPr>
    <tabColor rgb="FF92D050"/>
  </sheetPr>
  <dimension ref="A1:AL317"/>
  <sheetViews>
    <sheetView workbookViewId="0">
      <selection activeCell="H2" sqref="H2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24</v>
      </c>
      <c r="I1" s="16" t="s">
        <v>25</v>
      </c>
      <c r="J1" s="16" t="s">
        <v>26</v>
      </c>
      <c r="K1" s="17" t="s">
        <v>27</v>
      </c>
      <c r="L1" s="18"/>
      <c r="M1" s="18"/>
    </row>
    <row r="2" spans="1:36" ht="14.45" customHeight="1" x14ac:dyDescent="0.25">
      <c r="A2" s="14"/>
      <c r="B2" s="20" t="s">
        <v>28</v>
      </c>
      <c r="C2" s="237" t="s">
        <v>29</v>
      </c>
      <c r="D2" s="237"/>
      <c r="E2" s="21"/>
      <c r="F2" s="21"/>
      <c r="G2" s="21"/>
      <c r="H2" s="22">
        <v>6</v>
      </c>
      <c r="I2" s="23">
        <v>50</v>
      </c>
      <c r="J2" s="23">
        <v>10</v>
      </c>
      <c r="K2" s="24">
        <f>3*H2^(1/3)</f>
        <v>5.4513617784964188</v>
      </c>
      <c r="L2" s="18"/>
      <c r="M2" s="18"/>
    </row>
    <row r="3" spans="1:36" ht="14.45" customHeight="1" x14ac:dyDescent="0.25">
      <c r="A3" s="14"/>
      <c r="B3" s="25" t="s">
        <v>30</v>
      </c>
      <c r="C3" s="238" t="s">
        <v>31</v>
      </c>
      <c r="D3" s="23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30" t="s">
        <v>38</v>
      </c>
      <c r="I5" s="31" t="s">
        <v>39</v>
      </c>
      <c r="J5" s="32" t="s">
        <v>40</v>
      </c>
      <c r="K5" s="31" t="s">
        <v>41</v>
      </c>
      <c r="L5" s="31" t="s">
        <v>42</v>
      </c>
      <c r="M5" s="30" t="s">
        <v>43</v>
      </c>
    </row>
    <row r="6" spans="1:36" ht="14.45" customHeight="1" x14ac:dyDescent="0.25">
      <c r="A6" s="33">
        <f>M6</f>
        <v>96.354085335489259</v>
      </c>
      <c r="B6" s="34">
        <f t="shared" ref="B6:B13" si="0">IF(H6&gt;$H$2,"",(ROW()-5))</f>
        <v>1</v>
      </c>
      <c r="C6" s="35" t="s">
        <v>16</v>
      </c>
      <c r="D6" s="35" t="s">
        <v>44</v>
      </c>
      <c r="E6" s="35"/>
      <c r="F6" s="35" t="s">
        <v>45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1">J6*$J$2</f>
        <v>30</v>
      </c>
      <c r="L6" s="38">
        <f>3*K2</f>
        <v>16.354085335489255</v>
      </c>
      <c r="M6" s="38">
        <f t="shared" ref="M6:M69" si="2">IF(I6&lt;&gt;"",K6+I6+L6,0)</f>
        <v>96.354085335489259</v>
      </c>
    </row>
    <row r="7" spans="1:36" ht="14.45" customHeight="1" x14ac:dyDescent="0.25">
      <c r="A7" s="39">
        <f t="shared" ref="A7:A37" si="3">M7</f>
        <v>61.946936002500301</v>
      </c>
      <c r="B7" s="40">
        <f t="shared" si="0"/>
        <v>2</v>
      </c>
      <c r="C7" s="41" t="s">
        <v>18</v>
      </c>
      <c r="D7" s="41" t="s">
        <v>46</v>
      </c>
      <c r="E7" s="41"/>
      <c r="F7" s="41" t="s">
        <v>45</v>
      </c>
      <c r="G7" s="28"/>
      <c r="H7" s="42">
        <v>2</v>
      </c>
      <c r="I7" s="43">
        <f t="shared" ref="I7:I69" si="4">IF(H7&lt;$H$2+1,($I$2-($I$2-1)*(LOG(H7)/LOG($H$2))),"")</f>
        <v>31.044212445507462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10.902723556992838</v>
      </c>
      <c r="M7" s="44">
        <f t="shared" si="2"/>
        <v>61.946936002500301</v>
      </c>
    </row>
    <row r="8" spans="1:36" ht="14.45" customHeight="1" x14ac:dyDescent="0.25">
      <c r="A8" s="33">
        <f t="shared" si="3"/>
        <v>35.407149332988958</v>
      </c>
      <c r="B8" s="34">
        <f t="shared" si="0"/>
        <v>3</v>
      </c>
      <c r="C8" s="35" t="s">
        <v>17</v>
      </c>
      <c r="D8" s="35" t="s">
        <v>47</v>
      </c>
      <c r="E8" s="35"/>
      <c r="F8" s="35" t="s">
        <v>45</v>
      </c>
      <c r="G8" s="28"/>
      <c r="H8" s="36">
        <v>3</v>
      </c>
      <c r="I8" s="37">
        <f t="shared" si="4"/>
        <v>19.955787554492538</v>
      </c>
      <c r="J8" s="36">
        <f t="shared" si="5"/>
        <v>1</v>
      </c>
      <c r="K8" s="36">
        <f t="shared" si="1"/>
        <v>10</v>
      </c>
      <c r="L8" s="38">
        <f>K2</f>
        <v>5.4513617784964188</v>
      </c>
      <c r="M8" s="38">
        <f t="shared" si="2"/>
        <v>35.407149332988958</v>
      </c>
    </row>
    <row r="9" spans="1:36" ht="14.45" customHeight="1" x14ac:dyDescent="0.25">
      <c r="A9" s="39">
        <v>35</v>
      </c>
      <c r="B9" s="40">
        <f t="shared" si="0"/>
        <v>4</v>
      </c>
      <c r="C9" s="41" t="s">
        <v>20</v>
      </c>
      <c r="D9" s="41" t="s">
        <v>47</v>
      </c>
      <c r="E9" s="41"/>
      <c r="F9" s="41" t="s">
        <v>45</v>
      </c>
      <c r="G9" s="28"/>
      <c r="H9" s="42">
        <v>4</v>
      </c>
      <c r="I9" s="43">
        <f t="shared" si="4"/>
        <v>12.088424891014924</v>
      </c>
      <c r="J9" s="42">
        <f t="shared" si="5"/>
        <v>1</v>
      </c>
      <c r="K9" s="42">
        <f t="shared" si="1"/>
        <v>10</v>
      </c>
      <c r="L9" s="44"/>
      <c r="M9" s="44">
        <f t="shared" si="2"/>
        <v>22.088424891014924</v>
      </c>
      <c r="V9" s="45"/>
      <c r="Z9" s="46"/>
      <c r="AA9" s="46"/>
      <c r="AG9" s="47"/>
      <c r="AH9" s="19" t="s">
        <v>48</v>
      </c>
      <c r="AI9" s="19">
        <v>23</v>
      </c>
    </row>
    <row r="10" spans="1:36" ht="14.45" customHeight="1" x14ac:dyDescent="0.25">
      <c r="A10" s="33">
        <f t="shared" si="3"/>
        <v>5.9860243165075602</v>
      </c>
      <c r="B10" s="34">
        <f t="shared" si="0"/>
        <v>5</v>
      </c>
      <c r="C10" s="35" t="s">
        <v>19</v>
      </c>
      <c r="D10" s="35" t="s">
        <v>49</v>
      </c>
      <c r="E10" s="35"/>
      <c r="F10" s="35" t="s">
        <v>45</v>
      </c>
      <c r="G10" s="28"/>
      <c r="H10" s="36">
        <v>5</v>
      </c>
      <c r="I10" s="37">
        <f t="shared" si="4"/>
        <v>5.9860243165075602</v>
      </c>
      <c r="J10" s="36">
        <f t="shared" si="5"/>
        <v>0</v>
      </c>
      <c r="K10" s="36">
        <f t="shared" si="1"/>
        <v>0</v>
      </c>
      <c r="L10" s="36"/>
      <c r="M10" s="38">
        <f t="shared" si="2"/>
        <v>5.9860243165075602</v>
      </c>
      <c r="V10" s="45"/>
      <c r="Z10" s="46"/>
      <c r="AA10" s="46"/>
      <c r="AG10" s="47"/>
      <c r="AH10" s="19" t="s">
        <v>50</v>
      </c>
      <c r="AI10" s="19">
        <v>45</v>
      </c>
    </row>
    <row r="11" spans="1:36" ht="14.45" customHeight="1" x14ac:dyDescent="0.25">
      <c r="A11" s="39">
        <f t="shared" si="3"/>
        <v>1</v>
      </c>
      <c r="B11" s="40">
        <f t="shared" si="0"/>
        <v>6</v>
      </c>
      <c r="C11" s="41" t="s">
        <v>21</v>
      </c>
      <c r="D11" s="41" t="s">
        <v>51</v>
      </c>
      <c r="E11" s="41"/>
      <c r="F11" s="41" t="s">
        <v>45</v>
      </c>
      <c r="G11" s="28"/>
      <c r="H11" s="42">
        <v>6</v>
      </c>
      <c r="I11" s="43">
        <f t="shared" si="4"/>
        <v>1</v>
      </c>
      <c r="J11" s="42">
        <f t="shared" si="5"/>
        <v>0</v>
      </c>
      <c r="K11" s="42">
        <f t="shared" si="1"/>
        <v>0</v>
      </c>
      <c r="L11" s="42"/>
      <c r="M11" s="44">
        <f t="shared" si="2"/>
        <v>1</v>
      </c>
      <c r="V11" s="48"/>
      <c r="Z11" s="46"/>
      <c r="AA11" s="46"/>
      <c r="AG11" s="47"/>
      <c r="AH11" s="19" t="s">
        <v>52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0</v>
      </c>
      <c r="K12" s="36">
        <f t="shared" si="1"/>
        <v>0</v>
      </c>
      <c r="L12" s="36"/>
      <c r="M12" s="38">
        <f t="shared" si="2"/>
        <v>0</v>
      </c>
      <c r="Z12" s="46"/>
      <c r="AA12" s="46"/>
      <c r="AG12" s="47"/>
      <c r="AH12" s="19" t="s">
        <v>53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X13" s="45"/>
      <c r="AG13" s="47"/>
      <c r="AH13" s="19" t="s">
        <v>54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X14" s="51"/>
      <c r="Z14" s="46"/>
      <c r="AA14" s="46"/>
      <c r="AG14" s="47"/>
      <c r="AH14" s="19" t="s">
        <v>55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R16" s="52"/>
      <c r="Z16" s="46"/>
      <c r="AA16" s="46"/>
      <c r="AH16" s="53" t="s">
        <v>56</v>
      </c>
      <c r="AI16" s="19">
        <f>AI11-AI12*AI13/AI14</f>
        <v>9.6393909380186855</v>
      </c>
      <c r="AJ16" s="19" t="s">
        <v>57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R46" s="14">
        <f>LOG($H$2,2)</f>
        <v>2.5849625007211561</v>
      </c>
      <c r="T46" s="19">
        <f>LOG(H38,2)</f>
        <v>5.0443941193584534</v>
      </c>
      <c r="U46" s="19">
        <f>R46-T46</f>
        <v>-2.4594316186372973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9B9EFF1A-B350-4528-811C-9B9210742F19}">
      <formula1>#REF!</formula1>
    </dataValidation>
  </dataValidations>
  <hyperlinks>
    <hyperlink ref="C2:D2" r:id="rId1" display="KONIN" xr:uid="{D2584FC4-B58E-49E0-8824-B9AC801EE68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89D3-577A-44CF-8A3C-639FB719B8C8}">
  <sheetPr>
    <tabColor rgb="FF92D050"/>
  </sheetPr>
  <dimension ref="A1:AL317"/>
  <sheetViews>
    <sheetView workbookViewId="0">
      <selection activeCell="C26" sqref="C2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4" width="5.75" style="18" customWidth="1"/>
    <col min="15" max="15" width="1.875" style="18" bestFit="1" customWidth="1"/>
    <col min="16" max="16" width="21.75" style="64" bestFit="1" customWidth="1"/>
    <col min="17" max="17" width="1.875" style="18" bestFit="1" customWidth="1"/>
    <col min="18" max="18" width="5.375" style="18" customWidth="1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24</v>
      </c>
      <c r="I1" s="16" t="s">
        <v>25</v>
      </c>
      <c r="J1" s="16" t="s">
        <v>26</v>
      </c>
      <c r="K1" s="17" t="s">
        <v>27</v>
      </c>
      <c r="L1" s="18"/>
      <c r="M1" s="18"/>
    </row>
    <row r="2" spans="1:36" ht="14.3" customHeight="1" x14ac:dyDescent="0.25">
      <c r="A2" s="14"/>
      <c r="B2" s="20" t="s">
        <v>28</v>
      </c>
      <c r="C2" s="239" t="s">
        <v>58</v>
      </c>
      <c r="D2" s="239"/>
      <c r="E2" s="21"/>
      <c r="F2" s="21"/>
      <c r="G2" s="21"/>
      <c r="H2" s="22">
        <v>7</v>
      </c>
      <c r="I2" s="23">
        <v>50</v>
      </c>
      <c r="J2" s="23">
        <v>10</v>
      </c>
      <c r="K2" s="24">
        <f>3*H2^(1/3)</f>
        <v>5.738793548317167</v>
      </c>
      <c r="L2" s="18"/>
      <c r="M2" s="18"/>
    </row>
    <row r="3" spans="1:36" ht="14.3" customHeight="1" x14ac:dyDescent="0.25">
      <c r="A3" s="14"/>
      <c r="B3" s="25" t="s">
        <v>30</v>
      </c>
      <c r="C3" s="240" t="s">
        <v>59</v>
      </c>
      <c r="D3" s="240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30" t="s">
        <v>38</v>
      </c>
      <c r="I5" s="31" t="s">
        <v>39</v>
      </c>
      <c r="J5" s="32" t="s">
        <v>40</v>
      </c>
      <c r="K5" s="31" t="s">
        <v>41</v>
      </c>
      <c r="L5" s="31" t="s">
        <v>42</v>
      </c>
      <c r="M5" s="30" t="s">
        <v>43</v>
      </c>
      <c r="O5" s="207" t="s">
        <v>33</v>
      </c>
      <c r="P5" s="211" t="s">
        <v>34</v>
      </c>
      <c r="Q5" s="211" t="s">
        <v>40</v>
      </c>
      <c r="R5" s="211" t="s">
        <v>41</v>
      </c>
    </row>
    <row r="6" spans="1:36" ht="14.45" customHeight="1" x14ac:dyDescent="0.25">
      <c r="A6" s="33">
        <f>M6</f>
        <v>107.2163806449515</v>
      </c>
      <c r="B6" s="34">
        <f t="shared" ref="B6:B15" si="0">IF(H6&gt;$H$2,"",(ROW()-5))</f>
        <v>1</v>
      </c>
      <c r="C6" s="35" t="s">
        <v>16</v>
      </c>
      <c r="D6" s="35" t="s">
        <v>60</v>
      </c>
      <c r="E6" s="35" t="s">
        <v>45</v>
      </c>
      <c r="F6" s="35"/>
      <c r="G6" s="28"/>
      <c r="H6" s="36">
        <v>1</v>
      </c>
      <c r="I6" s="37">
        <f>IF(H2=1,50,IF(H6&lt;$H$2+1,($I$2-($I$2-1)*(LOG(H6)/LOG($H$2))),""))</f>
        <v>50</v>
      </c>
      <c r="J6" s="196">
        <v>4</v>
      </c>
      <c r="K6" s="36">
        <f t="shared" ref="K6:K69" si="1">J6*$J$2</f>
        <v>40</v>
      </c>
      <c r="L6" s="38">
        <f>3*K2</f>
        <v>17.216380644951499</v>
      </c>
      <c r="M6" s="38">
        <f t="shared" ref="M6:M69" si="2">IF(I6&lt;&gt;"",K6+I6+L6,0)</f>
        <v>107.2163806449515</v>
      </c>
      <c r="O6" s="207">
        <v>1</v>
      </c>
      <c r="P6" s="194" t="s">
        <v>61</v>
      </c>
      <c r="Q6" s="207">
        <v>4</v>
      </c>
      <c r="R6" s="207">
        <v>40</v>
      </c>
    </row>
    <row r="7" spans="1:36" ht="14.45" customHeight="1" x14ac:dyDescent="0.25">
      <c r="A7" s="39">
        <f t="shared" ref="A7:A37" si="3">M7</f>
        <v>74.023434928341246</v>
      </c>
      <c r="B7" s="40">
        <f t="shared" si="0"/>
        <v>2</v>
      </c>
      <c r="C7" s="41" t="s">
        <v>19</v>
      </c>
      <c r="D7" s="41" t="s">
        <v>62</v>
      </c>
      <c r="E7" s="41" t="s">
        <v>45</v>
      </c>
      <c r="F7" s="41"/>
      <c r="G7" s="28"/>
      <c r="H7" s="42">
        <v>2</v>
      </c>
      <c r="I7" s="43">
        <f t="shared" ref="I7:I69" si="4">IF(H7&lt;$H$2+1,($I$2-($I$2-1)*(LOG(H7)/LOG($H$2))),"")</f>
        <v>32.545847831706908</v>
      </c>
      <c r="J7" s="212">
        <v>3</v>
      </c>
      <c r="K7" s="42">
        <f t="shared" si="1"/>
        <v>30</v>
      </c>
      <c r="L7" s="44">
        <f>2*K2</f>
        <v>11.477587096634334</v>
      </c>
      <c r="M7" s="44">
        <f t="shared" si="2"/>
        <v>74.023434928341246</v>
      </c>
      <c r="O7" s="207">
        <v>2</v>
      </c>
      <c r="P7" s="194" t="s">
        <v>63</v>
      </c>
      <c r="Q7" s="207">
        <v>3</v>
      </c>
      <c r="R7" s="207">
        <v>30</v>
      </c>
    </row>
    <row r="8" spans="1:36" ht="14.45" customHeight="1" x14ac:dyDescent="0.25">
      <c r="A8" s="33">
        <f t="shared" si="3"/>
        <v>38.074616879691767</v>
      </c>
      <c r="B8" s="34">
        <f t="shared" si="0"/>
        <v>3</v>
      </c>
      <c r="C8" s="35" t="s">
        <v>18</v>
      </c>
      <c r="D8" s="35" t="s">
        <v>64</v>
      </c>
      <c r="E8" s="35" t="s">
        <v>45</v>
      </c>
      <c r="F8" s="35"/>
      <c r="G8" s="28"/>
      <c r="H8" s="36">
        <v>3</v>
      </c>
      <c r="I8" s="37">
        <f t="shared" si="4"/>
        <v>22.335823331374595</v>
      </c>
      <c r="J8" s="36">
        <f t="shared" ref="J8:J70" si="5">INT(LOG($H$2,2))-ROUNDUP(LOG(H8,2),0)+IF(OR($H$2=1,$H$2=2,$H$2=4,$H$2=8,$H$2=16,$H$2=32,$H$2=64,$H$2=128,$H$2=256),0,1)</f>
        <v>1</v>
      </c>
      <c r="K8" s="36">
        <f t="shared" si="1"/>
        <v>10</v>
      </c>
      <c r="L8" s="38">
        <f>K2</f>
        <v>5.738793548317167</v>
      </c>
      <c r="M8" s="38">
        <f t="shared" si="2"/>
        <v>38.074616879691767</v>
      </c>
      <c r="O8" s="207">
        <v>3</v>
      </c>
      <c r="P8" s="194" t="s">
        <v>65</v>
      </c>
      <c r="Q8" s="207">
        <v>2</v>
      </c>
      <c r="R8" s="207">
        <v>20</v>
      </c>
    </row>
    <row r="9" spans="1:36" ht="14.45" customHeight="1" x14ac:dyDescent="0.25">
      <c r="A9" s="39">
        <f t="shared" si="3"/>
        <v>25.091695663413823</v>
      </c>
      <c r="B9" s="40">
        <f t="shared" si="0"/>
        <v>4</v>
      </c>
      <c r="C9" s="41" t="s">
        <v>17</v>
      </c>
      <c r="D9" s="41" t="s">
        <v>66</v>
      </c>
      <c r="E9" s="41" t="s">
        <v>45</v>
      </c>
      <c r="F9" s="41"/>
      <c r="G9" s="28"/>
      <c r="H9" s="42">
        <v>4</v>
      </c>
      <c r="I9" s="43">
        <f t="shared" si="4"/>
        <v>15.091695663413823</v>
      </c>
      <c r="J9" s="42">
        <f t="shared" si="5"/>
        <v>1</v>
      </c>
      <c r="K9" s="42">
        <f t="shared" si="1"/>
        <v>10</v>
      </c>
      <c r="L9" s="44"/>
      <c r="M9" s="44">
        <f t="shared" si="2"/>
        <v>25.091695663413823</v>
      </c>
      <c r="O9" s="207">
        <v>4</v>
      </c>
      <c r="P9" s="194" t="s">
        <v>67</v>
      </c>
      <c r="Q9" s="207">
        <v>2</v>
      </c>
      <c r="R9" s="207">
        <v>20</v>
      </c>
      <c r="V9" s="45"/>
      <c r="Z9" s="46"/>
      <c r="AA9" s="46"/>
      <c r="AG9" s="47"/>
      <c r="AH9" s="19" t="s">
        <v>48</v>
      </c>
      <c r="AI9" s="19">
        <v>23</v>
      </c>
    </row>
    <row r="10" spans="1:36" ht="14.45" customHeight="1" x14ac:dyDescent="0.25">
      <c r="A10" s="33">
        <f t="shared" si="3"/>
        <v>19.472713708001109</v>
      </c>
      <c r="B10" s="34">
        <f t="shared" si="0"/>
        <v>5</v>
      </c>
      <c r="C10" s="35" t="s">
        <v>20</v>
      </c>
      <c r="D10" s="35" t="s">
        <v>66</v>
      </c>
      <c r="E10" s="35" t="s">
        <v>45</v>
      </c>
      <c r="F10" s="35"/>
      <c r="G10" s="28"/>
      <c r="H10" s="36">
        <v>5</v>
      </c>
      <c r="I10" s="37">
        <f t="shared" si="4"/>
        <v>9.472713708001109</v>
      </c>
      <c r="J10" s="196">
        <v>1</v>
      </c>
      <c r="K10" s="36">
        <f t="shared" si="1"/>
        <v>10</v>
      </c>
      <c r="L10" s="36"/>
      <c r="M10" s="38">
        <f t="shared" si="2"/>
        <v>19.472713708001109</v>
      </c>
      <c r="O10" s="207">
        <v>5</v>
      </c>
      <c r="P10" s="194" t="s">
        <v>68</v>
      </c>
      <c r="Q10" s="207">
        <v>1</v>
      </c>
      <c r="R10" s="207">
        <v>10</v>
      </c>
      <c r="V10" s="45"/>
      <c r="Z10" s="46"/>
      <c r="AA10" s="46"/>
      <c r="AG10" s="47"/>
      <c r="AH10" s="19" t="s">
        <v>50</v>
      </c>
      <c r="AI10" s="19">
        <v>45</v>
      </c>
    </row>
    <row r="11" spans="1:36" ht="14.45" customHeight="1" x14ac:dyDescent="0.25">
      <c r="A11" s="39">
        <f t="shared" si="3"/>
        <v>14.881671163081513</v>
      </c>
      <c r="B11" s="40">
        <f t="shared" si="0"/>
        <v>6</v>
      </c>
      <c r="C11" s="41" t="s">
        <v>22</v>
      </c>
      <c r="D11" s="41" t="s">
        <v>69</v>
      </c>
      <c r="E11" s="41" t="s">
        <v>45</v>
      </c>
      <c r="F11" s="41"/>
      <c r="G11" s="28"/>
      <c r="H11" s="42">
        <v>6</v>
      </c>
      <c r="I11" s="43">
        <f t="shared" si="4"/>
        <v>4.8816711630815135</v>
      </c>
      <c r="J11" s="212">
        <v>1</v>
      </c>
      <c r="K11" s="42">
        <f t="shared" si="1"/>
        <v>10</v>
      </c>
      <c r="L11" s="42"/>
      <c r="M11" s="44">
        <f t="shared" si="2"/>
        <v>14.881671163081513</v>
      </c>
      <c r="O11" s="207">
        <v>6</v>
      </c>
      <c r="P11" s="194" t="s">
        <v>70</v>
      </c>
      <c r="Q11" s="207">
        <v>1</v>
      </c>
      <c r="R11" s="207">
        <v>10</v>
      </c>
      <c r="V11" s="48"/>
      <c r="Z11" s="46"/>
      <c r="AA11" s="46"/>
      <c r="AG11" s="47"/>
      <c r="AH11" s="19" t="s">
        <v>52</v>
      </c>
      <c r="AI11" s="19">
        <v>50</v>
      </c>
    </row>
    <row r="12" spans="1:36" ht="14.45" customHeight="1" x14ac:dyDescent="0.25">
      <c r="A12" s="33">
        <f t="shared" si="3"/>
        <v>1</v>
      </c>
      <c r="B12" s="34">
        <f t="shared" si="0"/>
        <v>7</v>
      </c>
      <c r="C12" s="35" t="s">
        <v>21</v>
      </c>
      <c r="D12" s="35" t="s">
        <v>71</v>
      </c>
      <c r="E12" s="35" t="s">
        <v>45</v>
      </c>
      <c r="F12" s="35"/>
      <c r="G12" s="28"/>
      <c r="H12" s="36">
        <v>7</v>
      </c>
      <c r="I12" s="37">
        <f t="shared" si="4"/>
        <v>1</v>
      </c>
      <c r="J12" s="36">
        <f t="shared" si="5"/>
        <v>0</v>
      </c>
      <c r="K12" s="36">
        <f t="shared" si="1"/>
        <v>0</v>
      </c>
      <c r="L12" s="36"/>
      <c r="M12" s="38">
        <f t="shared" si="2"/>
        <v>1</v>
      </c>
      <c r="O12" s="207">
        <v>7</v>
      </c>
      <c r="P12" s="194" t="s">
        <v>72</v>
      </c>
      <c r="Q12" s="207">
        <v>1</v>
      </c>
      <c r="R12" s="207">
        <v>10</v>
      </c>
      <c r="Z12" s="46"/>
      <c r="AA12" s="46"/>
      <c r="AG12" s="47"/>
      <c r="AH12" s="19" t="s">
        <v>53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O13" s="207">
        <v>8</v>
      </c>
      <c r="P13" s="194" t="s">
        <v>73</v>
      </c>
      <c r="Q13" s="207">
        <v>1</v>
      </c>
      <c r="R13" s="207">
        <v>10</v>
      </c>
      <c r="X13" s="45"/>
      <c r="AG13" s="47"/>
      <c r="AH13" s="19" t="s">
        <v>54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O14" s="207">
        <v>9</v>
      </c>
      <c r="P14" s="194" t="s">
        <v>74</v>
      </c>
      <c r="Q14" s="207">
        <v>0</v>
      </c>
      <c r="R14" s="207">
        <v>0</v>
      </c>
      <c r="X14" s="51"/>
      <c r="Z14" s="46"/>
      <c r="AA14" s="46"/>
      <c r="AG14" s="47"/>
      <c r="AH14" s="19" t="s">
        <v>55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ref="B16:B65" si="6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Q16" s="195"/>
      <c r="Z16" s="46"/>
      <c r="AA16" s="46"/>
      <c r="AH16" s="53" t="s">
        <v>56</v>
      </c>
      <c r="AI16" s="19">
        <f>AI11-AI12*AI13/AI14</f>
        <v>9.6393909380186855</v>
      </c>
      <c r="AJ16" s="19" t="s">
        <v>57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Q20" s="196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Q24" s="196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Q28" s="196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Q32" s="196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Q36" s="196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Q46" s="18">
        <f>LOG($H$2,2)</f>
        <v>2.8073549220576042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197"/>
    </row>
    <row r="315" spans="1:16" x14ac:dyDescent="0.25">
      <c r="L315" s="62"/>
      <c r="P315" s="197"/>
    </row>
    <row r="316" spans="1:16" x14ac:dyDescent="0.25">
      <c r="L316" s="62"/>
      <c r="P316" s="197"/>
    </row>
    <row r="317" spans="1:16" x14ac:dyDescent="0.25">
      <c r="L317" s="62"/>
      <c r="P317" s="197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11F33710-2A0B-442B-A0D5-22581900C6BC}">
      <formula1>#REF!</formula1>
    </dataValidation>
  </dataValidations>
  <hyperlinks>
    <hyperlink ref="C2" r:id="rId1" display="https://www.fencingtimelive.com/events/results/6DDEF73613864C3689CEE17CF5F2A317" xr:uid="{0638AD9B-1AFB-452C-A6D5-DA3BA0DA271D}"/>
    <hyperlink ref="C2:D2" r:id="rId2" display="BYTOM" xr:uid="{4397C5B6-0A00-48A5-B51A-7A3B3BE50E6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ABF-E78D-49EE-AEED-FD1B8815F4E1}">
  <sheetPr>
    <tabColor rgb="FF92D050"/>
  </sheetPr>
  <dimension ref="A1:AL317"/>
  <sheetViews>
    <sheetView workbookViewId="0">
      <selection activeCell="C24" sqref="C24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6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24</v>
      </c>
      <c r="I1" s="121" t="s">
        <v>25</v>
      </c>
      <c r="J1" s="121" t="s">
        <v>26</v>
      </c>
      <c r="K1" s="122" t="s">
        <v>27</v>
      </c>
      <c r="L1" s="123"/>
      <c r="M1" s="123"/>
    </row>
    <row r="2" spans="1:36" ht="14.45" customHeight="1" x14ac:dyDescent="0.25">
      <c r="A2" s="119"/>
      <c r="B2" s="20" t="s">
        <v>28</v>
      </c>
      <c r="C2" s="237" t="s">
        <v>75</v>
      </c>
      <c r="D2" s="237"/>
      <c r="E2" s="21"/>
      <c r="F2" s="21"/>
      <c r="G2" s="21"/>
      <c r="H2" s="125">
        <v>5</v>
      </c>
      <c r="I2" s="126">
        <v>50</v>
      </c>
      <c r="J2" s="126">
        <v>10</v>
      </c>
      <c r="K2" s="127">
        <f>3*H2^(1/3)</f>
        <v>5.1299278400300903</v>
      </c>
      <c r="L2" s="123"/>
      <c r="M2" s="123"/>
    </row>
    <row r="3" spans="1:36" ht="14.45" customHeight="1" x14ac:dyDescent="0.25">
      <c r="A3" s="119"/>
      <c r="B3" s="128" t="s">
        <v>30</v>
      </c>
      <c r="C3" s="238" t="s">
        <v>76</v>
      </c>
      <c r="D3" s="238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30" t="s">
        <v>38</v>
      </c>
      <c r="I5" s="131" t="s">
        <v>39</v>
      </c>
      <c r="J5" s="132" t="s">
        <v>40</v>
      </c>
      <c r="K5" s="131" t="s">
        <v>41</v>
      </c>
      <c r="L5" s="131" t="s">
        <v>42</v>
      </c>
      <c r="M5" s="130" t="s">
        <v>43</v>
      </c>
    </row>
    <row r="6" spans="1:36" ht="25.85" x14ac:dyDescent="0.25">
      <c r="A6" s="33">
        <f>M6</f>
        <v>95.389783520090276</v>
      </c>
      <c r="B6" s="34">
        <f t="shared" ref="B6:B16" si="0">IF(H6&gt;$H$2,"",(ROW()-5))</f>
        <v>1</v>
      </c>
      <c r="C6" s="35" t="s">
        <v>16</v>
      </c>
      <c r="D6" s="35" t="s">
        <v>77</v>
      </c>
      <c r="E6" s="35" t="s">
        <v>45</v>
      </c>
      <c r="F6" s="35"/>
      <c r="G6" s="28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3</v>
      </c>
      <c r="K6" s="133">
        <f t="shared" ref="K6:K69" si="1">J6*$J$2</f>
        <v>30</v>
      </c>
      <c r="L6" s="135">
        <f>3*K2</f>
        <v>15.389783520090271</v>
      </c>
      <c r="M6" s="135">
        <f t="shared" ref="M6:M69" si="2">IF(I6&lt;&gt;"",K6+I6+L6,0)</f>
        <v>95.389783520090276</v>
      </c>
    </row>
    <row r="7" spans="1:36" ht="25.85" x14ac:dyDescent="0.25">
      <c r="A7" s="39">
        <f t="shared" ref="A7:A37" si="3">M7</f>
        <v>59.156704334463925</v>
      </c>
      <c r="B7" s="40">
        <f t="shared" si="0"/>
        <v>2</v>
      </c>
      <c r="C7" s="41" t="s">
        <v>17</v>
      </c>
      <c r="D7" s="41" t="s">
        <v>66</v>
      </c>
      <c r="E7" s="41" t="s">
        <v>45</v>
      </c>
      <c r="F7" s="41"/>
      <c r="G7" s="28"/>
      <c r="H7" s="136">
        <v>2</v>
      </c>
      <c r="I7" s="137">
        <f t="shared" ref="I7:I70" si="4">IF(H7&lt;$H$2+1,($I$2-($I$2-1)*(LOG(H7)/LOG($H$2))),"")</f>
        <v>28.896848654403744</v>
      </c>
      <c r="J7" s="136">
        <f t="shared" ref="J7:J70" si="5">INT(LOG($H$2,2))-ROUNDUP(LOG(H7,2),0)+IF(OR($H$2=1,$H$2=2,$H$2=4,$H$2=8,$H$2=16,$H$2=32,$H$2=64,$H$2=128,$H$2=256),0,1)</f>
        <v>2</v>
      </c>
      <c r="K7" s="136">
        <f t="shared" si="1"/>
        <v>20</v>
      </c>
      <c r="L7" s="138">
        <f>2*K2</f>
        <v>10.259855680060181</v>
      </c>
      <c r="M7" s="138">
        <f t="shared" si="2"/>
        <v>59.156704334463925</v>
      </c>
    </row>
    <row r="8" spans="1:36" x14ac:dyDescent="0.25">
      <c r="A8" s="33">
        <f t="shared" si="3"/>
        <v>31.682224310216817</v>
      </c>
      <c r="B8" s="34">
        <f t="shared" si="0"/>
        <v>3</v>
      </c>
      <c r="C8" s="35" t="s">
        <v>19</v>
      </c>
      <c r="D8" s="35" t="s">
        <v>78</v>
      </c>
      <c r="E8" s="35" t="s">
        <v>45</v>
      </c>
      <c r="F8" s="35"/>
      <c r="G8" s="28"/>
      <c r="H8" s="133">
        <v>3</v>
      </c>
      <c r="I8" s="134">
        <f t="shared" si="4"/>
        <v>16.552296470186725</v>
      </c>
      <c r="J8" s="133">
        <f t="shared" si="5"/>
        <v>1</v>
      </c>
      <c r="K8" s="133">
        <f t="shared" si="1"/>
        <v>10</v>
      </c>
      <c r="L8" s="135">
        <f>K2</f>
        <v>5.1299278400300903</v>
      </c>
      <c r="M8" s="135">
        <f t="shared" si="2"/>
        <v>31.682224310216817</v>
      </c>
    </row>
    <row r="9" spans="1:36" x14ac:dyDescent="0.25">
      <c r="A9" s="39">
        <f t="shared" si="3"/>
        <v>17.793697308807488</v>
      </c>
      <c r="B9" s="40">
        <f t="shared" si="0"/>
        <v>4</v>
      </c>
      <c r="C9" s="41" t="s">
        <v>18</v>
      </c>
      <c r="D9" s="41" t="s">
        <v>64</v>
      </c>
      <c r="E9" s="41" t="s">
        <v>45</v>
      </c>
      <c r="F9" s="41"/>
      <c r="G9" s="28"/>
      <c r="H9" s="136">
        <v>4</v>
      </c>
      <c r="I9" s="137">
        <f t="shared" si="4"/>
        <v>7.7936973088074879</v>
      </c>
      <c r="J9" s="136">
        <f t="shared" si="5"/>
        <v>1</v>
      </c>
      <c r="K9" s="136">
        <f t="shared" si="1"/>
        <v>10</v>
      </c>
      <c r="L9" s="138"/>
      <c r="M9" s="138">
        <f t="shared" si="2"/>
        <v>17.793697308807488</v>
      </c>
      <c r="V9" s="139"/>
      <c r="Z9" s="140"/>
      <c r="AA9" s="140"/>
      <c r="AG9" s="141"/>
      <c r="AH9" s="124" t="s">
        <v>48</v>
      </c>
      <c r="AI9" s="124">
        <v>23</v>
      </c>
    </row>
    <row r="10" spans="1:36" ht="38.75" x14ac:dyDescent="0.25">
      <c r="A10" s="33">
        <f t="shared" si="3"/>
        <v>1</v>
      </c>
      <c r="B10" s="34">
        <f t="shared" si="0"/>
        <v>5</v>
      </c>
      <c r="C10" s="35" t="s">
        <v>21</v>
      </c>
      <c r="D10" s="35" t="s">
        <v>79</v>
      </c>
      <c r="E10" s="35" t="s">
        <v>45</v>
      </c>
      <c r="F10" s="35"/>
      <c r="G10" s="28"/>
      <c r="H10" s="133">
        <v>5</v>
      </c>
      <c r="I10" s="134">
        <f t="shared" si="4"/>
        <v>1</v>
      </c>
      <c r="J10" s="133">
        <f t="shared" si="5"/>
        <v>0</v>
      </c>
      <c r="K10" s="133">
        <f t="shared" si="1"/>
        <v>0</v>
      </c>
      <c r="L10" s="133"/>
      <c r="M10" s="135">
        <f t="shared" si="2"/>
        <v>1</v>
      </c>
      <c r="V10" s="139"/>
      <c r="Z10" s="140"/>
      <c r="AA10" s="140"/>
      <c r="AG10" s="141"/>
      <c r="AH10" s="124" t="s">
        <v>50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0</v>
      </c>
      <c r="K11" s="136">
        <f t="shared" si="1"/>
        <v>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52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0</v>
      </c>
      <c r="K12" s="133">
        <f t="shared" si="1"/>
        <v>0</v>
      </c>
      <c r="L12" s="133"/>
      <c r="M12" s="135">
        <f t="shared" si="2"/>
        <v>0</v>
      </c>
      <c r="Z12" s="140"/>
      <c r="AA12" s="140"/>
      <c r="AG12" s="141"/>
      <c r="AH12" s="124" t="s">
        <v>53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0</v>
      </c>
      <c r="K13" s="136">
        <f t="shared" si="1"/>
        <v>0</v>
      </c>
      <c r="L13" s="136"/>
      <c r="M13" s="138">
        <f t="shared" si="2"/>
        <v>0</v>
      </c>
      <c r="X13" s="139"/>
      <c r="AG13" s="141"/>
      <c r="AH13" s="124" t="s">
        <v>54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-1</v>
      </c>
      <c r="K14" s="133">
        <f t="shared" si="1"/>
        <v>-10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55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-1</v>
      </c>
      <c r="K15" s="136">
        <f t="shared" si="1"/>
        <v>-10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-1</v>
      </c>
      <c r="K16" s="133">
        <f t="shared" si="1"/>
        <v>-10</v>
      </c>
      <c r="L16" s="133"/>
      <c r="M16" s="135">
        <f t="shared" si="2"/>
        <v>0</v>
      </c>
      <c r="R16" s="144"/>
      <c r="Z16" s="140"/>
      <c r="AA16" s="140"/>
      <c r="AH16" s="145" t="s">
        <v>56</v>
      </c>
      <c r="AI16" s="124">
        <f>AI11-AI12*AI13/AI14</f>
        <v>9.6393909380186855</v>
      </c>
      <c r="AJ16" s="124" t="s">
        <v>57</v>
      </c>
    </row>
    <row r="17" spans="1:19" x14ac:dyDescent="0.25">
      <c r="A17" s="49">
        <f t="shared" si="3"/>
        <v>0</v>
      </c>
      <c r="B17" s="40" t="str">
        <f t="shared" ref="B17:B65" si="6">IF(H17&gt;$H$2,"",(ROW()-5))</f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-1</v>
      </c>
      <c r="K17" s="136">
        <f t="shared" si="1"/>
        <v>-10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-1</v>
      </c>
      <c r="K18" s="133">
        <f t="shared" si="1"/>
        <v>-10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-1</v>
      </c>
      <c r="K19" s="136">
        <f t="shared" si="1"/>
        <v>-10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-1</v>
      </c>
      <c r="K20" s="133">
        <f t="shared" si="1"/>
        <v>-10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-1</v>
      </c>
      <c r="K21" s="136">
        <f t="shared" si="1"/>
        <v>-10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-2</v>
      </c>
      <c r="K22" s="133">
        <f t="shared" si="1"/>
        <v>-20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-2</v>
      </c>
      <c r="K23" s="136">
        <f t="shared" si="1"/>
        <v>-20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-2</v>
      </c>
      <c r="K24" s="133">
        <f t="shared" si="1"/>
        <v>-20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-2</v>
      </c>
      <c r="K25" s="136">
        <f t="shared" si="1"/>
        <v>-20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-2</v>
      </c>
      <c r="K26" s="133">
        <f t="shared" si="1"/>
        <v>-20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-2</v>
      </c>
      <c r="K27" s="136">
        <f t="shared" si="1"/>
        <v>-20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-2</v>
      </c>
      <c r="K28" s="133">
        <f t="shared" si="1"/>
        <v>-20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-2</v>
      </c>
      <c r="K29" s="136">
        <f t="shared" si="1"/>
        <v>-20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-2</v>
      </c>
      <c r="K30" s="133">
        <f t="shared" si="1"/>
        <v>-20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-2</v>
      </c>
      <c r="K31" s="136">
        <f t="shared" si="1"/>
        <v>-20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-2</v>
      </c>
      <c r="K32" s="133">
        <f t="shared" si="1"/>
        <v>-20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-2</v>
      </c>
      <c r="K33" s="136">
        <f t="shared" si="1"/>
        <v>-20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-2</v>
      </c>
      <c r="K34" s="133">
        <f t="shared" si="1"/>
        <v>-20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-2</v>
      </c>
      <c r="K35" s="136">
        <f t="shared" si="1"/>
        <v>-20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-2</v>
      </c>
      <c r="K36" s="133">
        <f t="shared" si="1"/>
        <v>-20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-2</v>
      </c>
      <c r="K37" s="136">
        <f t="shared" si="1"/>
        <v>-20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-3</v>
      </c>
      <c r="K38" s="133">
        <f t="shared" si="1"/>
        <v>-30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-3</v>
      </c>
      <c r="K39" s="136">
        <f t="shared" si="1"/>
        <v>-30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-3</v>
      </c>
      <c r="K40" s="133">
        <f t="shared" si="1"/>
        <v>-30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-3</v>
      </c>
      <c r="K41" s="136">
        <f t="shared" si="1"/>
        <v>-30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-3</v>
      </c>
      <c r="K42" s="133">
        <f t="shared" si="1"/>
        <v>-30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-3</v>
      </c>
      <c r="K43" s="136">
        <f t="shared" si="1"/>
        <v>-30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-3</v>
      </c>
      <c r="K44" s="133">
        <f t="shared" si="1"/>
        <v>-30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-3</v>
      </c>
      <c r="K45" s="136">
        <f t="shared" si="1"/>
        <v>-30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-3</v>
      </c>
      <c r="K46" s="133">
        <f t="shared" si="1"/>
        <v>-30</v>
      </c>
      <c r="L46" s="133"/>
      <c r="M46" s="135">
        <f t="shared" si="2"/>
        <v>0</v>
      </c>
      <c r="R46" s="119">
        <f>LOG($H$2,2)</f>
        <v>2.3219280948873622</v>
      </c>
      <c r="T46" s="124">
        <f>LOG(H38,2)</f>
        <v>5.0443941193584534</v>
      </c>
      <c r="U46" s="124">
        <f>R46-T46</f>
        <v>-2.7224660244710912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-3</v>
      </c>
      <c r="K47" s="136">
        <f t="shared" si="1"/>
        <v>-30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-3</v>
      </c>
      <c r="K48" s="133">
        <f t="shared" si="1"/>
        <v>-30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-3</v>
      </c>
      <c r="K49" s="136">
        <f t="shared" si="1"/>
        <v>-30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-3</v>
      </c>
      <c r="K50" s="133">
        <f t="shared" si="1"/>
        <v>-30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-3</v>
      </c>
      <c r="K51" s="136">
        <f t="shared" si="1"/>
        <v>-30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-3</v>
      </c>
      <c r="K52" s="133">
        <f t="shared" si="1"/>
        <v>-30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-3</v>
      </c>
      <c r="K53" s="136">
        <f t="shared" si="1"/>
        <v>-30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-3</v>
      </c>
      <c r="K54" s="133">
        <f t="shared" si="1"/>
        <v>-30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-3</v>
      </c>
      <c r="K55" s="136">
        <f t="shared" si="1"/>
        <v>-30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-3</v>
      </c>
      <c r="K56" s="133">
        <f t="shared" si="1"/>
        <v>-30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-3</v>
      </c>
      <c r="K57" s="136">
        <f t="shared" si="1"/>
        <v>-30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-3</v>
      </c>
      <c r="K58" s="133">
        <f t="shared" si="1"/>
        <v>-30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-3</v>
      </c>
      <c r="K59" s="136">
        <f t="shared" si="1"/>
        <v>-30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-3</v>
      </c>
      <c r="K60" s="133">
        <f t="shared" si="1"/>
        <v>-30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-3</v>
      </c>
      <c r="K61" s="136">
        <f t="shared" si="1"/>
        <v>-30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-3</v>
      </c>
      <c r="K62" s="133">
        <f t="shared" si="1"/>
        <v>-30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-3</v>
      </c>
      <c r="K63" s="136">
        <f t="shared" si="1"/>
        <v>-30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-3</v>
      </c>
      <c r="K64" s="133">
        <f t="shared" si="1"/>
        <v>-30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-3</v>
      </c>
      <c r="K65" s="136">
        <f t="shared" si="1"/>
        <v>-30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-3</v>
      </c>
      <c r="K66" s="133">
        <f t="shared" si="1"/>
        <v>-30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-3</v>
      </c>
      <c r="K67" s="133">
        <f t="shared" si="1"/>
        <v>-30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-3</v>
      </c>
      <c r="K68" s="133">
        <f t="shared" si="1"/>
        <v>-30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-3</v>
      </c>
      <c r="K69" s="133">
        <f t="shared" si="1"/>
        <v>-30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-4</v>
      </c>
      <c r="K70" s="133">
        <f t="shared" ref="K70:K133" si="7">J70*$J$2</f>
        <v>-40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-4</v>
      </c>
      <c r="K71" s="133">
        <f t="shared" si="7"/>
        <v>-40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-4</v>
      </c>
      <c r="K72" s="133">
        <f t="shared" si="7"/>
        <v>-40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-4</v>
      </c>
      <c r="K73" s="133">
        <f t="shared" si="7"/>
        <v>-40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-4</v>
      </c>
      <c r="K74" s="133">
        <f t="shared" si="7"/>
        <v>-40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-4</v>
      </c>
      <c r="K75" s="133">
        <f t="shared" si="7"/>
        <v>-40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-4</v>
      </c>
      <c r="K76" s="133">
        <f t="shared" si="7"/>
        <v>-40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-4</v>
      </c>
      <c r="K77" s="133">
        <f t="shared" si="7"/>
        <v>-40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-4</v>
      </c>
      <c r="K78" s="133">
        <f t="shared" si="7"/>
        <v>-40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-4</v>
      </c>
      <c r="K79" s="133">
        <f t="shared" si="7"/>
        <v>-40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-4</v>
      </c>
      <c r="K80" s="133">
        <f t="shared" si="7"/>
        <v>-40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-4</v>
      </c>
      <c r="K81" s="133">
        <f t="shared" si="7"/>
        <v>-40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-4</v>
      </c>
      <c r="K82" s="133">
        <f t="shared" si="7"/>
        <v>-40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-4</v>
      </c>
      <c r="K83" s="133">
        <f t="shared" si="7"/>
        <v>-40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-4</v>
      </c>
      <c r="K84" s="133">
        <f t="shared" si="7"/>
        <v>-40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-4</v>
      </c>
      <c r="K85" s="133">
        <f t="shared" si="7"/>
        <v>-40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-4</v>
      </c>
      <c r="K86" s="133">
        <f t="shared" si="7"/>
        <v>-40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-4</v>
      </c>
      <c r="K87" s="133">
        <f t="shared" si="7"/>
        <v>-40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-4</v>
      </c>
      <c r="K88" s="133">
        <f t="shared" si="7"/>
        <v>-40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-4</v>
      </c>
      <c r="K89" s="133">
        <f t="shared" si="7"/>
        <v>-40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-4</v>
      </c>
      <c r="K90" s="133">
        <f t="shared" si="7"/>
        <v>-40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-4</v>
      </c>
      <c r="K91" s="133">
        <f t="shared" si="7"/>
        <v>-40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-4</v>
      </c>
      <c r="K92" s="133">
        <f t="shared" si="7"/>
        <v>-40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-4</v>
      </c>
      <c r="K93" s="133">
        <f t="shared" si="7"/>
        <v>-40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-4</v>
      </c>
      <c r="K94" s="133">
        <f t="shared" si="7"/>
        <v>-40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-4</v>
      </c>
      <c r="K95" s="133">
        <f t="shared" si="7"/>
        <v>-40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-4</v>
      </c>
      <c r="K96" s="133">
        <f t="shared" si="7"/>
        <v>-40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-4</v>
      </c>
      <c r="K97" s="133">
        <f t="shared" si="7"/>
        <v>-40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-4</v>
      </c>
      <c r="K98" s="133">
        <f t="shared" si="7"/>
        <v>-40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-4</v>
      </c>
      <c r="K99" s="133">
        <f t="shared" si="7"/>
        <v>-40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-4</v>
      </c>
      <c r="K100" s="133">
        <f t="shared" si="7"/>
        <v>-40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-4</v>
      </c>
      <c r="K101" s="133">
        <f t="shared" si="7"/>
        <v>-40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-4</v>
      </c>
      <c r="K102" s="133">
        <f t="shared" si="7"/>
        <v>-40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-4</v>
      </c>
      <c r="K103" s="133">
        <f t="shared" si="7"/>
        <v>-40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-4</v>
      </c>
      <c r="K104" s="133">
        <f t="shared" si="7"/>
        <v>-40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-4</v>
      </c>
      <c r="K105" s="133">
        <f t="shared" si="7"/>
        <v>-40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-4</v>
      </c>
      <c r="K106" s="133">
        <f t="shared" si="7"/>
        <v>-40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-4</v>
      </c>
      <c r="K107" s="133">
        <f t="shared" si="7"/>
        <v>-40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-4</v>
      </c>
      <c r="K108" s="133">
        <f t="shared" si="7"/>
        <v>-40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-4</v>
      </c>
      <c r="K109" s="133">
        <f t="shared" si="7"/>
        <v>-40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-4</v>
      </c>
      <c r="K110" s="133">
        <f t="shared" si="7"/>
        <v>-40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-4</v>
      </c>
      <c r="K111" s="133">
        <f t="shared" si="7"/>
        <v>-40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-4</v>
      </c>
      <c r="K112" s="133">
        <f t="shared" si="7"/>
        <v>-40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-4</v>
      </c>
      <c r="K113" s="133">
        <f t="shared" si="7"/>
        <v>-40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-4</v>
      </c>
      <c r="K114" s="133">
        <f t="shared" si="7"/>
        <v>-40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-4</v>
      </c>
      <c r="K115" s="133">
        <f t="shared" si="7"/>
        <v>-40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-4</v>
      </c>
      <c r="K116" s="133">
        <f t="shared" si="7"/>
        <v>-40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-4</v>
      </c>
      <c r="K117" s="133">
        <f t="shared" si="7"/>
        <v>-40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-4</v>
      </c>
      <c r="K118" s="133">
        <f t="shared" si="7"/>
        <v>-40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-4</v>
      </c>
      <c r="K119" s="133">
        <f t="shared" si="7"/>
        <v>-40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-4</v>
      </c>
      <c r="K120" s="133">
        <f t="shared" si="7"/>
        <v>-40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-4</v>
      </c>
      <c r="K121" s="133">
        <f t="shared" si="7"/>
        <v>-40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-4</v>
      </c>
      <c r="K122" s="133">
        <f t="shared" si="7"/>
        <v>-40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-4</v>
      </c>
      <c r="K123" s="133">
        <f t="shared" si="7"/>
        <v>-40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-4</v>
      </c>
      <c r="K124" s="133">
        <f t="shared" si="7"/>
        <v>-40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-4</v>
      </c>
      <c r="K125" s="133">
        <f t="shared" si="7"/>
        <v>-40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-4</v>
      </c>
      <c r="K126" s="133">
        <f t="shared" si="7"/>
        <v>-40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-4</v>
      </c>
      <c r="K127" s="133">
        <f t="shared" si="7"/>
        <v>-40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-4</v>
      </c>
      <c r="K128" s="133">
        <f t="shared" si="7"/>
        <v>-40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-4</v>
      </c>
      <c r="K129" s="133">
        <f t="shared" si="7"/>
        <v>-40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-4</v>
      </c>
      <c r="K130" s="133">
        <f t="shared" si="7"/>
        <v>-40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-4</v>
      </c>
      <c r="K131" s="133">
        <f t="shared" si="7"/>
        <v>-40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-4</v>
      </c>
      <c r="K132" s="133">
        <f t="shared" si="7"/>
        <v>-40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-4</v>
      </c>
      <c r="K133" s="133">
        <f t="shared" si="7"/>
        <v>-40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-5</v>
      </c>
      <c r="K134" s="133">
        <f t="shared" ref="K134:K197" si="11">J134*$J$2</f>
        <v>-50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-5</v>
      </c>
      <c r="K135" s="133">
        <f t="shared" si="11"/>
        <v>-50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-5</v>
      </c>
      <c r="K136" s="133">
        <f t="shared" si="11"/>
        <v>-50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-5</v>
      </c>
      <c r="K137" s="133">
        <f t="shared" si="11"/>
        <v>-50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-5</v>
      </c>
      <c r="K138" s="133">
        <f t="shared" si="11"/>
        <v>-50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-5</v>
      </c>
      <c r="K139" s="133">
        <f t="shared" si="11"/>
        <v>-50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-5</v>
      </c>
      <c r="K140" s="133">
        <f t="shared" si="11"/>
        <v>-50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-5</v>
      </c>
      <c r="K141" s="133">
        <f t="shared" si="11"/>
        <v>-50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-5</v>
      </c>
      <c r="K142" s="133">
        <f t="shared" si="11"/>
        <v>-50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-5</v>
      </c>
      <c r="K143" s="133">
        <f t="shared" si="11"/>
        <v>-50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-5</v>
      </c>
      <c r="K144" s="133">
        <f t="shared" si="11"/>
        <v>-50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-5</v>
      </c>
      <c r="K145" s="133">
        <f t="shared" si="11"/>
        <v>-50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-5</v>
      </c>
      <c r="K146" s="133">
        <f t="shared" si="11"/>
        <v>-50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-5</v>
      </c>
      <c r="K147" s="133">
        <f t="shared" si="11"/>
        <v>-50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-5</v>
      </c>
      <c r="K148" s="133">
        <f t="shared" si="11"/>
        <v>-50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-5</v>
      </c>
      <c r="K149" s="133">
        <f t="shared" si="11"/>
        <v>-50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-5</v>
      </c>
      <c r="K150" s="133">
        <f t="shared" si="11"/>
        <v>-50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-5</v>
      </c>
      <c r="K151" s="133">
        <f t="shared" si="11"/>
        <v>-50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-5</v>
      </c>
      <c r="K152" s="133">
        <f t="shared" si="11"/>
        <v>-50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-5</v>
      </c>
      <c r="K153" s="133">
        <f t="shared" si="11"/>
        <v>-50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-5</v>
      </c>
      <c r="K154" s="133">
        <f t="shared" si="11"/>
        <v>-50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-5</v>
      </c>
      <c r="K155" s="133">
        <f t="shared" si="11"/>
        <v>-50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-5</v>
      </c>
      <c r="K156" s="133">
        <f t="shared" si="11"/>
        <v>-50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-5</v>
      </c>
      <c r="K157" s="133">
        <f t="shared" si="11"/>
        <v>-50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-5</v>
      </c>
      <c r="K158" s="133">
        <f t="shared" si="11"/>
        <v>-50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-5</v>
      </c>
      <c r="K159" s="133">
        <f t="shared" si="11"/>
        <v>-50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-5</v>
      </c>
      <c r="K160" s="133">
        <f t="shared" si="11"/>
        <v>-50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-5</v>
      </c>
      <c r="K161" s="133">
        <f t="shared" si="11"/>
        <v>-50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-5</v>
      </c>
      <c r="K162" s="133">
        <f t="shared" si="11"/>
        <v>-50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-5</v>
      </c>
      <c r="K163" s="133">
        <f t="shared" si="11"/>
        <v>-50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-5</v>
      </c>
      <c r="K164" s="133">
        <f t="shared" si="11"/>
        <v>-50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-5</v>
      </c>
      <c r="K165" s="133">
        <f t="shared" si="11"/>
        <v>-50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-5</v>
      </c>
      <c r="K166" s="133">
        <f t="shared" si="11"/>
        <v>-50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-5</v>
      </c>
      <c r="K167" s="133">
        <f t="shared" si="11"/>
        <v>-50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-5</v>
      </c>
      <c r="K168" s="133">
        <f t="shared" si="11"/>
        <v>-50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-5</v>
      </c>
      <c r="K169" s="133">
        <f t="shared" si="11"/>
        <v>-50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-5</v>
      </c>
      <c r="K170" s="133">
        <f t="shared" si="11"/>
        <v>-50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-5</v>
      </c>
      <c r="K171" s="133">
        <f t="shared" si="11"/>
        <v>-50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-5</v>
      </c>
      <c r="K172" s="133">
        <f t="shared" si="11"/>
        <v>-50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-5</v>
      </c>
      <c r="K173" s="133">
        <f t="shared" si="11"/>
        <v>-50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-5</v>
      </c>
      <c r="K174" s="133">
        <f t="shared" si="11"/>
        <v>-50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-5</v>
      </c>
      <c r="K175" s="133">
        <f t="shared" si="11"/>
        <v>-50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-5</v>
      </c>
      <c r="K176" s="133">
        <f t="shared" si="11"/>
        <v>-50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-5</v>
      </c>
      <c r="K177" s="133">
        <f t="shared" si="11"/>
        <v>-50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-5</v>
      </c>
      <c r="K178" s="133">
        <f t="shared" si="11"/>
        <v>-50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-5</v>
      </c>
      <c r="K179" s="133">
        <f t="shared" si="11"/>
        <v>-50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-5</v>
      </c>
      <c r="K180" s="133">
        <f t="shared" si="11"/>
        <v>-50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-5</v>
      </c>
      <c r="K181" s="133">
        <f t="shared" si="11"/>
        <v>-50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-5</v>
      </c>
      <c r="K182" s="133">
        <f t="shared" si="11"/>
        <v>-50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-5</v>
      </c>
      <c r="K183" s="133">
        <f t="shared" si="11"/>
        <v>-50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-5</v>
      </c>
      <c r="K184" s="133">
        <f t="shared" si="11"/>
        <v>-50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-5</v>
      </c>
      <c r="K185" s="133">
        <f t="shared" si="11"/>
        <v>-50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-5</v>
      </c>
      <c r="K186" s="133">
        <f t="shared" si="11"/>
        <v>-50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-5</v>
      </c>
      <c r="K187" s="133">
        <f t="shared" si="11"/>
        <v>-50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-5</v>
      </c>
      <c r="K188" s="133">
        <f t="shared" si="11"/>
        <v>-50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-5</v>
      </c>
      <c r="K189" s="133">
        <f t="shared" si="11"/>
        <v>-50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-5</v>
      </c>
      <c r="K190" s="133">
        <f t="shared" si="11"/>
        <v>-50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-5</v>
      </c>
      <c r="K191" s="133">
        <f t="shared" si="11"/>
        <v>-50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-5</v>
      </c>
      <c r="K192" s="133">
        <f t="shared" si="11"/>
        <v>-50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-5</v>
      </c>
      <c r="K193" s="133">
        <f t="shared" si="11"/>
        <v>-50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-5</v>
      </c>
      <c r="K194" s="133">
        <f t="shared" si="11"/>
        <v>-50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-5</v>
      </c>
      <c r="K195" s="133">
        <f t="shared" si="11"/>
        <v>-50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-5</v>
      </c>
      <c r="K196" s="133">
        <f t="shared" si="11"/>
        <v>-50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-5</v>
      </c>
      <c r="K197" s="133">
        <f t="shared" si="11"/>
        <v>-50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-5</v>
      </c>
      <c r="K198" s="133">
        <f t="shared" ref="K198:K261" si="15">J198*$J$2</f>
        <v>-50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-5</v>
      </c>
      <c r="K199" s="133">
        <f t="shared" si="15"/>
        <v>-50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-5</v>
      </c>
      <c r="K200" s="133">
        <f t="shared" si="15"/>
        <v>-50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-5</v>
      </c>
      <c r="K201" s="133">
        <f t="shared" si="15"/>
        <v>-50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-5</v>
      </c>
      <c r="K202" s="133">
        <f t="shared" si="15"/>
        <v>-50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-5</v>
      </c>
      <c r="K203" s="133">
        <f t="shared" si="15"/>
        <v>-50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-5</v>
      </c>
      <c r="K204" s="133">
        <f t="shared" si="15"/>
        <v>-50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-5</v>
      </c>
      <c r="K205" s="133">
        <f t="shared" si="15"/>
        <v>-50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-5</v>
      </c>
      <c r="K206" s="133">
        <f t="shared" si="15"/>
        <v>-50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-5</v>
      </c>
      <c r="K207" s="133">
        <f t="shared" si="15"/>
        <v>-50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-5</v>
      </c>
      <c r="K208" s="133">
        <f t="shared" si="15"/>
        <v>-50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-5</v>
      </c>
      <c r="K209" s="133">
        <f t="shared" si="15"/>
        <v>-50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-5</v>
      </c>
      <c r="K210" s="133">
        <f t="shared" si="15"/>
        <v>-50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-5</v>
      </c>
      <c r="K211" s="133">
        <f t="shared" si="15"/>
        <v>-50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-5</v>
      </c>
      <c r="K212" s="133">
        <f t="shared" si="15"/>
        <v>-50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-5</v>
      </c>
      <c r="K213" s="133">
        <f t="shared" si="15"/>
        <v>-50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-5</v>
      </c>
      <c r="K214" s="133">
        <f t="shared" si="15"/>
        <v>-50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-5</v>
      </c>
      <c r="K215" s="133">
        <f t="shared" si="15"/>
        <v>-50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-5</v>
      </c>
      <c r="K216" s="133">
        <f t="shared" si="15"/>
        <v>-50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-5</v>
      </c>
      <c r="K217" s="133">
        <f t="shared" si="15"/>
        <v>-50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-5</v>
      </c>
      <c r="K218" s="133">
        <f t="shared" si="15"/>
        <v>-50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-5</v>
      </c>
      <c r="K219" s="133">
        <f t="shared" si="15"/>
        <v>-50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-5</v>
      </c>
      <c r="K220" s="133">
        <f t="shared" si="15"/>
        <v>-50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-5</v>
      </c>
      <c r="K221" s="133">
        <f t="shared" si="15"/>
        <v>-50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-5</v>
      </c>
      <c r="K222" s="133">
        <f t="shared" si="15"/>
        <v>-50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-5</v>
      </c>
      <c r="K223" s="133">
        <f t="shared" si="15"/>
        <v>-50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-5</v>
      </c>
      <c r="K224" s="133">
        <f t="shared" si="15"/>
        <v>-50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-5</v>
      </c>
      <c r="K225" s="133">
        <f t="shared" si="15"/>
        <v>-50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-5</v>
      </c>
      <c r="K226" s="133">
        <f t="shared" si="15"/>
        <v>-50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-5</v>
      </c>
      <c r="K227" s="133">
        <f t="shared" si="15"/>
        <v>-50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-5</v>
      </c>
      <c r="K228" s="133">
        <f t="shared" si="15"/>
        <v>-50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-5</v>
      </c>
      <c r="K229" s="133">
        <f t="shared" si="15"/>
        <v>-50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-5</v>
      </c>
      <c r="K230" s="133">
        <f t="shared" si="15"/>
        <v>-50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-5</v>
      </c>
      <c r="K231" s="133">
        <f t="shared" si="15"/>
        <v>-50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-5</v>
      </c>
      <c r="K232" s="133">
        <f t="shared" si="15"/>
        <v>-50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-5</v>
      </c>
      <c r="K233" s="133">
        <f t="shared" si="15"/>
        <v>-50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-5</v>
      </c>
      <c r="K234" s="133">
        <f t="shared" si="15"/>
        <v>-50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-5</v>
      </c>
      <c r="K235" s="133">
        <f t="shared" si="15"/>
        <v>-50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-5</v>
      </c>
      <c r="K236" s="133">
        <f t="shared" si="15"/>
        <v>-50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-5</v>
      </c>
      <c r="K237" s="133">
        <f t="shared" si="15"/>
        <v>-50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-5</v>
      </c>
      <c r="K238" s="133">
        <f t="shared" si="15"/>
        <v>-50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-5</v>
      </c>
      <c r="K239" s="133">
        <f t="shared" si="15"/>
        <v>-50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-5</v>
      </c>
      <c r="K240" s="133">
        <f t="shared" si="15"/>
        <v>-50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-5</v>
      </c>
      <c r="K241" s="133">
        <f t="shared" si="15"/>
        <v>-50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-5</v>
      </c>
      <c r="K242" s="133">
        <f t="shared" si="15"/>
        <v>-50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-5</v>
      </c>
      <c r="K243" s="133">
        <f t="shared" si="15"/>
        <v>-50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-5</v>
      </c>
      <c r="K244" s="133">
        <f t="shared" si="15"/>
        <v>-50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-5</v>
      </c>
      <c r="K245" s="133">
        <f t="shared" si="15"/>
        <v>-50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-5</v>
      </c>
      <c r="K246" s="133">
        <f t="shared" si="15"/>
        <v>-50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-5</v>
      </c>
      <c r="K247" s="133">
        <f t="shared" si="15"/>
        <v>-50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-5</v>
      </c>
      <c r="K248" s="133">
        <f t="shared" si="15"/>
        <v>-50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-5</v>
      </c>
      <c r="K249" s="133">
        <f t="shared" si="15"/>
        <v>-50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-5</v>
      </c>
      <c r="K250" s="133">
        <f t="shared" si="15"/>
        <v>-50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-5</v>
      </c>
      <c r="K251" s="133">
        <f t="shared" si="15"/>
        <v>-50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-5</v>
      </c>
      <c r="K252" s="133">
        <f t="shared" si="15"/>
        <v>-50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-5</v>
      </c>
      <c r="K253" s="133">
        <f t="shared" si="15"/>
        <v>-50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-5</v>
      </c>
      <c r="K254" s="133">
        <f t="shared" si="15"/>
        <v>-50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-5</v>
      </c>
      <c r="K255" s="133">
        <f t="shared" si="15"/>
        <v>-50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-5</v>
      </c>
      <c r="K256" s="133">
        <f t="shared" si="15"/>
        <v>-50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-5</v>
      </c>
      <c r="K257" s="133">
        <f t="shared" si="15"/>
        <v>-50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-5</v>
      </c>
      <c r="K258" s="133">
        <f t="shared" si="15"/>
        <v>-50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-5</v>
      </c>
      <c r="K259" s="133">
        <f t="shared" si="15"/>
        <v>-50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-5</v>
      </c>
      <c r="K260" s="133">
        <f t="shared" si="15"/>
        <v>-50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-5</v>
      </c>
      <c r="K261" s="133">
        <f t="shared" si="15"/>
        <v>-50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-6</v>
      </c>
      <c r="K262" s="133">
        <f t="shared" ref="K262:K305" si="19">J262*$J$2</f>
        <v>-60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-6</v>
      </c>
      <c r="K263" s="133">
        <f t="shared" si="19"/>
        <v>-60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-6</v>
      </c>
      <c r="K264" s="133">
        <f t="shared" si="19"/>
        <v>-60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-6</v>
      </c>
      <c r="K265" s="133">
        <f t="shared" si="19"/>
        <v>-60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-6</v>
      </c>
      <c r="K266" s="133">
        <f t="shared" si="19"/>
        <v>-60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-6</v>
      </c>
      <c r="K267" s="133">
        <f t="shared" si="19"/>
        <v>-60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-6</v>
      </c>
      <c r="K268" s="133">
        <f t="shared" si="19"/>
        <v>-60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-6</v>
      </c>
      <c r="K269" s="133">
        <f t="shared" si="19"/>
        <v>-60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-6</v>
      </c>
      <c r="K270" s="133">
        <f t="shared" si="19"/>
        <v>-60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-6</v>
      </c>
      <c r="K271" s="133">
        <f t="shared" si="19"/>
        <v>-60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-6</v>
      </c>
      <c r="K272" s="133">
        <f t="shared" si="19"/>
        <v>-60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-6</v>
      </c>
      <c r="K273" s="133">
        <f t="shared" si="19"/>
        <v>-60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-6</v>
      </c>
      <c r="K274" s="133">
        <f t="shared" si="19"/>
        <v>-60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-6</v>
      </c>
      <c r="K275" s="133">
        <f t="shared" si="19"/>
        <v>-60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-6</v>
      </c>
      <c r="K276" s="133">
        <f t="shared" si="19"/>
        <v>-60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-6</v>
      </c>
      <c r="K277" s="133">
        <f t="shared" si="19"/>
        <v>-60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-6</v>
      </c>
      <c r="K278" s="133">
        <f t="shared" si="19"/>
        <v>-60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-6</v>
      </c>
      <c r="K279" s="133">
        <f t="shared" si="19"/>
        <v>-60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-6</v>
      </c>
      <c r="K280" s="133">
        <f t="shared" si="19"/>
        <v>-60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-6</v>
      </c>
      <c r="K281" s="133">
        <f t="shared" si="19"/>
        <v>-60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-6</v>
      </c>
      <c r="K282" s="133">
        <f t="shared" si="19"/>
        <v>-60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-6</v>
      </c>
      <c r="K283" s="133">
        <f t="shared" si="19"/>
        <v>-60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-6</v>
      </c>
      <c r="K284" s="133">
        <f t="shared" si="19"/>
        <v>-60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-6</v>
      </c>
      <c r="K285" s="133">
        <f t="shared" si="19"/>
        <v>-60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-6</v>
      </c>
      <c r="K286" s="133">
        <f t="shared" si="19"/>
        <v>-60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-6</v>
      </c>
      <c r="K287" s="133">
        <f t="shared" si="19"/>
        <v>-60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-6</v>
      </c>
      <c r="K288" s="133">
        <f t="shared" si="19"/>
        <v>-60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-6</v>
      </c>
      <c r="K289" s="133">
        <f t="shared" si="19"/>
        <v>-60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-6</v>
      </c>
      <c r="K290" s="133">
        <f t="shared" si="19"/>
        <v>-60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-6</v>
      </c>
      <c r="K291" s="133">
        <f t="shared" si="19"/>
        <v>-60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-6</v>
      </c>
      <c r="K292" s="133">
        <f t="shared" si="19"/>
        <v>-60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-6</v>
      </c>
      <c r="K293" s="133">
        <f t="shared" si="19"/>
        <v>-60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-6</v>
      </c>
      <c r="K294" s="133">
        <f t="shared" si="19"/>
        <v>-60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-6</v>
      </c>
      <c r="K295" s="133">
        <f t="shared" si="19"/>
        <v>-60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-6</v>
      </c>
      <c r="K296" s="133">
        <f t="shared" si="19"/>
        <v>-60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-6</v>
      </c>
      <c r="K297" s="133">
        <f t="shared" si="19"/>
        <v>-60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-6</v>
      </c>
      <c r="K298" s="133">
        <f t="shared" si="19"/>
        <v>-60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-6</v>
      </c>
      <c r="K299" s="133">
        <f t="shared" si="19"/>
        <v>-60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-6</v>
      </c>
      <c r="K300" s="133">
        <f t="shared" si="19"/>
        <v>-60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-6</v>
      </c>
      <c r="K301" s="133">
        <f t="shared" si="19"/>
        <v>-60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-6</v>
      </c>
      <c r="K302" s="133">
        <f t="shared" si="19"/>
        <v>-60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-6</v>
      </c>
      <c r="K303" s="133">
        <f t="shared" si="19"/>
        <v>-60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-6</v>
      </c>
      <c r="K304" s="133">
        <f t="shared" si="19"/>
        <v>-60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-6</v>
      </c>
      <c r="K305" s="133">
        <f t="shared" si="19"/>
        <v>-60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7B6BB7D2-B6B6-4EAF-8B64-E4975DA136F4}">
      <formula1>#REF!</formula1>
    </dataValidation>
  </dataValidations>
  <hyperlinks>
    <hyperlink ref="C2:D2" r:id="rId1" display="KRAKÓW" xr:uid="{4F0D5DC7-FB83-4F9C-A056-714E5CB5DC9E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B8F8-124F-4C72-9B32-4DB92630F10F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24</v>
      </c>
      <c r="I1" s="121" t="s">
        <v>25</v>
      </c>
      <c r="J1" s="121" t="s">
        <v>26</v>
      </c>
      <c r="K1" s="122" t="s">
        <v>27</v>
      </c>
      <c r="L1" s="123"/>
      <c r="M1" s="123"/>
    </row>
    <row r="2" spans="1:36" ht="14.45" customHeight="1" x14ac:dyDescent="0.25">
      <c r="A2" s="119"/>
      <c r="B2" s="20" t="s">
        <v>28</v>
      </c>
      <c r="C2" s="237" t="s">
        <v>80</v>
      </c>
      <c r="D2" s="237"/>
      <c r="E2" s="21"/>
      <c r="F2" s="21"/>
      <c r="G2" s="21"/>
      <c r="H2" s="125">
        <v>3</v>
      </c>
      <c r="I2" s="126">
        <v>50</v>
      </c>
      <c r="J2" s="126">
        <v>10</v>
      </c>
      <c r="K2" s="127">
        <f>3*H2^(1/3)</f>
        <v>4.3267487109222245</v>
      </c>
      <c r="L2" s="123"/>
      <c r="M2" s="123"/>
    </row>
    <row r="3" spans="1:36" ht="14.45" customHeight="1" x14ac:dyDescent="0.25">
      <c r="A3" s="119"/>
      <c r="B3" s="128" t="s">
        <v>30</v>
      </c>
      <c r="C3" s="238" t="s">
        <v>81</v>
      </c>
      <c r="D3" s="238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30" t="s">
        <v>38</v>
      </c>
      <c r="I5" s="131" t="s">
        <v>39</v>
      </c>
      <c r="J5" s="132" t="s">
        <v>40</v>
      </c>
      <c r="K5" s="131" t="s">
        <v>41</v>
      </c>
      <c r="L5" s="131" t="s">
        <v>42</v>
      </c>
      <c r="M5" s="130" t="s">
        <v>43</v>
      </c>
    </row>
    <row r="6" spans="1:36" ht="14.45" customHeight="1" x14ac:dyDescent="0.25">
      <c r="A6" s="33">
        <f t="shared" ref="A6:A9" si="0">M6</f>
        <v>82.980246132766666</v>
      </c>
      <c r="B6" s="34">
        <f t="shared" ref="B6:B9" si="1">IF(H6&gt;$H$2,"",(ROW()-5))</f>
        <v>1</v>
      </c>
      <c r="C6" s="35" t="s">
        <v>16</v>
      </c>
      <c r="D6" s="35" t="s">
        <v>77</v>
      </c>
      <c r="E6" s="35" t="s">
        <v>45</v>
      </c>
      <c r="F6" s="35"/>
      <c r="G6" s="28"/>
      <c r="H6" s="133">
        <v>1</v>
      </c>
      <c r="I6" s="134">
        <f>IF(H2=1,50,IF(H6&lt;$H$2+1,($I$2-($I$2-1)*(LOG(H6)/LOG($H$2))),""))</f>
        <v>50</v>
      </c>
      <c r="J6" s="200">
        <v>2</v>
      </c>
      <c r="K6" s="133">
        <f t="shared" ref="K6:K69" si="2">J6*$J$2</f>
        <v>20</v>
      </c>
      <c r="L6" s="135">
        <f>3*K2</f>
        <v>12.980246132766673</v>
      </c>
      <c r="M6" s="135">
        <f t="shared" ref="M6:M69" si="3">IF(I6&lt;&gt;"",K6+I6+L6,0)</f>
        <v>82.980246132766666</v>
      </c>
      <c r="O6" s="198"/>
      <c r="P6" s="198"/>
      <c r="Q6" s="198"/>
      <c r="R6" s="199"/>
    </row>
    <row r="7" spans="1:36" ht="14.45" customHeight="1" x14ac:dyDescent="0.25">
      <c r="A7" s="39">
        <f t="shared" si="0"/>
        <v>37.73793949684304</v>
      </c>
      <c r="B7" s="40">
        <f t="shared" si="1"/>
        <v>2</v>
      </c>
      <c r="C7" s="41" t="s">
        <v>17</v>
      </c>
      <c r="D7" s="41" t="s">
        <v>66</v>
      </c>
      <c r="E7" s="41" t="s">
        <v>45</v>
      </c>
      <c r="F7" s="41"/>
      <c r="G7" s="28"/>
      <c r="H7" s="136">
        <v>2</v>
      </c>
      <c r="I7" s="137">
        <f t="shared" ref="I7:I70" si="4">IF(H7&lt;$H$2+1,($I$2-($I$2-1)*(LOG(H7)/LOG($H$2))),"")</f>
        <v>19.084442074998588</v>
      </c>
      <c r="J7" s="201">
        <v>1</v>
      </c>
      <c r="K7" s="136">
        <f t="shared" si="2"/>
        <v>10</v>
      </c>
      <c r="L7" s="138">
        <f>2*K2</f>
        <v>8.6534974218444489</v>
      </c>
      <c r="M7" s="138">
        <f t="shared" si="3"/>
        <v>37.73793949684304</v>
      </c>
      <c r="O7" s="199"/>
      <c r="P7" s="198"/>
      <c r="Q7" s="199"/>
      <c r="R7" s="198"/>
    </row>
    <row r="8" spans="1:36" ht="14.45" customHeight="1" x14ac:dyDescent="0.25">
      <c r="A8" s="33">
        <f t="shared" si="0"/>
        <v>5.3267487109222245</v>
      </c>
      <c r="B8" s="34">
        <f t="shared" si="1"/>
        <v>3</v>
      </c>
      <c r="C8" s="35" t="s">
        <v>18</v>
      </c>
      <c r="D8" s="35" t="s">
        <v>64</v>
      </c>
      <c r="E8" s="35" t="s">
        <v>45</v>
      </c>
      <c r="F8" s="35"/>
      <c r="G8" s="28"/>
      <c r="H8" s="133">
        <v>3</v>
      </c>
      <c r="I8" s="134">
        <f t="shared" si="4"/>
        <v>1</v>
      </c>
      <c r="J8" s="133">
        <f t="shared" ref="J8:J70" si="5">INT(LOG($H$2,2))-ROUNDUP(LOG(H8,2),0)+IF(OR($H$2=1,$H$2=2,$H$2=4,$H$2=8,$H$2=16,$H$2=32,$H$2=64,$H$2=128,$H$2=256),0,1)</f>
        <v>0</v>
      </c>
      <c r="K8" s="133">
        <f t="shared" si="2"/>
        <v>0</v>
      </c>
      <c r="L8" s="135">
        <f>K2</f>
        <v>4.3267487109222245</v>
      </c>
      <c r="M8" s="135">
        <f t="shared" si="3"/>
        <v>5.3267487109222245</v>
      </c>
      <c r="O8" s="199"/>
      <c r="P8" s="198"/>
      <c r="Q8" s="199"/>
      <c r="R8" s="198"/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>
        <f t="shared" si="5"/>
        <v>0</v>
      </c>
      <c r="K9" s="136">
        <f t="shared" si="2"/>
        <v>0</v>
      </c>
      <c r="L9" s="138"/>
      <c r="M9" s="138">
        <f t="shared" si="3"/>
        <v>0</v>
      </c>
      <c r="O9" s="199"/>
      <c r="P9" s="198"/>
      <c r="Q9" s="199"/>
      <c r="R9" s="198"/>
      <c r="V9" s="139"/>
      <c r="Z9" s="140"/>
      <c r="AA9" s="140"/>
      <c r="AG9" s="141"/>
      <c r="AH9" s="124" t="s">
        <v>48</v>
      </c>
      <c r="AI9" s="124">
        <v>23</v>
      </c>
    </row>
    <row r="10" spans="1:36" ht="14.45" customHeight="1" x14ac:dyDescent="0.25">
      <c r="A10" s="33">
        <f t="shared" ref="A10:A37" si="6">M10</f>
        <v>0</v>
      </c>
      <c r="B10" s="34" t="str">
        <f t="shared" ref="B10:B13" si="7">IF(H10&gt;$H$2,"",(ROW()-5))</f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>
        <f t="shared" si="5"/>
        <v>-1</v>
      </c>
      <c r="K10" s="133">
        <f t="shared" si="2"/>
        <v>-10</v>
      </c>
      <c r="L10" s="133"/>
      <c r="M10" s="135">
        <f t="shared" si="3"/>
        <v>0</v>
      </c>
      <c r="O10" s="199"/>
      <c r="P10" s="198"/>
      <c r="Q10" s="199"/>
      <c r="R10" s="198"/>
      <c r="V10" s="139"/>
      <c r="Z10" s="140"/>
      <c r="AA10" s="140"/>
      <c r="AG10" s="141"/>
      <c r="AH10" s="124" t="s">
        <v>50</v>
      </c>
      <c r="AI10" s="124">
        <v>45</v>
      </c>
    </row>
    <row r="11" spans="1:36" ht="14.45" customHeight="1" x14ac:dyDescent="0.25">
      <c r="A11" s="39">
        <f t="shared" si="6"/>
        <v>0</v>
      </c>
      <c r="B11" s="40" t="str">
        <f t="shared" si="7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-1</v>
      </c>
      <c r="K11" s="136">
        <f t="shared" si="2"/>
        <v>-10</v>
      </c>
      <c r="L11" s="136"/>
      <c r="M11" s="138">
        <f t="shared" si="3"/>
        <v>0</v>
      </c>
      <c r="V11" s="142"/>
      <c r="Z11" s="140"/>
      <c r="AA11" s="140"/>
      <c r="AG11" s="141"/>
      <c r="AH11" s="124" t="s">
        <v>52</v>
      </c>
      <c r="AI11" s="124">
        <v>50</v>
      </c>
    </row>
    <row r="12" spans="1:36" ht="14.45" customHeight="1" x14ac:dyDescent="0.25">
      <c r="A12" s="33">
        <f t="shared" si="6"/>
        <v>0</v>
      </c>
      <c r="B12" s="34" t="str">
        <f t="shared" si="7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-1</v>
      </c>
      <c r="K12" s="133">
        <f t="shared" si="2"/>
        <v>-10</v>
      </c>
      <c r="L12" s="133"/>
      <c r="M12" s="135">
        <f t="shared" si="3"/>
        <v>0</v>
      </c>
      <c r="Z12" s="140"/>
      <c r="AA12" s="140"/>
      <c r="AG12" s="141"/>
      <c r="AH12" s="124" t="s">
        <v>53</v>
      </c>
      <c r="AI12" s="124">
        <f>AI11-1</f>
        <v>49</v>
      </c>
    </row>
    <row r="13" spans="1:36" ht="14.45" customHeight="1" x14ac:dyDescent="0.25">
      <c r="A13" s="49">
        <f t="shared" si="6"/>
        <v>0</v>
      </c>
      <c r="B13" s="40" t="str">
        <f t="shared" si="7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-1</v>
      </c>
      <c r="K13" s="136">
        <f t="shared" si="2"/>
        <v>-10</v>
      </c>
      <c r="L13" s="136"/>
      <c r="M13" s="138">
        <f t="shared" si="3"/>
        <v>0</v>
      </c>
      <c r="X13" s="139"/>
      <c r="AG13" s="141"/>
      <c r="AH13" s="124" t="s">
        <v>54</v>
      </c>
      <c r="AI13" s="124">
        <f>LOG(AI9)</f>
        <v>1.3617278360175928</v>
      </c>
    </row>
    <row r="14" spans="1:36" x14ac:dyDescent="0.25">
      <c r="A14" s="50">
        <f t="shared" si="6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-2</v>
      </c>
      <c r="K14" s="133">
        <f t="shared" si="2"/>
        <v>-20</v>
      </c>
      <c r="L14" s="133"/>
      <c r="M14" s="135">
        <f t="shared" si="3"/>
        <v>0</v>
      </c>
      <c r="X14" s="143"/>
      <c r="Z14" s="140"/>
      <c r="AA14" s="140"/>
      <c r="AG14" s="141"/>
      <c r="AH14" s="124" t="s">
        <v>55</v>
      </c>
      <c r="AI14" s="124">
        <f>LOG(AI10)</f>
        <v>1.6532125137753437</v>
      </c>
    </row>
    <row r="15" spans="1:36" x14ac:dyDescent="0.25">
      <c r="A15" s="49">
        <f t="shared" si="6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-2</v>
      </c>
      <c r="K15" s="136">
        <f t="shared" si="2"/>
        <v>-20</v>
      </c>
      <c r="L15" s="136"/>
      <c r="M15" s="138">
        <f t="shared" si="3"/>
        <v>0</v>
      </c>
      <c r="X15" s="139"/>
      <c r="Z15" s="140"/>
      <c r="AA15" s="140"/>
    </row>
    <row r="16" spans="1:36" x14ac:dyDescent="0.25">
      <c r="A16" s="50">
        <f t="shared" si="6"/>
        <v>0</v>
      </c>
      <c r="B16" s="34" t="str">
        <f t="shared" si="8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-2</v>
      </c>
      <c r="K16" s="133">
        <f t="shared" si="2"/>
        <v>-20</v>
      </c>
      <c r="L16" s="133"/>
      <c r="M16" s="135">
        <f t="shared" si="3"/>
        <v>0</v>
      </c>
      <c r="R16" s="144"/>
      <c r="Z16" s="140"/>
      <c r="AA16" s="140"/>
      <c r="AH16" s="145" t="s">
        <v>56</v>
      </c>
      <c r="AI16" s="124">
        <f>AI11-AI12*AI13/AI14</f>
        <v>9.6393909380186855</v>
      </c>
      <c r="AJ16" s="124" t="s">
        <v>57</v>
      </c>
    </row>
    <row r="17" spans="1:19" x14ac:dyDescent="0.25">
      <c r="A17" s="49">
        <f t="shared" si="6"/>
        <v>0</v>
      </c>
      <c r="B17" s="40" t="str">
        <f t="shared" si="8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-2</v>
      </c>
      <c r="K17" s="136">
        <f t="shared" si="2"/>
        <v>-20</v>
      </c>
      <c r="L17" s="136"/>
      <c r="M17" s="138">
        <f t="shared" si="3"/>
        <v>0</v>
      </c>
    </row>
    <row r="18" spans="1:19" x14ac:dyDescent="0.25">
      <c r="A18" s="50">
        <f t="shared" si="6"/>
        <v>0</v>
      </c>
      <c r="B18" s="34" t="str">
        <f t="shared" si="8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-2</v>
      </c>
      <c r="K18" s="133">
        <f t="shared" si="2"/>
        <v>-20</v>
      </c>
      <c r="L18" s="133"/>
      <c r="M18" s="135">
        <f t="shared" si="3"/>
        <v>0</v>
      </c>
    </row>
    <row r="19" spans="1:19" x14ac:dyDescent="0.25">
      <c r="A19" s="49">
        <f t="shared" si="6"/>
        <v>0</v>
      </c>
      <c r="B19" s="40" t="str">
        <f t="shared" si="8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-2</v>
      </c>
      <c r="K19" s="136">
        <f t="shared" si="2"/>
        <v>-20</v>
      </c>
      <c r="L19" s="136"/>
      <c r="M19" s="138">
        <f t="shared" si="3"/>
        <v>0</v>
      </c>
    </row>
    <row r="20" spans="1:19" x14ac:dyDescent="0.25">
      <c r="A20" s="50">
        <f t="shared" si="6"/>
        <v>0</v>
      </c>
      <c r="B20" s="34" t="str">
        <f t="shared" si="8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-2</v>
      </c>
      <c r="K20" s="133">
        <f t="shared" si="2"/>
        <v>-20</v>
      </c>
      <c r="L20" s="133"/>
      <c r="M20" s="135">
        <f t="shared" si="3"/>
        <v>0</v>
      </c>
      <c r="R20" s="146"/>
      <c r="S20" s="147"/>
    </row>
    <row r="21" spans="1:19" x14ac:dyDescent="0.25">
      <c r="A21" s="49">
        <f t="shared" si="6"/>
        <v>0</v>
      </c>
      <c r="B21" s="40" t="str">
        <f t="shared" si="8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-2</v>
      </c>
      <c r="K21" s="136">
        <f t="shared" si="2"/>
        <v>-20</v>
      </c>
      <c r="L21" s="136"/>
      <c r="M21" s="138">
        <f t="shared" si="3"/>
        <v>0</v>
      </c>
    </row>
    <row r="22" spans="1:19" x14ac:dyDescent="0.25">
      <c r="A22" s="50">
        <f t="shared" si="6"/>
        <v>0</v>
      </c>
      <c r="B22" s="34" t="str">
        <f t="shared" si="8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-3</v>
      </c>
      <c r="K22" s="133">
        <f t="shared" si="2"/>
        <v>-30</v>
      </c>
      <c r="L22" s="133"/>
      <c r="M22" s="135">
        <f t="shared" si="3"/>
        <v>0</v>
      </c>
    </row>
    <row r="23" spans="1:19" x14ac:dyDescent="0.25">
      <c r="A23" s="49">
        <f t="shared" si="6"/>
        <v>0</v>
      </c>
      <c r="B23" s="40" t="str">
        <f t="shared" si="8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-3</v>
      </c>
      <c r="K23" s="136">
        <f t="shared" si="2"/>
        <v>-30</v>
      </c>
      <c r="L23" s="136"/>
      <c r="M23" s="138">
        <f t="shared" si="3"/>
        <v>0</v>
      </c>
    </row>
    <row r="24" spans="1:19" x14ac:dyDescent="0.25">
      <c r="A24" s="50">
        <f t="shared" si="6"/>
        <v>0</v>
      </c>
      <c r="B24" s="34" t="str">
        <f t="shared" si="8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-3</v>
      </c>
      <c r="K24" s="133">
        <f t="shared" si="2"/>
        <v>-30</v>
      </c>
      <c r="L24" s="133"/>
      <c r="M24" s="135">
        <f t="shared" si="3"/>
        <v>0</v>
      </c>
      <c r="R24" s="146"/>
      <c r="S24" s="147"/>
    </row>
    <row r="25" spans="1:19" x14ac:dyDescent="0.25">
      <c r="A25" s="49">
        <f t="shared" si="6"/>
        <v>0</v>
      </c>
      <c r="B25" s="40" t="str">
        <f t="shared" si="8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-3</v>
      </c>
      <c r="K25" s="136">
        <f t="shared" si="2"/>
        <v>-30</v>
      </c>
      <c r="L25" s="136"/>
      <c r="M25" s="138">
        <f t="shared" si="3"/>
        <v>0</v>
      </c>
    </row>
    <row r="26" spans="1:19" x14ac:dyDescent="0.25">
      <c r="A26" s="50">
        <f t="shared" si="6"/>
        <v>0</v>
      </c>
      <c r="B26" s="34" t="str">
        <f t="shared" si="8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-3</v>
      </c>
      <c r="K26" s="133">
        <f t="shared" si="2"/>
        <v>-30</v>
      </c>
      <c r="L26" s="133"/>
      <c r="M26" s="135">
        <f t="shared" si="3"/>
        <v>0</v>
      </c>
    </row>
    <row r="27" spans="1:19" x14ac:dyDescent="0.25">
      <c r="A27" s="49">
        <f t="shared" si="6"/>
        <v>0</v>
      </c>
      <c r="B27" s="40" t="str">
        <f t="shared" si="8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-3</v>
      </c>
      <c r="K27" s="136">
        <f t="shared" si="2"/>
        <v>-30</v>
      </c>
      <c r="L27" s="136"/>
      <c r="M27" s="138">
        <f t="shared" si="3"/>
        <v>0</v>
      </c>
    </row>
    <row r="28" spans="1:19" x14ac:dyDescent="0.25">
      <c r="A28" s="50">
        <f t="shared" si="6"/>
        <v>0</v>
      </c>
      <c r="B28" s="34" t="str">
        <f t="shared" si="8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-3</v>
      </c>
      <c r="K28" s="133">
        <f t="shared" si="2"/>
        <v>-30</v>
      </c>
      <c r="L28" s="133"/>
      <c r="M28" s="135">
        <f t="shared" si="3"/>
        <v>0</v>
      </c>
      <c r="R28" s="146"/>
      <c r="S28" s="147"/>
    </row>
    <row r="29" spans="1:19" x14ac:dyDescent="0.25">
      <c r="A29" s="49">
        <f t="shared" si="6"/>
        <v>0</v>
      </c>
      <c r="B29" s="40" t="str">
        <f t="shared" si="8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-3</v>
      </c>
      <c r="K29" s="136">
        <f t="shared" si="2"/>
        <v>-30</v>
      </c>
      <c r="L29" s="136"/>
      <c r="M29" s="138">
        <f t="shared" si="3"/>
        <v>0</v>
      </c>
    </row>
    <row r="30" spans="1:19" x14ac:dyDescent="0.25">
      <c r="A30" s="50">
        <f t="shared" si="6"/>
        <v>0</v>
      </c>
      <c r="B30" s="34" t="str">
        <f t="shared" si="8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-3</v>
      </c>
      <c r="K30" s="133">
        <f t="shared" si="2"/>
        <v>-30</v>
      </c>
      <c r="L30" s="133"/>
      <c r="M30" s="135">
        <f t="shared" si="3"/>
        <v>0</v>
      </c>
    </row>
    <row r="31" spans="1:19" x14ac:dyDescent="0.25">
      <c r="A31" s="49">
        <f t="shared" si="6"/>
        <v>0</v>
      </c>
      <c r="B31" s="40" t="str">
        <f t="shared" si="8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-3</v>
      </c>
      <c r="K31" s="136">
        <f t="shared" si="2"/>
        <v>-30</v>
      </c>
      <c r="L31" s="136"/>
      <c r="M31" s="138">
        <f t="shared" si="3"/>
        <v>0</v>
      </c>
    </row>
    <row r="32" spans="1:19" x14ac:dyDescent="0.25">
      <c r="A32" s="50">
        <f t="shared" si="6"/>
        <v>0</v>
      </c>
      <c r="B32" s="34" t="str">
        <f t="shared" si="8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-3</v>
      </c>
      <c r="K32" s="133">
        <f t="shared" si="2"/>
        <v>-30</v>
      </c>
      <c r="L32" s="133"/>
      <c r="M32" s="135">
        <f t="shared" si="3"/>
        <v>0</v>
      </c>
      <c r="R32" s="146"/>
      <c r="S32" s="147"/>
    </row>
    <row r="33" spans="1:21" x14ac:dyDescent="0.25">
      <c r="A33" s="49">
        <f t="shared" si="6"/>
        <v>0</v>
      </c>
      <c r="B33" s="40" t="str">
        <f t="shared" si="8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-3</v>
      </c>
      <c r="K33" s="136">
        <f t="shared" si="2"/>
        <v>-30</v>
      </c>
      <c r="L33" s="136"/>
      <c r="M33" s="138">
        <f t="shared" si="3"/>
        <v>0</v>
      </c>
    </row>
    <row r="34" spans="1:21" x14ac:dyDescent="0.25">
      <c r="A34" s="50">
        <f t="shared" si="6"/>
        <v>0</v>
      </c>
      <c r="B34" s="34" t="str">
        <f t="shared" si="8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-3</v>
      </c>
      <c r="K34" s="133">
        <f t="shared" si="2"/>
        <v>-30</v>
      </c>
      <c r="L34" s="133"/>
      <c r="M34" s="135">
        <f t="shared" si="3"/>
        <v>0</v>
      </c>
    </row>
    <row r="35" spans="1:21" x14ac:dyDescent="0.25">
      <c r="A35" s="49">
        <f t="shared" si="6"/>
        <v>0</v>
      </c>
      <c r="B35" s="40" t="str">
        <f t="shared" si="8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-3</v>
      </c>
      <c r="K35" s="136">
        <f t="shared" si="2"/>
        <v>-30</v>
      </c>
      <c r="L35" s="136"/>
      <c r="M35" s="138">
        <f t="shared" si="3"/>
        <v>0</v>
      </c>
    </row>
    <row r="36" spans="1:21" x14ac:dyDescent="0.25">
      <c r="A36" s="50">
        <f t="shared" si="6"/>
        <v>0</v>
      </c>
      <c r="B36" s="34" t="str">
        <f t="shared" si="8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-3</v>
      </c>
      <c r="K36" s="133">
        <f t="shared" si="2"/>
        <v>-30</v>
      </c>
      <c r="L36" s="133"/>
      <c r="M36" s="135">
        <f t="shared" si="3"/>
        <v>0</v>
      </c>
      <c r="R36" s="146"/>
      <c r="S36" s="147"/>
    </row>
    <row r="37" spans="1:21" x14ac:dyDescent="0.25">
      <c r="A37" s="49">
        <f t="shared" si="6"/>
        <v>0</v>
      </c>
      <c r="B37" s="40" t="str">
        <f t="shared" si="8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-3</v>
      </c>
      <c r="K37" s="136">
        <f t="shared" si="2"/>
        <v>-30</v>
      </c>
      <c r="L37" s="136"/>
      <c r="M37" s="138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-4</v>
      </c>
      <c r="K38" s="133">
        <f t="shared" si="2"/>
        <v>-40</v>
      </c>
      <c r="L38" s="133"/>
      <c r="M38" s="135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-4</v>
      </c>
      <c r="K39" s="136">
        <f t="shared" si="2"/>
        <v>-40</v>
      </c>
      <c r="L39" s="136"/>
      <c r="M39" s="138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-4</v>
      </c>
      <c r="K40" s="133">
        <f t="shared" si="2"/>
        <v>-40</v>
      </c>
      <c r="L40" s="133"/>
      <c r="M40" s="135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-4</v>
      </c>
      <c r="K41" s="136">
        <f t="shared" si="2"/>
        <v>-40</v>
      </c>
      <c r="L41" s="136"/>
      <c r="M41" s="138">
        <f t="shared" si="3"/>
        <v>0</v>
      </c>
      <c r="S41" s="148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-4</v>
      </c>
      <c r="K42" s="133">
        <f t="shared" si="2"/>
        <v>-40</v>
      </c>
      <c r="L42" s="133"/>
      <c r="M42" s="135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-4</v>
      </c>
      <c r="K43" s="136">
        <f t="shared" si="2"/>
        <v>-40</v>
      </c>
      <c r="L43" s="136"/>
      <c r="M43" s="138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-4</v>
      </c>
      <c r="K44" s="133">
        <f t="shared" si="2"/>
        <v>-40</v>
      </c>
      <c r="L44" s="133"/>
      <c r="M44" s="135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-4</v>
      </c>
      <c r="K45" s="136">
        <f t="shared" si="2"/>
        <v>-40</v>
      </c>
      <c r="L45" s="136"/>
      <c r="M45" s="138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-4</v>
      </c>
      <c r="K46" s="133">
        <f t="shared" si="2"/>
        <v>-40</v>
      </c>
      <c r="L46" s="133"/>
      <c r="M46" s="135">
        <f t="shared" si="3"/>
        <v>0</v>
      </c>
      <c r="R46" s="119">
        <f>LOG($H$2,2)</f>
        <v>1.5849625007211563</v>
      </c>
      <c r="T46" s="124">
        <f>LOG(H38,2)</f>
        <v>5.0443941193584534</v>
      </c>
      <c r="U46" s="124">
        <f>R46-T46</f>
        <v>-3.4594316186372973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-4</v>
      </c>
      <c r="K47" s="136">
        <f t="shared" si="2"/>
        <v>-40</v>
      </c>
      <c r="L47" s="136"/>
      <c r="M47" s="138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-4</v>
      </c>
      <c r="K48" s="133">
        <f t="shared" si="2"/>
        <v>-40</v>
      </c>
      <c r="L48" s="133"/>
      <c r="M48" s="135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-4</v>
      </c>
      <c r="K49" s="136">
        <f t="shared" si="2"/>
        <v>-40</v>
      </c>
      <c r="L49" s="136"/>
      <c r="M49" s="138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-4</v>
      </c>
      <c r="K50" s="133">
        <f t="shared" si="2"/>
        <v>-40</v>
      </c>
      <c r="L50" s="133"/>
      <c r="M50" s="135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-4</v>
      </c>
      <c r="K51" s="136">
        <f t="shared" si="2"/>
        <v>-40</v>
      </c>
      <c r="L51" s="136"/>
      <c r="M51" s="138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-4</v>
      </c>
      <c r="K52" s="133">
        <f t="shared" si="2"/>
        <v>-40</v>
      </c>
      <c r="L52" s="133"/>
      <c r="M52" s="135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-4</v>
      </c>
      <c r="K53" s="136">
        <f t="shared" si="2"/>
        <v>-40</v>
      </c>
      <c r="L53" s="136"/>
      <c r="M53" s="138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-4</v>
      </c>
      <c r="K54" s="133">
        <f t="shared" si="2"/>
        <v>-40</v>
      </c>
      <c r="L54" s="133"/>
      <c r="M54" s="135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-4</v>
      </c>
      <c r="K55" s="136">
        <f t="shared" si="2"/>
        <v>-40</v>
      </c>
      <c r="L55" s="136"/>
      <c r="M55" s="138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-4</v>
      </c>
      <c r="K56" s="133">
        <f t="shared" si="2"/>
        <v>-40</v>
      </c>
      <c r="L56" s="133"/>
      <c r="M56" s="135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-4</v>
      </c>
      <c r="K57" s="136">
        <f t="shared" si="2"/>
        <v>-40</v>
      </c>
      <c r="L57" s="136"/>
      <c r="M57" s="138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-4</v>
      </c>
      <c r="K58" s="133">
        <f t="shared" si="2"/>
        <v>-40</v>
      </c>
      <c r="L58" s="133"/>
      <c r="M58" s="135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-4</v>
      </c>
      <c r="K59" s="136">
        <f t="shared" si="2"/>
        <v>-40</v>
      </c>
      <c r="L59" s="136"/>
      <c r="M59" s="138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-4</v>
      </c>
      <c r="K60" s="133">
        <f t="shared" si="2"/>
        <v>-40</v>
      </c>
      <c r="L60" s="133"/>
      <c r="M60" s="135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-4</v>
      </c>
      <c r="K61" s="136">
        <f t="shared" si="2"/>
        <v>-40</v>
      </c>
      <c r="L61" s="136"/>
      <c r="M61" s="138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-4</v>
      </c>
      <c r="K62" s="133">
        <f t="shared" si="2"/>
        <v>-40</v>
      </c>
      <c r="L62" s="133"/>
      <c r="M62" s="135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-4</v>
      </c>
      <c r="K63" s="136">
        <f t="shared" si="2"/>
        <v>-40</v>
      </c>
      <c r="L63" s="136"/>
      <c r="M63" s="138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-4</v>
      </c>
      <c r="K64" s="133">
        <f t="shared" si="2"/>
        <v>-40</v>
      </c>
      <c r="L64" s="133"/>
      <c r="M64" s="135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-4</v>
      </c>
      <c r="K65" s="136">
        <f t="shared" si="2"/>
        <v>-40</v>
      </c>
      <c r="L65" s="136"/>
      <c r="M65" s="138">
        <f t="shared" si="3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-4</v>
      </c>
      <c r="K66" s="133">
        <f t="shared" si="2"/>
        <v>-40</v>
      </c>
      <c r="L66" s="133"/>
      <c r="M66" s="135">
        <f t="shared" si="3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-4</v>
      </c>
      <c r="K67" s="133">
        <f t="shared" si="2"/>
        <v>-40</v>
      </c>
      <c r="L67" s="133"/>
      <c r="M67" s="135">
        <f t="shared" si="3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-4</v>
      </c>
      <c r="K68" s="133">
        <f t="shared" si="2"/>
        <v>-40</v>
      </c>
      <c r="L68" s="133"/>
      <c r="M68" s="135">
        <f t="shared" si="3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-4</v>
      </c>
      <c r="K69" s="133">
        <f t="shared" si="2"/>
        <v>-40</v>
      </c>
      <c r="L69" s="133"/>
      <c r="M69" s="135">
        <f t="shared" si="3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-5</v>
      </c>
      <c r="K70" s="133">
        <f t="shared" ref="K70:K133" si="9">J70*$J$2</f>
        <v>-50</v>
      </c>
      <c r="L70" s="133"/>
      <c r="M70" s="135">
        <f t="shared" ref="M70:M133" si="10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11">IF(H71&lt;$H$2+1,($I$2-($I$2-1)*(LOG(H71)/LOG($H$2))),"")</f>
        <v/>
      </c>
      <c r="J71" s="133">
        <f t="shared" ref="J71:J134" si="12">INT(LOG($H$2,2))-ROUNDUP(LOG(H71,2),0)+IF(OR($H$2=1,$H$2=2,$H$2=4,$H$2=8,$H$2=16,$H$2=32,$H$2=64,$H$2=128,$H$2=256),0,1)</f>
        <v>-5</v>
      </c>
      <c r="K71" s="133">
        <f t="shared" si="9"/>
        <v>-50</v>
      </c>
      <c r="L71" s="133"/>
      <c r="M71" s="135">
        <f t="shared" si="10"/>
        <v>0</v>
      </c>
    </row>
    <row r="72" spans="1:13" x14ac:dyDescent="0.25">
      <c r="A72" s="149"/>
      <c r="G72" s="119"/>
      <c r="H72" s="133">
        <v>67</v>
      </c>
      <c r="I72" s="134" t="str">
        <f t="shared" si="11"/>
        <v/>
      </c>
      <c r="J72" s="133">
        <f t="shared" si="12"/>
        <v>-5</v>
      </c>
      <c r="K72" s="133">
        <f t="shared" si="9"/>
        <v>-50</v>
      </c>
      <c r="L72" s="133"/>
      <c r="M72" s="135">
        <f t="shared" si="10"/>
        <v>0</v>
      </c>
    </row>
    <row r="73" spans="1:13" x14ac:dyDescent="0.25">
      <c r="A73" s="149"/>
      <c r="G73" s="119"/>
      <c r="H73" s="133">
        <v>68</v>
      </c>
      <c r="I73" s="134" t="str">
        <f t="shared" si="11"/>
        <v/>
      </c>
      <c r="J73" s="133">
        <f t="shared" si="12"/>
        <v>-5</v>
      </c>
      <c r="K73" s="133">
        <f t="shared" si="9"/>
        <v>-50</v>
      </c>
      <c r="L73" s="133"/>
      <c r="M73" s="135">
        <f t="shared" si="10"/>
        <v>0</v>
      </c>
    </row>
    <row r="74" spans="1:13" x14ac:dyDescent="0.25">
      <c r="A74" s="149"/>
      <c r="G74" s="119"/>
      <c r="H74" s="133">
        <v>69</v>
      </c>
      <c r="I74" s="134" t="str">
        <f t="shared" si="11"/>
        <v/>
      </c>
      <c r="J74" s="133">
        <f t="shared" si="12"/>
        <v>-5</v>
      </c>
      <c r="K74" s="133">
        <f t="shared" si="9"/>
        <v>-50</v>
      </c>
      <c r="L74" s="133"/>
      <c r="M74" s="135">
        <f t="shared" si="10"/>
        <v>0</v>
      </c>
    </row>
    <row r="75" spans="1:13" x14ac:dyDescent="0.25">
      <c r="A75" s="149"/>
      <c r="G75" s="119"/>
      <c r="H75" s="133">
        <v>70</v>
      </c>
      <c r="I75" s="134" t="str">
        <f t="shared" si="11"/>
        <v/>
      </c>
      <c r="J75" s="133">
        <f t="shared" si="12"/>
        <v>-5</v>
      </c>
      <c r="K75" s="133">
        <f t="shared" si="9"/>
        <v>-50</v>
      </c>
      <c r="L75" s="133"/>
      <c r="M75" s="135">
        <f t="shared" si="10"/>
        <v>0</v>
      </c>
    </row>
    <row r="76" spans="1:13" x14ac:dyDescent="0.25">
      <c r="A76" s="149"/>
      <c r="G76" s="119"/>
      <c r="H76" s="133">
        <v>71</v>
      </c>
      <c r="I76" s="134" t="str">
        <f t="shared" si="11"/>
        <v/>
      </c>
      <c r="J76" s="133">
        <f t="shared" si="12"/>
        <v>-5</v>
      </c>
      <c r="K76" s="133">
        <f t="shared" si="9"/>
        <v>-50</v>
      </c>
      <c r="L76" s="133"/>
      <c r="M76" s="135">
        <f t="shared" si="10"/>
        <v>0</v>
      </c>
    </row>
    <row r="77" spans="1:13" x14ac:dyDescent="0.25">
      <c r="A77" s="149"/>
      <c r="G77" s="119"/>
      <c r="H77" s="133">
        <v>72</v>
      </c>
      <c r="I77" s="134" t="str">
        <f t="shared" si="11"/>
        <v/>
      </c>
      <c r="J77" s="133">
        <f t="shared" si="12"/>
        <v>-5</v>
      </c>
      <c r="K77" s="133">
        <f t="shared" si="9"/>
        <v>-50</v>
      </c>
      <c r="L77" s="133"/>
      <c r="M77" s="135">
        <f t="shared" si="10"/>
        <v>0</v>
      </c>
    </row>
    <row r="78" spans="1:13" x14ac:dyDescent="0.25">
      <c r="A78" s="149"/>
      <c r="G78" s="119"/>
      <c r="H78" s="133">
        <v>73</v>
      </c>
      <c r="I78" s="134" t="str">
        <f t="shared" si="11"/>
        <v/>
      </c>
      <c r="J78" s="133">
        <f t="shared" si="12"/>
        <v>-5</v>
      </c>
      <c r="K78" s="133">
        <f t="shared" si="9"/>
        <v>-50</v>
      </c>
      <c r="L78" s="133"/>
      <c r="M78" s="135">
        <f t="shared" si="10"/>
        <v>0</v>
      </c>
    </row>
    <row r="79" spans="1:13" x14ac:dyDescent="0.25">
      <c r="A79" s="149"/>
      <c r="G79" s="119"/>
      <c r="H79" s="133">
        <v>74</v>
      </c>
      <c r="I79" s="134" t="str">
        <f t="shared" si="11"/>
        <v/>
      </c>
      <c r="J79" s="133">
        <f t="shared" si="12"/>
        <v>-5</v>
      </c>
      <c r="K79" s="133">
        <f t="shared" si="9"/>
        <v>-50</v>
      </c>
      <c r="L79" s="133"/>
      <c r="M79" s="135">
        <f t="shared" si="10"/>
        <v>0</v>
      </c>
    </row>
    <row r="80" spans="1:13" x14ac:dyDescent="0.25">
      <c r="A80" s="149"/>
      <c r="G80" s="119"/>
      <c r="H80" s="133">
        <v>75</v>
      </c>
      <c r="I80" s="134" t="str">
        <f t="shared" si="11"/>
        <v/>
      </c>
      <c r="J80" s="133">
        <f t="shared" si="12"/>
        <v>-5</v>
      </c>
      <c r="K80" s="133">
        <f t="shared" si="9"/>
        <v>-50</v>
      </c>
      <c r="L80" s="133"/>
      <c r="M80" s="135">
        <f t="shared" si="10"/>
        <v>0</v>
      </c>
    </row>
    <row r="81" spans="1:13" x14ac:dyDescent="0.25">
      <c r="A81" s="149"/>
      <c r="G81" s="119"/>
      <c r="H81" s="133">
        <v>76</v>
      </c>
      <c r="I81" s="134" t="str">
        <f t="shared" si="11"/>
        <v/>
      </c>
      <c r="J81" s="133">
        <f t="shared" si="12"/>
        <v>-5</v>
      </c>
      <c r="K81" s="133">
        <f t="shared" si="9"/>
        <v>-50</v>
      </c>
      <c r="L81" s="133"/>
      <c r="M81" s="135">
        <f t="shared" si="10"/>
        <v>0</v>
      </c>
    </row>
    <row r="82" spans="1:13" x14ac:dyDescent="0.25">
      <c r="A82" s="149"/>
      <c r="G82" s="119"/>
      <c r="H82" s="133">
        <v>77</v>
      </c>
      <c r="I82" s="134" t="str">
        <f t="shared" si="11"/>
        <v/>
      </c>
      <c r="J82" s="133">
        <f t="shared" si="12"/>
        <v>-5</v>
      </c>
      <c r="K82" s="133">
        <f t="shared" si="9"/>
        <v>-50</v>
      </c>
      <c r="L82" s="133"/>
      <c r="M82" s="135">
        <f t="shared" si="10"/>
        <v>0</v>
      </c>
    </row>
    <row r="83" spans="1:13" x14ac:dyDescent="0.25">
      <c r="A83" s="149"/>
      <c r="G83" s="119"/>
      <c r="H83" s="133">
        <v>78</v>
      </c>
      <c r="I83" s="134" t="str">
        <f t="shared" si="11"/>
        <v/>
      </c>
      <c r="J83" s="133">
        <f t="shared" si="12"/>
        <v>-5</v>
      </c>
      <c r="K83" s="133">
        <f t="shared" si="9"/>
        <v>-50</v>
      </c>
      <c r="L83" s="133"/>
      <c r="M83" s="135">
        <f t="shared" si="10"/>
        <v>0</v>
      </c>
    </row>
    <row r="84" spans="1:13" x14ac:dyDescent="0.25">
      <c r="A84" s="149"/>
      <c r="G84" s="119"/>
      <c r="H84" s="133">
        <v>79</v>
      </c>
      <c r="I84" s="134" t="str">
        <f t="shared" si="11"/>
        <v/>
      </c>
      <c r="J84" s="133">
        <f t="shared" si="12"/>
        <v>-5</v>
      </c>
      <c r="K84" s="133">
        <f t="shared" si="9"/>
        <v>-50</v>
      </c>
      <c r="L84" s="133"/>
      <c r="M84" s="135">
        <f t="shared" si="10"/>
        <v>0</v>
      </c>
    </row>
    <row r="85" spans="1:13" x14ac:dyDescent="0.25">
      <c r="A85" s="149"/>
      <c r="G85" s="119"/>
      <c r="H85" s="133">
        <v>80</v>
      </c>
      <c r="I85" s="134" t="str">
        <f t="shared" si="11"/>
        <v/>
      </c>
      <c r="J85" s="133">
        <f t="shared" si="12"/>
        <v>-5</v>
      </c>
      <c r="K85" s="133">
        <f t="shared" si="9"/>
        <v>-50</v>
      </c>
      <c r="L85" s="133"/>
      <c r="M85" s="135">
        <f t="shared" si="10"/>
        <v>0</v>
      </c>
    </row>
    <row r="86" spans="1:13" x14ac:dyDescent="0.25">
      <c r="A86" s="149"/>
      <c r="G86" s="119"/>
      <c r="H86" s="133">
        <v>81</v>
      </c>
      <c r="I86" s="134" t="str">
        <f t="shared" si="11"/>
        <v/>
      </c>
      <c r="J86" s="133">
        <f t="shared" si="12"/>
        <v>-5</v>
      </c>
      <c r="K86" s="133">
        <f t="shared" si="9"/>
        <v>-50</v>
      </c>
      <c r="L86" s="133"/>
      <c r="M86" s="135">
        <f t="shared" si="10"/>
        <v>0</v>
      </c>
    </row>
    <row r="87" spans="1:13" x14ac:dyDescent="0.25">
      <c r="A87" s="149"/>
      <c r="G87" s="119"/>
      <c r="H87" s="133">
        <v>82</v>
      </c>
      <c r="I87" s="134" t="str">
        <f t="shared" si="11"/>
        <v/>
      </c>
      <c r="J87" s="133">
        <f t="shared" si="12"/>
        <v>-5</v>
      </c>
      <c r="K87" s="133">
        <f t="shared" si="9"/>
        <v>-50</v>
      </c>
      <c r="L87" s="133"/>
      <c r="M87" s="135">
        <f t="shared" si="10"/>
        <v>0</v>
      </c>
    </row>
    <row r="88" spans="1:13" x14ac:dyDescent="0.25">
      <c r="A88" s="149"/>
      <c r="G88" s="119"/>
      <c r="H88" s="133">
        <v>83</v>
      </c>
      <c r="I88" s="134" t="str">
        <f t="shared" si="11"/>
        <v/>
      </c>
      <c r="J88" s="133">
        <f t="shared" si="12"/>
        <v>-5</v>
      </c>
      <c r="K88" s="133">
        <f t="shared" si="9"/>
        <v>-50</v>
      </c>
      <c r="L88" s="133"/>
      <c r="M88" s="135">
        <f t="shared" si="10"/>
        <v>0</v>
      </c>
    </row>
    <row r="89" spans="1:13" x14ac:dyDescent="0.25">
      <c r="A89" s="149"/>
      <c r="G89" s="119"/>
      <c r="H89" s="133">
        <v>84</v>
      </c>
      <c r="I89" s="134" t="str">
        <f t="shared" si="11"/>
        <v/>
      </c>
      <c r="J89" s="133">
        <f t="shared" si="12"/>
        <v>-5</v>
      </c>
      <c r="K89" s="133">
        <f t="shared" si="9"/>
        <v>-50</v>
      </c>
      <c r="L89" s="133"/>
      <c r="M89" s="135">
        <f t="shared" si="10"/>
        <v>0</v>
      </c>
    </row>
    <row r="90" spans="1:13" x14ac:dyDescent="0.25">
      <c r="A90" s="149"/>
      <c r="G90" s="119"/>
      <c r="H90" s="133">
        <v>85</v>
      </c>
      <c r="I90" s="134" t="str">
        <f t="shared" si="11"/>
        <v/>
      </c>
      <c r="J90" s="133">
        <f t="shared" si="12"/>
        <v>-5</v>
      </c>
      <c r="K90" s="133">
        <f t="shared" si="9"/>
        <v>-50</v>
      </c>
      <c r="L90" s="133"/>
      <c r="M90" s="135">
        <f t="shared" si="10"/>
        <v>0</v>
      </c>
    </row>
    <row r="91" spans="1:13" x14ac:dyDescent="0.25">
      <c r="A91" s="149"/>
      <c r="G91" s="119"/>
      <c r="H91" s="133">
        <v>86</v>
      </c>
      <c r="I91" s="134" t="str">
        <f t="shared" si="11"/>
        <v/>
      </c>
      <c r="J91" s="133">
        <f t="shared" si="12"/>
        <v>-5</v>
      </c>
      <c r="K91" s="133">
        <f t="shared" si="9"/>
        <v>-50</v>
      </c>
      <c r="L91" s="133"/>
      <c r="M91" s="135">
        <f t="shared" si="10"/>
        <v>0</v>
      </c>
    </row>
    <row r="92" spans="1:13" x14ac:dyDescent="0.25">
      <c r="A92" s="149"/>
      <c r="G92" s="119"/>
      <c r="H92" s="133">
        <v>87</v>
      </c>
      <c r="I92" s="134" t="str">
        <f t="shared" si="11"/>
        <v/>
      </c>
      <c r="J92" s="133">
        <f t="shared" si="12"/>
        <v>-5</v>
      </c>
      <c r="K92" s="133">
        <f t="shared" si="9"/>
        <v>-50</v>
      </c>
      <c r="L92" s="133"/>
      <c r="M92" s="135">
        <f t="shared" si="10"/>
        <v>0</v>
      </c>
    </row>
    <row r="93" spans="1:13" x14ac:dyDescent="0.25">
      <c r="A93" s="149"/>
      <c r="G93" s="119"/>
      <c r="H93" s="133">
        <v>88</v>
      </c>
      <c r="I93" s="134" t="str">
        <f t="shared" si="11"/>
        <v/>
      </c>
      <c r="J93" s="133">
        <f t="shared" si="12"/>
        <v>-5</v>
      </c>
      <c r="K93" s="133">
        <f t="shared" si="9"/>
        <v>-50</v>
      </c>
      <c r="L93" s="133"/>
      <c r="M93" s="135">
        <f t="shared" si="10"/>
        <v>0</v>
      </c>
    </row>
    <row r="94" spans="1:13" x14ac:dyDescent="0.25">
      <c r="A94" s="149"/>
      <c r="G94" s="119"/>
      <c r="H94" s="133">
        <v>89</v>
      </c>
      <c r="I94" s="134" t="str">
        <f t="shared" si="11"/>
        <v/>
      </c>
      <c r="J94" s="133">
        <f t="shared" si="12"/>
        <v>-5</v>
      </c>
      <c r="K94" s="133">
        <f t="shared" si="9"/>
        <v>-50</v>
      </c>
      <c r="L94" s="133"/>
      <c r="M94" s="135">
        <f t="shared" si="10"/>
        <v>0</v>
      </c>
    </row>
    <row r="95" spans="1:13" x14ac:dyDescent="0.25">
      <c r="A95" s="149"/>
      <c r="G95" s="119"/>
      <c r="H95" s="133">
        <v>90</v>
      </c>
      <c r="I95" s="134" t="str">
        <f t="shared" si="11"/>
        <v/>
      </c>
      <c r="J95" s="133">
        <f t="shared" si="12"/>
        <v>-5</v>
      </c>
      <c r="K95" s="133">
        <f t="shared" si="9"/>
        <v>-50</v>
      </c>
      <c r="L95" s="133"/>
      <c r="M95" s="135">
        <f t="shared" si="10"/>
        <v>0</v>
      </c>
    </row>
    <row r="96" spans="1:13" x14ac:dyDescent="0.25">
      <c r="A96" s="149"/>
      <c r="G96" s="119"/>
      <c r="H96" s="133">
        <v>91</v>
      </c>
      <c r="I96" s="134" t="str">
        <f t="shared" si="11"/>
        <v/>
      </c>
      <c r="J96" s="133">
        <f t="shared" si="12"/>
        <v>-5</v>
      </c>
      <c r="K96" s="133">
        <f t="shared" si="9"/>
        <v>-50</v>
      </c>
      <c r="L96" s="133"/>
      <c r="M96" s="135">
        <f t="shared" si="10"/>
        <v>0</v>
      </c>
    </row>
    <row r="97" spans="1:13" x14ac:dyDescent="0.25">
      <c r="A97" s="149"/>
      <c r="G97" s="119"/>
      <c r="H97" s="133">
        <v>92</v>
      </c>
      <c r="I97" s="134" t="str">
        <f t="shared" si="11"/>
        <v/>
      </c>
      <c r="J97" s="133">
        <f t="shared" si="12"/>
        <v>-5</v>
      </c>
      <c r="K97" s="133">
        <f t="shared" si="9"/>
        <v>-50</v>
      </c>
      <c r="L97" s="133"/>
      <c r="M97" s="135">
        <f t="shared" si="10"/>
        <v>0</v>
      </c>
    </row>
    <row r="98" spans="1:13" x14ac:dyDescent="0.25">
      <c r="A98" s="149"/>
      <c r="G98" s="119"/>
      <c r="H98" s="133">
        <v>93</v>
      </c>
      <c r="I98" s="134" t="str">
        <f t="shared" si="11"/>
        <v/>
      </c>
      <c r="J98" s="133">
        <f t="shared" si="12"/>
        <v>-5</v>
      </c>
      <c r="K98" s="133">
        <f t="shared" si="9"/>
        <v>-50</v>
      </c>
      <c r="L98" s="133"/>
      <c r="M98" s="135">
        <f t="shared" si="10"/>
        <v>0</v>
      </c>
    </row>
    <row r="99" spans="1:13" x14ac:dyDescent="0.25">
      <c r="A99" s="149"/>
      <c r="G99" s="119"/>
      <c r="H99" s="133">
        <v>94</v>
      </c>
      <c r="I99" s="134" t="str">
        <f t="shared" si="11"/>
        <v/>
      </c>
      <c r="J99" s="133">
        <f t="shared" si="12"/>
        <v>-5</v>
      </c>
      <c r="K99" s="133">
        <f t="shared" si="9"/>
        <v>-50</v>
      </c>
      <c r="L99" s="133"/>
      <c r="M99" s="135">
        <f t="shared" si="10"/>
        <v>0</v>
      </c>
    </row>
    <row r="100" spans="1:13" x14ac:dyDescent="0.25">
      <c r="A100" s="149"/>
      <c r="G100" s="119"/>
      <c r="H100" s="133">
        <v>95</v>
      </c>
      <c r="I100" s="134" t="str">
        <f t="shared" si="11"/>
        <v/>
      </c>
      <c r="J100" s="133">
        <f t="shared" si="12"/>
        <v>-5</v>
      </c>
      <c r="K100" s="133">
        <f t="shared" si="9"/>
        <v>-50</v>
      </c>
      <c r="L100" s="133"/>
      <c r="M100" s="135">
        <f t="shared" si="10"/>
        <v>0</v>
      </c>
    </row>
    <row r="101" spans="1:13" x14ac:dyDescent="0.25">
      <c r="A101" s="149"/>
      <c r="G101" s="119"/>
      <c r="H101" s="133">
        <v>96</v>
      </c>
      <c r="I101" s="134" t="str">
        <f t="shared" si="11"/>
        <v/>
      </c>
      <c r="J101" s="133">
        <f t="shared" si="12"/>
        <v>-5</v>
      </c>
      <c r="K101" s="133">
        <f t="shared" si="9"/>
        <v>-50</v>
      </c>
      <c r="L101" s="133"/>
      <c r="M101" s="135">
        <f t="shared" si="10"/>
        <v>0</v>
      </c>
    </row>
    <row r="102" spans="1:13" x14ac:dyDescent="0.25">
      <c r="A102" s="149"/>
      <c r="G102" s="119"/>
      <c r="H102" s="133">
        <v>97</v>
      </c>
      <c r="I102" s="134" t="str">
        <f t="shared" si="11"/>
        <v/>
      </c>
      <c r="J102" s="133">
        <f t="shared" si="12"/>
        <v>-5</v>
      </c>
      <c r="K102" s="133">
        <f t="shared" si="9"/>
        <v>-50</v>
      </c>
      <c r="L102" s="133"/>
      <c r="M102" s="135">
        <f t="shared" si="10"/>
        <v>0</v>
      </c>
    </row>
    <row r="103" spans="1:13" x14ac:dyDescent="0.25">
      <c r="A103" s="149"/>
      <c r="G103" s="119"/>
      <c r="H103" s="133">
        <v>98</v>
      </c>
      <c r="I103" s="134" t="str">
        <f t="shared" si="11"/>
        <v/>
      </c>
      <c r="J103" s="133">
        <f t="shared" si="12"/>
        <v>-5</v>
      </c>
      <c r="K103" s="133">
        <f t="shared" si="9"/>
        <v>-50</v>
      </c>
      <c r="L103" s="133"/>
      <c r="M103" s="135">
        <f t="shared" si="10"/>
        <v>0</v>
      </c>
    </row>
    <row r="104" spans="1:13" x14ac:dyDescent="0.25">
      <c r="A104" s="149"/>
      <c r="G104" s="119"/>
      <c r="H104" s="133">
        <v>99</v>
      </c>
      <c r="I104" s="134" t="str">
        <f t="shared" si="11"/>
        <v/>
      </c>
      <c r="J104" s="133">
        <f t="shared" si="12"/>
        <v>-5</v>
      </c>
      <c r="K104" s="133">
        <f t="shared" si="9"/>
        <v>-50</v>
      </c>
      <c r="L104" s="133"/>
      <c r="M104" s="135">
        <f t="shared" si="10"/>
        <v>0</v>
      </c>
    </row>
    <row r="105" spans="1:13" x14ac:dyDescent="0.25">
      <c r="A105" s="149"/>
      <c r="G105" s="119"/>
      <c r="H105" s="133">
        <v>100</v>
      </c>
      <c r="I105" s="134" t="str">
        <f t="shared" si="11"/>
        <v/>
      </c>
      <c r="J105" s="133">
        <f t="shared" si="12"/>
        <v>-5</v>
      </c>
      <c r="K105" s="133">
        <f t="shared" si="9"/>
        <v>-50</v>
      </c>
      <c r="L105" s="133"/>
      <c r="M105" s="135">
        <f t="shared" si="10"/>
        <v>0</v>
      </c>
    </row>
    <row r="106" spans="1:13" x14ac:dyDescent="0.25">
      <c r="A106" s="149"/>
      <c r="G106" s="119"/>
      <c r="H106" s="133">
        <v>101</v>
      </c>
      <c r="I106" s="134" t="str">
        <f t="shared" si="11"/>
        <v/>
      </c>
      <c r="J106" s="133">
        <f t="shared" si="12"/>
        <v>-5</v>
      </c>
      <c r="K106" s="133">
        <f t="shared" si="9"/>
        <v>-50</v>
      </c>
      <c r="L106" s="133"/>
      <c r="M106" s="135">
        <f t="shared" si="10"/>
        <v>0</v>
      </c>
    </row>
    <row r="107" spans="1:13" x14ac:dyDescent="0.25">
      <c r="A107" s="149"/>
      <c r="G107" s="119"/>
      <c r="H107" s="133">
        <v>102</v>
      </c>
      <c r="I107" s="134" t="str">
        <f t="shared" si="11"/>
        <v/>
      </c>
      <c r="J107" s="133">
        <f t="shared" si="12"/>
        <v>-5</v>
      </c>
      <c r="K107" s="133">
        <f t="shared" si="9"/>
        <v>-50</v>
      </c>
      <c r="L107" s="133"/>
      <c r="M107" s="135">
        <f t="shared" si="10"/>
        <v>0</v>
      </c>
    </row>
    <row r="108" spans="1:13" x14ac:dyDescent="0.25">
      <c r="A108" s="149"/>
      <c r="G108" s="119"/>
      <c r="H108" s="133">
        <v>103</v>
      </c>
      <c r="I108" s="134" t="str">
        <f t="shared" si="11"/>
        <v/>
      </c>
      <c r="J108" s="133">
        <f t="shared" si="12"/>
        <v>-5</v>
      </c>
      <c r="K108" s="133">
        <f t="shared" si="9"/>
        <v>-50</v>
      </c>
      <c r="L108" s="133"/>
      <c r="M108" s="135">
        <f t="shared" si="10"/>
        <v>0</v>
      </c>
    </row>
    <row r="109" spans="1:13" x14ac:dyDescent="0.25">
      <c r="A109" s="149"/>
      <c r="G109" s="119"/>
      <c r="H109" s="133">
        <v>104</v>
      </c>
      <c r="I109" s="134" t="str">
        <f t="shared" si="11"/>
        <v/>
      </c>
      <c r="J109" s="133">
        <f t="shared" si="12"/>
        <v>-5</v>
      </c>
      <c r="K109" s="133">
        <f t="shared" si="9"/>
        <v>-50</v>
      </c>
      <c r="L109" s="133"/>
      <c r="M109" s="135">
        <f t="shared" si="10"/>
        <v>0</v>
      </c>
    </row>
    <row r="110" spans="1:13" x14ac:dyDescent="0.25">
      <c r="A110" s="149"/>
      <c r="G110" s="119"/>
      <c r="H110" s="133">
        <v>105</v>
      </c>
      <c r="I110" s="134" t="str">
        <f t="shared" si="11"/>
        <v/>
      </c>
      <c r="J110" s="133">
        <f t="shared" si="12"/>
        <v>-5</v>
      </c>
      <c r="K110" s="133">
        <f t="shared" si="9"/>
        <v>-50</v>
      </c>
      <c r="L110" s="133"/>
      <c r="M110" s="135">
        <f t="shared" si="10"/>
        <v>0</v>
      </c>
    </row>
    <row r="111" spans="1:13" x14ac:dyDescent="0.25">
      <c r="A111" s="149"/>
      <c r="G111" s="119"/>
      <c r="H111" s="133">
        <v>106</v>
      </c>
      <c r="I111" s="134" t="str">
        <f t="shared" si="11"/>
        <v/>
      </c>
      <c r="J111" s="133">
        <f t="shared" si="12"/>
        <v>-5</v>
      </c>
      <c r="K111" s="133">
        <f t="shared" si="9"/>
        <v>-50</v>
      </c>
      <c r="L111" s="133"/>
      <c r="M111" s="135">
        <f t="shared" si="10"/>
        <v>0</v>
      </c>
    </row>
    <row r="112" spans="1:13" x14ac:dyDescent="0.25">
      <c r="A112" s="149"/>
      <c r="G112" s="119"/>
      <c r="H112" s="133">
        <v>107</v>
      </c>
      <c r="I112" s="134" t="str">
        <f t="shared" si="11"/>
        <v/>
      </c>
      <c r="J112" s="133">
        <f t="shared" si="12"/>
        <v>-5</v>
      </c>
      <c r="K112" s="133">
        <f t="shared" si="9"/>
        <v>-50</v>
      </c>
      <c r="L112" s="133"/>
      <c r="M112" s="135">
        <f t="shared" si="10"/>
        <v>0</v>
      </c>
    </row>
    <row r="113" spans="1:13" x14ac:dyDescent="0.25">
      <c r="A113" s="149"/>
      <c r="G113" s="119"/>
      <c r="H113" s="133">
        <v>108</v>
      </c>
      <c r="I113" s="134" t="str">
        <f t="shared" si="11"/>
        <v/>
      </c>
      <c r="J113" s="133">
        <f t="shared" si="12"/>
        <v>-5</v>
      </c>
      <c r="K113" s="133">
        <f t="shared" si="9"/>
        <v>-50</v>
      </c>
      <c r="L113" s="133"/>
      <c r="M113" s="135">
        <f t="shared" si="10"/>
        <v>0</v>
      </c>
    </row>
    <row r="114" spans="1:13" x14ac:dyDescent="0.25">
      <c r="A114" s="149"/>
      <c r="G114" s="119"/>
      <c r="H114" s="133">
        <v>109</v>
      </c>
      <c r="I114" s="134" t="str">
        <f t="shared" si="11"/>
        <v/>
      </c>
      <c r="J114" s="133">
        <f t="shared" si="12"/>
        <v>-5</v>
      </c>
      <c r="K114" s="133">
        <f t="shared" si="9"/>
        <v>-50</v>
      </c>
      <c r="L114" s="133"/>
      <c r="M114" s="135">
        <f t="shared" si="10"/>
        <v>0</v>
      </c>
    </row>
    <row r="115" spans="1:13" x14ac:dyDescent="0.25">
      <c r="A115" s="149"/>
      <c r="G115" s="119"/>
      <c r="H115" s="133">
        <v>110</v>
      </c>
      <c r="I115" s="134" t="str">
        <f t="shared" si="11"/>
        <v/>
      </c>
      <c r="J115" s="133">
        <f t="shared" si="12"/>
        <v>-5</v>
      </c>
      <c r="K115" s="133">
        <f t="shared" si="9"/>
        <v>-50</v>
      </c>
      <c r="L115" s="133"/>
      <c r="M115" s="135">
        <f t="shared" si="10"/>
        <v>0</v>
      </c>
    </row>
    <row r="116" spans="1:13" x14ac:dyDescent="0.25">
      <c r="A116" s="149"/>
      <c r="G116" s="119"/>
      <c r="H116" s="133">
        <v>111</v>
      </c>
      <c r="I116" s="134" t="str">
        <f t="shared" si="11"/>
        <v/>
      </c>
      <c r="J116" s="133">
        <f t="shared" si="12"/>
        <v>-5</v>
      </c>
      <c r="K116" s="133">
        <f t="shared" si="9"/>
        <v>-50</v>
      </c>
      <c r="L116" s="133"/>
      <c r="M116" s="135">
        <f t="shared" si="10"/>
        <v>0</v>
      </c>
    </row>
    <row r="117" spans="1:13" x14ac:dyDescent="0.25">
      <c r="A117" s="149"/>
      <c r="G117" s="119"/>
      <c r="H117" s="133">
        <v>112</v>
      </c>
      <c r="I117" s="134" t="str">
        <f t="shared" si="11"/>
        <v/>
      </c>
      <c r="J117" s="133">
        <f t="shared" si="12"/>
        <v>-5</v>
      </c>
      <c r="K117" s="133">
        <f t="shared" si="9"/>
        <v>-50</v>
      </c>
      <c r="L117" s="133"/>
      <c r="M117" s="135">
        <f t="shared" si="10"/>
        <v>0</v>
      </c>
    </row>
    <row r="118" spans="1:13" x14ac:dyDescent="0.25">
      <c r="A118" s="149"/>
      <c r="G118" s="119"/>
      <c r="H118" s="133">
        <v>113</v>
      </c>
      <c r="I118" s="134" t="str">
        <f t="shared" si="11"/>
        <v/>
      </c>
      <c r="J118" s="133">
        <f t="shared" si="12"/>
        <v>-5</v>
      </c>
      <c r="K118" s="133">
        <f t="shared" si="9"/>
        <v>-50</v>
      </c>
      <c r="L118" s="133"/>
      <c r="M118" s="135">
        <f t="shared" si="10"/>
        <v>0</v>
      </c>
    </row>
    <row r="119" spans="1:13" x14ac:dyDescent="0.25">
      <c r="A119" s="149"/>
      <c r="G119" s="119"/>
      <c r="H119" s="133">
        <v>114</v>
      </c>
      <c r="I119" s="134" t="str">
        <f t="shared" si="11"/>
        <v/>
      </c>
      <c r="J119" s="133">
        <f t="shared" si="12"/>
        <v>-5</v>
      </c>
      <c r="K119" s="133">
        <f t="shared" si="9"/>
        <v>-50</v>
      </c>
      <c r="L119" s="133"/>
      <c r="M119" s="135">
        <f t="shared" si="10"/>
        <v>0</v>
      </c>
    </row>
    <row r="120" spans="1:13" x14ac:dyDescent="0.25">
      <c r="A120" s="149"/>
      <c r="G120" s="119"/>
      <c r="H120" s="133">
        <v>115</v>
      </c>
      <c r="I120" s="134" t="str">
        <f t="shared" si="11"/>
        <v/>
      </c>
      <c r="J120" s="133">
        <f t="shared" si="12"/>
        <v>-5</v>
      </c>
      <c r="K120" s="133">
        <f t="shared" si="9"/>
        <v>-50</v>
      </c>
      <c r="L120" s="133"/>
      <c r="M120" s="135">
        <f t="shared" si="10"/>
        <v>0</v>
      </c>
    </row>
    <row r="121" spans="1:13" x14ac:dyDescent="0.25">
      <c r="A121" s="149"/>
      <c r="G121" s="119"/>
      <c r="H121" s="133">
        <v>116</v>
      </c>
      <c r="I121" s="134" t="str">
        <f t="shared" si="11"/>
        <v/>
      </c>
      <c r="J121" s="133">
        <f t="shared" si="12"/>
        <v>-5</v>
      </c>
      <c r="K121" s="133">
        <f t="shared" si="9"/>
        <v>-50</v>
      </c>
      <c r="L121" s="133"/>
      <c r="M121" s="135">
        <f t="shared" si="10"/>
        <v>0</v>
      </c>
    </row>
    <row r="122" spans="1:13" x14ac:dyDescent="0.25">
      <c r="A122" s="149"/>
      <c r="G122" s="119"/>
      <c r="H122" s="133">
        <v>117</v>
      </c>
      <c r="I122" s="134" t="str">
        <f t="shared" si="11"/>
        <v/>
      </c>
      <c r="J122" s="133">
        <f t="shared" si="12"/>
        <v>-5</v>
      </c>
      <c r="K122" s="133">
        <f t="shared" si="9"/>
        <v>-50</v>
      </c>
      <c r="L122" s="133"/>
      <c r="M122" s="135">
        <f t="shared" si="10"/>
        <v>0</v>
      </c>
    </row>
    <row r="123" spans="1:13" x14ac:dyDescent="0.25">
      <c r="A123" s="149"/>
      <c r="G123" s="119"/>
      <c r="H123" s="133">
        <v>118</v>
      </c>
      <c r="I123" s="134" t="str">
        <f t="shared" si="11"/>
        <v/>
      </c>
      <c r="J123" s="133">
        <f t="shared" si="12"/>
        <v>-5</v>
      </c>
      <c r="K123" s="133">
        <f t="shared" si="9"/>
        <v>-50</v>
      </c>
      <c r="L123" s="133"/>
      <c r="M123" s="135">
        <f t="shared" si="10"/>
        <v>0</v>
      </c>
    </row>
    <row r="124" spans="1:13" x14ac:dyDescent="0.25">
      <c r="A124" s="149"/>
      <c r="G124" s="119"/>
      <c r="H124" s="133">
        <v>119</v>
      </c>
      <c r="I124" s="134" t="str">
        <f t="shared" si="11"/>
        <v/>
      </c>
      <c r="J124" s="133">
        <f t="shared" si="12"/>
        <v>-5</v>
      </c>
      <c r="K124" s="133">
        <f t="shared" si="9"/>
        <v>-50</v>
      </c>
      <c r="L124" s="133"/>
      <c r="M124" s="135">
        <f t="shared" si="10"/>
        <v>0</v>
      </c>
    </row>
    <row r="125" spans="1:13" x14ac:dyDescent="0.25">
      <c r="A125" s="149"/>
      <c r="G125" s="119"/>
      <c r="H125" s="133">
        <v>120</v>
      </c>
      <c r="I125" s="134" t="str">
        <f t="shared" si="11"/>
        <v/>
      </c>
      <c r="J125" s="133">
        <f t="shared" si="12"/>
        <v>-5</v>
      </c>
      <c r="K125" s="133">
        <f t="shared" si="9"/>
        <v>-50</v>
      </c>
      <c r="L125" s="133"/>
      <c r="M125" s="135">
        <f t="shared" si="10"/>
        <v>0</v>
      </c>
    </row>
    <row r="126" spans="1:13" x14ac:dyDescent="0.25">
      <c r="A126" s="149"/>
      <c r="G126" s="119"/>
      <c r="H126" s="133">
        <v>121</v>
      </c>
      <c r="I126" s="134" t="str">
        <f t="shared" si="11"/>
        <v/>
      </c>
      <c r="J126" s="133">
        <f t="shared" si="12"/>
        <v>-5</v>
      </c>
      <c r="K126" s="133">
        <f t="shared" si="9"/>
        <v>-50</v>
      </c>
      <c r="L126" s="133"/>
      <c r="M126" s="135">
        <f t="shared" si="10"/>
        <v>0</v>
      </c>
    </row>
    <row r="127" spans="1:13" x14ac:dyDescent="0.25">
      <c r="A127" s="149"/>
      <c r="G127" s="119"/>
      <c r="H127" s="133">
        <v>122</v>
      </c>
      <c r="I127" s="134" t="str">
        <f t="shared" si="11"/>
        <v/>
      </c>
      <c r="J127" s="133">
        <f t="shared" si="12"/>
        <v>-5</v>
      </c>
      <c r="K127" s="133">
        <f t="shared" si="9"/>
        <v>-50</v>
      </c>
      <c r="L127" s="133"/>
      <c r="M127" s="135">
        <f t="shared" si="10"/>
        <v>0</v>
      </c>
    </row>
    <row r="128" spans="1:13" x14ac:dyDescent="0.25">
      <c r="A128" s="149"/>
      <c r="G128" s="119"/>
      <c r="H128" s="133">
        <v>123</v>
      </c>
      <c r="I128" s="134" t="str">
        <f t="shared" si="11"/>
        <v/>
      </c>
      <c r="J128" s="133">
        <f t="shared" si="12"/>
        <v>-5</v>
      </c>
      <c r="K128" s="133">
        <f t="shared" si="9"/>
        <v>-50</v>
      </c>
      <c r="L128" s="133"/>
      <c r="M128" s="135">
        <f t="shared" si="10"/>
        <v>0</v>
      </c>
    </row>
    <row r="129" spans="1:13" x14ac:dyDescent="0.25">
      <c r="A129" s="149"/>
      <c r="G129" s="119"/>
      <c r="H129" s="133">
        <v>124</v>
      </c>
      <c r="I129" s="134" t="str">
        <f t="shared" si="11"/>
        <v/>
      </c>
      <c r="J129" s="133">
        <f t="shared" si="12"/>
        <v>-5</v>
      </c>
      <c r="K129" s="133">
        <f t="shared" si="9"/>
        <v>-50</v>
      </c>
      <c r="L129" s="133"/>
      <c r="M129" s="135">
        <f t="shared" si="10"/>
        <v>0</v>
      </c>
    </row>
    <row r="130" spans="1:13" x14ac:dyDescent="0.25">
      <c r="A130" s="149"/>
      <c r="G130" s="119"/>
      <c r="H130" s="133">
        <v>125</v>
      </c>
      <c r="I130" s="134" t="str">
        <f t="shared" si="11"/>
        <v/>
      </c>
      <c r="J130" s="133">
        <f t="shared" si="12"/>
        <v>-5</v>
      </c>
      <c r="K130" s="133">
        <f t="shared" si="9"/>
        <v>-50</v>
      </c>
      <c r="L130" s="133"/>
      <c r="M130" s="135">
        <f t="shared" si="10"/>
        <v>0</v>
      </c>
    </row>
    <row r="131" spans="1:13" x14ac:dyDescent="0.25">
      <c r="A131" s="149"/>
      <c r="G131" s="119"/>
      <c r="H131" s="133">
        <v>126</v>
      </c>
      <c r="I131" s="134" t="str">
        <f t="shared" si="11"/>
        <v/>
      </c>
      <c r="J131" s="133">
        <f t="shared" si="12"/>
        <v>-5</v>
      </c>
      <c r="K131" s="133">
        <f t="shared" si="9"/>
        <v>-50</v>
      </c>
      <c r="L131" s="133"/>
      <c r="M131" s="135">
        <f t="shared" si="10"/>
        <v>0</v>
      </c>
    </row>
    <row r="132" spans="1:13" x14ac:dyDescent="0.25">
      <c r="A132" s="149"/>
      <c r="G132" s="119"/>
      <c r="H132" s="133">
        <v>127</v>
      </c>
      <c r="I132" s="134" t="str">
        <f t="shared" si="11"/>
        <v/>
      </c>
      <c r="J132" s="133">
        <f t="shared" si="12"/>
        <v>-5</v>
      </c>
      <c r="K132" s="133">
        <f t="shared" si="9"/>
        <v>-50</v>
      </c>
      <c r="L132" s="133"/>
      <c r="M132" s="135">
        <f t="shared" si="10"/>
        <v>0</v>
      </c>
    </row>
    <row r="133" spans="1:13" x14ac:dyDescent="0.25">
      <c r="A133" s="149"/>
      <c r="G133" s="119"/>
      <c r="H133" s="133">
        <v>128</v>
      </c>
      <c r="I133" s="134" t="str">
        <f t="shared" si="11"/>
        <v/>
      </c>
      <c r="J133" s="133">
        <f t="shared" si="12"/>
        <v>-5</v>
      </c>
      <c r="K133" s="133">
        <f t="shared" si="9"/>
        <v>-50</v>
      </c>
      <c r="L133" s="133"/>
      <c r="M133" s="135">
        <f t="shared" si="10"/>
        <v>0</v>
      </c>
    </row>
    <row r="134" spans="1:13" x14ac:dyDescent="0.25">
      <c r="A134" s="149"/>
      <c r="G134" s="119"/>
      <c r="H134" s="133">
        <v>129</v>
      </c>
      <c r="I134" s="134" t="str">
        <f t="shared" si="11"/>
        <v/>
      </c>
      <c r="J134" s="133">
        <f t="shared" si="12"/>
        <v>-6</v>
      </c>
      <c r="K134" s="133">
        <f t="shared" ref="K134:K197" si="13">J134*$J$2</f>
        <v>-60</v>
      </c>
      <c r="L134" s="133"/>
      <c r="M134" s="135">
        <f t="shared" ref="M134:M197" si="14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5">IF(H135&lt;$H$2+1,($I$2-($I$2-1)*(LOG(H135)/LOG($H$2))),"")</f>
        <v/>
      </c>
      <c r="J135" s="133">
        <f t="shared" ref="J135:J198" si="16">INT(LOG($H$2,2))-ROUNDUP(LOG(H135,2),0)+IF(OR($H$2=1,$H$2=2,$H$2=4,$H$2=8,$H$2=16,$H$2=32,$H$2=64,$H$2=128,$H$2=256),0,1)</f>
        <v>-6</v>
      </c>
      <c r="K135" s="133">
        <f t="shared" si="13"/>
        <v>-60</v>
      </c>
      <c r="L135" s="133"/>
      <c r="M135" s="135">
        <f t="shared" si="14"/>
        <v>0</v>
      </c>
    </row>
    <row r="136" spans="1:13" x14ac:dyDescent="0.25">
      <c r="A136" s="149"/>
      <c r="G136" s="119"/>
      <c r="H136" s="133">
        <v>131</v>
      </c>
      <c r="I136" s="134" t="str">
        <f t="shared" si="15"/>
        <v/>
      </c>
      <c r="J136" s="133">
        <f t="shared" si="16"/>
        <v>-6</v>
      </c>
      <c r="K136" s="133">
        <f t="shared" si="13"/>
        <v>-60</v>
      </c>
      <c r="L136" s="133"/>
      <c r="M136" s="135">
        <f t="shared" si="14"/>
        <v>0</v>
      </c>
    </row>
    <row r="137" spans="1:13" x14ac:dyDescent="0.25">
      <c r="A137" s="149"/>
      <c r="G137" s="119"/>
      <c r="H137" s="133">
        <v>132</v>
      </c>
      <c r="I137" s="134" t="str">
        <f t="shared" si="15"/>
        <v/>
      </c>
      <c r="J137" s="133">
        <f t="shared" si="16"/>
        <v>-6</v>
      </c>
      <c r="K137" s="133">
        <f t="shared" si="13"/>
        <v>-60</v>
      </c>
      <c r="L137" s="133"/>
      <c r="M137" s="135">
        <f t="shared" si="14"/>
        <v>0</v>
      </c>
    </row>
    <row r="138" spans="1:13" x14ac:dyDescent="0.25">
      <c r="A138" s="149"/>
      <c r="G138" s="119"/>
      <c r="H138" s="133">
        <v>133</v>
      </c>
      <c r="I138" s="134" t="str">
        <f t="shared" si="15"/>
        <v/>
      </c>
      <c r="J138" s="133">
        <f t="shared" si="16"/>
        <v>-6</v>
      </c>
      <c r="K138" s="133">
        <f t="shared" si="13"/>
        <v>-60</v>
      </c>
      <c r="L138" s="133"/>
      <c r="M138" s="135">
        <f t="shared" si="14"/>
        <v>0</v>
      </c>
    </row>
    <row r="139" spans="1:13" x14ac:dyDescent="0.25">
      <c r="A139" s="149"/>
      <c r="G139" s="119"/>
      <c r="H139" s="133">
        <v>134</v>
      </c>
      <c r="I139" s="134" t="str">
        <f t="shared" si="15"/>
        <v/>
      </c>
      <c r="J139" s="133">
        <f t="shared" si="16"/>
        <v>-6</v>
      </c>
      <c r="K139" s="133">
        <f t="shared" si="13"/>
        <v>-60</v>
      </c>
      <c r="L139" s="133"/>
      <c r="M139" s="135">
        <f t="shared" si="14"/>
        <v>0</v>
      </c>
    </row>
    <row r="140" spans="1:13" x14ac:dyDescent="0.25">
      <c r="A140" s="149"/>
      <c r="G140" s="119"/>
      <c r="H140" s="133">
        <v>135</v>
      </c>
      <c r="I140" s="134" t="str">
        <f t="shared" si="15"/>
        <v/>
      </c>
      <c r="J140" s="133">
        <f t="shared" si="16"/>
        <v>-6</v>
      </c>
      <c r="K140" s="133">
        <f t="shared" si="13"/>
        <v>-60</v>
      </c>
      <c r="L140" s="133"/>
      <c r="M140" s="135">
        <f t="shared" si="14"/>
        <v>0</v>
      </c>
    </row>
    <row r="141" spans="1:13" x14ac:dyDescent="0.25">
      <c r="A141" s="149"/>
      <c r="G141" s="119"/>
      <c r="H141" s="133">
        <v>136</v>
      </c>
      <c r="I141" s="134" t="str">
        <f t="shared" si="15"/>
        <v/>
      </c>
      <c r="J141" s="133">
        <f t="shared" si="16"/>
        <v>-6</v>
      </c>
      <c r="K141" s="133">
        <f t="shared" si="13"/>
        <v>-60</v>
      </c>
      <c r="L141" s="133"/>
      <c r="M141" s="135">
        <f t="shared" si="14"/>
        <v>0</v>
      </c>
    </row>
    <row r="142" spans="1:13" x14ac:dyDescent="0.25">
      <c r="A142" s="149"/>
      <c r="G142" s="119"/>
      <c r="H142" s="133">
        <v>137</v>
      </c>
      <c r="I142" s="134" t="str">
        <f t="shared" si="15"/>
        <v/>
      </c>
      <c r="J142" s="133">
        <f t="shared" si="16"/>
        <v>-6</v>
      </c>
      <c r="K142" s="133">
        <f t="shared" si="13"/>
        <v>-60</v>
      </c>
      <c r="L142" s="133"/>
      <c r="M142" s="135">
        <f t="shared" si="14"/>
        <v>0</v>
      </c>
    </row>
    <row r="143" spans="1:13" x14ac:dyDescent="0.25">
      <c r="A143" s="149"/>
      <c r="G143" s="119"/>
      <c r="H143" s="133">
        <v>138</v>
      </c>
      <c r="I143" s="134" t="str">
        <f t="shared" si="15"/>
        <v/>
      </c>
      <c r="J143" s="133">
        <f t="shared" si="16"/>
        <v>-6</v>
      </c>
      <c r="K143" s="133">
        <f t="shared" si="13"/>
        <v>-60</v>
      </c>
      <c r="L143" s="133"/>
      <c r="M143" s="135">
        <f t="shared" si="14"/>
        <v>0</v>
      </c>
    </row>
    <row r="144" spans="1:13" x14ac:dyDescent="0.25">
      <c r="A144" s="149"/>
      <c r="G144" s="119"/>
      <c r="H144" s="133">
        <v>139</v>
      </c>
      <c r="I144" s="134" t="str">
        <f t="shared" si="15"/>
        <v/>
      </c>
      <c r="J144" s="133">
        <f t="shared" si="16"/>
        <v>-6</v>
      </c>
      <c r="K144" s="133">
        <f t="shared" si="13"/>
        <v>-60</v>
      </c>
      <c r="L144" s="133"/>
      <c r="M144" s="135">
        <f t="shared" si="14"/>
        <v>0</v>
      </c>
    </row>
    <row r="145" spans="1:13" x14ac:dyDescent="0.25">
      <c r="A145" s="149"/>
      <c r="G145" s="119"/>
      <c r="H145" s="133">
        <v>140</v>
      </c>
      <c r="I145" s="134" t="str">
        <f t="shared" si="15"/>
        <v/>
      </c>
      <c r="J145" s="133">
        <f t="shared" si="16"/>
        <v>-6</v>
      </c>
      <c r="K145" s="133">
        <f t="shared" si="13"/>
        <v>-60</v>
      </c>
      <c r="L145" s="133"/>
      <c r="M145" s="135">
        <f t="shared" si="14"/>
        <v>0</v>
      </c>
    </row>
    <row r="146" spans="1:13" x14ac:dyDescent="0.25">
      <c r="A146" s="149"/>
      <c r="G146" s="119"/>
      <c r="H146" s="133">
        <v>141</v>
      </c>
      <c r="I146" s="134" t="str">
        <f t="shared" si="15"/>
        <v/>
      </c>
      <c r="J146" s="133">
        <f t="shared" si="16"/>
        <v>-6</v>
      </c>
      <c r="K146" s="133">
        <f t="shared" si="13"/>
        <v>-60</v>
      </c>
      <c r="L146" s="133"/>
      <c r="M146" s="135">
        <f t="shared" si="14"/>
        <v>0</v>
      </c>
    </row>
    <row r="147" spans="1:13" x14ac:dyDescent="0.25">
      <c r="A147" s="149"/>
      <c r="G147" s="119"/>
      <c r="H147" s="133">
        <v>142</v>
      </c>
      <c r="I147" s="134" t="str">
        <f t="shared" si="15"/>
        <v/>
      </c>
      <c r="J147" s="133">
        <f t="shared" si="16"/>
        <v>-6</v>
      </c>
      <c r="K147" s="133">
        <f t="shared" si="13"/>
        <v>-60</v>
      </c>
      <c r="L147" s="133"/>
      <c r="M147" s="135">
        <f t="shared" si="14"/>
        <v>0</v>
      </c>
    </row>
    <row r="148" spans="1:13" x14ac:dyDescent="0.25">
      <c r="A148" s="149"/>
      <c r="G148" s="119"/>
      <c r="H148" s="133">
        <v>143</v>
      </c>
      <c r="I148" s="134" t="str">
        <f t="shared" si="15"/>
        <v/>
      </c>
      <c r="J148" s="133">
        <f t="shared" si="16"/>
        <v>-6</v>
      </c>
      <c r="K148" s="133">
        <f t="shared" si="13"/>
        <v>-60</v>
      </c>
      <c r="L148" s="133"/>
      <c r="M148" s="135">
        <f t="shared" si="14"/>
        <v>0</v>
      </c>
    </row>
    <row r="149" spans="1:13" x14ac:dyDescent="0.25">
      <c r="A149" s="149"/>
      <c r="G149" s="119"/>
      <c r="H149" s="133">
        <v>144</v>
      </c>
      <c r="I149" s="134" t="str">
        <f t="shared" si="15"/>
        <v/>
      </c>
      <c r="J149" s="133">
        <f t="shared" si="16"/>
        <v>-6</v>
      </c>
      <c r="K149" s="133">
        <f t="shared" si="13"/>
        <v>-60</v>
      </c>
      <c r="L149" s="133"/>
      <c r="M149" s="135">
        <f t="shared" si="14"/>
        <v>0</v>
      </c>
    </row>
    <row r="150" spans="1:13" x14ac:dyDescent="0.25">
      <c r="A150" s="149"/>
      <c r="G150" s="119"/>
      <c r="H150" s="133">
        <v>145</v>
      </c>
      <c r="I150" s="134" t="str">
        <f t="shared" si="15"/>
        <v/>
      </c>
      <c r="J150" s="133">
        <f t="shared" si="16"/>
        <v>-6</v>
      </c>
      <c r="K150" s="133">
        <f t="shared" si="13"/>
        <v>-60</v>
      </c>
      <c r="L150" s="133"/>
      <c r="M150" s="135">
        <f t="shared" si="14"/>
        <v>0</v>
      </c>
    </row>
    <row r="151" spans="1:13" x14ac:dyDescent="0.25">
      <c r="A151" s="149"/>
      <c r="G151" s="119"/>
      <c r="H151" s="133">
        <v>146</v>
      </c>
      <c r="I151" s="134" t="str">
        <f t="shared" si="15"/>
        <v/>
      </c>
      <c r="J151" s="133">
        <f t="shared" si="16"/>
        <v>-6</v>
      </c>
      <c r="K151" s="133">
        <f t="shared" si="13"/>
        <v>-60</v>
      </c>
      <c r="L151" s="133"/>
      <c r="M151" s="135">
        <f t="shared" si="14"/>
        <v>0</v>
      </c>
    </row>
    <row r="152" spans="1:13" x14ac:dyDescent="0.25">
      <c r="A152" s="149"/>
      <c r="G152" s="119"/>
      <c r="H152" s="133">
        <v>147</v>
      </c>
      <c r="I152" s="134" t="str">
        <f t="shared" si="15"/>
        <v/>
      </c>
      <c r="J152" s="133">
        <f t="shared" si="16"/>
        <v>-6</v>
      </c>
      <c r="K152" s="133">
        <f t="shared" si="13"/>
        <v>-60</v>
      </c>
      <c r="L152" s="133"/>
      <c r="M152" s="135">
        <f t="shared" si="14"/>
        <v>0</v>
      </c>
    </row>
    <row r="153" spans="1:13" x14ac:dyDescent="0.25">
      <c r="A153" s="149"/>
      <c r="G153" s="119"/>
      <c r="H153" s="133">
        <v>148</v>
      </c>
      <c r="I153" s="134" t="str">
        <f t="shared" si="15"/>
        <v/>
      </c>
      <c r="J153" s="133">
        <f t="shared" si="16"/>
        <v>-6</v>
      </c>
      <c r="K153" s="133">
        <f t="shared" si="13"/>
        <v>-60</v>
      </c>
      <c r="L153" s="133"/>
      <c r="M153" s="135">
        <f t="shared" si="14"/>
        <v>0</v>
      </c>
    </row>
    <row r="154" spans="1:13" x14ac:dyDescent="0.25">
      <c r="A154" s="149"/>
      <c r="G154" s="119"/>
      <c r="H154" s="133">
        <v>149</v>
      </c>
      <c r="I154" s="134" t="str">
        <f t="shared" si="15"/>
        <v/>
      </c>
      <c r="J154" s="133">
        <f t="shared" si="16"/>
        <v>-6</v>
      </c>
      <c r="K154" s="133">
        <f t="shared" si="13"/>
        <v>-60</v>
      </c>
      <c r="L154" s="133"/>
      <c r="M154" s="135">
        <f t="shared" si="14"/>
        <v>0</v>
      </c>
    </row>
    <row r="155" spans="1:13" x14ac:dyDescent="0.25">
      <c r="A155" s="149"/>
      <c r="G155" s="119"/>
      <c r="H155" s="133">
        <v>150</v>
      </c>
      <c r="I155" s="134" t="str">
        <f t="shared" si="15"/>
        <v/>
      </c>
      <c r="J155" s="133">
        <f t="shared" si="16"/>
        <v>-6</v>
      </c>
      <c r="K155" s="133">
        <f t="shared" si="13"/>
        <v>-60</v>
      </c>
      <c r="L155" s="133"/>
      <c r="M155" s="135">
        <f t="shared" si="14"/>
        <v>0</v>
      </c>
    </row>
    <row r="156" spans="1:13" x14ac:dyDescent="0.25">
      <c r="A156" s="149"/>
      <c r="G156" s="119"/>
      <c r="H156" s="133">
        <v>151</v>
      </c>
      <c r="I156" s="134" t="str">
        <f t="shared" si="15"/>
        <v/>
      </c>
      <c r="J156" s="133">
        <f t="shared" si="16"/>
        <v>-6</v>
      </c>
      <c r="K156" s="133">
        <f t="shared" si="13"/>
        <v>-60</v>
      </c>
      <c r="L156" s="133"/>
      <c r="M156" s="135">
        <f t="shared" si="14"/>
        <v>0</v>
      </c>
    </row>
    <row r="157" spans="1:13" x14ac:dyDescent="0.25">
      <c r="A157" s="149"/>
      <c r="G157" s="119"/>
      <c r="H157" s="133">
        <v>152</v>
      </c>
      <c r="I157" s="134" t="str">
        <f t="shared" si="15"/>
        <v/>
      </c>
      <c r="J157" s="133">
        <f t="shared" si="16"/>
        <v>-6</v>
      </c>
      <c r="K157" s="133">
        <f t="shared" si="13"/>
        <v>-60</v>
      </c>
      <c r="L157" s="133"/>
      <c r="M157" s="135">
        <f t="shared" si="14"/>
        <v>0</v>
      </c>
    </row>
    <row r="158" spans="1:13" x14ac:dyDescent="0.25">
      <c r="A158" s="149"/>
      <c r="G158" s="119"/>
      <c r="H158" s="133">
        <v>153</v>
      </c>
      <c r="I158" s="134" t="str">
        <f t="shared" si="15"/>
        <v/>
      </c>
      <c r="J158" s="133">
        <f t="shared" si="16"/>
        <v>-6</v>
      </c>
      <c r="K158" s="133">
        <f t="shared" si="13"/>
        <v>-60</v>
      </c>
      <c r="L158" s="133"/>
      <c r="M158" s="135">
        <f t="shared" si="14"/>
        <v>0</v>
      </c>
    </row>
    <row r="159" spans="1:13" x14ac:dyDescent="0.25">
      <c r="A159" s="149"/>
      <c r="G159" s="119"/>
      <c r="H159" s="133">
        <v>154</v>
      </c>
      <c r="I159" s="134" t="str">
        <f t="shared" si="15"/>
        <v/>
      </c>
      <c r="J159" s="133">
        <f t="shared" si="16"/>
        <v>-6</v>
      </c>
      <c r="K159" s="133">
        <f t="shared" si="13"/>
        <v>-60</v>
      </c>
      <c r="L159" s="133"/>
      <c r="M159" s="135">
        <f t="shared" si="14"/>
        <v>0</v>
      </c>
    </row>
    <row r="160" spans="1:13" x14ac:dyDescent="0.25">
      <c r="A160" s="149"/>
      <c r="G160" s="119"/>
      <c r="H160" s="133">
        <v>155</v>
      </c>
      <c r="I160" s="134" t="str">
        <f t="shared" si="15"/>
        <v/>
      </c>
      <c r="J160" s="133">
        <f t="shared" si="16"/>
        <v>-6</v>
      </c>
      <c r="K160" s="133">
        <f t="shared" si="13"/>
        <v>-60</v>
      </c>
      <c r="L160" s="133"/>
      <c r="M160" s="135">
        <f t="shared" si="14"/>
        <v>0</v>
      </c>
    </row>
    <row r="161" spans="1:13" x14ac:dyDescent="0.25">
      <c r="A161" s="149"/>
      <c r="G161" s="119"/>
      <c r="H161" s="133">
        <v>156</v>
      </c>
      <c r="I161" s="134" t="str">
        <f t="shared" si="15"/>
        <v/>
      </c>
      <c r="J161" s="133">
        <f t="shared" si="16"/>
        <v>-6</v>
      </c>
      <c r="K161" s="133">
        <f t="shared" si="13"/>
        <v>-60</v>
      </c>
      <c r="L161" s="133"/>
      <c r="M161" s="135">
        <f t="shared" si="14"/>
        <v>0</v>
      </c>
    </row>
    <row r="162" spans="1:13" x14ac:dyDescent="0.25">
      <c r="A162" s="149"/>
      <c r="G162" s="119"/>
      <c r="H162" s="133">
        <v>157</v>
      </c>
      <c r="I162" s="134" t="str">
        <f t="shared" si="15"/>
        <v/>
      </c>
      <c r="J162" s="133">
        <f t="shared" si="16"/>
        <v>-6</v>
      </c>
      <c r="K162" s="133">
        <f t="shared" si="13"/>
        <v>-60</v>
      </c>
      <c r="L162" s="133"/>
      <c r="M162" s="135">
        <f t="shared" si="14"/>
        <v>0</v>
      </c>
    </row>
    <row r="163" spans="1:13" x14ac:dyDescent="0.25">
      <c r="A163" s="149"/>
      <c r="G163" s="119"/>
      <c r="H163" s="133">
        <v>158</v>
      </c>
      <c r="I163" s="134" t="str">
        <f t="shared" si="15"/>
        <v/>
      </c>
      <c r="J163" s="133">
        <f t="shared" si="16"/>
        <v>-6</v>
      </c>
      <c r="K163" s="133">
        <f t="shared" si="13"/>
        <v>-60</v>
      </c>
      <c r="L163" s="133"/>
      <c r="M163" s="135">
        <f t="shared" si="14"/>
        <v>0</v>
      </c>
    </row>
    <row r="164" spans="1:13" x14ac:dyDescent="0.25">
      <c r="A164" s="149"/>
      <c r="G164" s="119"/>
      <c r="H164" s="133">
        <v>159</v>
      </c>
      <c r="I164" s="134" t="str">
        <f t="shared" si="15"/>
        <v/>
      </c>
      <c r="J164" s="133">
        <f t="shared" si="16"/>
        <v>-6</v>
      </c>
      <c r="K164" s="133">
        <f t="shared" si="13"/>
        <v>-60</v>
      </c>
      <c r="L164" s="133"/>
      <c r="M164" s="135">
        <f t="shared" si="14"/>
        <v>0</v>
      </c>
    </row>
    <row r="165" spans="1:13" x14ac:dyDescent="0.25">
      <c r="A165" s="149"/>
      <c r="G165" s="119"/>
      <c r="H165" s="133">
        <v>160</v>
      </c>
      <c r="I165" s="134" t="str">
        <f t="shared" si="15"/>
        <v/>
      </c>
      <c r="J165" s="133">
        <f t="shared" si="16"/>
        <v>-6</v>
      </c>
      <c r="K165" s="133">
        <f t="shared" si="13"/>
        <v>-60</v>
      </c>
      <c r="L165" s="133"/>
      <c r="M165" s="135">
        <f t="shared" si="14"/>
        <v>0</v>
      </c>
    </row>
    <row r="166" spans="1:13" x14ac:dyDescent="0.25">
      <c r="A166" s="149"/>
      <c r="G166" s="119"/>
      <c r="H166" s="133">
        <v>161</v>
      </c>
      <c r="I166" s="134" t="str">
        <f t="shared" si="15"/>
        <v/>
      </c>
      <c r="J166" s="133">
        <f t="shared" si="16"/>
        <v>-6</v>
      </c>
      <c r="K166" s="133">
        <f t="shared" si="13"/>
        <v>-60</v>
      </c>
      <c r="L166" s="133"/>
      <c r="M166" s="135">
        <f t="shared" si="14"/>
        <v>0</v>
      </c>
    </row>
    <row r="167" spans="1:13" x14ac:dyDescent="0.25">
      <c r="A167" s="149"/>
      <c r="G167" s="119"/>
      <c r="H167" s="133">
        <v>162</v>
      </c>
      <c r="I167" s="134" t="str">
        <f t="shared" si="15"/>
        <v/>
      </c>
      <c r="J167" s="133">
        <f t="shared" si="16"/>
        <v>-6</v>
      </c>
      <c r="K167" s="133">
        <f t="shared" si="13"/>
        <v>-60</v>
      </c>
      <c r="L167" s="133"/>
      <c r="M167" s="135">
        <f t="shared" si="14"/>
        <v>0</v>
      </c>
    </row>
    <row r="168" spans="1:13" x14ac:dyDescent="0.25">
      <c r="A168" s="149"/>
      <c r="G168" s="119"/>
      <c r="H168" s="133">
        <v>163</v>
      </c>
      <c r="I168" s="134" t="str">
        <f t="shared" si="15"/>
        <v/>
      </c>
      <c r="J168" s="133">
        <f t="shared" si="16"/>
        <v>-6</v>
      </c>
      <c r="K168" s="133">
        <f t="shared" si="13"/>
        <v>-60</v>
      </c>
      <c r="L168" s="133"/>
      <c r="M168" s="135">
        <f t="shared" si="14"/>
        <v>0</v>
      </c>
    </row>
    <row r="169" spans="1:13" x14ac:dyDescent="0.25">
      <c r="A169" s="149"/>
      <c r="G169" s="119"/>
      <c r="H169" s="133">
        <v>164</v>
      </c>
      <c r="I169" s="134" t="str">
        <f t="shared" si="15"/>
        <v/>
      </c>
      <c r="J169" s="133">
        <f t="shared" si="16"/>
        <v>-6</v>
      </c>
      <c r="K169" s="133">
        <f t="shared" si="13"/>
        <v>-60</v>
      </c>
      <c r="L169" s="133"/>
      <c r="M169" s="135">
        <f t="shared" si="14"/>
        <v>0</v>
      </c>
    </row>
    <row r="170" spans="1:13" x14ac:dyDescent="0.25">
      <c r="A170" s="149"/>
      <c r="G170" s="119"/>
      <c r="H170" s="133">
        <v>165</v>
      </c>
      <c r="I170" s="134" t="str">
        <f t="shared" si="15"/>
        <v/>
      </c>
      <c r="J170" s="133">
        <f t="shared" si="16"/>
        <v>-6</v>
      </c>
      <c r="K170" s="133">
        <f t="shared" si="13"/>
        <v>-60</v>
      </c>
      <c r="L170" s="133"/>
      <c r="M170" s="135">
        <f t="shared" si="14"/>
        <v>0</v>
      </c>
    </row>
    <row r="171" spans="1:13" x14ac:dyDescent="0.25">
      <c r="A171" s="149"/>
      <c r="G171" s="119"/>
      <c r="H171" s="133">
        <v>166</v>
      </c>
      <c r="I171" s="134" t="str">
        <f t="shared" si="15"/>
        <v/>
      </c>
      <c r="J171" s="133">
        <f t="shared" si="16"/>
        <v>-6</v>
      </c>
      <c r="K171" s="133">
        <f t="shared" si="13"/>
        <v>-60</v>
      </c>
      <c r="L171" s="133"/>
      <c r="M171" s="135">
        <f t="shared" si="14"/>
        <v>0</v>
      </c>
    </row>
    <row r="172" spans="1:13" x14ac:dyDescent="0.25">
      <c r="A172" s="149"/>
      <c r="G172" s="119"/>
      <c r="H172" s="133">
        <v>167</v>
      </c>
      <c r="I172" s="134" t="str">
        <f t="shared" si="15"/>
        <v/>
      </c>
      <c r="J172" s="133">
        <f t="shared" si="16"/>
        <v>-6</v>
      </c>
      <c r="K172" s="133">
        <f t="shared" si="13"/>
        <v>-60</v>
      </c>
      <c r="L172" s="133"/>
      <c r="M172" s="135">
        <f t="shared" si="14"/>
        <v>0</v>
      </c>
    </row>
    <row r="173" spans="1:13" x14ac:dyDescent="0.25">
      <c r="A173" s="149"/>
      <c r="G173" s="119"/>
      <c r="H173" s="133">
        <v>168</v>
      </c>
      <c r="I173" s="134" t="str">
        <f t="shared" si="15"/>
        <v/>
      </c>
      <c r="J173" s="133">
        <f t="shared" si="16"/>
        <v>-6</v>
      </c>
      <c r="K173" s="133">
        <f t="shared" si="13"/>
        <v>-60</v>
      </c>
      <c r="L173" s="133"/>
      <c r="M173" s="135">
        <f t="shared" si="14"/>
        <v>0</v>
      </c>
    </row>
    <row r="174" spans="1:13" x14ac:dyDescent="0.25">
      <c r="A174" s="149"/>
      <c r="G174" s="119"/>
      <c r="H174" s="133">
        <v>169</v>
      </c>
      <c r="I174" s="134" t="str">
        <f t="shared" si="15"/>
        <v/>
      </c>
      <c r="J174" s="133">
        <f t="shared" si="16"/>
        <v>-6</v>
      </c>
      <c r="K174" s="133">
        <f t="shared" si="13"/>
        <v>-60</v>
      </c>
      <c r="L174" s="133"/>
      <c r="M174" s="135">
        <f t="shared" si="14"/>
        <v>0</v>
      </c>
    </row>
    <row r="175" spans="1:13" x14ac:dyDescent="0.25">
      <c r="A175" s="149"/>
      <c r="G175" s="119"/>
      <c r="H175" s="133">
        <v>170</v>
      </c>
      <c r="I175" s="134" t="str">
        <f t="shared" si="15"/>
        <v/>
      </c>
      <c r="J175" s="133">
        <f t="shared" si="16"/>
        <v>-6</v>
      </c>
      <c r="K175" s="133">
        <f t="shared" si="13"/>
        <v>-60</v>
      </c>
      <c r="L175" s="133"/>
      <c r="M175" s="135">
        <f t="shared" si="14"/>
        <v>0</v>
      </c>
    </row>
    <row r="176" spans="1:13" x14ac:dyDescent="0.25">
      <c r="A176" s="149"/>
      <c r="G176" s="119"/>
      <c r="H176" s="133">
        <v>171</v>
      </c>
      <c r="I176" s="134" t="str">
        <f t="shared" si="15"/>
        <v/>
      </c>
      <c r="J176" s="133">
        <f t="shared" si="16"/>
        <v>-6</v>
      </c>
      <c r="K176" s="133">
        <f t="shared" si="13"/>
        <v>-60</v>
      </c>
      <c r="L176" s="133"/>
      <c r="M176" s="135">
        <f t="shared" si="14"/>
        <v>0</v>
      </c>
    </row>
    <row r="177" spans="1:13" x14ac:dyDescent="0.25">
      <c r="A177" s="149"/>
      <c r="G177" s="119"/>
      <c r="H177" s="133">
        <v>172</v>
      </c>
      <c r="I177" s="134" t="str">
        <f t="shared" si="15"/>
        <v/>
      </c>
      <c r="J177" s="133">
        <f t="shared" si="16"/>
        <v>-6</v>
      </c>
      <c r="K177" s="133">
        <f t="shared" si="13"/>
        <v>-60</v>
      </c>
      <c r="L177" s="133"/>
      <c r="M177" s="135">
        <f t="shared" si="14"/>
        <v>0</v>
      </c>
    </row>
    <row r="178" spans="1:13" x14ac:dyDescent="0.25">
      <c r="A178" s="149"/>
      <c r="G178" s="119"/>
      <c r="H178" s="133">
        <v>173</v>
      </c>
      <c r="I178" s="134" t="str">
        <f t="shared" si="15"/>
        <v/>
      </c>
      <c r="J178" s="133">
        <f t="shared" si="16"/>
        <v>-6</v>
      </c>
      <c r="K178" s="133">
        <f t="shared" si="13"/>
        <v>-60</v>
      </c>
      <c r="L178" s="133"/>
      <c r="M178" s="135">
        <f t="shared" si="14"/>
        <v>0</v>
      </c>
    </row>
    <row r="179" spans="1:13" x14ac:dyDescent="0.25">
      <c r="A179" s="149"/>
      <c r="G179" s="119"/>
      <c r="H179" s="133">
        <v>174</v>
      </c>
      <c r="I179" s="134" t="str">
        <f t="shared" si="15"/>
        <v/>
      </c>
      <c r="J179" s="133">
        <f t="shared" si="16"/>
        <v>-6</v>
      </c>
      <c r="K179" s="133">
        <f t="shared" si="13"/>
        <v>-60</v>
      </c>
      <c r="L179" s="133"/>
      <c r="M179" s="135">
        <f t="shared" si="14"/>
        <v>0</v>
      </c>
    </row>
    <row r="180" spans="1:13" x14ac:dyDescent="0.25">
      <c r="A180" s="149"/>
      <c r="G180" s="119"/>
      <c r="H180" s="133">
        <v>175</v>
      </c>
      <c r="I180" s="134" t="str">
        <f t="shared" si="15"/>
        <v/>
      </c>
      <c r="J180" s="133">
        <f t="shared" si="16"/>
        <v>-6</v>
      </c>
      <c r="K180" s="133">
        <f t="shared" si="13"/>
        <v>-60</v>
      </c>
      <c r="L180" s="133"/>
      <c r="M180" s="135">
        <f t="shared" si="14"/>
        <v>0</v>
      </c>
    </row>
    <row r="181" spans="1:13" x14ac:dyDescent="0.25">
      <c r="A181" s="149"/>
      <c r="G181" s="119"/>
      <c r="H181" s="133">
        <v>176</v>
      </c>
      <c r="I181" s="134" t="str">
        <f t="shared" si="15"/>
        <v/>
      </c>
      <c r="J181" s="133">
        <f t="shared" si="16"/>
        <v>-6</v>
      </c>
      <c r="K181" s="133">
        <f t="shared" si="13"/>
        <v>-60</v>
      </c>
      <c r="L181" s="133"/>
      <c r="M181" s="135">
        <f t="shared" si="14"/>
        <v>0</v>
      </c>
    </row>
    <row r="182" spans="1:13" x14ac:dyDescent="0.25">
      <c r="A182" s="149"/>
      <c r="G182" s="119"/>
      <c r="H182" s="133">
        <v>177</v>
      </c>
      <c r="I182" s="134" t="str">
        <f t="shared" si="15"/>
        <v/>
      </c>
      <c r="J182" s="133">
        <f t="shared" si="16"/>
        <v>-6</v>
      </c>
      <c r="K182" s="133">
        <f t="shared" si="13"/>
        <v>-60</v>
      </c>
      <c r="L182" s="133"/>
      <c r="M182" s="135">
        <f t="shared" si="14"/>
        <v>0</v>
      </c>
    </row>
    <row r="183" spans="1:13" x14ac:dyDescent="0.25">
      <c r="A183" s="149"/>
      <c r="G183" s="119"/>
      <c r="H183" s="133">
        <v>178</v>
      </c>
      <c r="I183" s="134" t="str">
        <f t="shared" si="15"/>
        <v/>
      </c>
      <c r="J183" s="133">
        <f t="shared" si="16"/>
        <v>-6</v>
      </c>
      <c r="K183" s="133">
        <f t="shared" si="13"/>
        <v>-60</v>
      </c>
      <c r="L183" s="133"/>
      <c r="M183" s="135">
        <f t="shared" si="14"/>
        <v>0</v>
      </c>
    </row>
    <row r="184" spans="1:13" x14ac:dyDescent="0.25">
      <c r="A184" s="149"/>
      <c r="G184" s="119"/>
      <c r="H184" s="133">
        <v>179</v>
      </c>
      <c r="I184" s="134" t="str">
        <f t="shared" si="15"/>
        <v/>
      </c>
      <c r="J184" s="133">
        <f t="shared" si="16"/>
        <v>-6</v>
      </c>
      <c r="K184" s="133">
        <f t="shared" si="13"/>
        <v>-60</v>
      </c>
      <c r="L184" s="133"/>
      <c r="M184" s="135">
        <f t="shared" si="14"/>
        <v>0</v>
      </c>
    </row>
    <row r="185" spans="1:13" x14ac:dyDescent="0.25">
      <c r="A185" s="149"/>
      <c r="G185" s="119"/>
      <c r="H185" s="133">
        <v>180</v>
      </c>
      <c r="I185" s="134" t="str">
        <f t="shared" si="15"/>
        <v/>
      </c>
      <c r="J185" s="133">
        <f t="shared" si="16"/>
        <v>-6</v>
      </c>
      <c r="K185" s="133">
        <f t="shared" si="13"/>
        <v>-60</v>
      </c>
      <c r="L185" s="133"/>
      <c r="M185" s="135">
        <f t="shared" si="14"/>
        <v>0</v>
      </c>
    </row>
    <row r="186" spans="1:13" x14ac:dyDescent="0.25">
      <c r="A186" s="149"/>
      <c r="G186" s="119"/>
      <c r="H186" s="133">
        <v>181</v>
      </c>
      <c r="I186" s="134" t="str">
        <f t="shared" si="15"/>
        <v/>
      </c>
      <c r="J186" s="133">
        <f t="shared" si="16"/>
        <v>-6</v>
      </c>
      <c r="K186" s="133">
        <f t="shared" si="13"/>
        <v>-60</v>
      </c>
      <c r="L186" s="133"/>
      <c r="M186" s="135">
        <f t="shared" si="14"/>
        <v>0</v>
      </c>
    </row>
    <row r="187" spans="1:13" x14ac:dyDescent="0.25">
      <c r="A187" s="149"/>
      <c r="G187" s="119"/>
      <c r="H187" s="133">
        <v>182</v>
      </c>
      <c r="I187" s="134" t="str">
        <f t="shared" si="15"/>
        <v/>
      </c>
      <c r="J187" s="133">
        <f t="shared" si="16"/>
        <v>-6</v>
      </c>
      <c r="K187" s="133">
        <f t="shared" si="13"/>
        <v>-60</v>
      </c>
      <c r="L187" s="133"/>
      <c r="M187" s="135">
        <f t="shared" si="14"/>
        <v>0</v>
      </c>
    </row>
    <row r="188" spans="1:13" x14ac:dyDescent="0.25">
      <c r="A188" s="149"/>
      <c r="G188" s="119"/>
      <c r="H188" s="133">
        <v>183</v>
      </c>
      <c r="I188" s="134" t="str">
        <f t="shared" si="15"/>
        <v/>
      </c>
      <c r="J188" s="133">
        <f t="shared" si="16"/>
        <v>-6</v>
      </c>
      <c r="K188" s="133">
        <f t="shared" si="13"/>
        <v>-60</v>
      </c>
      <c r="L188" s="133"/>
      <c r="M188" s="135">
        <f t="shared" si="14"/>
        <v>0</v>
      </c>
    </row>
    <row r="189" spans="1:13" x14ac:dyDescent="0.25">
      <c r="A189" s="149"/>
      <c r="G189" s="119"/>
      <c r="H189" s="133">
        <v>184</v>
      </c>
      <c r="I189" s="134" t="str">
        <f t="shared" si="15"/>
        <v/>
      </c>
      <c r="J189" s="133">
        <f t="shared" si="16"/>
        <v>-6</v>
      </c>
      <c r="K189" s="133">
        <f t="shared" si="13"/>
        <v>-60</v>
      </c>
      <c r="L189" s="133"/>
      <c r="M189" s="135">
        <f t="shared" si="14"/>
        <v>0</v>
      </c>
    </row>
    <row r="190" spans="1:13" x14ac:dyDescent="0.25">
      <c r="A190" s="149"/>
      <c r="G190" s="119"/>
      <c r="H190" s="133">
        <v>185</v>
      </c>
      <c r="I190" s="134" t="str">
        <f t="shared" si="15"/>
        <v/>
      </c>
      <c r="J190" s="133">
        <f t="shared" si="16"/>
        <v>-6</v>
      </c>
      <c r="K190" s="133">
        <f t="shared" si="13"/>
        <v>-60</v>
      </c>
      <c r="L190" s="133"/>
      <c r="M190" s="135">
        <f t="shared" si="14"/>
        <v>0</v>
      </c>
    </row>
    <row r="191" spans="1:13" x14ac:dyDescent="0.25">
      <c r="A191" s="149"/>
      <c r="G191" s="119"/>
      <c r="H191" s="133">
        <v>186</v>
      </c>
      <c r="I191" s="134" t="str">
        <f t="shared" si="15"/>
        <v/>
      </c>
      <c r="J191" s="133">
        <f t="shared" si="16"/>
        <v>-6</v>
      </c>
      <c r="K191" s="133">
        <f t="shared" si="13"/>
        <v>-60</v>
      </c>
      <c r="L191" s="133"/>
      <c r="M191" s="135">
        <f t="shared" si="14"/>
        <v>0</v>
      </c>
    </row>
    <row r="192" spans="1:13" x14ac:dyDescent="0.25">
      <c r="A192" s="149"/>
      <c r="G192" s="119"/>
      <c r="H192" s="133">
        <v>187</v>
      </c>
      <c r="I192" s="134" t="str">
        <f t="shared" si="15"/>
        <v/>
      </c>
      <c r="J192" s="133">
        <f t="shared" si="16"/>
        <v>-6</v>
      </c>
      <c r="K192" s="133">
        <f t="shared" si="13"/>
        <v>-60</v>
      </c>
      <c r="L192" s="133"/>
      <c r="M192" s="135">
        <f t="shared" si="14"/>
        <v>0</v>
      </c>
    </row>
    <row r="193" spans="1:13" x14ac:dyDescent="0.25">
      <c r="A193" s="149"/>
      <c r="G193" s="119"/>
      <c r="H193" s="133">
        <v>188</v>
      </c>
      <c r="I193" s="134" t="str">
        <f t="shared" si="15"/>
        <v/>
      </c>
      <c r="J193" s="133">
        <f t="shared" si="16"/>
        <v>-6</v>
      </c>
      <c r="K193" s="133">
        <f t="shared" si="13"/>
        <v>-60</v>
      </c>
      <c r="L193" s="133"/>
      <c r="M193" s="135">
        <f t="shared" si="14"/>
        <v>0</v>
      </c>
    </row>
    <row r="194" spans="1:13" x14ac:dyDescent="0.25">
      <c r="A194" s="149"/>
      <c r="G194" s="119"/>
      <c r="H194" s="133">
        <v>189</v>
      </c>
      <c r="I194" s="134" t="str">
        <f t="shared" si="15"/>
        <v/>
      </c>
      <c r="J194" s="133">
        <f t="shared" si="16"/>
        <v>-6</v>
      </c>
      <c r="K194" s="133">
        <f t="shared" si="13"/>
        <v>-60</v>
      </c>
      <c r="L194" s="133"/>
      <c r="M194" s="135">
        <f t="shared" si="14"/>
        <v>0</v>
      </c>
    </row>
    <row r="195" spans="1:13" x14ac:dyDescent="0.25">
      <c r="A195" s="149"/>
      <c r="G195" s="119"/>
      <c r="H195" s="133">
        <v>190</v>
      </c>
      <c r="I195" s="134" t="str">
        <f t="shared" si="15"/>
        <v/>
      </c>
      <c r="J195" s="133">
        <f t="shared" si="16"/>
        <v>-6</v>
      </c>
      <c r="K195" s="133">
        <f t="shared" si="13"/>
        <v>-60</v>
      </c>
      <c r="L195" s="133"/>
      <c r="M195" s="135">
        <f t="shared" si="14"/>
        <v>0</v>
      </c>
    </row>
    <row r="196" spans="1:13" x14ac:dyDescent="0.25">
      <c r="A196" s="149"/>
      <c r="G196" s="119"/>
      <c r="H196" s="133">
        <v>191</v>
      </c>
      <c r="I196" s="134" t="str">
        <f t="shared" si="15"/>
        <v/>
      </c>
      <c r="J196" s="133">
        <f t="shared" si="16"/>
        <v>-6</v>
      </c>
      <c r="K196" s="133">
        <f t="shared" si="13"/>
        <v>-60</v>
      </c>
      <c r="L196" s="133"/>
      <c r="M196" s="135">
        <f t="shared" si="14"/>
        <v>0</v>
      </c>
    </row>
    <row r="197" spans="1:13" x14ac:dyDescent="0.25">
      <c r="A197" s="149"/>
      <c r="G197" s="119"/>
      <c r="H197" s="133">
        <v>192</v>
      </c>
      <c r="I197" s="134" t="str">
        <f t="shared" si="15"/>
        <v/>
      </c>
      <c r="J197" s="133">
        <f t="shared" si="16"/>
        <v>-6</v>
      </c>
      <c r="K197" s="133">
        <f t="shared" si="13"/>
        <v>-60</v>
      </c>
      <c r="L197" s="133"/>
      <c r="M197" s="135">
        <f t="shared" si="14"/>
        <v>0</v>
      </c>
    </row>
    <row r="198" spans="1:13" x14ac:dyDescent="0.25">
      <c r="A198" s="149"/>
      <c r="G198" s="119"/>
      <c r="H198" s="133">
        <v>193</v>
      </c>
      <c r="I198" s="134" t="str">
        <f t="shared" si="15"/>
        <v/>
      </c>
      <c r="J198" s="133">
        <f t="shared" si="16"/>
        <v>-6</v>
      </c>
      <c r="K198" s="133">
        <f t="shared" ref="K198:K261" si="17">J198*$J$2</f>
        <v>-60</v>
      </c>
      <c r="L198" s="133"/>
      <c r="M198" s="135">
        <f t="shared" ref="M198:M261" si="18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9">IF(H199&lt;$H$2+1,($I$2-($I$2-1)*(LOG(H199)/LOG($H$2))),"")</f>
        <v/>
      </c>
      <c r="J199" s="133">
        <f t="shared" ref="J199:J262" si="20">INT(LOG($H$2,2))-ROUNDUP(LOG(H199,2),0)+IF(OR($H$2=1,$H$2=2,$H$2=4,$H$2=8,$H$2=16,$H$2=32,$H$2=64,$H$2=128,$H$2=256),0,1)</f>
        <v>-6</v>
      </c>
      <c r="K199" s="133">
        <f t="shared" si="17"/>
        <v>-60</v>
      </c>
      <c r="L199" s="133"/>
      <c r="M199" s="135">
        <f t="shared" si="18"/>
        <v>0</v>
      </c>
    </row>
    <row r="200" spans="1:13" x14ac:dyDescent="0.25">
      <c r="A200" s="149"/>
      <c r="G200" s="119"/>
      <c r="H200" s="133">
        <v>195</v>
      </c>
      <c r="I200" s="134" t="str">
        <f t="shared" si="19"/>
        <v/>
      </c>
      <c r="J200" s="133">
        <f t="shared" si="20"/>
        <v>-6</v>
      </c>
      <c r="K200" s="133">
        <f t="shared" si="17"/>
        <v>-60</v>
      </c>
      <c r="L200" s="133"/>
      <c r="M200" s="135">
        <f t="shared" si="18"/>
        <v>0</v>
      </c>
    </row>
    <row r="201" spans="1:13" x14ac:dyDescent="0.25">
      <c r="A201" s="149"/>
      <c r="G201" s="119"/>
      <c r="H201" s="133">
        <v>196</v>
      </c>
      <c r="I201" s="134" t="str">
        <f t="shared" si="19"/>
        <v/>
      </c>
      <c r="J201" s="133">
        <f t="shared" si="20"/>
        <v>-6</v>
      </c>
      <c r="K201" s="133">
        <f t="shared" si="17"/>
        <v>-60</v>
      </c>
      <c r="L201" s="133"/>
      <c r="M201" s="135">
        <f t="shared" si="18"/>
        <v>0</v>
      </c>
    </row>
    <row r="202" spans="1:13" x14ac:dyDescent="0.25">
      <c r="A202" s="149"/>
      <c r="G202" s="119"/>
      <c r="H202" s="133">
        <v>197</v>
      </c>
      <c r="I202" s="134" t="str">
        <f t="shared" si="19"/>
        <v/>
      </c>
      <c r="J202" s="133">
        <f t="shared" si="20"/>
        <v>-6</v>
      </c>
      <c r="K202" s="133">
        <f t="shared" si="17"/>
        <v>-60</v>
      </c>
      <c r="L202" s="133"/>
      <c r="M202" s="135">
        <f t="shared" si="18"/>
        <v>0</v>
      </c>
    </row>
    <row r="203" spans="1:13" x14ac:dyDescent="0.25">
      <c r="A203" s="149"/>
      <c r="G203" s="119"/>
      <c r="H203" s="133">
        <v>198</v>
      </c>
      <c r="I203" s="134" t="str">
        <f t="shared" si="19"/>
        <v/>
      </c>
      <c r="J203" s="133">
        <f t="shared" si="20"/>
        <v>-6</v>
      </c>
      <c r="K203" s="133">
        <f t="shared" si="17"/>
        <v>-60</v>
      </c>
      <c r="L203" s="133"/>
      <c r="M203" s="135">
        <f t="shared" si="18"/>
        <v>0</v>
      </c>
    </row>
    <row r="204" spans="1:13" x14ac:dyDescent="0.25">
      <c r="A204" s="149"/>
      <c r="G204" s="119"/>
      <c r="H204" s="133">
        <v>199</v>
      </c>
      <c r="I204" s="134" t="str">
        <f t="shared" si="19"/>
        <v/>
      </c>
      <c r="J204" s="133">
        <f t="shared" si="20"/>
        <v>-6</v>
      </c>
      <c r="K204" s="133">
        <f t="shared" si="17"/>
        <v>-60</v>
      </c>
      <c r="L204" s="133"/>
      <c r="M204" s="135">
        <f t="shared" si="18"/>
        <v>0</v>
      </c>
    </row>
    <row r="205" spans="1:13" x14ac:dyDescent="0.25">
      <c r="A205" s="149"/>
      <c r="G205" s="119"/>
      <c r="H205" s="133">
        <v>200</v>
      </c>
      <c r="I205" s="134" t="str">
        <f t="shared" si="19"/>
        <v/>
      </c>
      <c r="J205" s="133">
        <f t="shared" si="20"/>
        <v>-6</v>
      </c>
      <c r="K205" s="133">
        <f t="shared" si="17"/>
        <v>-60</v>
      </c>
      <c r="L205" s="133"/>
      <c r="M205" s="135">
        <f t="shared" si="18"/>
        <v>0</v>
      </c>
    </row>
    <row r="206" spans="1:13" x14ac:dyDescent="0.25">
      <c r="A206" s="149"/>
      <c r="G206" s="119"/>
      <c r="H206" s="133">
        <v>201</v>
      </c>
      <c r="I206" s="134" t="str">
        <f t="shared" si="19"/>
        <v/>
      </c>
      <c r="J206" s="133">
        <f t="shared" si="20"/>
        <v>-6</v>
      </c>
      <c r="K206" s="133">
        <f t="shared" si="17"/>
        <v>-60</v>
      </c>
      <c r="L206" s="133"/>
      <c r="M206" s="135">
        <f t="shared" si="18"/>
        <v>0</v>
      </c>
    </row>
    <row r="207" spans="1:13" x14ac:dyDescent="0.25">
      <c r="A207" s="149"/>
      <c r="G207" s="119"/>
      <c r="H207" s="133">
        <v>202</v>
      </c>
      <c r="I207" s="134" t="str">
        <f t="shared" si="19"/>
        <v/>
      </c>
      <c r="J207" s="133">
        <f t="shared" si="20"/>
        <v>-6</v>
      </c>
      <c r="K207" s="133">
        <f t="shared" si="17"/>
        <v>-60</v>
      </c>
      <c r="L207" s="133"/>
      <c r="M207" s="135">
        <f t="shared" si="18"/>
        <v>0</v>
      </c>
    </row>
    <row r="208" spans="1:13" x14ac:dyDescent="0.25">
      <c r="A208" s="149"/>
      <c r="G208" s="119"/>
      <c r="H208" s="133">
        <v>203</v>
      </c>
      <c r="I208" s="134" t="str">
        <f t="shared" si="19"/>
        <v/>
      </c>
      <c r="J208" s="133">
        <f t="shared" si="20"/>
        <v>-6</v>
      </c>
      <c r="K208" s="133">
        <f t="shared" si="17"/>
        <v>-60</v>
      </c>
      <c r="L208" s="133"/>
      <c r="M208" s="135">
        <f t="shared" si="18"/>
        <v>0</v>
      </c>
    </row>
    <row r="209" spans="1:13" x14ac:dyDescent="0.25">
      <c r="A209" s="149"/>
      <c r="G209" s="119"/>
      <c r="H209" s="133">
        <v>204</v>
      </c>
      <c r="I209" s="134" t="str">
        <f t="shared" si="19"/>
        <v/>
      </c>
      <c r="J209" s="133">
        <f t="shared" si="20"/>
        <v>-6</v>
      </c>
      <c r="K209" s="133">
        <f t="shared" si="17"/>
        <v>-60</v>
      </c>
      <c r="L209" s="133"/>
      <c r="M209" s="135">
        <f t="shared" si="18"/>
        <v>0</v>
      </c>
    </row>
    <row r="210" spans="1:13" x14ac:dyDescent="0.25">
      <c r="A210" s="149"/>
      <c r="G210" s="119"/>
      <c r="H210" s="133">
        <v>205</v>
      </c>
      <c r="I210" s="134" t="str">
        <f t="shared" si="19"/>
        <v/>
      </c>
      <c r="J210" s="133">
        <f t="shared" si="20"/>
        <v>-6</v>
      </c>
      <c r="K210" s="133">
        <f t="shared" si="17"/>
        <v>-60</v>
      </c>
      <c r="L210" s="133"/>
      <c r="M210" s="135">
        <f t="shared" si="18"/>
        <v>0</v>
      </c>
    </row>
    <row r="211" spans="1:13" x14ac:dyDescent="0.25">
      <c r="A211" s="149"/>
      <c r="G211" s="119"/>
      <c r="H211" s="133">
        <v>206</v>
      </c>
      <c r="I211" s="134" t="str">
        <f t="shared" si="19"/>
        <v/>
      </c>
      <c r="J211" s="133">
        <f t="shared" si="20"/>
        <v>-6</v>
      </c>
      <c r="K211" s="133">
        <f t="shared" si="17"/>
        <v>-60</v>
      </c>
      <c r="L211" s="133"/>
      <c r="M211" s="135">
        <f t="shared" si="18"/>
        <v>0</v>
      </c>
    </row>
    <row r="212" spans="1:13" x14ac:dyDescent="0.25">
      <c r="A212" s="149"/>
      <c r="G212" s="119"/>
      <c r="H212" s="133">
        <v>207</v>
      </c>
      <c r="I212" s="134" t="str">
        <f t="shared" si="19"/>
        <v/>
      </c>
      <c r="J212" s="133">
        <f t="shared" si="20"/>
        <v>-6</v>
      </c>
      <c r="K212" s="133">
        <f t="shared" si="17"/>
        <v>-60</v>
      </c>
      <c r="L212" s="133"/>
      <c r="M212" s="135">
        <f t="shared" si="18"/>
        <v>0</v>
      </c>
    </row>
    <row r="213" spans="1:13" x14ac:dyDescent="0.25">
      <c r="A213" s="149"/>
      <c r="G213" s="119"/>
      <c r="H213" s="133">
        <v>208</v>
      </c>
      <c r="I213" s="134" t="str">
        <f t="shared" si="19"/>
        <v/>
      </c>
      <c r="J213" s="133">
        <f t="shared" si="20"/>
        <v>-6</v>
      </c>
      <c r="K213" s="133">
        <f t="shared" si="17"/>
        <v>-60</v>
      </c>
      <c r="L213" s="133"/>
      <c r="M213" s="135">
        <f t="shared" si="18"/>
        <v>0</v>
      </c>
    </row>
    <row r="214" spans="1:13" x14ac:dyDescent="0.25">
      <c r="A214" s="149"/>
      <c r="G214" s="119"/>
      <c r="H214" s="133">
        <v>209</v>
      </c>
      <c r="I214" s="134" t="str">
        <f t="shared" si="19"/>
        <v/>
      </c>
      <c r="J214" s="133">
        <f t="shared" si="20"/>
        <v>-6</v>
      </c>
      <c r="K214" s="133">
        <f t="shared" si="17"/>
        <v>-60</v>
      </c>
      <c r="L214" s="133"/>
      <c r="M214" s="135">
        <f t="shared" si="18"/>
        <v>0</v>
      </c>
    </row>
    <row r="215" spans="1:13" x14ac:dyDescent="0.25">
      <c r="A215" s="149"/>
      <c r="G215" s="119"/>
      <c r="H215" s="133">
        <v>210</v>
      </c>
      <c r="I215" s="134" t="str">
        <f t="shared" si="19"/>
        <v/>
      </c>
      <c r="J215" s="133">
        <f t="shared" si="20"/>
        <v>-6</v>
      </c>
      <c r="K215" s="133">
        <f t="shared" si="17"/>
        <v>-60</v>
      </c>
      <c r="L215" s="133"/>
      <c r="M215" s="135">
        <f t="shared" si="18"/>
        <v>0</v>
      </c>
    </row>
    <row r="216" spans="1:13" x14ac:dyDescent="0.25">
      <c r="A216" s="149"/>
      <c r="G216" s="119"/>
      <c r="H216" s="133">
        <v>211</v>
      </c>
      <c r="I216" s="134" t="str">
        <f t="shared" si="19"/>
        <v/>
      </c>
      <c r="J216" s="133">
        <f t="shared" si="20"/>
        <v>-6</v>
      </c>
      <c r="K216" s="133">
        <f t="shared" si="17"/>
        <v>-60</v>
      </c>
      <c r="L216" s="133"/>
      <c r="M216" s="135">
        <f t="shared" si="18"/>
        <v>0</v>
      </c>
    </row>
    <row r="217" spans="1:13" x14ac:dyDescent="0.25">
      <c r="A217" s="149"/>
      <c r="G217" s="119"/>
      <c r="H217" s="133">
        <v>212</v>
      </c>
      <c r="I217" s="134" t="str">
        <f t="shared" si="19"/>
        <v/>
      </c>
      <c r="J217" s="133">
        <f t="shared" si="20"/>
        <v>-6</v>
      </c>
      <c r="K217" s="133">
        <f t="shared" si="17"/>
        <v>-60</v>
      </c>
      <c r="L217" s="133"/>
      <c r="M217" s="135">
        <f t="shared" si="18"/>
        <v>0</v>
      </c>
    </row>
    <row r="218" spans="1:13" x14ac:dyDescent="0.25">
      <c r="A218" s="149"/>
      <c r="G218" s="119"/>
      <c r="H218" s="133">
        <v>213</v>
      </c>
      <c r="I218" s="134" t="str">
        <f t="shared" si="19"/>
        <v/>
      </c>
      <c r="J218" s="133">
        <f t="shared" si="20"/>
        <v>-6</v>
      </c>
      <c r="K218" s="133">
        <f t="shared" si="17"/>
        <v>-60</v>
      </c>
      <c r="L218" s="133"/>
      <c r="M218" s="135">
        <f t="shared" si="18"/>
        <v>0</v>
      </c>
    </row>
    <row r="219" spans="1:13" x14ac:dyDescent="0.25">
      <c r="A219" s="149"/>
      <c r="G219" s="119"/>
      <c r="H219" s="133">
        <v>214</v>
      </c>
      <c r="I219" s="134" t="str">
        <f t="shared" si="19"/>
        <v/>
      </c>
      <c r="J219" s="133">
        <f t="shared" si="20"/>
        <v>-6</v>
      </c>
      <c r="K219" s="133">
        <f t="shared" si="17"/>
        <v>-60</v>
      </c>
      <c r="L219" s="133"/>
      <c r="M219" s="135">
        <f t="shared" si="18"/>
        <v>0</v>
      </c>
    </row>
    <row r="220" spans="1:13" x14ac:dyDescent="0.25">
      <c r="A220" s="149"/>
      <c r="G220" s="119"/>
      <c r="H220" s="133">
        <v>215</v>
      </c>
      <c r="I220" s="134" t="str">
        <f t="shared" si="19"/>
        <v/>
      </c>
      <c r="J220" s="133">
        <f t="shared" si="20"/>
        <v>-6</v>
      </c>
      <c r="K220" s="133">
        <f t="shared" si="17"/>
        <v>-60</v>
      </c>
      <c r="L220" s="133"/>
      <c r="M220" s="135">
        <f t="shared" si="18"/>
        <v>0</v>
      </c>
    </row>
    <row r="221" spans="1:13" x14ac:dyDescent="0.25">
      <c r="A221" s="149"/>
      <c r="G221" s="119"/>
      <c r="H221" s="133">
        <v>216</v>
      </c>
      <c r="I221" s="134" t="str">
        <f t="shared" si="19"/>
        <v/>
      </c>
      <c r="J221" s="133">
        <f t="shared" si="20"/>
        <v>-6</v>
      </c>
      <c r="K221" s="133">
        <f t="shared" si="17"/>
        <v>-60</v>
      </c>
      <c r="L221" s="133"/>
      <c r="M221" s="135">
        <f t="shared" si="18"/>
        <v>0</v>
      </c>
    </row>
    <row r="222" spans="1:13" x14ac:dyDescent="0.25">
      <c r="A222" s="149"/>
      <c r="G222" s="119"/>
      <c r="H222" s="133">
        <v>217</v>
      </c>
      <c r="I222" s="134" t="str">
        <f t="shared" si="19"/>
        <v/>
      </c>
      <c r="J222" s="133">
        <f t="shared" si="20"/>
        <v>-6</v>
      </c>
      <c r="K222" s="133">
        <f t="shared" si="17"/>
        <v>-60</v>
      </c>
      <c r="L222" s="133"/>
      <c r="M222" s="135">
        <f t="shared" si="18"/>
        <v>0</v>
      </c>
    </row>
    <row r="223" spans="1:13" x14ac:dyDescent="0.25">
      <c r="A223" s="149"/>
      <c r="G223" s="119"/>
      <c r="H223" s="133">
        <v>218</v>
      </c>
      <c r="I223" s="134" t="str">
        <f t="shared" si="19"/>
        <v/>
      </c>
      <c r="J223" s="133">
        <f t="shared" si="20"/>
        <v>-6</v>
      </c>
      <c r="K223" s="133">
        <f t="shared" si="17"/>
        <v>-60</v>
      </c>
      <c r="L223" s="133"/>
      <c r="M223" s="135">
        <f t="shared" si="18"/>
        <v>0</v>
      </c>
    </row>
    <row r="224" spans="1:13" x14ac:dyDescent="0.25">
      <c r="A224" s="149"/>
      <c r="G224" s="119"/>
      <c r="H224" s="133">
        <v>219</v>
      </c>
      <c r="I224" s="134" t="str">
        <f t="shared" si="19"/>
        <v/>
      </c>
      <c r="J224" s="133">
        <f t="shared" si="20"/>
        <v>-6</v>
      </c>
      <c r="K224" s="133">
        <f t="shared" si="17"/>
        <v>-60</v>
      </c>
      <c r="L224" s="133"/>
      <c r="M224" s="135">
        <f t="shared" si="18"/>
        <v>0</v>
      </c>
    </row>
    <row r="225" spans="1:13" x14ac:dyDescent="0.25">
      <c r="A225" s="149"/>
      <c r="G225" s="119"/>
      <c r="H225" s="133">
        <v>220</v>
      </c>
      <c r="I225" s="134" t="str">
        <f t="shared" si="19"/>
        <v/>
      </c>
      <c r="J225" s="133">
        <f t="shared" si="20"/>
        <v>-6</v>
      </c>
      <c r="K225" s="133">
        <f t="shared" si="17"/>
        <v>-60</v>
      </c>
      <c r="L225" s="133"/>
      <c r="M225" s="135">
        <f t="shared" si="18"/>
        <v>0</v>
      </c>
    </row>
    <row r="226" spans="1:13" x14ac:dyDescent="0.25">
      <c r="A226" s="149"/>
      <c r="G226" s="119"/>
      <c r="H226" s="133">
        <v>221</v>
      </c>
      <c r="I226" s="134" t="str">
        <f t="shared" si="19"/>
        <v/>
      </c>
      <c r="J226" s="133">
        <f t="shared" si="20"/>
        <v>-6</v>
      </c>
      <c r="K226" s="133">
        <f t="shared" si="17"/>
        <v>-60</v>
      </c>
      <c r="L226" s="133"/>
      <c r="M226" s="135">
        <f t="shared" si="18"/>
        <v>0</v>
      </c>
    </row>
    <row r="227" spans="1:13" x14ac:dyDescent="0.25">
      <c r="A227" s="149"/>
      <c r="G227" s="119"/>
      <c r="H227" s="133">
        <v>222</v>
      </c>
      <c r="I227" s="134" t="str">
        <f t="shared" si="19"/>
        <v/>
      </c>
      <c r="J227" s="133">
        <f t="shared" si="20"/>
        <v>-6</v>
      </c>
      <c r="K227" s="133">
        <f t="shared" si="17"/>
        <v>-60</v>
      </c>
      <c r="L227" s="133"/>
      <c r="M227" s="135">
        <f t="shared" si="18"/>
        <v>0</v>
      </c>
    </row>
    <row r="228" spans="1:13" x14ac:dyDescent="0.25">
      <c r="A228" s="149"/>
      <c r="G228" s="119"/>
      <c r="H228" s="133">
        <v>223</v>
      </c>
      <c r="I228" s="134" t="str">
        <f t="shared" si="19"/>
        <v/>
      </c>
      <c r="J228" s="133">
        <f t="shared" si="20"/>
        <v>-6</v>
      </c>
      <c r="K228" s="133">
        <f t="shared" si="17"/>
        <v>-60</v>
      </c>
      <c r="L228" s="133"/>
      <c r="M228" s="135">
        <f t="shared" si="18"/>
        <v>0</v>
      </c>
    </row>
    <row r="229" spans="1:13" x14ac:dyDescent="0.25">
      <c r="A229" s="149"/>
      <c r="G229" s="119"/>
      <c r="H229" s="133">
        <v>224</v>
      </c>
      <c r="I229" s="134" t="str">
        <f t="shared" si="19"/>
        <v/>
      </c>
      <c r="J229" s="133">
        <f t="shared" si="20"/>
        <v>-6</v>
      </c>
      <c r="K229" s="133">
        <f t="shared" si="17"/>
        <v>-60</v>
      </c>
      <c r="L229" s="133"/>
      <c r="M229" s="135">
        <f t="shared" si="18"/>
        <v>0</v>
      </c>
    </row>
    <row r="230" spans="1:13" x14ac:dyDescent="0.25">
      <c r="A230" s="149"/>
      <c r="G230" s="119"/>
      <c r="H230" s="133">
        <v>225</v>
      </c>
      <c r="I230" s="134" t="str">
        <f t="shared" si="19"/>
        <v/>
      </c>
      <c r="J230" s="133">
        <f t="shared" si="20"/>
        <v>-6</v>
      </c>
      <c r="K230" s="133">
        <f t="shared" si="17"/>
        <v>-60</v>
      </c>
      <c r="L230" s="133"/>
      <c r="M230" s="135">
        <f t="shared" si="18"/>
        <v>0</v>
      </c>
    </row>
    <row r="231" spans="1:13" x14ac:dyDescent="0.25">
      <c r="A231" s="149"/>
      <c r="G231" s="119"/>
      <c r="H231" s="133">
        <v>226</v>
      </c>
      <c r="I231" s="134" t="str">
        <f t="shared" si="19"/>
        <v/>
      </c>
      <c r="J231" s="133">
        <f t="shared" si="20"/>
        <v>-6</v>
      </c>
      <c r="K231" s="133">
        <f t="shared" si="17"/>
        <v>-60</v>
      </c>
      <c r="L231" s="133"/>
      <c r="M231" s="135">
        <f t="shared" si="18"/>
        <v>0</v>
      </c>
    </row>
    <row r="232" spans="1:13" x14ac:dyDescent="0.25">
      <c r="A232" s="149"/>
      <c r="G232" s="119"/>
      <c r="H232" s="133">
        <v>227</v>
      </c>
      <c r="I232" s="134" t="str">
        <f t="shared" si="19"/>
        <v/>
      </c>
      <c r="J232" s="133">
        <f t="shared" si="20"/>
        <v>-6</v>
      </c>
      <c r="K232" s="133">
        <f t="shared" si="17"/>
        <v>-60</v>
      </c>
      <c r="L232" s="133"/>
      <c r="M232" s="135">
        <f t="shared" si="18"/>
        <v>0</v>
      </c>
    </row>
    <row r="233" spans="1:13" x14ac:dyDescent="0.25">
      <c r="A233" s="149"/>
      <c r="G233" s="119"/>
      <c r="H233" s="133">
        <v>228</v>
      </c>
      <c r="I233" s="134" t="str">
        <f t="shared" si="19"/>
        <v/>
      </c>
      <c r="J233" s="133">
        <f t="shared" si="20"/>
        <v>-6</v>
      </c>
      <c r="K233" s="133">
        <f t="shared" si="17"/>
        <v>-60</v>
      </c>
      <c r="L233" s="133"/>
      <c r="M233" s="135">
        <f t="shared" si="18"/>
        <v>0</v>
      </c>
    </row>
    <row r="234" spans="1:13" x14ac:dyDescent="0.25">
      <c r="A234" s="149"/>
      <c r="G234" s="119"/>
      <c r="H234" s="133">
        <v>229</v>
      </c>
      <c r="I234" s="134" t="str">
        <f t="shared" si="19"/>
        <v/>
      </c>
      <c r="J234" s="133">
        <f t="shared" si="20"/>
        <v>-6</v>
      </c>
      <c r="K234" s="133">
        <f t="shared" si="17"/>
        <v>-60</v>
      </c>
      <c r="L234" s="133"/>
      <c r="M234" s="135">
        <f t="shared" si="18"/>
        <v>0</v>
      </c>
    </row>
    <row r="235" spans="1:13" x14ac:dyDescent="0.25">
      <c r="A235" s="149"/>
      <c r="G235" s="119"/>
      <c r="H235" s="133">
        <v>230</v>
      </c>
      <c r="I235" s="134" t="str">
        <f t="shared" si="19"/>
        <v/>
      </c>
      <c r="J235" s="133">
        <f t="shared" si="20"/>
        <v>-6</v>
      </c>
      <c r="K235" s="133">
        <f t="shared" si="17"/>
        <v>-60</v>
      </c>
      <c r="L235" s="133"/>
      <c r="M235" s="135">
        <f t="shared" si="18"/>
        <v>0</v>
      </c>
    </row>
    <row r="236" spans="1:13" x14ac:dyDescent="0.25">
      <c r="A236" s="149"/>
      <c r="G236" s="119"/>
      <c r="H236" s="133">
        <v>231</v>
      </c>
      <c r="I236" s="134" t="str">
        <f t="shared" si="19"/>
        <v/>
      </c>
      <c r="J236" s="133">
        <f t="shared" si="20"/>
        <v>-6</v>
      </c>
      <c r="K236" s="133">
        <f t="shared" si="17"/>
        <v>-60</v>
      </c>
      <c r="L236" s="133"/>
      <c r="M236" s="135">
        <f t="shared" si="18"/>
        <v>0</v>
      </c>
    </row>
    <row r="237" spans="1:13" x14ac:dyDescent="0.25">
      <c r="A237" s="149"/>
      <c r="G237" s="119"/>
      <c r="H237" s="133">
        <v>232</v>
      </c>
      <c r="I237" s="134" t="str">
        <f t="shared" si="19"/>
        <v/>
      </c>
      <c r="J237" s="133">
        <f t="shared" si="20"/>
        <v>-6</v>
      </c>
      <c r="K237" s="133">
        <f t="shared" si="17"/>
        <v>-60</v>
      </c>
      <c r="L237" s="133"/>
      <c r="M237" s="135">
        <f t="shared" si="18"/>
        <v>0</v>
      </c>
    </row>
    <row r="238" spans="1:13" x14ac:dyDescent="0.25">
      <c r="A238" s="149"/>
      <c r="G238" s="119"/>
      <c r="H238" s="133">
        <v>233</v>
      </c>
      <c r="I238" s="134" t="str">
        <f t="shared" si="19"/>
        <v/>
      </c>
      <c r="J238" s="133">
        <f t="shared" si="20"/>
        <v>-6</v>
      </c>
      <c r="K238" s="133">
        <f t="shared" si="17"/>
        <v>-60</v>
      </c>
      <c r="L238" s="133"/>
      <c r="M238" s="135">
        <f t="shared" si="18"/>
        <v>0</v>
      </c>
    </row>
    <row r="239" spans="1:13" x14ac:dyDescent="0.25">
      <c r="A239" s="149"/>
      <c r="G239" s="119"/>
      <c r="H239" s="133">
        <v>234</v>
      </c>
      <c r="I239" s="134" t="str">
        <f t="shared" si="19"/>
        <v/>
      </c>
      <c r="J239" s="133">
        <f t="shared" si="20"/>
        <v>-6</v>
      </c>
      <c r="K239" s="133">
        <f t="shared" si="17"/>
        <v>-60</v>
      </c>
      <c r="L239" s="133"/>
      <c r="M239" s="135">
        <f t="shared" si="18"/>
        <v>0</v>
      </c>
    </row>
    <row r="240" spans="1:13" x14ac:dyDescent="0.25">
      <c r="A240" s="149"/>
      <c r="G240" s="119"/>
      <c r="H240" s="133">
        <v>235</v>
      </c>
      <c r="I240" s="134" t="str">
        <f t="shared" si="19"/>
        <v/>
      </c>
      <c r="J240" s="133">
        <f t="shared" si="20"/>
        <v>-6</v>
      </c>
      <c r="K240" s="133">
        <f t="shared" si="17"/>
        <v>-60</v>
      </c>
      <c r="L240" s="133"/>
      <c r="M240" s="135">
        <f t="shared" si="18"/>
        <v>0</v>
      </c>
    </row>
    <row r="241" spans="1:13" x14ac:dyDescent="0.25">
      <c r="A241" s="149"/>
      <c r="G241" s="119"/>
      <c r="H241" s="133">
        <v>236</v>
      </c>
      <c r="I241" s="134" t="str">
        <f t="shared" si="19"/>
        <v/>
      </c>
      <c r="J241" s="133">
        <f t="shared" si="20"/>
        <v>-6</v>
      </c>
      <c r="K241" s="133">
        <f t="shared" si="17"/>
        <v>-60</v>
      </c>
      <c r="L241" s="133"/>
      <c r="M241" s="135">
        <f t="shared" si="18"/>
        <v>0</v>
      </c>
    </row>
    <row r="242" spans="1:13" x14ac:dyDescent="0.25">
      <c r="A242" s="149"/>
      <c r="G242" s="119"/>
      <c r="H242" s="133">
        <v>237</v>
      </c>
      <c r="I242" s="134" t="str">
        <f t="shared" si="19"/>
        <v/>
      </c>
      <c r="J242" s="133">
        <f t="shared" si="20"/>
        <v>-6</v>
      </c>
      <c r="K242" s="133">
        <f t="shared" si="17"/>
        <v>-60</v>
      </c>
      <c r="L242" s="133"/>
      <c r="M242" s="135">
        <f t="shared" si="18"/>
        <v>0</v>
      </c>
    </row>
    <row r="243" spans="1:13" x14ac:dyDescent="0.25">
      <c r="A243" s="149"/>
      <c r="G243" s="119"/>
      <c r="H243" s="133">
        <v>238</v>
      </c>
      <c r="I243" s="134" t="str">
        <f t="shared" si="19"/>
        <v/>
      </c>
      <c r="J243" s="133">
        <f t="shared" si="20"/>
        <v>-6</v>
      </c>
      <c r="K243" s="133">
        <f t="shared" si="17"/>
        <v>-60</v>
      </c>
      <c r="L243" s="133"/>
      <c r="M243" s="135">
        <f t="shared" si="18"/>
        <v>0</v>
      </c>
    </row>
    <row r="244" spans="1:13" x14ac:dyDescent="0.25">
      <c r="A244" s="149"/>
      <c r="G244" s="119"/>
      <c r="H244" s="133">
        <v>239</v>
      </c>
      <c r="I244" s="134" t="str">
        <f t="shared" si="19"/>
        <v/>
      </c>
      <c r="J244" s="133">
        <f t="shared" si="20"/>
        <v>-6</v>
      </c>
      <c r="K244" s="133">
        <f t="shared" si="17"/>
        <v>-60</v>
      </c>
      <c r="L244" s="133"/>
      <c r="M244" s="135">
        <f t="shared" si="18"/>
        <v>0</v>
      </c>
    </row>
    <row r="245" spans="1:13" x14ac:dyDescent="0.25">
      <c r="A245" s="149"/>
      <c r="G245" s="119"/>
      <c r="H245" s="133">
        <v>240</v>
      </c>
      <c r="I245" s="134" t="str">
        <f t="shared" si="19"/>
        <v/>
      </c>
      <c r="J245" s="133">
        <f t="shared" si="20"/>
        <v>-6</v>
      </c>
      <c r="K245" s="133">
        <f t="shared" si="17"/>
        <v>-60</v>
      </c>
      <c r="L245" s="133"/>
      <c r="M245" s="135">
        <f t="shared" si="18"/>
        <v>0</v>
      </c>
    </row>
    <row r="246" spans="1:13" x14ac:dyDescent="0.25">
      <c r="A246" s="149"/>
      <c r="G246" s="119"/>
      <c r="H246" s="133">
        <v>241</v>
      </c>
      <c r="I246" s="134" t="str">
        <f t="shared" si="19"/>
        <v/>
      </c>
      <c r="J246" s="133">
        <f t="shared" si="20"/>
        <v>-6</v>
      </c>
      <c r="K246" s="133">
        <f t="shared" si="17"/>
        <v>-60</v>
      </c>
      <c r="L246" s="133"/>
      <c r="M246" s="135">
        <f t="shared" si="18"/>
        <v>0</v>
      </c>
    </row>
    <row r="247" spans="1:13" x14ac:dyDescent="0.25">
      <c r="A247" s="149"/>
      <c r="G247" s="119"/>
      <c r="H247" s="133">
        <v>242</v>
      </c>
      <c r="I247" s="134" t="str">
        <f t="shared" si="19"/>
        <v/>
      </c>
      <c r="J247" s="133">
        <f t="shared" si="20"/>
        <v>-6</v>
      </c>
      <c r="K247" s="133">
        <f t="shared" si="17"/>
        <v>-60</v>
      </c>
      <c r="L247" s="133"/>
      <c r="M247" s="135">
        <f t="shared" si="18"/>
        <v>0</v>
      </c>
    </row>
    <row r="248" spans="1:13" x14ac:dyDescent="0.25">
      <c r="A248" s="149"/>
      <c r="G248" s="119"/>
      <c r="H248" s="133">
        <v>243</v>
      </c>
      <c r="I248" s="134" t="str">
        <f t="shared" si="19"/>
        <v/>
      </c>
      <c r="J248" s="133">
        <f t="shared" si="20"/>
        <v>-6</v>
      </c>
      <c r="K248" s="133">
        <f t="shared" si="17"/>
        <v>-60</v>
      </c>
      <c r="L248" s="133"/>
      <c r="M248" s="135">
        <f t="shared" si="18"/>
        <v>0</v>
      </c>
    </row>
    <row r="249" spans="1:13" x14ac:dyDescent="0.25">
      <c r="A249" s="149"/>
      <c r="G249" s="119"/>
      <c r="H249" s="133">
        <v>244</v>
      </c>
      <c r="I249" s="134" t="str">
        <f t="shared" si="19"/>
        <v/>
      </c>
      <c r="J249" s="133">
        <f t="shared" si="20"/>
        <v>-6</v>
      </c>
      <c r="K249" s="133">
        <f t="shared" si="17"/>
        <v>-60</v>
      </c>
      <c r="L249" s="133"/>
      <c r="M249" s="135">
        <f t="shared" si="18"/>
        <v>0</v>
      </c>
    </row>
    <row r="250" spans="1:13" x14ac:dyDescent="0.25">
      <c r="A250" s="149"/>
      <c r="G250" s="119"/>
      <c r="H250" s="133">
        <v>245</v>
      </c>
      <c r="I250" s="134" t="str">
        <f t="shared" si="19"/>
        <v/>
      </c>
      <c r="J250" s="133">
        <f t="shared" si="20"/>
        <v>-6</v>
      </c>
      <c r="K250" s="133">
        <f t="shared" si="17"/>
        <v>-60</v>
      </c>
      <c r="L250" s="133"/>
      <c r="M250" s="135">
        <f t="shared" si="18"/>
        <v>0</v>
      </c>
    </row>
    <row r="251" spans="1:13" x14ac:dyDescent="0.25">
      <c r="A251" s="149"/>
      <c r="G251" s="119"/>
      <c r="H251" s="133">
        <v>246</v>
      </c>
      <c r="I251" s="134" t="str">
        <f t="shared" si="19"/>
        <v/>
      </c>
      <c r="J251" s="133">
        <f t="shared" si="20"/>
        <v>-6</v>
      </c>
      <c r="K251" s="133">
        <f t="shared" si="17"/>
        <v>-60</v>
      </c>
      <c r="L251" s="133"/>
      <c r="M251" s="135">
        <f t="shared" si="18"/>
        <v>0</v>
      </c>
    </row>
    <row r="252" spans="1:13" x14ac:dyDescent="0.25">
      <c r="A252" s="149"/>
      <c r="G252" s="119"/>
      <c r="H252" s="133">
        <v>247</v>
      </c>
      <c r="I252" s="134" t="str">
        <f t="shared" si="19"/>
        <v/>
      </c>
      <c r="J252" s="133">
        <f t="shared" si="20"/>
        <v>-6</v>
      </c>
      <c r="K252" s="133">
        <f t="shared" si="17"/>
        <v>-60</v>
      </c>
      <c r="L252" s="133"/>
      <c r="M252" s="135">
        <f t="shared" si="18"/>
        <v>0</v>
      </c>
    </row>
    <row r="253" spans="1:13" x14ac:dyDescent="0.25">
      <c r="A253" s="149"/>
      <c r="G253" s="119"/>
      <c r="H253" s="133">
        <v>248</v>
      </c>
      <c r="I253" s="134" t="str">
        <f t="shared" si="19"/>
        <v/>
      </c>
      <c r="J253" s="133">
        <f t="shared" si="20"/>
        <v>-6</v>
      </c>
      <c r="K253" s="133">
        <f t="shared" si="17"/>
        <v>-60</v>
      </c>
      <c r="L253" s="133"/>
      <c r="M253" s="135">
        <f t="shared" si="18"/>
        <v>0</v>
      </c>
    </row>
    <row r="254" spans="1:13" x14ac:dyDescent="0.25">
      <c r="A254" s="149"/>
      <c r="G254" s="119"/>
      <c r="H254" s="133">
        <v>249</v>
      </c>
      <c r="I254" s="134" t="str">
        <f t="shared" si="19"/>
        <v/>
      </c>
      <c r="J254" s="133">
        <f t="shared" si="20"/>
        <v>-6</v>
      </c>
      <c r="K254" s="133">
        <f t="shared" si="17"/>
        <v>-60</v>
      </c>
      <c r="L254" s="133"/>
      <c r="M254" s="135">
        <f t="shared" si="18"/>
        <v>0</v>
      </c>
    </row>
    <row r="255" spans="1:13" x14ac:dyDescent="0.25">
      <c r="A255" s="149"/>
      <c r="G255" s="119"/>
      <c r="H255" s="133">
        <v>250</v>
      </c>
      <c r="I255" s="134" t="str">
        <f t="shared" si="19"/>
        <v/>
      </c>
      <c r="J255" s="133">
        <f t="shared" si="20"/>
        <v>-6</v>
      </c>
      <c r="K255" s="133">
        <f t="shared" si="17"/>
        <v>-60</v>
      </c>
      <c r="L255" s="133"/>
      <c r="M255" s="135">
        <f t="shared" si="18"/>
        <v>0</v>
      </c>
    </row>
    <row r="256" spans="1:13" x14ac:dyDescent="0.25">
      <c r="A256" s="149"/>
      <c r="G256" s="119"/>
      <c r="H256" s="133">
        <v>251</v>
      </c>
      <c r="I256" s="134" t="str">
        <f t="shared" si="19"/>
        <v/>
      </c>
      <c r="J256" s="133">
        <f t="shared" si="20"/>
        <v>-6</v>
      </c>
      <c r="K256" s="133">
        <f t="shared" si="17"/>
        <v>-60</v>
      </c>
      <c r="L256" s="133"/>
      <c r="M256" s="135">
        <f t="shared" si="18"/>
        <v>0</v>
      </c>
    </row>
    <row r="257" spans="1:13" x14ac:dyDescent="0.25">
      <c r="A257" s="149"/>
      <c r="G257" s="119"/>
      <c r="H257" s="133">
        <v>252</v>
      </c>
      <c r="I257" s="134" t="str">
        <f t="shared" si="19"/>
        <v/>
      </c>
      <c r="J257" s="133">
        <f t="shared" si="20"/>
        <v>-6</v>
      </c>
      <c r="K257" s="133">
        <f t="shared" si="17"/>
        <v>-60</v>
      </c>
      <c r="L257" s="133"/>
      <c r="M257" s="135">
        <f t="shared" si="18"/>
        <v>0</v>
      </c>
    </row>
    <row r="258" spans="1:13" x14ac:dyDescent="0.25">
      <c r="A258" s="149"/>
      <c r="G258" s="119"/>
      <c r="H258" s="133">
        <v>253</v>
      </c>
      <c r="I258" s="134" t="str">
        <f t="shared" si="19"/>
        <v/>
      </c>
      <c r="J258" s="133">
        <f t="shared" si="20"/>
        <v>-6</v>
      </c>
      <c r="K258" s="133">
        <f t="shared" si="17"/>
        <v>-60</v>
      </c>
      <c r="L258" s="133"/>
      <c r="M258" s="135">
        <f t="shared" si="18"/>
        <v>0</v>
      </c>
    </row>
    <row r="259" spans="1:13" x14ac:dyDescent="0.25">
      <c r="A259" s="149"/>
      <c r="G259" s="119"/>
      <c r="H259" s="133">
        <v>254</v>
      </c>
      <c r="I259" s="134" t="str">
        <f t="shared" si="19"/>
        <v/>
      </c>
      <c r="J259" s="133">
        <f t="shared" si="20"/>
        <v>-6</v>
      </c>
      <c r="K259" s="133">
        <f t="shared" si="17"/>
        <v>-60</v>
      </c>
      <c r="L259" s="133"/>
      <c r="M259" s="135">
        <f t="shared" si="18"/>
        <v>0</v>
      </c>
    </row>
    <row r="260" spans="1:13" x14ac:dyDescent="0.25">
      <c r="A260" s="149"/>
      <c r="G260" s="119"/>
      <c r="H260" s="133">
        <v>255</v>
      </c>
      <c r="I260" s="134" t="str">
        <f t="shared" si="19"/>
        <v/>
      </c>
      <c r="J260" s="133">
        <f t="shared" si="20"/>
        <v>-6</v>
      </c>
      <c r="K260" s="133">
        <f t="shared" si="17"/>
        <v>-60</v>
      </c>
      <c r="L260" s="133"/>
      <c r="M260" s="135">
        <f t="shared" si="18"/>
        <v>0</v>
      </c>
    </row>
    <row r="261" spans="1:13" x14ac:dyDescent="0.25">
      <c r="A261" s="149"/>
      <c r="G261" s="119"/>
      <c r="H261" s="133">
        <v>256</v>
      </c>
      <c r="I261" s="134" t="str">
        <f t="shared" si="19"/>
        <v/>
      </c>
      <c r="J261" s="133">
        <f t="shared" si="20"/>
        <v>-6</v>
      </c>
      <c r="K261" s="133">
        <f t="shared" si="17"/>
        <v>-60</v>
      </c>
      <c r="L261" s="133"/>
      <c r="M261" s="135">
        <f t="shared" si="18"/>
        <v>0</v>
      </c>
    </row>
    <row r="262" spans="1:13" x14ac:dyDescent="0.25">
      <c r="A262" s="149"/>
      <c r="G262" s="119"/>
      <c r="H262" s="133">
        <v>257</v>
      </c>
      <c r="I262" s="134" t="str">
        <f t="shared" si="19"/>
        <v/>
      </c>
      <c r="J262" s="133">
        <f t="shared" si="20"/>
        <v>-7</v>
      </c>
      <c r="K262" s="133">
        <f t="shared" ref="K262:K305" si="21">J262*$J$2</f>
        <v>-70</v>
      </c>
      <c r="L262" s="133"/>
      <c r="M262" s="135">
        <f t="shared" ref="M262:M305" si="22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3">IF(H263&lt;$H$2+1,($I$2-($I$2-1)*(LOG(H263)/LOG($H$2))),"")</f>
        <v/>
      </c>
      <c r="J263" s="133">
        <f t="shared" ref="J263:J305" si="24">INT(LOG($H$2,2))-ROUNDUP(LOG(H263,2),0)+IF(OR($H$2=1,$H$2=2,$H$2=4,$H$2=8,$H$2=16,$H$2=32,$H$2=64,$H$2=128,$H$2=256),0,1)</f>
        <v>-7</v>
      </c>
      <c r="K263" s="133">
        <f t="shared" si="21"/>
        <v>-70</v>
      </c>
      <c r="L263" s="133"/>
      <c r="M263" s="135">
        <f t="shared" si="22"/>
        <v>0</v>
      </c>
    </row>
    <row r="264" spans="1:13" x14ac:dyDescent="0.25">
      <c r="A264" s="149"/>
      <c r="G264" s="119"/>
      <c r="H264" s="133">
        <v>259</v>
      </c>
      <c r="I264" s="134" t="str">
        <f t="shared" si="23"/>
        <v/>
      </c>
      <c r="J264" s="133">
        <f t="shared" si="24"/>
        <v>-7</v>
      </c>
      <c r="K264" s="133">
        <f t="shared" si="21"/>
        <v>-70</v>
      </c>
      <c r="L264" s="133"/>
      <c r="M264" s="135">
        <f t="shared" si="22"/>
        <v>0</v>
      </c>
    </row>
    <row r="265" spans="1:13" x14ac:dyDescent="0.25">
      <c r="A265" s="149"/>
      <c r="G265" s="119"/>
      <c r="H265" s="133">
        <v>260</v>
      </c>
      <c r="I265" s="134" t="str">
        <f t="shared" si="23"/>
        <v/>
      </c>
      <c r="J265" s="133">
        <f t="shared" si="24"/>
        <v>-7</v>
      </c>
      <c r="K265" s="133">
        <f t="shared" si="21"/>
        <v>-70</v>
      </c>
      <c r="L265" s="133"/>
      <c r="M265" s="135">
        <f t="shared" si="22"/>
        <v>0</v>
      </c>
    </row>
    <row r="266" spans="1:13" x14ac:dyDescent="0.25">
      <c r="A266" s="149"/>
      <c r="G266" s="119"/>
      <c r="H266" s="133">
        <v>261</v>
      </c>
      <c r="I266" s="134" t="str">
        <f t="shared" si="23"/>
        <v/>
      </c>
      <c r="J266" s="133">
        <f t="shared" si="24"/>
        <v>-7</v>
      </c>
      <c r="K266" s="133">
        <f t="shared" si="21"/>
        <v>-70</v>
      </c>
      <c r="L266" s="133"/>
      <c r="M266" s="135">
        <f t="shared" si="22"/>
        <v>0</v>
      </c>
    </row>
    <row r="267" spans="1:13" x14ac:dyDescent="0.25">
      <c r="A267" s="149"/>
      <c r="G267" s="119"/>
      <c r="H267" s="133">
        <v>262</v>
      </c>
      <c r="I267" s="134" t="str">
        <f t="shared" si="23"/>
        <v/>
      </c>
      <c r="J267" s="133">
        <f t="shared" si="24"/>
        <v>-7</v>
      </c>
      <c r="K267" s="133">
        <f t="shared" si="21"/>
        <v>-70</v>
      </c>
      <c r="L267" s="133"/>
      <c r="M267" s="135">
        <f t="shared" si="22"/>
        <v>0</v>
      </c>
    </row>
    <row r="268" spans="1:13" x14ac:dyDescent="0.25">
      <c r="A268" s="149"/>
      <c r="G268" s="119"/>
      <c r="H268" s="133">
        <v>263</v>
      </c>
      <c r="I268" s="134" t="str">
        <f t="shared" si="23"/>
        <v/>
      </c>
      <c r="J268" s="133">
        <f t="shared" si="24"/>
        <v>-7</v>
      </c>
      <c r="K268" s="133">
        <f t="shared" si="21"/>
        <v>-70</v>
      </c>
      <c r="L268" s="133"/>
      <c r="M268" s="135">
        <f t="shared" si="22"/>
        <v>0</v>
      </c>
    </row>
    <row r="269" spans="1:13" x14ac:dyDescent="0.25">
      <c r="A269" s="149"/>
      <c r="G269" s="119"/>
      <c r="H269" s="133">
        <v>264</v>
      </c>
      <c r="I269" s="134" t="str">
        <f t="shared" si="23"/>
        <v/>
      </c>
      <c r="J269" s="133">
        <f t="shared" si="24"/>
        <v>-7</v>
      </c>
      <c r="K269" s="133">
        <f t="shared" si="21"/>
        <v>-70</v>
      </c>
      <c r="L269" s="133"/>
      <c r="M269" s="135">
        <f t="shared" si="22"/>
        <v>0</v>
      </c>
    </row>
    <row r="270" spans="1:13" x14ac:dyDescent="0.25">
      <c r="A270" s="149"/>
      <c r="G270" s="119"/>
      <c r="H270" s="133">
        <v>265</v>
      </c>
      <c r="I270" s="134" t="str">
        <f t="shared" si="23"/>
        <v/>
      </c>
      <c r="J270" s="133">
        <f t="shared" si="24"/>
        <v>-7</v>
      </c>
      <c r="K270" s="133">
        <f t="shared" si="21"/>
        <v>-70</v>
      </c>
      <c r="L270" s="133"/>
      <c r="M270" s="135">
        <f t="shared" si="22"/>
        <v>0</v>
      </c>
    </row>
    <row r="271" spans="1:13" x14ac:dyDescent="0.25">
      <c r="A271" s="149"/>
      <c r="G271" s="119"/>
      <c r="H271" s="133">
        <v>266</v>
      </c>
      <c r="I271" s="134" t="str">
        <f t="shared" si="23"/>
        <v/>
      </c>
      <c r="J271" s="133">
        <f t="shared" si="24"/>
        <v>-7</v>
      </c>
      <c r="K271" s="133">
        <f t="shared" si="21"/>
        <v>-70</v>
      </c>
      <c r="L271" s="133"/>
      <c r="M271" s="135">
        <f t="shared" si="22"/>
        <v>0</v>
      </c>
    </row>
    <row r="272" spans="1:13" x14ac:dyDescent="0.25">
      <c r="A272" s="149"/>
      <c r="G272" s="119"/>
      <c r="H272" s="133">
        <v>267</v>
      </c>
      <c r="I272" s="134" t="str">
        <f t="shared" si="23"/>
        <v/>
      </c>
      <c r="J272" s="133">
        <f t="shared" si="24"/>
        <v>-7</v>
      </c>
      <c r="K272" s="133">
        <f t="shared" si="21"/>
        <v>-70</v>
      </c>
      <c r="L272" s="133"/>
      <c r="M272" s="135">
        <f t="shared" si="22"/>
        <v>0</v>
      </c>
    </row>
    <row r="273" spans="1:13" x14ac:dyDescent="0.25">
      <c r="A273" s="149"/>
      <c r="G273" s="119"/>
      <c r="H273" s="133">
        <v>268</v>
      </c>
      <c r="I273" s="134" t="str">
        <f t="shared" si="23"/>
        <v/>
      </c>
      <c r="J273" s="133">
        <f t="shared" si="24"/>
        <v>-7</v>
      </c>
      <c r="K273" s="133">
        <f t="shared" si="21"/>
        <v>-70</v>
      </c>
      <c r="L273" s="133"/>
      <c r="M273" s="135">
        <f t="shared" si="22"/>
        <v>0</v>
      </c>
    </row>
    <row r="274" spans="1:13" x14ac:dyDescent="0.25">
      <c r="A274" s="149"/>
      <c r="G274" s="119"/>
      <c r="H274" s="133">
        <v>269</v>
      </c>
      <c r="I274" s="134" t="str">
        <f t="shared" si="23"/>
        <v/>
      </c>
      <c r="J274" s="133">
        <f t="shared" si="24"/>
        <v>-7</v>
      </c>
      <c r="K274" s="133">
        <f t="shared" si="21"/>
        <v>-70</v>
      </c>
      <c r="L274" s="133"/>
      <c r="M274" s="135">
        <f t="shared" si="22"/>
        <v>0</v>
      </c>
    </row>
    <row r="275" spans="1:13" x14ac:dyDescent="0.25">
      <c r="A275" s="149"/>
      <c r="G275" s="119"/>
      <c r="H275" s="133">
        <v>270</v>
      </c>
      <c r="I275" s="134" t="str">
        <f t="shared" si="23"/>
        <v/>
      </c>
      <c r="J275" s="133">
        <f t="shared" si="24"/>
        <v>-7</v>
      </c>
      <c r="K275" s="133">
        <f t="shared" si="21"/>
        <v>-70</v>
      </c>
      <c r="L275" s="133"/>
      <c r="M275" s="135">
        <f t="shared" si="22"/>
        <v>0</v>
      </c>
    </row>
    <row r="276" spans="1:13" x14ac:dyDescent="0.25">
      <c r="A276" s="149"/>
      <c r="G276" s="119"/>
      <c r="H276" s="133">
        <v>271</v>
      </c>
      <c r="I276" s="134" t="str">
        <f t="shared" si="23"/>
        <v/>
      </c>
      <c r="J276" s="133">
        <f t="shared" si="24"/>
        <v>-7</v>
      </c>
      <c r="K276" s="133">
        <f t="shared" si="21"/>
        <v>-70</v>
      </c>
      <c r="L276" s="133"/>
      <c r="M276" s="135">
        <f t="shared" si="22"/>
        <v>0</v>
      </c>
    </row>
    <row r="277" spans="1:13" x14ac:dyDescent="0.25">
      <c r="A277" s="149"/>
      <c r="G277" s="119"/>
      <c r="H277" s="133">
        <v>272</v>
      </c>
      <c r="I277" s="134" t="str">
        <f t="shared" si="23"/>
        <v/>
      </c>
      <c r="J277" s="133">
        <f t="shared" si="24"/>
        <v>-7</v>
      </c>
      <c r="K277" s="133">
        <f t="shared" si="21"/>
        <v>-70</v>
      </c>
      <c r="L277" s="133"/>
      <c r="M277" s="135">
        <f t="shared" si="22"/>
        <v>0</v>
      </c>
    </row>
    <row r="278" spans="1:13" x14ac:dyDescent="0.25">
      <c r="A278" s="149"/>
      <c r="G278" s="119"/>
      <c r="H278" s="133">
        <v>273</v>
      </c>
      <c r="I278" s="134" t="str">
        <f t="shared" si="23"/>
        <v/>
      </c>
      <c r="J278" s="133">
        <f t="shared" si="24"/>
        <v>-7</v>
      </c>
      <c r="K278" s="133">
        <f t="shared" si="21"/>
        <v>-70</v>
      </c>
      <c r="L278" s="133"/>
      <c r="M278" s="135">
        <f t="shared" si="22"/>
        <v>0</v>
      </c>
    </row>
    <row r="279" spans="1:13" x14ac:dyDescent="0.25">
      <c r="A279" s="149"/>
      <c r="G279" s="119"/>
      <c r="H279" s="133">
        <v>274</v>
      </c>
      <c r="I279" s="134" t="str">
        <f t="shared" si="23"/>
        <v/>
      </c>
      <c r="J279" s="133">
        <f t="shared" si="24"/>
        <v>-7</v>
      </c>
      <c r="K279" s="133">
        <f t="shared" si="21"/>
        <v>-70</v>
      </c>
      <c r="L279" s="133"/>
      <c r="M279" s="135">
        <f t="shared" si="22"/>
        <v>0</v>
      </c>
    </row>
    <row r="280" spans="1:13" x14ac:dyDescent="0.25">
      <c r="A280" s="149"/>
      <c r="G280" s="119"/>
      <c r="H280" s="133">
        <v>275</v>
      </c>
      <c r="I280" s="134" t="str">
        <f t="shared" si="23"/>
        <v/>
      </c>
      <c r="J280" s="133">
        <f t="shared" si="24"/>
        <v>-7</v>
      </c>
      <c r="K280" s="133">
        <f t="shared" si="21"/>
        <v>-70</v>
      </c>
      <c r="L280" s="133"/>
      <c r="M280" s="135">
        <f t="shared" si="22"/>
        <v>0</v>
      </c>
    </row>
    <row r="281" spans="1:13" x14ac:dyDescent="0.25">
      <c r="A281" s="149"/>
      <c r="G281" s="119"/>
      <c r="H281" s="133">
        <v>276</v>
      </c>
      <c r="I281" s="134" t="str">
        <f t="shared" si="23"/>
        <v/>
      </c>
      <c r="J281" s="133">
        <f t="shared" si="24"/>
        <v>-7</v>
      </c>
      <c r="K281" s="133">
        <f t="shared" si="21"/>
        <v>-70</v>
      </c>
      <c r="L281" s="133"/>
      <c r="M281" s="135">
        <f t="shared" si="22"/>
        <v>0</v>
      </c>
    </row>
    <row r="282" spans="1:13" x14ac:dyDescent="0.25">
      <c r="A282" s="149"/>
      <c r="G282" s="119"/>
      <c r="H282" s="133">
        <v>277</v>
      </c>
      <c r="I282" s="134" t="str">
        <f t="shared" si="23"/>
        <v/>
      </c>
      <c r="J282" s="133">
        <f t="shared" si="24"/>
        <v>-7</v>
      </c>
      <c r="K282" s="133">
        <f t="shared" si="21"/>
        <v>-70</v>
      </c>
      <c r="L282" s="133"/>
      <c r="M282" s="135">
        <f t="shared" si="22"/>
        <v>0</v>
      </c>
    </row>
    <row r="283" spans="1:13" x14ac:dyDescent="0.25">
      <c r="A283" s="149"/>
      <c r="G283" s="119"/>
      <c r="H283" s="133">
        <v>278</v>
      </c>
      <c r="I283" s="134" t="str">
        <f t="shared" si="23"/>
        <v/>
      </c>
      <c r="J283" s="133">
        <f t="shared" si="24"/>
        <v>-7</v>
      </c>
      <c r="K283" s="133">
        <f t="shared" si="21"/>
        <v>-70</v>
      </c>
      <c r="L283" s="133"/>
      <c r="M283" s="135">
        <f t="shared" si="22"/>
        <v>0</v>
      </c>
    </row>
    <row r="284" spans="1:13" x14ac:dyDescent="0.25">
      <c r="A284" s="149"/>
      <c r="G284" s="119"/>
      <c r="H284" s="133">
        <v>279</v>
      </c>
      <c r="I284" s="134" t="str">
        <f t="shared" si="23"/>
        <v/>
      </c>
      <c r="J284" s="133">
        <f t="shared" si="24"/>
        <v>-7</v>
      </c>
      <c r="K284" s="133">
        <f t="shared" si="21"/>
        <v>-70</v>
      </c>
      <c r="L284" s="133"/>
      <c r="M284" s="135">
        <f t="shared" si="22"/>
        <v>0</v>
      </c>
    </row>
    <row r="285" spans="1:13" x14ac:dyDescent="0.25">
      <c r="A285" s="149"/>
      <c r="G285" s="119"/>
      <c r="H285" s="133">
        <v>280</v>
      </c>
      <c r="I285" s="134" t="str">
        <f t="shared" si="23"/>
        <v/>
      </c>
      <c r="J285" s="133">
        <f t="shared" si="24"/>
        <v>-7</v>
      </c>
      <c r="K285" s="133">
        <f t="shared" si="21"/>
        <v>-70</v>
      </c>
      <c r="L285" s="133"/>
      <c r="M285" s="135">
        <f t="shared" si="22"/>
        <v>0</v>
      </c>
    </row>
    <row r="286" spans="1:13" x14ac:dyDescent="0.25">
      <c r="A286" s="149"/>
      <c r="G286" s="119"/>
      <c r="H286" s="133">
        <v>281</v>
      </c>
      <c r="I286" s="134" t="str">
        <f t="shared" si="23"/>
        <v/>
      </c>
      <c r="J286" s="133">
        <f t="shared" si="24"/>
        <v>-7</v>
      </c>
      <c r="K286" s="133">
        <f t="shared" si="21"/>
        <v>-70</v>
      </c>
      <c r="L286" s="133"/>
      <c r="M286" s="135">
        <f t="shared" si="22"/>
        <v>0</v>
      </c>
    </row>
    <row r="287" spans="1:13" x14ac:dyDescent="0.25">
      <c r="A287" s="149"/>
      <c r="G287" s="119"/>
      <c r="H287" s="133">
        <v>282</v>
      </c>
      <c r="I287" s="134" t="str">
        <f t="shared" si="23"/>
        <v/>
      </c>
      <c r="J287" s="133">
        <f t="shared" si="24"/>
        <v>-7</v>
      </c>
      <c r="K287" s="133">
        <f t="shared" si="21"/>
        <v>-70</v>
      </c>
      <c r="L287" s="133"/>
      <c r="M287" s="135">
        <f t="shared" si="22"/>
        <v>0</v>
      </c>
    </row>
    <row r="288" spans="1:13" x14ac:dyDescent="0.25">
      <c r="A288" s="149"/>
      <c r="G288" s="119"/>
      <c r="H288" s="133">
        <v>283</v>
      </c>
      <c r="I288" s="134" t="str">
        <f t="shared" si="23"/>
        <v/>
      </c>
      <c r="J288" s="133">
        <f t="shared" si="24"/>
        <v>-7</v>
      </c>
      <c r="K288" s="133">
        <f t="shared" si="21"/>
        <v>-70</v>
      </c>
      <c r="L288" s="133"/>
      <c r="M288" s="135">
        <f t="shared" si="22"/>
        <v>0</v>
      </c>
    </row>
    <row r="289" spans="1:13" x14ac:dyDescent="0.25">
      <c r="A289" s="149"/>
      <c r="G289" s="119"/>
      <c r="H289" s="133">
        <v>284</v>
      </c>
      <c r="I289" s="134" t="str">
        <f t="shared" si="23"/>
        <v/>
      </c>
      <c r="J289" s="133">
        <f t="shared" si="24"/>
        <v>-7</v>
      </c>
      <c r="K289" s="133">
        <f t="shared" si="21"/>
        <v>-70</v>
      </c>
      <c r="L289" s="133"/>
      <c r="M289" s="135">
        <f t="shared" si="22"/>
        <v>0</v>
      </c>
    </row>
    <row r="290" spans="1:13" x14ac:dyDescent="0.25">
      <c r="A290" s="149"/>
      <c r="G290" s="119"/>
      <c r="H290" s="133">
        <v>285</v>
      </c>
      <c r="I290" s="134" t="str">
        <f t="shared" si="23"/>
        <v/>
      </c>
      <c r="J290" s="133">
        <f t="shared" si="24"/>
        <v>-7</v>
      </c>
      <c r="K290" s="133">
        <f t="shared" si="21"/>
        <v>-70</v>
      </c>
      <c r="L290" s="133"/>
      <c r="M290" s="135">
        <f t="shared" si="22"/>
        <v>0</v>
      </c>
    </row>
    <row r="291" spans="1:13" x14ac:dyDescent="0.25">
      <c r="A291" s="149"/>
      <c r="G291" s="119"/>
      <c r="H291" s="133">
        <v>286</v>
      </c>
      <c r="I291" s="134" t="str">
        <f t="shared" si="23"/>
        <v/>
      </c>
      <c r="J291" s="133">
        <f t="shared" si="24"/>
        <v>-7</v>
      </c>
      <c r="K291" s="133">
        <f t="shared" si="21"/>
        <v>-70</v>
      </c>
      <c r="L291" s="133"/>
      <c r="M291" s="135">
        <f t="shared" si="22"/>
        <v>0</v>
      </c>
    </row>
    <row r="292" spans="1:13" x14ac:dyDescent="0.25">
      <c r="A292" s="149"/>
      <c r="G292" s="119"/>
      <c r="H292" s="133">
        <v>287</v>
      </c>
      <c r="I292" s="134" t="str">
        <f t="shared" si="23"/>
        <v/>
      </c>
      <c r="J292" s="133">
        <f t="shared" si="24"/>
        <v>-7</v>
      </c>
      <c r="K292" s="133">
        <f t="shared" si="21"/>
        <v>-70</v>
      </c>
      <c r="L292" s="133"/>
      <c r="M292" s="135">
        <f t="shared" si="22"/>
        <v>0</v>
      </c>
    </row>
    <row r="293" spans="1:13" x14ac:dyDescent="0.25">
      <c r="A293" s="149"/>
      <c r="G293" s="119"/>
      <c r="H293" s="133">
        <v>288</v>
      </c>
      <c r="I293" s="134" t="str">
        <f t="shared" si="23"/>
        <v/>
      </c>
      <c r="J293" s="133">
        <f t="shared" si="24"/>
        <v>-7</v>
      </c>
      <c r="K293" s="133">
        <f t="shared" si="21"/>
        <v>-70</v>
      </c>
      <c r="L293" s="133"/>
      <c r="M293" s="135">
        <f t="shared" si="22"/>
        <v>0</v>
      </c>
    </row>
    <row r="294" spans="1:13" x14ac:dyDescent="0.25">
      <c r="A294" s="149"/>
      <c r="G294" s="119"/>
      <c r="H294" s="133">
        <v>289</v>
      </c>
      <c r="I294" s="134" t="str">
        <f t="shared" si="23"/>
        <v/>
      </c>
      <c r="J294" s="133">
        <f t="shared" si="24"/>
        <v>-7</v>
      </c>
      <c r="K294" s="133">
        <f t="shared" si="21"/>
        <v>-70</v>
      </c>
      <c r="L294" s="133"/>
      <c r="M294" s="135">
        <f t="shared" si="22"/>
        <v>0</v>
      </c>
    </row>
    <row r="295" spans="1:13" x14ac:dyDescent="0.25">
      <c r="A295" s="149"/>
      <c r="G295" s="119"/>
      <c r="H295" s="133">
        <v>290</v>
      </c>
      <c r="I295" s="134" t="str">
        <f t="shared" si="23"/>
        <v/>
      </c>
      <c r="J295" s="133">
        <f t="shared" si="24"/>
        <v>-7</v>
      </c>
      <c r="K295" s="133">
        <f t="shared" si="21"/>
        <v>-70</v>
      </c>
      <c r="L295" s="133"/>
      <c r="M295" s="135">
        <f t="shared" si="22"/>
        <v>0</v>
      </c>
    </row>
    <row r="296" spans="1:13" x14ac:dyDescent="0.25">
      <c r="A296" s="149"/>
      <c r="G296" s="119"/>
      <c r="H296" s="133">
        <v>291</v>
      </c>
      <c r="I296" s="134" t="str">
        <f t="shared" si="23"/>
        <v/>
      </c>
      <c r="J296" s="133">
        <f t="shared" si="24"/>
        <v>-7</v>
      </c>
      <c r="K296" s="133">
        <f t="shared" si="21"/>
        <v>-70</v>
      </c>
      <c r="L296" s="133"/>
      <c r="M296" s="135">
        <f t="shared" si="22"/>
        <v>0</v>
      </c>
    </row>
    <row r="297" spans="1:13" x14ac:dyDescent="0.25">
      <c r="A297" s="149"/>
      <c r="G297" s="119"/>
      <c r="H297" s="133">
        <v>292</v>
      </c>
      <c r="I297" s="134" t="str">
        <f t="shared" si="23"/>
        <v/>
      </c>
      <c r="J297" s="133">
        <f t="shared" si="24"/>
        <v>-7</v>
      </c>
      <c r="K297" s="133">
        <f t="shared" si="21"/>
        <v>-70</v>
      </c>
      <c r="L297" s="133"/>
      <c r="M297" s="135">
        <f t="shared" si="22"/>
        <v>0</v>
      </c>
    </row>
    <row r="298" spans="1:13" x14ac:dyDescent="0.25">
      <c r="A298" s="149"/>
      <c r="G298" s="119"/>
      <c r="H298" s="133">
        <v>293</v>
      </c>
      <c r="I298" s="134" t="str">
        <f t="shared" si="23"/>
        <v/>
      </c>
      <c r="J298" s="133">
        <f t="shared" si="24"/>
        <v>-7</v>
      </c>
      <c r="K298" s="133">
        <f t="shared" si="21"/>
        <v>-70</v>
      </c>
      <c r="L298" s="133"/>
      <c r="M298" s="135">
        <f t="shared" si="22"/>
        <v>0</v>
      </c>
    </row>
    <row r="299" spans="1:13" x14ac:dyDescent="0.25">
      <c r="A299" s="149"/>
      <c r="G299" s="119"/>
      <c r="H299" s="133">
        <v>294</v>
      </c>
      <c r="I299" s="134" t="str">
        <f t="shared" si="23"/>
        <v/>
      </c>
      <c r="J299" s="133">
        <f t="shared" si="24"/>
        <v>-7</v>
      </c>
      <c r="K299" s="133">
        <f t="shared" si="21"/>
        <v>-70</v>
      </c>
      <c r="L299" s="133"/>
      <c r="M299" s="135">
        <f t="shared" si="22"/>
        <v>0</v>
      </c>
    </row>
    <row r="300" spans="1:13" x14ac:dyDescent="0.25">
      <c r="A300" s="149"/>
      <c r="G300" s="119"/>
      <c r="H300" s="133">
        <v>295</v>
      </c>
      <c r="I300" s="134" t="str">
        <f t="shared" si="23"/>
        <v/>
      </c>
      <c r="J300" s="133">
        <f t="shared" si="24"/>
        <v>-7</v>
      </c>
      <c r="K300" s="133">
        <f t="shared" si="21"/>
        <v>-70</v>
      </c>
      <c r="L300" s="133"/>
      <c r="M300" s="135">
        <f t="shared" si="22"/>
        <v>0</v>
      </c>
    </row>
    <row r="301" spans="1:13" x14ac:dyDescent="0.25">
      <c r="A301" s="149"/>
      <c r="G301" s="119"/>
      <c r="H301" s="133">
        <v>296</v>
      </c>
      <c r="I301" s="134" t="str">
        <f t="shared" si="23"/>
        <v/>
      </c>
      <c r="J301" s="133">
        <f t="shared" si="24"/>
        <v>-7</v>
      </c>
      <c r="K301" s="133">
        <f t="shared" si="21"/>
        <v>-70</v>
      </c>
      <c r="L301" s="133"/>
      <c r="M301" s="135">
        <f t="shared" si="22"/>
        <v>0</v>
      </c>
    </row>
    <row r="302" spans="1:13" x14ac:dyDescent="0.25">
      <c r="A302" s="149"/>
      <c r="G302" s="119"/>
      <c r="H302" s="133">
        <v>297</v>
      </c>
      <c r="I302" s="134" t="str">
        <f t="shared" si="23"/>
        <v/>
      </c>
      <c r="J302" s="133">
        <f t="shared" si="24"/>
        <v>-7</v>
      </c>
      <c r="K302" s="133">
        <f t="shared" si="21"/>
        <v>-70</v>
      </c>
      <c r="L302" s="133"/>
      <c r="M302" s="135">
        <f t="shared" si="22"/>
        <v>0</v>
      </c>
    </row>
    <row r="303" spans="1:13" x14ac:dyDescent="0.25">
      <c r="A303" s="149"/>
      <c r="G303" s="119"/>
      <c r="H303" s="133">
        <v>298</v>
      </c>
      <c r="I303" s="134" t="str">
        <f t="shared" si="23"/>
        <v/>
      </c>
      <c r="J303" s="133">
        <f t="shared" si="24"/>
        <v>-7</v>
      </c>
      <c r="K303" s="133">
        <f t="shared" si="21"/>
        <v>-70</v>
      </c>
      <c r="L303" s="133"/>
      <c r="M303" s="135">
        <f t="shared" si="22"/>
        <v>0</v>
      </c>
    </row>
    <row r="304" spans="1:13" x14ac:dyDescent="0.25">
      <c r="A304" s="149"/>
      <c r="G304" s="119"/>
      <c r="H304" s="133">
        <v>299</v>
      </c>
      <c r="I304" s="134" t="str">
        <f t="shared" si="23"/>
        <v/>
      </c>
      <c r="J304" s="133">
        <f t="shared" si="24"/>
        <v>-7</v>
      </c>
      <c r="K304" s="133">
        <f t="shared" si="21"/>
        <v>-70</v>
      </c>
      <c r="L304" s="133"/>
      <c r="M304" s="135">
        <f t="shared" si="22"/>
        <v>0</v>
      </c>
    </row>
    <row r="305" spans="1:16" x14ac:dyDescent="0.25">
      <c r="A305" s="149"/>
      <c r="G305" s="119"/>
      <c r="H305" s="133">
        <v>300</v>
      </c>
      <c r="I305" s="134" t="str">
        <f t="shared" si="23"/>
        <v/>
      </c>
      <c r="J305" s="133">
        <f t="shared" si="24"/>
        <v>-7</v>
      </c>
      <c r="K305" s="133">
        <f t="shared" si="21"/>
        <v>-70</v>
      </c>
      <c r="L305" s="133"/>
      <c r="M305" s="135">
        <f t="shared" si="22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E839F454-90BF-4FF3-AEC3-D33AAA5795D0}">
      <formula1>#REF!</formula1>
    </dataValidation>
  </dataValidations>
  <hyperlinks>
    <hyperlink ref="C2:D2" r:id="rId1" display="WARSZAWA" xr:uid="{266F123E-ABB4-4877-A73F-8E94E4CF04E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20F3-9EE5-4ED5-8F0D-E91A4E18D9D1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4" width="13.875" style="119" customWidth="1"/>
    <col min="15" max="15" width="1.875" style="119" bestFit="1" customWidth="1"/>
    <col min="16" max="16" width="29.75" style="119" bestFit="1" customWidth="1"/>
    <col min="17" max="17" width="8.875" style="119"/>
    <col min="18" max="18" width="11.25" style="123" customWidth="1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24</v>
      </c>
      <c r="I1" s="121" t="s">
        <v>25</v>
      </c>
      <c r="J1" s="121" t="s">
        <v>26</v>
      </c>
      <c r="K1" s="122" t="s">
        <v>27</v>
      </c>
      <c r="L1" s="123"/>
      <c r="M1" s="123"/>
    </row>
    <row r="2" spans="1:36" ht="14.45" customHeight="1" x14ac:dyDescent="0.25">
      <c r="A2" s="119"/>
      <c r="B2" s="20" t="s">
        <v>28</v>
      </c>
      <c r="C2" s="237" t="s">
        <v>82</v>
      </c>
      <c r="D2" s="237"/>
      <c r="E2" s="21"/>
      <c r="F2" s="21"/>
      <c r="G2" s="21"/>
      <c r="H2" s="125">
        <v>4</v>
      </c>
      <c r="I2" s="126">
        <v>50</v>
      </c>
      <c r="J2" s="126">
        <v>10</v>
      </c>
      <c r="K2" s="127">
        <f>3*H2^(1/3)</f>
        <v>4.7622031559045981</v>
      </c>
      <c r="L2" s="123"/>
      <c r="M2" s="123"/>
    </row>
    <row r="3" spans="1:36" ht="14.45" customHeight="1" x14ac:dyDescent="0.25">
      <c r="A3" s="119"/>
      <c r="B3" s="128" t="s">
        <v>30</v>
      </c>
      <c r="C3" s="238" t="s">
        <v>83</v>
      </c>
      <c r="D3" s="238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30" t="s">
        <v>38</v>
      </c>
      <c r="I5" s="131" t="s">
        <v>39</v>
      </c>
      <c r="J5" s="132" t="s">
        <v>40</v>
      </c>
      <c r="K5" s="131" t="s">
        <v>41</v>
      </c>
      <c r="L5" s="131" t="s">
        <v>42</v>
      </c>
      <c r="M5" s="130" t="s">
        <v>43</v>
      </c>
      <c r="Q5" s="203" t="s">
        <v>84</v>
      </c>
      <c r="R5" s="204" t="s">
        <v>85</v>
      </c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16</v>
      </c>
      <c r="D6" s="35" t="s">
        <v>77</v>
      </c>
      <c r="E6" s="35"/>
      <c r="F6" s="35" t="s">
        <v>45</v>
      </c>
      <c r="G6" s="28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2</v>
      </c>
      <c r="K6" s="133">
        <f t="shared" ref="K6:K69" si="1">J6*$J$2</f>
        <v>20</v>
      </c>
      <c r="L6" s="135">
        <f>3*K2</f>
        <v>14.286609467713795</v>
      </c>
      <c r="M6" s="135">
        <f t="shared" ref="M6:M69" si="2">IF(I6&lt;&gt;"",K6+I6+L6,0)</f>
        <v>84.286609467713788</v>
      </c>
      <c r="O6" s="203">
        <v>1</v>
      </c>
      <c r="P6" s="203"/>
      <c r="Q6" s="203"/>
      <c r="R6" s="204"/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17</v>
      </c>
      <c r="D7" s="41" t="s">
        <v>86</v>
      </c>
      <c r="E7" s="41"/>
      <c r="F7" s="41" t="s">
        <v>45</v>
      </c>
      <c r="G7" s="28"/>
      <c r="H7" s="136">
        <v>2</v>
      </c>
      <c r="I7" s="137">
        <f t="shared" ref="I7:I70" si="4">IF(H7&lt;$H$2+1,($I$2-($I$2-1)*(LOG(H7)/LOG($H$2))),"")</f>
        <v>25.5</v>
      </c>
      <c r="J7" s="136">
        <f t="shared" ref="J7:J70" si="5">INT(LOG($H$2,2))-ROUNDUP(LOG(H7,2),0)+IF(OR($H$2=1,$H$2=2,$H$2=4,$H$2=8,$H$2=16,$H$2=32,$H$2=64,$H$2=128,$H$2=256),0,1)</f>
        <v>1</v>
      </c>
      <c r="K7" s="136">
        <f t="shared" si="1"/>
        <v>10</v>
      </c>
      <c r="L7" s="138">
        <f>2*K2</f>
        <v>9.5244063118091962</v>
      </c>
      <c r="M7" s="138">
        <f t="shared" si="2"/>
        <v>45.024406311809194</v>
      </c>
      <c r="O7" s="203">
        <v>2</v>
      </c>
      <c r="P7" s="203"/>
      <c r="Q7" s="203"/>
      <c r="R7" s="204"/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18</v>
      </c>
      <c r="D8" s="35" t="s">
        <v>64</v>
      </c>
      <c r="E8" s="35"/>
      <c r="F8" s="35" t="s">
        <v>45</v>
      </c>
      <c r="G8" s="28"/>
      <c r="H8" s="133">
        <v>3</v>
      </c>
      <c r="I8" s="134">
        <f t="shared" si="4"/>
        <v>11.168418732331673</v>
      </c>
      <c r="J8" s="133">
        <f t="shared" si="5"/>
        <v>0</v>
      </c>
      <c r="K8" s="133">
        <f t="shared" si="1"/>
        <v>0</v>
      </c>
      <c r="L8" s="135">
        <f>K2</f>
        <v>4.7622031559045981</v>
      </c>
      <c r="M8" s="135">
        <f t="shared" si="2"/>
        <v>15.930621888236271</v>
      </c>
      <c r="O8" s="203">
        <v>3</v>
      </c>
      <c r="P8" s="203"/>
      <c r="Q8" s="203"/>
      <c r="R8" s="204"/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21</v>
      </c>
      <c r="D9" s="41" t="s">
        <v>79</v>
      </c>
      <c r="E9" s="41"/>
      <c r="F9" s="41" t="s">
        <v>45</v>
      </c>
      <c r="G9" s="28"/>
      <c r="H9" s="136">
        <v>4</v>
      </c>
      <c r="I9" s="137">
        <f t="shared" si="4"/>
        <v>1</v>
      </c>
      <c r="J9" s="136">
        <f t="shared" si="5"/>
        <v>0</v>
      </c>
      <c r="K9" s="136">
        <f t="shared" si="1"/>
        <v>0</v>
      </c>
      <c r="L9" s="138"/>
      <c r="M9" s="138">
        <f t="shared" si="2"/>
        <v>1</v>
      </c>
      <c r="O9" s="203">
        <v>4</v>
      </c>
      <c r="P9" s="203"/>
      <c r="Q9" s="203"/>
      <c r="R9" s="204"/>
      <c r="V9" s="139"/>
      <c r="Z9" s="140"/>
      <c r="AA9" s="140"/>
      <c r="AG9" s="141"/>
      <c r="AH9" s="124" t="s">
        <v>48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>
        <f t="shared" si="5"/>
        <v>-1</v>
      </c>
      <c r="K10" s="133">
        <f t="shared" si="1"/>
        <v>-10</v>
      </c>
      <c r="L10" s="133"/>
      <c r="M10" s="135">
        <f t="shared" si="2"/>
        <v>0</v>
      </c>
      <c r="O10" s="203">
        <v>5</v>
      </c>
      <c r="P10" s="203"/>
      <c r="Q10" s="203"/>
      <c r="R10" s="204"/>
      <c r="V10" s="139"/>
      <c r="Z10" s="140"/>
      <c r="AA10" s="140"/>
      <c r="AG10" s="141"/>
      <c r="AH10" s="124" t="s">
        <v>50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-1</v>
      </c>
      <c r="K11" s="136">
        <f t="shared" si="1"/>
        <v>-10</v>
      </c>
      <c r="L11" s="136"/>
      <c r="M11" s="138">
        <f t="shared" si="2"/>
        <v>0</v>
      </c>
      <c r="O11" s="203">
        <v>6</v>
      </c>
      <c r="P11" s="203"/>
      <c r="Q11" s="203"/>
      <c r="R11" s="204"/>
      <c r="V11" s="142"/>
      <c r="Z11" s="140"/>
      <c r="AA11" s="140"/>
      <c r="AG11" s="141"/>
      <c r="AH11" s="124" t="s">
        <v>52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-1</v>
      </c>
      <c r="K12" s="133">
        <f t="shared" si="1"/>
        <v>-10</v>
      </c>
      <c r="L12" s="133"/>
      <c r="M12" s="135">
        <f t="shared" si="2"/>
        <v>0</v>
      </c>
      <c r="Z12" s="140"/>
      <c r="AA12" s="140"/>
      <c r="AG12" s="141"/>
      <c r="AH12" s="124" t="s">
        <v>53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-1</v>
      </c>
      <c r="K13" s="136">
        <f t="shared" si="1"/>
        <v>-10</v>
      </c>
      <c r="L13" s="136"/>
      <c r="M13" s="138">
        <f t="shared" si="2"/>
        <v>0</v>
      </c>
      <c r="X13" s="139"/>
      <c r="AG13" s="141"/>
      <c r="AH13" s="124" t="s">
        <v>54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-2</v>
      </c>
      <c r="K14" s="133">
        <f t="shared" si="1"/>
        <v>-20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55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-2</v>
      </c>
      <c r="K15" s="136">
        <f t="shared" si="1"/>
        <v>-20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-2</v>
      </c>
      <c r="K16" s="133">
        <f t="shared" si="1"/>
        <v>-20</v>
      </c>
      <c r="L16" s="133"/>
      <c r="M16" s="135">
        <f t="shared" si="2"/>
        <v>0</v>
      </c>
      <c r="R16" s="205"/>
      <c r="Z16" s="140"/>
      <c r="AA16" s="140"/>
      <c r="AH16" s="145" t="s">
        <v>56</v>
      </c>
      <c r="AI16" s="124">
        <f>AI11-AI12*AI13/AI14</f>
        <v>9.6393909380186855</v>
      </c>
      <c r="AJ16" s="124" t="s">
        <v>57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-2</v>
      </c>
      <c r="K17" s="136">
        <f t="shared" si="1"/>
        <v>-20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-2</v>
      </c>
      <c r="K18" s="133">
        <f t="shared" si="1"/>
        <v>-20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-2</v>
      </c>
      <c r="K19" s="136">
        <f t="shared" si="1"/>
        <v>-20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-2</v>
      </c>
      <c r="K20" s="133">
        <f t="shared" si="1"/>
        <v>-20</v>
      </c>
      <c r="L20" s="133"/>
      <c r="M20" s="135">
        <f t="shared" si="2"/>
        <v>0</v>
      </c>
      <c r="R20" s="20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-2</v>
      </c>
      <c r="K21" s="136">
        <f t="shared" si="1"/>
        <v>-20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-3</v>
      </c>
      <c r="K22" s="133">
        <f t="shared" si="1"/>
        <v>-30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-3</v>
      </c>
      <c r="K23" s="136">
        <f t="shared" si="1"/>
        <v>-30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-3</v>
      </c>
      <c r="K24" s="133">
        <f t="shared" si="1"/>
        <v>-30</v>
      </c>
      <c r="L24" s="133"/>
      <c r="M24" s="135">
        <f t="shared" si="2"/>
        <v>0</v>
      </c>
      <c r="R24" s="20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-3</v>
      </c>
      <c r="K25" s="136">
        <f t="shared" si="1"/>
        <v>-30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-3</v>
      </c>
      <c r="K26" s="133">
        <f t="shared" si="1"/>
        <v>-30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-3</v>
      </c>
      <c r="K27" s="136">
        <f t="shared" si="1"/>
        <v>-30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-3</v>
      </c>
      <c r="K28" s="133">
        <f t="shared" si="1"/>
        <v>-30</v>
      </c>
      <c r="L28" s="133"/>
      <c r="M28" s="135">
        <f t="shared" si="2"/>
        <v>0</v>
      </c>
      <c r="R28" s="20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-3</v>
      </c>
      <c r="K29" s="136">
        <f t="shared" si="1"/>
        <v>-30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-3</v>
      </c>
      <c r="K30" s="133">
        <f t="shared" si="1"/>
        <v>-30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-3</v>
      </c>
      <c r="K31" s="136">
        <f t="shared" si="1"/>
        <v>-30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-3</v>
      </c>
      <c r="K32" s="133">
        <f t="shared" si="1"/>
        <v>-30</v>
      </c>
      <c r="L32" s="133"/>
      <c r="M32" s="135">
        <f t="shared" si="2"/>
        <v>0</v>
      </c>
      <c r="R32" s="20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-3</v>
      </c>
      <c r="K33" s="136">
        <f t="shared" si="1"/>
        <v>-30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-3</v>
      </c>
      <c r="K34" s="133">
        <f t="shared" si="1"/>
        <v>-30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-3</v>
      </c>
      <c r="K35" s="136">
        <f t="shared" si="1"/>
        <v>-30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-3</v>
      </c>
      <c r="K36" s="133">
        <f t="shared" si="1"/>
        <v>-30</v>
      </c>
      <c r="L36" s="133"/>
      <c r="M36" s="135">
        <f t="shared" si="2"/>
        <v>0</v>
      </c>
      <c r="R36" s="20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-3</v>
      </c>
      <c r="K37" s="136">
        <f t="shared" si="1"/>
        <v>-30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-4</v>
      </c>
      <c r="K38" s="133">
        <f t="shared" si="1"/>
        <v>-40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-4</v>
      </c>
      <c r="K39" s="136">
        <f t="shared" si="1"/>
        <v>-40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-4</v>
      </c>
      <c r="K40" s="133">
        <f t="shared" si="1"/>
        <v>-40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-4</v>
      </c>
      <c r="K41" s="136">
        <f t="shared" si="1"/>
        <v>-40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-4</v>
      </c>
      <c r="K42" s="133">
        <f t="shared" si="1"/>
        <v>-40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-4</v>
      </c>
      <c r="K43" s="136">
        <f t="shared" si="1"/>
        <v>-40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-4</v>
      </c>
      <c r="K44" s="133">
        <f t="shared" si="1"/>
        <v>-40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-4</v>
      </c>
      <c r="K45" s="136">
        <f t="shared" si="1"/>
        <v>-40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-4</v>
      </c>
      <c r="K46" s="133">
        <f t="shared" si="1"/>
        <v>-40</v>
      </c>
      <c r="L46" s="133"/>
      <c r="M46" s="135">
        <f t="shared" si="2"/>
        <v>0</v>
      </c>
      <c r="R46" s="123">
        <f>LOG($H$2,2)</f>
        <v>2</v>
      </c>
      <c r="T46" s="124">
        <f>LOG(H38,2)</f>
        <v>5.0443941193584534</v>
      </c>
      <c r="U46" s="124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-4</v>
      </c>
      <c r="K47" s="136">
        <f t="shared" si="1"/>
        <v>-40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-4</v>
      </c>
      <c r="K48" s="133">
        <f t="shared" si="1"/>
        <v>-40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-4</v>
      </c>
      <c r="K49" s="136">
        <f t="shared" si="1"/>
        <v>-40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-4</v>
      </c>
      <c r="K50" s="133">
        <f t="shared" si="1"/>
        <v>-40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-4</v>
      </c>
      <c r="K51" s="136">
        <f t="shared" si="1"/>
        <v>-40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-4</v>
      </c>
      <c r="K52" s="133">
        <f t="shared" si="1"/>
        <v>-40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-4</v>
      </c>
      <c r="K53" s="136">
        <f t="shared" si="1"/>
        <v>-40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-4</v>
      </c>
      <c r="K54" s="133">
        <f t="shared" si="1"/>
        <v>-40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-4</v>
      </c>
      <c r="K55" s="136">
        <f t="shared" si="1"/>
        <v>-40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-4</v>
      </c>
      <c r="K56" s="133">
        <f t="shared" si="1"/>
        <v>-40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-4</v>
      </c>
      <c r="K57" s="136">
        <f t="shared" si="1"/>
        <v>-40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-4</v>
      </c>
      <c r="K58" s="133">
        <f t="shared" si="1"/>
        <v>-40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-4</v>
      </c>
      <c r="K59" s="136">
        <f t="shared" si="1"/>
        <v>-40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-4</v>
      </c>
      <c r="K60" s="133">
        <f t="shared" si="1"/>
        <v>-40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-4</v>
      </c>
      <c r="K61" s="136">
        <f t="shared" si="1"/>
        <v>-40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-4</v>
      </c>
      <c r="K62" s="133">
        <f t="shared" si="1"/>
        <v>-40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-4</v>
      </c>
      <c r="K63" s="136">
        <f t="shared" si="1"/>
        <v>-40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-4</v>
      </c>
      <c r="K64" s="133">
        <f t="shared" si="1"/>
        <v>-40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-4</v>
      </c>
      <c r="K65" s="136">
        <f t="shared" si="1"/>
        <v>-40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-4</v>
      </c>
      <c r="K66" s="133">
        <f t="shared" si="1"/>
        <v>-40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-4</v>
      </c>
      <c r="K67" s="133">
        <f t="shared" si="1"/>
        <v>-40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-4</v>
      </c>
      <c r="K68" s="133">
        <f t="shared" si="1"/>
        <v>-40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-4</v>
      </c>
      <c r="K69" s="133">
        <f t="shared" si="1"/>
        <v>-40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-5</v>
      </c>
      <c r="K70" s="133">
        <f t="shared" ref="K70:K133" si="7">J70*$J$2</f>
        <v>-50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-5</v>
      </c>
      <c r="K71" s="133">
        <f t="shared" si="7"/>
        <v>-50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-5</v>
      </c>
      <c r="K72" s="133">
        <f t="shared" si="7"/>
        <v>-50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-5</v>
      </c>
      <c r="K73" s="133">
        <f t="shared" si="7"/>
        <v>-50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-5</v>
      </c>
      <c r="K74" s="133">
        <f t="shared" si="7"/>
        <v>-50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-5</v>
      </c>
      <c r="K75" s="133">
        <f t="shared" si="7"/>
        <v>-50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-5</v>
      </c>
      <c r="K76" s="133">
        <f t="shared" si="7"/>
        <v>-50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-5</v>
      </c>
      <c r="K77" s="133">
        <f t="shared" si="7"/>
        <v>-50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-5</v>
      </c>
      <c r="K78" s="133">
        <f t="shared" si="7"/>
        <v>-50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-5</v>
      </c>
      <c r="K79" s="133">
        <f t="shared" si="7"/>
        <v>-50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-5</v>
      </c>
      <c r="K80" s="133">
        <f t="shared" si="7"/>
        <v>-50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-5</v>
      </c>
      <c r="K81" s="133">
        <f t="shared" si="7"/>
        <v>-50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-5</v>
      </c>
      <c r="K82" s="133">
        <f t="shared" si="7"/>
        <v>-50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-5</v>
      </c>
      <c r="K83" s="133">
        <f t="shared" si="7"/>
        <v>-50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-5</v>
      </c>
      <c r="K84" s="133">
        <f t="shared" si="7"/>
        <v>-50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-5</v>
      </c>
      <c r="K85" s="133">
        <f t="shared" si="7"/>
        <v>-50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-5</v>
      </c>
      <c r="K86" s="133">
        <f t="shared" si="7"/>
        <v>-50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-5</v>
      </c>
      <c r="K87" s="133">
        <f t="shared" si="7"/>
        <v>-50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-5</v>
      </c>
      <c r="K88" s="133">
        <f t="shared" si="7"/>
        <v>-50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-5</v>
      </c>
      <c r="K89" s="133">
        <f t="shared" si="7"/>
        <v>-50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-5</v>
      </c>
      <c r="K90" s="133">
        <f t="shared" si="7"/>
        <v>-50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-5</v>
      </c>
      <c r="K91" s="133">
        <f t="shared" si="7"/>
        <v>-50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-5</v>
      </c>
      <c r="K92" s="133">
        <f t="shared" si="7"/>
        <v>-50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-5</v>
      </c>
      <c r="K93" s="133">
        <f t="shared" si="7"/>
        <v>-50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-5</v>
      </c>
      <c r="K94" s="133">
        <f t="shared" si="7"/>
        <v>-50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-5</v>
      </c>
      <c r="K95" s="133">
        <f t="shared" si="7"/>
        <v>-50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-5</v>
      </c>
      <c r="K96" s="133">
        <f t="shared" si="7"/>
        <v>-50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-5</v>
      </c>
      <c r="K97" s="133">
        <f t="shared" si="7"/>
        <v>-50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-5</v>
      </c>
      <c r="K98" s="133">
        <f t="shared" si="7"/>
        <v>-50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-5</v>
      </c>
      <c r="K99" s="133">
        <f t="shared" si="7"/>
        <v>-50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-5</v>
      </c>
      <c r="K100" s="133">
        <f t="shared" si="7"/>
        <v>-50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-5</v>
      </c>
      <c r="K101" s="133">
        <f t="shared" si="7"/>
        <v>-50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-5</v>
      </c>
      <c r="K102" s="133">
        <f t="shared" si="7"/>
        <v>-50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-5</v>
      </c>
      <c r="K103" s="133">
        <f t="shared" si="7"/>
        <v>-50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-5</v>
      </c>
      <c r="K104" s="133">
        <f t="shared" si="7"/>
        <v>-50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-5</v>
      </c>
      <c r="K105" s="133">
        <f t="shared" si="7"/>
        <v>-50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-5</v>
      </c>
      <c r="K106" s="133">
        <f t="shared" si="7"/>
        <v>-50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-5</v>
      </c>
      <c r="K107" s="133">
        <f t="shared" si="7"/>
        <v>-50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-5</v>
      </c>
      <c r="K108" s="133">
        <f t="shared" si="7"/>
        <v>-50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-5</v>
      </c>
      <c r="K109" s="133">
        <f t="shared" si="7"/>
        <v>-50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-5</v>
      </c>
      <c r="K110" s="133">
        <f t="shared" si="7"/>
        <v>-50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-5</v>
      </c>
      <c r="K111" s="133">
        <f t="shared" si="7"/>
        <v>-50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-5</v>
      </c>
      <c r="K112" s="133">
        <f t="shared" si="7"/>
        <v>-50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-5</v>
      </c>
      <c r="K113" s="133">
        <f t="shared" si="7"/>
        <v>-50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-5</v>
      </c>
      <c r="K114" s="133">
        <f t="shared" si="7"/>
        <v>-50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-5</v>
      </c>
      <c r="K115" s="133">
        <f t="shared" si="7"/>
        <v>-50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-5</v>
      </c>
      <c r="K116" s="133">
        <f t="shared" si="7"/>
        <v>-50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-5</v>
      </c>
      <c r="K117" s="133">
        <f t="shared" si="7"/>
        <v>-50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-5</v>
      </c>
      <c r="K118" s="133">
        <f t="shared" si="7"/>
        <v>-50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-5</v>
      </c>
      <c r="K119" s="133">
        <f t="shared" si="7"/>
        <v>-50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-5</v>
      </c>
      <c r="K120" s="133">
        <f t="shared" si="7"/>
        <v>-50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-5</v>
      </c>
      <c r="K121" s="133">
        <f t="shared" si="7"/>
        <v>-50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-5</v>
      </c>
      <c r="K122" s="133">
        <f t="shared" si="7"/>
        <v>-50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-5</v>
      </c>
      <c r="K123" s="133">
        <f t="shared" si="7"/>
        <v>-50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-5</v>
      </c>
      <c r="K124" s="133">
        <f t="shared" si="7"/>
        <v>-50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-5</v>
      </c>
      <c r="K125" s="133">
        <f t="shared" si="7"/>
        <v>-50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-5</v>
      </c>
      <c r="K126" s="133">
        <f t="shared" si="7"/>
        <v>-50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-5</v>
      </c>
      <c r="K127" s="133">
        <f t="shared" si="7"/>
        <v>-50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-5</v>
      </c>
      <c r="K128" s="133">
        <f t="shared" si="7"/>
        <v>-50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-5</v>
      </c>
      <c r="K129" s="133">
        <f t="shared" si="7"/>
        <v>-50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-5</v>
      </c>
      <c r="K130" s="133">
        <f t="shared" si="7"/>
        <v>-50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-5</v>
      </c>
      <c r="K131" s="133">
        <f t="shared" si="7"/>
        <v>-50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-5</v>
      </c>
      <c r="K132" s="133">
        <f t="shared" si="7"/>
        <v>-50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-5</v>
      </c>
      <c r="K133" s="133">
        <f t="shared" si="7"/>
        <v>-50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-6</v>
      </c>
      <c r="K134" s="133">
        <f t="shared" ref="K134:K197" si="11">J134*$J$2</f>
        <v>-60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-6</v>
      </c>
      <c r="K135" s="133">
        <f t="shared" si="11"/>
        <v>-60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-6</v>
      </c>
      <c r="K136" s="133">
        <f t="shared" si="11"/>
        <v>-60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-6</v>
      </c>
      <c r="K137" s="133">
        <f t="shared" si="11"/>
        <v>-60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-6</v>
      </c>
      <c r="K138" s="133">
        <f t="shared" si="11"/>
        <v>-60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-6</v>
      </c>
      <c r="K139" s="133">
        <f t="shared" si="11"/>
        <v>-60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-6</v>
      </c>
      <c r="K140" s="133">
        <f t="shared" si="11"/>
        <v>-60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-6</v>
      </c>
      <c r="K141" s="133">
        <f t="shared" si="11"/>
        <v>-60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-6</v>
      </c>
      <c r="K142" s="133">
        <f t="shared" si="11"/>
        <v>-60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-6</v>
      </c>
      <c r="K143" s="133">
        <f t="shared" si="11"/>
        <v>-60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-6</v>
      </c>
      <c r="K144" s="133">
        <f t="shared" si="11"/>
        <v>-60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-6</v>
      </c>
      <c r="K145" s="133">
        <f t="shared" si="11"/>
        <v>-60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-6</v>
      </c>
      <c r="K146" s="133">
        <f t="shared" si="11"/>
        <v>-60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-6</v>
      </c>
      <c r="K147" s="133">
        <f t="shared" si="11"/>
        <v>-60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-6</v>
      </c>
      <c r="K148" s="133">
        <f t="shared" si="11"/>
        <v>-60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-6</v>
      </c>
      <c r="K149" s="133">
        <f t="shared" si="11"/>
        <v>-60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-6</v>
      </c>
      <c r="K150" s="133">
        <f t="shared" si="11"/>
        <v>-60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-6</v>
      </c>
      <c r="K151" s="133">
        <f t="shared" si="11"/>
        <v>-60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-6</v>
      </c>
      <c r="K152" s="133">
        <f t="shared" si="11"/>
        <v>-60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-6</v>
      </c>
      <c r="K153" s="133">
        <f t="shared" si="11"/>
        <v>-60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-6</v>
      </c>
      <c r="K154" s="133">
        <f t="shared" si="11"/>
        <v>-60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-6</v>
      </c>
      <c r="K155" s="133">
        <f t="shared" si="11"/>
        <v>-60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-6</v>
      </c>
      <c r="K156" s="133">
        <f t="shared" si="11"/>
        <v>-60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-6</v>
      </c>
      <c r="K157" s="133">
        <f t="shared" si="11"/>
        <v>-60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-6</v>
      </c>
      <c r="K158" s="133">
        <f t="shared" si="11"/>
        <v>-60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-6</v>
      </c>
      <c r="K159" s="133">
        <f t="shared" si="11"/>
        <v>-60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-6</v>
      </c>
      <c r="K160" s="133">
        <f t="shared" si="11"/>
        <v>-60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-6</v>
      </c>
      <c r="K161" s="133">
        <f t="shared" si="11"/>
        <v>-60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-6</v>
      </c>
      <c r="K162" s="133">
        <f t="shared" si="11"/>
        <v>-60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-6</v>
      </c>
      <c r="K163" s="133">
        <f t="shared" si="11"/>
        <v>-60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-6</v>
      </c>
      <c r="K164" s="133">
        <f t="shared" si="11"/>
        <v>-60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-6</v>
      </c>
      <c r="K165" s="133">
        <f t="shared" si="11"/>
        <v>-60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-6</v>
      </c>
      <c r="K166" s="133">
        <f t="shared" si="11"/>
        <v>-60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-6</v>
      </c>
      <c r="K167" s="133">
        <f t="shared" si="11"/>
        <v>-60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-6</v>
      </c>
      <c r="K168" s="133">
        <f t="shared" si="11"/>
        <v>-60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-6</v>
      </c>
      <c r="K169" s="133">
        <f t="shared" si="11"/>
        <v>-60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-6</v>
      </c>
      <c r="K170" s="133">
        <f t="shared" si="11"/>
        <v>-60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-6</v>
      </c>
      <c r="K171" s="133">
        <f t="shared" si="11"/>
        <v>-60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-6</v>
      </c>
      <c r="K172" s="133">
        <f t="shared" si="11"/>
        <v>-60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-6</v>
      </c>
      <c r="K173" s="133">
        <f t="shared" si="11"/>
        <v>-60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-6</v>
      </c>
      <c r="K174" s="133">
        <f t="shared" si="11"/>
        <v>-60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-6</v>
      </c>
      <c r="K175" s="133">
        <f t="shared" si="11"/>
        <v>-60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-6</v>
      </c>
      <c r="K176" s="133">
        <f t="shared" si="11"/>
        <v>-60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-6</v>
      </c>
      <c r="K177" s="133">
        <f t="shared" si="11"/>
        <v>-60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-6</v>
      </c>
      <c r="K178" s="133">
        <f t="shared" si="11"/>
        <v>-60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-6</v>
      </c>
      <c r="K179" s="133">
        <f t="shared" si="11"/>
        <v>-60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-6</v>
      </c>
      <c r="K180" s="133">
        <f t="shared" si="11"/>
        <v>-60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-6</v>
      </c>
      <c r="K181" s="133">
        <f t="shared" si="11"/>
        <v>-60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-6</v>
      </c>
      <c r="K182" s="133">
        <f t="shared" si="11"/>
        <v>-60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-6</v>
      </c>
      <c r="K183" s="133">
        <f t="shared" si="11"/>
        <v>-60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-6</v>
      </c>
      <c r="K184" s="133">
        <f t="shared" si="11"/>
        <v>-60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-6</v>
      </c>
      <c r="K185" s="133">
        <f t="shared" si="11"/>
        <v>-60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-6</v>
      </c>
      <c r="K186" s="133">
        <f t="shared" si="11"/>
        <v>-60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-6</v>
      </c>
      <c r="K187" s="133">
        <f t="shared" si="11"/>
        <v>-60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-6</v>
      </c>
      <c r="K188" s="133">
        <f t="shared" si="11"/>
        <v>-60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-6</v>
      </c>
      <c r="K189" s="133">
        <f t="shared" si="11"/>
        <v>-60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-6</v>
      </c>
      <c r="K190" s="133">
        <f t="shared" si="11"/>
        <v>-60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-6</v>
      </c>
      <c r="K191" s="133">
        <f t="shared" si="11"/>
        <v>-60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-6</v>
      </c>
      <c r="K192" s="133">
        <f t="shared" si="11"/>
        <v>-60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-6</v>
      </c>
      <c r="K193" s="133">
        <f t="shared" si="11"/>
        <v>-60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-6</v>
      </c>
      <c r="K194" s="133">
        <f t="shared" si="11"/>
        <v>-60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-6</v>
      </c>
      <c r="K195" s="133">
        <f t="shared" si="11"/>
        <v>-60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-6</v>
      </c>
      <c r="K196" s="133">
        <f t="shared" si="11"/>
        <v>-60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-6</v>
      </c>
      <c r="K197" s="133">
        <f t="shared" si="11"/>
        <v>-60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-6</v>
      </c>
      <c r="K198" s="133">
        <f t="shared" ref="K198:K261" si="15">J198*$J$2</f>
        <v>-60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-6</v>
      </c>
      <c r="K199" s="133">
        <f t="shared" si="15"/>
        <v>-60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-6</v>
      </c>
      <c r="K200" s="133">
        <f t="shared" si="15"/>
        <v>-60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-6</v>
      </c>
      <c r="K201" s="133">
        <f t="shared" si="15"/>
        <v>-60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-6</v>
      </c>
      <c r="K202" s="133">
        <f t="shared" si="15"/>
        <v>-60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-6</v>
      </c>
      <c r="K203" s="133">
        <f t="shared" si="15"/>
        <v>-60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-6</v>
      </c>
      <c r="K204" s="133">
        <f t="shared" si="15"/>
        <v>-60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-6</v>
      </c>
      <c r="K205" s="133">
        <f t="shared" si="15"/>
        <v>-60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-6</v>
      </c>
      <c r="K206" s="133">
        <f t="shared" si="15"/>
        <v>-60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-6</v>
      </c>
      <c r="K207" s="133">
        <f t="shared" si="15"/>
        <v>-60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-6</v>
      </c>
      <c r="K208" s="133">
        <f t="shared" si="15"/>
        <v>-60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-6</v>
      </c>
      <c r="K209" s="133">
        <f t="shared" si="15"/>
        <v>-60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-6</v>
      </c>
      <c r="K210" s="133">
        <f t="shared" si="15"/>
        <v>-60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-6</v>
      </c>
      <c r="K211" s="133">
        <f t="shared" si="15"/>
        <v>-60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-6</v>
      </c>
      <c r="K212" s="133">
        <f t="shared" si="15"/>
        <v>-60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-6</v>
      </c>
      <c r="K213" s="133">
        <f t="shared" si="15"/>
        <v>-60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-6</v>
      </c>
      <c r="K214" s="133">
        <f t="shared" si="15"/>
        <v>-60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-6</v>
      </c>
      <c r="K215" s="133">
        <f t="shared" si="15"/>
        <v>-60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-6</v>
      </c>
      <c r="K216" s="133">
        <f t="shared" si="15"/>
        <v>-60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-6</v>
      </c>
      <c r="K217" s="133">
        <f t="shared" si="15"/>
        <v>-60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-6</v>
      </c>
      <c r="K218" s="133">
        <f t="shared" si="15"/>
        <v>-60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-6</v>
      </c>
      <c r="K219" s="133">
        <f t="shared" si="15"/>
        <v>-60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-6</v>
      </c>
      <c r="K220" s="133">
        <f t="shared" si="15"/>
        <v>-60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-6</v>
      </c>
      <c r="K221" s="133">
        <f t="shared" si="15"/>
        <v>-60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-6</v>
      </c>
      <c r="K222" s="133">
        <f t="shared" si="15"/>
        <v>-60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-6</v>
      </c>
      <c r="K223" s="133">
        <f t="shared" si="15"/>
        <v>-60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-6</v>
      </c>
      <c r="K224" s="133">
        <f t="shared" si="15"/>
        <v>-60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-6</v>
      </c>
      <c r="K225" s="133">
        <f t="shared" si="15"/>
        <v>-60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-6</v>
      </c>
      <c r="K226" s="133">
        <f t="shared" si="15"/>
        <v>-60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-6</v>
      </c>
      <c r="K227" s="133">
        <f t="shared" si="15"/>
        <v>-60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-6</v>
      </c>
      <c r="K228" s="133">
        <f t="shared" si="15"/>
        <v>-60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-6</v>
      </c>
      <c r="K229" s="133">
        <f t="shared" si="15"/>
        <v>-60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-6</v>
      </c>
      <c r="K230" s="133">
        <f t="shared" si="15"/>
        <v>-60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-6</v>
      </c>
      <c r="K231" s="133">
        <f t="shared" si="15"/>
        <v>-60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-6</v>
      </c>
      <c r="K232" s="133">
        <f t="shared" si="15"/>
        <v>-60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-6</v>
      </c>
      <c r="K233" s="133">
        <f t="shared" si="15"/>
        <v>-60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-6</v>
      </c>
      <c r="K234" s="133">
        <f t="shared" si="15"/>
        <v>-60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-6</v>
      </c>
      <c r="K235" s="133">
        <f t="shared" si="15"/>
        <v>-60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-6</v>
      </c>
      <c r="K236" s="133">
        <f t="shared" si="15"/>
        <v>-60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-6</v>
      </c>
      <c r="K237" s="133">
        <f t="shared" si="15"/>
        <v>-60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-6</v>
      </c>
      <c r="K238" s="133">
        <f t="shared" si="15"/>
        <v>-60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-6</v>
      </c>
      <c r="K239" s="133">
        <f t="shared" si="15"/>
        <v>-60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-6</v>
      </c>
      <c r="K240" s="133">
        <f t="shared" si="15"/>
        <v>-60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-6</v>
      </c>
      <c r="K241" s="133">
        <f t="shared" si="15"/>
        <v>-60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-6</v>
      </c>
      <c r="K242" s="133">
        <f t="shared" si="15"/>
        <v>-60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-6</v>
      </c>
      <c r="K243" s="133">
        <f t="shared" si="15"/>
        <v>-60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-6</v>
      </c>
      <c r="K244" s="133">
        <f t="shared" si="15"/>
        <v>-60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-6</v>
      </c>
      <c r="K245" s="133">
        <f t="shared" si="15"/>
        <v>-60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-6</v>
      </c>
      <c r="K246" s="133">
        <f t="shared" si="15"/>
        <v>-60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-6</v>
      </c>
      <c r="K247" s="133">
        <f t="shared" si="15"/>
        <v>-60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-6</v>
      </c>
      <c r="K248" s="133">
        <f t="shared" si="15"/>
        <v>-60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-6</v>
      </c>
      <c r="K249" s="133">
        <f t="shared" si="15"/>
        <v>-60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-6</v>
      </c>
      <c r="K250" s="133">
        <f t="shared" si="15"/>
        <v>-60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-6</v>
      </c>
      <c r="K251" s="133">
        <f t="shared" si="15"/>
        <v>-60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-6</v>
      </c>
      <c r="K252" s="133">
        <f t="shared" si="15"/>
        <v>-60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-6</v>
      </c>
      <c r="K253" s="133">
        <f t="shared" si="15"/>
        <v>-60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-6</v>
      </c>
      <c r="K254" s="133">
        <f t="shared" si="15"/>
        <v>-60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-6</v>
      </c>
      <c r="K255" s="133">
        <f t="shared" si="15"/>
        <v>-60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-6</v>
      </c>
      <c r="K256" s="133">
        <f t="shared" si="15"/>
        <v>-60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-6</v>
      </c>
      <c r="K257" s="133">
        <f t="shared" si="15"/>
        <v>-60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-6</v>
      </c>
      <c r="K258" s="133">
        <f t="shared" si="15"/>
        <v>-60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-6</v>
      </c>
      <c r="K259" s="133">
        <f t="shared" si="15"/>
        <v>-60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-6</v>
      </c>
      <c r="K260" s="133">
        <f t="shared" si="15"/>
        <v>-60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-6</v>
      </c>
      <c r="K261" s="133">
        <f t="shared" si="15"/>
        <v>-60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-7</v>
      </c>
      <c r="K262" s="133">
        <f t="shared" ref="K262:K305" si="19">J262*$J$2</f>
        <v>-70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-7</v>
      </c>
      <c r="K263" s="133">
        <f t="shared" si="19"/>
        <v>-70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-7</v>
      </c>
      <c r="K264" s="133">
        <f t="shared" si="19"/>
        <v>-70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-7</v>
      </c>
      <c r="K265" s="133">
        <f t="shared" si="19"/>
        <v>-70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-7</v>
      </c>
      <c r="K266" s="133">
        <f t="shared" si="19"/>
        <v>-70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-7</v>
      </c>
      <c r="K267" s="133">
        <f t="shared" si="19"/>
        <v>-70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-7</v>
      </c>
      <c r="K268" s="133">
        <f t="shared" si="19"/>
        <v>-70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-7</v>
      </c>
      <c r="K269" s="133">
        <f t="shared" si="19"/>
        <v>-70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-7</v>
      </c>
      <c r="K270" s="133">
        <f t="shared" si="19"/>
        <v>-70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-7</v>
      </c>
      <c r="K271" s="133">
        <f t="shared" si="19"/>
        <v>-70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-7</v>
      </c>
      <c r="K272" s="133">
        <f t="shared" si="19"/>
        <v>-70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-7</v>
      </c>
      <c r="K273" s="133">
        <f t="shared" si="19"/>
        <v>-70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-7</v>
      </c>
      <c r="K274" s="133">
        <f t="shared" si="19"/>
        <v>-70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-7</v>
      </c>
      <c r="K275" s="133">
        <f t="shared" si="19"/>
        <v>-70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-7</v>
      </c>
      <c r="K276" s="133">
        <f t="shared" si="19"/>
        <v>-70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-7</v>
      </c>
      <c r="K277" s="133">
        <f t="shared" si="19"/>
        <v>-70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-7</v>
      </c>
      <c r="K278" s="133">
        <f t="shared" si="19"/>
        <v>-70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-7</v>
      </c>
      <c r="K279" s="133">
        <f t="shared" si="19"/>
        <v>-70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-7</v>
      </c>
      <c r="K280" s="133">
        <f t="shared" si="19"/>
        <v>-70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-7</v>
      </c>
      <c r="K281" s="133">
        <f t="shared" si="19"/>
        <v>-70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-7</v>
      </c>
      <c r="K282" s="133">
        <f t="shared" si="19"/>
        <v>-70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-7</v>
      </c>
      <c r="K283" s="133">
        <f t="shared" si="19"/>
        <v>-70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-7</v>
      </c>
      <c r="K284" s="133">
        <f t="shared" si="19"/>
        <v>-70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-7</v>
      </c>
      <c r="K285" s="133">
        <f t="shared" si="19"/>
        <v>-70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-7</v>
      </c>
      <c r="K286" s="133">
        <f t="shared" si="19"/>
        <v>-70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-7</v>
      </c>
      <c r="K287" s="133">
        <f t="shared" si="19"/>
        <v>-70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-7</v>
      </c>
      <c r="K288" s="133">
        <f t="shared" si="19"/>
        <v>-70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-7</v>
      </c>
      <c r="K289" s="133">
        <f t="shared" si="19"/>
        <v>-70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-7</v>
      </c>
      <c r="K290" s="133">
        <f t="shared" si="19"/>
        <v>-70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-7</v>
      </c>
      <c r="K291" s="133">
        <f t="shared" si="19"/>
        <v>-70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-7</v>
      </c>
      <c r="K292" s="133">
        <f t="shared" si="19"/>
        <v>-70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-7</v>
      </c>
      <c r="K293" s="133">
        <f t="shared" si="19"/>
        <v>-70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-7</v>
      </c>
      <c r="K294" s="133">
        <f t="shared" si="19"/>
        <v>-70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-7</v>
      </c>
      <c r="K295" s="133">
        <f t="shared" si="19"/>
        <v>-70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-7</v>
      </c>
      <c r="K296" s="133">
        <f t="shared" si="19"/>
        <v>-70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-7</v>
      </c>
      <c r="K297" s="133">
        <f t="shared" si="19"/>
        <v>-70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-7</v>
      </c>
      <c r="K298" s="133">
        <f t="shared" si="19"/>
        <v>-70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-7</v>
      </c>
      <c r="K299" s="133">
        <f t="shared" si="19"/>
        <v>-70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-7</v>
      </c>
      <c r="K300" s="133">
        <f t="shared" si="19"/>
        <v>-70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-7</v>
      </c>
      <c r="K301" s="133">
        <f t="shared" si="19"/>
        <v>-70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-7</v>
      </c>
      <c r="K302" s="133">
        <f t="shared" si="19"/>
        <v>-70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-7</v>
      </c>
      <c r="K303" s="133">
        <f t="shared" si="19"/>
        <v>-70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-7</v>
      </c>
      <c r="K304" s="133">
        <f t="shared" si="19"/>
        <v>-70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-7</v>
      </c>
      <c r="K305" s="133">
        <f t="shared" si="19"/>
        <v>-70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77F3033A-E3EB-4EDD-95A6-8FFFEDA7B6A5}">
      <formula1>#REF!</formula1>
    </dataValidation>
  </dataValidations>
  <hyperlinks>
    <hyperlink ref="C2:D2" r:id="rId1" display="SZCZECIN" xr:uid="{6ADBBD9C-4EBB-42F1-A074-84BCD44DD72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04D5-DECE-4F87-97A7-3A1E14C18305}">
  <sheetPr>
    <tabColor rgb="FF92D050"/>
  </sheetPr>
  <dimension ref="A1:AM317"/>
  <sheetViews>
    <sheetView workbookViewId="0">
      <selection activeCell="C10" sqref="C1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5" width="13.875" style="14" customWidth="1"/>
    <col min="16" max="16" width="11.2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24</v>
      </c>
      <c r="I1" s="16" t="s">
        <v>25</v>
      </c>
      <c r="J1" s="16" t="s">
        <v>26</v>
      </c>
      <c r="K1" s="17" t="s">
        <v>87</v>
      </c>
      <c r="L1" s="63" t="s">
        <v>88</v>
      </c>
      <c r="M1" s="64"/>
      <c r="N1" s="18"/>
    </row>
    <row r="2" spans="1:37" x14ac:dyDescent="0.25">
      <c r="A2" s="14"/>
      <c r="B2" s="20" t="s">
        <v>28</v>
      </c>
      <c r="C2" s="237" t="s">
        <v>89</v>
      </c>
      <c r="D2" s="237"/>
      <c r="E2" s="21"/>
      <c r="F2" s="21"/>
      <c r="G2" s="21"/>
      <c r="H2" s="22">
        <v>5</v>
      </c>
      <c r="I2" s="23">
        <v>50</v>
      </c>
      <c r="J2" s="23">
        <v>10</v>
      </c>
      <c r="K2" s="24">
        <f>3*H2^(1/3)</f>
        <v>5.1299278400300903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30</v>
      </c>
      <c r="C3" s="238" t="s">
        <v>90</v>
      </c>
      <c r="D3" s="238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30" t="s">
        <v>38</v>
      </c>
      <c r="I5" s="31" t="s">
        <v>39</v>
      </c>
      <c r="J5" s="32" t="s">
        <v>40</v>
      </c>
      <c r="K5" s="31" t="s">
        <v>41</v>
      </c>
      <c r="L5" s="31" t="s">
        <v>42</v>
      </c>
      <c r="M5" s="30" t="s">
        <v>43</v>
      </c>
      <c r="N5" s="30" t="s">
        <v>91</v>
      </c>
      <c r="P5" s="219" t="s">
        <v>92</v>
      </c>
      <c r="Q5" s="219" t="s">
        <v>93</v>
      </c>
      <c r="R5" s="219" t="s">
        <v>84</v>
      </c>
      <c r="S5" s="219" t="s">
        <v>94</v>
      </c>
    </row>
    <row r="6" spans="1:37" ht="14.45" customHeight="1" x14ac:dyDescent="0.25">
      <c r="A6" s="33">
        <f t="shared" ref="A6:A15" si="0">N6</f>
        <v>114.46774022410833</v>
      </c>
      <c r="B6" s="34">
        <f t="shared" ref="B6:B15" si="1">IF(H6&gt;$H$2,"",(ROW()-5))</f>
        <v>1</v>
      </c>
      <c r="C6" s="35" t="s">
        <v>16</v>
      </c>
      <c r="D6" s="35" t="s">
        <v>95</v>
      </c>
      <c r="E6" s="35" t="s">
        <v>45</v>
      </c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2">J6*$J$2</f>
        <v>30</v>
      </c>
      <c r="L6" s="38">
        <f>3*K2</f>
        <v>15.389783520090271</v>
      </c>
      <c r="M6" s="38">
        <f t="shared" ref="M6:M69" si="3">IF(I6&lt;&gt;"",K6+I6+L6,0)</f>
        <v>95.389783520090276</v>
      </c>
      <c r="N6" s="38">
        <f>IF(I6&lt;&gt;"",M6*L$2,"")</f>
        <v>114.46774022410833</v>
      </c>
      <c r="P6" s="220">
        <v>1</v>
      </c>
      <c r="Q6" s="219" t="s">
        <v>16</v>
      </c>
      <c r="R6" s="207">
        <v>3</v>
      </c>
      <c r="S6" s="207">
        <v>30</v>
      </c>
    </row>
    <row r="7" spans="1:37" ht="14.45" customHeight="1" x14ac:dyDescent="0.25">
      <c r="A7" s="39">
        <f t="shared" si="0"/>
        <v>70.988045201356712</v>
      </c>
      <c r="B7" s="40">
        <f t="shared" si="1"/>
        <v>2</v>
      </c>
      <c r="C7" s="41" t="s">
        <v>17</v>
      </c>
      <c r="D7" s="41" t="s">
        <v>66</v>
      </c>
      <c r="E7" s="41" t="s">
        <v>45</v>
      </c>
      <c r="F7" s="41"/>
      <c r="G7" s="28"/>
      <c r="H7" s="42">
        <v>2</v>
      </c>
      <c r="I7" s="43">
        <f t="shared" ref="I7:I69" si="4">IF(H7&lt;$H$2+1,($I$2-($I$2-1)*(LOG(H7)/LOG($H$2))),"")</f>
        <v>28.896848654403744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2"/>
        <v>20</v>
      </c>
      <c r="L7" s="44">
        <f>2*K2</f>
        <v>10.259855680060181</v>
      </c>
      <c r="M7" s="44">
        <f t="shared" si="3"/>
        <v>59.156704334463925</v>
      </c>
      <c r="N7" s="44">
        <f t="shared" ref="N7:N70" si="6">IF(I7&lt;&gt;"",M7*L$2,"")</f>
        <v>70.988045201356712</v>
      </c>
      <c r="P7" s="220">
        <v>2</v>
      </c>
      <c r="Q7" s="219" t="s">
        <v>96</v>
      </c>
      <c r="R7" s="207">
        <v>2</v>
      </c>
      <c r="S7" s="207">
        <v>20</v>
      </c>
    </row>
    <row r="8" spans="1:37" ht="14.45" customHeight="1" x14ac:dyDescent="0.25">
      <c r="A8" s="33">
        <f t="shared" si="0"/>
        <v>38.018669172260182</v>
      </c>
      <c r="B8" s="34">
        <f t="shared" si="1"/>
        <v>3</v>
      </c>
      <c r="C8" s="35" t="s">
        <v>18</v>
      </c>
      <c r="D8" s="35" t="s">
        <v>97</v>
      </c>
      <c r="E8" s="35" t="s">
        <v>45</v>
      </c>
      <c r="F8" s="35"/>
      <c r="G8" s="28"/>
      <c r="H8" s="36">
        <v>3</v>
      </c>
      <c r="I8" s="37">
        <f t="shared" si="4"/>
        <v>16.552296470186725</v>
      </c>
      <c r="J8" s="36">
        <f t="shared" si="5"/>
        <v>1</v>
      </c>
      <c r="K8" s="36">
        <f t="shared" si="2"/>
        <v>10</v>
      </c>
      <c r="L8" s="38">
        <f>K2</f>
        <v>5.1299278400300903</v>
      </c>
      <c r="M8" s="38">
        <f t="shared" si="3"/>
        <v>31.682224310216817</v>
      </c>
      <c r="N8" s="38">
        <f t="shared" si="6"/>
        <v>38.018669172260182</v>
      </c>
      <c r="P8" s="220">
        <v>3</v>
      </c>
      <c r="Q8" s="219" t="s">
        <v>70</v>
      </c>
      <c r="R8" s="207">
        <v>1</v>
      </c>
      <c r="S8" s="207">
        <v>10</v>
      </c>
    </row>
    <row r="9" spans="1:37" ht="14.45" customHeight="1" x14ac:dyDescent="0.25">
      <c r="A9" s="39">
        <f t="shared" si="0"/>
        <v>21.352436770568985</v>
      </c>
      <c r="B9" s="40">
        <f t="shared" si="1"/>
        <v>4</v>
      </c>
      <c r="C9" s="41" t="s">
        <v>21</v>
      </c>
      <c r="D9" s="41" t="s">
        <v>51</v>
      </c>
      <c r="E9" s="41" t="s">
        <v>45</v>
      </c>
      <c r="F9" s="41"/>
      <c r="G9" s="28"/>
      <c r="H9" s="42">
        <v>4</v>
      </c>
      <c r="I9" s="43">
        <f t="shared" si="4"/>
        <v>7.7936973088074879</v>
      </c>
      <c r="J9" s="42">
        <f t="shared" si="5"/>
        <v>1</v>
      </c>
      <c r="K9" s="42">
        <f t="shared" si="2"/>
        <v>10</v>
      </c>
      <c r="L9" s="44"/>
      <c r="M9" s="44">
        <f t="shared" si="3"/>
        <v>17.793697308807488</v>
      </c>
      <c r="N9" s="44">
        <f t="shared" si="6"/>
        <v>21.352436770568985</v>
      </c>
      <c r="P9" s="220">
        <v>4</v>
      </c>
      <c r="Q9" s="219" t="s">
        <v>98</v>
      </c>
      <c r="R9" s="207">
        <v>1</v>
      </c>
      <c r="S9" s="207">
        <v>10</v>
      </c>
      <c r="W9" s="45"/>
      <c r="AA9" s="46"/>
      <c r="AB9" s="46"/>
      <c r="AH9" s="47"/>
      <c r="AI9" s="19" t="s">
        <v>48</v>
      </c>
      <c r="AJ9" s="19">
        <v>23</v>
      </c>
    </row>
    <row r="10" spans="1:37" ht="14.45" customHeight="1" x14ac:dyDescent="0.25">
      <c r="A10" s="33">
        <f t="shared" si="0"/>
        <v>1.2</v>
      </c>
      <c r="B10" s="34">
        <f t="shared" si="1"/>
        <v>5</v>
      </c>
      <c r="C10" s="35" t="s">
        <v>23</v>
      </c>
      <c r="D10" s="35" t="s">
        <v>99</v>
      </c>
      <c r="E10" s="35" t="s">
        <v>45</v>
      </c>
      <c r="F10" s="35"/>
      <c r="G10" s="28"/>
      <c r="H10" s="36">
        <v>5</v>
      </c>
      <c r="I10" s="37">
        <f t="shared" si="4"/>
        <v>1</v>
      </c>
      <c r="J10" s="36">
        <f t="shared" si="5"/>
        <v>0</v>
      </c>
      <c r="K10" s="36">
        <f t="shared" si="2"/>
        <v>0</v>
      </c>
      <c r="L10" s="36"/>
      <c r="M10" s="38">
        <f t="shared" si="3"/>
        <v>1</v>
      </c>
      <c r="N10" s="38">
        <f t="shared" si="6"/>
        <v>1.2</v>
      </c>
      <c r="P10" s="220">
        <v>5</v>
      </c>
      <c r="Q10" s="219" t="s">
        <v>100</v>
      </c>
      <c r="R10" s="207">
        <v>0</v>
      </c>
      <c r="S10" s="207">
        <v>0</v>
      </c>
      <c r="W10" s="45"/>
      <c r="AA10" s="46"/>
      <c r="AB10" s="46"/>
      <c r="AH10" s="47"/>
      <c r="AI10" s="19" t="s">
        <v>50</v>
      </c>
      <c r="AJ10" s="19">
        <v>45</v>
      </c>
    </row>
    <row r="11" spans="1:37" ht="14.45" customHeight="1" x14ac:dyDescent="0.25">
      <c r="A11" s="39" t="str">
        <f t="shared" si="0"/>
        <v/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0</v>
      </c>
      <c r="K11" s="42">
        <f t="shared" si="2"/>
        <v>0</v>
      </c>
      <c r="L11" s="42"/>
      <c r="M11" s="44">
        <f t="shared" si="3"/>
        <v>0</v>
      </c>
      <c r="N11" s="44" t="str">
        <f t="shared" si="6"/>
        <v/>
      </c>
      <c r="P11" s="220">
        <v>6</v>
      </c>
      <c r="Q11" s="219" t="s">
        <v>74</v>
      </c>
      <c r="R11" s="207">
        <v>0</v>
      </c>
      <c r="S11" s="207">
        <v>0</v>
      </c>
      <c r="W11" s="48"/>
      <c r="AA11" s="46"/>
      <c r="AB11" s="46"/>
      <c r="AH11" s="47"/>
      <c r="AI11" s="19" t="s">
        <v>52</v>
      </c>
      <c r="AJ11" s="19">
        <v>50</v>
      </c>
    </row>
    <row r="12" spans="1:37" ht="14.45" customHeight="1" x14ac:dyDescent="0.25">
      <c r="A12" s="33" t="str">
        <f t="shared" si="0"/>
        <v/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0</v>
      </c>
      <c r="K12" s="36">
        <f t="shared" si="2"/>
        <v>0</v>
      </c>
      <c r="L12" s="36"/>
      <c r="M12" s="38">
        <f t="shared" si="3"/>
        <v>0</v>
      </c>
      <c r="N12" s="38" t="str">
        <f t="shared" si="6"/>
        <v/>
      </c>
      <c r="P12" s="220">
        <v>7</v>
      </c>
      <c r="Q12" s="219" t="s">
        <v>101</v>
      </c>
      <c r="R12" s="207">
        <v>0</v>
      </c>
      <c r="S12" s="207">
        <v>0</v>
      </c>
      <c r="AA12" s="46"/>
      <c r="AB12" s="46"/>
      <c r="AH12" s="47"/>
      <c r="AI12" s="19" t="s">
        <v>53</v>
      </c>
      <c r="AJ12" s="19">
        <f>AJ11-1</f>
        <v>49</v>
      </c>
    </row>
    <row r="13" spans="1:37" x14ac:dyDescent="0.25">
      <c r="A13" s="49" t="str">
        <f t="shared" si="0"/>
        <v/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2"/>
        <v>0</v>
      </c>
      <c r="L13" s="42"/>
      <c r="M13" s="44">
        <f t="shared" si="3"/>
        <v>0</v>
      </c>
      <c r="N13" s="44" t="str">
        <f t="shared" si="6"/>
        <v/>
      </c>
      <c r="P13" s="219"/>
      <c r="Q13" s="219"/>
      <c r="R13" s="219"/>
      <c r="S13" s="219"/>
      <c r="Y13" s="45"/>
      <c r="AA13" s="46"/>
      <c r="AB13" s="46"/>
      <c r="AI13" s="19" t="s">
        <v>54</v>
      </c>
      <c r="AJ13" s="19">
        <f>LOG(AJ9)</f>
        <v>1.3617278360175928</v>
      </c>
    </row>
    <row r="14" spans="1:37" ht="14.45" customHeight="1" x14ac:dyDescent="0.25">
      <c r="A14" s="33" t="str">
        <f t="shared" si="0"/>
        <v/>
      </c>
      <c r="B14" s="34" t="str">
        <f t="shared" si="1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2"/>
        <v>-10</v>
      </c>
      <c r="L14" s="36"/>
      <c r="M14" s="38">
        <f t="shared" si="3"/>
        <v>0</v>
      </c>
      <c r="N14" s="38" t="str">
        <f t="shared" si="6"/>
        <v/>
      </c>
      <c r="AA14" s="46"/>
      <c r="AB14" s="46"/>
      <c r="AH14" s="47"/>
      <c r="AI14" s="19" t="s">
        <v>55</v>
      </c>
      <c r="AJ14" s="19">
        <f>LOG(AJ10)</f>
        <v>1.6532125137753437</v>
      </c>
    </row>
    <row r="15" spans="1:37" x14ac:dyDescent="0.25">
      <c r="A15" s="49" t="str">
        <f t="shared" si="0"/>
        <v/>
      </c>
      <c r="B15" s="40" t="str">
        <f t="shared" si="1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2"/>
        <v>-10</v>
      </c>
      <c r="L15" s="42"/>
      <c r="M15" s="44">
        <f t="shared" si="3"/>
        <v>0</v>
      </c>
      <c r="N15" s="44" t="str">
        <f t="shared" si="6"/>
        <v/>
      </c>
      <c r="Y15" s="45"/>
      <c r="AA15" s="46"/>
      <c r="AB15" s="46"/>
    </row>
    <row r="16" spans="1:37" x14ac:dyDescent="0.25">
      <c r="A16" s="50" t="str">
        <f t="shared" ref="A16:A70" si="7">N16</f>
        <v/>
      </c>
      <c r="B16" s="34" t="str">
        <f t="shared" ref="B16:B65" si="8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2"/>
        <v>-10</v>
      </c>
      <c r="L16" s="36"/>
      <c r="M16" s="38">
        <f t="shared" si="3"/>
        <v>0</v>
      </c>
      <c r="N16" s="38" t="str">
        <f t="shared" si="6"/>
        <v/>
      </c>
      <c r="S16" s="52"/>
      <c r="AA16" s="46"/>
      <c r="AB16" s="46"/>
      <c r="AI16" s="53" t="s">
        <v>56</v>
      </c>
      <c r="AJ16" s="19">
        <f>AJ11-AJ12*AJ13/AJ14</f>
        <v>9.6393909380186855</v>
      </c>
      <c r="AK16" s="19" t="s">
        <v>57</v>
      </c>
    </row>
    <row r="17" spans="1:20" x14ac:dyDescent="0.25">
      <c r="A17" s="49" t="str">
        <f t="shared" si="7"/>
        <v/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2"/>
        <v>-10</v>
      </c>
      <c r="L17" s="42"/>
      <c r="M17" s="44">
        <f t="shared" si="3"/>
        <v>0</v>
      </c>
      <c r="N17" s="44" t="str">
        <f t="shared" si="6"/>
        <v/>
      </c>
    </row>
    <row r="18" spans="1:20" x14ac:dyDescent="0.25">
      <c r="A18" s="50" t="str">
        <f t="shared" si="7"/>
        <v/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2"/>
        <v>-10</v>
      </c>
      <c r="L18" s="36"/>
      <c r="M18" s="38">
        <f t="shared" si="3"/>
        <v>0</v>
      </c>
      <c r="N18" s="38" t="str">
        <f t="shared" si="6"/>
        <v/>
      </c>
    </row>
    <row r="19" spans="1:20" x14ac:dyDescent="0.25">
      <c r="A19" s="49" t="str">
        <f t="shared" si="7"/>
        <v/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2"/>
        <v>-10</v>
      </c>
      <c r="L19" s="42"/>
      <c r="M19" s="44">
        <f t="shared" si="3"/>
        <v>0</v>
      </c>
      <c r="N19" s="44" t="str">
        <f t="shared" si="6"/>
        <v/>
      </c>
    </row>
    <row r="20" spans="1:20" x14ac:dyDescent="0.25">
      <c r="A20" s="50" t="str">
        <f t="shared" si="7"/>
        <v/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2"/>
        <v>-10</v>
      </c>
      <c r="L20" s="36"/>
      <c r="M20" s="38">
        <f t="shared" si="3"/>
        <v>0</v>
      </c>
      <c r="N20" s="38" t="str">
        <f t="shared" si="6"/>
        <v/>
      </c>
      <c r="S20" s="54"/>
      <c r="T20" s="55"/>
    </row>
    <row r="21" spans="1:20" x14ac:dyDescent="0.25">
      <c r="A21" s="49" t="str">
        <f t="shared" si="7"/>
        <v/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2"/>
        <v>-10</v>
      </c>
      <c r="L21" s="42"/>
      <c r="M21" s="44">
        <f t="shared" si="3"/>
        <v>0</v>
      </c>
      <c r="N21" s="44" t="str">
        <f t="shared" si="6"/>
        <v/>
      </c>
    </row>
    <row r="22" spans="1:20" x14ac:dyDescent="0.25">
      <c r="A22" s="50" t="str">
        <f t="shared" si="7"/>
        <v/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2"/>
        <v>-20</v>
      </c>
      <c r="L22" s="36"/>
      <c r="M22" s="38">
        <f t="shared" si="3"/>
        <v>0</v>
      </c>
      <c r="N22" s="38" t="str">
        <f t="shared" si="6"/>
        <v/>
      </c>
    </row>
    <row r="23" spans="1:20" x14ac:dyDescent="0.25">
      <c r="A23" s="49" t="str">
        <f t="shared" si="7"/>
        <v/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2"/>
        <v>-20</v>
      </c>
      <c r="L23" s="42"/>
      <c r="M23" s="44">
        <f t="shared" si="3"/>
        <v>0</v>
      </c>
      <c r="N23" s="44" t="str">
        <f t="shared" si="6"/>
        <v/>
      </c>
    </row>
    <row r="24" spans="1:20" x14ac:dyDescent="0.25">
      <c r="A24" s="50" t="str">
        <f t="shared" si="7"/>
        <v/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2"/>
        <v>-20</v>
      </c>
      <c r="L24" s="36"/>
      <c r="M24" s="38">
        <f t="shared" si="3"/>
        <v>0</v>
      </c>
      <c r="N24" s="38" t="str">
        <f t="shared" si="6"/>
        <v/>
      </c>
      <c r="S24" s="54"/>
      <c r="T24" s="55"/>
    </row>
    <row r="25" spans="1:20" x14ac:dyDescent="0.25">
      <c r="A25" s="49" t="str">
        <f t="shared" si="7"/>
        <v/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2"/>
        <v>-20</v>
      </c>
      <c r="L25" s="42"/>
      <c r="M25" s="44">
        <f t="shared" si="3"/>
        <v>0</v>
      </c>
      <c r="N25" s="44" t="str">
        <f t="shared" si="6"/>
        <v/>
      </c>
    </row>
    <row r="26" spans="1:20" x14ac:dyDescent="0.25">
      <c r="A26" s="50" t="str">
        <f t="shared" si="7"/>
        <v/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2"/>
        <v>-20</v>
      </c>
      <c r="L26" s="36"/>
      <c r="M26" s="38">
        <f t="shared" si="3"/>
        <v>0</v>
      </c>
      <c r="N26" s="38" t="str">
        <f t="shared" si="6"/>
        <v/>
      </c>
    </row>
    <row r="27" spans="1:20" x14ac:dyDescent="0.25">
      <c r="A27" s="49" t="str">
        <f t="shared" si="7"/>
        <v/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2"/>
        <v>-20</v>
      </c>
      <c r="L27" s="42"/>
      <c r="M27" s="44">
        <f t="shared" si="3"/>
        <v>0</v>
      </c>
      <c r="N27" s="44" t="str">
        <f t="shared" si="6"/>
        <v/>
      </c>
    </row>
    <row r="28" spans="1:20" x14ac:dyDescent="0.25">
      <c r="A28" s="50" t="str">
        <f t="shared" si="7"/>
        <v/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2"/>
        <v>-20</v>
      </c>
      <c r="L28" s="36"/>
      <c r="M28" s="38">
        <f t="shared" si="3"/>
        <v>0</v>
      </c>
      <c r="N28" s="38" t="str">
        <f t="shared" si="6"/>
        <v/>
      </c>
      <c r="S28" s="54"/>
      <c r="T28" s="55"/>
    </row>
    <row r="29" spans="1:20" x14ac:dyDescent="0.25">
      <c r="A29" s="49" t="str">
        <f t="shared" si="7"/>
        <v/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2"/>
        <v>-20</v>
      </c>
      <c r="L29" s="42"/>
      <c r="M29" s="44">
        <f t="shared" si="3"/>
        <v>0</v>
      </c>
      <c r="N29" s="44" t="str">
        <f t="shared" si="6"/>
        <v/>
      </c>
    </row>
    <row r="30" spans="1:20" x14ac:dyDescent="0.25">
      <c r="A30" s="50" t="str">
        <f t="shared" si="7"/>
        <v/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2"/>
        <v>-20</v>
      </c>
      <c r="L30" s="36"/>
      <c r="M30" s="38">
        <f t="shared" si="3"/>
        <v>0</v>
      </c>
      <c r="N30" s="38" t="str">
        <f t="shared" si="6"/>
        <v/>
      </c>
    </row>
    <row r="31" spans="1:20" x14ac:dyDescent="0.25">
      <c r="A31" s="49" t="str">
        <f t="shared" si="7"/>
        <v/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2"/>
        <v>-20</v>
      </c>
      <c r="L31" s="42"/>
      <c r="M31" s="44">
        <f t="shared" si="3"/>
        <v>0</v>
      </c>
      <c r="N31" s="44" t="str">
        <f t="shared" si="6"/>
        <v/>
      </c>
    </row>
    <row r="32" spans="1:20" x14ac:dyDescent="0.25">
      <c r="A32" s="50" t="str">
        <f t="shared" si="7"/>
        <v/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2"/>
        <v>-20</v>
      </c>
      <c r="L32" s="36"/>
      <c r="M32" s="38">
        <f t="shared" si="3"/>
        <v>0</v>
      </c>
      <c r="N32" s="38" t="str">
        <f t="shared" si="6"/>
        <v/>
      </c>
      <c r="S32" s="54"/>
      <c r="T32" s="55"/>
    </row>
    <row r="33" spans="1:22" x14ac:dyDescent="0.25">
      <c r="A33" s="49" t="str">
        <f t="shared" si="7"/>
        <v/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2"/>
        <v>-20</v>
      </c>
      <c r="L33" s="42"/>
      <c r="M33" s="44">
        <f t="shared" si="3"/>
        <v>0</v>
      </c>
      <c r="N33" s="44" t="str">
        <f t="shared" si="6"/>
        <v/>
      </c>
    </row>
    <row r="34" spans="1:22" x14ac:dyDescent="0.25">
      <c r="A34" s="50" t="str">
        <f t="shared" si="7"/>
        <v/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2"/>
        <v>-20</v>
      </c>
      <c r="L34" s="36"/>
      <c r="M34" s="38">
        <f t="shared" si="3"/>
        <v>0</v>
      </c>
      <c r="N34" s="38" t="str">
        <f t="shared" si="6"/>
        <v/>
      </c>
    </row>
    <row r="35" spans="1:22" x14ac:dyDescent="0.25">
      <c r="A35" s="49" t="str">
        <f t="shared" si="7"/>
        <v/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2"/>
        <v>-20</v>
      </c>
      <c r="L35" s="42"/>
      <c r="M35" s="44">
        <f t="shared" si="3"/>
        <v>0</v>
      </c>
      <c r="N35" s="44" t="str">
        <f t="shared" si="6"/>
        <v/>
      </c>
    </row>
    <row r="36" spans="1:22" x14ac:dyDescent="0.25">
      <c r="A36" s="50" t="str">
        <f t="shared" si="7"/>
        <v/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2"/>
        <v>-20</v>
      </c>
      <c r="L36" s="36"/>
      <c r="M36" s="38">
        <f t="shared" si="3"/>
        <v>0</v>
      </c>
      <c r="N36" s="38" t="str">
        <f t="shared" si="6"/>
        <v/>
      </c>
      <c r="S36" s="54"/>
      <c r="T36" s="55"/>
    </row>
    <row r="37" spans="1:22" x14ac:dyDescent="0.25">
      <c r="A37" s="49" t="str">
        <f t="shared" si="7"/>
        <v/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2"/>
        <v>-20</v>
      </c>
      <c r="L37" s="42"/>
      <c r="M37" s="44">
        <f t="shared" si="3"/>
        <v>0</v>
      </c>
      <c r="N37" s="44" t="str">
        <f t="shared" si="6"/>
        <v/>
      </c>
    </row>
    <row r="38" spans="1:22" x14ac:dyDescent="0.25">
      <c r="A38" s="50" t="str">
        <f t="shared" si="7"/>
        <v/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2"/>
        <v>-30</v>
      </c>
      <c r="L38" s="36"/>
      <c r="M38" s="38">
        <f t="shared" si="3"/>
        <v>0</v>
      </c>
      <c r="N38" s="38" t="str">
        <f t="shared" si="6"/>
        <v/>
      </c>
    </row>
    <row r="39" spans="1:22" x14ac:dyDescent="0.25">
      <c r="A39" s="49" t="str">
        <f t="shared" si="7"/>
        <v/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2"/>
        <v>-30</v>
      </c>
      <c r="L39" s="42"/>
      <c r="M39" s="44">
        <f t="shared" si="3"/>
        <v>0</v>
      </c>
      <c r="N39" s="44" t="str">
        <f t="shared" si="6"/>
        <v/>
      </c>
    </row>
    <row r="40" spans="1:22" x14ac:dyDescent="0.25">
      <c r="A40" s="50" t="str">
        <f t="shared" si="7"/>
        <v/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2"/>
        <v>-30</v>
      </c>
      <c r="L40" s="36"/>
      <c r="M40" s="38">
        <f t="shared" si="3"/>
        <v>0</v>
      </c>
      <c r="N40" s="38" t="str">
        <f t="shared" si="6"/>
        <v/>
      </c>
    </row>
    <row r="41" spans="1:22" x14ac:dyDescent="0.25">
      <c r="A41" s="49" t="str">
        <f t="shared" si="7"/>
        <v/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2"/>
        <v>-30</v>
      </c>
      <c r="L41" s="42"/>
      <c r="M41" s="44">
        <f t="shared" si="3"/>
        <v>0</v>
      </c>
      <c r="N41" s="44" t="str">
        <f t="shared" si="6"/>
        <v/>
      </c>
      <c r="T41" s="56"/>
    </row>
    <row r="42" spans="1:22" x14ac:dyDescent="0.25">
      <c r="A42" s="50" t="str">
        <f t="shared" si="7"/>
        <v/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2"/>
        <v>-30</v>
      </c>
      <c r="L42" s="36"/>
      <c r="M42" s="38">
        <f t="shared" si="3"/>
        <v>0</v>
      </c>
      <c r="N42" s="38" t="str">
        <f t="shared" si="6"/>
        <v/>
      </c>
    </row>
    <row r="43" spans="1:22" x14ac:dyDescent="0.25">
      <c r="A43" s="49" t="str">
        <f t="shared" si="7"/>
        <v/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2"/>
        <v>-30</v>
      </c>
      <c r="L43" s="42"/>
      <c r="M43" s="44">
        <f t="shared" si="3"/>
        <v>0</v>
      </c>
      <c r="N43" s="44" t="str">
        <f t="shared" si="6"/>
        <v/>
      </c>
    </row>
    <row r="44" spans="1:22" x14ac:dyDescent="0.25">
      <c r="A44" s="50" t="str">
        <f t="shared" si="7"/>
        <v/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2"/>
        <v>-30</v>
      </c>
      <c r="L44" s="36"/>
      <c r="M44" s="38">
        <f t="shared" si="3"/>
        <v>0</v>
      </c>
      <c r="N44" s="38" t="str">
        <f t="shared" si="6"/>
        <v/>
      </c>
    </row>
    <row r="45" spans="1:22" x14ac:dyDescent="0.25">
      <c r="A45" s="49" t="str">
        <f t="shared" si="7"/>
        <v/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2"/>
        <v>-30</v>
      </c>
      <c r="L45" s="42"/>
      <c r="M45" s="44">
        <f t="shared" si="3"/>
        <v>0</v>
      </c>
      <c r="N45" s="44" t="str">
        <f t="shared" si="6"/>
        <v/>
      </c>
    </row>
    <row r="46" spans="1:22" x14ac:dyDescent="0.25">
      <c r="A46" s="50" t="str">
        <f t="shared" si="7"/>
        <v/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2"/>
        <v>-30</v>
      </c>
      <c r="L46" s="36"/>
      <c r="M46" s="38">
        <f t="shared" si="3"/>
        <v>0</v>
      </c>
      <c r="N46" s="38" t="str">
        <f t="shared" si="6"/>
        <v/>
      </c>
      <c r="S46" s="14">
        <f>LOG($H$2,2)</f>
        <v>2.3219280948873622</v>
      </c>
      <c r="U46" s="19">
        <f>LOG(H38,2)</f>
        <v>5.0443941193584534</v>
      </c>
      <c r="V46" s="19">
        <f>S46-U46</f>
        <v>-2.7224660244710912</v>
      </c>
    </row>
    <row r="47" spans="1:22" x14ac:dyDescent="0.25">
      <c r="A47" s="49" t="str">
        <f t="shared" si="7"/>
        <v/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2"/>
        <v>-30</v>
      </c>
      <c r="L47" s="42"/>
      <c r="M47" s="44">
        <f t="shared" si="3"/>
        <v>0</v>
      </c>
      <c r="N47" s="44" t="str">
        <f t="shared" si="6"/>
        <v/>
      </c>
    </row>
    <row r="48" spans="1:22" x14ac:dyDescent="0.25">
      <c r="A48" s="50" t="str">
        <f t="shared" si="7"/>
        <v/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2"/>
        <v>-30</v>
      </c>
      <c r="L48" s="36"/>
      <c r="M48" s="38">
        <f t="shared" si="3"/>
        <v>0</v>
      </c>
      <c r="N48" s="38" t="str">
        <f t="shared" si="6"/>
        <v/>
      </c>
    </row>
    <row r="49" spans="1:14" x14ac:dyDescent="0.25">
      <c r="A49" s="49" t="str">
        <f t="shared" si="7"/>
        <v/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2"/>
        <v>-30</v>
      </c>
      <c r="L49" s="42"/>
      <c r="M49" s="44">
        <f t="shared" si="3"/>
        <v>0</v>
      </c>
      <c r="N49" s="44" t="str">
        <f t="shared" si="6"/>
        <v/>
      </c>
    </row>
    <row r="50" spans="1:14" x14ac:dyDescent="0.25">
      <c r="A50" s="50" t="str">
        <f t="shared" si="7"/>
        <v/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2"/>
        <v>-30</v>
      </c>
      <c r="L50" s="36"/>
      <c r="M50" s="38">
        <f t="shared" si="3"/>
        <v>0</v>
      </c>
      <c r="N50" s="38" t="str">
        <f t="shared" si="6"/>
        <v/>
      </c>
    </row>
    <row r="51" spans="1:14" x14ac:dyDescent="0.25">
      <c r="A51" s="49" t="str">
        <f t="shared" si="7"/>
        <v/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2"/>
        <v>-30</v>
      </c>
      <c r="L51" s="42"/>
      <c r="M51" s="44">
        <f t="shared" si="3"/>
        <v>0</v>
      </c>
      <c r="N51" s="44" t="str">
        <f t="shared" si="6"/>
        <v/>
      </c>
    </row>
    <row r="52" spans="1:14" x14ac:dyDescent="0.25">
      <c r="A52" s="50" t="str">
        <f t="shared" si="7"/>
        <v/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2"/>
        <v>-30</v>
      </c>
      <c r="L52" s="36"/>
      <c r="M52" s="38">
        <f t="shared" si="3"/>
        <v>0</v>
      </c>
      <c r="N52" s="38" t="str">
        <f t="shared" si="6"/>
        <v/>
      </c>
    </row>
    <row r="53" spans="1:14" x14ac:dyDescent="0.25">
      <c r="A53" s="49" t="str">
        <f t="shared" si="7"/>
        <v/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2"/>
        <v>-30</v>
      </c>
      <c r="L53" s="42"/>
      <c r="M53" s="44">
        <f t="shared" si="3"/>
        <v>0</v>
      </c>
      <c r="N53" s="44" t="str">
        <f t="shared" si="6"/>
        <v/>
      </c>
    </row>
    <row r="54" spans="1:14" x14ac:dyDescent="0.25">
      <c r="A54" s="50" t="str">
        <f t="shared" si="7"/>
        <v/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2"/>
        <v>-30</v>
      </c>
      <c r="L54" s="36"/>
      <c r="M54" s="38">
        <f t="shared" si="3"/>
        <v>0</v>
      </c>
      <c r="N54" s="38" t="str">
        <f t="shared" si="6"/>
        <v/>
      </c>
    </row>
    <row r="55" spans="1:14" x14ac:dyDescent="0.25">
      <c r="A55" s="49" t="str">
        <f t="shared" si="7"/>
        <v/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2"/>
        <v>-30</v>
      </c>
      <c r="L55" s="42"/>
      <c r="M55" s="44">
        <f t="shared" si="3"/>
        <v>0</v>
      </c>
      <c r="N55" s="44" t="str">
        <f t="shared" si="6"/>
        <v/>
      </c>
    </row>
    <row r="56" spans="1:14" x14ac:dyDescent="0.25">
      <c r="A56" s="50" t="str">
        <f t="shared" si="7"/>
        <v/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2"/>
        <v>-30</v>
      </c>
      <c r="L56" s="36"/>
      <c r="M56" s="38">
        <f t="shared" si="3"/>
        <v>0</v>
      </c>
      <c r="N56" s="38" t="str">
        <f t="shared" si="6"/>
        <v/>
      </c>
    </row>
    <row r="57" spans="1:14" x14ac:dyDescent="0.25">
      <c r="A57" s="49" t="str">
        <f t="shared" si="7"/>
        <v/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2"/>
        <v>-30</v>
      </c>
      <c r="L57" s="42"/>
      <c r="M57" s="44">
        <f t="shared" si="3"/>
        <v>0</v>
      </c>
      <c r="N57" s="44" t="str">
        <f t="shared" si="6"/>
        <v/>
      </c>
    </row>
    <row r="58" spans="1:14" x14ac:dyDescent="0.25">
      <c r="A58" s="50" t="str">
        <f t="shared" si="7"/>
        <v/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2"/>
        <v>-30</v>
      </c>
      <c r="L58" s="36"/>
      <c r="M58" s="38">
        <f t="shared" si="3"/>
        <v>0</v>
      </c>
      <c r="N58" s="38" t="str">
        <f t="shared" si="6"/>
        <v/>
      </c>
    </row>
    <row r="59" spans="1:14" x14ac:dyDescent="0.25">
      <c r="A59" s="49" t="str">
        <f t="shared" si="7"/>
        <v/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2"/>
        <v>-30</v>
      </c>
      <c r="L59" s="42"/>
      <c r="M59" s="44">
        <f t="shared" si="3"/>
        <v>0</v>
      </c>
      <c r="N59" s="44" t="str">
        <f t="shared" si="6"/>
        <v/>
      </c>
    </row>
    <row r="60" spans="1:14" x14ac:dyDescent="0.25">
      <c r="A60" s="50" t="str">
        <f t="shared" si="7"/>
        <v/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2"/>
        <v>-30</v>
      </c>
      <c r="L60" s="36"/>
      <c r="M60" s="38">
        <f t="shared" si="3"/>
        <v>0</v>
      </c>
      <c r="N60" s="38" t="str">
        <f t="shared" si="6"/>
        <v/>
      </c>
    </row>
    <row r="61" spans="1:14" x14ac:dyDescent="0.25">
      <c r="A61" s="49" t="str">
        <f t="shared" si="7"/>
        <v/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2"/>
        <v>-30</v>
      </c>
      <c r="L61" s="42"/>
      <c r="M61" s="44">
        <f t="shared" si="3"/>
        <v>0</v>
      </c>
      <c r="N61" s="44" t="str">
        <f t="shared" si="6"/>
        <v/>
      </c>
    </row>
    <row r="62" spans="1:14" x14ac:dyDescent="0.25">
      <c r="A62" s="50" t="str">
        <f t="shared" si="7"/>
        <v/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2"/>
        <v>-30</v>
      </c>
      <c r="L62" s="36"/>
      <c r="M62" s="38">
        <f t="shared" si="3"/>
        <v>0</v>
      </c>
      <c r="N62" s="38" t="str">
        <f t="shared" si="6"/>
        <v/>
      </c>
    </row>
    <row r="63" spans="1:14" x14ac:dyDescent="0.25">
      <c r="A63" s="49" t="str">
        <f t="shared" si="7"/>
        <v/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2"/>
        <v>-30</v>
      </c>
      <c r="L63" s="42"/>
      <c r="M63" s="44">
        <f t="shared" si="3"/>
        <v>0</v>
      </c>
      <c r="N63" s="44" t="str">
        <f t="shared" si="6"/>
        <v/>
      </c>
    </row>
    <row r="64" spans="1:14" x14ac:dyDescent="0.25">
      <c r="A64" s="50" t="str">
        <f t="shared" si="7"/>
        <v/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2"/>
        <v>-30</v>
      </c>
      <c r="L64" s="36"/>
      <c r="M64" s="38">
        <f t="shared" si="3"/>
        <v>0</v>
      </c>
      <c r="N64" s="38" t="str">
        <f t="shared" si="6"/>
        <v/>
      </c>
    </row>
    <row r="65" spans="1:14" x14ac:dyDescent="0.25">
      <c r="A65" s="49" t="str">
        <f t="shared" si="7"/>
        <v/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2"/>
        <v>-30</v>
      </c>
      <c r="L65" s="42"/>
      <c r="M65" s="44">
        <f t="shared" si="3"/>
        <v>0</v>
      </c>
      <c r="N65" s="44" t="str">
        <f t="shared" si="6"/>
        <v/>
      </c>
    </row>
    <row r="66" spans="1:14" x14ac:dyDescent="0.25">
      <c r="A66" s="57" t="str">
        <f t="shared" si="7"/>
        <v/>
      </c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2"/>
        <v>-30</v>
      </c>
      <c r="L66" s="36"/>
      <c r="M66" s="38">
        <f t="shared" si="3"/>
        <v>0</v>
      </c>
      <c r="N66" s="38" t="str">
        <f t="shared" si="6"/>
        <v/>
      </c>
    </row>
    <row r="67" spans="1:14" x14ac:dyDescent="0.25">
      <c r="A67" s="57" t="str">
        <f t="shared" si="7"/>
        <v/>
      </c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2"/>
        <v>-30</v>
      </c>
      <c r="L67" s="36"/>
      <c r="M67" s="38">
        <f t="shared" si="3"/>
        <v>0</v>
      </c>
      <c r="N67" s="38" t="str">
        <f t="shared" si="6"/>
        <v/>
      </c>
    </row>
    <row r="68" spans="1:14" x14ac:dyDescent="0.25">
      <c r="A68" s="57" t="str">
        <f t="shared" si="7"/>
        <v/>
      </c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2"/>
        <v>-30</v>
      </c>
      <c r="L68" s="36"/>
      <c r="M68" s="38">
        <f t="shared" si="3"/>
        <v>0</v>
      </c>
      <c r="N68" s="38" t="str">
        <f t="shared" si="6"/>
        <v/>
      </c>
    </row>
    <row r="69" spans="1:14" x14ac:dyDescent="0.25">
      <c r="A69" s="57" t="str">
        <f t="shared" si="7"/>
        <v/>
      </c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2"/>
        <v>-30</v>
      </c>
      <c r="L69" s="36"/>
      <c r="M69" s="38">
        <f t="shared" si="3"/>
        <v>0</v>
      </c>
      <c r="N69" s="38" t="str">
        <f t="shared" si="6"/>
        <v/>
      </c>
    </row>
    <row r="70" spans="1:14" x14ac:dyDescent="0.25">
      <c r="A70" s="57" t="str">
        <f t="shared" si="7"/>
        <v/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5"/>
        <v>-4</v>
      </c>
      <c r="K70" s="36">
        <f t="shared" ref="K70:K133" si="10">J70*$J$2</f>
        <v>-40</v>
      </c>
      <c r="L70" s="36"/>
      <c r="M70" s="38">
        <f t="shared" ref="M70:M133" si="11">IF(I70&lt;&gt;"",K70+I70+L70,0)</f>
        <v>0</v>
      </c>
      <c r="N70" s="38" t="str">
        <f t="shared" si="6"/>
        <v/>
      </c>
    </row>
    <row r="71" spans="1:14" x14ac:dyDescent="0.25">
      <c r="A71" s="57" t="str">
        <f t="shared" ref="A71:A134" si="12">N71</f>
        <v/>
      </c>
      <c r="G71" s="14"/>
      <c r="H71" s="36">
        <v>66</v>
      </c>
      <c r="I71" s="37" t="str">
        <f t="shared" si="9"/>
        <v/>
      </c>
      <c r="J71" s="36">
        <f t="shared" ref="J71:J134" si="13">INT(LOG($H$2,2))-ROUNDUP(LOG(H71,2),0)+IF(OR($H$2=1,$H$2=2,$H$2=4,$H$2=8,$H$2=16,$H$2=32,$H$2=64,$H$2=128,$H$2=256),0,1)</f>
        <v>-4</v>
      </c>
      <c r="K71" s="36">
        <f t="shared" si="10"/>
        <v>-40</v>
      </c>
      <c r="L71" s="36"/>
      <c r="M71" s="38">
        <f t="shared" si="11"/>
        <v>0</v>
      </c>
      <c r="N71" s="38" t="str">
        <f t="shared" ref="N71:N134" si="14">IF(I71&lt;&gt;"",M71*L$2,"")</f>
        <v/>
      </c>
    </row>
    <row r="72" spans="1:14" x14ac:dyDescent="0.25">
      <c r="A72" s="57" t="str">
        <f t="shared" si="12"/>
        <v/>
      </c>
      <c r="G72" s="14"/>
      <c r="H72" s="36">
        <v>67</v>
      </c>
      <c r="I72" s="37" t="str">
        <f t="shared" si="9"/>
        <v/>
      </c>
      <c r="J72" s="36">
        <f t="shared" si="13"/>
        <v>-4</v>
      </c>
      <c r="K72" s="36">
        <f t="shared" si="10"/>
        <v>-40</v>
      </c>
      <c r="L72" s="36"/>
      <c r="M72" s="38">
        <f t="shared" si="11"/>
        <v>0</v>
      </c>
      <c r="N72" s="38" t="str">
        <f t="shared" si="14"/>
        <v/>
      </c>
    </row>
    <row r="73" spans="1:14" x14ac:dyDescent="0.25">
      <c r="A73" s="57" t="str">
        <f t="shared" si="12"/>
        <v/>
      </c>
      <c r="G73" s="14"/>
      <c r="H73" s="36">
        <v>68</v>
      </c>
      <c r="I73" s="37" t="str">
        <f t="shared" si="9"/>
        <v/>
      </c>
      <c r="J73" s="36">
        <f t="shared" si="13"/>
        <v>-4</v>
      </c>
      <c r="K73" s="36">
        <f t="shared" si="10"/>
        <v>-40</v>
      </c>
      <c r="L73" s="36"/>
      <c r="M73" s="38">
        <f t="shared" si="11"/>
        <v>0</v>
      </c>
      <c r="N73" s="38" t="str">
        <f t="shared" si="14"/>
        <v/>
      </c>
    </row>
    <row r="74" spans="1:14" x14ac:dyDescent="0.25">
      <c r="A74" s="57" t="str">
        <f t="shared" si="12"/>
        <v/>
      </c>
      <c r="G74" s="14"/>
      <c r="H74" s="36">
        <v>69</v>
      </c>
      <c r="I74" s="37" t="str">
        <f t="shared" si="9"/>
        <v/>
      </c>
      <c r="J74" s="36">
        <f t="shared" si="13"/>
        <v>-4</v>
      </c>
      <c r="K74" s="36">
        <f t="shared" si="10"/>
        <v>-40</v>
      </c>
      <c r="L74" s="36"/>
      <c r="M74" s="38">
        <f t="shared" si="11"/>
        <v>0</v>
      </c>
      <c r="N74" s="38" t="str">
        <f t="shared" si="14"/>
        <v/>
      </c>
    </row>
    <row r="75" spans="1:14" x14ac:dyDescent="0.25">
      <c r="A75" s="57" t="str">
        <f t="shared" si="12"/>
        <v/>
      </c>
      <c r="G75" s="14"/>
      <c r="H75" s="36">
        <v>70</v>
      </c>
      <c r="I75" s="37" t="str">
        <f t="shared" si="9"/>
        <v/>
      </c>
      <c r="J75" s="36">
        <f t="shared" si="13"/>
        <v>-4</v>
      </c>
      <c r="K75" s="36">
        <f t="shared" si="10"/>
        <v>-40</v>
      </c>
      <c r="L75" s="36"/>
      <c r="M75" s="38">
        <f t="shared" si="11"/>
        <v>0</v>
      </c>
      <c r="N75" s="38" t="str">
        <f t="shared" si="14"/>
        <v/>
      </c>
    </row>
    <row r="76" spans="1:14" x14ac:dyDescent="0.25">
      <c r="A76" s="57" t="str">
        <f t="shared" si="12"/>
        <v/>
      </c>
      <c r="G76" s="14"/>
      <c r="H76" s="36">
        <v>71</v>
      </c>
      <c r="I76" s="37" t="str">
        <f t="shared" si="9"/>
        <v/>
      </c>
      <c r="J76" s="36">
        <f t="shared" si="13"/>
        <v>-4</v>
      </c>
      <c r="K76" s="36">
        <f t="shared" si="10"/>
        <v>-40</v>
      </c>
      <c r="L76" s="36"/>
      <c r="M76" s="38">
        <f t="shared" si="11"/>
        <v>0</v>
      </c>
      <c r="N76" s="38" t="str">
        <f t="shared" si="14"/>
        <v/>
      </c>
    </row>
    <row r="77" spans="1:14" x14ac:dyDescent="0.25">
      <c r="A77" s="57" t="str">
        <f t="shared" si="12"/>
        <v/>
      </c>
      <c r="G77" s="14"/>
      <c r="H77" s="36">
        <v>72</v>
      </c>
      <c r="I77" s="37" t="str">
        <f t="shared" si="9"/>
        <v/>
      </c>
      <c r="J77" s="36">
        <f t="shared" si="13"/>
        <v>-4</v>
      </c>
      <c r="K77" s="36">
        <f t="shared" si="10"/>
        <v>-40</v>
      </c>
      <c r="L77" s="36"/>
      <c r="M77" s="38">
        <f t="shared" si="11"/>
        <v>0</v>
      </c>
      <c r="N77" s="38" t="str">
        <f t="shared" si="14"/>
        <v/>
      </c>
    </row>
    <row r="78" spans="1:14" x14ac:dyDescent="0.25">
      <c r="A78" s="57" t="str">
        <f t="shared" si="12"/>
        <v/>
      </c>
      <c r="G78" s="14"/>
      <c r="H78" s="36">
        <v>73</v>
      </c>
      <c r="I78" s="37" t="str">
        <f t="shared" si="9"/>
        <v/>
      </c>
      <c r="J78" s="36">
        <f t="shared" si="13"/>
        <v>-4</v>
      </c>
      <c r="K78" s="36">
        <f t="shared" si="10"/>
        <v>-40</v>
      </c>
      <c r="L78" s="36"/>
      <c r="M78" s="38">
        <f t="shared" si="11"/>
        <v>0</v>
      </c>
      <c r="N78" s="38" t="str">
        <f t="shared" si="14"/>
        <v/>
      </c>
    </row>
    <row r="79" spans="1:14" x14ac:dyDescent="0.25">
      <c r="A79" s="57" t="str">
        <f t="shared" si="12"/>
        <v/>
      </c>
      <c r="G79" s="14"/>
      <c r="H79" s="36">
        <v>74</v>
      </c>
      <c r="I79" s="37" t="str">
        <f t="shared" si="9"/>
        <v/>
      </c>
      <c r="J79" s="36">
        <f t="shared" si="13"/>
        <v>-4</v>
      </c>
      <c r="K79" s="36">
        <f t="shared" si="10"/>
        <v>-40</v>
      </c>
      <c r="L79" s="36"/>
      <c r="M79" s="38">
        <f t="shared" si="11"/>
        <v>0</v>
      </c>
      <c r="N79" s="38" t="str">
        <f t="shared" si="14"/>
        <v/>
      </c>
    </row>
    <row r="80" spans="1:14" x14ac:dyDescent="0.25">
      <c r="A80" s="57" t="str">
        <f t="shared" si="12"/>
        <v/>
      </c>
      <c r="G80" s="14"/>
      <c r="H80" s="36">
        <v>75</v>
      </c>
      <c r="I80" s="37" t="str">
        <f t="shared" si="9"/>
        <v/>
      </c>
      <c r="J80" s="36">
        <f t="shared" si="13"/>
        <v>-4</v>
      </c>
      <c r="K80" s="36">
        <f t="shared" si="10"/>
        <v>-40</v>
      </c>
      <c r="L80" s="36"/>
      <c r="M80" s="38">
        <f t="shared" si="11"/>
        <v>0</v>
      </c>
      <c r="N80" s="38" t="str">
        <f t="shared" si="14"/>
        <v/>
      </c>
    </row>
    <row r="81" spans="1:14" x14ac:dyDescent="0.25">
      <c r="A81" s="57" t="str">
        <f t="shared" si="12"/>
        <v/>
      </c>
      <c r="G81" s="14"/>
      <c r="H81" s="36">
        <v>76</v>
      </c>
      <c r="I81" s="37" t="str">
        <f t="shared" si="9"/>
        <v/>
      </c>
      <c r="J81" s="36">
        <f t="shared" si="13"/>
        <v>-4</v>
      </c>
      <c r="K81" s="36">
        <f t="shared" si="10"/>
        <v>-40</v>
      </c>
      <c r="L81" s="36"/>
      <c r="M81" s="38">
        <f t="shared" si="11"/>
        <v>0</v>
      </c>
      <c r="N81" s="38" t="str">
        <f t="shared" si="14"/>
        <v/>
      </c>
    </row>
    <row r="82" spans="1:14" x14ac:dyDescent="0.25">
      <c r="A82" s="57" t="str">
        <f t="shared" si="12"/>
        <v/>
      </c>
      <c r="G82" s="14"/>
      <c r="H82" s="36">
        <v>77</v>
      </c>
      <c r="I82" s="37" t="str">
        <f t="shared" si="9"/>
        <v/>
      </c>
      <c r="J82" s="36">
        <f t="shared" si="13"/>
        <v>-4</v>
      </c>
      <c r="K82" s="36">
        <f t="shared" si="10"/>
        <v>-40</v>
      </c>
      <c r="L82" s="36"/>
      <c r="M82" s="38">
        <f t="shared" si="11"/>
        <v>0</v>
      </c>
      <c r="N82" s="38" t="str">
        <f t="shared" si="14"/>
        <v/>
      </c>
    </row>
    <row r="83" spans="1:14" x14ac:dyDescent="0.25">
      <c r="A83" s="57" t="str">
        <f t="shared" si="12"/>
        <v/>
      </c>
      <c r="G83" s="14"/>
      <c r="H83" s="36">
        <v>78</v>
      </c>
      <c r="I83" s="37" t="str">
        <f t="shared" si="9"/>
        <v/>
      </c>
      <c r="J83" s="36">
        <f t="shared" si="13"/>
        <v>-4</v>
      </c>
      <c r="K83" s="36">
        <f t="shared" si="10"/>
        <v>-40</v>
      </c>
      <c r="L83" s="36"/>
      <c r="M83" s="38">
        <f t="shared" si="11"/>
        <v>0</v>
      </c>
      <c r="N83" s="38" t="str">
        <f t="shared" si="14"/>
        <v/>
      </c>
    </row>
    <row r="84" spans="1:14" x14ac:dyDescent="0.25">
      <c r="A84" s="57" t="str">
        <f t="shared" si="12"/>
        <v/>
      </c>
      <c r="G84" s="14"/>
      <c r="H84" s="36">
        <v>79</v>
      </c>
      <c r="I84" s="37" t="str">
        <f t="shared" si="9"/>
        <v/>
      </c>
      <c r="J84" s="36">
        <f t="shared" si="13"/>
        <v>-4</v>
      </c>
      <c r="K84" s="36">
        <f t="shared" si="10"/>
        <v>-40</v>
      </c>
      <c r="L84" s="36"/>
      <c r="M84" s="38">
        <f t="shared" si="11"/>
        <v>0</v>
      </c>
      <c r="N84" s="38" t="str">
        <f t="shared" si="14"/>
        <v/>
      </c>
    </row>
    <row r="85" spans="1:14" x14ac:dyDescent="0.25">
      <c r="A85" s="57" t="str">
        <f t="shared" si="12"/>
        <v/>
      </c>
      <c r="G85" s="14"/>
      <c r="H85" s="36">
        <v>80</v>
      </c>
      <c r="I85" s="37" t="str">
        <f t="shared" si="9"/>
        <v/>
      </c>
      <c r="J85" s="36">
        <f t="shared" si="13"/>
        <v>-4</v>
      </c>
      <c r="K85" s="36">
        <f t="shared" si="10"/>
        <v>-40</v>
      </c>
      <c r="L85" s="36"/>
      <c r="M85" s="38">
        <f t="shared" si="11"/>
        <v>0</v>
      </c>
      <c r="N85" s="38" t="str">
        <f t="shared" si="14"/>
        <v/>
      </c>
    </row>
    <row r="86" spans="1:14" x14ac:dyDescent="0.25">
      <c r="A86" s="57" t="str">
        <f t="shared" si="12"/>
        <v/>
      </c>
      <c r="G86" s="14"/>
      <c r="H86" s="36">
        <v>81</v>
      </c>
      <c r="I86" s="37" t="str">
        <f t="shared" si="9"/>
        <v/>
      </c>
      <c r="J86" s="36">
        <f t="shared" si="13"/>
        <v>-4</v>
      </c>
      <c r="K86" s="36">
        <f t="shared" si="10"/>
        <v>-40</v>
      </c>
      <c r="L86" s="36"/>
      <c r="M86" s="38">
        <f t="shared" si="11"/>
        <v>0</v>
      </c>
      <c r="N86" s="38" t="str">
        <f t="shared" si="14"/>
        <v/>
      </c>
    </row>
    <row r="87" spans="1:14" x14ac:dyDescent="0.25">
      <c r="A87" s="57" t="str">
        <f t="shared" si="12"/>
        <v/>
      </c>
      <c r="G87" s="14"/>
      <c r="H87" s="36">
        <v>82</v>
      </c>
      <c r="I87" s="37" t="str">
        <f t="shared" si="9"/>
        <v/>
      </c>
      <c r="J87" s="36">
        <f t="shared" si="13"/>
        <v>-4</v>
      </c>
      <c r="K87" s="36">
        <f t="shared" si="10"/>
        <v>-40</v>
      </c>
      <c r="L87" s="36"/>
      <c r="M87" s="38">
        <f t="shared" si="11"/>
        <v>0</v>
      </c>
      <c r="N87" s="38" t="str">
        <f t="shared" si="14"/>
        <v/>
      </c>
    </row>
    <row r="88" spans="1:14" x14ac:dyDescent="0.25">
      <c r="A88" s="57" t="str">
        <f t="shared" si="12"/>
        <v/>
      </c>
      <c r="G88" s="14"/>
      <c r="H88" s="36">
        <v>83</v>
      </c>
      <c r="I88" s="37" t="str">
        <f t="shared" si="9"/>
        <v/>
      </c>
      <c r="J88" s="36">
        <f t="shared" si="13"/>
        <v>-4</v>
      </c>
      <c r="K88" s="36">
        <f t="shared" si="10"/>
        <v>-40</v>
      </c>
      <c r="L88" s="36"/>
      <c r="M88" s="38">
        <f t="shared" si="11"/>
        <v>0</v>
      </c>
      <c r="N88" s="38" t="str">
        <f t="shared" si="14"/>
        <v/>
      </c>
    </row>
    <row r="89" spans="1:14" x14ac:dyDescent="0.25">
      <c r="A89" s="57" t="str">
        <f t="shared" si="12"/>
        <v/>
      </c>
      <c r="G89" s="14"/>
      <c r="H89" s="36">
        <v>84</v>
      </c>
      <c r="I89" s="37" t="str">
        <f t="shared" si="9"/>
        <v/>
      </c>
      <c r="J89" s="36">
        <f t="shared" si="13"/>
        <v>-4</v>
      </c>
      <c r="K89" s="36">
        <f t="shared" si="10"/>
        <v>-40</v>
      </c>
      <c r="L89" s="36"/>
      <c r="M89" s="38">
        <f t="shared" si="11"/>
        <v>0</v>
      </c>
      <c r="N89" s="38" t="str">
        <f t="shared" si="14"/>
        <v/>
      </c>
    </row>
    <row r="90" spans="1:14" x14ac:dyDescent="0.25">
      <c r="A90" s="57" t="str">
        <f t="shared" si="12"/>
        <v/>
      </c>
      <c r="G90" s="14"/>
      <c r="H90" s="36">
        <v>85</v>
      </c>
      <c r="I90" s="37" t="str">
        <f t="shared" si="9"/>
        <v/>
      </c>
      <c r="J90" s="36">
        <f t="shared" si="13"/>
        <v>-4</v>
      </c>
      <c r="K90" s="36">
        <f t="shared" si="10"/>
        <v>-40</v>
      </c>
      <c r="L90" s="36"/>
      <c r="M90" s="38">
        <f t="shared" si="11"/>
        <v>0</v>
      </c>
      <c r="N90" s="38" t="str">
        <f t="shared" si="14"/>
        <v/>
      </c>
    </row>
    <row r="91" spans="1:14" x14ac:dyDescent="0.25">
      <c r="A91" s="57" t="str">
        <f t="shared" si="12"/>
        <v/>
      </c>
      <c r="G91" s="14"/>
      <c r="H91" s="36">
        <v>86</v>
      </c>
      <c r="I91" s="37" t="str">
        <f t="shared" si="9"/>
        <v/>
      </c>
      <c r="J91" s="36">
        <f t="shared" si="13"/>
        <v>-4</v>
      </c>
      <c r="K91" s="36">
        <f t="shared" si="10"/>
        <v>-40</v>
      </c>
      <c r="L91" s="36"/>
      <c r="M91" s="38">
        <f t="shared" si="11"/>
        <v>0</v>
      </c>
      <c r="N91" s="38" t="str">
        <f t="shared" si="14"/>
        <v/>
      </c>
    </row>
    <row r="92" spans="1:14" x14ac:dyDescent="0.25">
      <c r="A92" s="57" t="str">
        <f t="shared" si="12"/>
        <v/>
      </c>
      <c r="G92" s="14"/>
      <c r="H92" s="36">
        <v>87</v>
      </c>
      <c r="I92" s="37" t="str">
        <f t="shared" si="9"/>
        <v/>
      </c>
      <c r="J92" s="36">
        <f t="shared" si="13"/>
        <v>-4</v>
      </c>
      <c r="K92" s="36">
        <f t="shared" si="10"/>
        <v>-40</v>
      </c>
      <c r="L92" s="36"/>
      <c r="M92" s="38">
        <f t="shared" si="11"/>
        <v>0</v>
      </c>
      <c r="N92" s="38" t="str">
        <f t="shared" si="14"/>
        <v/>
      </c>
    </row>
    <row r="93" spans="1:14" x14ac:dyDescent="0.25">
      <c r="A93" s="57" t="str">
        <f t="shared" si="12"/>
        <v/>
      </c>
      <c r="G93" s="14"/>
      <c r="H93" s="36">
        <v>88</v>
      </c>
      <c r="I93" s="37" t="str">
        <f t="shared" si="9"/>
        <v/>
      </c>
      <c r="J93" s="36">
        <f t="shared" si="13"/>
        <v>-4</v>
      </c>
      <c r="K93" s="36">
        <f t="shared" si="10"/>
        <v>-40</v>
      </c>
      <c r="L93" s="36"/>
      <c r="M93" s="38">
        <f t="shared" si="11"/>
        <v>0</v>
      </c>
      <c r="N93" s="38" t="str">
        <f t="shared" si="14"/>
        <v/>
      </c>
    </row>
    <row r="94" spans="1:14" x14ac:dyDescent="0.25">
      <c r="A94" s="57" t="str">
        <f t="shared" si="12"/>
        <v/>
      </c>
      <c r="G94" s="14"/>
      <c r="H94" s="36">
        <v>89</v>
      </c>
      <c r="I94" s="37" t="str">
        <f t="shared" si="9"/>
        <v/>
      </c>
      <c r="J94" s="36">
        <f t="shared" si="13"/>
        <v>-4</v>
      </c>
      <c r="K94" s="36">
        <f t="shared" si="10"/>
        <v>-40</v>
      </c>
      <c r="L94" s="36"/>
      <c r="M94" s="38">
        <f t="shared" si="11"/>
        <v>0</v>
      </c>
      <c r="N94" s="38" t="str">
        <f t="shared" si="14"/>
        <v/>
      </c>
    </row>
    <row r="95" spans="1:14" x14ac:dyDescent="0.25">
      <c r="A95" s="57" t="str">
        <f t="shared" si="12"/>
        <v/>
      </c>
      <c r="G95" s="14"/>
      <c r="H95" s="36">
        <v>90</v>
      </c>
      <c r="I95" s="37" t="str">
        <f t="shared" si="9"/>
        <v/>
      </c>
      <c r="J95" s="36">
        <f t="shared" si="13"/>
        <v>-4</v>
      </c>
      <c r="K95" s="36">
        <f t="shared" si="10"/>
        <v>-40</v>
      </c>
      <c r="L95" s="36"/>
      <c r="M95" s="38">
        <f t="shared" si="11"/>
        <v>0</v>
      </c>
      <c r="N95" s="38" t="str">
        <f t="shared" si="14"/>
        <v/>
      </c>
    </row>
    <row r="96" spans="1:14" x14ac:dyDescent="0.25">
      <c r="A96" s="57" t="str">
        <f t="shared" si="12"/>
        <v/>
      </c>
      <c r="G96" s="14"/>
      <c r="H96" s="36">
        <v>91</v>
      </c>
      <c r="I96" s="37" t="str">
        <f t="shared" si="9"/>
        <v/>
      </c>
      <c r="J96" s="36">
        <f t="shared" si="13"/>
        <v>-4</v>
      </c>
      <c r="K96" s="36">
        <f t="shared" si="10"/>
        <v>-40</v>
      </c>
      <c r="L96" s="36"/>
      <c r="M96" s="38">
        <f t="shared" si="11"/>
        <v>0</v>
      </c>
      <c r="N96" s="38" t="str">
        <f t="shared" si="14"/>
        <v/>
      </c>
    </row>
    <row r="97" spans="1:14" x14ac:dyDescent="0.25">
      <c r="A97" s="57" t="str">
        <f t="shared" si="12"/>
        <v/>
      </c>
      <c r="G97" s="14"/>
      <c r="H97" s="36">
        <v>92</v>
      </c>
      <c r="I97" s="37" t="str">
        <f t="shared" si="9"/>
        <v/>
      </c>
      <c r="J97" s="36">
        <f t="shared" si="13"/>
        <v>-4</v>
      </c>
      <c r="K97" s="36">
        <f t="shared" si="10"/>
        <v>-40</v>
      </c>
      <c r="L97" s="36"/>
      <c r="M97" s="38">
        <f t="shared" si="11"/>
        <v>0</v>
      </c>
      <c r="N97" s="38" t="str">
        <f t="shared" si="14"/>
        <v/>
      </c>
    </row>
    <row r="98" spans="1:14" x14ac:dyDescent="0.25">
      <c r="A98" s="57" t="str">
        <f t="shared" si="12"/>
        <v/>
      </c>
      <c r="G98" s="14"/>
      <c r="H98" s="36">
        <v>93</v>
      </c>
      <c r="I98" s="37" t="str">
        <f t="shared" si="9"/>
        <v/>
      </c>
      <c r="J98" s="36">
        <f t="shared" si="13"/>
        <v>-4</v>
      </c>
      <c r="K98" s="36">
        <f t="shared" si="10"/>
        <v>-40</v>
      </c>
      <c r="L98" s="36"/>
      <c r="M98" s="38">
        <f t="shared" si="11"/>
        <v>0</v>
      </c>
      <c r="N98" s="38" t="str">
        <f t="shared" si="14"/>
        <v/>
      </c>
    </row>
    <row r="99" spans="1:14" x14ac:dyDescent="0.25">
      <c r="A99" s="57" t="str">
        <f t="shared" si="12"/>
        <v/>
      </c>
      <c r="G99" s="14"/>
      <c r="H99" s="36">
        <v>94</v>
      </c>
      <c r="I99" s="37" t="str">
        <f t="shared" si="9"/>
        <v/>
      </c>
      <c r="J99" s="36">
        <f t="shared" si="13"/>
        <v>-4</v>
      </c>
      <c r="K99" s="36">
        <f t="shared" si="10"/>
        <v>-40</v>
      </c>
      <c r="L99" s="36"/>
      <c r="M99" s="38">
        <f t="shared" si="11"/>
        <v>0</v>
      </c>
      <c r="N99" s="38" t="str">
        <f t="shared" si="14"/>
        <v/>
      </c>
    </row>
    <row r="100" spans="1:14" x14ac:dyDescent="0.25">
      <c r="A100" s="57" t="str">
        <f t="shared" si="12"/>
        <v/>
      </c>
      <c r="G100" s="14"/>
      <c r="H100" s="36">
        <v>95</v>
      </c>
      <c r="I100" s="37" t="str">
        <f t="shared" si="9"/>
        <v/>
      </c>
      <c r="J100" s="36">
        <f t="shared" si="13"/>
        <v>-4</v>
      </c>
      <c r="K100" s="36">
        <f t="shared" si="10"/>
        <v>-40</v>
      </c>
      <c r="L100" s="36"/>
      <c r="M100" s="38">
        <f t="shared" si="11"/>
        <v>0</v>
      </c>
      <c r="N100" s="38" t="str">
        <f t="shared" si="14"/>
        <v/>
      </c>
    </row>
    <row r="101" spans="1:14" x14ac:dyDescent="0.25">
      <c r="A101" s="57" t="str">
        <f t="shared" si="12"/>
        <v/>
      </c>
      <c r="G101" s="14"/>
      <c r="H101" s="36">
        <v>96</v>
      </c>
      <c r="I101" s="37" t="str">
        <f t="shared" si="9"/>
        <v/>
      </c>
      <c r="J101" s="36">
        <f t="shared" si="13"/>
        <v>-4</v>
      </c>
      <c r="K101" s="36">
        <f t="shared" si="10"/>
        <v>-40</v>
      </c>
      <c r="L101" s="36"/>
      <c r="M101" s="38">
        <f t="shared" si="11"/>
        <v>0</v>
      </c>
      <c r="N101" s="38" t="str">
        <f t="shared" si="14"/>
        <v/>
      </c>
    </row>
    <row r="102" spans="1:14" x14ac:dyDescent="0.25">
      <c r="A102" s="57" t="str">
        <f t="shared" si="12"/>
        <v/>
      </c>
      <c r="G102" s="14"/>
      <c r="H102" s="36">
        <v>97</v>
      </c>
      <c r="I102" s="37" t="str">
        <f t="shared" si="9"/>
        <v/>
      </c>
      <c r="J102" s="36">
        <f t="shared" si="13"/>
        <v>-4</v>
      </c>
      <c r="K102" s="36">
        <f t="shared" si="10"/>
        <v>-40</v>
      </c>
      <c r="L102" s="36"/>
      <c r="M102" s="38">
        <f t="shared" si="11"/>
        <v>0</v>
      </c>
      <c r="N102" s="38" t="str">
        <f t="shared" si="14"/>
        <v/>
      </c>
    </row>
    <row r="103" spans="1:14" x14ac:dyDescent="0.25">
      <c r="A103" s="57" t="str">
        <f t="shared" si="12"/>
        <v/>
      </c>
      <c r="G103" s="14"/>
      <c r="H103" s="36">
        <v>98</v>
      </c>
      <c r="I103" s="37" t="str">
        <f t="shared" si="9"/>
        <v/>
      </c>
      <c r="J103" s="36">
        <f t="shared" si="13"/>
        <v>-4</v>
      </c>
      <c r="K103" s="36">
        <f t="shared" si="10"/>
        <v>-40</v>
      </c>
      <c r="L103" s="36"/>
      <c r="M103" s="38">
        <f t="shared" si="11"/>
        <v>0</v>
      </c>
      <c r="N103" s="38" t="str">
        <f t="shared" si="14"/>
        <v/>
      </c>
    </row>
    <row r="104" spans="1:14" x14ac:dyDescent="0.25">
      <c r="A104" s="57" t="str">
        <f t="shared" si="12"/>
        <v/>
      </c>
      <c r="G104" s="14"/>
      <c r="H104" s="36">
        <v>99</v>
      </c>
      <c r="I104" s="37" t="str">
        <f t="shared" si="9"/>
        <v/>
      </c>
      <c r="J104" s="36">
        <f t="shared" si="13"/>
        <v>-4</v>
      </c>
      <c r="K104" s="36">
        <f t="shared" si="10"/>
        <v>-40</v>
      </c>
      <c r="L104" s="36"/>
      <c r="M104" s="38">
        <f t="shared" si="11"/>
        <v>0</v>
      </c>
      <c r="N104" s="38" t="str">
        <f t="shared" si="14"/>
        <v/>
      </c>
    </row>
    <row r="105" spans="1:14" x14ac:dyDescent="0.25">
      <c r="A105" s="57" t="str">
        <f t="shared" si="12"/>
        <v/>
      </c>
      <c r="G105" s="14"/>
      <c r="H105" s="36">
        <v>100</v>
      </c>
      <c r="I105" s="37" t="str">
        <f t="shared" si="9"/>
        <v/>
      </c>
      <c r="J105" s="36">
        <f t="shared" si="13"/>
        <v>-4</v>
      </c>
      <c r="K105" s="36">
        <f t="shared" si="10"/>
        <v>-40</v>
      </c>
      <c r="L105" s="36"/>
      <c r="M105" s="38">
        <f t="shared" si="11"/>
        <v>0</v>
      </c>
      <c r="N105" s="38" t="str">
        <f t="shared" si="14"/>
        <v/>
      </c>
    </row>
    <row r="106" spans="1:14" x14ac:dyDescent="0.25">
      <c r="A106" s="57" t="str">
        <f t="shared" si="12"/>
        <v/>
      </c>
      <c r="G106" s="14"/>
      <c r="H106" s="36">
        <v>101</v>
      </c>
      <c r="I106" s="37" t="str">
        <f t="shared" si="9"/>
        <v/>
      </c>
      <c r="J106" s="36">
        <f t="shared" si="13"/>
        <v>-4</v>
      </c>
      <c r="K106" s="36">
        <f t="shared" si="10"/>
        <v>-40</v>
      </c>
      <c r="L106" s="36"/>
      <c r="M106" s="38">
        <f t="shared" si="11"/>
        <v>0</v>
      </c>
      <c r="N106" s="38" t="str">
        <f t="shared" si="14"/>
        <v/>
      </c>
    </row>
    <row r="107" spans="1:14" x14ac:dyDescent="0.25">
      <c r="A107" s="57" t="str">
        <f t="shared" si="12"/>
        <v/>
      </c>
      <c r="G107" s="14"/>
      <c r="H107" s="36">
        <v>102</v>
      </c>
      <c r="I107" s="37" t="str">
        <f t="shared" si="9"/>
        <v/>
      </c>
      <c r="J107" s="36">
        <f t="shared" si="13"/>
        <v>-4</v>
      </c>
      <c r="K107" s="36">
        <f t="shared" si="10"/>
        <v>-40</v>
      </c>
      <c r="L107" s="36"/>
      <c r="M107" s="38">
        <f t="shared" si="11"/>
        <v>0</v>
      </c>
      <c r="N107" s="38" t="str">
        <f t="shared" si="14"/>
        <v/>
      </c>
    </row>
    <row r="108" spans="1:14" x14ac:dyDescent="0.25">
      <c r="A108" s="57" t="str">
        <f t="shared" si="12"/>
        <v/>
      </c>
      <c r="G108" s="14"/>
      <c r="H108" s="36">
        <v>103</v>
      </c>
      <c r="I108" s="37" t="str">
        <f t="shared" si="9"/>
        <v/>
      </c>
      <c r="J108" s="36">
        <f t="shared" si="13"/>
        <v>-4</v>
      </c>
      <c r="K108" s="36">
        <f t="shared" si="10"/>
        <v>-40</v>
      </c>
      <c r="L108" s="36"/>
      <c r="M108" s="38">
        <f t="shared" si="11"/>
        <v>0</v>
      </c>
      <c r="N108" s="38" t="str">
        <f t="shared" si="14"/>
        <v/>
      </c>
    </row>
    <row r="109" spans="1:14" x14ac:dyDescent="0.25">
      <c r="A109" s="57" t="str">
        <f t="shared" si="12"/>
        <v/>
      </c>
      <c r="G109" s="14"/>
      <c r="H109" s="36">
        <v>104</v>
      </c>
      <c r="I109" s="37" t="str">
        <f t="shared" si="9"/>
        <v/>
      </c>
      <c r="J109" s="36">
        <f t="shared" si="13"/>
        <v>-4</v>
      </c>
      <c r="K109" s="36">
        <f t="shared" si="10"/>
        <v>-40</v>
      </c>
      <c r="L109" s="36"/>
      <c r="M109" s="38">
        <f t="shared" si="11"/>
        <v>0</v>
      </c>
      <c r="N109" s="38" t="str">
        <f t="shared" si="14"/>
        <v/>
      </c>
    </row>
    <row r="110" spans="1:14" x14ac:dyDescent="0.25">
      <c r="A110" s="57" t="str">
        <f t="shared" si="12"/>
        <v/>
      </c>
      <c r="G110" s="14"/>
      <c r="H110" s="36">
        <v>105</v>
      </c>
      <c r="I110" s="37" t="str">
        <f t="shared" si="9"/>
        <v/>
      </c>
      <c r="J110" s="36">
        <f t="shared" si="13"/>
        <v>-4</v>
      </c>
      <c r="K110" s="36">
        <f t="shared" si="10"/>
        <v>-40</v>
      </c>
      <c r="L110" s="36"/>
      <c r="M110" s="38">
        <f t="shared" si="11"/>
        <v>0</v>
      </c>
      <c r="N110" s="38" t="str">
        <f t="shared" si="14"/>
        <v/>
      </c>
    </row>
    <row r="111" spans="1:14" x14ac:dyDescent="0.25">
      <c r="A111" s="57" t="str">
        <f t="shared" si="12"/>
        <v/>
      </c>
      <c r="G111" s="14"/>
      <c r="H111" s="36">
        <v>106</v>
      </c>
      <c r="I111" s="37" t="str">
        <f t="shared" si="9"/>
        <v/>
      </c>
      <c r="J111" s="36">
        <f t="shared" si="13"/>
        <v>-4</v>
      </c>
      <c r="K111" s="36">
        <f t="shared" si="10"/>
        <v>-40</v>
      </c>
      <c r="L111" s="36"/>
      <c r="M111" s="38">
        <f t="shared" si="11"/>
        <v>0</v>
      </c>
      <c r="N111" s="38" t="str">
        <f t="shared" si="14"/>
        <v/>
      </c>
    </row>
    <row r="112" spans="1:14" x14ac:dyDescent="0.25">
      <c r="A112" s="57" t="str">
        <f t="shared" si="12"/>
        <v/>
      </c>
      <c r="G112" s="14"/>
      <c r="H112" s="36">
        <v>107</v>
      </c>
      <c r="I112" s="37" t="str">
        <f t="shared" si="9"/>
        <v/>
      </c>
      <c r="J112" s="36">
        <f t="shared" si="13"/>
        <v>-4</v>
      </c>
      <c r="K112" s="36">
        <f t="shared" si="10"/>
        <v>-40</v>
      </c>
      <c r="L112" s="36"/>
      <c r="M112" s="38">
        <f t="shared" si="11"/>
        <v>0</v>
      </c>
      <c r="N112" s="38" t="str">
        <f t="shared" si="14"/>
        <v/>
      </c>
    </row>
    <row r="113" spans="1:14" x14ac:dyDescent="0.25">
      <c r="A113" s="57" t="str">
        <f t="shared" si="12"/>
        <v/>
      </c>
      <c r="G113" s="14"/>
      <c r="H113" s="36">
        <v>108</v>
      </c>
      <c r="I113" s="37" t="str">
        <f t="shared" si="9"/>
        <v/>
      </c>
      <c r="J113" s="36">
        <f t="shared" si="13"/>
        <v>-4</v>
      </c>
      <c r="K113" s="36">
        <f t="shared" si="10"/>
        <v>-40</v>
      </c>
      <c r="L113" s="36"/>
      <c r="M113" s="38">
        <f t="shared" si="11"/>
        <v>0</v>
      </c>
      <c r="N113" s="38" t="str">
        <f t="shared" si="14"/>
        <v/>
      </c>
    </row>
    <row r="114" spans="1:14" x14ac:dyDescent="0.25">
      <c r="A114" s="57" t="str">
        <f t="shared" si="12"/>
        <v/>
      </c>
      <c r="G114" s="14"/>
      <c r="H114" s="36">
        <v>109</v>
      </c>
      <c r="I114" s="37" t="str">
        <f t="shared" si="9"/>
        <v/>
      </c>
      <c r="J114" s="36">
        <f t="shared" si="13"/>
        <v>-4</v>
      </c>
      <c r="K114" s="36">
        <f t="shared" si="10"/>
        <v>-40</v>
      </c>
      <c r="L114" s="36"/>
      <c r="M114" s="38">
        <f t="shared" si="11"/>
        <v>0</v>
      </c>
      <c r="N114" s="38" t="str">
        <f t="shared" si="14"/>
        <v/>
      </c>
    </row>
    <row r="115" spans="1:14" x14ac:dyDescent="0.25">
      <c r="A115" s="57" t="str">
        <f t="shared" si="12"/>
        <v/>
      </c>
      <c r="G115" s="14"/>
      <c r="H115" s="36">
        <v>110</v>
      </c>
      <c r="I115" s="37" t="str">
        <f t="shared" si="9"/>
        <v/>
      </c>
      <c r="J115" s="36">
        <f t="shared" si="13"/>
        <v>-4</v>
      </c>
      <c r="K115" s="36">
        <f t="shared" si="10"/>
        <v>-40</v>
      </c>
      <c r="L115" s="36"/>
      <c r="M115" s="38">
        <f t="shared" si="11"/>
        <v>0</v>
      </c>
      <c r="N115" s="38" t="str">
        <f t="shared" si="14"/>
        <v/>
      </c>
    </row>
    <row r="116" spans="1:14" x14ac:dyDescent="0.25">
      <c r="A116" s="57" t="str">
        <f t="shared" si="12"/>
        <v/>
      </c>
      <c r="G116" s="14"/>
      <c r="H116" s="36">
        <v>111</v>
      </c>
      <c r="I116" s="37" t="str">
        <f t="shared" si="9"/>
        <v/>
      </c>
      <c r="J116" s="36">
        <f t="shared" si="13"/>
        <v>-4</v>
      </c>
      <c r="K116" s="36">
        <f t="shared" si="10"/>
        <v>-40</v>
      </c>
      <c r="L116" s="36"/>
      <c r="M116" s="38">
        <f t="shared" si="11"/>
        <v>0</v>
      </c>
      <c r="N116" s="38" t="str">
        <f t="shared" si="14"/>
        <v/>
      </c>
    </row>
    <row r="117" spans="1:14" x14ac:dyDescent="0.25">
      <c r="A117" s="57" t="str">
        <f t="shared" si="12"/>
        <v/>
      </c>
      <c r="G117" s="14"/>
      <c r="H117" s="36">
        <v>112</v>
      </c>
      <c r="I117" s="37" t="str">
        <f t="shared" si="9"/>
        <v/>
      </c>
      <c r="J117" s="36">
        <f t="shared" si="13"/>
        <v>-4</v>
      </c>
      <c r="K117" s="36">
        <f t="shared" si="10"/>
        <v>-40</v>
      </c>
      <c r="L117" s="36"/>
      <c r="M117" s="38">
        <f t="shared" si="11"/>
        <v>0</v>
      </c>
      <c r="N117" s="38" t="str">
        <f t="shared" si="14"/>
        <v/>
      </c>
    </row>
    <row r="118" spans="1:14" x14ac:dyDescent="0.25">
      <c r="A118" s="57" t="str">
        <f t="shared" si="12"/>
        <v/>
      </c>
      <c r="G118" s="14"/>
      <c r="H118" s="36">
        <v>113</v>
      </c>
      <c r="I118" s="37" t="str">
        <f t="shared" si="9"/>
        <v/>
      </c>
      <c r="J118" s="36">
        <f t="shared" si="13"/>
        <v>-4</v>
      </c>
      <c r="K118" s="36">
        <f t="shared" si="10"/>
        <v>-40</v>
      </c>
      <c r="L118" s="36"/>
      <c r="M118" s="38">
        <f t="shared" si="11"/>
        <v>0</v>
      </c>
      <c r="N118" s="38" t="str">
        <f t="shared" si="14"/>
        <v/>
      </c>
    </row>
    <row r="119" spans="1:14" x14ac:dyDescent="0.25">
      <c r="A119" s="57" t="str">
        <f t="shared" si="12"/>
        <v/>
      </c>
      <c r="G119" s="14"/>
      <c r="H119" s="36">
        <v>114</v>
      </c>
      <c r="I119" s="37" t="str">
        <f t="shared" si="9"/>
        <v/>
      </c>
      <c r="J119" s="36">
        <f t="shared" si="13"/>
        <v>-4</v>
      </c>
      <c r="K119" s="36">
        <f t="shared" si="10"/>
        <v>-40</v>
      </c>
      <c r="L119" s="36"/>
      <c r="M119" s="38">
        <f t="shared" si="11"/>
        <v>0</v>
      </c>
      <c r="N119" s="38" t="str">
        <f t="shared" si="14"/>
        <v/>
      </c>
    </row>
    <row r="120" spans="1:14" x14ac:dyDescent="0.25">
      <c r="A120" s="57" t="str">
        <f t="shared" si="12"/>
        <v/>
      </c>
      <c r="G120" s="14"/>
      <c r="H120" s="36">
        <v>115</v>
      </c>
      <c r="I120" s="37" t="str">
        <f t="shared" si="9"/>
        <v/>
      </c>
      <c r="J120" s="36">
        <f t="shared" si="13"/>
        <v>-4</v>
      </c>
      <c r="K120" s="36">
        <f t="shared" si="10"/>
        <v>-40</v>
      </c>
      <c r="L120" s="36"/>
      <c r="M120" s="38">
        <f t="shared" si="11"/>
        <v>0</v>
      </c>
      <c r="N120" s="38" t="str">
        <f t="shared" si="14"/>
        <v/>
      </c>
    </row>
    <row r="121" spans="1:14" x14ac:dyDescent="0.25">
      <c r="A121" s="57" t="str">
        <f t="shared" si="12"/>
        <v/>
      </c>
      <c r="G121" s="14"/>
      <c r="H121" s="36">
        <v>116</v>
      </c>
      <c r="I121" s="37" t="str">
        <f t="shared" si="9"/>
        <v/>
      </c>
      <c r="J121" s="36">
        <f t="shared" si="13"/>
        <v>-4</v>
      </c>
      <c r="K121" s="36">
        <f t="shared" si="10"/>
        <v>-40</v>
      </c>
      <c r="L121" s="36"/>
      <c r="M121" s="38">
        <f t="shared" si="11"/>
        <v>0</v>
      </c>
      <c r="N121" s="38" t="str">
        <f t="shared" si="14"/>
        <v/>
      </c>
    </row>
    <row r="122" spans="1:14" x14ac:dyDescent="0.25">
      <c r="A122" s="57" t="str">
        <f t="shared" si="12"/>
        <v/>
      </c>
      <c r="G122" s="14"/>
      <c r="H122" s="36">
        <v>117</v>
      </c>
      <c r="I122" s="37" t="str">
        <f t="shared" si="9"/>
        <v/>
      </c>
      <c r="J122" s="36">
        <f t="shared" si="13"/>
        <v>-4</v>
      </c>
      <c r="K122" s="36">
        <f t="shared" si="10"/>
        <v>-40</v>
      </c>
      <c r="L122" s="36"/>
      <c r="M122" s="38">
        <f t="shared" si="11"/>
        <v>0</v>
      </c>
      <c r="N122" s="38" t="str">
        <f t="shared" si="14"/>
        <v/>
      </c>
    </row>
    <row r="123" spans="1:14" x14ac:dyDescent="0.25">
      <c r="A123" s="57" t="str">
        <f t="shared" si="12"/>
        <v/>
      </c>
      <c r="G123" s="14"/>
      <c r="H123" s="36">
        <v>118</v>
      </c>
      <c r="I123" s="37" t="str">
        <f t="shared" si="9"/>
        <v/>
      </c>
      <c r="J123" s="36">
        <f t="shared" si="13"/>
        <v>-4</v>
      </c>
      <c r="K123" s="36">
        <f t="shared" si="10"/>
        <v>-40</v>
      </c>
      <c r="L123" s="36"/>
      <c r="M123" s="38">
        <f t="shared" si="11"/>
        <v>0</v>
      </c>
      <c r="N123" s="38" t="str">
        <f t="shared" si="14"/>
        <v/>
      </c>
    </row>
    <row r="124" spans="1:14" x14ac:dyDescent="0.25">
      <c r="A124" s="57" t="str">
        <f t="shared" si="12"/>
        <v/>
      </c>
      <c r="G124" s="14"/>
      <c r="H124" s="36">
        <v>119</v>
      </c>
      <c r="I124" s="37" t="str">
        <f t="shared" si="9"/>
        <v/>
      </c>
      <c r="J124" s="36">
        <f t="shared" si="13"/>
        <v>-4</v>
      </c>
      <c r="K124" s="36">
        <f t="shared" si="10"/>
        <v>-40</v>
      </c>
      <c r="L124" s="36"/>
      <c r="M124" s="38">
        <f t="shared" si="11"/>
        <v>0</v>
      </c>
      <c r="N124" s="38" t="str">
        <f t="shared" si="14"/>
        <v/>
      </c>
    </row>
    <row r="125" spans="1:14" x14ac:dyDescent="0.25">
      <c r="A125" s="57" t="str">
        <f t="shared" si="12"/>
        <v/>
      </c>
      <c r="G125" s="14"/>
      <c r="H125" s="36">
        <v>120</v>
      </c>
      <c r="I125" s="37" t="str">
        <f t="shared" si="9"/>
        <v/>
      </c>
      <c r="J125" s="36">
        <f t="shared" si="13"/>
        <v>-4</v>
      </c>
      <c r="K125" s="36">
        <f t="shared" si="10"/>
        <v>-40</v>
      </c>
      <c r="L125" s="36"/>
      <c r="M125" s="38">
        <f t="shared" si="11"/>
        <v>0</v>
      </c>
      <c r="N125" s="38" t="str">
        <f t="shared" si="14"/>
        <v/>
      </c>
    </row>
    <row r="126" spans="1:14" x14ac:dyDescent="0.25">
      <c r="A126" s="57" t="str">
        <f t="shared" si="12"/>
        <v/>
      </c>
      <c r="G126" s="14"/>
      <c r="H126" s="36">
        <v>121</v>
      </c>
      <c r="I126" s="37" t="str">
        <f t="shared" si="9"/>
        <v/>
      </c>
      <c r="J126" s="36">
        <f t="shared" si="13"/>
        <v>-4</v>
      </c>
      <c r="K126" s="36">
        <f t="shared" si="10"/>
        <v>-40</v>
      </c>
      <c r="L126" s="36"/>
      <c r="M126" s="38">
        <f t="shared" si="11"/>
        <v>0</v>
      </c>
      <c r="N126" s="38" t="str">
        <f t="shared" si="14"/>
        <v/>
      </c>
    </row>
    <row r="127" spans="1:14" x14ac:dyDescent="0.25">
      <c r="A127" s="57" t="str">
        <f t="shared" si="12"/>
        <v/>
      </c>
      <c r="G127" s="14"/>
      <c r="H127" s="36">
        <v>122</v>
      </c>
      <c r="I127" s="37" t="str">
        <f t="shared" si="9"/>
        <v/>
      </c>
      <c r="J127" s="36">
        <f t="shared" si="13"/>
        <v>-4</v>
      </c>
      <c r="K127" s="36">
        <f t="shared" si="10"/>
        <v>-40</v>
      </c>
      <c r="L127" s="36"/>
      <c r="M127" s="38">
        <f t="shared" si="11"/>
        <v>0</v>
      </c>
      <c r="N127" s="38" t="str">
        <f t="shared" si="14"/>
        <v/>
      </c>
    </row>
    <row r="128" spans="1:14" x14ac:dyDescent="0.25">
      <c r="A128" s="57" t="str">
        <f t="shared" si="12"/>
        <v/>
      </c>
      <c r="G128" s="14"/>
      <c r="H128" s="36">
        <v>123</v>
      </c>
      <c r="I128" s="37" t="str">
        <f t="shared" si="9"/>
        <v/>
      </c>
      <c r="J128" s="36">
        <f t="shared" si="13"/>
        <v>-4</v>
      </c>
      <c r="K128" s="36">
        <f t="shared" si="10"/>
        <v>-40</v>
      </c>
      <c r="L128" s="36"/>
      <c r="M128" s="38">
        <f t="shared" si="11"/>
        <v>0</v>
      </c>
      <c r="N128" s="38" t="str">
        <f t="shared" si="14"/>
        <v/>
      </c>
    </row>
    <row r="129" spans="1:14" x14ac:dyDescent="0.25">
      <c r="A129" s="57" t="str">
        <f t="shared" si="12"/>
        <v/>
      </c>
      <c r="G129" s="14"/>
      <c r="H129" s="36">
        <v>124</v>
      </c>
      <c r="I129" s="37" t="str">
        <f t="shared" si="9"/>
        <v/>
      </c>
      <c r="J129" s="36">
        <f t="shared" si="13"/>
        <v>-4</v>
      </c>
      <c r="K129" s="36">
        <f t="shared" si="10"/>
        <v>-40</v>
      </c>
      <c r="L129" s="36"/>
      <c r="M129" s="38">
        <f t="shared" si="11"/>
        <v>0</v>
      </c>
      <c r="N129" s="38" t="str">
        <f t="shared" si="14"/>
        <v/>
      </c>
    </row>
    <row r="130" spans="1:14" x14ac:dyDescent="0.25">
      <c r="A130" s="57" t="str">
        <f t="shared" si="12"/>
        <v/>
      </c>
      <c r="G130" s="14"/>
      <c r="H130" s="36">
        <v>125</v>
      </c>
      <c r="I130" s="37" t="str">
        <f t="shared" si="9"/>
        <v/>
      </c>
      <c r="J130" s="36">
        <f t="shared" si="13"/>
        <v>-4</v>
      </c>
      <c r="K130" s="36">
        <f t="shared" si="10"/>
        <v>-40</v>
      </c>
      <c r="L130" s="36"/>
      <c r="M130" s="38">
        <f t="shared" si="11"/>
        <v>0</v>
      </c>
      <c r="N130" s="38" t="str">
        <f t="shared" si="14"/>
        <v/>
      </c>
    </row>
    <row r="131" spans="1:14" x14ac:dyDescent="0.25">
      <c r="A131" s="57" t="str">
        <f t="shared" si="12"/>
        <v/>
      </c>
      <c r="G131" s="14"/>
      <c r="H131" s="36">
        <v>126</v>
      </c>
      <c r="I131" s="37" t="str">
        <f t="shared" si="9"/>
        <v/>
      </c>
      <c r="J131" s="36">
        <f t="shared" si="13"/>
        <v>-4</v>
      </c>
      <c r="K131" s="36">
        <f t="shared" si="10"/>
        <v>-40</v>
      </c>
      <c r="L131" s="36"/>
      <c r="M131" s="38">
        <f t="shared" si="11"/>
        <v>0</v>
      </c>
      <c r="N131" s="38" t="str">
        <f t="shared" si="14"/>
        <v/>
      </c>
    </row>
    <row r="132" spans="1:14" x14ac:dyDescent="0.25">
      <c r="A132" s="57" t="str">
        <f t="shared" si="12"/>
        <v/>
      </c>
      <c r="G132" s="14"/>
      <c r="H132" s="36">
        <v>127</v>
      </c>
      <c r="I132" s="37" t="str">
        <f t="shared" si="9"/>
        <v/>
      </c>
      <c r="J132" s="36">
        <f t="shared" si="13"/>
        <v>-4</v>
      </c>
      <c r="K132" s="36">
        <f t="shared" si="10"/>
        <v>-40</v>
      </c>
      <c r="L132" s="36"/>
      <c r="M132" s="38">
        <f t="shared" si="11"/>
        <v>0</v>
      </c>
      <c r="N132" s="38" t="str">
        <f t="shared" si="14"/>
        <v/>
      </c>
    </row>
    <row r="133" spans="1:14" x14ac:dyDescent="0.25">
      <c r="A133" s="57" t="str">
        <f t="shared" si="12"/>
        <v/>
      </c>
      <c r="G133" s="14"/>
      <c r="H133" s="36">
        <v>128</v>
      </c>
      <c r="I133" s="37" t="str">
        <f t="shared" si="9"/>
        <v/>
      </c>
      <c r="J133" s="36">
        <f t="shared" si="13"/>
        <v>-4</v>
      </c>
      <c r="K133" s="36">
        <f t="shared" si="10"/>
        <v>-40</v>
      </c>
      <c r="L133" s="36"/>
      <c r="M133" s="38">
        <f t="shared" si="11"/>
        <v>0</v>
      </c>
      <c r="N133" s="38" t="str">
        <f t="shared" si="14"/>
        <v/>
      </c>
    </row>
    <row r="134" spans="1:14" x14ac:dyDescent="0.25">
      <c r="A134" s="57" t="str">
        <f t="shared" si="12"/>
        <v/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3"/>
        <v>-5</v>
      </c>
      <c r="K134" s="36">
        <f t="shared" ref="K134:K197" si="16">J134*$J$2</f>
        <v>-50</v>
      </c>
      <c r="L134" s="36"/>
      <c r="M134" s="38">
        <f t="shared" ref="M134:M197" si="17">IF(I134&lt;&gt;"",K134+I134+L134,0)</f>
        <v>0</v>
      </c>
      <c r="N134" s="38" t="str">
        <f t="shared" si="14"/>
        <v/>
      </c>
    </row>
    <row r="135" spans="1:14" x14ac:dyDescent="0.25">
      <c r="A135" s="57" t="str">
        <f t="shared" ref="A135:A198" si="18">N135</f>
        <v/>
      </c>
      <c r="G135" s="14"/>
      <c r="H135" s="36">
        <v>130</v>
      </c>
      <c r="I135" s="37" t="str">
        <f t="shared" si="15"/>
        <v/>
      </c>
      <c r="J135" s="36">
        <f t="shared" ref="J135:J198" si="19">INT(LOG($H$2,2))-ROUNDUP(LOG(H135,2),0)+IF(OR($H$2=1,$H$2=2,$H$2=4,$H$2=8,$H$2=16,$H$2=32,$H$2=64,$H$2=128,$H$2=256),0,1)</f>
        <v>-5</v>
      </c>
      <c r="K135" s="36">
        <f t="shared" si="16"/>
        <v>-50</v>
      </c>
      <c r="L135" s="36"/>
      <c r="M135" s="38">
        <f t="shared" si="17"/>
        <v>0</v>
      </c>
      <c r="N135" s="38" t="str">
        <f t="shared" ref="N135:N198" si="20">IF(I135&lt;&gt;"",M135*L$2,"")</f>
        <v/>
      </c>
    </row>
    <row r="136" spans="1:14" x14ac:dyDescent="0.25">
      <c r="A136" s="57" t="str">
        <f t="shared" si="18"/>
        <v/>
      </c>
      <c r="G136" s="14"/>
      <c r="H136" s="36">
        <v>131</v>
      </c>
      <c r="I136" s="37" t="str">
        <f t="shared" si="15"/>
        <v/>
      </c>
      <c r="J136" s="36">
        <f t="shared" si="19"/>
        <v>-5</v>
      </c>
      <c r="K136" s="36">
        <f t="shared" si="16"/>
        <v>-50</v>
      </c>
      <c r="L136" s="36"/>
      <c r="M136" s="38">
        <f t="shared" si="17"/>
        <v>0</v>
      </c>
      <c r="N136" s="38" t="str">
        <f t="shared" si="20"/>
        <v/>
      </c>
    </row>
    <row r="137" spans="1:14" x14ac:dyDescent="0.25">
      <c r="A137" s="57" t="str">
        <f t="shared" si="18"/>
        <v/>
      </c>
      <c r="G137" s="14"/>
      <c r="H137" s="36">
        <v>132</v>
      </c>
      <c r="I137" s="37" t="str">
        <f t="shared" si="15"/>
        <v/>
      </c>
      <c r="J137" s="36">
        <f t="shared" si="19"/>
        <v>-5</v>
      </c>
      <c r="K137" s="36">
        <f t="shared" si="16"/>
        <v>-50</v>
      </c>
      <c r="L137" s="36"/>
      <c r="M137" s="38">
        <f t="shared" si="17"/>
        <v>0</v>
      </c>
      <c r="N137" s="38" t="str">
        <f t="shared" si="20"/>
        <v/>
      </c>
    </row>
    <row r="138" spans="1:14" x14ac:dyDescent="0.25">
      <c r="A138" s="57" t="str">
        <f t="shared" si="18"/>
        <v/>
      </c>
      <c r="G138" s="14"/>
      <c r="H138" s="36">
        <v>133</v>
      </c>
      <c r="I138" s="37" t="str">
        <f t="shared" si="15"/>
        <v/>
      </c>
      <c r="J138" s="36">
        <f t="shared" si="19"/>
        <v>-5</v>
      </c>
      <c r="K138" s="36">
        <f t="shared" si="16"/>
        <v>-50</v>
      </c>
      <c r="L138" s="36"/>
      <c r="M138" s="38">
        <f t="shared" si="17"/>
        <v>0</v>
      </c>
      <c r="N138" s="38" t="str">
        <f t="shared" si="20"/>
        <v/>
      </c>
    </row>
    <row r="139" spans="1:14" x14ac:dyDescent="0.25">
      <c r="A139" s="57" t="str">
        <f t="shared" si="18"/>
        <v/>
      </c>
      <c r="G139" s="14"/>
      <c r="H139" s="36">
        <v>134</v>
      </c>
      <c r="I139" s="37" t="str">
        <f t="shared" si="15"/>
        <v/>
      </c>
      <c r="J139" s="36">
        <f t="shared" si="19"/>
        <v>-5</v>
      </c>
      <c r="K139" s="36">
        <f t="shared" si="16"/>
        <v>-50</v>
      </c>
      <c r="L139" s="36"/>
      <c r="M139" s="38">
        <f t="shared" si="17"/>
        <v>0</v>
      </c>
      <c r="N139" s="38" t="str">
        <f t="shared" si="20"/>
        <v/>
      </c>
    </row>
    <row r="140" spans="1:14" x14ac:dyDescent="0.25">
      <c r="A140" s="57" t="str">
        <f t="shared" si="18"/>
        <v/>
      </c>
      <c r="G140" s="14"/>
      <c r="H140" s="36">
        <v>135</v>
      </c>
      <c r="I140" s="37" t="str">
        <f t="shared" si="15"/>
        <v/>
      </c>
      <c r="J140" s="36">
        <f t="shared" si="19"/>
        <v>-5</v>
      </c>
      <c r="K140" s="36">
        <f t="shared" si="16"/>
        <v>-50</v>
      </c>
      <c r="L140" s="36"/>
      <c r="M140" s="38">
        <f t="shared" si="17"/>
        <v>0</v>
      </c>
      <c r="N140" s="38" t="str">
        <f t="shared" si="20"/>
        <v/>
      </c>
    </row>
    <row r="141" spans="1:14" x14ac:dyDescent="0.25">
      <c r="A141" s="57" t="str">
        <f t="shared" si="18"/>
        <v/>
      </c>
      <c r="G141" s="14"/>
      <c r="H141" s="36">
        <v>136</v>
      </c>
      <c r="I141" s="37" t="str">
        <f t="shared" si="15"/>
        <v/>
      </c>
      <c r="J141" s="36">
        <f t="shared" si="19"/>
        <v>-5</v>
      </c>
      <c r="K141" s="36">
        <f t="shared" si="16"/>
        <v>-50</v>
      </c>
      <c r="L141" s="36"/>
      <c r="M141" s="38">
        <f t="shared" si="17"/>
        <v>0</v>
      </c>
      <c r="N141" s="38" t="str">
        <f t="shared" si="20"/>
        <v/>
      </c>
    </row>
    <row r="142" spans="1:14" x14ac:dyDescent="0.25">
      <c r="A142" s="57" t="str">
        <f t="shared" si="18"/>
        <v/>
      </c>
      <c r="G142" s="14"/>
      <c r="H142" s="36">
        <v>137</v>
      </c>
      <c r="I142" s="37" t="str">
        <f t="shared" si="15"/>
        <v/>
      </c>
      <c r="J142" s="36">
        <f t="shared" si="19"/>
        <v>-5</v>
      </c>
      <c r="K142" s="36">
        <f t="shared" si="16"/>
        <v>-50</v>
      </c>
      <c r="L142" s="36"/>
      <c r="M142" s="38">
        <f t="shared" si="17"/>
        <v>0</v>
      </c>
      <c r="N142" s="38" t="str">
        <f t="shared" si="20"/>
        <v/>
      </c>
    </row>
    <row r="143" spans="1:14" x14ac:dyDescent="0.25">
      <c r="A143" s="57" t="str">
        <f t="shared" si="18"/>
        <v/>
      </c>
      <c r="G143" s="14"/>
      <c r="H143" s="36">
        <v>138</v>
      </c>
      <c r="I143" s="37" t="str">
        <f t="shared" si="15"/>
        <v/>
      </c>
      <c r="J143" s="36">
        <f t="shared" si="19"/>
        <v>-5</v>
      </c>
      <c r="K143" s="36">
        <f t="shared" si="16"/>
        <v>-50</v>
      </c>
      <c r="L143" s="36"/>
      <c r="M143" s="38">
        <f t="shared" si="17"/>
        <v>0</v>
      </c>
      <c r="N143" s="38" t="str">
        <f t="shared" si="20"/>
        <v/>
      </c>
    </row>
    <row r="144" spans="1:14" x14ac:dyDescent="0.25">
      <c r="A144" s="57" t="str">
        <f t="shared" si="18"/>
        <v/>
      </c>
      <c r="G144" s="14"/>
      <c r="H144" s="36">
        <v>139</v>
      </c>
      <c r="I144" s="37" t="str">
        <f t="shared" si="15"/>
        <v/>
      </c>
      <c r="J144" s="36">
        <f t="shared" si="19"/>
        <v>-5</v>
      </c>
      <c r="K144" s="36">
        <f t="shared" si="16"/>
        <v>-50</v>
      </c>
      <c r="L144" s="36"/>
      <c r="M144" s="38">
        <f t="shared" si="17"/>
        <v>0</v>
      </c>
      <c r="N144" s="38" t="str">
        <f t="shared" si="20"/>
        <v/>
      </c>
    </row>
    <row r="145" spans="1:14" x14ac:dyDescent="0.25">
      <c r="A145" s="57" t="str">
        <f t="shared" si="18"/>
        <v/>
      </c>
      <c r="G145" s="14"/>
      <c r="H145" s="36">
        <v>140</v>
      </c>
      <c r="I145" s="37" t="str">
        <f t="shared" si="15"/>
        <v/>
      </c>
      <c r="J145" s="36">
        <f t="shared" si="19"/>
        <v>-5</v>
      </c>
      <c r="K145" s="36">
        <f t="shared" si="16"/>
        <v>-50</v>
      </c>
      <c r="L145" s="36"/>
      <c r="M145" s="38">
        <f t="shared" si="17"/>
        <v>0</v>
      </c>
      <c r="N145" s="38" t="str">
        <f t="shared" si="20"/>
        <v/>
      </c>
    </row>
    <row r="146" spans="1:14" x14ac:dyDescent="0.25">
      <c r="A146" s="57" t="str">
        <f t="shared" si="18"/>
        <v/>
      </c>
      <c r="G146" s="14"/>
      <c r="H146" s="36">
        <v>141</v>
      </c>
      <c r="I146" s="37" t="str">
        <f t="shared" si="15"/>
        <v/>
      </c>
      <c r="J146" s="36">
        <f t="shared" si="19"/>
        <v>-5</v>
      </c>
      <c r="K146" s="36">
        <f t="shared" si="16"/>
        <v>-50</v>
      </c>
      <c r="L146" s="36"/>
      <c r="M146" s="38">
        <f t="shared" si="17"/>
        <v>0</v>
      </c>
      <c r="N146" s="38" t="str">
        <f t="shared" si="20"/>
        <v/>
      </c>
    </row>
    <row r="147" spans="1:14" x14ac:dyDescent="0.25">
      <c r="A147" s="57" t="str">
        <f t="shared" si="18"/>
        <v/>
      </c>
      <c r="G147" s="14"/>
      <c r="H147" s="36">
        <v>142</v>
      </c>
      <c r="I147" s="37" t="str">
        <f t="shared" si="15"/>
        <v/>
      </c>
      <c r="J147" s="36">
        <f t="shared" si="19"/>
        <v>-5</v>
      </c>
      <c r="K147" s="36">
        <f t="shared" si="16"/>
        <v>-50</v>
      </c>
      <c r="L147" s="36"/>
      <c r="M147" s="38">
        <f t="shared" si="17"/>
        <v>0</v>
      </c>
      <c r="N147" s="38" t="str">
        <f t="shared" si="20"/>
        <v/>
      </c>
    </row>
    <row r="148" spans="1:14" x14ac:dyDescent="0.25">
      <c r="A148" s="57" t="str">
        <f t="shared" si="18"/>
        <v/>
      </c>
      <c r="G148" s="14"/>
      <c r="H148" s="36">
        <v>143</v>
      </c>
      <c r="I148" s="37" t="str">
        <f t="shared" si="15"/>
        <v/>
      </c>
      <c r="J148" s="36">
        <f t="shared" si="19"/>
        <v>-5</v>
      </c>
      <c r="K148" s="36">
        <f t="shared" si="16"/>
        <v>-50</v>
      </c>
      <c r="L148" s="36"/>
      <c r="M148" s="38">
        <f t="shared" si="17"/>
        <v>0</v>
      </c>
      <c r="N148" s="38" t="str">
        <f t="shared" si="20"/>
        <v/>
      </c>
    </row>
    <row r="149" spans="1:14" x14ac:dyDescent="0.25">
      <c r="A149" s="57" t="str">
        <f t="shared" si="18"/>
        <v/>
      </c>
      <c r="G149" s="14"/>
      <c r="H149" s="36">
        <v>144</v>
      </c>
      <c r="I149" s="37" t="str">
        <f t="shared" si="15"/>
        <v/>
      </c>
      <c r="J149" s="36">
        <f t="shared" si="19"/>
        <v>-5</v>
      </c>
      <c r="K149" s="36">
        <f t="shared" si="16"/>
        <v>-50</v>
      </c>
      <c r="L149" s="36"/>
      <c r="M149" s="38">
        <f t="shared" si="17"/>
        <v>0</v>
      </c>
      <c r="N149" s="38" t="str">
        <f t="shared" si="20"/>
        <v/>
      </c>
    </row>
    <row r="150" spans="1:14" x14ac:dyDescent="0.25">
      <c r="A150" s="57" t="str">
        <f t="shared" si="18"/>
        <v/>
      </c>
      <c r="G150" s="14"/>
      <c r="H150" s="36">
        <v>145</v>
      </c>
      <c r="I150" s="37" t="str">
        <f t="shared" si="15"/>
        <v/>
      </c>
      <c r="J150" s="36">
        <f t="shared" si="19"/>
        <v>-5</v>
      </c>
      <c r="K150" s="36">
        <f t="shared" si="16"/>
        <v>-50</v>
      </c>
      <c r="L150" s="36"/>
      <c r="M150" s="38">
        <f t="shared" si="17"/>
        <v>0</v>
      </c>
      <c r="N150" s="38" t="str">
        <f t="shared" si="20"/>
        <v/>
      </c>
    </row>
    <row r="151" spans="1:14" x14ac:dyDescent="0.25">
      <c r="A151" s="57" t="str">
        <f t="shared" si="18"/>
        <v/>
      </c>
      <c r="G151" s="14"/>
      <c r="H151" s="36">
        <v>146</v>
      </c>
      <c r="I151" s="37" t="str">
        <f t="shared" si="15"/>
        <v/>
      </c>
      <c r="J151" s="36">
        <f t="shared" si="19"/>
        <v>-5</v>
      </c>
      <c r="K151" s="36">
        <f t="shared" si="16"/>
        <v>-50</v>
      </c>
      <c r="L151" s="36"/>
      <c r="M151" s="38">
        <f t="shared" si="17"/>
        <v>0</v>
      </c>
      <c r="N151" s="38" t="str">
        <f t="shared" si="20"/>
        <v/>
      </c>
    </row>
    <row r="152" spans="1:14" x14ac:dyDescent="0.25">
      <c r="A152" s="57" t="str">
        <f t="shared" si="18"/>
        <v/>
      </c>
      <c r="G152" s="14"/>
      <c r="H152" s="36">
        <v>147</v>
      </c>
      <c r="I152" s="37" t="str">
        <f t="shared" si="15"/>
        <v/>
      </c>
      <c r="J152" s="36">
        <f t="shared" si="19"/>
        <v>-5</v>
      </c>
      <c r="K152" s="36">
        <f t="shared" si="16"/>
        <v>-50</v>
      </c>
      <c r="L152" s="36"/>
      <c r="M152" s="38">
        <f t="shared" si="17"/>
        <v>0</v>
      </c>
      <c r="N152" s="38" t="str">
        <f t="shared" si="20"/>
        <v/>
      </c>
    </row>
    <row r="153" spans="1:14" x14ac:dyDescent="0.25">
      <c r="A153" s="57" t="str">
        <f t="shared" si="18"/>
        <v/>
      </c>
      <c r="G153" s="14"/>
      <c r="H153" s="36">
        <v>148</v>
      </c>
      <c r="I153" s="37" t="str">
        <f t="shared" si="15"/>
        <v/>
      </c>
      <c r="J153" s="36">
        <f t="shared" si="19"/>
        <v>-5</v>
      </c>
      <c r="K153" s="36">
        <f t="shared" si="16"/>
        <v>-50</v>
      </c>
      <c r="L153" s="36"/>
      <c r="M153" s="38">
        <f t="shared" si="17"/>
        <v>0</v>
      </c>
      <c r="N153" s="38" t="str">
        <f t="shared" si="20"/>
        <v/>
      </c>
    </row>
    <row r="154" spans="1:14" x14ac:dyDescent="0.25">
      <c r="A154" s="57" t="str">
        <f t="shared" si="18"/>
        <v/>
      </c>
      <c r="G154" s="14"/>
      <c r="H154" s="36">
        <v>149</v>
      </c>
      <c r="I154" s="37" t="str">
        <f t="shared" si="15"/>
        <v/>
      </c>
      <c r="J154" s="36">
        <f t="shared" si="19"/>
        <v>-5</v>
      </c>
      <c r="K154" s="36">
        <f t="shared" si="16"/>
        <v>-50</v>
      </c>
      <c r="L154" s="36"/>
      <c r="M154" s="38">
        <f t="shared" si="17"/>
        <v>0</v>
      </c>
      <c r="N154" s="38" t="str">
        <f t="shared" si="20"/>
        <v/>
      </c>
    </row>
    <row r="155" spans="1:14" x14ac:dyDescent="0.25">
      <c r="A155" s="57" t="str">
        <f t="shared" si="18"/>
        <v/>
      </c>
      <c r="G155" s="14"/>
      <c r="H155" s="36">
        <v>150</v>
      </c>
      <c r="I155" s="37" t="str">
        <f t="shared" si="15"/>
        <v/>
      </c>
      <c r="J155" s="36">
        <f t="shared" si="19"/>
        <v>-5</v>
      </c>
      <c r="K155" s="36">
        <f t="shared" si="16"/>
        <v>-50</v>
      </c>
      <c r="L155" s="36"/>
      <c r="M155" s="38">
        <f t="shared" si="17"/>
        <v>0</v>
      </c>
      <c r="N155" s="38" t="str">
        <f t="shared" si="20"/>
        <v/>
      </c>
    </row>
    <row r="156" spans="1:14" x14ac:dyDescent="0.25">
      <c r="A156" s="57" t="str">
        <f t="shared" si="18"/>
        <v/>
      </c>
      <c r="G156" s="14"/>
      <c r="H156" s="36">
        <v>151</v>
      </c>
      <c r="I156" s="37" t="str">
        <f t="shared" si="15"/>
        <v/>
      </c>
      <c r="J156" s="36">
        <f t="shared" si="19"/>
        <v>-5</v>
      </c>
      <c r="K156" s="36">
        <f t="shared" si="16"/>
        <v>-50</v>
      </c>
      <c r="L156" s="36"/>
      <c r="M156" s="38">
        <f t="shared" si="17"/>
        <v>0</v>
      </c>
      <c r="N156" s="38" t="str">
        <f t="shared" si="20"/>
        <v/>
      </c>
    </row>
    <row r="157" spans="1:14" x14ac:dyDescent="0.25">
      <c r="A157" s="57" t="str">
        <f t="shared" si="18"/>
        <v/>
      </c>
      <c r="G157" s="14"/>
      <c r="H157" s="36">
        <v>152</v>
      </c>
      <c r="I157" s="37" t="str">
        <f t="shared" si="15"/>
        <v/>
      </c>
      <c r="J157" s="36">
        <f t="shared" si="19"/>
        <v>-5</v>
      </c>
      <c r="K157" s="36">
        <f t="shared" si="16"/>
        <v>-50</v>
      </c>
      <c r="L157" s="36"/>
      <c r="M157" s="38">
        <f t="shared" si="17"/>
        <v>0</v>
      </c>
      <c r="N157" s="38" t="str">
        <f t="shared" si="20"/>
        <v/>
      </c>
    </row>
    <row r="158" spans="1:14" x14ac:dyDescent="0.25">
      <c r="A158" s="57" t="str">
        <f t="shared" si="18"/>
        <v/>
      </c>
      <c r="G158" s="14"/>
      <c r="H158" s="36">
        <v>153</v>
      </c>
      <c r="I158" s="37" t="str">
        <f t="shared" si="15"/>
        <v/>
      </c>
      <c r="J158" s="36">
        <f t="shared" si="19"/>
        <v>-5</v>
      </c>
      <c r="K158" s="36">
        <f t="shared" si="16"/>
        <v>-50</v>
      </c>
      <c r="L158" s="36"/>
      <c r="M158" s="38">
        <f t="shared" si="17"/>
        <v>0</v>
      </c>
      <c r="N158" s="38" t="str">
        <f t="shared" si="20"/>
        <v/>
      </c>
    </row>
    <row r="159" spans="1:14" x14ac:dyDescent="0.25">
      <c r="A159" s="57" t="str">
        <f t="shared" si="18"/>
        <v/>
      </c>
      <c r="G159" s="14"/>
      <c r="H159" s="36">
        <v>154</v>
      </c>
      <c r="I159" s="37" t="str">
        <f t="shared" si="15"/>
        <v/>
      </c>
      <c r="J159" s="36">
        <f t="shared" si="19"/>
        <v>-5</v>
      </c>
      <c r="K159" s="36">
        <f t="shared" si="16"/>
        <v>-50</v>
      </c>
      <c r="L159" s="36"/>
      <c r="M159" s="38">
        <f t="shared" si="17"/>
        <v>0</v>
      </c>
      <c r="N159" s="38" t="str">
        <f t="shared" si="20"/>
        <v/>
      </c>
    </row>
    <row r="160" spans="1:14" x14ac:dyDescent="0.25">
      <c r="A160" s="57" t="str">
        <f t="shared" si="18"/>
        <v/>
      </c>
      <c r="G160" s="14"/>
      <c r="H160" s="36">
        <v>155</v>
      </c>
      <c r="I160" s="37" t="str">
        <f t="shared" si="15"/>
        <v/>
      </c>
      <c r="J160" s="36">
        <f t="shared" si="19"/>
        <v>-5</v>
      </c>
      <c r="K160" s="36">
        <f t="shared" si="16"/>
        <v>-50</v>
      </c>
      <c r="L160" s="36"/>
      <c r="M160" s="38">
        <f t="shared" si="17"/>
        <v>0</v>
      </c>
      <c r="N160" s="38" t="str">
        <f t="shared" si="20"/>
        <v/>
      </c>
    </row>
    <row r="161" spans="1:14" x14ac:dyDescent="0.25">
      <c r="A161" s="57" t="str">
        <f t="shared" si="18"/>
        <v/>
      </c>
      <c r="G161" s="14"/>
      <c r="H161" s="36">
        <v>156</v>
      </c>
      <c r="I161" s="37" t="str">
        <f t="shared" si="15"/>
        <v/>
      </c>
      <c r="J161" s="36">
        <f t="shared" si="19"/>
        <v>-5</v>
      </c>
      <c r="K161" s="36">
        <f t="shared" si="16"/>
        <v>-50</v>
      </c>
      <c r="L161" s="36"/>
      <c r="M161" s="38">
        <f t="shared" si="17"/>
        <v>0</v>
      </c>
      <c r="N161" s="38" t="str">
        <f t="shared" si="20"/>
        <v/>
      </c>
    </row>
    <row r="162" spans="1:14" x14ac:dyDescent="0.25">
      <c r="A162" s="57" t="str">
        <f t="shared" si="18"/>
        <v/>
      </c>
      <c r="G162" s="14"/>
      <c r="H162" s="36">
        <v>157</v>
      </c>
      <c r="I162" s="37" t="str">
        <f t="shared" si="15"/>
        <v/>
      </c>
      <c r="J162" s="36">
        <f t="shared" si="19"/>
        <v>-5</v>
      </c>
      <c r="K162" s="36">
        <f t="shared" si="16"/>
        <v>-50</v>
      </c>
      <c r="L162" s="36"/>
      <c r="M162" s="38">
        <f t="shared" si="17"/>
        <v>0</v>
      </c>
      <c r="N162" s="38" t="str">
        <f t="shared" si="20"/>
        <v/>
      </c>
    </row>
    <row r="163" spans="1:14" x14ac:dyDescent="0.25">
      <c r="A163" s="57" t="str">
        <f t="shared" si="18"/>
        <v/>
      </c>
      <c r="G163" s="14"/>
      <c r="H163" s="36">
        <v>158</v>
      </c>
      <c r="I163" s="37" t="str">
        <f t="shared" si="15"/>
        <v/>
      </c>
      <c r="J163" s="36">
        <f t="shared" si="19"/>
        <v>-5</v>
      </c>
      <c r="K163" s="36">
        <f t="shared" si="16"/>
        <v>-50</v>
      </c>
      <c r="L163" s="36"/>
      <c r="M163" s="38">
        <f t="shared" si="17"/>
        <v>0</v>
      </c>
      <c r="N163" s="38" t="str">
        <f t="shared" si="20"/>
        <v/>
      </c>
    </row>
    <row r="164" spans="1:14" x14ac:dyDescent="0.25">
      <c r="A164" s="57" t="str">
        <f t="shared" si="18"/>
        <v/>
      </c>
      <c r="G164" s="14"/>
      <c r="H164" s="36">
        <v>159</v>
      </c>
      <c r="I164" s="37" t="str">
        <f t="shared" si="15"/>
        <v/>
      </c>
      <c r="J164" s="36">
        <f t="shared" si="19"/>
        <v>-5</v>
      </c>
      <c r="K164" s="36">
        <f t="shared" si="16"/>
        <v>-50</v>
      </c>
      <c r="L164" s="36"/>
      <c r="M164" s="38">
        <f t="shared" si="17"/>
        <v>0</v>
      </c>
      <c r="N164" s="38" t="str">
        <f t="shared" si="20"/>
        <v/>
      </c>
    </row>
    <row r="165" spans="1:14" x14ac:dyDescent="0.25">
      <c r="A165" s="57" t="str">
        <f t="shared" si="18"/>
        <v/>
      </c>
      <c r="G165" s="14"/>
      <c r="H165" s="36">
        <v>160</v>
      </c>
      <c r="I165" s="37" t="str">
        <f t="shared" si="15"/>
        <v/>
      </c>
      <c r="J165" s="36">
        <f t="shared" si="19"/>
        <v>-5</v>
      </c>
      <c r="K165" s="36">
        <f t="shared" si="16"/>
        <v>-50</v>
      </c>
      <c r="L165" s="36"/>
      <c r="M165" s="38">
        <f t="shared" si="17"/>
        <v>0</v>
      </c>
      <c r="N165" s="38" t="str">
        <f t="shared" si="20"/>
        <v/>
      </c>
    </row>
    <row r="166" spans="1:14" x14ac:dyDescent="0.25">
      <c r="A166" s="57" t="str">
        <f t="shared" si="18"/>
        <v/>
      </c>
      <c r="G166" s="14"/>
      <c r="H166" s="36">
        <v>161</v>
      </c>
      <c r="I166" s="37" t="str">
        <f t="shared" si="15"/>
        <v/>
      </c>
      <c r="J166" s="36">
        <f t="shared" si="19"/>
        <v>-5</v>
      </c>
      <c r="K166" s="36">
        <f t="shared" si="16"/>
        <v>-50</v>
      </c>
      <c r="L166" s="36"/>
      <c r="M166" s="38">
        <f t="shared" si="17"/>
        <v>0</v>
      </c>
      <c r="N166" s="38" t="str">
        <f t="shared" si="20"/>
        <v/>
      </c>
    </row>
    <row r="167" spans="1:14" x14ac:dyDescent="0.25">
      <c r="A167" s="57" t="str">
        <f t="shared" si="18"/>
        <v/>
      </c>
      <c r="G167" s="14"/>
      <c r="H167" s="36">
        <v>162</v>
      </c>
      <c r="I167" s="37" t="str">
        <f t="shared" si="15"/>
        <v/>
      </c>
      <c r="J167" s="36">
        <f t="shared" si="19"/>
        <v>-5</v>
      </c>
      <c r="K167" s="36">
        <f t="shared" si="16"/>
        <v>-50</v>
      </c>
      <c r="L167" s="36"/>
      <c r="M167" s="38">
        <f t="shared" si="17"/>
        <v>0</v>
      </c>
      <c r="N167" s="38" t="str">
        <f t="shared" si="20"/>
        <v/>
      </c>
    </row>
    <row r="168" spans="1:14" x14ac:dyDescent="0.25">
      <c r="A168" s="57" t="str">
        <f t="shared" si="18"/>
        <v/>
      </c>
      <c r="G168" s="14"/>
      <c r="H168" s="36">
        <v>163</v>
      </c>
      <c r="I168" s="37" t="str">
        <f t="shared" si="15"/>
        <v/>
      </c>
      <c r="J168" s="36">
        <f t="shared" si="19"/>
        <v>-5</v>
      </c>
      <c r="K168" s="36">
        <f t="shared" si="16"/>
        <v>-50</v>
      </c>
      <c r="L168" s="36"/>
      <c r="M168" s="38">
        <f t="shared" si="17"/>
        <v>0</v>
      </c>
      <c r="N168" s="38" t="str">
        <f t="shared" si="20"/>
        <v/>
      </c>
    </row>
    <row r="169" spans="1:14" x14ac:dyDescent="0.25">
      <c r="A169" s="57" t="str">
        <f t="shared" si="18"/>
        <v/>
      </c>
      <c r="G169" s="14"/>
      <c r="H169" s="36">
        <v>164</v>
      </c>
      <c r="I169" s="37" t="str">
        <f t="shared" si="15"/>
        <v/>
      </c>
      <c r="J169" s="36">
        <f t="shared" si="19"/>
        <v>-5</v>
      </c>
      <c r="K169" s="36">
        <f t="shared" si="16"/>
        <v>-50</v>
      </c>
      <c r="L169" s="36"/>
      <c r="M169" s="38">
        <f t="shared" si="17"/>
        <v>0</v>
      </c>
      <c r="N169" s="38" t="str">
        <f t="shared" si="20"/>
        <v/>
      </c>
    </row>
    <row r="170" spans="1:14" x14ac:dyDescent="0.25">
      <c r="A170" s="57" t="str">
        <f t="shared" si="18"/>
        <v/>
      </c>
      <c r="G170" s="14"/>
      <c r="H170" s="36">
        <v>165</v>
      </c>
      <c r="I170" s="37" t="str">
        <f t="shared" si="15"/>
        <v/>
      </c>
      <c r="J170" s="36">
        <f t="shared" si="19"/>
        <v>-5</v>
      </c>
      <c r="K170" s="36">
        <f t="shared" si="16"/>
        <v>-50</v>
      </c>
      <c r="L170" s="36"/>
      <c r="M170" s="38">
        <f t="shared" si="17"/>
        <v>0</v>
      </c>
      <c r="N170" s="38" t="str">
        <f t="shared" si="20"/>
        <v/>
      </c>
    </row>
    <row r="171" spans="1:14" x14ac:dyDescent="0.25">
      <c r="A171" s="57" t="str">
        <f t="shared" si="18"/>
        <v/>
      </c>
      <c r="G171" s="14"/>
      <c r="H171" s="36">
        <v>166</v>
      </c>
      <c r="I171" s="37" t="str">
        <f t="shared" si="15"/>
        <v/>
      </c>
      <c r="J171" s="36">
        <f t="shared" si="19"/>
        <v>-5</v>
      </c>
      <c r="K171" s="36">
        <f t="shared" si="16"/>
        <v>-50</v>
      </c>
      <c r="L171" s="36"/>
      <c r="M171" s="38">
        <f t="shared" si="17"/>
        <v>0</v>
      </c>
      <c r="N171" s="38" t="str">
        <f t="shared" si="20"/>
        <v/>
      </c>
    </row>
    <row r="172" spans="1:14" x14ac:dyDescent="0.25">
      <c r="A172" s="57" t="str">
        <f t="shared" si="18"/>
        <v/>
      </c>
      <c r="G172" s="14"/>
      <c r="H172" s="36">
        <v>167</v>
      </c>
      <c r="I172" s="37" t="str">
        <f t="shared" si="15"/>
        <v/>
      </c>
      <c r="J172" s="36">
        <f t="shared" si="19"/>
        <v>-5</v>
      </c>
      <c r="K172" s="36">
        <f t="shared" si="16"/>
        <v>-50</v>
      </c>
      <c r="L172" s="36"/>
      <c r="M172" s="38">
        <f t="shared" si="17"/>
        <v>0</v>
      </c>
      <c r="N172" s="38" t="str">
        <f t="shared" si="20"/>
        <v/>
      </c>
    </row>
    <row r="173" spans="1:14" x14ac:dyDescent="0.25">
      <c r="A173" s="57" t="str">
        <f t="shared" si="18"/>
        <v/>
      </c>
      <c r="G173" s="14"/>
      <c r="H173" s="36">
        <v>168</v>
      </c>
      <c r="I173" s="37" t="str">
        <f t="shared" si="15"/>
        <v/>
      </c>
      <c r="J173" s="36">
        <f t="shared" si="19"/>
        <v>-5</v>
      </c>
      <c r="K173" s="36">
        <f t="shared" si="16"/>
        <v>-50</v>
      </c>
      <c r="L173" s="36"/>
      <c r="M173" s="38">
        <f t="shared" si="17"/>
        <v>0</v>
      </c>
      <c r="N173" s="38" t="str">
        <f t="shared" si="20"/>
        <v/>
      </c>
    </row>
    <row r="174" spans="1:14" x14ac:dyDescent="0.25">
      <c r="A174" s="57" t="str">
        <f t="shared" si="18"/>
        <v/>
      </c>
      <c r="G174" s="14"/>
      <c r="H174" s="36">
        <v>169</v>
      </c>
      <c r="I174" s="37" t="str">
        <f t="shared" si="15"/>
        <v/>
      </c>
      <c r="J174" s="36">
        <f t="shared" si="19"/>
        <v>-5</v>
      </c>
      <c r="K174" s="36">
        <f t="shared" si="16"/>
        <v>-50</v>
      </c>
      <c r="L174" s="36"/>
      <c r="M174" s="38">
        <f t="shared" si="17"/>
        <v>0</v>
      </c>
      <c r="N174" s="38" t="str">
        <f t="shared" si="20"/>
        <v/>
      </c>
    </row>
    <row r="175" spans="1:14" x14ac:dyDescent="0.25">
      <c r="A175" s="57" t="str">
        <f t="shared" si="18"/>
        <v/>
      </c>
      <c r="G175" s="14"/>
      <c r="H175" s="36">
        <v>170</v>
      </c>
      <c r="I175" s="37" t="str">
        <f t="shared" si="15"/>
        <v/>
      </c>
      <c r="J175" s="36">
        <f t="shared" si="19"/>
        <v>-5</v>
      </c>
      <c r="K175" s="36">
        <f t="shared" si="16"/>
        <v>-50</v>
      </c>
      <c r="L175" s="36"/>
      <c r="M175" s="38">
        <f t="shared" si="17"/>
        <v>0</v>
      </c>
      <c r="N175" s="38" t="str">
        <f t="shared" si="20"/>
        <v/>
      </c>
    </row>
    <row r="176" spans="1:14" x14ac:dyDescent="0.25">
      <c r="A176" s="57" t="str">
        <f t="shared" si="18"/>
        <v/>
      </c>
      <c r="G176" s="14"/>
      <c r="H176" s="36">
        <v>171</v>
      </c>
      <c r="I176" s="37" t="str">
        <f t="shared" si="15"/>
        <v/>
      </c>
      <c r="J176" s="36">
        <f t="shared" si="19"/>
        <v>-5</v>
      </c>
      <c r="K176" s="36">
        <f t="shared" si="16"/>
        <v>-50</v>
      </c>
      <c r="L176" s="36"/>
      <c r="M176" s="38">
        <f t="shared" si="17"/>
        <v>0</v>
      </c>
      <c r="N176" s="38" t="str">
        <f t="shared" si="20"/>
        <v/>
      </c>
    </row>
    <row r="177" spans="1:14" x14ac:dyDescent="0.25">
      <c r="A177" s="57" t="str">
        <f t="shared" si="18"/>
        <v/>
      </c>
      <c r="G177" s="14"/>
      <c r="H177" s="36">
        <v>172</v>
      </c>
      <c r="I177" s="37" t="str">
        <f t="shared" si="15"/>
        <v/>
      </c>
      <c r="J177" s="36">
        <f t="shared" si="19"/>
        <v>-5</v>
      </c>
      <c r="K177" s="36">
        <f t="shared" si="16"/>
        <v>-50</v>
      </c>
      <c r="L177" s="36"/>
      <c r="M177" s="38">
        <f t="shared" si="17"/>
        <v>0</v>
      </c>
      <c r="N177" s="38" t="str">
        <f t="shared" si="20"/>
        <v/>
      </c>
    </row>
    <row r="178" spans="1:14" x14ac:dyDescent="0.25">
      <c r="A178" s="57" t="str">
        <f t="shared" si="18"/>
        <v/>
      </c>
      <c r="G178" s="14"/>
      <c r="H178" s="36">
        <v>173</v>
      </c>
      <c r="I178" s="37" t="str">
        <f t="shared" si="15"/>
        <v/>
      </c>
      <c r="J178" s="36">
        <f t="shared" si="19"/>
        <v>-5</v>
      </c>
      <c r="K178" s="36">
        <f t="shared" si="16"/>
        <v>-50</v>
      </c>
      <c r="L178" s="36"/>
      <c r="M178" s="38">
        <f t="shared" si="17"/>
        <v>0</v>
      </c>
      <c r="N178" s="38" t="str">
        <f t="shared" si="20"/>
        <v/>
      </c>
    </row>
    <row r="179" spans="1:14" x14ac:dyDescent="0.25">
      <c r="A179" s="57" t="str">
        <f t="shared" si="18"/>
        <v/>
      </c>
      <c r="G179" s="14"/>
      <c r="H179" s="36">
        <v>174</v>
      </c>
      <c r="I179" s="37" t="str">
        <f t="shared" si="15"/>
        <v/>
      </c>
      <c r="J179" s="36">
        <f t="shared" si="19"/>
        <v>-5</v>
      </c>
      <c r="K179" s="36">
        <f t="shared" si="16"/>
        <v>-50</v>
      </c>
      <c r="L179" s="36"/>
      <c r="M179" s="38">
        <f t="shared" si="17"/>
        <v>0</v>
      </c>
      <c r="N179" s="38" t="str">
        <f t="shared" si="20"/>
        <v/>
      </c>
    </row>
    <row r="180" spans="1:14" x14ac:dyDescent="0.25">
      <c r="A180" s="57" t="str">
        <f t="shared" si="18"/>
        <v/>
      </c>
      <c r="G180" s="14"/>
      <c r="H180" s="36">
        <v>175</v>
      </c>
      <c r="I180" s="37" t="str">
        <f t="shared" si="15"/>
        <v/>
      </c>
      <c r="J180" s="36">
        <f t="shared" si="19"/>
        <v>-5</v>
      </c>
      <c r="K180" s="36">
        <f t="shared" si="16"/>
        <v>-50</v>
      </c>
      <c r="L180" s="36"/>
      <c r="M180" s="38">
        <f t="shared" si="17"/>
        <v>0</v>
      </c>
      <c r="N180" s="38" t="str">
        <f t="shared" si="20"/>
        <v/>
      </c>
    </row>
    <row r="181" spans="1:14" x14ac:dyDescent="0.25">
      <c r="A181" s="57" t="str">
        <f t="shared" si="18"/>
        <v/>
      </c>
      <c r="G181" s="14"/>
      <c r="H181" s="36">
        <v>176</v>
      </c>
      <c r="I181" s="37" t="str">
        <f t="shared" si="15"/>
        <v/>
      </c>
      <c r="J181" s="36">
        <f t="shared" si="19"/>
        <v>-5</v>
      </c>
      <c r="K181" s="36">
        <f t="shared" si="16"/>
        <v>-50</v>
      </c>
      <c r="L181" s="36"/>
      <c r="M181" s="38">
        <f t="shared" si="17"/>
        <v>0</v>
      </c>
      <c r="N181" s="38" t="str">
        <f t="shared" si="20"/>
        <v/>
      </c>
    </row>
    <row r="182" spans="1:14" x14ac:dyDescent="0.25">
      <c r="A182" s="57" t="str">
        <f t="shared" si="18"/>
        <v/>
      </c>
      <c r="G182" s="14"/>
      <c r="H182" s="36">
        <v>177</v>
      </c>
      <c r="I182" s="37" t="str">
        <f t="shared" si="15"/>
        <v/>
      </c>
      <c r="J182" s="36">
        <f t="shared" si="19"/>
        <v>-5</v>
      </c>
      <c r="K182" s="36">
        <f t="shared" si="16"/>
        <v>-50</v>
      </c>
      <c r="L182" s="36"/>
      <c r="M182" s="38">
        <f t="shared" si="17"/>
        <v>0</v>
      </c>
      <c r="N182" s="38" t="str">
        <f t="shared" si="20"/>
        <v/>
      </c>
    </row>
    <row r="183" spans="1:14" x14ac:dyDescent="0.25">
      <c r="A183" s="57" t="str">
        <f t="shared" si="18"/>
        <v/>
      </c>
      <c r="G183" s="14"/>
      <c r="H183" s="36">
        <v>178</v>
      </c>
      <c r="I183" s="37" t="str">
        <f t="shared" si="15"/>
        <v/>
      </c>
      <c r="J183" s="36">
        <f t="shared" si="19"/>
        <v>-5</v>
      </c>
      <c r="K183" s="36">
        <f t="shared" si="16"/>
        <v>-50</v>
      </c>
      <c r="L183" s="36"/>
      <c r="M183" s="38">
        <f t="shared" si="17"/>
        <v>0</v>
      </c>
      <c r="N183" s="38" t="str">
        <f t="shared" si="20"/>
        <v/>
      </c>
    </row>
    <row r="184" spans="1:14" x14ac:dyDescent="0.25">
      <c r="A184" s="57" t="str">
        <f t="shared" si="18"/>
        <v/>
      </c>
      <c r="G184" s="14"/>
      <c r="H184" s="36">
        <v>179</v>
      </c>
      <c r="I184" s="37" t="str">
        <f t="shared" si="15"/>
        <v/>
      </c>
      <c r="J184" s="36">
        <f t="shared" si="19"/>
        <v>-5</v>
      </c>
      <c r="K184" s="36">
        <f t="shared" si="16"/>
        <v>-50</v>
      </c>
      <c r="L184" s="36"/>
      <c r="M184" s="38">
        <f t="shared" si="17"/>
        <v>0</v>
      </c>
      <c r="N184" s="38" t="str">
        <f t="shared" si="20"/>
        <v/>
      </c>
    </row>
    <row r="185" spans="1:14" x14ac:dyDescent="0.25">
      <c r="A185" s="57" t="str">
        <f t="shared" si="18"/>
        <v/>
      </c>
      <c r="G185" s="14"/>
      <c r="H185" s="36">
        <v>180</v>
      </c>
      <c r="I185" s="37" t="str">
        <f t="shared" si="15"/>
        <v/>
      </c>
      <c r="J185" s="36">
        <f t="shared" si="19"/>
        <v>-5</v>
      </c>
      <c r="K185" s="36">
        <f t="shared" si="16"/>
        <v>-50</v>
      </c>
      <c r="L185" s="36"/>
      <c r="M185" s="38">
        <f t="shared" si="17"/>
        <v>0</v>
      </c>
      <c r="N185" s="38" t="str">
        <f t="shared" si="20"/>
        <v/>
      </c>
    </row>
    <row r="186" spans="1:14" x14ac:dyDescent="0.25">
      <c r="A186" s="57" t="str">
        <f t="shared" si="18"/>
        <v/>
      </c>
      <c r="G186" s="14"/>
      <c r="H186" s="36">
        <v>181</v>
      </c>
      <c r="I186" s="37" t="str">
        <f t="shared" si="15"/>
        <v/>
      </c>
      <c r="J186" s="36">
        <f t="shared" si="19"/>
        <v>-5</v>
      </c>
      <c r="K186" s="36">
        <f t="shared" si="16"/>
        <v>-50</v>
      </c>
      <c r="L186" s="36"/>
      <c r="M186" s="38">
        <f t="shared" si="17"/>
        <v>0</v>
      </c>
      <c r="N186" s="38" t="str">
        <f t="shared" si="20"/>
        <v/>
      </c>
    </row>
    <row r="187" spans="1:14" x14ac:dyDescent="0.25">
      <c r="A187" s="57" t="str">
        <f t="shared" si="18"/>
        <v/>
      </c>
      <c r="G187" s="14"/>
      <c r="H187" s="36">
        <v>182</v>
      </c>
      <c r="I187" s="37" t="str">
        <f t="shared" si="15"/>
        <v/>
      </c>
      <c r="J187" s="36">
        <f t="shared" si="19"/>
        <v>-5</v>
      </c>
      <c r="K187" s="36">
        <f t="shared" si="16"/>
        <v>-50</v>
      </c>
      <c r="L187" s="36"/>
      <c r="M187" s="38">
        <f t="shared" si="17"/>
        <v>0</v>
      </c>
      <c r="N187" s="38" t="str">
        <f t="shared" si="20"/>
        <v/>
      </c>
    </row>
    <row r="188" spans="1:14" x14ac:dyDescent="0.25">
      <c r="A188" s="57" t="str">
        <f t="shared" si="18"/>
        <v/>
      </c>
      <c r="G188" s="14"/>
      <c r="H188" s="36">
        <v>183</v>
      </c>
      <c r="I188" s="37" t="str">
        <f t="shared" si="15"/>
        <v/>
      </c>
      <c r="J188" s="36">
        <f t="shared" si="19"/>
        <v>-5</v>
      </c>
      <c r="K188" s="36">
        <f t="shared" si="16"/>
        <v>-50</v>
      </c>
      <c r="L188" s="36"/>
      <c r="M188" s="38">
        <f t="shared" si="17"/>
        <v>0</v>
      </c>
      <c r="N188" s="38" t="str">
        <f t="shared" si="20"/>
        <v/>
      </c>
    </row>
    <row r="189" spans="1:14" x14ac:dyDescent="0.25">
      <c r="A189" s="57" t="str">
        <f t="shared" si="18"/>
        <v/>
      </c>
      <c r="G189" s="14"/>
      <c r="H189" s="36">
        <v>184</v>
      </c>
      <c r="I189" s="37" t="str">
        <f t="shared" si="15"/>
        <v/>
      </c>
      <c r="J189" s="36">
        <f t="shared" si="19"/>
        <v>-5</v>
      </c>
      <c r="K189" s="36">
        <f t="shared" si="16"/>
        <v>-50</v>
      </c>
      <c r="L189" s="36"/>
      <c r="M189" s="38">
        <f t="shared" si="17"/>
        <v>0</v>
      </c>
      <c r="N189" s="38" t="str">
        <f t="shared" si="20"/>
        <v/>
      </c>
    </row>
    <row r="190" spans="1:14" x14ac:dyDescent="0.25">
      <c r="A190" s="57" t="str">
        <f t="shared" si="18"/>
        <v/>
      </c>
      <c r="G190" s="14"/>
      <c r="H190" s="36">
        <v>185</v>
      </c>
      <c r="I190" s="37" t="str">
        <f t="shared" si="15"/>
        <v/>
      </c>
      <c r="J190" s="36">
        <f t="shared" si="19"/>
        <v>-5</v>
      </c>
      <c r="K190" s="36">
        <f t="shared" si="16"/>
        <v>-50</v>
      </c>
      <c r="L190" s="36"/>
      <c r="M190" s="38">
        <f t="shared" si="17"/>
        <v>0</v>
      </c>
      <c r="N190" s="38" t="str">
        <f t="shared" si="20"/>
        <v/>
      </c>
    </row>
    <row r="191" spans="1:14" x14ac:dyDescent="0.25">
      <c r="A191" s="57" t="str">
        <f t="shared" si="18"/>
        <v/>
      </c>
      <c r="G191" s="14"/>
      <c r="H191" s="36">
        <v>186</v>
      </c>
      <c r="I191" s="37" t="str">
        <f t="shared" si="15"/>
        <v/>
      </c>
      <c r="J191" s="36">
        <f t="shared" si="19"/>
        <v>-5</v>
      </c>
      <c r="K191" s="36">
        <f t="shared" si="16"/>
        <v>-50</v>
      </c>
      <c r="L191" s="36"/>
      <c r="M191" s="38">
        <f t="shared" si="17"/>
        <v>0</v>
      </c>
      <c r="N191" s="38" t="str">
        <f t="shared" si="20"/>
        <v/>
      </c>
    </row>
    <row r="192" spans="1:14" x14ac:dyDescent="0.25">
      <c r="A192" s="57" t="str">
        <f t="shared" si="18"/>
        <v/>
      </c>
      <c r="G192" s="14"/>
      <c r="H192" s="36">
        <v>187</v>
      </c>
      <c r="I192" s="37" t="str">
        <f t="shared" si="15"/>
        <v/>
      </c>
      <c r="J192" s="36">
        <f t="shared" si="19"/>
        <v>-5</v>
      </c>
      <c r="K192" s="36">
        <f t="shared" si="16"/>
        <v>-50</v>
      </c>
      <c r="L192" s="36"/>
      <c r="M192" s="38">
        <f t="shared" si="17"/>
        <v>0</v>
      </c>
      <c r="N192" s="38" t="str">
        <f t="shared" si="20"/>
        <v/>
      </c>
    </row>
    <row r="193" spans="1:14" x14ac:dyDescent="0.25">
      <c r="A193" s="57" t="str">
        <f t="shared" si="18"/>
        <v/>
      </c>
      <c r="G193" s="14"/>
      <c r="H193" s="36">
        <v>188</v>
      </c>
      <c r="I193" s="37" t="str">
        <f t="shared" si="15"/>
        <v/>
      </c>
      <c r="J193" s="36">
        <f t="shared" si="19"/>
        <v>-5</v>
      </c>
      <c r="K193" s="36">
        <f t="shared" si="16"/>
        <v>-50</v>
      </c>
      <c r="L193" s="36"/>
      <c r="M193" s="38">
        <f t="shared" si="17"/>
        <v>0</v>
      </c>
      <c r="N193" s="38" t="str">
        <f t="shared" si="20"/>
        <v/>
      </c>
    </row>
    <row r="194" spans="1:14" x14ac:dyDescent="0.25">
      <c r="A194" s="57" t="str">
        <f t="shared" si="18"/>
        <v/>
      </c>
      <c r="G194" s="14"/>
      <c r="H194" s="36">
        <v>189</v>
      </c>
      <c r="I194" s="37" t="str">
        <f t="shared" si="15"/>
        <v/>
      </c>
      <c r="J194" s="36">
        <f t="shared" si="19"/>
        <v>-5</v>
      </c>
      <c r="K194" s="36">
        <f t="shared" si="16"/>
        <v>-50</v>
      </c>
      <c r="L194" s="36"/>
      <c r="M194" s="38">
        <f t="shared" si="17"/>
        <v>0</v>
      </c>
      <c r="N194" s="38" t="str">
        <f t="shared" si="20"/>
        <v/>
      </c>
    </row>
    <row r="195" spans="1:14" x14ac:dyDescent="0.25">
      <c r="A195" s="57" t="str">
        <f t="shared" si="18"/>
        <v/>
      </c>
      <c r="G195" s="14"/>
      <c r="H195" s="36">
        <v>190</v>
      </c>
      <c r="I195" s="37" t="str">
        <f t="shared" si="15"/>
        <v/>
      </c>
      <c r="J195" s="36">
        <f t="shared" si="19"/>
        <v>-5</v>
      </c>
      <c r="K195" s="36">
        <f t="shared" si="16"/>
        <v>-50</v>
      </c>
      <c r="L195" s="36"/>
      <c r="M195" s="38">
        <f t="shared" si="17"/>
        <v>0</v>
      </c>
      <c r="N195" s="38" t="str">
        <f t="shared" si="20"/>
        <v/>
      </c>
    </row>
    <row r="196" spans="1:14" x14ac:dyDescent="0.25">
      <c r="A196" s="57" t="str">
        <f t="shared" si="18"/>
        <v/>
      </c>
      <c r="G196" s="14"/>
      <c r="H196" s="36">
        <v>191</v>
      </c>
      <c r="I196" s="37" t="str">
        <f t="shared" si="15"/>
        <v/>
      </c>
      <c r="J196" s="36">
        <f t="shared" si="19"/>
        <v>-5</v>
      </c>
      <c r="K196" s="36">
        <f t="shared" si="16"/>
        <v>-50</v>
      </c>
      <c r="L196" s="36"/>
      <c r="M196" s="38">
        <f t="shared" si="17"/>
        <v>0</v>
      </c>
      <c r="N196" s="38" t="str">
        <f t="shared" si="20"/>
        <v/>
      </c>
    </row>
    <row r="197" spans="1:14" x14ac:dyDescent="0.25">
      <c r="A197" s="57" t="str">
        <f t="shared" si="18"/>
        <v/>
      </c>
      <c r="G197" s="14"/>
      <c r="H197" s="36">
        <v>192</v>
      </c>
      <c r="I197" s="37" t="str">
        <f t="shared" si="15"/>
        <v/>
      </c>
      <c r="J197" s="36">
        <f t="shared" si="19"/>
        <v>-5</v>
      </c>
      <c r="K197" s="36">
        <f t="shared" si="16"/>
        <v>-50</v>
      </c>
      <c r="L197" s="36"/>
      <c r="M197" s="38">
        <f t="shared" si="17"/>
        <v>0</v>
      </c>
      <c r="N197" s="38" t="str">
        <f t="shared" si="20"/>
        <v/>
      </c>
    </row>
    <row r="198" spans="1:14" x14ac:dyDescent="0.25">
      <c r="A198" s="57" t="str">
        <f t="shared" si="18"/>
        <v/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19"/>
        <v>-5</v>
      </c>
      <c r="K198" s="36">
        <f t="shared" ref="K198:K261" si="22">J198*$J$2</f>
        <v>-50</v>
      </c>
      <c r="L198" s="36"/>
      <c r="M198" s="38">
        <f t="shared" ref="M198:M261" si="23">IF(I198&lt;&gt;"",K198+I198+L198,0)</f>
        <v>0</v>
      </c>
      <c r="N198" s="38" t="str">
        <f t="shared" si="20"/>
        <v/>
      </c>
    </row>
    <row r="199" spans="1:14" x14ac:dyDescent="0.25">
      <c r="A199" s="57" t="str">
        <f t="shared" ref="A199:A262" si="24">N199</f>
        <v/>
      </c>
      <c r="G199" s="14"/>
      <c r="H199" s="36">
        <v>194</v>
      </c>
      <c r="I199" s="37" t="str">
        <f t="shared" si="21"/>
        <v/>
      </c>
      <c r="J199" s="36">
        <f t="shared" ref="J199:J262" si="25">INT(LOG($H$2,2))-ROUNDUP(LOG(H199,2),0)+IF(OR($H$2=1,$H$2=2,$H$2=4,$H$2=8,$H$2=16,$H$2=32,$H$2=64,$H$2=128,$H$2=256),0,1)</f>
        <v>-5</v>
      </c>
      <c r="K199" s="36">
        <f t="shared" si="22"/>
        <v>-50</v>
      </c>
      <c r="L199" s="36"/>
      <c r="M199" s="38">
        <f t="shared" si="23"/>
        <v>0</v>
      </c>
      <c r="N199" s="38" t="str">
        <f t="shared" ref="N199:N262" si="26">IF(I199&lt;&gt;"",M199*L$2,"")</f>
        <v/>
      </c>
    </row>
    <row r="200" spans="1:14" x14ac:dyDescent="0.25">
      <c r="A200" s="57" t="str">
        <f t="shared" si="24"/>
        <v/>
      </c>
      <c r="G200" s="14"/>
      <c r="H200" s="36">
        <v>195</v>
      </c>
      <c r="I200" s="37" t="str">
        <f t="shared" si="21"/>
        <v/>
      </c>
      <c r="J200" s="36">
        <f t="shared" si="25"/>
        <v>-5</v>
      </c>
      <c r="K200" s="36">
        <f t="shared" si="22"/>
        <v>-50</v>
      </c>
      <c r="L200" s="36"/>
      <c r="M200" s="38">
        <f t="shared" si="23"/>
        <v>0</v>
      </c>
      <c r="N200" s="38" t="str">
        <f t="shared" si="26"/>
        <v/>
      </c>
    </row>
    <row r="201" spans="1:14" x14ac:dyDescent="0.25">
      <c r="A201" s="57" t="str">
        <f t="shared" si="24"/>
        <v/>
      </c>
      <c r="G201" s="14"/>
      <c r="H201" s="36">
        <v>196</v>
      </c>
      <c r="I201" s="37" t="str">
        <f t="shared" si="21"/>
        <v/>
      </c>
      <c r="J201" s="36">
        <f t="shared" si="25"/>
        <v>-5</v>
      </c>
      <c r="K201" s="36">
        <f t="shared" si="22"/>
        <v>-50</v>
      </c>
      <c r="L201" s="36"/>
      <c r="M201" s="38">
        <f t="shared" si="23"/>
        <v>0</v>
      </c>
      <c r="N201" s="38" t="str">
        <f t="shared" si="26"/>
        <v/>
      </c>
    </row>
    <row r="202" spans="1:14" x14ac:dyDescent="0.25">
      <c r="A202" s="57" t="str">
        <f t="shared" si="24"/>
        <v/>
      </c>
      <c r="G202" s="14"/>
      <c r="H202" s="36">
        <v>197</v>
      </c>
      <c r="I202" s="37" t="str">
        <f t="shared" si="21"/>
        <v/>
      </c>
      <c r="J202" s="36">
        <f t="shared" si="25"/>
        <v>-5</v>
      </c>
      <c r="K202" s="36">
        <f t="shared" si="22"/>
        <v>-50</v>
      </c>
      <c r="L202" s="36"/>
      <c r="M202" s="38">
        <f t="shared" si="23"/>
        <v>0</v>
      </c>
      <c r="N202" s="38" t="str">
        <f t="shared" si="26"/>
        <v/>
      </c>
    </row>
    <row r="203" spans="1:14" x14ac:dyDescent="0.25">
      <c r="A203" s="57" t="str">
        <f t="shared" si="24"/>
        <v/>
      </c>
      <c r="G203" s="14"/>
      <c r="H203" s="36">
        <v>198</v>
      </c>
      <c r="I203" s="37" t="str">
        <f t="shared" si="21"/>
        <v/>
      </c>
      <c r="J203" s="36">
        <f t="shared" si="25"/>
        <v>-5</v>
      </c>
      <c r="K203" s="36">
        <f t="shared" si="22"/>
        <v>-50</v>
      </c>
      <c r="L203" s="36"/>
      <c r="M203" s="38">
        <f t="shared" si="23"/>
        <v>0</v>
      </c>
      <c r="N203" s="38" t="str">
        <f t="shared" si="26"/>
        <v/>
      </c>
    </row>
    <row r="204" spans="1:14" x14ac:dyDescent="0.25">
      <c r="A204" s="57" t="str">
        <f t="shared" si="24"/>
        <v/>
      </c>
      <c r="G204" s="14"/>
      <c r="H204" s="36">
        <v>199</v>
      </c>
      <c r="I204" s="37" t="str">
        <f t="shared" si="21"/>
        <v/>
      </c>
      <c r="J204" s="36">
        <f t="shared" si="25"/>
        <v>-5</v>
      </c>
      <c r="K204" s="36">
        <f t="shared" si="22"/>
        <v>-50</v>
      </c>
      <c r="L204" s="36"/>
      <c r="M204" s="38">
        <f t="shared" si="23"/>
        <v>0</v>
      </c>
      <c r="N204" s="38" t="str">
        <f t="shared" si="26"/>
        <v/>
      </c>
    </row>
    <row r="205" spans="1:14" x14ac:dyDescent="0.25">
      <c r="A205" s="57" t="str">
        <f t="shared" si="24"/>
        <v/>
      </c>
      <c r="G205" s="14"/>
      <c r="H205" s="36">
        <v>200</v>
      </c>
      <c r="I205" s="37" t="str">
        <f t="shared" si="21"/>
        <v/>
      </c>
      <c r="J205" s="36">
        <f t="shared" si="25"/>
        <v>-5</v>
      </c>
      <c r="K205" s="36">
        <f t="shared" si="22"/>
        <v>-50</v>
      </c>
      <c r="L205" s="36"/>
      <c r="M205" s="38">
        <f t="shared" si="23"/>
        <v>0</v>
      </c>
      <c r="N205" s="38" t="str">
        <f t="shared" si="26"/>
        <v/>
      </c>
    </row>
    <row r="206" spans="1:14" x14ac:dyDescent="0.25">
      <c r="A206" s="57" t="str">
        <f t="shared" si="24"/>
        <v/>
      </c>
      <c r="G206" s="14"/>
      <c r="H206" s="36">
        <v>201</v>
      </c>
      <c r="I206" s="37" t="str">
        <f t="shared" si="21"/>
        <v/>
      </c>
      <c r="J206" s="36">
        <f t="shared" si="25"/>
        <v>-5</v>
      </c>
      <c r="K206" s="36">
        <f t="shared" si="22"/>
        <v>-50</v>
      </c>
      <c r="L206" s="36"/>
      <c r="M206" s="38">
        <f t="shared" si="23"/>
        <v>0</v>
      </c>
      <c r="N206" s="38" t="str">
        <f t="shared" si="26"/>
        <v/>
      </c>
    </row>
    <row r="207" spans="1:14" x14ac:dyDescent="0.25">
      <c r="A207" s="57" t="str">
        <f t="shared" si="24"/>
        <v/>
      </c>
      <c r="G207" s="14"/>
      <c r="H207" s="36">
        <v>202</v>
      </c>
      <c r="I207" s="37" t="str">
        <f t="shared" si="21"/>
        <v/>
      </c>
      <c r="J207" s="36">
        <f t="shared" si="25"/>
        <v>-5</v>
      </c>
      <c r="K207" s="36">
        <f t="shared" si="22"/>
        <v>-50</v>
      </c>
      <c r="L207" s="36"/>
      <c r="M207" s="38">
        <f t="shared" si="23"/>
        <v>0</v>
      </c>
      <c r="N207" s="38" t="str">
        <f t="shared" si="26"/>
        <v/>
      </c>
    </row>
    <row r="208" spans="1:14" x14ac:dyDescent="0.25">
      <c r="A208" s="57" t="str">
        <f t="shared" si="24"/>
        <v/>
      </c>
      <c r="G208" s="14"/>
      <c r="H208" s="36">
        <v>203</v>
      </c>
      <c r="I208" s="37" t="str">
        <f t="shared" si="21"/>
        <v/>
      </c>
      <c r="J208" s="36">
        <f t="shared" si="25"/>
        <v>-5</v>
      </c>
      <c r="K208" s="36">
        <f t="shared" si="22"/>
        <v>-50</v>
      </c>
      <c r="L208" s="36"/>
      <c r="M208" s="38">
        <f t="shared" si="23"/>
        <v>0</v>
      </c>
      <c r="N208" s="38" t="str">
        <f t="shared" si="26"/>
        <v/>
      </c>
    </row>
    <row r="209" spans="1:14" x14ac:dyDescent="0.25">
      <c r="A209" s="57" t="str">
        <f t="shared" si="24"/>
        <v/>
      </c>
      <c r="G209" s="14"/>
      <c r="H209" s="36">
        <v>204</v>
      </c>
      <c r="I209" s="37" t="str">
        <f t="shared" si="21"/>
        <v/>
      </c>
      <c r="J209" s="36">
        <f t="shared" si="25"/>
        <v>-5</v>
      </c>
      <c r="K209" s="36">
        <f t="shared" si="22"/>
        <v>-50</v>
      </c>
      <c r="L209" s="36"/>
      <c r="M209" s="38">
        <f t="shared" si="23"/>
        <v>0</v>
      </c>
      <c r="N209" s="38" t="str">
        <f t="shared" si="26"/>
        <v/>
      </c>
    </row>
    <row r="210" spans="1:14" x14ac:dyDescent="0.25">
      <c r="A210" s="57" t="str">
        <f t="shared" si="24"/>
        <v/>
      </c>
      <c r="G210" s="14"/>
      <c r="H210" s="36">
        <v>205</v>
      </c>
      <c r="I210" s="37" t="str">
        <f t="shared" si="21"/>
        <v/>
      </c>
      <c r="J210" s="36">
        <f t="shared" si="25"/>
        <v>-5</v>
      </c>
      <c r="K210" s="36">
        <f t="shared" si="22"/>
        <v>-50</v>
      </c>
      <c r="L210" s="36"/>
      <c r="M210" s="38">
        <f t="shared" si="23"/>
        <v>0</v>
      </c>
      <c r="N210" s="38" t="str">
        <f t="shared" si="26"/>
        <v/>
      </c>
    </row>
    <row r="211" spans="1:14" x14ac:dyDescent="0.25">
      <c r="A211" s="57" t="str">
        <f t="shared" si="24"/>
        <v/>
      </c>
      <c r="G211" s="14"/>
      <c r="H211" s="36">
        <v>206</v>
      </c>
      <c r="I211" s="37" t="str">
        <f t="shared" si="21"/>
        <v/>
      </c>
      <c r="J211" s="36">
        <f t="shared" si="25"/>
        <v>-5</v>
      </c>
      <c r="K211" s="36">
        <f t="shared" si="22"/>
        <v>-50</v>
      </c>
      <c r="L211" s="36"/>
      <c r="M211" s="38">
        <f t="shared" si="23"/>
        <v>0</v>
      </c>
      <c r="N211" s="38" t="str">
        <f t="shared" si="26"/>
        <v/>
      </c>
    </row>
    <row r="212" spans="1:14" x14ac:dyDescent="0.25">
      <c r="A212" s="57" t="str">
        <f t="shared" si="24"/>
        <v/>
      </c>
      <c r="G212" s="14"/>
      <c r="H212" s="36">
        <v>207</v>
      </c>
      <c r="I212" s="37" t="str">
        <f t="shared" si="21"/>
        <v/>
      </c>
      <c r="J212" s="36">
        <f t="shared" si="25"/>
        <v>-5</v>
      </c>
      <c r="K212" s="36">
        <f t="shared" si="22"/>
        <v>-50</v>
      </c>
      <c r="L212" s="36"/>
      <c r="M212" s="38">
        <f t="shared" si="23"/>
        <v>0</v>
      </c>
      <c r="N212" s="38" t="str">
        <f t="shared" si="26"/>
        <v/>
      </c>
    </row>
    <row r="213" spans="1:14" x14ac:dyDescent="0.25">
      <c r="A213" s="57" t="str">
        <f t="shared" si="24"/>
        <v/>
      </c>
      <c r="G213" s="14"/>
      <c r="H213" s="36">
        <v>208</v>
      </c>
      <c r="I213" s="37" t="str">
        <f t="shared" si="21"/>
        <v/>
      </c>
      <c r="J213" s="36">
        <f t="shared" si="25"/>
        <v>-5</v>
      </c>
      <c r="K213" s="36">
        <f t="shared" si="22"/>
        <v>-50</v>
      </c>
      <c r="L213" s="36"/>
      <c r="M213" s="38">
        <f t="shared" si="23"/>
        <v>0</v>
      </c>
      <c r="N213" s="38" t="str">
        <f t="shared" si="26"/>
        <v/>
      </c>
    </row>
    <row r="214" spans="1:14" x14ac:dyDescent="0.25">
      <c r="A214" s="57" t="str">
        <f t="shared" si="24"/>
        <v/>
      </c>
      <c r="G214" s="14"/>
      <c r="H214" s="36">
        <v>209</v>
      </c>
      <c r="I214" s="37" t="str">
        <f t="shared" si="21"/>
        <v/>
      </c>
      <c r="J214" s="36">
        <f t="shared" si="25"/>
        <v>-5</v>
      </c>
      <c r="K214" s="36">
        <f t="shared" si="22"/>
        <v>-50</v>
      </c>
      <c r="L214" s="36"/>
      <c r="M214" s="38">
        <f t="shared" si="23"/>
        <v>0</v>
      </c>
      <c r="N214" s="38" t="str">
        <f t="shared" si="26"/>
        <v/>
      </c>
    </row>
    <row r="215" spans="1:14" x14ac:dyDescent="0.25">
      <c r="A215" s="57" t="str">
        <f t="shared" si="24"/>
        <v/>
      </c>
      <c r="G215" s="14"/>
      <c r="H215" s="36">
        <v>210</v>
      </c>
      <c r="I215" s="37" t="str">
        <f t="shared" si="21"/>
        <v/>
      </c>
      <c r="J215" s="36">
        <f t="shared" si="25"/>
        <v>-5</v>
      </c>
      <c r="K215" s="36">
        <f t="shared" si="22"/>
        <v>-50</v>
      </c>
      <c r="L215" s="36"/>
      <c r="M215" s="38">
        <f t="shared" si="23"/>
        <v>0</v>
      </c>
      <c r="N215" s="38" t="str">
        <f t="shared" si="26"/>
        <v/>
      </c>
    </row>
    <row r="216" spans="1:14" x14ac:dyDescent="0.25">
      <c r="A216" s="57" t="str">
        <f t="shared" si="24"/>
        <v/>
      </c>
      <c r="G216" s="14"/>
      <c r="H216" s="36">
        <v>211</v>
      </c>
      <c r="I216" s="37" t="str">
        <f t="shared" si="21"/>
        <v/>
      </c>
      <c r="J216" s="36">
        <f t="shared" si="25"/>
        <v>-5</v>
      </c>
      <c r="K216" s="36">
        <f t="shared" si="22"/>
        <v>-50</v>
      </c>
      <c r="L216" s="36"/>
      <c r="M216" s="38">
        <f t="shared" si="23"/>
        <v>0</v>
      </c>
      <c r="N216" s="38" t="str">
        <f t="shared" si="26"/>
        <v/>
      </c>
    </row>
    <row r="217" spans="1:14" x14ac:dyDescent="0.25">
      <c r="A217" s="57" t="str">
        <f t="shared" si="24"/>
        <v/>
      </c>
      <c r="G217" s="14"/>
      <c r="H217" s="36">
        <v>212</v>
      </c>
      <c r="I217" s="37" t="str">
        <f t="shared" si="21"/>
        <v/>
      </c>
      <c r="J217" s="36">
        <f t="shared" si="25"/>
        <v>-5</v>
      </c>
      <c r="K217" s="36">
        <f t="shared" si="22"/>
        <v>-50</v>
      </c>
      <c r="L217" s="36"/>
      <c r="M217" s="38">
        <f t="shared" si="23"/>
        <v>0</v>
      </c>
      <c r="N217" s="38" t="str">
        <f t="shared" si="26"/>
        <v/>
      </c>
    </row>
    <row r="218" spans="1:14" x14ac:dyDescent="0.25">
      <c r="A218" s="57" t="str">
        <f t="shared" si="24"/>
        <v/>
      </c>
      <c r="G218" s="14"/>
      <c r="H218" s="36">
        <v>213</v>
      </c>
      <c r="I218" s="37" t="str">
        <f t="shared" si="21"/>
        <v/>
      </c>
      <c r="J218" s="36">
        <f t="shared" si="25"/>
        <v>-5</v>
      </c>
      <c r="K218" s="36">
        <f t="shared" si="22"/>
        <v>-50</v>
      </c>
      <c r="L218" s="36"/>
      <c r="M218" s="38">
        <f t="shared" si="23"/>
        <v>0</v>
      </c>
      <c r="N218" s="38" t="str">
        <f t="shared" si="26"/>
        <v/>
      </c>
    </row>
    <row r="219" spans="1:14" x14ac:dyDescent="0.25">
      <c r="A219" s="57" t="str">
        <f t="shared" si="24"/>
        <v/>
      </c>
      <c r="G219" s="14"/>
      <c r="H219" s="36">
        <v>214</v>
      </c>
      <c r="I219" s="37" t="str">
        <f t="shared" si="21"/>
        <v/>
      </c>
      <c r="J219" s="36">
        <f t="shared" si="25"/>
        <v>-5</v>
      </c>
      <c r="K219" s="36">
        <f t="shared" si="22"/>
        <v>-50</v>
      </c>
      <c r="L219" s="36"/>
      <c r="M219" s="38">
        <f t="shared" si="23"/>
        <v>0</v>
      </c>
      <c r="N219" s="38" t="str">
        <f t="shared" si="26"/>
        <v/>
      </c>
    </row>
    <row r="220" spans="1:14" x14ac:dyDescent="0.25">
      <c r="A220" s="57" t="str">
        <f t="shared" si="24"/>
        <v/>
      </c>
      <c r="G220" s="14"/>
      <c r="H220" s="36">
        <v>215</v>
      </c>
      <c r="I220" s="37" t="str">
        <f t="shared" si="21"/>
        <v/>
      </c>
      <c r="J220" s="36">
        <f t="shared" si="25"/>
        <v>-5</v>
      </c>
      <c r="K220" s="36">
        <f t="shared" si="22"/>
        <v>-50</v>
      </c>
      <c r="L220" s="36"/>
      <c r="M220" s="38">
        <f t="shared" si="23"/>
        <v>0</v>
      </c>
      <c r="N220" s="38" t="str">
        <f t="shared" si="26"/>
        <v/>
      </c>
    </row>
    <row r="221" spans="1:14" x14ac:dyDescent="0.25">
      <c r="A221" s="57" t="str">
        <f t="shared" si="24"/>
        <v/>
      </c>
      <c r="G221" s="14"/>
      <c r="H221" s="36">
        <v>216</v>
      </c>
      <c r="I221" s="37" t="str">
        <f t="shared" si="21"/>
        <v/>
      </c>
      <c r="J221" s="36">
        <f t="shared" si="25"/>
        <v>-5</v>
      </c>
      <c r="K221" s="36">
        <f t="shared" si="22"/>
        <v>-50</v>
      </c>
      <c r="L221" s="36"/>
      <c r="M221" s="38">
        <f t="shared" si="23"/>
        <v>0</v>
      </c>
      <c r="N221" s="38" t="str">
        <f t="shared" si="26"/>
        <v/>
      </c>
    </row>
    <row r="222" spans="1:14" x14ac:dyDescent="0.25">
      <c r="A222" s="57" t="str">
        <f t="shared" si="24"/>
        <v/>
      </c>
      <c r="G222" s="14"/>
      <c r="H222" s="36">
        <v>217</v>
      </c>
      <c r="I222" s="37" t="str">
        <f t="shared" si="21"/>
        <v/>
      </c>
      <c r="J222" s="36">
        <f t="shared" si="25"/>
        <v>-5</v>
      </c>
      <c r="K222" s="36">
        <f t="shared" si="22"/>
        <v>-50</v>
      </c>
      <c r="L222" s="36"/>
      <c r="M222" s="38">
        <f t="shared" si="23"/>
        <v>0</v>
      </c>
      <c r="N222" s="38" t="str">
        <f t="shared" si="26"/>
        <v/>
      </c>
    </row>
    <row r="223" spans="1:14" x14ac:dyDescent="0.25">
      <c r="A223" s="57" t="str">
        <f t="shared" si="24"/>
        <v/>
      </c>
      <c r="G223" s="14"/>
      <c r="H223" s="36">
        <v>218</v>
      </c>
      <c r="I223" s="37" t="str">
        <f t="shared" si="21"/>
        <v/>
      </c>
      <c r="J223" s="36">
        <f t="shared" si="25"/>
        <v>-5</v>
      </c>
      <c r="K223" s="36">
        <f t="shared" si="22"/>
        <v>-50</v>
      </c>
      <c r="L223" s="36"/>
      <c r="M223" s="38">
        <f t="shared" si="23"/>
        <v>0</v>
      </c>
      <c r="N223" s="38" t="str">
        <f t="shared" si="26"/>
        <v/>
      </c>
    </row>
    <row r="224" spans="1:14" x14ac:dyDescent="0.25">
      <c r="A224" s="57" t="str">
        <f t="shared" si="24"/>
        <v/>
      </c>
      <c r="G224" s="14"/>
      <c r="H224" s="36">
        <v>219</v>
      </c>
      <c r="I224" s="37" t="str">
        <f t="shared" si="21"/>
        <v/>
      </c>
      <c r="J224" s="36">
        <f t="shared" si="25"/>
        <v>-5</v>
      </c>
      <c r="K224" s="36">
        <f t="shared" si="22"/>
        <v>-50</v>
      </c>
      <c r="L224" s="36"/>
      <c r="M224" s="38">
        <f t="shared" si="23"/>
        <v>0</v>
      </c>
      <c r="N224" s="38" t="str">
        <f t="shared" si="26"/>
        <v/>
      </c>
    </row>
    <row r="225" spans="1:14" x14ac:dyDescent="0.25">
      <c r="A225" s="57" t="str">
        <f t="shared" si="24"/>
        <v/>
      </c>
      <c r="G225" s="14"/>
      <c r="H225" s="36">
        <v>220</v>
      </c>
      <c r="I225" s="37" t="str">
        <f t="shared" si="21"/>
        <v/>
      </c>
      <c r="J225" s="36">
        <f t="shared" si="25"/>
        <v>-5</v>
      </c>
      <c r="K225" s="36">
        <f t="shared" si="22"/>
        <v>-50</v>
      </c>
      <c r="L225" s="36"/>
      <c r="M225" s="38">
        <f t="shared" si="23"/>
        <v>0</v>
      </c>
      <c r="N225" s="38" t="str">
        <f t="shared" si="26"/>
        <v/>
      </c>
    </row>
    <row r="226" spans="1:14" x14ac:dyDescent="0.25">
      <c r="A226" s="57" t="str">
        <f t="shared" si="24"/>
        <v/>
      </c>
      <c r="G226" s="14"/>
      <c r="H226" s="36">
        <v>221</v>
      </c>
      <c r="I226" s="37" t="str">
        <f t="shared" si="21"/>
        <v/>
      </c>
      <c r="J226" s="36">
        <f t="shared" si="25"/>
        <v>-5</v>
      </c>
      <c r="K226" s="36">
        <f t="shared" si="22"/>
        <v>-50</v>
      </c>
      <c r="L226" s="36"/>
      <c r="M226" s="38">
        <f t="shared" si="23"/>
        <v>0</v>
      </c>
      <c r="N226" s="38" t="str">
        <f t="shared" si="26"/>
        <v/>
      </c>
    </row>
    <row r="227" spans="1:14" x14ac:dyDescent="0.25">
      <c r="A227" s="57" t="str">
        <f t="shared" si="24"/>
        <v/>
      </c>
      <c r="G227" s="14"/>
      <c r="H227" s="36">
        <v>222</v>
      </c>
      <c r="I227" s="37" t="str">
        <f t="shared" si="21"/>
        <v/>
      </c>
      <c r="J227" s="36">
        <f t="shared" si="25"/>
        <v>-5</v>
      </c>
      <c r="K227" s="36">
        <f t="shared" si="22"/>
        <v>-50</v>
      </c>
      <c r="L227" s="36"/>
      <c r="M227" s="38">
        <f t="shared" si="23"/>
        <v>0</v>
      </c>
      <c r="N227" s="38" t="str">
        <f t="shared" si="26"/>
        <v/>
      </c>
    </row>
    <row r="228" spans="1:14" x14ac:dyDescent="0.25">
      <c r="A228" s="57" t="str">
        <f t="shared" si="24"/>
        <v/>
      </c>
      <c r="G228" s="14"/>
      <c r="H228" s="36">
        <v>223</v>
      </c>
      <c r="I228" s="37" t="str">
        <f t="shared" si="21"/>
        <v/>
      </c>
      <c r="J228" s="36">
        <f t="shared" si="25"/>
        <v>-5</v>
      </c>
      <c r="K228" s="36">
        <f t="shared" si="22"/>
        <v>-50</v>
      </c>
      <c r="L228" s="36"/>
      <c r="M228" s="38">
        <f t="shared" si="23"/>
        <v>0</v>
      </c>
      <c r="N228" s="38" t="str">
        <f t="shared" si="26"/>
        <v/>
      </c>
    </row>
    <row r="229" spans="1:14" x14ac:dyDescent="0.25">
      <c r="A229" s="57" t="str">
        <f t="shared" si="24"/>
        <v/>
      </c>
      <c r="G229" s="14"/>
      <c r="H229" s="36">
        <v>224</v>
      </c>
      <c r="I229" s="37" t="str">
        <f t="shared" si="21"/>
        <v/>
      </c>
      <c r="J229" s="36">
        <f t="shared" si="25"/>
        <v>-5</v>
      </c>
      <c r="K229" s="36">
        <f t="shared" si="22"/>
        <v>-50</v>
      </c>
      <c r="L229" s="36"/>
      <c r="M229" s="38">
        <f t="shared" si="23"/>
        <v>0</v>
      </c>
      <c r="N229" s="38" t="str">
        <f t="shared" si="26"/>
        <v/>
      </c>
    </row>
    <row r="230" spans="1:14" x14ac:dyDescent="0.25">
      <c r="A230" s="57" t="str">
        <f t="shared" si="24"/>
        <v/>
      </c>
      <c r="G230" s="14"/>
      <c r="H230" s="36">
        <v>225</v>
      </c>
      <c r="I230" s="37" t="str">
        <f t="shared" si="21"/>
        <v/>
      </c>
      <c r="J230" s="36">
        <f t="shared" si="25"/>
        <v>-5</v>
      </c>
      <c r="K230" s="36">
        <f t="shared" si="22"/>
        <v>-50</v>
      </c>
      <c r="L230" s="36"/>
      <c r="M230" s="38">
        <f t="shared" si="23"/>
        <v>0</v>
      </c>
      <c r="N230" s="38" t="str">
        <f t="shared" si="26"/>
        <v/>
      </c>
    </row>
    <row r="231" spans="1:14" x14ac:dyDescent="0.25">
      <c r="A231" s="57" t="str">
        <f t="shared" si="24"/>
        <v/>
      </c>
      <c r="G231" s="14"/>
      <c r="H231" s="36">
        <v>226</v>
      </c>
      <c r="I231" s="37" t="str">
        <f t="shared" si="21"/>
        <v/>
      </c>
      <c r="J231" s="36">
        <f t="shared" si="25"/>
        <v>-5</v>
      </c>
      <c r="K231" s="36">
        <f t="shared" si="22"/>
        <v>-50</v>
      </c>
      <c r="L231" s="36"/>
      <c r="M231" s="38">
        <f t="shared" si="23"/>
        <v>0</v>
      </c>
      <c r="N231" s="38" t="str">
        <f t="shared" si="26"/>
        <v/>
      </c>
    </row>
    <row r="232" spans="1:14" x14ac:dyDescent="0.25">
      <c r="A232" s="57" t="str">
        <f t="shared" si="24"/>
        <v/>
      </c>
      <c r="G232" s="14"/>
      <c r="H232" s="36">
        <v>227</v>
      </c>
      <c r="I232" s="37" t="str">
        <f t="shared" si="21"/>
        <v/>
      </c>
      <c r="J232" s="36">
        <f t="shared" si="25"/>
        <v>-5</v>
      </c>
      <c r="K232" s="36">
        <f t="shared" si="22"/>
        <v>-50</v>
      </c>
      <c r="L232" s="36"/>
      <c r="M232" s="38">
        <f t="shared" si="23"/>
        <v>0</v>
      </c>
      <c r="N232" s="38" t="str">
        <f t="shared" si="26"/>
        <v/>
      </c>
    </row>
    <row r="233" spans="1:14" x14ac:dyDescent="0.25">
      <c r="A233" s="57" t="str">
        <f t="shared" si="24"/>
        <v/>
      </c>
      <c r="G233" s="14"/>
      <c r="H233" s="36">
        <v>228</v>
      </c>
      <c r="I233" s="37" t="str">
        <f t="shared" si="21"/>
        <v/>
      </c>
      <c r="J233" s="36">
        <f t="shared" si="25"/>
        <v>-5</v>
      </c>
      <c r="K233" s="36">
        <f t="shared" si="22"/>
        <v>-50</v>
      </c>
      <c r="L233" s="36"/>
      <c r="M233" s="38">
        <f t="shared" si="23"/>
        <v>0</v>
      </c>
      <c r="N233" s="38" t="str">
        <f t="shared" si="26"/>
        <v/>
      </c>
    </row>
    <row r="234" spans="1:14" x14ac:dyDescent="0.25">
      <c r="A234" s="57" t="str">
        <f t="shared" si="24"/>
        <v/>
      </c>
      <c r="G234" s="14"/>
      <c r="H234" s="36">
        <v>229</v>
      </c>
      <c r="I234" s="37" t="str">
        <f t="shared" si="21"/>
        <v/>
      </c>
      <c r="J234" s="36">
        <f t="shared" si="25"/>
        <v>-5</v>
      </c>
      <c r="K234" s="36">
        <f t="shared" si="22"/>
        <v>-50</v>
      </c>
      <c r="L234" s="36"/>
      <c r="M234" s="38">
        <f t="shared" si="23"/>
        <v>0</v>
      </c>
      <c r="N234" s="38" t="str">
        <f t="shared" si="26"/>
        <v/>
      </c>
    </row>
    <row r="235" spans="1:14" x14ac:dyDescent="0.25">
      <c r="A235" s="57" t="str">
        <f t="shared" si="24"/>
        <v/>
      </c>
      <c r="G235" s="14"/>
      <c r="H235" s="36">
        <v>230</v>
      </c>
      <c r="I235" s="37" t="str">
        <f t="shared" si="21"/>
        <v/>
      </c>
      <c r="J235" s="36">
        <f t="shared" si="25"/>
        <v>-5</v>
      </c>
      <c r="K235" s="36">
        <f t="shared" si="22"/>
        <v>-50</v>
      </c>
      <c r="L235" s="36"/>
      <c r="M235" s="38">
        <f t="shared" si="23"/>
        <v>0</v>
      </c>
      <c r="N235" s="38" t="str">
        <f t="shared" si="26"/>
        <v/>
      </c>
    </row>
    <row r="236" spans="1:14" x14ac:dyDescent="0.25">
      <c r="A236" s="57" t="str">
        <f t="shared" si="24"/>
        <v/>
      </c>
      <c r="G236" s="14"/>
      <c r="H236" s="36">
        <v>231</v>
      </c>
      <c r="I236" s="37" t="str">
        <f t="shared" si="21"/>
        <v/>
      </c>
      <c r="J236" s="36">
        <f t="shared" si="25"/>
        <v>-5</v>
      </c>
      <c r="K236" s="36">
        <f t="shared" si="22"/>
        <v>-50</v>
      </c>
      <c r="L236" s="36"/>
      <c r="M236" s="38">
        <f t="shared" si="23"/>
        <v>0</v>
      </c>
      <c r="N236" s="38" t="str">
        <f t="shared" si="26"/>
        <v/>
      </c>
    </row>
    <row r="237" spans="1:14" x14ac:dyDescent="0.25">
      <c r="A237" s="57" t="str">
        <f t="shared" si="24"/>
        <v/>
      </c>
      <c r="G237" s="14"/>
      <c r="H237" s="36">
        <v>232</v>
      </c>
      <c r="I237" s="37" t="str">
        <f t="shared" si="21"/>
        <v/>
      </c>
      <c r="J237" s="36">
        <f t="shared" si="25"/>
        <v>-5</v>
      </c>
      <c r="K237" s="36">
        <f t="shared" si="22"/>
        <v>-50</v>
      </c>
      <c r="L237" s="36"/>
      <c r="M237" s="38">
        <f t="shared" si="23"/>
        <v>0</v>
      </c>
      <c r="N237" s="38" t="str">
        <f t="shared" si="26"/>
        <v/>
      </c>
    </row>
    <row r="238" spans="1:14" x14ac:dyDescent="0.25">
      <c r="A238" s="57" t="str">
        <f t="shared" si="24"/>
        <v/>
      </c>
      <c r="G238" s="14"/>
      <c r="H238" s="36">
        <v>233</v>
      </c>
      <c r="I238" s="37" t="str">
        <f t="shared" si="21"/>
        <v/>
      </c>
      <c r="J238" s="36">
        <f t="shared" si="25"/>
        <v>-5</v>
      </c>
      <c r="K238" s="36">
        <f t="shared" si="22"/>
        <v>-50</v>
      </c>
      <c r="L238" s="36"/>
      <c r="M238" s="38">
        <f t="shared" si="23"/>
        <v>0</v>
      </c>
      <c r="N238" s="38" t="str">
        <f t="shared" si="26"/>
        <v/>
      </c>
    </row>
    <row r="239" spans="1:14" x14ac:dyDescent="0.25">
      <c r="A239" s="57" t="str">
        <f t="shared" si="24"/>
        <v/>
      </c>
      <c r="G239" s="14"/>
      <c r="H239" s="36">
        <v>234</v>
      </c>
      <c r="I239" s="37" t="str">
        <f t="shared" si="21"/>
        <v/>
      </c>
      <c r="J239" s="36">
        <f t="shared" si="25"/>
        <v>-5</v>
      </c>
      <c r="K239" s="36">
        <f t="shared" si="22"/>
        <v>-50</v>
      </c>
      <c r="L239" s="36"/>
      <c r="M239" s="38">
        <f t="shared" si="23"/>
        <v>0</v>
      </c>
      <c r="N239" s="38" t="str">
        <f t="shared" si="26"/>
        <v/>
      </c>
    </row>
    <row r="240" spans="1:14" x14ac:dyDescent="0.25">
      <c r="A240" s="57" t="str">
        <f t="shared" si="24"/>
        <v/>
      </c>
      <c r="G240" s="14"/>
      <c r="H240" s="36">
        <v>235</v>
      </c>
      <c r="I240" s="37" t="str">
        <f t="shared" si="21"/>
        <v/>
      </c>
      <c r="J240" s="36">
        <f t="shared" si="25"/>
        <v>-5</v>
      </c>
      <c r="K240" s="36">
        <f t="shared" si="22"/>
        <v>-50</v>
      </c>
      <c r="L240" s="36"/>
      <c r="M240" s="38">
        <f t="shared" si="23"/>
        <v>0</v>
      </c>
      <c r="N240" s="38" t="str">
        <f t="shared" si="26"/>
        <v/>
      </c>
    </row>
    <row r="241" spans="1:14" x14ac:dyDescent="0.25">
      <c r="A241" s="57" t="str">
        <f t="shared" si="24"/>
        <v/>
      </c>
      <c r="G241" s="14"/>
      <c r="H241" s="36">
        <v>236</v>
      </c>
      <c r="I241" s="37" t="str">
        <f t="shared" si="21"/>
        <v/>
      </c>
      <c r="J241" s="36">
        <f t="shared" si="25"/>
        <v>-5</v>
      </c>
      <c r="K241" s="36">
        <f t="shared" si="22"/>
        <v>-50</v>
      </c>
      <c r="L241" s="36"/>
      <c r="M241" s="38">
        <f t="shared" si="23"/>
        <v>0</v>
      </c>
      <c r="N241" s="38" t="str">
        <f t="shared" si="26"/>
        <v/>
      </c>
    </row>
    <row r="242" spans="1:14" x14ac:dyDescent="0.25">
      <c r="A242" s="57" t="str">
        <f t="shared" si="24"/>
        <v/>
      </c>
      <c r="G242" s="14"/>
      <c r="H242" s="36">
        <v>237</v>
      </c>
      <c r="I242" s="37" t="str">
        <f t="shared" si="21"/>
        <v/>
      </c>
      <c r="J242" s="36">
        <f t="shared" si="25"/>
        <v>-5</v>
      </c>
      <c r="K242" s="36">
        <f t="shared" si="22"/>
        <v>-50</v>
      </c>
      <c r="L242" s="36"/>
      <c r="M242" s="38">
        <f t="shared" si="23"/>
        <v>0</v>
      </c>
      <c r="N242" s="38" t="str">
        <f t="shared" si="26"/>
        <v/>
      </c>
    </row>
    <row r="243" spans="1:14" x14ac:dyDescent="0.25">
      <c r="A243" s="57" t="str">
        <f t="shared" si="24"/>
        <v/>
      </c>
      <c r="G243" s="14"/>
      <c r="H243" s="36">
        <v>238</v>
      </c>
      <c r="I243" s="37" t="str">
        <f t="shared" si="21"/>
        <v/>
      </c>
      <c r="J243" s="36">
        <f t="shared" si="25"/>
        <v>-5</v>
      </c>
      <c r="K243" s="36">
        <f t="shared" si="22"/>
        <v>-50</v>
      </c>
      <c r="L243" s="36"/>
      <c r="M243" s="38">
        <f t="shared" si="23"/>
        <v>0</v>
      </c>
      <c r="N243" s="38" t="str">
        <f t="shared" si="26"/>
        <v/>
      </c>
    </row>
    <row r="244" spans="1:14" x14ac:dyDescent="0.25">
      <c r="A244" s="57" t="str">
        <f t="shared" si="24"/>
        <v/>
      </c>
      <c r="G244" s="14"/>
      <c r="H244" s="36">
        <v>239</v>
      </c>
      <c r="I244" s="37" t="str">
        <f t="shared" si="21"/>
        <v/>
      </c>
      <c r="J244" s="36">
        <f t="shared" si="25"/>
        <v>-5</v>
      </c>
      <c r="K244" s="36">
        <f t="shared" si="22"/>
        <v>-50</v>
      </c>
      <c r="L244" s="36"/>
      <c r="M244" s="38">
        <f t="shared" si="23"/>
        <v>0</v>
      </c>
      <c r="N244" s="38" t="str">
        <f t="shared" si="26"/>
        <v/>
      </c>
    </row>
    <row r="245" spans="1:14" x14ac:dyDescent="0.25">
      <c r="A245" s="57" t="str">
        <f t="shared" si="24"/>
        <v/>
      </c>
      <c r="G245" s="14"/>
      <c r="H245" s="36">
        <v>240</v>
      </c>
      <c r="I245" s="37" t="str">
        <f t="shared" si="21"/>
        <v/>
      </c>
      <c r="J245" s="36">
        <f t="shared" si="25"/>
        <v>-5</v>
      </c>
      <c r="K245" s="36">
        <f t="shared" si="22"/>
        <v>-50</v>
      </c>
      <c r="L245" s="36"/>
      <c r="M245" s="38">
        <f t="shared" si="23"/>
        <v>0</v>
      </c>
      <c r="N245" s="38" t="str">
        <f t="shared" si="26"/>
        <v/>
      </c>
    </row>
    <row r="246" spans="1:14" x14ac:dyDescent="0.25">
      <c r="A246" s="57" t="str">
        <f t="shared" si="24"/>
        <v/>
      </c>
      <c r="G246" s="14"/>
      <c r="H246" s="36">
        <v>241</v>
      </c>
      <c r="I246" s="37" t="str">
        <f t="shared" si="21"/>
        <v/>
      </c>
      <c r="J246" s="36">
        <f t="shared" si="25"/>
        <v>-5</v>
      </c>
      <c r="K246" s="36">
        <f t="shared" si="22"/>
        <v>-50</v>
      </c>
      <c r="L246" s="36"/>
      <c r="M246" s="38">
        <f t="shared" si="23"/>
        <v>0</v>
      </c>
      <c r="N246" s="38" t="str">
        <f t="shared" si="26"/>
        <v/>
      </c>
    </row>
    <row r="247" spans="1:14" x14ac:dyDescent="0.25">
      <c r="A247" s="57" t="str">
        <f t="shared" si="24"/>
        <v/>
      </c>
      <c r="G247" s="14"/>
      <c r="H247" s="36">
        <v>242</v>
      </c>
      <c r="I247" s="37" t="str">
        <f t="shared" si="21"/>
        <v/>
      </c>
      <c r="J247" s="36">
        <f t="shared" si="25"/>
        <v>-5</v>
      </c>
      <c r="K247" s="36">
        <f t="shared" si="22"/>
        <v>-50</v>
      </c>
      <c r="L247" s="36"/>
      <c r="M247" s="38">
        <f t="shared" si="23"/>
        <v>0</v>
      </c>
      <c r="N247" s="38" t="str">
        <f t="shared" si="26"/>
        <v/>
      </c>
    </row>
    <row r="248" spans="1:14" x14ac:dyDescent="0.25">
      <c r="A248" s="57" t="str">
        <f t="shared" si="24"/>
        <v/>
      </c>
      <c r="G248" s="14"/>
      <c r="H248" s="36">
        <v>243</v>
      </c>
      <c r="I248" s="37" t="str">
        <f t="shared" si="21"/>
        <v/>
      </c>
      <c r="J248" s="36">
        <f t="shared" si="25"/>
        <v>-5</v>
      </c>
      <c r="K248" s="36">
        <f t="shared" si="22"/>
        <v>-50</v>
      </c>
      <c r="L248" s="36"/>
      <c r="M248" s="38">
        <f t="shared" si="23"/>
        <v>0</v>
      </c>
      <c r="N248" s="38" t="str">
        <f t="shared" si="26"/>
        <v/>
      </c>
    </row>
    <row r="249" spans="1:14" x14ac:dyDescent="0.25">
      <c r="A249" s="57" t="str">
        <f t="shared" si="24"/>
        <v/>
      </c>
      <c r="G249" s="14"/>
      <c r="H249" s="36">
        <v>244</v>
      </c>
      <c r="I249" s="37" t="str">
        <f t="shared" si="21"/>
        <v/>
      </c>
      <c r="J249" s="36">
        <f t="shared" si="25"/>
        <v>-5</v>
      </c>
      <c r="K249" s="36">
        <f t="shared" si="22"/>
        <v>-50</v>
      </c>
      <c r="L249" s="36"/>
      <c r="M249" s="38">
        <f t="shared" si="23"/>
        <v>0</v>
      </c>
      <c r="N249" s="38" t="str">
        <f t="shared" si="26"/>
        <v/>
      </c>
    </row>
    <row r="250" spans="1:14" x14ac:dyDescent="0.25">
      <c r="A250" s="57" t="str">
        <f t="shared" si="24"/>
        <v/>
      </c>
      <c r="G250" s="14"/>
      <c r="H250" s="36">
        <v>245</v>
      </c>
      <c r="I250" s="37" t="str">
        <f t="shared" si="21"/>
        <v/>
      </c>
      <c r="J250" s="36">
        <f t="shared" si="25"/>
        <v>-5</v>
      </c>
      <c r="K250" s="36">
        <f t="shared" si="22"/>
        <v>-50</v>
      </c>
      <c r="L250" s="36"/>
      <c r="M250" s="38">
        <f t="shared" si="23"/>
        <v>0</v>
      </c>
      <c r="N250" s="38" t="str">
        <f t="shared" si="26"/>
        <v/>
      </c>
    </row>
    <row r="251" spans="1:14" x14ac:dyDescent="0.25">
      <c r="A251" s="57" t="str">
        <f t="shared" si="24"/>
        <v/>
      </c>
      <c r="G251" s="14"/>
      <c r="H251" s="36">
        <v>246</v>
      </c>
      <c r="I251" s="37" t="str">
        <f t="shared" si="21"/>
        <v/>
      </c>
      <c r="J251" s="36">
        <f t="shared" si="25"/>
        <v>-5</v>
      </c>
      <c r="K251" s="36">
        <f t="shared" si="22"/>
        <v>-50</v>
      </c>
      <c r="L251" s="36"/>
      <c r="M251" s="38">
        <f t="shared" si="23"/>
        <v>0</v>
      </c>
      <c r="N251" s="38" t="str">
        <f t="shared" si="26"/>
        <v/>
      </c>
    </row>
    <row r="252" spans="1:14" x14ac:dyDescent="0.25">
      <c r="A252" s="57" t="str">
        <f t="shared" si="24"/>
        <v/>
      </c>
      <c r="G252" s="14"/>
      <c r="H252" s="36">
        <v>247</v>
      </c>
      <c r="I252" s="37" t="str">
        <f t="shared" si="21"/>
        <v/>
      </c>
      <c r="J252" s="36">
        <f t="shared" si="25"/>
        <v>-5</v>
      </c>
      <c r="K252" s="36">
        <f t="shared" si="22"/>
        <v>-50</v>
      </c>
      <c r="L252" s="36"/>
      <c r="M252" s="38">
        <f t="shared" si="23"/>
        <v>0</v>
      </c>
      <c r="N252" s="38" t="str">
        <f t="shared" si="26"/>
        <v/>
      </c>
    </row>
    <row r="253" spans="1:14" x14ac:dyDescent="0.25">
      <c r="A253" s="57" t="str">
        <f t="shared" si="24"/>
        <v/>
      </c>
      <c r="G253" s="14"/>
      <c r="H253" s="36">
        <v>248</v>
      </c>
      <c r="I253" s="37" t="str">
        <f t="shared" si="21"/>
        <v/>
      </c>
      <c r="J253" s="36">
        <f t="shared" si="25"/>
        <v>-5</v>
      </c>
      <c r="K253" s="36">
        <f t="shared" si="22"/>
        <v>-50</v>
      </c>
      <c r="L253" s="36"/>
      <c r="M253" s="38">
        <f t="shared" si="23"/>
        <v>0</v>
      </c>
      <c r="N253" s="38" t="str">
        <f t="shared" si="26"/>
        <v/>
      </c>
    </row>
    <row r="254" spans="1:14" x14ac:dyDescent="0.25">
      <c r="A254" s="57" t="str">
        <f t="shared" si="24"/>
        <v/>
      </c>
      <c r="G254" s="14"/>
      <c r="H254" s="36">
        <v>249</v>
      </c>
      <c r="I254" s="37" t="str">
        <f t="shared" si="21"/>
        <v/>
      </c>
      <c r="J254" s="36">
        <f t="shared" si="25"/>
        <v>-5</v>
      </c>
      <c r="K254" s="36">
        <f t="shared" si="22"/>
        <v>-50</v>
      </c>
      <c r="L254" s="36"/>
      <c r="M254" s="38">
        <f t="shared" si="23"/>
        <v>0</v>
      </c>
      <c r="N254" s="38" t="str">
        <f t="shared" si="26"/>
        <v/>
      </c>
    </row>
    <row r="255" spans="1:14" x14ac:dyDescent="0.25">
      <c r="A255" s="57" t="str">
        <f t="shared" si="24"/>
        <v/>
      </c>
      <c r="G255" s="14"/>
      <c r="H255" s="36">
        <v>250</v>
      </c>
      <c r="I255" s="37" t="str">
        <f t="shared" si="21"/>
        <v/>
      </c>
      <c r="J255" s="36">
        <f t="shared" si="25"/>
        <v>-5</v>
      </c>
      <c r="K255" s="36">
        <f t="shared" si="22"/>
        <v>-50</v>
      </c>
      <c r="L255" s="36"/>
      <c r="M255" s="38">
        <f t="shared" si="23"/>
        <v>0</v>
      </c>
      <c r="N255" s="38" t="str">
        <f t="shared" si="26"/>
        <v/>
      </c>
    </row>
    <row r="256" spans="1:14" x14ac:dyDescent="0.25">
      <c r="A256" s="57" t="str">
        <f t="shared" si="24"/>
        <v/>
      </c>
      <c r="G256" s="14"/>
      <c r="H256" s="36">
        <v>251</v>
      </c>
      <c r="I256" s="37" t="str">
        <f t="shared" si="21"/>
        <v/>
      </c>
      <c r="J256" s="36">
        <f t="shared" si="25"/>
        <v>-5</v>
      </c>
      <c r="K256" s="36">
        <f t="shared" si="22"/>
        <v>-50</v>
      </c>
      <c r="L256" s="36"/>
      <c r="M256" s="38">
        <f t="shared" si="23"/>
        <v>0</v>
      </c>
      <c r="N256" s="38" t="str">
        <f t="shared" si="26"/>
        <v/>
      </c>
    </row>
    <row r="257" spans="1:14" x14ac:dyDescent="0.25">
      <c r="A257" s="57" t="str">
        <f t="shared" si="24"/>
        <v/>
      </c>
      <c r="G257" s="14"/>
      <c r="H257" s="36">
        <v>252</v>
      </c>
      <c r="I257" s="37" t="str">
        <f t="shared" si="21"/>
        <v/>
      </c>
      <c r="J257" s="36">
        <f t="shared" si="25"/>
        <v>-5</v>
      </c>
      <c r="K257" s="36">
        <f t="shared" si="22"/>
        <v>-50</v>
      </c>
      <c r="L257" s="36"/>
      <c r="M257" s="38">
        <f t="shared" si="23"/>
        <v>0</v>
      </c>
      <c r="N257" s="38" t="str">
        <f t="shared" si="26"/>
        <v/>
      </c>
    </row>
    <row r="258" spans="1:14" x14ac:dyDescent="0.25">
      <c r="A258" s="57" t="str">
        <f t="shared" si="24"/>
        <v/>
      </c>
      <c r="G258" s="14"/>
      <c r="H258" s="36">
        <v>253</v>
      </c>
      <c r="I258" s="37" t="str">
        <f t="shared" si="21"/>
        <v/>
      </c>
      <c r="J258" s="36">
        <f t="shared" si="25"/>
        <v>-5</v>
      </c>
      <c r="K258" s="36">
        <f t="shared" si="22"/>
        <v>-50</v>
      </c>
      <c r="L258" s="36"/>
      <c r="M258" s="38">
        <f t="shared" si="23"/>
        <v>0</v>
      </c>
      <c r="N258" s="38" t="str">
        <f t="shared" si="26"/>
        <v/>
      </c>
    </row>
    <row r="259" spans="1:14" x14ac:dyDescent="0.25">
      <c r="A259" s="57" t="str">
        <f t="shared" si="24"/>
        <v/>
      </c>
      <c r="G259" s="14"/>
      <c r="H259" s="36">
        <v>254</v>
      </c>
      <c r="I259" s="37" t="str">
        <f t="shared" si="21"/>
        <v/>
      </c>
      <c r="J259" s="36">
        <f t="shared" si="25"/>
        <v>-5</v>
      </c>
      <c r="K259" s="36">
        <f t="shared" si="22"/>
        <v>-50</v>
      </c>
      <c r="L259" s="36"/>
      <c r="M259" s="38">
        <f t="shared" si="23"/>
        <v>0</v>
      </c>
      <c r="N259" s="38" t="str">
        <f t="shared" si="26"/>
        <v/>
      </c>
    </row>
    <row r="260" spans="1:14" x14ac:dyDescent="0.25">
      <c r="A260" s="57" t="str">
        <f t="shared" si="24"/>
        <v/>
      </c>
      <c r="G260" s="14"/>
      <c r="H260" s="36">
        <v>255</v>
      </c>
      <c r="I260" s="37" t="str">
        <f t="shared" si="21"/>
        <v/>
      </c>
      <c r="J260" s="36">
        <f t="shared" si="25"/>
        <v>-5</v>
      </c>
      <c r="K260" s="36">
        <f t="shared" si="22"/>
        <v>-50</v>
      </c>
      <c r="L260" s="36"/>
      <c r="M260" s="38">
        <f t="shared" si="23"/>
        <v>0</v>
      </c>
      <c r="N260" s="38" t="str">
        <f t="shared" si="26"/>
        <v/>
      </c>
    </row>
    <row r="261" spans="1:14" x14ac:dyDescent="0.25">
      <c r="A261" s="57" t="str">
        <f t="shared" si="24"/>
        <v/>
      </c>
      <c r="G261" s="14"/>
      <c r="H261" s="36">
        <v>256</v>
      </c>
      <c r="I261" s="37" t="str">
        <f t="shared" si="21"/>
        <v/>
      </c>
      <c r="J261" s="36">
        <f t="shared" si="25"/>
        <v>-5</v>
      </c>
      <c r="K261" s="36">
        <f t="shared" si="22"/>
        <v>-50</v>
      </c>
      <c r="L261" s="36"/>
      <c r="M261" s="38">
        <f t="shared" si="23"/>
        <v>0</v>
      </c>
      <c r="N261" s="38" t="str">
        <f t="shared" si="26"/>
        <v/>
      </c>
    </row>
    <row r="262" spans="1:14" x14ac:dyDescent="0.25">
      <c r="A262" s="57" t="str">
        <f t="shared" si="24"/>
        <v/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5"/>
        <v>-6</v>
      </c>
      <c r="K262" s="36">
        <f t="shared" ref="K262:K305" si="28">J262*$J$2</f>
        <v>-60</v>
      </c>
      <c r="L262" s="36"/>
      <c r="M262" s="38">
        <f t="shared" ref="M262:M305" si="29">IF(I262&lt;&gt;"",K262+I262+L262,0)</f>
        <v>0</v>
      </c>
      <c r="N262" s="38" t="str">
        <f t="shared" si="26"/>
        <v/>
      </c>
    </row>
    <row r="263" spans="1:14" x14ac:dyDescent="0.25">
      <c r="A263" s="57" t="str">
        <f t="shared" ref="A263:A305" si="30">N263</f>
        <v/>
      </c>
      <c r="G263" s="14"/>
      <c r="H263" s="36">
        <v>258</v>
      </c>
      <c r="I263" s="37" t="str">
        <f t="shared" si="27"/>
        <v/>
      </c>
      <c r="J263" s="36">
        <f t="shared" ref="J263:J305" si="31">INT(LOG($H$2,2))-ROUNDUP(LOG(H263,2),0)+IF(OR($H$2=1,$H$2=2,$H$2=4,$H$2=8,$H$2=16,$H$2=32,$H$2=64,$H$2=128,$H$2=256),0,1)</f>
        <v>-6</v>
      </c>
      <c r="K263" s="36">
        <f t="shared" si="28"/>
        <v>-60</v>
      </c>
      <c r="L263" s="36"/>
      <c r="M263" s="38">
        <f t="shared" si="29"/>
        <v>0</v>
      </c>
      <c r="N263" s="38" t="str">
        <f t="shared" ref="N263:N305" si="32">IF(I263&lt;&gt;"",M263*L$2,"")</f>
        <v/>
      </c>
    </row>
    <row r="264" spans="1:14" x14ac:dyDescent="0.25">
      <c r="A264" s="57" t="str">
        <f t="shared" si="30"/>
        <v/>
      </c>
      <c r="G264" s="14"/>
      <c r="H264" s="36">
        <v>259</v>
      </c>
      <c r="I264" s="37" t="str">
        <f t="shared" si="27"/>
        <v/>
      </c>
      <c r="J264" s="36">
        <f t="shared" si="31"/>
        <v>-6</v>
      </c>
      <c r="K264" s="36">
        <f t="shared" si="28"/>
        <v>-60</v>
      </c>
      <c r="L264" s="36"/>
      <c r="M264" s="38">
        <f t="shared" si="29"/>
        <v>0</v>
      </c>
      <c r="N264" s="38" t="str">
        <f t="shared" si="32"/>
        <v/>
      </c>
    </row>
    <row r="265" spans="1:14" x14ac:dyDescent="0.25">
      <c r="A265" s="57" t="str">
        <f t="shared" si="30"/>
        <v/>
      </c>
      <c r="G265" s="14"/>
      <c r="H265" s="36">
        <v>260</v>
      </c>
      <c r="I265" s="37" t="str">
        <f t="shared" si="27"/>
        <v/>
      </c>
      <c r="J265" s="36">
        <f t="shared" si="31"/>
        <v>-6</v>
      </c>
      <c r="K265" s="36">
        <f t="shared" si="28"/>
        <v>-60</v>
      </c>
      <c r="L265" s="36"/>
      <c r="M265" s="38">
        <f t="shared" si="29"/>
        <v>0</v>
      </c>
      <c r="N265" s="38" t="str">
        <f t="shared" si="32"/>
        <v/>
      </c>
    </row>
    <row r="266" spans="1:14" x14ac:dyDescent="0.25">
      <c r="A266" s="57" t="str">
        <f t="shared" si="30"/>
        <v/>
      </c>
      <c r="G266" s="14"/>
      <c r="H266" s="36">
        <v>261</v>
      </c>
      <c r="I266" s="37" t="str">
        <f t="shared" si="27"/>
        <v/>
      </c>
      <c r="J266" s="36">
        <f t="shared" si="31"/>
        <v>-6</v>
      </c>
      <c r="K266" s="36">
        <f t="shared" si="28"/>
        <v>-60</v>
      </c>
      <c r="L266" s="36"/>
      <c r="M266" s="38">
        <f t="shared" si="29"/>
        <v>0</v>
      </c>
      <c r="N266" s="38" t="str">
        <f t="shared" si="32"/>
        <v/>
      </c>
    </row>
    <row r="267" spans="1:14" x14ac:dyDescent="0.25">
      <c r="A267" s="57" t="str">
        <f t="shared" si="30"/>
        <v/>
      </c>
      <c r="G267" s="14"/>
      <c r="H267" s="36">
        <v>262</v>
      </c>
      <c r="I267" s="37" t="str">
        <f t="shared" si="27"/>
        <v/>
      </c>
      <c r="J267" s="36">
        <f t="shared" si="31"/>
        <v>-6</v>
      </c>
      <c r="K267" s="36">
        <f t="shared" si="28"/>
        <v>-60</v>
      </c>
      <c r="L267" s="36"/>
      <c r="M267" s="38">
        <f t="shared" si="29"/>
        <v>0</v>
      </c>
      <c r="N267" s="38" t="str">
        <f t="shared" si="32"/>
        <v/>
      </c>
    </row>
    <row r="268" spans="1:14" x14ac:dyDescent="0.25">
      <c r="A268" s="57" t="str">
        <f t="shared" si="30"/>
        <v/>
      </c>
      <c r="G268" s="14"/>
      <c r="H268" s="36">
        <v>263</v>
      </c>
      <c r="I268" s="37" t="str">
        <f t="shared" si="27"/>
        <v/>
      </c>
      <c r="J268" s="36">
        <f t="shared" si="31"/>
        <v>-6</v>
      </c>
      <c r="K268" s="36">
        <f t="shared" si="28"/>
        <v>-60</v>
      </c>
      <c r="L268" s="36"/>
      <c r="M268" s="38">
        <f t="shared" si="29"/>
        <v>0</v>
      </c>
      <c r="N268" s="38" t="str">
        <f t="shared" si="32"/>
        <v/>
      </c>
    </row>
    <row r="269" spans="1:14" x14ac:dyDescent="0.25">
      <c r="A269" s="57" t="str">
        <f t="shared" si="30"/>
        <v/>
      </c>
      <c r="G269" s="14"/>
      <c r="H269" s="36">
        <v>264</v>
      </c>
      <c r="I269" s="37" t="str">
        <f t="shared" si="27"/>
        <v/>
      </c>
      <c r="J269" s="36">
        <f t="shared" si="31"/>
        <v>-6</v>
      </c>
      <c r="K269" s="36">
        <f t="shared" si="28"/>
        <v>-60</v>
      </c>
      <c r="L269" s="36"/>
      <c r="M269" s="38">
        <f t="shared" si="29"/>
        <v>0</v>
      </c>
      <c r="N269" s="38" t="str">
        <f t="shared" si="32"/>
        <v/>
      </c>
    </row>
    <row r="270" spans="1:14" x14ac:dyDescent="0.25">
      <c r="A270" s="57" t="str">
        <f t="shared" si="30"/>
        <v/>
      </c>
      <c r="G270" s="14"/>
      <c r="H270" s="36">
        <v>265</v>
      </c>
      <c r="I270" s="37" t="str">
        <f t="shared" si="27"/>
        <v/>
      </c>
      <c r="J270" s="36">
        <f t="shared" si="31"/>
        <v>-6</v>
      </c>
      <c r="K270" s="36">
        <f t="shared" si="28"/>
        <v>-60</v>
      </c>
      <c r="L270" s="36"/>
      <c r="M270" s="38">
        <f t="shared" si="29"/>
        <v>0</v>
      </c>
      <c r="N270" s="38" t="str">
        <f t="shared" si="32"/>
        <v/>
      </c>
    </row>
    <row r="271" spans="1:14" x14ac:dyDescent="0.25">
      <c r="A271" s="57" t="str">
        <f t="shared" si="30"/>
        <v/>
      </c>
      <c r="G271" s="14"/>
      <c r="H271" s="36">
        <v>266</v>
      </c>
      <c r="I271" s="37" t="str">
        <f t="shared" si="27"/>
        <v/>
      </c>
      <c r="J271" s="36">
        <f t="shared" si="31"/>
        <v>-6</v>
      </c>
      <c r="K271" s="36">
        <f t="shared" si="28"/>
        <v>-60</v>
      </c>
      <c r="L271" s="36"/>
      <c r="M271" s="38">
        <f t="shared" si="29"/>
        <v>0</v>
      </c>
      <c r="N271" s="38" t="str">
        <f t="shared" si="32"/>
        <v/>
      </c>
    </row>
    <row r="272" spans="1:14" x14ac:dyDescent="0.25">
      <c r="A272" s="57" t="str">
        <f t="shared" si="30"/>
        <v/>
      </c>
      <c r="G272" s="14"/>
      <c r="H272" s="36">
        <v>267</v>
      </c>
      <c r="I272" s="37" t="str">
        <f t="shared" si="27"/>
        <v/>
      </c>
      <c r="J272" s="36">
        <f t="shared" si="31"/>
        <v>-6</v>
      </c>
      <c r="K272" s="36">
        <f t="shared" si="28"/>
        <v>-60</v>
      </c>
      <c r="L272" s="36"/>
      <c r="M272" s="38">
        <f t="shared" si="29"/>
        <v>0</v>
      </c>
      <c r="N272" s="38" t="str">
        <f t="shared" si="32"/>
        <v/>
      </c>
    </row>
    <row r="273" spans="1:14" x14ac:dyDescent="0.25">
      <c r="A273" s="57" t="str">
        <f t="shared" si="30"/>
        <v/>
      </c>
      <c r="G273" s="14"/>
      <c r="H273" s="36">
        <v>268</v>
      </c>
      <c r="I273" s="37" t="str">
        <f t="shared" si="27"/>
        <v/>
      </c>
      <c r="J273" s="36">
        <f t="shared" si="31"/>
        <v>-6</v>
      </c>
      <c r="K273" s="36">
        <f t="shared" si="28"/>
        <v>-60</v>
      </c>
      <c r="L273" s="36"/>
      <c r="M273" s="38">
        <f t="shared" si="29"/>
        <v>0</v>
      </c>
      <c r="N273" s="38" t="str">
        <f t="shared" si="32"/>
        <v/>
      </c>
    </row>
    <row r="274" spans="1:14" x14ac:dyDescent="0.25">
      <c r="A274" s="57" t="str">
        <f t="shared" si="30"/>
        <v/>
      </c>
      <c r="G274" s="14"/>
      <c r="H274" s="36">
        <v>269</v>
      </c>
      <c r="I274" s="37" t="str">
        <f t="shared" si="27"/>
        <v/>
      </c>
      <c r="J274" s="36">
        <f t="shared" si="31"/>
        <v>-6</v>
      </c>
      <c r="K274" s="36">
        <f t="shared" si="28"/>
        <v>-60</v>
      </c>
      <c r="L274" s="36"/>
      <c r="M274" s="38">
        <f t="shared" si="29"/>
        <v>0</v>
      </c>
      <c r="N274" s="38" t="str">
        <f t="shared" si="32"/>
        <v/>
      </c>
    </row>
    <row r="275" spans="1:14" x14ac:dyDescent="0.25">
      <c r="A275" s="57" t="str">
        <f t="shared" si="30"/>
        <v/>
      </c>
      <c r="G275" s="14"/>
      <c r="H275" s="36">
        <v>270</v>
      </c>
      <c r="I275" s="37" t="str">
        <f t="shared" si="27"/>
        <v/>
      </c>
      <c r="J275" s="36">
        <f t="shared" si="31"/>
        <v>-6</v>
      </c>
      <c r="K275" s="36">
        <f t="shared" si="28"/>
        <v>-60</v>
      </c>
      <c r="L275" s="36"/>
      <c r="M275" s="38">
        <f t="shared" si="29"/>
        <v>0</v>
      </c>
      <c r="N275" s="38" t="str">
        <f t="shared" si="32"/>
        <v/>
      </c>
    </row>
    <row r="276" spans="1:14" x14ac:dyDescent="0.25">
      <c r="A276" s="57" t="str">
        <f t="shared" si="30"/>
        <v/>
      </c>
      <c r="G276" s="14"/>
      <c r="H276" s="36">
        <v>271</v>
      </c>
      <c r="I276" s="37" t="str">
        <f t="shared" si="27"/>
        <v/>
      </c>
      <c r="J276" s="36">
        <f t="shared" si="31"/>
        <v>-6</v>
      </c>
      <c r="K276" s="36">
        <f t="shared" si="28"/>
        <v>-60</v>
      </c>
      <c r="L276" s="36"/>
      <c r="M276" s="38">
        <f t="shared" si="29"/>
        <v>0</v>
      </c>
      <c r="N276" s="38" t="str">
        <f t="shared" si="32"/>
        <v/>
      </c>
    </row>
    <row r="277" spans="1:14" x14ac:dyDescent="0.25">
      <c r="A277" s="57" t="str">
        <f t="shared" si="30"/>
        <v/>
      </c>
      <c r="G277" s="14"/>
      <c r="H277" s="36">
        <v>272</v>
      </c>
      <c r="I277" s="37" t="str">
        <f t="shared" si="27"/>
        <v/>
      </c>
      <c r="J277" s="36">
        <f t="shared" si="31"/>
        <v>-6</v>
      </c>
      <c r="K277" s="36">
        <f t="shared" si="28"/>
        <v>-60</v>
      </c>
      <c r="L277" s="36"/>
      <c r="M277" s="38">
        <f t="shared" si="29"/>
        <v>0</v>
      </c>
      <c r="N277" s="38" t="str">
        <f t="shared" si="32"/>
        <v/>
      </c>
    </row>
    <row r="278" spans="1:14" x14ac:dyDescent="0.25">
      <c r="A278" s="57" t="str">
        <f t="shared" si="30"/>
        <v/>
      </c>
      <c r="G278" s="14"/>
      <c r="H278" s="36">
        <v>273</v>
      </c>
      <c r="I278" s="37" t="str">
        <f t="shared" si="27"/>
        <v/>
      </c>
      <c r="J278" s="36">
        <f t="shared" si="31"/>
        <v>-6</v>
      </c>
      <c r="K278" s="36">
        <f t="shared" si="28"/>
        <v>-60</v>
      </c>
      <c r="L278" s="36"/>
      <c r="M278" s="38">
        <f t="shared" si="29"/>
        <v>0</v>
      </c>
      <c r="N278" s="38" t="str">
        <f t="shared" si="32"/>
        <v/>
      </c>
    </row>
    <row r="279" spans="1:14" x14ac:dyDescent="0.25">
      <c r="A279" s="57" t="str">
        <f t="shared" si="30"/>
        <v/>
      </c>
      <c r="G279" s="14"/>
      <c r="H279" s="36">
        <v>274</v>
      </c>
      <c r="I279" s="37" t="str">
        <f t="shared" si="27"/>
        <v/>
      </c>
      <c r="J279" s="36">
        <f t="shared" si="31"/>
        <v>-6</v>
      </c>
      <c r="K279" s="36">
        <f t="shared" si="28"/>
        <v>-60</v>
      </c>
      <c r="L279" s="36"/>
      <c r="M279" s="38">
        <f t="shared" si="29"/>
        <v>0</v>
      </c>
      <c r="N279" s="38" t="str">
        <f t="shared" si="32"/>
        <v/>
      </c>
    </row>
    <row r="280" spans="1:14" x14ac:dyDescent="0.25">
      <c r="A280" s="57" t="str">
        <f t="shared" si="30"/>
        <v/>
      </c>
      <c r="G280" s="14"/>
      <c r="H280" s="36">
        <v>275</v>
      </c>
      <c r="I280" s="37" t="str">
        <f t="shared" si="27"/>
        <v/>
      </c>
      <c r="J280" s="36">
        <f t="shared" si="31"/>
        <v>-6</v>
      </c>
      <c r="K280" s="36">
        <f t="shared" si="28"/>
        <v>-60</v>
      </c>
      <c r="L280" s="36"/>
      <c r="M280" s="38">
        <f t="shared" si="29"/>
        <v>0</v>
      </c>
      <c r="N280" s="38" t="str">
        <f t="shared" si="32"/>
        <v/>
      </c>
    </row>
    <row r="281" spans="1:14" x14ac:dyDescent="0.25">
      <c r="A281" s="57" t="str">
        <f t="shared" si="30"/>
        <v/>
      </c>
      <c r="G281" s="14"/>
      <c r="H281" s="36">
        <v>276</v>
      </c>
      <c r="I281" s="37" t="str">
        <f t="shared" si="27"/>
        <v/>
      </c>
      <c r="J281" s="36">
        <f t="shared" si="31"/>
        <v>-6</v>
      </c>
      <c r="K281" s="36">
        <f t="shared" si="28"/>
        <v>-60</v>
      </c>
      <c r="L281" s="36"/>
      <c r="M281" s="38">
        <f t="shared" si="29"/>
        <v>0</v>
      </c>
      <c r="N281" s="38" t="str">
        <f t="shared" si="32"/>
        <v/>
      </c>
    </row>
    <row r="282" spans="1:14" x14ac:dyDescent="0.25">
      <c r="A282" s="57" t="str">
        <f t="shared" si="30"/>
        <v/>
      </c>
      <c r="G282" s="14"/>
      <c r="H282" s="36">
        <v>277</v>
      </c>
      <c r="I282" s="37" t="str">
        <f t="shared" si="27"/>
        <v/>
      </c>
      <c r="J282" s="36">
        <f t="shared" si="31"/>
        <v>-6</v>
      </c>
      <c r="K282" s="36">
        <f t="shared" si="28"/>
        <v>-60</v>
      </c>
      <c r="L282" s="36"/>
      <c r="M282" s="38">
        <f t="shared" si="29"/>
        <v>0</v>
      </c>
      <c r="N282" s="38" t="str">
        <f t="shared" si="32"/>
        <v/>
      </c>
    </row>
    <row r="283" spans="1:14" x14ac:dyDescent="0.25">
      <c r="A283" s="57" t="str">
        <f t="shared" si="30"/>
        <v/>
      </c>
      <c r="G283" s="14"/>
      <c r="H283" s="36">
        <v>278</v>
      </c>
      <c r="I283" s="37" t="str">
        <f t="shared" si="27"/>
        <v/>
      </c>
      <c r="J283" s="36">
        <f t="shared" si="31"/>
        <v>-6</v>
      </c>
      <c r="K283" s="36">
        <f t="shared" si="28"/>
        <v>-60</v>
      </c>
      <c r="L283" s="36"/>
      <c r="M283" s="38">
        <f t="shared" si="29"/>
        <v>0</v>
      </c>
      <c r="N283" s="38" t="str">
        <f t="shared" si="32"/>
        <v/>
      </c>
    </row>
    <row r="284" spans="1:14" x14ac:dyDescent="0.25">
      <c r="A284" s="57" t="str">
        <f t="shared" si="30"/>
        <v/>
      </c>
      <c r="G284" s="14"/>
      <c r="H284" s="36">
        <v>279</v>
      </c>
      <c r="I284" s="37" t="str">
        <f t="shared" si="27"/>
        <v/>
      </c>
      <c r="J284" s="36">
        <f t="shared" si="31"/>
        <v>-6</v>
      </c>
      <c r="K284" s="36">
        <f t="shared" si="28"/>
        <v>-60</v>
      </c>
      <c r="L284" s="36"/>
      <c r="M284" s="38">
        <f t="shared" si="29"/>
        <v>0</v>
      </c>
      <c r="N284" s="38" t="str">
        <f t="shared" si="32"/>
        <v/>
      </c>
    </row>
    <row r="285" spans="1:14" x14ac:dyDescent="0.25">
      <c r="A285" s="57" t="str">
        <f t="shared" si="30"/>
        <v/>
      </c>
      <c r="G285" s="14"/>
      <c r="H285" s="36">
        <v>280</v>
      </c>
      <c r="I285" s="37" t="str">
        <f t="shared" si="27"/>
        <v/>
      </c>
      <c r="J285" s="36">
        <f t="shared" si="31"/>
        <v>-6</v>
      </c>
      <c r="K285" s="36">
        <f t="shared" si="28"/>
        <v>-60</v>
      </c>
      <c r="L285" s="36"/>
      <c r="M285" s="38">
        <f t="shared" si="29"/>
        <v>0</v>
      </c>
      <c r="N285" s="38" t="str">
        <f t="shared" si="32"/>
        <v/>
      </c>
    </row>
    <row r="286" spans="1:14" x14ac:dyDescent="0.25">
      <c r="A286" s="57" t="str">
        <f t="shared" si="30"/>
        <v/>
      </c>
      <c r="G286" s="14"/>
      <c r="H286" s="36">
        <v>281</v>
      </c>
      <c r="I286" s="37" t="str">
        <f t="shared" si="27"/>
        <v/>
      </c>
      <c r="J286" s="36">
        <f t="shared" si="31"/>
        <v>-6</v>
      </c>
      <c r="K286" s="36">
        <f t="shared" si="28"/>
        <v>-60</v>
      </c>
      <c r="L286" s="36"/>
      <c r="M286" s="38">
        <f t="shared" si="29"/>
        <v>0</v>
      </c>
      <c r="N286" s="38" t="str">
        <f t="shared" si="32"/>
        <v/>
      </c>
    </row>
    <row r="287" spans="1:14" x14ac:dyDescent="0.25">
      <c r="A287" s="57" t="str">
        <f t="shared" si="30"/>
        <v/>
      </c>
      <c r="G287" s="14"/>
      <c r="H287" s="36">
        <v>282</v>
      </c>
      <c r="I287" s="37" t="str">
        <f t="shared" si="27"/>
        <v/>
      </c>
      <c r="J287" s="36">
        <f t="shared" si="31"/>
        <v>-6</v>
      </c>
      <c r="K287" s="36">
        <f t="shared" si="28"/>
        <v>-60</v>
      </c>
      <c r="L287" s="36"/>
      <c r="M287" s="38">
        <f t="shared" si="29"/>
        <v>0</v>
      </c>
      <c r="N287" s="38" t="str">
        <f t="shared" si="32"/>
        <v/>
      </c>
    </row>
    <row r="288" spans="1:14" x14ac:dyDescent="0.25">
      <c r="A288" s="57" t="str">
        <f t="shared" si="30"/>
        <v/>
      </c>
      <c r="G288" s="14"/>
      <c r="H288" s="36">
        <v>283</v>
      </c>
      <c r="I288" s="37" t="str">
        <f t="shared" si="27"/>
        <v/>
      </c>
      <c r="J288" s="36">
        <f t="shared" si="31"/>
        <v>-6</v>
      </c>
      <c r="K288" s="36">
        <f t="shared" si="28"/>
        <v>-60</v>
      </c>
      <c r="L288" s="36"/>
      <c r="M288" s="38">
        <f t="shared" si="29"/>
        <v>0</v>
      </c>
      <c r="N288" s="38" t="str">
        <f t="shared" si="32"/>
        <v/>
      </c>
    </row>
    <row r="289" spans="1:14" x14ac:dyDescent="0.25">
      <c r="A289" s="57" t="str">
        <f t="shared" si="30"/>
        <v/>
      </c>
      <c r="G289" s="14"/>
      <c r="H289" s="36">
        <v>284</v>
      </c>
      <c r="I289" s="37" t="str">
        <f t="shared" si="27"/>
        <v/>
      </c>
      <c r="J289" s="36">
        <f t="shared" si="31"/>
        <v>-6</v>
      </c>
      <c r="K289" s="36">
        <f t="shared" si="28"/>
        <v>-60</v>
      </c>
      <c r="L289" s="36"/>
      <c r="M289" s="38">
        <f t="shared" si="29"/>
        <v>0</v>
      </c>
      <c r="N289" s="38" t="str">
        <f t="shared" si="32"/>
        <v/>
      </c>
    </row>
    <row r="290" spans="1:14" x14ac:dyDescent="0.25">
      <c r="A290" s="57" t="str">
        <f t="shared" si="30"/>
        <v/>
      </c>
      <c r="G290" s="14"/>
      <c r="H290" s="36">
        <v>285</v>
      </c>
      <c r="I290" s="37" t="str">
        <f t="shared" si="27"/>
        <v/>
      </c>
      <c r="J290" s="36">
        <f t="shared" si="31"/>
        <v>-6</v>
      </c>
      <c r="K290" s="36">
        <f t="shared" si="28"/>
        <v>-60</v>
      </c>
      <c r="L290" s="36"/>
      <c r="M290" s="38">
        <f t="shared" si="29"/>
        <v>0</v>
      </c>
      <c r="N290" s="38" t="str">
        <f t="shared" si="32"/>
        <v/>
      </c>
    </row>
    <row r="291" spans="1:14" x14ac:dyDescent="0.25">
      <c r="A291" s="57" t="str">
        <f t="shared" si="30"/>
        <v/>
      </c>
      <c r="G291" s="14"/>
      <c r="H291" s="36">
        <v>286</v>
      </c>
      <c r="I291" s="37" t="str">
        <f t="shared" si="27"/>
        <v/>
      </c>
      <c r="J291" s="36">
        <f t="shared" si="31"/>
        <v>-6</v>
      </c>
      <c r="K291" s="36">
        <f t="shared" si="28"/>
        <v>-60</v>
      </c>
      <c r="L291" s="36"/>
      <c r="M291" s="38">
        <f t="shared" si="29"/>
        <v>0</v>
      </c>
      <c r="N291" s="38" t="str">
        <f t="shared" si="32"/>
        <v/>
      </c>
    </row>
    <row r="292" spans="1:14" x14ac:dyDescent="0.25">
      <c r="A292" s="57" t="str">
        <f t="shared" si="30"/>
        <v/>
      </c>
      <c r="G292" s="14"/>
      <c r="H292" s="36">
        <v>287</v>
      </c>
      <c r="I292" s="37" t="str">
        <f t="shared" si="27"/>
        <v/>
      </c>
      <c r="J292" s="36">
        <f t="shared" si="31"/>
        <v>-6</v>
      </c>
      <c r="K292" s="36">
        <f t="shared" si="28"/>
        <v>-60</v>
      </c>
      <c r="L292" s="36"/>
      <c r="M292" s="38">
        <f t="shared" si="29"/>
        <v>0</v>
      </c>
      <c r="N292" s="38" t="str">
        <f t="shared" si="32"/>
        <v/>
      </c>
    </row>
    <row r="293" spans="1:14" x14ac:dyDescent="0.25">
      <c r="A293" s="57" t="str">
        <f t="shared" si="30"/>
        <v/>
      </c>
      <c r="G293" s="14"/>
      <c r="H293" s="36">
        <v>288</v>
      </c>
      <c r="I293" s="37" t="str">
        <f t="shared" si="27"/>
        <v/>
      </c>
      <c r="J293" s="36">
        <f t="shared" si="31"/>
        <v>-6</v>
      </c>
      <c r="K293" s="36">
        <f t="shared" si="28"/>
        <v>-60</v>
      </c>
      <c r="L293" s="36"/>
      <c r="M293" s="38">
        <f t="shared" si="29"/>
        <v>0</v>
      </c>
      <c r="N293" s="38" t="str">
        <f t="shared" si="32"/>
        <v/>
      </c>
    </row>
    <row r="294" spans="1:14" x14ac:dyDescent="0.25">
      <c r="A294" s="57" t="str">
        <f t="shared" si="30"/>
        <v/>
      </c>
      <c r="G294" s="14"/>
      <c r="H294" s="36">
        <v>289</v>
      </c>
      <c r="I294" s="37" t="str">
        <f t="shared" si="27"/>
        <v/>
      </c>
      <c r="J294" s="36">
        <f t="shared" si="31"/>
        <v>-6</v>
      </c>
      <c r="K294" s="36">
        <f t="shared" si="28"/>
        <v>-60</v>
      </c>
      <c r="L294" s="36"/>
      <c r="M294" s="38">
        <f t="shared" si="29"/>
        <v>0</v>
      </c>
      <c r="N294" s="38" t="str">
        <f t="shared" si="32"/>
        <v/>
      </c>
    </row>
    <row r="295" spans="1:14" x14ac:dyDescent="0.25">
      <c r="A295" s="57" t="str">
        <f t="shared" si="30"/>
        <v/>
      </c>
      <c r="G295" s="14"/>
      <c r="H295" s="36">
        <v>290</v>
      </c>
      <c r="I295" s="37" t="str">
        <f t="shared" si="27"/>
        <v/>
      </c>
      <c r="J295" s="36">
        <f t="shared" si="31"/>
        <v>-6</v>
      </c>
      <c r="K295" s="36">
        <f t="shared" si="28"/>
        <v>-60</v>
      </c>
      <c r="L295" s="36"/>
      <c r="M295" s="38">
        <f t="shared" si="29"/>
        <v>0</v>
      </c>
      <c r="N295" s="38" t="str">
        <f t="shared" si="32"/>
        <v/>
      </c>
    </row>
    <row r="296" spans="1:14" x14ac:dyDescent="0.25">
      <c r="A296" s="57" t="str">
        <f t="shared" si="30"/>
        <v/>
      </c>
      <c r="G296" s="14"/>
      <c r="H296" s="36">
        <v>291</v>
      </c>
      <c r="I296" s="37" t="str">
        <f t="shared" si="27"/>
        <v/>
      </c>
      <c r="J296" s="36">
        <f t="shared" si="31"/>
        <v>-6</v>
      </c>
      <c r="K296" s="36">
        <f t="shared" si="28"/>
        <v>-60</v>
      </c>
      <c r="L296" s="36"/>
      <c r="M296" s="38">
        <f t="shared" si="29"/>
        <v>0</v>
      </c>
      <c r="N296" s="38" t="str">
        <f t="shared" si="32"/>
        <v/>
      </c>
    </row>
    <row r="297" spans="1:14" x14ac:dyDescent="0.25">
      <c r="A297" s="57" t="str">
        <f t="shared" si="30"/>
        <v/>
      </c>
      <c r="G297" s="14"/>
      <c r="H297" s="36">
        <v>292</v>
      </c>
      <c r="I297" s="37" t="str">
        <f t="shared" si="27"/>
        <v/>
      </c>
      <c r="J297" s="36">
        <f t="shared" si="31"/>
        <v>-6</v>
      </c>
      <c r="K297" s="36">
        <f t="shared" si="28"/>
        <v>-60</v>
      </c>
      <c r="L297" s="36"/>
      <c r="M297" s="38">
        <f t="shared" si="29"/>
        <v>0</v>
      </c>
      <c r="N297" s="38" t="str">
        <f t="shared" si="32"/>
        <v/>
      </c>
    </row>
    <row r="298" spans="1:14" x14ac:dyDescent="0.25">
      <c r="A298" s="57" t="str">
        <f t="shared" si="30"/>
        <v/>
      </c>
      <c r="G298" s="14"/>
      <c r="H298" s="36">
        <v>293</v>
      </c>
      <c r="I298" s="37" t="str">
        <f t="shared" si="27"/>
        <v/>
      </c>
      <c r="J298" s="36">
        <f t="shared" si="31"/>
        <v>-6</v>
      </c>
      <c r="K298" s="36">
        <f t="shared" si="28"/>
        <v>-60</v>
      </c>
      <c r="L298" s="36"/>
      <c r="M298" s="38">
        <f t="shared" si="29"/>
        <v>0</v>
      </c>
      <c r="N298" s="38" t="str">
        <f t="shared" si="32"/>
        <v/>
      </c>
    </row>
    <row r="299" spans="1:14" x14ac:dyDescent="0.25">
      <c r="A299" s="57" t="str">
        <f t="shared" si="30"/>
        <v/>
      </c>
      <c r="G299" s="14"/>
      <c r="H299" s="36">
        <v>294</v>
      </c>
      <c r="I299" s="37" t="str">
        <f t="shared" si="27"/>
        <v/>
      </c>
      <c r="J299" s="36">
        <f t="shared" si="31"/>
        <v>-6</v>
      </c>
      <c r="K299" s="36">
        <f t="shared" si="28"/>
        <v>-60</v>
      </c>
      <c r="L299" s="36"/>
      <c r="M299" s="38">
        <f t="shared" si="29"/>
        <v>0</v>
      </c>
      <c r="N299" s="38" t="str">
        <f t="shared" si="32"/>
        <v/>
      </c>
    </row>
    <row r="300" spans="1:14" x14ac:dyDescent="0.25">
      <c r="A300" s="57" t="str">
        <f t="shared" si="30"/>
        <v/>
      </c>
      <c r="G300" s="14"/>
      <c r="H300" s="36">
        <v>295</v>
      </c>
      <c r="I300" s="37" t="str">
        <f t="shared" si="27"/>
        <v/>
      </c>
      <c r="J300" s="36">
        <f t="shared" si="31"/>
        <v>-6</v>
      </c>
      <c r="K300" s="36">
        <f t="shared" si="28"/>
        <v>-60</v>
      </c>
      <c r="L300" s="36"/>
      <c r="M300" s="38">
        <f t="shared" si="29"/>
        <v>0</v>
      </c>
      <c r="N300" s="38" t="str">
        <f t="shared" si="32"/>
        <v/>
      </c>
    </row>
    <row r="301" spans="1:14" x14ac:dyDescent="0.25">
      <c r="A301" s="57" t="str">
        <f t="shared" si="30"/>
        <v/>
      </c>
      <c r="G301" s="14"/>
      <c r="H301" s="36">
        <v>296</v>
      </c>
      <c r="I301" s="37" t="str">
        <f t="shared" si="27"/>
        <v/>
      </c>
      <c r="J301" s="36">
        <f t="shared" si="31"/>
        <v>-6</v>
      </c>
      <c r="K301" s="36">
        <f t="shared" si="28"/>
        <v>-60</v>
      </c>
      <c r="L301" s="36"/>
      <c r="M301" s="38">
        <f t="shared" si="29"/>
        <v>0</v>
      </c>
      <c r="N301" s="38" t="str">
        <f t="shared" si="32"/>
        <v/>
      </c>
    </row>
    <row r="302" spans="1:14" x14ac:dyDescent="0.25">
      <c r="A302" s="57" t="str">
        <f t="shared" si="30"/>
        <v/>
      </c>
      <c r="G302" s="14"/>
      <c r="H302" s="36">
        <v>297</v>
      </c>
      <c r="I302" s="37" t="str">
        <f t="shared" si="27"/>
        <v/>
      </c>
      <c r="J302" s="36">
        <f t="shared" si="31"/>
        <v>-6</v>
      </c>
      <c r="K302" s="36">
        <f t="shared" si="28"/>
        <v>-60</v>
      </c>
      <c r="L302" s="36"/>
      <c r="M302" s="38">
        <f t="shared" si="29"/>
        <v>0</v>
      </c>
      <c r="N302" s="38" t="str">
        <f t="shared" si="32"/>
        <v/>
      </c>
    </row>
    <row r="303" spans="1:14" x14ac:dyDescent="0.25">
      <c r="A303" s="57" t="str">
        <f t="shared" si="30"/>
        <v/>
      </c>
      <c r="G303" s="14"/>
      <c r="H303" s="36">
        <v>298</v>
      </c>
      <c r="I303" s="37" t="str">
        <f t="shared" si="27"/>
        <v/>
      </c>
      <c r="J303" s="36">
        <f t="shared" si="31"/>
        <v>-6</v>
      </c>
      <c r="K303" s="36">
        <f t="shared" si="28"/>
        <v>-60</v>
      </c>
      <c r="L303" s="36"/>
      <c r="M303" s="38">
        <f t="shared" si="29"/>
        <v>0</v>
      </c>
      <c r="N303" s="38" t="str">
        <f t="shared" si="32"/>
        <v/>
      </c>
    </row>
    <row r="304" spans="1:14" x14ac:dyDescent="0.25">
      <c r="A304" s="57" t="str">
        <f t="shared" si="30"/>
        <v/>
      </c>
      <c r="G304" s="14"/>
      <c r="H304" s="36">
        <v>299</v>
      </c>
      <c r="I304" s="37" t="str">
        <f t="shared" si="27"/>
        <v/>
      </c>
      <c r="J304" s="36">
        <f t="shared" si="31"/>
        <v>-6</v>
      </c>
      <c r="K304" s="36">
        <f t="shared" si="28"/>
        <v>-60</v>
      </c>
      <c r="L304" s="36"/>
      <c r="M304" s="38">
        <f t="shared" si="29"/>
        <v>0</v>
      </c>
      <c r="N304" s="38" t="str">
        <f t="shared" si="32"/>
        <v/>
      </c>
    </row>
    <row r="305" spans="1:17" x14ac:dyDescent="0.25">
      <c r="A305" s="57" t="str">
        <f t="shared" si="30"/>
        <v/>
      </c>
      <c r="G305" s="14"/>
      <c r="H305" s="36">
        <v>300</v>
      </c>
      <c r="I305" s="37" t="str">
        <f t="shared" si="27"/>
        <v/>
      </c>
      <c r="J305" s="36">
        <f t="shared" si="31"/>
        <v>-6</v>
      </c>
      <c r="K305" s="36">
        <f t="shared" si="28"/>
        <v>-60</v>
      </c>
      <c r="L305" s="36"/>
      <c r="M305" s="38">
        <f t="shared" si="29"/>
        <v>0</v>
      </c>
      <c r="N305" s="38" t="str">
        <f t="shared" si="32"/>
        <v/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50C8C823-A721-4915-96CC-9A7F60A1EA17}">
      <formula1>#REF!</formula1>
    </dataValidation>
  </dataValidations>
  <hyperlinks>
    <hyperlink ref="C2:D2" r:id="rId1" location="today" display="PABIANICE" xr:uid="{59EC2DB9-E006-4D78-83CB-2EB85A108BA5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EA5B-131A-41BC-AFA4-06D3A931F6E5}">
  <dimension ref="A1:AK167"/>
  <sheetViews>
    <sheetView workbookViewId="0">
      <selection activeCell="G20" sqref="G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thickTop="1" x14ac:dyDescent="0.2">
      <c r="A1" s="3"/>
      <c r="B1" s="3"/>
      <c r="C1" s="3"/>
      <c r="D1" s="257" t="s">
        <v>102</v>
      </c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R1" s="243" t="s">
        <v>136</v>
      </c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5"/>
    </row>
    <row r="2" spans="1:37" ht="13.75" customHeight="1" x14ac:dyDescent="0.2">
      <c r="A2" s="3"/>
      <c r="B2" s="4" t="s">
        <v>0</v>
      </c>
      <c r="C2" s="3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R2" s="246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8"/>
    </row>
    <row r="3" spans="1:37" ht="13.75" customHeight="1" thickBot="1" x14ac:dyDescent="0.3">
      <c r="A3" s="3"/>
      <c r="B3" s="3"/>
      <c r="C3" s="3"/>
      <c r="D3" s="66" t="s">
        <v>103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49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1"/>
    </row>
    <row r="4" spans="1:37" ht="24.8" customHeight="1" thickTop="1" x14ac:dyDescent="0.2">
      <c r="A4" s="252" t="s">
        <v>4</v>
      </c>
      <c r="B4" s="254" t="s">
        <v>5</v>
      </c>
      <c r="C4" s="254" t="s">
        <v>6</v>
      </c>
      <c r="D4" s="254" t="s">
        <v>7</v>
      </c>
      <c r="E4" s="258" t="s">
        <v>8</v>
      </c>
      <c r="F4" s="259"/>
      <c r="G4" s="258" t="s">
        <v>9</v>
      </c>
      <c r="H4" s="259"/>
      <c r="I4" s="258" t="s">
        <v>10</v>
      </c>
      <c r="J4" s="259"/>
      <c r="K4" s="226" t="s">
        <v>11</v>
      </c>
      <c r="L4" s="227"/>
      <c r="M4" s="226" t="s">
        <v>12</v>
      </c>
      <c r="N4" s="227"/>
      <c r="O4" s="258" t="s">
        <v>13</v>
      </c>
      <c r="P4" s="259"/>
      <c r="R4" s="241" t="s">
        <v>104</v>
      </c>
      <c r="S4" s="242"/>
      <c r="T4" s="241" t="s">
        <v>105</v>
      </c>
      <c r="U4" s="242"/>
      <c r="V4" s="241" t="s">
        <v>106</v>
      </c>
      <c r="W4" s="242"/>
      <c r="X4" s="241" t="s">
        <v>107</v>
      </c>
      <c r="Y4" s="242"/>
      <c r="Z4" s="241" t="s">
        <v>108</v>
      </c>
      <c r="AA4" s="242"/>
      <c r="AB4" s="241" t="s">
        <v>109</v>
      </c>
      <c r="AC4" s="242"/>
      <c r="AD4" s="241" t="s">
        <v>110</v>
      </c>
      <c r="AE4" s="242"/>
      <c r="AF4" s="241" t="s">
        <v>111</v>
      </c>
      <c r="AG4" s="242"/>
      <c r="AH4" s="241" t="s">
        <v>135</v>
      </c>
      <c r="AI4" s="242"/>
      <c r="AJ4" s="241" t="s">
        <v>112</v>
      </c>
      <c r="AK4" s="242"/>
    </row>
    <row r="5" spans="1:37" ht="18" customHeight="1" x14ac:dyDescent="0.2">
      <c r="A5" s="253"/>
      <c r="B5" s="255"/>
      <c r="C5" s="255"/>
      <c r="D5" s="256"/>
      <c r="E5" s="67" t="s">
        <v>14</v>
      </c>
      <c r="F5" s="67" t="s">
        <v>15</v>
      </c>
      <c r="G5" s="67" t="s">
        <v>14</v>
      </c>
      <c r="H5" s="68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67" t="s">
        <v>14</v>
      </c>
      <c r="P5" s="68" t="s">
        <v>15</v>
      </c>
      <c r="R5" s="69" t="s">
        <v>14</v>
      </c>
      <c r="S5" s="70" t="s">
        <v>15</v>
      </c>
      <c r="T5" s="69" t="s">
        <v>14</v>
      </c>
      <c r="U5" s="70" t="s">
        <v>15</v>
      </c>
      <c r="V5" s="69" t="s">
        <v>14</v>
      </c>
      <c r="W5" s="70" t="s">
        <v>15</v>
      </c>
      <c r="X5" s="69" t="s">
        <v>14</v>
      </c>
      <c r="Y5" s="70" t="s">
        <v>15</v>
      </c>
      <c r="Z5" s="69" t="s">
        <v>14</v>
      </c>
      <c r="AA5" s="70" t="s">
        <v>15</v>
      </c>
      <c r="AB5" s="69" t="s">
        <v>14</v>
      </c>
      <c r="AC5" s="70" t="s">
        <v>15</v>
      </c>
      <c r="AD5" s="69" t="s">
        <v>14</v>
      </c>
      <c r="AE5" s="70" t="s">
        <v>15</v>
      </c>
      <c r="AF5" s="69" t="s">
        <v>14</v>
      </c>
      <c r="AG5" s="70" t="s">
        <v>15</v>
      </c>
      <c r="AH5" s="69" t="s">
        <v>14</v>
      </c>
      <c r="AI5" s="70" t="s">
        <v>15</v>
      </c>
      <c r="AJ5" s="69" t="s">
        <v>14</v>
      </c>
      <c r="AK5" s="70" t="s">
        <v>15</v>
      </c>
    </row>
    <row r="6" spans="1:37" ht="14.8" customHeight="1" x14ac:dyDescent="0.25">
      <c r="A6" s="8">
        <f>ROW()-5</f>
        <v>1</v>
      </c>
      <c r="B6" s="193" t="s">
        <v>16</v>
      </c>
      <c r="C6" s="208"/>
      <c r="D6" s="71">
        <f>SUM(F6,H6,J6,L6,N6,P6)-MIN(F6,H6,J6,L6,N6)+SUM(LARGE((S6,U6,W6,Y6,AA6,AC6,AE6,AG6,AI6),1),LARGE((S6,U6,W6,Y6,AA6,AC6,AE6,AG6,AI6),2),LARGE((S6,U6,W6,Y6,AA6,AC6,AE6,AG6,AI6),3),AK6)</f>
        <v>749.79498699123064</v>
      </c>
      <c r="E6" s="10">
        <f>_xlfn.XLOOKUP($B6,'PP1'!$C$6:$C$55,'PP1'!$B$6:$B$55,"")</f>
        <v>1</v>
      </c>
      <c r="F6" s="115">
        <f>_xlfn.XLOOKUP(E6,'PP1'!$B$6:$B$55,'PP1'!$A$6:$A$55,0)</f>
        <v>96.354085335489259</v>
      </c>
      <c r="G6" s="10">
        <f>_xlfn.XLOOKUP($B6,'PP2'!$C$6:$C$55,'PP2'!$B$6:$B$55,"")</f>
        <v>1</v>
      </c>
      <c r="H6" s="117">
        <f>_xlfn.XLOOKUP(G6,'PP2'!$B$6:$B$55,'PP2'!$A$6:$A$55,0)</f>
        <v>107.2163806449515</v>
      </c>
      <c r="I6" s="10">
        <f>_xlfn.XLOOKUP($B6,'PP3'!$C$6:$C$55,'PP3'!$B$6:$B$55,"")</f>
        <v>1</v>
      </c>
      <c r="J6" s="117">
        <f>_xlfn.XLOOKUP(I6,'PP3'!$B$6:$B$55,'PP3'!$A$6:$A$55,0)</f>
        <v>95.389783520090276</v>
      </c>
      <c r="K6" s="10">
        <f>_xlfn.XLOOKUP($B6,'PP4'!$C$6:$C$55,'PP4'!$B$6:$B$55,"")</f>
        <v>1</v>
      </c>
      <c r="L6" s="117">
        <f>_xlfn.XLOOKUP(K6,'PP4'!$B$6:$B$55,'PP4'!$A$6:$A$55,0)</f>
        <v>82.980246132766666</v>
      </c>
      <c r="M6" s="10">
        <f>_xlfn.XLOOKUP($B6,'PP5'!$C$6:$C$55,'PP5'!$B$6:$B$55,"")</f>
        <v>1</v>
      </c>
      <c r="N6" s="117">
        <f>_xlfn.XLOOKUP(M6,'PP5'!$B$6:$B$55,'PP5'!$A$6:$A$55,0)</f>
        <v>84.286609467713788</v>
      </c>
      <c r="O6" s="10">
        <f>_xlfn.XLOOKUP(B6,MPW!C$6:C$55,MPW!B$6:B$55,"")</f>
        <v>1</v>
      </c>
      <c r="P6" s="117">
        <f>_xlfn.XLOOKUP(O6,MPW!B$6:B$55,MPW!A$6:A$55,0)</f>
        <v>114.46774022410833</v>
      </c>
      <c r="R6" s="10">
        <f>_xlfn.XLOOKUP($B6,'PEW1'!$C$6:$C$201,'PEW1'!$B$6:$B$201,"")</f>
        <v>2</v>
      </c>
      <c r="S6" s="72">
        <f>_xlfn.XLOOKUP(R6,'PEW1'!$B$6:$B$201,'PEW1'!$A$6:$A$201,0)</f>
        <v>95.397702872136023</v>
      </c>
      <c r="T6" s="10">
        <f>_xlfn.XLOOKUP($B6,'PEW2'!$C$6:$C$201,'PEW2'!$B$6:$B$201,"")</f>
        <v>5</v>
      </c>
      <c r="U6" s="72">
        <f>_xlfn.XLOOKUP(T6,'PEW2'!$B$6:$B$201,'PEW2'!$A$6:$A$201,0)</f>
        <v>44.486776257767197</v>
      </c>
      <c r="V6" s="10">
        <f>_xlfn.XLOOKUP($B6,'PEW3'!$C$6:$C$201,'PEW3'!$B$6:$B$201,"")</f>
        <v>7</v>
      </c>
      <c r="W6" s="72">
        <f>_xlfn.XLOOKUP(V6,'PEW3'!$B$6:$B$201,'PEW3'!$A$6:$A$201,0)</f>
        <v>39.997488276253925</v>
      </c>
      <c r="X6" s="10" t="str">
        <f>_xlfn.XLOOKUP($B6,'PEW4'!$C$6:$C$201,'PEW4'!$B$6:$B$201,"")</f>
        <v/>
      </c>
      <c r="Y6" s="72">
        <f>_xlfn.XLOOKUP(X6,'PEW4'!$B$6:$B$201,'PEW4'!$A$6:$A$201,0)</f>
        <v>0</v>
      </c>
      <c r="Z6" s="10" t="str">
        <f>_xlfn.XLOOKUP($B6,'PEW5'!$C$6:$C$201,'PEW5'!$B$6:$B$201,"")</f>
        <v/>
      </c>
      <c r="AA6" s="72">
        <f>_xlfn.XLOOKUP(Z6,'PEW5'!$B$6:$B$201,'PEW5'!$A$6:$A$201,0)</f>
        <v>0</v>
      </c>
      <c r="AB6" s="10" t="str">
        <f>_xlfn.XLOOKUP($B6,'PEW6'!$C$6:$C$201,'PEW6'!$B$6:$B$201,"")</f>
        <v/>
      </c>
      <c r="AC6" s="72">
        <f>_xlfn.XLOOKUP(AB6,'PEW6'!$B$6:$B$201,'PEW6'!$A$6:$A$201,0)</f>
        <v>0</v>
      </c>
      <c r="AD6" s="10" t="str">
        <f>_xlfn.XLOOKUP($B6,'PEW7'!$C$6:$C$201,'PEW7'!$B$6:$B$201,"")</f>
        <v/>
      </c>
      <c r="AE6" s="72">
        <f>_xlfn.XLOOKUP(AD6,'PEW7'!$B$6:$B$201,'PEW7'!$A$6:$A$201,0)</f>
        <v>0</v>
      </c>
      <c r="AF6" s="10">
        <f>_xlfn.XLOOKUP($B6,'PEW8'!$C$6:$C$201,'PEW8'!$B$6:$B$201,"")</f>
        <v>1</v>
      </c>
      <c r="AG6" s="72">
        <f>_xlfn.XLOOKUP(AF6,'PEW8'!$B$6:$B$201,'PEW8'!$A$6:$A$201,0)</f>
        <v>112.19590866897423</v>
      </c>
      <c r="AH6" s="10">
        <f>_xlfn.XLOOKUP($B6,PS!$C$6:$C$201,PS!$B$6:$B$201,"")</f>
        <v>11</v>
      </c>
      <c r="AI6" s="72">
        <f>_xlfn.XLOOKUP(AH6,PS!$B$6:$B$201,PS!$A$6:$A$201,0)</f>
        <v>24.349913802145743</v>
      </c>
      <c r="AJ6" s="10" t="str" cm="1">
        <f t="array" ref="AJ6">_xlfn.XLOOKUP($B6,IMEW!C$6:C$201,IMEW!$B$6:B$201,"")</f>
        <v/>
      </c>
      <c r="AK6" s="73">
        <f>_xlfn.XLOOKUP(AJ6,IMEW!$B$6:$B$201,IMEW!$A$6:$A$201,0)</f>
        <v>0</v>
      </c>
    </row>
    <row r="7" spans="1:37" ht="14.8" customHeight="1" x14ac:dyDescent="0.25">
      <c r="A7" s="8">
        <f>ROW()-5</f>
        <v>2</v>
      </c>
      <c r="B7" s="193" t="s">
        <v>18</v>
      </c>
      <c r="C7" s="11"/>
      <c r="D7" s="71">
        <f>SUM(F7,H7,J7,L7,N7,P7)-MIN(F7,H7,J7,L7,N7)+SUM(LARGE((S7,U7,W7,Y7,AA7,AC7,AE7,AG7,AI7),1),LARGE((S7,U7,W7,Y7,AA7,AC7,AE7,AG7,AI7),2),LARGE((S7,U7,W7,Y7,AA7,AC7,AE7,AG7,AI7),3),AK7)</f>
        <v>351.13786537838655</v>
      </c>
      <c r="E7" s="12">
        <f>_xlfn.XLOOKUP($B7,'PP1'!$C$6:$C$55,'PP1'!$B$6:$B$55,"")</f>
        <v>2</v>
      </c>
      <c r="F7" s="116">
        <f>_xlfn.XLOOKUP(E7,'PP1'!$B$6:$B$55,'PP1'!$A$6:$A$55,0)</f>
        <v>61.946936002500301</v>
      </c>
      <c r="G7" s="12">
        <f>_xlfn.XLOOKUP($B7,'PP2'!$C$6:$C$55,'PP2'!$B$6:$B$55,"")</f>
        <v>3</v>
      </c>
      <c r="H7" s="118">
        <f>_xlfn.XLOOKUP(G7,'PP2'!$B$6:$B$55,'PP2'!$A$6:$A$55,0)</f>
        <v>38.074616879691767</v>
      </c>
      <c r="I7" s="12">
        <f>_xlfn.XLOOKUP($B7,'PP3'!$C$6:$C$55,'PP3'!$B$6:$B$55,"")</f>
        <v>4</v>
      </c>
      <c r="J7" s="118">
        <f>_xlfn.XLOOKUP(I7,'PP3'!$B$6:$B$55,'PP3'!$A$6:$A$55,0)</f>
        <v>17.793697308807488</v>
      </c>
      <c r="K7" s="12">
        <f>_xlfn.XLOOKUP($B7,'PP4'!$C$6:$C$55,'PP4'!$B$6:$B$55,"")</f>
        <v>3</v>
      </c>
      <c r="L7" s="118">
        <f>_xlfn.XLOOKUP(K7,'PP4'!$B$6:$B$55,'PP4'!$A$6:$A$55,0)</f>
        <v>5.3267487109222245</v>
      </c>
      <c r="M7" s="12">
        <f>_xlfn.XLOOKUP($B7,'PP5'!$C$6:$C$55,'PP5'!$B$6:$B$55,"")</f>
        <v>3</v>
      </c>
      <c r="N7" s="118">
        <f>_xlfn.XLOOKUP(M7,'PP5'!$B$6:$B$55,'PP5'!$A$6:$A$55,0)</f>
        <v>15.930621888236271</v>
      </c>
      <c r="O7" s="12">
        <f>_xlfn.XLOOKUP(B7,MPW!C$6:C$55,MPW!B$6:B$55,"")</f>
        <v>3</v>
      </c>
      <c r="P7" s="118">
        <f>_xlfn.XLOOKUP(O7,MPW!B$6:B$55,MPW!A$6:A$55,0)</f>
        <v>38.018669172260182</v>
      </c>
      <c r="R7" s="10">
        <f>_xlfn.XLOOKUP($B7,'PEW1'!$C$6:$C$201,'PEW1'!$B$6:$B$201,"")</f>
        <v>9</v>
      </c>
      <c r="S7" s="72">
        <f>_xlfn.XLOOKUP(R7,'PEW1'!$B$6:$B$201,'PEW1'!$A$6:$A$201,0)</f>
        <v>24.636816941976043</v>
      </c>
      <c r="T7" s="10">
        <f>_xlfn.XLOOKUP($B7,'PEW2'!$C$6:$C$201,'PEW2'!$B$6:$B$201,"")</f>
        <v>19</v>
      </c>
      <c r="U7" s="72">
        <f>_xlfn.XLOOKUP(T7,'PEW2'!$B$6:$B$201,'PEW2'!$A$6:$A$201,0)</f>
        <v>3.323995979931361</v>
      </c>
      <c r="V7" s="10" t="str">
        <f>_xlfn.XLOOKUP($B7,'PEW3'!$C$6:$C$201,'PEW3'!$B$6:$B$201,"")</f>
        <v/>
      </c>
      <c r="W7" s="72">
        <f>_xlfn.XLOOKUP(V7,'PEW3'!$B$6:$B$201,'PEW3'!$A$6:$A$201,0)</f>
        <v>0</v>
      </c>
      <c r="X7" s="10" t="str">
        <f>_xlfn.XLOOKUP($B7,'PEW4'!$C$6:$C$201,'PEW4'!$B$6:$B$201,"")</f>
        <v/>
      </c>
      <c r="Y7" s="72">
        <f>_xlfn.XLOOKUP(X7,'PEW4'!$B$6:$B$201,'PEW4'!$A$6:$A$201,0)</f>
        <v>0</v>
      </c>
      <c r="Z7" s="10" t="str">
        <f>_xlfn.XLOOKUP($B7,'PEW5'!$C$6:$C$201,'PEW5'!$B$6:$B$201,"")</f>
        <v/>
      </c>
      <c r="AA7" s="72">
        <f>_xlfn.XLOOKUP(Z7,'PEW5'!$B$6:$B$201,'PEW5'!$A$6:$A$201,0)</f>
        <v>0</v>
      </c>
      <c r="AB7" s="10" t="str">
        <f>_xlfn.XLOOKUP($B7,'PEW6'!$C$6:$C$201,'PEW6'!$B$6:$B$201,"")</f>
        <v/>
      </c>
      <c r="AC7" s="72">
        <f>_xlfn.XLOOKUP(AB7,'PEW6'!$B$6:$B$201,'PEW6'!$A$6:$A$201,0)</f>
        <v>0</v>
      </c>
      <c r="AD7" s="10">
        <f>_xlfn.XLOOKUP($B7,'PEW7'!$C$6:$C$201,'PEW7'!$B$6:$B$201,"")</f>
        <v>1</v>
      </c>
      <c r="AE7" s="72">
        <f>_xlfn.XLOOKUP(AD7,'PEW7'!$B$6:$B$201,'PEW7'!$A$6:$A$201,0)</f>
        <v>97.216380644951499</v>
      </c>
      <c r="AF7" s="10">
        <f>_xlfn.XLOOKUP($B7,'PEW8'!$C$6:$C$201,'PEW8'!$B$6:$B$201,"")</f>
        <v>3</v>
      </c>
      <c r="AG7" s="72">
        <f>_xlfn.XLOOKUP(AF7,'PEW8'!$B$6:$B$201,'PEW8'!$A$6:$A$201,0)</f>
        <v>57.520126539962988</v>
      </c>
      <c r="AH7" s="10" t="str">
        <f>_xlfn.XLOOKUP($B7,PS!$C$6:$C$201,PS!$B$6:$B$201,"")</f>
        <v/>
      </c>
      <c r="AI7" s="72">
        <f>_xlfn.XLOOKUP(AH7,PS!$B$6:$B$201,PS!$A$6:$A$201,0)</f>
        <v>0</v>
      </c>
      <c r="AJ7" s="10" t="str" cm="1">
        <f t="array" ref="AJ7">_xlfn.XLOOKUP($B7,IMEW!C$6:C$201,IMEW!$B$6:B$201,"")</f>
        <v/>
      </c>
      <c r="AK7" s="73">
        <f>_xlfn.XLOOKUP(AJ7,IMEW!$B$6:$B$201,IMEW!$A$6:$A$201,0)</f>
        <v>0</v>
      </c>
    </row>
    <row r="8" spans="1:37" ht="15.8" customHeight="1" x14ac:dyDescent="0.25">
      <c r="A8" s="8">
        <f>ROW()-5</f>
        <v>3</v>
      </c>
      <c r="B8" s="193" t="s">
        <v>17</v>
      </c>
      <c r="C8" s="209"/>
      <c r="D8" s="71">
        <f>SUM(F8,H8,J8,L8,N8,P8)-MIN(F8,H8,J8,L8,N8)+SUM(LARGE((S8,U8,W8,Y8,AA8,AC8,AE8,AG8,AI8),1),LARGE((S8,U8,W8,Y8,AA8,AC8,AE8,AG8,AI8),2),LARGE((S8,U8,W8,Y8,AA8,AC8,AE8,AG8,AI8),3),AK8)</f>
        <v>273.10455865875292</v>
      </c>
      <c r="E8" s="12">
        <f>_xlfn.XLOOKUP($B8,'PP1'!$C$6:$C$55,'PP1'!$B$6:$B$55,"")</f>
        <v>3</v>
      </c>
      <c r="F8" s="116">
        <f>_xlfn.XLOOKUP(E8,'PP1'!$B$6:$B$55,'PP1'!$A$6:$A$55,0)</f>
        <v>35.407149332988958</v>
      </c>
      <c r="G8" s="12">
        <f>_xlfn.XLOOKUP($B8,'PP2'!$C$6:$C$55,'PP2'!$B$6:$B$55,"")</f>
        <v>4</v>
      </c>
      <c r="H8" s="118">
        <f>_xlfn.XLOOKUP(G8,'PP2'!$B$6:$B$55,'PP2'!$A$6:$A$55,0)</f>
        <v>25.091695663413823</v>
      </c>
      <c r="I8" s="12">
        <f>_xlfn.XLOOKUP($B8,'PP3'!$C$6:$C$55,'PP3'!$B$6:$B$55,"")</f>
        <v>2</v>
      </c>
      <c r="J8" s="118">
        <f>_xlfn.XLOOKUP(I8,'PP3'!$B$6:$B$55,'PP3'!$A$6:$A$55,0)</f>
        <v>59.156704334463925</v>
      </c>
      <c r="K8" s="12">
        <f>_xlfn.XLOOKUP($B8,'PP4'!$C$6:$C$55,'PP4'!$B$6:$B$55,"")</f>
        <v>2</v>
      </c>
      <c r="L8" s="118">
        <f>_xlfn.XLOOKUP(K8,'PP4'!$B$6:$B$55,'PP4'!$A$6:$A$55,0)</f>
        <v>37.73793949684304</v>
      </c>
      <c r="M8" s="12">
        <f>_xlfn.XLOOKUP($B8,'PP5'!$C$6:$C$55,'PP5'!$B$6:$B$55,"")</f>
        <v>2</v>
      </c>
      <c r="N8" s="118">
        <f>_xlfn.XLOOKUP(M8,'PP5'!$B$6:$B$55,'PP5'!$A$6:$A$55,0)</f>
        <v>45.024406311809194</v>
      </c>
      <c r="O8" s="12">
        <f>_xlfn.XLOOKUP(B8,MPW!C$6:C$55,MPW!B$6:B$55,"")</f>
        <v>2</v>
      </c>
      <c r="P8" s="118">
        <f>_xlfn.XLOOKUP(O8,MPW!B$6:B$55,MPW!A$6:A$55,0)</f>
        <v>70.988045201356712</v>
      </c>
      <c r="R8" s="10" t="str">
        <f>_xlfn.XLOOKUP($B8,'PEW1'!$C$6:$C$201,'PEW1'!$B$6:$B$201,"")</f>
        <v/>
      </c>
      <c r="S8" s="72">
        <f>_xlfn.XLOOKUP(R8,'PEW1'!$B$6:$B$201,'PEW1'!$A$6:$A$201,0)</f>
        <v>0</v>
      </c>
      <c r="T8" s="10" t="str">
        <f>_xlfn.XLOOKUP($B8,'PEW2'!$C$6:$C$201,'PEW2'!$B$6:$B$201,"")</f>
        <v/>
      </c>
      <c r="U8" s="72">
        <f>_xlfn.XLOOKUP(T8,'PEW2'!$B$6:$B$201,'PEW2'!$A$6:$A$201,0)</f>
        <v>0</v>
      </c>
      <c r="V8" s="10" t="str">
        <f>_xlfn.XLOOKUP($B8,'PEW3'!$C$6:$C$201,'PEW3'!$B$6:$B$201,"")</f>
        <v/>
      </c>
      <c r="W8" s="72">
        <f>_xlfn.XLOOKUP(V8,'PEW3'!$B$6:$B$201,'PEW3'!$A$6:$A$201,0)</f>
        <v>0</v>
      </c>
      <c r="X8" s="10" t="str">
        <f>_xlfn.XLOOKUP($B8,'PEW4'!$C$6:$C$201,'PEW4'!$B$6:$B$201,"")</f>
        <v/>
      </c>
      <c r="Y8" s="72">
        <f>_xlfn.XLOOKUP(X8,'PEW4'!$B$6:$B$201,'PEW4'!$A$6:$A$201,0)</f>
        <v>0</v>
      </c>
      <c r="Z8" s="10" t="str">
        <f>_xlfn.XLOOKUP($B8,'PEW5'!$C$6:$C$201,'PEW5'!$B$6:$B$201,"")</f>
        <v/>
      </c>
      <c r="AA8" s="72">
        <f>_xlfn.XLOOKUP(Z8,'PEW5'!$B$6:$B$201,'PEW5'!$A$6:$A$201,0)</f>
        <v>0</v>
      </c>
      <c r="AB8" s="10" t="str">
        <f>_xlfn.XLOOKUP($B8,'PEW6'!$C$6:$C$201,'PEW6'!$B$6:$B$201,"")</f>
        <v/>
      </c>
      <c r="AC8" s="72">
        <f>_xlfn.XLOOKUP(AB8,'PEW6'!$B$6:$B$201,'PEW6'!$A$6:$A$201,0)</f>
        <v>0</v>
      </c>
      <c r="AD8" s="10" t="str">
        <f>_xlfn.XLOOKUP($B8,'PEW7'!$C$6:$C$201,'PEW7'!$B$6:$B$201,"")</f>
        <v/>
      </c>
      <c r="AE8" s="72">
        <f>_xlfn.XLOOKUP(AD8,'PEW7'!$B$6:$B$201,'PEW7'!$A$6:$A$201,0)</f>
        <v>0</v>
      </c>
      <c r="AF8" s="10">
        <f>_xlfn.XLOOKUP($B8,'PEW8'!$C$6:$C$201,'PEW8'!$B$6:$B$201,"")</f>
        <v>7</v>
      </c>
      <c r="AG8" s="72">
        <f>_xlfn.XLOOKUP(AF8,'PEW8'!$B$6:$B$201,'PEW8'!$A$6:$A$201,0)</f>
        <v>24.790313981291092</v>
      </c>
      <c r="AH8" s="10" t="str">
        <f>_xlfn.XLOOKUP($B8,PS!$C$6:$C$201,PS!$B$6:$B$201,"")</f>
        <v/>
      </c>
      <c r="AI8" s="72">
        <f>_xlfn.XLOOKUP(AH8,PS!$B$6:$B$201,PS!$A$6:$A$201,0)</f>
        <v>0</v>
      </c>
      <c r="AJ8" s="10" t="str" cm="1">
        <f t="array" ref="AJ8">_xlfn.XLOOKUP($B8,IMEW!C$6:C$201,IMEW!$B$6:B$201,"")</f>
        <v/>
      </c>
      <c r="AK8" s="73">
        <f>_xlfn.XLOOKUP(AJ8,IMEW!$B$6:$B$201,IMEW!$A$6:$A$201,0)</f>
        <v>0</v>
      </c>
    </row>
    <row r="9" spans="1:37" ht="14.8" customHeight="1" x14ac:dyDescent="0.25">
      <c r="A9" s="8">
        <f>ROW()-5</f>
        <v>4</v>
      </c>
      <c r="B9" s="193" t="s">
        <v>19</v>
      </c>
      <c r="C9" s="11"/>
      <c r="D9" s="71">
        <f>SUM(F9,H9,J9,L9,N9,P9)-MIN(F9,H9,J9,L9,N9)+SUM(LARGE((S9,U9,W9,Y9,AA9,AC9,AE9,AG9,AI9),1),LARGE((S9,U9,W9,Y9,AA9,AC9,AE9,AG9,AI9),2),LARGE((S9,U9,W9,Y9,AA9,AC9,AE9,AG9,AI9),3),AK9)</f>
        <v>120.02825002241309</v>
      </c>
      <c r="E9" s="12">
        <f>_xlfn.XLOOKUP($B9,'PP1'!$C$6:$C$55,'PP1'!$B$6:$B$55,"")</f>
        <v>5</v>
      </c>
      <c r="F9" s="116">
        <f>_xlfn.XLOOKUP(E9,'PP1'!$B$6:$B$55,'PP1'!$A$6:$A$55,0)</f>
        <v>5.9860243165075602</v>
      </c>
      <c r="G9" s="12">
        <f>_xlfn.XLOOKUP($B9,'PP2'!$C$6:$C$55,'PP2'!$B$6:$B$55,"")</f>
        <v>2</v>
      </c>
      <c r="H9" s="118">
        <f>_xlfn.XLOOKUP(G9,'PP2'!$B$6:$B$55,'PP2'!$A$6:$A$55,0)</f>
        <v>74.023434928341246</v>
      </c>
      <c r="I9" s="12">
        <f>_xlfn.XLOOKUP($B9,'PP3'!$C$6:$C$55,'PP3'!$B$6:$B$55,"")</f>
        <v>3</v>
      </c>
      <c r="J9" s="118">
        <f>_xlfn.XLOOKUP(I9,'PP3'!$B$6:$B$55,'PP3'!$A$6:$A$55,0)</f>
        <v>31.682224310216817</v>
      </c>
      <c r="K9" s="12" t="str">
        <f>_xlfn.XLOOKUP($B9,'PP4'!$C$6:$C$55,'PP4'!$B$6:$B$55,"")</f>
        <v/>
      </c>
      <c r="L9" s="118">
        <f>_xlfn.XLOOKUP(K9,'PP4'!$B$6:$B$55,'PP4'!$A$6:$A$55,0)</f>
        <v>0</v>
      </c>
      <c r="M9" s="12" t="str">
        <f>_xlfn.XLOOKUP($B9,'PP5'!$C$6:$C$55,'PP5'!$B$6:$B$55,"")</f>
        <v/>
      </c>
      <c r="N9" s="118">
        <f>_xlfn.XLOOKUP(M9,'PP5'!$B$6:$B$55,'PP5'!$A$6:$A$55,0)</f>
        <v>0</v>
      </c>
      <c r="O9" s="12" t="str">
        <f>_xlfn.XLOOKUP(B9,MPW!C$6:C$55,MPW!B$6:B$55,"")</f>
        <v/>
      </c>
      <c r="P9" s="118" t="str">
        <f>_xlfn.XLOOKUP(O9,MPW!B$6:B$55,MPW!A$6:A$55,0)</f>
        <v/>
      </c>
      <c r="R9" s="10" t="str">
        <f>_xlfn.XLOOKUP($B9,'PEW1'!$C$6:$C$201,'PEW1'!$B$6:$B$201,"")</f>
        <v/>
      </c>
      <c r="S9" s="72">
        <f>_xlfn.XLOOKUP(R9,'PEW1'!$B$6:$B$201,'PEW1'!$A$6:$A$201,0)</f>
        <v>0</v>
      </c>
      <c r="T9" s="10" t="str">
        <f>_xlfn.XLOOKUP($B9,'PEW2'!$C$6:$C$201,'PEW2'!$B$6:$B$201,"")</f>
        <v/>
      </c>
      <c r="U9" s="72">
        <f>_xlfn.XLOOKUP(T9,'PEW2'!$B$6:$B$201,'PEW2'!$A$6:$A$201,0)</f>
        <v>0</v>
      </c>
      <c r="V9" s="10" t="str">
        <f>_xlfn.XLOOKUP($B9,'PEW3'!$C$6:$C$201,'PEW3'!$B$6:$B$201,"")</f>
        <v/>
      </c>
      <c r="W9" s="72">
        <f>_xlfn.XLOOKUP(V9,'PEW3'!$B$6:$B$201,'PEW3'!$A$6:$A$201,0)</f>
        <v>0</v>
      </c>
      <c r="X9" s="10" t="str">
        <f>_xlfn.XLOOKUP($B9,'PEW4'!$C$6:$C$201,'PEW4'!$B$6:$B$201,"")</f>
        <v/>
      </c>
      <c r="Y9" s="72">
        <f>_xlfn.XLOOKUP(X9,'PEW4'!$B$6:$B$201,'PEW4'!$A$6:$A$201,0)</f>
        <v>0</v>
      </c>
      <c r="Z9" s="10" t="str">
        <f>_xlfn.XLOOKUP($B9,'PEW5'!$C$6:$C$201,'PEW5'!$B$6:$B$201,"")</f>
        <v/>
      </c>
      <c r="AA9" s="72">
        <f>_xlfn.XLOOKUP(Z9,'PEW5'!$B$6:$B$201,'PEW5'!$A$6:$A$201,0)</f>
        <v>0</v>
      </c>
      <c r="AB9" s="10" t="str">
        <f>_xlfn.XLOOKUP($B9,'PEW6'!$C$6:$C$201,'PEW6'!$B$6:$B$201,"")</f>
        <v/>
      </c>
      <c r="AC9" s="72">
        <f>_xlfn.XLOOKUP(AB9,'PEW6'!$B$6:$B$201,'PEW6'!$A$6:$A$201,0)</f>
        <v>0</v>
      </c>
      <c r="AD9" s="10" t="str">
        <f>_xlfn.XLOOKUP($B9,'PEW7'!$C$6:$C$201,'PEW7'!$B$6:$B$201,"")</f>
        <v/>
      </c>
      <c r="AE9" s="72">
        <f>_xlfn.XLOOKUP(AD9,'PEW7'!$B$6:$B$201,'PEW7'!$A$6:$A$201,0)</f>
        <v>0</v>
      </c>
      <c r="AF9" s="10">
        <f>_xlfn.XLOOKUP($B9,'PEW8'!$C$6:$C$201,'PEW8'!$B$6:$B$201,"")</f>
        <v>10</v>
      </c>
      <c r="AG9" s="72">
        <f>_xlfn.XLOOKUP(AF9,'PEW8'!$B$6:$B$201,'PEW8'!$A$6:$A$201,0)</f>
        <v>8.336566467347474</v>
      </c>
      <c r="AH9" s="10" t="str">
        <f>_xlfn.XLOOKUP($B9,PS!$C$6:$C$201,PS!$B$6:$B$201,"")</f>
        <v/>
      </c>
      <c r="AI9" s="72">
        <f>_xlfn.XLOOKUP(AH9,PS!$B$6:$B$201,PS!$A$6:$A$201,0)</f>
        <v>0</v>
      </c>
      <c r="AJ9" s="10" t="str" cm="1">
        <f t="array" ref="AJ9">_xlfn.XLOOKUP($B9,IMEW!C$6:C$201,IMEW!$B$6:B$201,"")</f>
        <v/>
      </c>
      <c r="AK9" s="73">
        <f>_xlfn.XLOOKUP(AJ9,IMEW!$B$6:$B$201,IMEW!$A$6:$A$201,0)</f>
        <v>0</v>
      </c>
    </row>
    <row r="10" spans="1:37" ht="14.8" customHeight="1" x14ac:dyDescent="0.25">
      <c r="A10" s="8">
        <f>ROW()-5</f>
        <v>5</v>
      </c>
      <c r="B10" s="193" t="s">
        <v>20</v>
      </c>
      <c r="C10" s="11"/>
      <c r="D10" s="71">
        <f>SUM(F10,H10,J10,L10,N10,P10)-MIN(F10,H10,J10,L10,N10)+SUM(LARGE((S10,U10,W10,Y10,AA10,AC10,AE10,AG10,AI10),1),LARGE((S10,U10,W10,Y10,AA10,AC10,AE10,AG10,AI10),2),LARGE((S10,U10,W10,Y10,AA10,AC10,AE10,AG10,AI10),3),AK10)</f>
        <v>54.472713708001109</v>
      </c>
      <c r="E10" s="12">
        <f>_xlfn.XLOOKUP($B10,'PP1'!$C$6:$C$55,'PP1'!$B$6:$B$55,"")</f>
        <v>4</v>
      </c>
      <c r="F10" s="116">
        <f>_xlfn.XLOOKUP(E10,'PP1'!$B$6:$B$55,'PP1'!$A$6:$A$55,0)</f>
        <v>35</v>
      </c>
      <c r="G10" s="12">
        <f>_xlfn.XLOOKUP($B10,'PP2'!$C$6:$C$55,'PP2'!$B$6:$B$55,"")</f>
        <v>5</v>
      </c>
      <c r="H10" s="118">
        <f>_xlfn.XLOOKUP(G10,'PP2'!$B$6:$B$55,'PP2'!$A$6:$A$55,0)</f>
        <v>19.472713708001109</v>
      </c>
      <c r="I10" s="12" t="str">
        <f>_xlfn.XLOOKUP($B10,'PP3'!$C$6:$C$55,'PP3'!$B$6:$B$55,"")</f>
        <v/>
      </c>
      <c r="J10" s="118">
        <f>_xlfn.XLOOKUP(I10,'PP3'!$B$6:$B$55,'PP3'!$A$6:$A$55,0)</f>
        <v>0</v>
      </c>
      <c r="K10" s="12" t="str">
        <f>_xlfn.XLOOKUP($B10,'PP4'!$C$6:$C$55,'PP4'!$B$6:$B$55,"")</f>
        <v/>
      </c>
      <c r="L10" s="118">
        <f>_xlfn.XLOOKUP(K10,'PP4'!$B$6:$B$55,'PP4'!$A$6:$A$55,0)</f>
        <v>0</v>
      </c>
      <c r="M10" s="12" t="str">
        <f>_xlfn.XLOOKUP($B10,'PP5'!$C$6:$C$55,'PP5'!$B$6:$B$55,"")</f>
        <v/>
      </c>
      <c r="N10" s="118">
        <f>_xlfn.XLOOKUP(M10,'PP5'!$B$6:$B$55,'PP5'!$A$6:$A$55,0)</f>
        <v>0</v>
      </c>
      <c r="O10" s="12" t="str">
        <f>_xlfn.XLOOKUP(B10,MPW!C$6:C$55,MPW!B$6:B$55,"")</f>
        <v/>
      </c>
      <c r="P10" s="118" t="str">
        <f>_xlfn.XLOOKUP(O10,MPW!B$6:B$55,MPW!A$6:A$55,0)</f>
        <v/>
      </c>
      <c r="R10" s="10" t="str">
        <f>_xlfn.XLOOKUP($B10,'PEW1'!$C$6:$C$201,'PEW1'!$B$6:$B$201,"")</f>
        <v/>
      </c>
      <c r="S10" s="72">
        <f>_xlfn.XLOOKUP(R10,'PEW1'!$B$6:$B$201,'PEW1'!$A$6:$A$201,0)</f>
        <v>0</v>
      </c>
      <c r="T10" s="10" t="str">
        <f>_xlfn.XLOOKUP($B10,'PEW2'!$C$6:$C$201,'PEW2'!$B$6:$B$201,"")</f>
        <v/>
      </c>
      <c r="U10" s="72">
        <f>_xlfn.XLOOKUP(T10,'PEW2'!$B$6:$B$201,'PEW2'!$A$6:$A$201,0)</f>
        <v>0</v>
      </c>
      <c r="V10" s="10" t="str">
        <f>_xlfn.XLOOKUP($B10,'PEW3'!$C$6:$C$201,'PEW3'!$B$6:$B$201,"")</f>
        <v/>
      </c>
      <c r="W10" s="72">
        <f>_xlfn.XLOOKUP(V10,'PEW3'!$B$6:$B$201,'PEW3'!$A$6:$A$201,0)</f>
        <v>0</v>
      </c>
      <c r="X10" s="10" t="str">
        <f>_xlfn.XLOOKUP($B10,'PEW4'!$C$6:$C$201,'PEW4'!$B$6:$B$201,"")</f>
        <v/>
      </c>
      <c r="Y10" s="72">
        <f>_xlfn.XLOOKUP(X10,'PEW4'!$B$6:$B$201,'PEW4'!$A$6:$A$201,0)</f>
        <v>0</v>
      </c>
      <c r="Z10" s="10" t="str">
        <f>_xlfn.XLOOKUP($B10,'PEW5'!$C$6:$C$201,'PEW5'!$B$6:$B$201,"")</f>
        <v/>
      </c>
      <c r="AA10" s="72">
        <f>_xlfn.XLOOKUP(Z10,'PEW5'!$B$6:$B$201,'PEW5'!$A$6:$A$201,0)</f>
        <v>0</v>
      </c>
      <c r="AB10" s="10" t="str">
        <f>_xlfn.XLOOKUP($B10,'PEW6'!$C$6:$C$201,'PEW6'!$B$6:$B$201,"")</f>
        <v/>
      </c>
      <c r="AC10" s="72">
        <f>_xlfn.XLOOKUP(AB10,'PEW6'!$B$6:$B$201,'PEW6'!$A$6:$A$201,0)</f>
        <v>0</v>
      </c>
      <c r="AD10" s="10" t="str">
        <f>_xlfn.XLOOKUP($B10,'PEW7'!$C$6:$C$201,'PEW7'!$B$6:$B$201,"")</f>
        <v/>
      </c>
      <c r="AE10" s="72">
        <f>_xlfn.XLOOKUP(AD10,'PEW7'!$B$6:$B$201,'PEW7'!$A$6:$A$201,0)</f>
        <v>0</v>
      </c>
      <c r="AF10" s="10" t="str">
        <f>_xlfn.XLOOKUP($B10,'PEW8'!$C$6:$C$201,'PEW8'!$B$6:$B$201,"")</f>
        <v/>
      </c>
      <c r="AG10" s="72">
        <f>_xlfn.XLOOKUP(AF10,'PEW8'!$B$6:$B$201,'PEW8'!$A$6:$A$201,0)</f>
        <v>0</v>
      </c>
      <c r="AH10" s="10" t="str">
        <f>_xlfn.XLOOKUP($B10,PS!$C$6:$C$201,PS!$B$6:$B$201,"")</f>
        <v/>
      </c>
      <c r="AI10" s="72">
        <f>_xlfn.XLOOKUP(AH10,PS!$B$6:$B$201,PS!$A$6:$A$201,0)</f>
        <v>0</v>
      </c>
      <c r="AJ10" s="10" t="str" cm="1">
        <f t="array" ref="AJ10">_xlfn.XLOOKUP($B10,IMEW!C$6:C$201,IMEW!$B$6:B$201,"")</f>
        <v/>
      </c>
      <c r="AK10" s="73">
        <f>_xlfn.XLOOKUP(AJ10,IMEW!$B$6:$B$201,IMEW!$A$6:$A$201,0)</f>
        <v>0</v>
      </c>
    </row>
    <row r="11" spans="1:37" ht="14.8" customHeight="1" x14ac:dyDescent="0.25">
      <c r="A11" s="8">
        <f>ROW()-5</f>
        <v>6</v>
      </c>
      <c r="B11" s="193" t="s">
        <v>21</v>
      </c>
      <c r="C11" s="11"/>
      <c r="D11" s="71">
        <f>SUM(F11,H11,J11,L11,N11,P11)-MIN(F11,H11,J11,L11,N11)+SUM(LARGE((S11,U11,W11,Y11,AA11,AC11,AE11,AG11,AI11),1),LARGE((S11,U11,W11,Y11,AA11,AC11,AE11,AG11,AI11),2),LARGE((S11,U11,W11,Y11,AA11,AC11,AE11,AG11,AI11),3),AK11)</f>
        <v>30.390040656178641</v>
      </c>
      <c r="E11" s="12">
        <f>_xlfn.XLOOKUP($B11,'PP1'!$C$6:$C$55,'PP1'!$B$6:$B$55,"")</f>
        <v>6</v>
      </c>
      <c r="F11" s="116">
        <f>_xlfn.XLOOKUP(E11,'PP1'!$B$6:$B$55,'PP1'!$A$6:$A$55,0)</f>
        <v>1</v>
      </c>
      <c r="G11" s="12">
        <f>_xlfn.XLOOKUP($B11,'PP2'!$C$6:$C$55,'PP2'!$B$6:$B$55,"")</f>
        <v>7</v>
      </c>
      <c r="H11" s="118">
        <f>_xlfn.XLOOKUP(G11,'PP2'!$B$6:$B$55,'PP2'!$A$6:$A$55,0)</f>
        <v>1</v>
      </c>
      <c r="I11" s="12">
        <f>_xlfn.XLOOKUP($B11,'PP3'!$C$6:$C$55,'PP3'!$B$6:$B$55,"")</f>
        <v>5</v>
      </c>
      <c r="J11" s="118">
        <f>_xlfn.XLOOKUP(I11,'PP3'!$B$6:$B$55,'PP3'!$A$6:$A$55,0)</f>
        <v>1</v>
      </c>
      <c r="K11" s="12" t="str">
        <f>_xlfn.XLOOKUP($B11,'PP4'!$C$6:$C$55,'PP4'!$B$6:$B$55,"")</f>
        <v/>
      </c>
      <c r="L11" s="118">
        <f>_xlfn.XLOOKUP(K11,'PP4'!$B$6:$B$55,'PP4'!$A$6:$A$55,0)</f>
        <v>0</v>
      </c>
      <c r="M11" s="12">
        <f>_xlfn.XLOOKUP($B11,'PP5'!$C$6:$C$55,'PP5'!$B$6:$B$55,"")</f>
        <v>4</v>
      </c>
      <c r="N11" s="118">
        <f>_xlfn.XLOOKUP(M11,'PP5'!$B$6:$B$55,'PP5'!$A$6:$A$55,0)</f>
        <v>1</v>
      </c>
      <c r="O11" s="12">
        <f>_xlfn.XLOOKUP(B11,MPW!C$6:C$55,MPW!B$6:B$55,"")</f>
        <v>4</v>
      </c>
      <c r="P11" s="118">
        <f>_xlfn.XLOOKUP(O11,MPW!B$6:B$55,MPW!A$6:A$55,0)</f>
        <v>21.352436770568985</v>
      </c>
      <c r="R11" s="10" t="str">
        <f>_xlfn.XLOOKUP($B11,'PEW1'!$C$6:$C$201,'PEW1'!$B$6:$B$201,"")</f>
        <v/>
      </c>
      <c r="S11" s="72">
        <f>_xlfn.XLOOKUP(R11,'PEW1'!$B$6:$B$201,'PEW1'!$A$6:$A$201,0)</f>
        <v>0</v>
      </c>
      <c r="T11" s="10" t="str">
        <f>_xlfn.XLOOKUP($B11,'PEW2'!$C$6:$C$201,'PEW2'!$B$6:$B$201,"")</f>
        <v/>
      </c>
      <c r="U11" s="72">
        <f>_xlfn.XLOOKUP(T11,'PEW2'!$B$6:$B$201,'PEW2'!$A$6:$A$201,0)</f>
        <v>0</v>
      </c>
      <c r="V11" s="10" t="str">
        <f>_xlfn.XLOOKUP($B11,'PEW3'!$C$6:$C$201,'PEW3'!$B$6:$B$201,"")</f>
        <v/>
      </c>
      <c r="W11" s="72">
        <f>_xlfn.XLOOKUP(V11,'PEW3'!$B$6:$B$201,'PEW3'!$A$6:$A$201,0)</f>
        <v>0</v>
      </c>
      <c r="X11" s="10" t="str">
        <f>_xlfn.XLOOKUP($B11,'PEW4'!$C$6:$C$201,'PEW4'!$B$6:$B$201,"")</f>
        <v/>
      </c>
      <c r="Y11" s="72">
        <f>_xlfn.XLOOKUP(X11,'PEW4'!$B$6:$B$201,'PEW4'!$A$6:$A$201,0)</f>
        <v>0</v>
      </c>
      <c r="Z11" s="10" t="str">
        <f>_xlfn.XLOOKUP($B11,'PEW5'!$C$6:$C$201,'PEW5'!$B$6:$B$201,"")</f>
        <v/>
      </c>
      <c r="AA11" s="72">
        <f>_xlfn.XLOOKUP(Z11,'PEW5'!$B$6:$B$201,'PEW5'!$A$6:$A$201,0)</f>
        <v>0</v>
      </c>
      <c r="AB11" s="10" t="str">
        <f>_xlfn.XLOOKUP($B11,'PEW6'!$C$6:$C$201,'PEW6'!$B$6:$B$201,"")</f>
        <v/>
      </c>
      <c r="AC11" s="72">
        <f>_xlfn.XLOOKUP(AB11,'PEW6'!$B$6:$B$201,'PEW6'!$A$6:$A$201,0)</f>
        <v>0</v>
      </c>
      <c r="AD11" s="10" t="str">
        <f>_xlfn.XLOOKUP($B11,'PEW7'!$C$6:$C$201,'PEW7'!$B$6:$B$201,"")</f>
        <v/>
      </c>
      <c r="AE11" s="72">
        <f>_xlfn.XLOOKUP(AD11,'PEW7'!$B$6:$B$201,'PEW7'!$A$6:$A$201,0)</f>
        <v>0</v>
      </c>
      <c r="AF11" s="10">
        <f>_xlfn.XLOOKUP($B11,'PEW8'!$C$6:$C$201,'PEW8'!$B$6:$B$201,"")</f>
        <v>12</v>
      </c>
      <c r="AG11" s="72">
        <f>_xlfn.XLOOKUP(AF11,'PEW8'!$B$6:$B$201,'PEW8'!$A$6:$A$201,0)</f>
        <v>5.0376038856096557</v>
      </c>
      <c r="AH11" s="10" t="str">
        <f>_xlfn.XLOOKUP($B11,PS!$C$6:$C$201,PS!$B$6:$B$201,"")</f>
        <v/>
      </c>
      <c r="AI11" s="72">
        <f>_xlfn.XLOOKUP(AH11,PS!$B$6:$B$201,PS!$A$6:$A$201,0)</f>
        <v>0</v>
      </c>
      <c r="AJ11" s="10" t="str" cm="1">
        <f t="array" ref="AJ11">_xlfn.XLOOKUP($B11,IMEW!C$6:C$201,IMEW!$B$6:B$201,"")</f>
        <v/>
      </c>
      <c r="AK11" s="73">
        <f>_xlfn.XLOOKUP(AJ11,IMEW!$B$6:$B$201,IMEW!$A$6:$A$201,0)</f>
        <v>0</v>
      </c>
    </row>
    <row r="12" spans="1:37" ht="14.8" customHeight="1" x14ac:dyDescent="0.25">
      <c r="A12" s="8">
        <f>ROW()-5</f>
        <v>7</v>
      </c>
      <c r="B12" s="193" t="s">
        <v>22</v>
      </c>
      <c r="C12" s="11"/>
      <c r="D12" s="71">
        <f>SUM(F12,H12,J12,L12,N12,P12)-MIN(F12,H12,J12,L12,N12)+SUM(LARGE((S12,U12,W12,Y12,AA12,AC12,AE12,AG12,AI12),1),LARGE((S12,U12,W12,Y12,AA12,AC12,AE12,AG12,AI12),2),LARGE((S12,U12,W12,Y12,AA12,AC12,AE12,AG12,AI12),3),AK12)</f>
        <v>21.493676243601264</v>
      </c>
      <c r="E12" s="12" t="str">
        <f>_xlfn.XLOOKUP($B12,'PP1'!$C$6:$C$55,'PP1'!$B$6:$B$55,"")</f>
        <v/>
      </c>
      <c r="F12" s="116">
        <f>_xlfn.XLOOKUP(E12,'PP1'!$B$6:$B$55,'PP1'!$A$6:$A$55,0)</f>
        <v>0</v>
      </c>
      <c r="G12" s="12">
        <f>_xlfn.XLOOKUP($B12,'PP2'!$C$6:$C$55,'PP2'!$B$6:$B$55,"")</f>
        <v>6</v>
      </c>
      <c r="H12" s="118">
        <f>_xlfn.XLOOKUP(G12,'PP2'!$B$6:$B$55,'PP2'!$A$6:$A$55,0)</f>
        <v>14.881671163081513</v>
      </c>
      <c r="I12" s="12" t="str">
        <f>_xlfn.XLOOKUP($B12,'PP3'!$C$6:$C$55,'PP3'!$B$6:$B$55,"")</f>
        <v/>
      </c>
      <c r="J12" s="118">
        <f>_xlfn.XLOOKUP(I12,'PP3'!$B$6:$B$55,'PP3'!$A$6:$A$55,0)</f>
        <v>0</v>
      </c>
      <c r="K12" s="12" t="str">
        <f>_xlfn.XLOOKUP($B12,'PP4'!$C$6:$C$55,'PP4'!$B$6:$B$55,"")</f>
        <v/>
      </c>
      <c r="L12" s="118">
        <f>_xlfn.XLOOKUP(K12,'PP4'!$B$6:$B$55,'PP4'!$A$6:$A$55,0)</f>
        <v>0</v>
      </c>
      <c r="M12" s="12" t="str">
        <f>_xlfn.XLOOKUP($B12,'PP5'!$C$6:$C$55,'PP5'!$B$6:$B$55,"")</f>
        <v/>
      </c>
      <c r="N12" s="118">
        <f>_xlfn.XLOOKUP(M12,'PP5'!$B$6:$B$55,'PP5'!$A$6:$A$55,0)</f>
        <v>0</v>
      </c>
      <c r="O12" s="12" t="str">
        <f>_xlfn.XLOOKUP(B12,MPW!C$6:C$55,MPW!B$6:B$55,"")</f>
        <v/>
      </c>
      <c r="P12" s="118" t="str">
        <f>_xlfn.XLOOKUP(O12,MPW!B$6:B$55,MPW!A$6:A$55,0)</f>
        <v/>
      </c>
      <c r="R12" s="10" t="str">
        <f>_xlfn.XLOOKUP($B12,'PEW1'!$C$6:$C$201,'PEW1'!$B$6:$B$201,"")</f>
        <v/>
      </c>
      <c r="S12" s="72">
        <f>_xlfn.XLOOKUP(R12,'PEW1'!$B$6:$B$201,'PEW1'!$A$6:$A$201,0)</f>
        <v>0</v>
      </c>
      <c r="T12" s="10" t="str">
        <f>_xlfn.XLOOKUP($B12,'PEW2'!$C$6:$C$201,'PEW2'!$B$6:$B$201,"")</f>
        <v/>
      </c>
      <c r="U12" s="72">
        <f>_xlfn.XLOOKUP(T12,'PEW2'!$B$6:$B$201,'PEW2'!$A$6:$A$201,0)</f>
        <v>0</v>
      </c>
      <c r="V12" s="10" t="str">
        <f>_xlfn.XLOOKUP($B12,'PEW3'!$C$6:$C$201,'PEW3'!$B$6:$B$201,"")</f>
        <v/>
      </c>
      <c r="W12" s="72">
        <f>_xlfn.XLOOKUP(V12,'PEW3'!$B$6:$B$201,'PEW3'!$A$6:$A$201,0)</f>
        <v>0</v>
      </c>
      <c r="X12" s="10" t="str">
        <f>_xlfn.XLOOKUP($B12,'PEW4'!$C$6:$C$201,'PEW4'!$B$6:$B$201,"")</f>
        <v/>
      </c>
      <c r="Y12" s="72">
        <f>_xlfn.XLOOKUP(X12,'PEW4'!$B$6:$B$201,'PEW4'!$A$6:$A$201,0)</f>
        <v>0</v>
      </c>
      <c r="Z12" s="10" t="str">
        <f>_xlfn.XLOOKUP($B12,'PEW5'!$C$6:$C$201,'PEW5'!$B$6:$B$201,"")</f>
        <v/>
      </c>
      <c r="AA12" s="72">
        <f>_xlfn.XLOOKUP(Z12,'PEW5'!$B$6:$B$201,'PEW5'!$A$6:$A$201,0)</f>
        <v>0</v>
      </c>
      <c r="AB12" s="10" t="str">
        <f>_xlfn.XLOOKUP($B12,'PEW6'!$C$6:$C$201,'PEW6'!$B$6:$B$201,"")</f>
        <v/>
      </c>
      <c r="AC12" s="72">
        <f>_xlfn.XLOOKUP(AB12,'PEW6'!$B$6:$B$201,'PEW6'!$A$6:$A$201,0)</f>
        <v>0</v>
      </c>
      <c r="AD12" s="10" t="str">
        <f>_xlfn.XLOOKUP($B12,'PEW7'!$C$6:$C$201,'PEW7'!$B$6:$B$201,"")</f>
        <v/>
      </c>
      <c r="AE12" s="72">
        <f>_xlfn.XLOOKUP(AD12,'PEW7'!$B$6:$B$201,'PEW7'!$A$6:$A$201,0)</f>
        <v>0</v>
      </c>
      <c r="AF12" s="10">
        <f>_xlfn.XLOOKUP($B12,'PEW8'!$C$6:$C$201,'PEW8'!$B$6:$B$201,"")</f>
        <v>11</v>
      </c>
      <c r="AG12" s="72">
        <f>_xlfn.XLOOKUP(AF12,'PEW8'!$B$6:$B$201,'PEW8'!$A$6:$A$201,0)</f>
        <v>6.6120050805197508</v>
      </c>
      <c r="AH12" s="10" t="str">
        <f>_xlfn.XLOOKUP($B12,PS!$C$6:$C$201,PS!$B$6:$B$201,"")</f>
        <v/>
      </c>
      <c r="AI12" s="72">
        <f>_xlfn.XLOOKUP(AH12,PS!$B$6:$B$201,PS!$A$6:$A$201,0)</f>
        <v>0</v>
      </c>
      <c r="AJ12" s="10" t="str" cm="1">
        <f t="array" ref="AJ12">_xlfn.XLOOKUP($B12,IMEW!C$6:C$201,IMEW!$B$6:B$201,"")</f>
        <v/>
      </c>
      <c r="AK12" s="73">
        <f>_xlfn.XLOOKUP(AJ12,IMEW!$B$6:$B$201,IMEW!$A$6:$A$201,0)</f>
        <v>0</v>
      </c>
    </row>
    <row r="13" spans="1:37" ht="14.8" customHeight="1" x14ac:dyDescent="0.25">
      <c r="A13" s="8">
        <f>ROW()-5</f>
        <v>8</v>
      </c>
      <c r="B13" s="193" t="s">
        <v>23</v>
      </c>
      <c r="C13" s="11"/>
      <c r="D13" s="71">
        <f>SUM(F13,H13,J13,L13,N13,P13)-MIN(F13,H13,J13,L13,N13)+SUM(LARGE((S13,U13,W13,Y13,AA13,AC13,AE13,AG13,AI13),1),LARGE((S13,U13,W13,Y13,AA13,AC13,AE13,AG13,AI13),2),LARGE((S13,U13,W13,Y13,AA13,AC13,AE13,AG13,AI13),3),AK13)</f>
        <v>1.2</v>
      </c>
      <c r="E13" s="12" t="str">
        <f>_xlfn.XLOOKUP($B13,'PP1'!$C$6:$C$55,'PP1'!$B$6:$B$55,"")</f>
        <v/>
      </c>
      <c r="F13" s="116">
        <f>_xlfn.XLOOKUP(E13,'PP1'!$B$6:$B$55,'PP1'!$A$6:$A$55,0)</f>
        <v>0</v>
      </c>
      <c r="G13" s="12" t="str">
        <f>_xlfn.XLOOKUP($B13,'PP2'!$C$6:$C$55,'PP2'!$B$6:$B$55,"")</f>
        <v/>
      </c>
      <c r="H13" s="118">
        <f>_xlfn.XLOOKUP(G13,'PP2'!$B$6:$B$55,'PP2'!$A$6:$A$55,0)</f>
        <v>0</v>
      </c>
      <c r="I13" s="12" t="str">
        <f>_xlfn.XLOOKUP($B13,'PP3'!$C$6:$C$55,'PP3'!$B$6:$B$55,"")</f>
        <v/>
      </c>
      <c r="J13" s="118">
        <f>_xlfn.XLOOKUP(I13,'PP3'!$B$6:$B$55,'PP3'!$A$6:$A$55,0)</f>
        <v>0</v>
      </c>
      <c r="K13" s="12" t="str">
        <f>_xlfn.XLOOKUP($B13,'PP4'!$C$6:$C$55,'PP4'!$B$6:$B$55,"")</f>
        <v/>
      </c>
      <c r="L13" s="118">
        <f>_xlfn.XLOOKUP(K13,'PP4'!$B$6:$B$55,'PP4'!$A$6:$A$55,0)</f>
        <v>0</v>
      </c>
      <c r="M13" s="12" t="str">
        <f>_xlfn.XLOOKUP($B13,'PP5'!$C$6:$C$55,'PP5'!$B$6:$B$55,"")</f>
        <v/>
      </c>
      <c r="N13" s="118">
        <f>_xlfn.XLOOKUP(M13,'PP5'!$B$6:$B$55,'PP5'!$A$6:$A$55,0)</f>
        <v>0</v>
      </c>
      <c r="O13" s="12">
        <f>_xlfn.XLOOKUP(B13,MPW!C$6:C$55,MPW!B$6:B$55,"")</f>
        <v>5</v>
      </c>
      <c r="P13" s="118">
        <f>_xlfn.XLOOKUP(O13,MPW!B$6:B$55,MPW!A$6:A$55,0)</f>
        <v>1.2</v>
      </c>
      <c r="R13" s="10" t="str">
        <f>_xlfn.XLOOKUP($B13,'PEW1'!$C$6:$C$201,'PEW1'!$B$6:$B$201,"")</f>
        <v/>
      </c>
      <c r="S13" s="72">
        <f>_xlfn.XLOOKUP(R13,'PEW1'!$B$6:$B$201,'PEW1'!$A$6:$A$201,0)</f>
        <v>0</v>
      </c>
      <c r="T13" s="10" t="str">
        <f>_xlfn.XLOOKUP($B13,'PEW2'!$C$6:$C$201,'PEW2'!$B$6:$B$201,"")</f>
        <v/>
      </c>
      <c r="U13" s="72">
        <f>_xlfn.XLOOKUP(T13,'PEW2'!$B$6:$B$201,'PEW2'!$A$6:$A$201,0)</f>
        <v>0</v>
      </c>
      <c r="V13" s="10" t="str">
        <f>_xlfn.XLOOKUP($B13,'PEW3'!$C$6:$C$201,'PEW3'!$B$6:$B$201,"")</f>
        <v/>
      </c>
      <c r="W13" s="72">
        <f>_xlfn.XLOOKUP(V13,'PEW3'!$B$6:$B$201,'PEW3'!$A$6:$A$201,0)</f>
        <v>0</v>
      </c>
      <c r="X13" s="10" t="str">
        <f>_xlfn.XLOOKUP($B13,'PEW4'!$C$6:$C$201,'PEW4'!$B$6:$B$201,"")</f>
        <v/>
      </c>
      <c r="Y13" s="72">
        <f>_xlfn.XLOOKUP(X13,'PEW4'!$B$6:$B$201,'PEW4'!$A$6:$A$201,0)</f>
        <v>0</v>
      </c>
      <c r="Z13" s="10" t="str">
        <f>_xlfn.XLOOKUP($B13,'PEW5'!$C$6:$C$201,'PEW5'!$B$6:$B$201,"")</f>
        <v/>
      </c>
      <c r="AA13" s="72">
        <f>_xlfn.XLOOKUP(Z13,'PEW5'!$B$6:$B$201,'PEW5'!$A$6:$A$201,0)</f>
        <v>0</v>
      </c>
      <c r="AB13" s="10" t="str">
        <f>_xlfn.XLOOKUP($B13,'PEW6'!$C$6:$C$201,'PEW6'!$B$6:$B$201,"")</f>
        <v/>
      </c>
      <c r="AC13" s="72">
        <f>_xlfn.XLOOKUP(AB13,'PEW6'!$B$6:$B$201,'PEW6'!$A$6:$A$201,0)</f>
        <v>0</v>
      </c>
      <c r="AD13" s="10" t="str">
        <f>_xlfn.XLOOKUP($B13,'PEW7'!$C$6:$C$201,'PEW7'!$B$6:$B$201,"")</f>
        <v/>
      </c>
      <c r="AE13" s="72">
        <f>_xlfn.XLOOKUP(AD13,'PEW7'!$B$6:$B$201,'PEW7'!$A$6:$A$201,0)</f>
        <v>0</v>
      </c>
      <c r="AF13" s="10" t="str">
        <f>_xlfn.XLOOKUP($B13,'PEW8'!$C$6:$C$201,'PEW8'!$B$6:$B$201,"")</f>
        <v/>
      </c>
      <c r="AG13" s="72">
        <f>_xlfn.XLOOKUP(AF13,'PEW8'!$B$6:$B$201,'PEW8'!$A$6:$A$201,0)</f>
        <v>0</v>
      </c>
      <c r="AH13" s="10" t="str">
        <f>_xlfn.XLOOKUP($B13,PS!$C$6:$C$201,PS!$B$6:$B$201,"")</f>
        <v/>
      </c>
      <c r="AI13" s="72">
        <f>_xlfn.XLOOKUP(AH13,PS!$B$6:$B$201,PS!$A$6:$A$201,0)</f>
        <v>0</v>
      </c>
      <c r="AJ13" s="10" t="str" cm="1">
        <f t="array" ref="AJ13">_xlfn.XLOOKUP($B13,IMEW!C$6:C$201,IMEW!$B$6:B$201,"")</f>
        <v/>
      </c>
      <c r="AK13" s="73">
        <f>_xlfn.XLOOKUP(AJ13,IMEW!$B$6:$B$201,IMEW!$A$6:$A$201,0)</f>
        <v>0</v>
      </c>
    </row>
    <row r="14" spans="1:37" ht="14.8" customHeight="1" x14ac:dyDescent="0.25">
      <c r="A14" s="8">
        <f>ROW()-5</f>
        <v>9</v>
      </c>
      <c r="B14" s="193"/>
      <c r="C14" s="11"/>
      <c r="D14" s="71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2" t="str">
        <f>_xlfn.XLOOKUP($B14,'PP1'!$C$6:$C$55,'PP1'!$B$6:$B$55,"")</f>
        <v/>
      </c>
      <c r="F14" s="116">
        <f>_xlfn.XLOOKUP(E14,'PP1'!$B$6:$B$55,'PP1'!$A$6:$A$55,0)</f>
        <v>0</v>
      </c>
      <c r="G14" s="12" t="str">
        <f>_xlfn.XLOOKUP($B14,'PP2'!$C$6:$C$55,'PP2'!$B$6:$B$55,"")</f>
        <v/>
      </c>
      <c r="H14" s="118">
        <f>_xlfn.XLOOKUP(G14,'PP2'!$B$6:$B$55,'PP2'!$A$6:$A$55,0)</f>
        <v>0</v>
      </c>
      <c r="I14" s="12" t="str">
        <f>_xlfn.XLOOKUP($B14,'PP3'!$C$6:$C$55,'PP3'!$B$6:$B$55,"")</f>
        <v/>
      </c>
      <c r="J14" s="118">
        <f>_xlfn.XLOOKUP(I14,'PP3'!$B$6:$B$55,'PP3'!$A$6:$A$55,0)</f>
        <v>0</v>
      </c>
      <c r="K14" s="12" t="str">
        <f>_xlfn.XLOOKUP($B14,'PP4'!$C$6:$C$55,'PP4'!$B$6:$B$55,"")</f>
        <v/>
      </c>
      <c r="L14" s="118">
        <f>_xlfn.XLOOKUP(K14,'PP4'!$B$6:$B$55,'PP4'!$A$6:$A$55,0)</f>
        <v>0</v>
      </c>
      <c r="M14" s="12" t="str">
        <f>_xlfn.XLOOKUP($B14,'PP5'!$C$6:$C$55,'PP5'!$B$6:$B$55,"")</f>
        <v/>
      </c>
      <c r="N14" s="118">
        <f>_xlfn.XLOOKUP(M14,'PP5'!$B$6:$B$55,'PP5'!$A$6:$A$55,0)</f>
        <v>0</v>
      </c>
      <c r="O14" s="12" t="str">
        <f>_xlfn.XLOOKUP(B14,MPW!C$6:C$55,MPW!B$6:B$55,"")</f>
        <v/>
      </c>
      <c r="P14" s="118" t="str">
        <f>_xlfn.XLOOKUP(O14,MPW!B$6:B$55,MPW!A$6:A$55,0)</f>
        <v/>
      </c>
      <c r="R14" s="10" t="str">
        <f>_xlfn.XLOOKUP($B14,'PEW1'!$C$6:$C$201,'PEW1'!$B$6:$B$201,"")</f>
        <v/>
      </c>
      <c r="S14" s="72">
        <f>_xlfn.XLOOKUP(R14,'PEW1'!$B$6:$B$201,'PEW1'!$A$6:$A$201,0)</f>
        <v>0</v>
      </c>
      <c r="T14" s="10" t="str">
        <f>_xlfn.XLOOKUP($B14,'PEW2'!$C$6:$C$201,'PEW2'!$B$6:$B$201,"")</f>
        <v/>
      </c>
      <c r="U14" s="72">
        <f>_xlfn.XLOOKUP(T14,'PEW2'!$B$6:$B$201,'PEW2'!$A$6:$A$201,0)</f>
        <v>0</v>
      </c>
      <c r="V14" s="10" t="str">
        <f>_xlfn.XLOOKUP($B14,'PEW3'!$C$6:$C$201,'PEW3'!$B$6:$B$201,"")</f>
        <v/>
      </c>
      <c r="W14" s="72">
        <f>_xlfn.XLOOKUP(V14,'PEW3'!$B$6:$B$201,'PEW3'!$A$6:$A$201,0)</f>
        <v>0</v>
      </c>
      <c r="X14" s="10" t="str">
        <f>_xlfn.XLOOKUP($B14,'PEW4'!$C$6:$C$201,'PEW4'!$B$6:$B$201,"")</f>
        <v/>
      </c>
      <c r="Y14" s="72">
        <f>_xlfn.XLOOKUP(X14,'PEW4'!$B$6:$B$201,'PEW4'!$A$6:$A$201,0)</f>
        <v>0</v>
      </c>
      <c r="Z14" s="10" t="str">
        <f>_xlfn.XLOOKUP($B14,'PEW5'!$C$6:$C$201,'PEW5'!$B$6:$B$201,"")</f>
        <v/>
      </c>
      <c r="AA14" s="72">
        <f>_xlfn.XLOOKUP(Z14,'PEW5'!$B$6:$B$201,'PEW5'!$A$6:$A$201,0)</f>
        <v>0</v>
      </c>
      <c r="AB14" s="10" t="str">
        <f>_xlfn.XLOOKUP($B14,'PEW6'!$C$6:$C$201,'PEW6'!$B$6:$B$201,"")</f>
        <v/>
      </c>
      <c r="AC14" s="72">
        <f>_xlfn.XLOOKUP(AB14,'PEW6'!$B$6:$B$201,'PEW6'!$A$6:$A$201,0)</f>
        <v>0</v>
      </c>
      <c r="AD14" s="10" t="str">
        <f>_xlfn.XLOOKUP($B14,'PEW7'!$C$6:$C$201,'PEW7'!$B$6:$B$201,"")</f>
        <v/>
      </c>
      <c r="AE14" s="72">
        <f>_xlfn.XLOOKUP(AD14,'PEW7'!$B$6:$B$201,'PEW7'!$A$6:$A$201,0)</f>
        <v>0</v>
      </c>
      <c r="AF14" s="10" t="str">
        <f>_xlfn.XLOOKUP($B14,'PEW8'!$C$6:$C$201,'PEW8'!$B$6:$B$201,"")</f>
        <v/>
      </c>
      <c r="AG14" s="72">
        <f>_xlfn.XLOOKUP(AF14,'PEW8'!$B$6:$B$201,'PEW8'!$A$6:$A$201,0)</f>
        <v>0</v>
      </c>
      <c r="AH14" s="10" t="str">
        <f>_xlfn.XLOOKUP($B14,PS!$C$6:$C$201,PS!$B$6:$B$201,"")</f>
        <v/>
      </c>
      <c r="AI14" s="72">
        <f>_xlfn.XLOOKUP(AH14,PS!$B$6:$B$201,PS!$A$6:$A$201,0)</f>
        <v>0</v>
      </c>
      <c r="AJ14" s="10" t="str" cm="1">
        <f t="array" ref="AJ14">_xlfn.XLOOKUP($B14,IMEW!C$6:C$201,IMEW!$B$6:B$201,"")</f>
        <v/>
      </c>
      <c r="AK14" s="73">
        <f>_xlfn.XLOOKUP(AJ14,IMEW!$B$6:$B$201,IMEW!$A$6:$A$201,0)</f>
        <v>0</v>
      </c>
    </row>
    <row r="15" spans="1:37" ht="14.8" customHeight="1" x14ac:dyDescent="0.25">
      <c r="A15" s="8">
        <f>ROW()-5</f>
        <v>10</v>
      </c>
      <c r="B15" s="193"/>
      <c r="C15" s="11"/>
      <c r="D15" s="71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2" t="str">
        <f>_xlfn.XLOOKUP($B15,'PP1'!$C$6:$C$55,'PP1'!$B$6:$B$55,"")</f>
        <v/>
      </c>
      <c r="F15" s="116">
        <f>_xlfn.XLOOKUP(E15,'PP1'!$B$6:$B$55,'PP1'!$A$6:$A$55,0)</f>
        <v>0</v>
      </c>
      <c r="G15" s="12" t="str">
        <f>_xlfn.XLOOKUP($B15,'PP2'!$C$6:$C$55,'PP2'!$B$6:$B$55,"")</f>
        <v/>
      </c>
      <c r="H15" s="118">
        <f>_xlfn.XLOOKUP(G15,'PP2'!$B$6:$B$55,'PP2'!$A$6:$A$55,0)</f>
        <v>0</v>
      </c>
      <c r="I15" s="12" t="str">
        <f>_xlfn.XLOOKUP($B15,'PP3'!$C$6:$C$55,'PP3'!$B$6:$B$55,"")</f>
        <v/>
      </c>
      <c r="J15" s="118">
        <f>_xlfn.XLOOKUP(I15,'PP3'!$B$6:$B$55,'PP3'!$A$6:$A$55,0)</f>
        <v>0</v>
      </c>
      <c r="K15" s="12" t="str">
        <f>_xlfn.XLOOKUP($B15,'PP4'!$C$6:$C$55,'PP4'!$B$6:$B$55,"")</f>
        <v/>
      </c>
      <c r="L15" s="118">
        <f>_xlfn.XLOOKUP(K15,'PP4'!$B$6:$B$55,'PP4'!$A$6:$A$55,0)</f>
        <v>0</v>
      </c>
      <c r="M15" s="12" t="str">
        <f>_xlfn.XLOOKUP($B15,'PP5'!$C$6:$C$55,'PP5'!$B$6:$B$55,"")</f>
        <v/>
      </c>
      <c r="N15" s="118">
        <f>_xlfn.XLOOKUP(M15,'PP5'!$B$6:$B$55,'PP5'!$A$6:$A$55,0)</f>
        <v>0</v>
      </c>
      <c r="O15" s="12" t="str">
        <f>_xlfn.XLOOKUP(B15,MPW!C$6:C$55,MPW!B$6:B$55,"")</f>
        <v/>
      </c>
      <c r="P15" s="118" t="str">
        <f>_xlfn.XLOOKUP(O15,MPW!B$6:B$55,MPW!A$6:A$55,0)</f>
        <v/>
      </c>
      <c r="R15" s="10" t="str">
        <f>_xlfn.XLOOKUP($B15,'PEW1'!$C$6:$C$201,'PEW1'!$B$6:$B$201,"")</f>
        <v/>
      </c>
      <c r="S15" s="72">
        <f>_xlfn.XLOOKUP(R15,'PEW1'!$B$6:$B$201,'PEW1'!$A$6:$A$201,0)</f>
        <v>0</v>
      </c>
      <c r="T15" s="10" t="str">
        <f>_xlfn.XLOOKUP($B15,'PEW2'!$C$6:$C$201,'PEW2'!$B$6:$B$201,"")</f>
        <v/>
      </c>
      <c r="U15" s="72">
        <f>_xlfn.XLOOKUP(T15,'PEW2'!$B$6:$B$201,'PEW2'!$A$6:$A$201,0)</f>
        <v>0</v>
      </c>
      <c r="V15" s="10" t="str">
        <f>_xlfn.XLOOKUP($B15,'PEW3'!$C$6:$C$201,'PEW3'!$B$6:$B$201,"")</f>
        <v/>
      </c>
      <c r="W15" s="72">
        <f>_xlfn.XLOOKUP(V15,'PEW3'!$B$6:$B$201,'PEW3'!$A$6:$A$201,0)</f>
        <v>0</v>
      </c>
      <c r="X15" s="10" t="str">
        <f>_xlfn.XLOOKUP($B15,'PEW4'!$C$6:$C$201,'PEW4'!$B$6:$B$201,"")</f>
        <v/>
      </c>
      <c r="Y15" s="72">
        <f>_xlfn.XLOOKUP(X15,'PEW4'!$B$6:$B$201,'PEW4'!$A$6:$A$201,0)</f>
        <v>0</v>
      </c>
      <c r="Z15" s="10" t="str">
        <f>_xlfn.XLOOKUP($B15,'PEW5'!$C$6:$C$201,'PEW5'!$B$6:$B$201,"")</f>
        <v/>
      </c>
      <c r="AA15" s="72">
        <f>_xlfn.XLOOKUP(Z15,'PEW5'!$B$6:$B$201,'PEW5'!$A$6:$A$201,0)</f>
        <v>0</v>
      </c>
      <c r="AB15" s="10" t="str">
        <f>_xlfn.XLOOKUP($B15,'PEW6'!$C$6:$C$201,'PEW6'!$B$6:$B$201,"")</f>
        <v/>
      </c>
      <c r="AC15" s="72">
        <f>_xlfn.XLOOKUP(AB15,'PEW6'!$B$6:$B$201,'PEW6'!$A$6:$A$201,0)</f>
        <v>0</v>
      </c>
      <c r="AD15" s="10" t="str">
        <f>_xlfn.XLOOKUP($B15,'PEW7'!$C$6:$C$201,'PEW7'!$B$6:$B$201,"")</f>
        <v/>
      </c>
      <c r="AE15" s="72">
        <f>_xlfn.XLOOKUP(AD15,'PEW7'!$B$6:$B$201,'PEW7'!$A$6:$A$201,0)</f>
        <v>0</v>
      </c>
      <c r="AF15" s="10" t="str">
        <f>_xlfn.XLOOKUP($B15,'PEW8'!$C$6:$C$201,'PEW8'!$B$6:$B$201,"")</f>
        <v/>
      </c>
      <c r="AG15" s="72">
        <f>_xlfn.XLOOKUP(AF15,'PEW8'!$B$6:$B$201,'PEW8'!$A$6:$A$201,0)</f>
        <v>0</v>
      </c>
      <c r="AH15" s="10" t="str">
        <f>_xlfn.XLOOKUP($B15,PS!$C$6:$C$201,PS!$B$6:$B$201,"")</f>
        <v/>
      </c>
      <c r="AI15" s="72">
        <f>_xlfn.XLOOKUP(AH15,PS!$B$6:$B$201,PS!$A$6:$A$201,0)</f>
        <v>0</v>
      </c>
      <c r="AJ15" s="10" t="str" cm="1">
        <f t="array" ref="AJ15">_xlfn.XLOOKUP($B15,IMEW!C$6:C$201,IMEW!$B$6:B$201,"")</f>
        <v/>
      </c>
      <c r="AK15" s="73">
        <f>_xlfn.XLOOKUP(AJ15,IMEW!$B$6:$B$201,IMEW!$A$6:$A$201,0)</f>
        <v>0</v>
      </c>
    </row>
    <row r="16" spans="1:37" ht="14.8" customHeight="1" x14ac:dyDescent="0.25">
      <c r="A16" s="8">
        <f>ROW()-5</f>
        <v>11</v>
      </c>
      <c r="B16" s="9"/>
      <c r="C16" s="11"/>
      <c r="D16" s="71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2" t="str">
        <f>_xlfn.XLOOKUP($B16,'PP1'!$C$6:$C$55,'PP1'!$B$6:$B$55,"")</f>
        <v/>
      </c>
      <c r="F16" s="116">
        <f>_xlfn.XLOOKUP(E16,'PP1'!$B$6:$B$55,'PP1'!$A$6:$A$55,0)</f>
        <v>0</v>
      </c>
      <c r="G16" s="12" t="str">
        <f>_xlfn.XLOOKUP($B16,'PP2'!$C$6:$C$55,'PP2'!$B$6:$B$55,"")</f>
        <v/>
      </c>
      <c r="H16" s="118">
        <f>_xlfn.XLOOKUP(G16,'PP2'!$B$6:$B$55,'PP2'!$A$6:$A$55,0)</f>
        <v>0</v>
      </c>
      <c r="I16" s="12" t="str">
        <f>_xlfn.XLOOKUP($B16,'PP3'!$C$6:$C$55,'PP3'!$B$6:$B$55,"")</f>
        <v/>
      </c>
      <c r="J16" s="118">
        <f>_xlfn.XLOOKUP(I16,'PP3'!$B$6:$B$55,'PP3'!$A$6:$A$55,0)</f>
        <v>0</v>
      </c>
      <c r="K16" s="12" t="str">
        <f>_xlfn.XLOOKUP($B16,'PP4'!$C$6:$C$55,'PP4'!$B$6:$B$55,"")</f>
        <v/>
      </c>
      <c r="L16" s="118">
        <f>_xlfn.XLOOKUP(K16,'PP4'!$B$6:$B$55,'PP4'!$A$6:$A$55,0)</f>
        <v>0</v>
      </c>
      <c r="M16" s="12" t="str">
        <f>_xlfn.XLOOKUP($B16,'PP5'!$C$6:$C$55,'PP5'!$B$6:$B$55,"")</f>
        <v/>
      </c>
      <c r="N16" s="118">
        <f>_xlfn.XLOOKUP(M16,'PP5'!$B$6:$B$55,'PP5'!$A$6:$A$55,0)</f>
        <v>0</v>
      </c>
      <c r="O16" s="12" t="str">
        <f>_xlfn.XLOOKUP(B16,MPW!C$6:C$55,MPW!B$6:B$55,"")</f>
        <v/>
      </c>
      <c r="P16" s="118" t="str">
        <f>_xlfn.XLOOKUP(O16,MPW!B$6:B$55,MPW!A$6:A$55,0)</f>
        <v/>
      </c>
      <c r="R16" s="10" t="str">
        <f>_xlfn.XLOOKUP($B16,'PEW1'!$C$6:$C$201,'PEW1'!$B$6:$B$201,"")</f>
        <v/>
      </c>
      <c r="S16" s="72">
        <f>_xlfn.XLOOKUP(R16,'PEW1'!$B$6:$B$201,'PEW1'!$A$6:$A$201,0)</f>
        <v>0</v>
      </c>
      <c r="T16" s="10" t="str">
        <f>_xlfn.XLOOKUP($B16,'PEW2'!$C$6:$C$201,'PEW2'!$B$6:$B$201,"")</f>
        <v/>
      </c>
      <c r="U16" s="72">
        <f>_xlfn.XLOOKUP(T16,'PEW2'!$B$6:$B$201,'PEW2'!$A$6:$A$201,0)</f>
        <v>0</v>
      </c>
      <c r="V16" s="10" t="str">
        <f>_xlfn.XLOOKUP($B16,'PEW3'!$C$6:$C$201,'PEW3'!$B$6:$B$201,"")</f>
        <v/>
      </c>
      <c r="W16" s="72">
        <f>_xlfn.XLOOKUP(V16,'PEW3'!$B$6:$B$201,'PEW3'!$A$6:$A$201,0)</f>
        <v>0</v>
      </c>
      <c r="X16" s="10" t="str">
        <f>_xlfn.XLOOKUP($B16,'PEW4'!$C$6:$C$201,'PEW4'!$B$6:$B$201,"")</f>
        <v/>
      </c>
      <c r="Y16" s="72">
        <f>_xlfn.XLOOKUP(X16,'PEW4'!$B$6:$B$201,'PEW4'!$A$6:$A$201,0)</f>
        <v>0</v>
      </c>
      <c r="Z16" s="10" t="str">
        <f>_xlfn.XLOOKUP($B16,'PEW5'!$C$6:$C$201,'PEW5'!$B$6:$B$201,"")</f>
        <v/>
      </c>
      <c r="AA16" s="72">
        <f>_xlfn.XLOOKUP(Z16,'PEW5'!$B$6:$B$201,'PEW5'!$A$6:$A$201,0)</f>
        <v>0</v>
      </c>
      <c r="AB16" s="10" t="str">
        <f>_xlfn.XLOOKUP($B16,'PEW6'!$C$6:$C$201,'PEW6'!$B$6:$B$201,"")</f>
        <v/>
      </c>
      <c r="AC16" s="72">
        <f>_xlfn.XLOOKUP(AB16,'PEW6'!$B$6:$B$201,'PEW6'!$A$6:$A$201,0)</f>
        <v>0</v>
      </c>
      <c r="AD16" s="10" t="str">
        <f>_xlfn.XLOOKUP($B16,'PEW7'!$C$6:$C$201,'PEW7'!$B$6:$B$201,"")</f>
        <v/>
      </c>
      <c r="AE16" s="72">
        <f>_xlfn.XLOOKUP(AD16,'PEW7'!$B$6:$B$201,'PEW7'!$A$6:$A$201,0)</f>
        <v>0</v>
      </c>
      <c r="AF16" s="10" t="str">
        <f>_xlfn.XLOOKUP($B16,'PEW8'!$C$6:$C$201,'PEW8'!$B$6:$B$201,"")</f>
        <v/>
      </c>
      <c r="AG16" s="72">
        <f>_xlfn.XLOOKUP(AF16,'PEW8'!$B$6:$B$201,'PEW8'!$A$6:$A$201,0)</f>
        <v>0</v>
      </c>
      <c r="AH16" s="10" t="str">
        <f>_xlfn.XLOOKUP($B16,PS!$C$6:$C$201,PS!$B$6:$B$201,"")</f>
        <v/>
      </c>
      <c r="AI16" s="72">
        <f>_xlfn.XLOOKUP(AH16,PS!$B$6:$B$201,PS!$A$6:$A$201,0)</f>
        <v>0</v>
      </c>
      <c r="AJ16" s="10" t="str" cm="1">
        <f t="array" ref="AJ16">_xlfn.XLOOKUP($B16,IMEW!C$6:C$201,IMEW!$B$6:B$201,"")</f>
        <v/>
      </c>
      <c r="AK16" s="73">
        <f>_xlfn.XLOOKUP(AJ16,IMEW!$B$6:$B$201,IMEW!$A$6:$A$201,0)</f>
        <v>0</v>
      </c>
    </row>
    <row r="17" spans="1:37" ht="14.8" customHeight="1" x14ac:dyDescent="0.25">
      <c r="A17" s="8">
        <f>ROW()-5</f>
        <v>12</v>
      </c>
      <c r="B17" s="9"/>
      <c r="C17" s="11"/>
      <c r="D17" s="71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2" t="str">
        <f>_xlfn.XLOOKUP($B17,'PP1'!$C$6:$C$55,'PP1'!$B$6:$B$55,"")</f>
        <v/>
      </c>
      <c r="F17" s="116">
        <f>_xlfn.XLOOKUP(E17,'PP1'!$B$6:$B$55,'PP1'!$A$6:$A$55,0)</f>
        <v>0</v>
      </c>
      <c r="G17" s="12" t="str">
        <f>_xlfn.XLOOKUP($B17,'PP2'!$C$6:$C$55,'PP2'!$B$6:$B$55,"")</f>
        <v/>
      </c>
      <c r="H17" s="118">
        <f>_xlfn.XLOOKUP(G17,'PP2'!$B$6:$B$55,'PP2'!$A$6:$A$55,0)</f>
        <v>0</v>
      </c>
      <c r="I17" s="12" t="str">
        <f>_xlfn.XLOOKUP($B17,'PP3'!$C$6:$C$55,'PP3'!$B$6:$B$55,"")</f>
        <v/>
      </c>
      <c r="J17" s="118">
        <f>_xlfn.XLOOKUP(I17,'PP3'!$B$6:$B$55,'PP3'!$A$6:$A$55,0)</f>
        <v>0</v>
      </c>
      <c r="K17" s="12" t="str">
        <f>_xlfn.XLOOKUP($B17,'PP4'!$C$6:$C$55,'PP4'!$B$6:$B$55,"")</f>
        <v/>
      </c>
      <c r="L17" s="118">
        <f>_xlfn.XLOOKUP(K17,'PP4'!$B$6:$B$55,'PP4'!$A$6:$A$55,0)</f>
        <v>0</v>
      </c>
      <c r="M17" s="12" t="str">
        <f>_xlfn.XLOOKUP($B17,'PP5'!$C$6:$C$55,'PP5'!$B$6:$B$55,"")</f>
        <v/>
      </c>
      <c r="N17" s="118">
        <f>_xlfn.XLOOKUP(M17,'PP5'!$B$6:$B$55,'PP5'!$A$6:$A$55,0)</f>
        <v>0</v>
      </c>
      <c r="O17" s="12" t="str">
        <f>_xlfn.XLOOKUP(B17,MPW!C$6:C$55,MPW!B$6:B$55,"")</f>
        <v/>
      </c>
      <c r="P17" s="118" t="str">
        <f>_xlfn.XLOOKUP(O17,MPW!B$6:B$55,MPW!A$6:A$55,0)</f>
        <v/>
      </c>
      <c r="R17" s="10" t="str">
        <f>_xlfn.XLOOKUP($B17,'PEW1'!$C$6:$C$201,'PEW1'!$B$6:$B$201,"")</f>
        <v/>
      </c>
      <c r="S17" s="72">
        <f>_xlfn.XLOOKUP(R17,'PEW1'!$B$6:$B$201,'PEW1'!$A$6:$A$201,0)</f>
        <v>0</v>
      </c>
      <c r="T17" s="10" t="str">
        <f>_xlfn.XLOOKUP($B17,'PEW2'!$C$6:$C$201,'PEW2'!$B$6:$B$201,"")</f>
        <v/>
      </c>
      <c r="U17" s="72">
        <f>_xlfn.XLOOKUP(T17,'PEW2'!$B$6:$B$201,'PEW2'!$A$6:$A$201,0)</f>
        <v>0</v>
      </c>
      <c r="V17" s="10" t="str">
        <f>_xlfn.XLOOKUP($B17,'PEW3'!$C$6:$C$201,'PEW3'!$B$6:$B$201,"")</f>
        <v/>
      </c>
      <c r="W17" s="72">
        <f>_xlfn.XLOOKUP(V17,'PEW3'!$B$6:$B$201,'PEW3'!$A$6:$A$201,0)</f>
        <v>0</v>
      </c>
      <c r="X17" s="10" t="str">
        <f>_xlfn.XLOOKUP($B17,'PEW4'!$C$6:$C$201,'PEW4'!$B$6:$B$201,"")</f>
        <v/>
      </c>
      <c r="Y17" s="72">
        <f>_xlfn.XLOOKUP(X17,'PEW4'!$B$6:$B$201,'PEW4'!$A$6:$A$201,0)</f>
        <v>0</v>
      </c>
      <c r="Z17" s="10" t="str">
        <f>_xlfn.XLOOKUP($B17,'PEW5'!$C$6:$C$201,'PEW5'!$B$6:$B$201,"")</f>
        <v/>
      </c>
      <c r="AA17" s="72">
        <f>_xlfn.XLOOKUP(Z17,'PEW5'!$B$6:$B$201,'PEW5'!$A$6:$A$201,0)</f>
        <v>0</v>
      </c>
      <c r="AB17" s="10" t="str">
        <f>_xlfn.XLOOKUP($B17,'PEW6'!$C$6:$C$201,'PEW6'!$B$6:$B$201,"")</f>
        <v/>
      </c>
      <c r="AC17" s="72">
        <f>_xlfn.XLOOKUP(AB17,'PEW6'!$B$6:$B$201,'PEW6'!$A$6:$A$201,0)</f>
        <v>0</v>
      </c>
      <c r="AD17" s="10" t="str">
        <f>_xlfn.XLOOKUP($B17,'PEW7'!$C$6:$C$201,'PEW7'!$B$6:$B$201,"")</f>
        <v/>
      </c>
      <c r="AE17" s="72">
        <f>_xlfn.XLOOKUP(AD17,'PEW7'!$B$6:$B$201,'PEW7'!$A$6:$A$201,0)</f>
        <v>0</v>
      </c>
      <c r="AF17" s="10" t="str">
        <f>_xlfn.XLOOKUP($B17,'PEW8'!$C$6:$C$201,'PEW8'!$B$6:$B$201,"")</f>
        <v/>
      </c>
      <c r="AG17" s="72">
        <f>_xlfn.XLOOKUP(AF17,'PEW8'!$B$6:$B$201,'PEW8'!$A$6:$A$201,0)</f>
        <v>0</v>
      </c>
      <c r="AH17" s="10" t="str">
        <f>_xlfn.XLOOKUP($B17,PS!$C$6:$C$201,PS!$B$6:$B$201,"")</f>
        <v/>
      </c>
      <c r="AI17" s="72">
        <f>_xlfn.XLOOKUP(AH17,PS!$B$6:$B$201,PS!$A$6:$A$201,0)</f>
        <v>0</v>
      </c>
      <c r="AJ17" s="10" t="str" cm="1">
        <f t="array" ref="AJ17">_xlfn.XLOOKUP($B17,IMEW!C$6:C$201,IMEW!$B$6:B$201,"")</f>
        <v/>
      </c>
      <c r="AK17" s="73">
        <f>_xlfn.XLOOKUP(AJ17,IMEW!$B$6:$B$201,IMEW!$A$6:$A$201,0)</f>
        <v>0</v>
      </c>
    </row>
    <row r="18" spans="1:37" ht="14.8" customHeight="1" x14ac:dyDescent="0.25">
      <c r="A18" s="8">
        <f>ROW()-5</f>
        <v>13</v>
      </c>
      <c r="B18" s="9"/>
      <c r="C18" s="11"/>
      <c r="D18" s="71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2" t="str">
        <f>_xlfn.XLOOKUP($B18,'PP1'!$C$6:$C$55,'PP1'!$B$6:$B$55,"")</f>
        <v/>
      </c>
      <c r="F18" s="116">
        <f>_xlfn.XLOOKUP(E18,'PP1'!$B$6:$B$55,'PP1'!$A$6:$A$55,0)</f>
        <v>0</v>
      </c>
      <c r="G18" s="12" t="str">
        <f>_xlfn.XLOOKUP($B18,'PP2'!$C$6:$C$55,'PP2'!$B$6:$B$55,"")</f>
        <v/>
      </c>
      <c r="H18" s="118">
        <f>_xlfn.XLOOKUP(G18,'PP2'!$B$6:$B$55,'PP2'!$A$6:$A$55,0)</f>
        <v>0</v>
      </c>
      <c r="I18" s="12" t="str">
        <f>_xlfn.XLOOKUP($B18,'PP3'!$C$6:$C$55,'PP3'!$B$6:$B$55,"")</f>
        <v/>
      </c>
      <c r="J18" s="118">
        <f>_xlfn.XLOOKUP(I18,'PP3'!$B$6:$B$55,'PP3'!$A$6:$A$55,0)</f>
        <v>0</v>
      </c>
      <c r="K18" s="12" t="str">
        <f>_xlfn.XLOOKUP($B18,'PP4'!$C$6:$C$55,'PP4'!$B$6:$B$55,"")</f>
        <v/>
      </c>
      <c r="L18" s="118">
        <f>_xlfn.XLOOKUP(K18,'PP4'!$B$6:$B$55,'PP4'!$A$6:$A$55,0)</f>
        <v>0</v>
      </c>
      <c r="M18" s="12" t="str">
        <f>_xlfn.XLOOKUP($B18,'PP5'!$C$6:$C$55,'PP5'!$B$6:$B$55,"")</f>
        <v/>
      </c>
      <c r="N18" s="118">
        <f>_xlfn.XLOOKUP(M18,'PP5'!$B$6:$B$55,'PP5'!$A$6:$A$55,0)</f>
        <v>0</v>
      </c>
      <c r="O18" s="12" t="str">
        <f>_xlfn.XLOOKUP(B18,MPW!C$6:C$55,MPW!B$6:B$55,"")</f>
        <v/>
      </c>
      <c r="P18" s="118" t="str">
        <f>_xlfn.XLOOKUP(O18,MPW!B$6:B$55,MPW!A$6:A$55,0)</f>
        <v/>
      </c>
      <c r="R18" s="10" t="str">
        <f>_xlfn.XLOOKUP($B18,'PEW1'!$C$6:$C$201,'PEW1'!$B$6:$B$201,"")</f>
        <v/>
      </c>
      <c r="S18" s="72">
        <f>_xlfn.XLOOKUP(R18,'PEW1'!$B$6:$B$201,'PEW1'!$A$6:$A$201,0)</f>
        <v>0</v>
      </c>
      <c r="T18" s="10" t="str">
        <f>_xlfn.XLOOKUP($B18,'PEW2'!$C$6:$C$201,'PEW2'!$B$6:$B$201,"")</f>
        <v/>
      </c>
      <c r="U18" s="72">
        <f>_xlfn.XLOOKUP(T18,'PEW2'!$B$6:$B$201,'PEW2'!$A$6:$A$201,0)</f>
        <v>0</v>
      </c>
      <c r="V18" s="10" t="str">
        <f>_xlfn.XLOOKUP($B18,'PEW3'!$C$6:$C$201,'PEW3'!$B$6:$B$201,"")</f>
        <v/>
      </c>
      <c r="W18" s="72">
        <f>_xlfn.XLOOKUP(V18,'PEW3'!$B$6:$B$201,'PEW3'!$A$6:$A$201,0)</f>
        <v>0</v>
      </c>
      <c r="X18" s="10" t="str">
        <f>_xlfn.XLOOKUP($B18,'PEW4'!$C$6:$C$201,'PEW4'!$B$6:$B$201,"")</f>
        <v/>
      </c>
      <c r="Y18" s="72">
        <f>_xlfn.XLOOKUP(X18,'PEW4'!$B$6:$B$201,'PEW4'!$A$6:$A$201,0)</f>
        <v>0</v>
      </c>
      <c r="Z18" s="10" t="str">
        <f>_xlfn.XLOOKUP($B18,'PEW5'!$C$6:$C$201,'PEW5'!$B$6:$B$201,"")</f>
        <v/>
      </c>
      <c r="AA18" s="72">
        <f>_xlfn.XLOOKUP(Z18,'PEW5'!$B$6:$B$201,'PEW5'!$A$6:$A$201,0)</f>
        <v>0</v>
      </c>
      <c r="AB18" s="10" t="str">
        <f>_xlfn.XLOOKUP($B18,'PEW6'!$C$6:$C$201,'PEW6'!$B$6:$B$201,"")</f>
        <v/>
      </c>
      <c r="AC18" s="72">
        <f>_xlfn.XLOOKUP(AB18,'PEW6'!$B$6:$B$201,'PEW6'!$A$6:$A$201,0)</f>
        <v>0</v>
      </c>
      <c r="AD18" s="10" t="str">
        <f>_xlfn.XLOOKUP($B18,'PEW7'!$C$6:$C$201,'PEW7'!$B$6:$B$201,"")</f>
        <v/>
      </c>
      <c r="AE18" s="72">
        <f>_xlfn.XLOOKUP(AD18,'PEW7'!$B$6:$B$201,'PEW7'!$A$6:$A$201,0)</f>
        <v>0</v>
      </c>
      <c r="AF18" s="10" t="str">
        <f>_xlfn.XLOOKUP($B18,'PEW8'!$C$6:$C$201,'PEW8'!$B$6:$B$201,"")</f>
        <v/>
      </c>
      <c r="AG18" s="72">
        <f>_xlfn.XLOOKUP(AF18,'PEW8'!$B$6:$B$201,'PEW8'!$A$6:$A$201,0)</f>
        <v>0</v>
      </c>
      <c r="AH18" s="10" t="str">
        <f>_xlfn.XLOOKUP($B18,PS!$C$6:$C$201,PS!$B$6:$B$201,"")</f>
        <v/>
      </c>
      <c r="AI18" s="72">
        <f>_xlfn.XLOOKUP(AH18,PS!$B$6:$B$201,PS!$A$6:$A$201,0)</f>
        <v>0</v>
      </c>
      <c r="AJ18" s="10" t="str" cm="1">
        <f t="array" ref="AJ18">_xlfn.XLOOKUP($B18,IMEW!C$6:C$201,IMEW!$B$6:B$201,"")</f>
        <v/>
      </c>
      <c r="AK18" s="73">
        <f>_xlfn.XLOOKUP(AJ18,IMEW!$B$6:$B$201,IMEW!$A$6:$A$201,0)</f>
        <v>0</v>
      </c>
    </row>
    <row r="19" spans="1:37" ht="14.8" customHeight="1" x14ac:dyDescent="0.25">
      <c r="A19" s="8">
        <f>ROW()-5</f>
        <v>14</v>
      </c>
      <c r="B19" s="9"/>
      <c r="C19" s="11"/>
      <c r="D19" s="71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2" t="str">
        <f>_xlfn.XLOOKUP($B19,'PP1'!$C$6:$C$55,'PP1'!$B$6:$B$55,"")</f>
        <v/>
      </c>
      <c r="F19" s="116">
        <f>_xlfn.XLOOKUP(E19,'PP1'!$B$6:$B$55,'PP1'!$A$6:$A$55,0)</f>
        <v>0</v>
      </c>
      <c r="G19" s="12" t="str">
        <f>_xlfn.XLOOKUP($B19,'PP2'!$C$6:$C$55,'PP2'!$B$6:$B$55,"")</f>
        <v/>
      </c>
      <c r="H19" s="118">
        <f>_xlfn.XLOOKUP(G19,'PP2'!$B$6:$B$55,'PP2'!$A$6:$A$55,0)</f>
        <v>0</v>
      </c>
      <c r="I19" s="12" t="str">
        <f>_xlfn.XLOOKUP($B19,'PP3'!$C$6:$C$55,'PP3'!$B$6:$B$55,"")</f>
        <v/>
      </c>
      <c r="J19" s="118">
        <f>_xlfn.XLOOKUP(I19,'PP3'!$B$6:$B$55,'PP3'!$A$6:$A$55,0)</f>
        <v>0</v>
      </c>
      <c r="K19" s="12" t="str">
        <f>_xlfn.XLOOKUP($B19,'PP4'!$C$6:$C$55,'PP4'!$B$6:$B$55,"")</f>
        <v/>
      </c>
      <c r="L19" s="118">
        <f>_xlfn.XLOOKUP(K19,'PP4'!$B$6:$B$55,'PP4'!$A$6:$A$55,0)</f>
        <v>0</v>
      </c>
      <c r="M19" s="12" t="str">
        <f>_xlfn.XLOOKUP($B19,'PP5'!$C$6:$C$55,'PP5'!$B$6:$B$55,"")</f>
        <v/>
      </c>
      <c r="N19" s="118">
        <f>_xlfn.XLOOKUP(M19,'PP5'!$B$6:$B$55,'PP5'!$A$6:$A$55,0)</f>
        <v>0</v>
      </c>
      <c r="O19" s="12" t="str">
        <f>_xlfn.XLOOKUP(B19,MPW!C$6:C$55,MPW!B$6:B$55,"")</f>
        <v/>
      </c>
      <c r="P19" s="118" t="str">
        <f>_xlfn.XLOOKUP(O19,MPW!B$6:B$55,MPW!A$6:A$55,0)</f>
        <v/>
      </c>
      <c r="R19" s="10" t="str">
        <f>_xlfn.XLOOKUP($B19,'PEW1'!$C$6:$C$201,'PEW1'!$B$6:$B$201,"")</f>
        <v/>
      </c>
      <c r="S19" s="72">
        <f>_xlfn.XLOOKUP(R19,'PEW1'!$B$6:$B$201,'PEW1'!$A$6:$A$201,0)</f>
        <v>0</v>
      </c>
      <c r="T19" s="10" t="str">
        <f>_xlfn.XLOOKUP($B19,'PEW2'!$C$6:$C$201,'PEW2'!$B$6:$B$201,"")</f>
        <v/>
      </c>
      <c r="U19" s="72">
        <f>_xlfn.XLOOKUP(T19,'PEW2'!$B$6:$B$201,'PEW2'!$A$6:$A$201,0)</f>
        <v>0</v>
      </c>
      <c r="V19" s="10" t="str">
        <f>_xlfn.XLOOKUP($B19,'PEW3'!$C$6:$C$201,'PEW3'!$B$6:$B$201,"")</f>
        <v/>
      </c>
      <c r="W19" s="72">
        <f>_xlfn.XLOOKUP(V19,'PEW3'!$B$6:$B$201,'PEW3'!$A$6:$A$201,0)</f>
        <v>0</v>
      </c>
      <c r="X19" s="10" t="str">
        <f>_xlfn.XLOOKUP($B19,'PEW4'!$C$6:$C$201,'PEW4'!$B$6:$B$201,"")</f>
        <v/>
      </c>
      <c r="Y19" s="72">
        <f>_xlfn.XLOOKUP(X19,'PEW4'!$B$6:$B$201,'PEW4'!$A$6:$A$201,0)</f>
        <v>0</v>
      </c>
      <c r="Z19" s="10" t="str">
        <f>_xlfn.XLOOKUP($B19,'PEW5'!$C$6:$C$201,'PEW5'!$B$6:$B$201,"")</f>
        <v/>
      </c>
      <c r="AA19" s="72">
        <f>_xlfn.XLOOKUP(Z19,'PEW5'!$B$6:$B$201,'PEW5'!$A$6:$A$201,0)</f>
        <v>0</v>
      </c>
      <c r="AB19" s="10" t="str">
        <f>_xlfn.XLOOKUP($B19,'PEW6'!$C$6:$C$201,'PEW6'!$B$6:$B$201,"")</f>
        <v/>
      </c>
      <c r="AC19" s="72">
        <f>_xlfn.XLOOKUP(AB19,'PEW6'!$B$6:$B$201,'PEW6'!$A$6:$A$201,0)</f>
        <v>0</v>
      </c>
      <c r="AD19" s="10" t="str">
        <f>_xlfn.XLOOKUP($B19,'PEW7'!$C$6:$C$201,'PEW7'!$B$6:$B$201,"")</f>
        <v/>
      </c>
      <c r="AE19" s="72">
        <f>_xlfn.XLOOKUP(AD19,'PEW7'!$B$6:$B$201,'PEW7'!$A$6:$A$201,0)</f>
        <v>0</v>
      </c>
      <c r="AF19" s="10" t="str">
        <f>_xlfn.XLOOKUP($B19,'PEW8'!$C$6:$C$201,'PEW8'!$B$6:$B$201,"")</f>
        <v/>
      </c>
      <c r="AG19" s="72">
        <f>_xlfn.XLOOKUP(AF19,'PEW8'!$B$6:$B$201,'PEW8'!$A$6:$A$201,0)</f>
        <v>0</v>
      </c>
      <c r="AH19" s="10" t="str">
        <f>_xlfn.XLOOKUP($B19,PS!$C$6:$C$201,PS!$B$6:$B$201,"")</f>
        <v/>
      </c>
      <c r="AI19" s="72">
        <f>_xlfn.XLOOKUP(AH19,PS!$B$6:$B$201,PS!$A$6:$A$201,0)</f>
        <v>0</v>
      </c>
      <c r="AJ19" s="10" t="str" cm="1">
        <f t="array" ref="AJ19">_xlfn.XLOOKUP($B19,IMEW!C$6:C$201,IMEW!$B$6:B$201,"")</f>
        <v/>
      </c>
      <c r="AK19" s="73">
        <f>_xlfn.XLOOKUP(AJ19,IMEW!$B$6:$B$201,IMEW!$A$6:$A$201,0)</f>
        <v>0</v>
      </c>
    </row>
    <row r="20" spans="1:37" ht="14.8" customHeight="1" x14ac:dyDescent="0.25">
      <c r="A20" s="8">
        <f>ROW()-5</f>
        <v>15</v>
      </c>
      <c r="B20" s="9"/>
      <c r="C20" s="11"/>
      <c r="D20" s="71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2" t="str">
        <f>_xlfn.XLOOKUP($B20,'PP1'!$C$6:$C$55,'PP1'!$B$6:$B$55,"")</f>
        <v/>
      </c>
      <c r="F20" s="116">
        <f>_xlfn.XLOOKUP(E20,'PP1'!$B$6:$B$55,'PP1'!$A$6:$A$55,0)</f>
        <v>0</v>
      </c>
      <c r="G20" s="12" t="str">
        <f>_xlfn.XLOOKUP($B20,'PP2'!$C$6:$C$55,'PP2'!$B$6:$B$55,"")</f>
        <v/>
      </c>
      <c r="H20" s="118">
        <f>_xlfn.XLOOKUP(G20,'PP2'!$B$6:$B$55,'PP2'!$A$6:$A$55,0)</f>
        <v>0</v>
      </c>
      <c r="I20" s="12" t="str">
        <f>_xlfn.XLOOKUP($B20,'PP3'!$C$6:$C$55,'PP3'!$B$6:$B$55,"")</f>
        <v/>
      </c>
      <c r="J20" s="118">
        <f>_xlfn.XLOOKUP(I20,'PP3'!$B$6:$B$55,'PP3'!$A$6:$A$55,0)</f>
        <v>0</v>
      </c>
      <c r="K20" s="12" t="str">
        <f>_xlfn.XLOOKUP($B20,'PP4'!$C$6:$C$55,'PP4'!$B$6:$B$55,"")</f>
        <v/>
      </c>
      <c r="L20" s="118">
        <f>_xlfn.XLOOKUP(K20,'PP4'!$B$6:$B$55,'PP4'!$A$6:$A$55,0)</f>
        <v>0</v>
      </c>
      <c r="M20" s="12" t="str">
        <f>_xlfn.XLOOKUP($B20,'PP5'!$C$6:$C$55,'PP5'!$B$6:$B$55,"")</f>
        <v/>
      </c>
      <c r="N20" s="118">
        <f>_xlfn.XLOOKUP(M20,'PP5'!$B$6:$B$55,'PP5'!$A$6:$A$55,0)</f>
        <v>0</v>
      </c>
      <c r="O20" s="12" t="str">
        <f>_xlfn.XLOOKUP(B20,MPW!C$6:C$55,MPW!B$6:B$55,"")</f>
        <v/>
      </c>
      <c r="P20" s="118" t="str">
        <f>_xlfn.XLOOKUP(O20,MPW!B$6:B$55,MPW!A$6:A$55,0)</f>
        <v/>
      </c>
      <c r="R20" s="10" t="str">
        <f>_xlfn.XLOOKUP($B20,'PEW1'!$C$6:$C$201,'PEW1'!$B$6:$B$201,"")</f>
        <v/>
      </c>
      <c r="S20" s="72">
        <f>_xlfn.XLOOKUP(R20,'PEW1'!$B$6:$B$201,'PEW1'!$A$6:$A$201,0)</f>
        <v>0</v>
      </c>
      <c r="T20" s="10" t="str">
        <f>_xlfn.XLOOKUP($B20,'PEW2'!$C$6:$C$201,'PEW2'!$B$6:$B$201,"")</f>
        <v/>
      </c>
      <c r="U20" s="72">
        <f>_xlfn.XLOOKUP(T20,'PEW2'!$B$6:$B$201,'PEW2'!$A$6:$A$201,0)</f>
        <v>0</v>
      </c>
      <c r="V20" s="10" t="str">
        <f>_xlfn.XLOOKUP($B20,'PEW3'!$C$6:$C$201,'PEW3'!$B$6:$B$201,"")</f>
        <v/>
      </c>
      <c r="W20" s="72">
        <f>_xlfn.XLOOKUP(V20,'PEW3'!$B$6:$B$201,'PEW3'!$A$6:$A$201,0)</f>
        <v>0</v>
      </c>
      <c r="X20" s="10" t="str">
        <f>_xlfn.XLOOKUP($B20,'PEW4'!$C$6:$C$201,'PEW4'!$B$6:$B$201,"")</f>
        <v/>
      </c>
      <c r="Y20" s="72">
        <f>_xlfn.XLOOKUP(X20,'PEW4'!$B$6:$B$201,'PEW4'!$A$6:$A$201,0)</f>
        <v>0</v>
      </c>
      <c r="Z20" s="10" t="str">
        <f>_xlfn.XLOOKUP($B20,'PEW5'!$C$6:$C$201,'PEW5'!$B$6:$B$201,"")</f>
        <v/>
      </c>
      <c r="AA20" s="72">
        <f>_xlfn.XLOOKUP(Z20,'PEW5'!$B$6:$B$201,'PEW5'!$A$6:$A$201,0)</f>
        <v>0</v>
      </c>
      <c r="AB20" s="10" t="str">
        <f>_xlfn.XLOOKUP($B20,'PEW6'!$C$6:$C$201,'PEW6'!$B$6:$B$201,"")</f>
        <v/>
      </c>
      <c r="AC20" s="72">
        <f>_xlfn.XLOOKUP(AB20,'PEW6'!$B$6:$B$201,'PEW6'!$A$6:$A$201,0)</f>
        <v>0</v>
      </c>
      <c r="AD20" s="10" t="str">
        <f>_xlfn.XLOOKUP($B20,'PEW7'!$C$6:$C$201,'PEW7'!$B$6:$B$201,"")</f>
        <v/>
      </c>
      <c r="AE20" s="72">
        <f>_xlfn.XLOOKUP(AD20,'PEW7'!$B$6:$B$201,'PEW7'!$A$6:$A$201,0)</f>
        <v>0</v>
      </c>
      <c r="AF20" s="10" t="str">
        <f>_xlfn.XLOOKUP($B20,'PEW8'!$C$6:$C$201,'PEW8'!$B$6:$B$201,"")</f>
        <v/>
      </c>
      <c r="AG20" s="72">
        <f>_xlfn.XLOOKUP(AF20,'PEW8'!$B$6:$B$201,'PEW8'!$A$6:$A$201,0)</f>
        <v>0</v>
      </c>
      <c r="AH20" s="10" t="str">
        <f>_xlfn.XLOOKUP($B20,PS!$C$6:$C$201,PS!$B$6:$B$201,"")</f>
        <v/>
      </c>
      <c r="AI20" s="72">
        <f>_xlfn.XLOOKUP(AH20,PS!$B$6:$B$201,PS!$A$6:$A$201,0)</f>
        <v>0</v>
      </c>
      <c r="AJ20" s="10" t="str" cm="1">
        <f t="array" ref="AJ20">_xlfn.XLOOKUP($B20,IMEW!C$6:C$201,IMEW!$B$6:B$201,"")</f>
        <v/>
      </c>
      <c r="AK20" s="73">
        <f>_xlfn.XLOOKUP(AJ20,IMEW!$B$6:$B$201,IMEW!$A$6:$A$201,0)</f>
        <v>0</v>
      </c>
    </row>
    <row r="21" spans="1:37" ht="14.8" customHeight="1" x14ac:dyDescent="0.25">
      <c r="A21" s="8">
        <f>ROW()-5</f>
        <v>16</v>
      </c>
      <c r="B21" s="9"/>
      <c r="C21" s="11"/>
      <c r="D21" s="71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2" t="str">
        <f>_xlfn.XLOOKUP($B21,'PP1'!$C$6:$C$55,'PP1'!$B$6:$B$55,"")</f>
        <v/>
      </c>
      <c r="F21" s="116">
        <f>_xlfn.XLOOKUP(E21,'PP1'!$B$6:$B$55,'PP1'!$A$6:$A$55,0)</f>
        <v>0</v>
      </c>
      <c r="G21" s="12" t="str">
        <f>_xlfn.XLOOKUP($B21,'PP2'!$C$6:$C$55,'PP2'!$B$6:$B$55,"")</f>
        <v/>
      </c>
      <c r="H21" s="118">
        <f>_xlfn.XLOOKUP(G21,'PP2'!$B$6:$B$55,'PP2'!$A$6:$A$55,0)</f>
        <v>0</v>
      </c>
      <c r="I21" s="12" t="str">
        <f>_xlfn.XLOOKUP($B21,'PP3'!$C$6:$C$55,'PP3'!$B$6:$B$55,"")</f>
        <v/>
      </c>
      <c r="J21" s="118">
        <f>_xlfn.XLOOKUP(I21,'PP3'!$B$6:$B$55,'PP3'!$A$6:$A$55,0)</f>
        <v>0</v>
      </c>
      <c r="K21" s="12" t="str">
        <f>_xlfn.XLOOKUP($B21,'PP4'!$C$6:$C$55,'PP4'!$B$6:$B$55,"")</f>
        <v/>
      </c>
      <c r="L21" s="118">
        <f>_xlfn.XLOOKUP(K21,'PP4'!$B$6:$B$55,'PP4'!$A$6:$A$55,0)</f>
        <v>0</v>
      </c>
      <c r="M21" s="12" t="str">
        <f>_xlfn.XLOOKUP($B21,'PP5'!$C$6:$C$55,'PP5'!$B$6:$B$55,"")</f>
        <v/>
      </c>
      <c r="N21" s="118">
        <f>_xlfn.XLOOKUP(M21,'PP5'!$B$6:$B$55,'PP5'!$A$6:$A$55,0)</f>
        <v>0</v>
      </c>
      <c r="O21" s="12" t="str">
        <f>_xlfn.XLOOKUP(B21,MPW!C$6:C$55,MPW!B$6:B$55,"")</f>
        <v/>
      </c>
      <c r="P21" s="118" t="str">
        <f>_xlfn.XLOOKUP(O21,MPW!B$6:B$55,MPW!A$6:A$55,0)</f>
        <v/>
      </c>
      <c r="R21" s="10" t="str">
        <f>_xlfn.XLOOKUP($B21,'PEW1'!$C$6:$C$201,'PEW1'!$B$6:$B$201,"")</f>
        <v/>
      </c>
      <c r="S21" s="72">
        <f>_xlfn.XLOOKUP(R21,'PEW1'!$B$6:$B$201,'PEW1'!$A$6:$A$201,0)</f>
        <v>0</v>
      </c>
      <c r="T21" s="10" t="str">
        <f>_xlfn.XLOOKUP($B21,'PEW2'!$C$6:$C$201,'PEW2'!$B$6:$B$201,"")</f>
        <v/>
      </c>
      <c r="U21" s="72">
        <f>_xlfn.XLOOKUP(T21,'PEW2'!$B$6:$B$201,'PEW2'!$A$6:$A$201,0)</f>
        <v>0</v>
      </c>
      <c r="V21" s="10" t="str">
        <f>_xlfn.XLOOKUP($B21,'PEW3'!$C$6:$C$201,'PEW3'!$B$6:$B$201,"")</f>
        <v/>
      </c>
      <c r="W21" s="72">
        <f>_xlfn.XLOOKUP(V21,'PEW3'!$B$6:$B$201,'PEW3'!$A$6:$A$201,0)</f>
        <v>0</v>
      </c>
      <c r="X21" s="10" t="str">
        <f>_xlfn.XLOOKUP($B21,'PEW4'!$C$6:$C$201,'PEW4'!$B$6:$B$201,"")</f>
        <v/>
      </c>
      <c r="Y21" s="72">
        <f>_xlfn.XLOOKUP(X21,'PEW4'!$B$6:$B$201,'PEW4'!$A$6:$A$201,0)</f>
        <v>0</v>
      </c>
      <c r="Z21" s="10" t="str">
        <f>_xlfn.XLOOKUP($B21,'PEW5'!$C$6:$C$201,'PEW5'!$B$6:$B$201,"")</f>
        <v/>
      </c>
      <c r="AA21" s="72">
        <f>_xlfn.XLOOKUP(Z21,'PEW5'!$B$6:$B$201,'PEW5'!$A$6:$A$201,0)</f>
        <v>0</v>
      </c>
      <c r="AB21" s="10" t="str">
        <f>_xlfn.XLOOKUP($B21,'PEW6'!$C$6:$C$201,'PEW6'!$B$6:$B$201,"")</f>
        <v/>
      </c>
      <c r="AC21" s="72">
        <f>_xlfn.XLOOKUP(AB21,'PEW6'!$B$6:$B$201,'PEW6'!$A$6:$A$201,0)</f>
        <v>0</v>
      </c>
      <c r="AD21" s="10" t="str">
        <f>_xlfn.XLOOKUP($B21,'PEW7'!$C$6:$C$201,'PEW7'!$B$6:$B$201,"")</f>
        <v/>
      </c>
      <c r="AE21" s="72">
        <f>_xlfn.XLOOKUP(AD21,'PEW7'!$B$6:$B$201,'PEW7'!$A$6:$A$201,0)</f>
        <v>0</v>
      </c>
      <c r="AF21" s="10" t="str">
        <f>_xlfn.XLOOKUP($B21,'PEW8'!$C$6:$C$201,'PEW8'!$B$6:$B$201,"")</f>
        <v/>
      </c>
      <c r="AG21" s="72">
        <f>_xlfn.XLOOKUP(AF21,'PEW8'!$B$6:$B$201,'PEW8'!$A$6:$A$201,0)</f>
        <v>0</v>
      </c>
      <c r="AH21" s="10" t="str">
        <f>_xlfn.XLOOKUP($B21,PS!$C$6:$C$201,PS!$B$6:$B$201,"")</f>
        <v/>
      </c>
      <c r="AI21" s="72">
        <f>_xlfn.XLOOKUP(AH21,PS!$B$6:$B$201,PS!$A$6:$A$201,0)</f>
        <v>0</v>
      </c>
      <c r="AJ21" s="10" t="str" cm="1">
        <f t="array" ref="AJ21">_xlfn.XLOOKUP($B21,IMEW!C$6:C$201,IMEW!$B$6:B$201,"")</f>
        <v/>
      </c>
      <c r="AK21" s="73">
        <f>_xlfn.XLOOKUP(AJ21,IMEW!$B$6:$B$201,IMEW!$A$6:$A$201,0)</f>
        <v>0</v>
      </c>
    </row>
    <row r="22" spans="1:37" ht="14.3" x14ac:dyDescent="0.25">
      <c r="A22" s="8">
        <f>ROW()-5</f>
        <v>17</v>
      </c>
      <c r="B22" s="9"/>
      <c r="C22" s="11"/>
      <c r="D22" s="71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2" t="str">
        <f>_xlfn.XLOOKUP($B22,'PP1'!$C$6:$C$55,'PP1'!$B$6:$B$55,"")</f>
        <v/>
      </c>
      <c r="F22" s="116">
        <f>_xlfn.XLOOKUP(E22,'PP1'!$B$6:$B$55,'PP1'!$A$6:$A$55,0)</f>
        <v>0</v>
      </c>
      <c r="G22" s="12" t="str">
        <f>_xlfn.XLOOKUP($B22,'PP2'!$C$6:$C$55,'PP2'!$B$6:$B$55,"")</f>
        <v/>
      </c>
      <c r="H22" s="118">
        <f>_xlfn.XLOOKUP(G22,'PP2'!$B$6:$B$55,'PP2'!$A$6:$A$55,0)</f>
        <v>0</v>
      </c>
      <c r="I22" s="12" t="str">
        <f>_xlfn.XLOOKUP($B22,'PP3'!$C$6:$C$55,'PP3'!$B$6:$B$55,"")</f>
        <v/>
      </c>
      <c r="J22" s="118">
        <f>_xlfn.XLOOKUP(I22,'PP3'!$B$6:$B$55,'PP3'!$A$6:$A$55,0)</f>
        <v>0</v>
      </c>
      <c r="K22" s="12" t="str">
        <f>_xlfn.XLOOKUP($B22,'PP4'!$C$6:$C$55,'PP4'!$B$6:$B$55,"")</f>
        <v/>
      </c>
      <c r="L22" s="118">
        <f>_xlfn.XLOOKUP(K22,'PP4'!$B$6:$B$55,'PP4'!$A$6:$A$55,0)</f>
        <v>0</v>
      </c>
      <c r="M22" s="12" t="str">
        <f>_xlfn.XLOOKUP($B22,'PP5'!$C$6:$C$55,'PP5'!$B$6:$B$55,"")</f>
        <v/>
      </c>
      <c r="N22" s="118">
        <f>_xlfn.XLOOKUP(M22,'PP5'!$B$6:$B$55,'PP5'!$A$6:$A$55,0)</f>
        <v>0</v>
      </c>
      <c r="O22" s="12" t="str">
        <f>_xlfn.XLOOKUP(B22,MPW!C$6:C$55,MPW!B$6:B$55,"")</f>
        <v/>
      </c>
      <c r="P22" s="118" t="str">
        <f>_xlfn.XLOOKUP(O22,MPW!B$6:B$55,MPW!A$6:A$55,0)</f>
        <v/>
      </c>
      <c r="R22" s="10" t="str">
        <f>_xlfn.XLOOKUP($B22,'PEW1'!$C$6:$C$201,'PEW1'!$B$6:$B$201,"")</f>
        <v/>
      </c>
      <c r="S22" s="72">
        <f>_xlfn.XLOOKUP(R22,'PEW1'!$B$6:$B$201,'PEW1'!$A$6:$A$201,0)</f>
        <v>0</v>
      </c>
      <c r="T22" s="10" t="str">
        <f>_xlfn.XLOOKUP($B22,'PEW2'!$C$6:$C$201,'PEW2'!$B$6:$B$201,"")</f>
        <v/>
      </c>
      <c r="U22" s="72">
        <f>_xlfn.XLOOKUP(T22,'PEW2'!$B$6:$B$201,'PEW2'!$A$6:$A$201,0)</f>
        <v>0</v>
      </c>
      <c r="V22" s="10" t="str">
        <f>_xlfn.XLOOKUP($B22,'PEW3'!$C$6:$C$201,'PEW3'!$B$6:$B$201,"")</f>
        <v/>
      </c>
      <c r="W22" s="72">
        <f>_xlfn.XLOOKUP(V22,'PEW3'!$B$6:$B$201,'PEW3'!$A$6:$A$201,0)</f>
        <v>0</v>
      </c>
      <c r="X22" s="10" t="str">
        <f>_xlfn.XLOOKUP($B22,'PEW4'!$C$6:$C$201,'PEW4'!$B$6:$B$201,"")</f>
        <v/>
      </c>
      <c r="Y22" s="72">
        <f>_xlfn.XLOOKUP(X22,'PEW4'!$B$6:$B$201,'PEW4'!$A$6:$A$201,0)</f>
        <v>0</v>
      </c>
      <c r="Z22" s="10" t="str">
        <f>_xlfn.XLOOKUP($B22,'PEW5'!$C$6:$C$201,'PEW5'!$B$6:$B$201,"")</f>
        <v/>
      </c>
      <c r="AA22" s="72">
        <f>_xlfn.XLOOKUP(Z22,'PEW5'!$B$6:$B$201,'PEW5'!$A$6:$A$201,0)</f>
        <v>0</v>
      </c>
      <c r="AB22" s="10" t="str">
        <f>_xlfn.XLOOKUP($B22,'PEW6'!$C$6:$C$201,'PEW6'!$B$6:$B$201,"")</f>
        <v/>
      </c>
      <c r="AC22" s="72">
        <f>_xlfn.XLOOKUP(AB22,'PEW6'!$B$6:$B$201,'PEW6'!$A$6:$A$201,0)</f>
        <v>0</v>
      </c>
      <c r="AD22" s="10" t="str">
        <f>_xlfn.XLOOKUP($B22,'PEW7'!$C$6:$C$201,'PEW7'!$B$6:$B$201,"")</f>
        <v/>
      </c>
      <c r="AE22" s="72">
        <f>_xlfn.XLOOKUP(AD22,'PEW7'!$B$6:$B$201,'PEW7'!$A$6:$A$201,0)</f>
        <v>0</v>
      </c>
      <c r="AF22" s="10" t="str">
        <f>_xlfn.XLOOKUP($B22,'PEW8'!$C$6:$C$201,'PEW8'!$B$6:$B$201,"")</f>
        <v/>
      </c>
      <c r="AG22" s="72">
        <f>_xlfn.XLOOKUP(AF22,'PEW8'!$B$6:$B$201,'PEW8'!$A$6:$A$201,0)</f>
        <v>0</v>
      </c>
      <c r="AH22" s="10" t="str">
        <f>_xlfn.XLOOKUP($B22,PS!$C$6:$C$201,PS!$B$6:$B$201,"")</f>
        <v/>
      </c>
      <c r="AI22" s="72">
        <f>_xlfn.XLOOKUP(AH22,PS!$B$6:$B$201,PS!$A$6:$A$201,0)</f>
        <v>0</v>
      </c>
      <c r="AJ22" s="10" t="str" cm="1">
        <f t="array" ref="AJ22">_xlfn.XLOOKUP($B22,IMEW!C$6:C$201,IMEW!$B$6:B$201,"")</f>
        <v/>
      </c>
      <c r="AK22" s="73">
        <f>_xlfn.XLOOKUP(AJ22,IMEW!$B$6:$B$201,IMEW!$A$6:$A$201,0)</f>
        <v>0</v>
      </c>
    </row>
    <row r="23" spans="1:37" ht="14.3" x14ac:dyDescent="0.25">
      <c r="A23" s="8">
        <f>ROW()-5</f>
        <v>18</v>
      </c>
      <c r="B23" s="9"/>
      <c r="C23" s="11"/>
      <c r="D23" s="71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2" t="str">
        <f>_xlfn.XLOOKUP($B23,'PP1'!$C$6:$C$55,'PP1'!$B$6:$B$55,"")</f>
        <v/>
      </c>
      <c r="F23" s="116">
        <f>_xlfn.XLOOKUP(E23,'PP1'!$B$6:$B$55,'PP1'!$A$6:$A$55,0)</f>
        <v>0</v>
      </c>
      <c r="G23" s="12" t="str">
        <f>_xlfn.XLOOKUP($B23,'PP2'!$C$6:$C$55,'PP2'!$B$6:$B$55,"")</f>
        <v/>
      </c>
      <c r="H23" s="118">
        <f>_xlfn.XLOOKUP(G23,'PP2'!$B$6:$B$55,'PP2'!$A$6:$A$55,0)</f>
        <v>0</v>
      </c>
      <c r="I23" s="12" t="str">
        <f>_xlfn.XLOOKUP($B23,'PP3'!$C$6:$C$55,'PP3'!$B$6:$B$55,"")</f>
        <v/>
      </c>
      <c r="J23" s="118">
        <f>_xlfn.XLOOKUP(I23,'PP3'!$B$6:$B$55,'PP3'!$A$6:$A$55,0)</f>
        <v>0</v>
      </c>
      <c r="K23" s="12" t="str">
        <f>_xlfn.XLOOKUP($B23,'PP4'!$C$6:$C$55,'PP4'!$B$6:$B$55,"")</f>
        <v/>
      </c>
      <c r="L23" s="118">
        <f>_xlfn.XLOOKUP(K23,'PP4'!$B$6:$B$55,'PP4'!$A$6:$A$55,0)</f>
        <v>0</v>
      </c>
      <c r="M23" s="12" t="str">
        <f>_xlfn.XLOOKUP($B23,'PP5'!$C$6:$C$55,'PP5'!$B$6:$B$55,"")</f>
        <v/>
      </c>
      <c r="N23" s="118">
        <f>_xlfn.XLOOKUP(M23,'PP5'!$B$6:$B$55,'PP5'!$A$6:$A$55,0)</f>
        <v>0</v>
      </c>
      <c r="O23" s="12" t="str">
        <f>_xlfn.XLOOKUP(B23,MPW!C$6:C$55,MPW!B$6:B$55,"")</f>
        <v/>
      </c>
      <c r="P23" s="118" t="str">
        <f>_xlfn.XLOOKUP(O23,MPW!B$6:B$55,MPW!A$6:A$55,0)</f>
        <v/>
      </c>
      <c r="R23" s="10" t="str">
        <f>_xlfn.XLOOKUP($B23,'PEW1'!$C$6:$C$201,'PEW1'!$B$6:$B$201,"")</f>
        <v/>
      </c>
      <c r="S23" s="72">
        <f>_xlfn.XLOOKUP(R23,'PEW1'!$B$6:$B$201,'PEW1'!$A$6:$A$201,0)</f>
        <v>0</v>
      </c>
      <c r="T23" s="10" t="str">
        <f>_xlfn.XLOOKUP($B23,'PEW2'!$C$6:$C$201,'PEW2'!$B$6:$B$201,"")</f>
        <v/>
      </c>
      <c r="U23" s="72">
        <f>_xlfn.XLOOKUP(T23,'PEW2'!$B$6:$B$201,'PEW2'!$A$6:$A$201,0)</f>
        <v>0</v>
      </c>
      <c r="V23" s="10" t="str">
        <f>_xlfn.XLOOKUP($B23,'PEW3'!$C$6:$C$201,'PEW3'!$B$6:$B$201,"")</f>
        <v/>
      </c>
      <c r="W23" s="72">
        <f>_xlfn.XLOOKUP(V23,'PEW3'!$B$6:$B$201,'PEW3'!$A$6:$A$201,0)</f>
        <v>0</v>
      </c>
      <c r="X23" s="10" t="str">
        <f>_xlfn.XLOOKUP($B23,'PEW4'!$C$6:$C$201,'PEW4'!$B$6:$B$201,"")</f>
        <v/>
      </c>
      <c r="Y23" s="72">
        <f>_xlfn.XLOOKUP(X23,'PEW4'!$B$6:$B$201,'PEW4'!$A$6:$A$201,0)</f>
        <v>0</v>
      </c>
      <c r="Z23" s="10" t="str">
        <f>_xlfn.XLOOKUP($B23,'PEW5'!$C$6:$C$201,'PEW5'!$B$6:$B$201,"")</f>
        <v/>
      </c>
      <c r="AA23" s="72">
        <f>_xlfn.XLOOKUP(Z23,'PEW5'!$B$6:$B$201,'PEW5'!$A$6:$A$201,0)</f>
        <v>0</v>
      </c>
      <c r="AB23" s="10" t="str">
        <f>_xlfn.XLOOKUP($B23,'PEW6'!$C$6:$C$201,'PEW6'!$B$6:$B$201,"")</f>
        <v/>
      </c>
      <c r="AC23" s="72">
        <f>_xlfn.XLOOKUP(AB23,'PEW6'!$B$6:$B$201,'PEW6'!$A$6:$A$201,0)</f>
        <v>0</v>
      </c>
      <c r="AD23" s="10" t="str">
        <f>_xlfn.XLOOKUP($B23,'PEW7'!$C$6:$C$201,'PEW7'!$B$6:$B$201,"")</f>
        <v/>
      </c>
      <c r="AE23" s="72">
        <f>_xlfn.XLOOKUP(AD23,'PEW7'!$B$6:$B$201,'PEW7'!$A$6:$A$201,0)</f>
        <v>0</v>
      </c>
      <c r="AF23" s="10" t="str">
        <f>_xlfn.XLOOKUP($B23,'PEW8'!$C$6:$C$201,'PEW8'!$B$6:$B$201,"")</f>
        <v/>
      </c>
      <c r="AG23" s="72">
        <f>_xlfn.XLOOKUP(AF23,'PEW8'!$B$6:$B$201,'PEW8'!$A$6:$A$201,0)</f>
        <v>0</v>
      </c>
      <c r="AH23" s="10" t="str">
        <f>_xlfn.XLOOKUP($B23,PS!$C$6:$C$201,PS!$B$6:$B$201,"")</f>
        <v/>
      </c>
      <c r="AI23" s="72">
        <f>_xlfn.XLOOKUP(AH23,PS!$B$6:$B$201,PS!$A$6:$A$201,0)</f>
        <v>0</v>
      </c>
      <c r="AJ23" s="10" t="str" cm="1">
        <f t="array" ref="AJ23">_xlfn.XLOOKUP($B23,IMEW!C$6:C$201,IMEW!$B$6:B$201,"")</f>
        <v/>
      </c>
      <c r="AK23" s="73">
        <f>_xlfn.XLOOKUP(AJ23,IMEW!$B$6:$B$201,IMEW!$A$6:$A$201,0)</f>
        <v>0</v>
      </c>
    </row>
    <row r="24" spans="1:37" ht="14.3" x14ac:dyDescent="0.25">
      <c r="A24" s="8">
        <f>ROW()-5</f>
        <v>19</v>
      </c>
      <c r="B24" s="9"/>
      <c r="C24" s="11"/>
      <c r="D24" s="71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2" t="str">
        <f>_xlfn.XLOOKUP($B24,'PP1'!$C$6:$C$55,'PP1'!$B$6:$B$55,"")</f>
        <v/>
      </c>
      <c r="F24" s="116">
        <f>_xlfn.XLOOKUP(E24,'PP1'!$B$6:$B$55,'PP1'!$A$6:$A$55,0)</f>
        <v>0</v>
      </c>
      <c r="G24" s="12" t="str">
        <f>_xlfn.XLOOKUP($B24,'PP2'!$C$6:$C$55,'PP2'!$B$6:$B$55,"")</f>
        <v/>
      </c>
      <c r="H24" s="118">
        <f>_xlfn.XLOOKUP(G24,'PP2'!$B$6:$B$55,'PP2'!$A$6:$A$55,0)</f>
        <v>0</v>
      </c>
      <c r="I24" s="12" t="str">
        <f>_xlfn.XLOOKUP($B24,'PP3'!$C$6:$C$55,'PP3'!$B$6:$B$55,"")</f>
        <v/>
      </c>
      <c r="J24" s="118">
        <f>_xlfn.XLOOKUP(I24,'PP3'!$B$6:$B$55,'PP3'!$A$6:$A$55,0)</f>
        <v>0</v>
      </c>
      <c r="K24" s="12" t="str">
        <f>_xlfn.XLOOKUP($B24,'PP4'!$C$6:$C$55,'PP4'!$B$6:$B$55,"")</f>
        <v/>
      </c>
      <c r="L24" s="118">
        <f>_xlfn.XLOOKUP(K24,'PP4'!$B$6:$B$55,'PP4'!$A$6:$A$55,0)</f>
        <v>0</v>
      </c>
      <c r="M24" s="12" t="str">
        <f>_xlfn.XLOOKUP($B24,'PP5'!$C$6:$C$55,'PP5'!$B$6:$B$55,"")</f>
        <v/>
      </c>
      <c r="N24" s="118">
        <f>_xlfn.XLOOKUP(M24,'PP5'!$B$6:$B$55,'PP5'!$A$6:$A$55,0)</f>
        <v>0</v>
      </c>
      <c r="O24" s="12" t="str">
        <f>_xlfn.XLOOKUP(B24,MPW!C$6:C$55,MPW!B$6:B$55,"")</f>
        <v/>
      </c>
      <c r="P24" s="118" t="str">
        <f>_xlfn.XLOOKUP(O24,MPW!B$6:B$55,MPW!A$6:A$55,0)</f>
        <v/>
      </c>
      <c r="R24" s="10" t="str">
        <f>_xlfn.XLOOKUP($B24,'PEW1'!$C$6:$C$201,'PEW1'!$B$6:$B$201,"")</f>
        <v/>
      </c>
      <c r="S24" s="72">
        <f>_xlfn.XLOOKUP(R24,'PEW1'!$B$6:$B$201,'PEW1'!$A$6:$A$201,0)</f>
        <v>0</v>
      </c>
      <c r="T24" s="10" t="str">
        <f>_xlfn.XLOOKUP($B24,'PEW2'!$C$6:$C$201,'PEW2'!$B$6:$B$201,"")</f>
        <v/>
      </c>
      <c r="U24" s="72">
        <f>_xlfn.XLOOKUP(T24,'PEW2'!$B$6:$B$201,'PEW2'!$A$6:$A$201,0)</f>
        <v>0</v>
      </c>
      <c r="V24" s="10" t="str">
        <f>_xlfn.XLOOKUP($B24,'PEW3'!$C$6:$C$201,'PEW3'!$B$6:$B$201,"")</f>
        <v/>
      </c>
      <c r="W24" s="72">
        <f>_xlfn.XLOOKUP(V24,'PEW3'!$B$6:$B$201,'PEW3'!$A$6:$A$201,0)</f>
        <v>0</v>
      </c>
      <c r="X24" s="10" t="str">
        <f>_xlfn.XLOOKUP($B24,'PEW4'!$C$6:$C$201,'PEW4'!$B$6:$B$201,"")</f>
        <v/>
      </c>
      <c r="Y24" s="72">
        <f>_xlfn.XLOOKUP(X24,'PEW4'!$B$6:$B$201,'PEW4'!$A$6:$A$201,0)</f>
        <v>0</v>
      </c>
      <c r="Z24" s="10" t="str">
        <f>_xlfn.XLOOKUP($B24,'PEW5'!$C$6:$C$201,'PEW5'!$B$6:$B$201,"")</f>
        <v/>
      </c>
      <c r="AA24" s="72">
        <f>_xlfn.XLOOKUP(Z24,'PEW5'!$B$6:$B$201,'PEW5'!$A$6:$A$201,0)</f>
        <v>0</v>
      </c>
      <c r="AB24" s="10" t="str">
        <f>_xlfn.XLOOKUP($B24,'PEW6'!$C$6:$C$201,'PEW6'!$B$6:$B$201,"")</f>
        <v/>
      </c>
      <c r="AC24" s="72">
        <f>_xlfn.XLOOKUP(AB24,'PEW6'!$B$6:$B$201,'PEW6'!$A$6:$A$201,0)</f>
        <v>0</v>
      </c>
      <c r="AD24" s="10" t="str">
        <f>_xlfn.XLOOKUP($B24,'PEW7'!$C$6:$C$201,'PEW7'!$B$6:$B$201,"")</f>
        <v/>
      </c>
      <c r="AE24" s="72">
        <f>_xlfn.XLOOKUP(AD24,'PEW7'!$B$6:$B$201,'PEW7'!$A$6:$A$201,0)</f>
        <v>0</v>
      </c>
      <c r="AF24" s="10" t="str">
        <f>_xlfn.XLOOKUP($B24,'PEW8'!$C$6:$C$201,'PEW8'!$B$6:$B$201,"")</f>
        <v/>
      </c>
      <c r="AG24" s="72">
        <f>_xlfn.XLOOKUP(AF24,'PEW8'!$B$6:$B$201,'PEW8'!$A$6:$A$201,0)</f>
        <v>0</v>
      </c>
      <c r="AH24" s="10" t="str">
        <f>_xlfn.XLOOKUP($B24,PS!$C$6:$C$201,PS!$B$6:$B$201,"")</f>
        <v/>
      </c>
      <c r="AI24" s="72">
        <f>_xlfn.XLOOKUP(AH24,PS!$B$6:$B$201,PS!$A$6:$A$201,0)</f>
        <v>0</v>
      </c>
      <c r="AJ24" s="10" t="str" cm="1">
        <f t="array" ref="AJ24">_xlfn.XLOOKUP($B24,IMEW!C$6:C$201,IMEW!$B$6:B$201,"")</f>
        <v/>
      </c>
      <c r="AK24" s="73">
        <f>_xlfn.XLOOKUP(AJ24,IMEW!$B$6:$B$201,IMEW!$A$6:$A$201,0)</f>
        <v>0</v>
      </c>
    </row>
    <row r="25" spans="1:37" ht="14.3" x14ac:dyDescent="0.25">
      <c r="A25" s="8">
        <f>ROW()-5</f>
        <v>20</v>
      </c>
      <c r="B25" s="9"/>
      <c r="C25" s="11"/>
      <c r="D25" s="71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2" t="str">
        <f>_xlfn.XLOOKUP($B25,'PP1'!$C$6:$C$55,'PP1'!$B$6:$B$55,"")</f>
        <v/>
      </c>
      <c r="F25" s="116">
        <f>_xlfn.XLOOKUP(E25,'PP1'!$B$6:$B$55,'PP1'!$A$6:$A$55,0)</f>
        <v>0</v>
      </c>
      <c r="G25" s="12" t="str">
        <f>_xlfn.XLOOKUP($B25,'PP2'!$C$6:$C$55,'PP2'!$B$6:$B$55,"")</f>
        <v/>
      </c>
      <c r="H25" s="118">
        <f>_xlfn.XLOOKUP(G25,'PP2'!$B$6:$B$55,'PP2'!$A$6:$A$55,0)</f>
        <v>0</v>
      </c>
      <c r="I25" s="12" t="str">
        <f>_xlfn.XLOOKUP($B25,'PP3'!$C$6:$C$55,'PP3'!$B$6:$B$55,"")</f>
        <v/>
      </c>
      <c r="J25" s="118">
        <f>_xlfn.XLOOKUP(I25,'PP3'!$B$6:$B$55,'PP3'!$A$6:$A$55,0)</f>
        <v>0</v>
      </c>
      <c r="K25" s="12" t="str">
        <f>_xlfn.XLOOKUP($B25,'PP4'!$C$6:$C$55,'PP4'!$B$6:$B$55,"")</f>
        <v/>
      </c>
      <c r="L25" s="118">
        <f>_xlfn.XLOOKUP(K25,'PP4'!$B$6:$B$55,'PP4'!$A$6:$A$55,0)</f>
        <v>0</v>
      </c>
      <c r="M25" s="12" t="str">
        <f>_xlfn.XLOOKUP($B25,'PP5'!$C$6:$C$55,'PP5'!$B$6:$B$55,"")</f>
        <v/>
      </c>
      <c r="N25" s="118">
        <f>_xlfn.XLOOKUP(M25,'PP5'!$B$6:$B$55,'PP5'!$A$6:$A$55,0)</f>
        <v>0</v>
      </c>
      <c r="O25" s="12" t="str">
        <f>_xlfn.XLOOKUP(B25,MPW!C$6:C$55,MPW!B$6:B$55,"")</f>
        <v/>
      </c>
      <c r="P25" s="118" t="str">
        <f>_xlfn.XLOOKUP(O25,MPW!B$6:B$55,MPW!A$6:A$55,0)</f>
        <v/>
      </c>
      <c r="R25" s="10" t="str">
        <f>_xlfn.XLOOKUP($B25,'PEW1'!$C$6:$C$201,'PEW1'!$B$6:$B$201,"")</f>
        <v/>
      </c>
      <c r="S25" s="72">
        <f>_xlfn.XLOOKUP(R25,'PEW1'!$B$6:$B$201,'PEW1'!$A$6:$A$201,0)</f>
        <v>0</v>
      </c>
      <c r="T25" s="10" t="str">
        <f>_xlfn.XLOOKUP($B25,'PEW2'!$C$6:$C$201,'PEW2'!$B$6:$B$201,"")</f>
        <v/>
      </c>
      <c r="U25" s="72">
        <f>_xlfn.XLOOKUP(T25,'PEW2'!$B$6:$B$201,'PEW2'!$A$6:$A$201,0)</f>
        <v>0</v>
      </c>
      <c r="V25" s="10" t="str">
        <f>_xlfn.XLOOKUP($B25,'PEW3'!$C$6:$C$201,'PEW3'!$B$6:$B$201,"")</f>
        <v/>
      </c>
      <c r="W25" s="72">
        <f>_xlfn.XLOOKUP(V25,'PEW3'!$B$6:$B$201,'PEW3'!$A$6:$A$201,0)</f>
        <v>0</v>
      </c>
      <c r="X25" s="10" t="str">
        <f>_xlfn.XLOOKUP($B25,'PEW4'!$C$6:$C$201,'PEW4'!$B$6:$B$201,"")</f>
        <v/>
      </c>
      <c r="Y25" s="72">
        <f>_xlfn.XLOOKUP(X25,'PEW4'!$B$6:$B$201,'PEW4'!$A$6:$A$201,0)</f>
        <v>0</v>
      </c>
      <c r="Z25" s="10" t="str">
        <f>_xlfn.XLOOKUP($B25,'PEW5'!$C$6:$C$201,'PEW5'!$B$6:$B$201,"")</f>
        <v/>
      </c>
      <c r="AA25" s="72">
        <f>_xlfn.XLOOKUP(Z25,'PEW5'!$B$6:$B$201,'PEW5'!$A$6:$A$201,0)</f>
        <v>0</v>
      </c>
      <c r="AB25" s="10" t="str">
        <f>_xlfn.XLOOKUP($B25,'PEW6'!$C$6:$C$201,'PEW6'!$B$6:$B$201,"")</f>
        <v/>
      </c>
      <c r="AC25" s="72">
        <f>_xlfn.XLOOKUP(AB25,'PEW6'!$B$6:$B$201,'PEW6'!$A$6:$A$201,0)</f>
        <v>0</v>
      </c>
      <c r="AD25" s="10" t="str">
        <f>_xlfn.XLOOKUP($B25,'PEW7'!$C$6:$C$201,'PEW7'!$B$6:$B$201,"")</f>
        <v/>
      </c>
      <c r="AE25" s="72">
        <f>_xlfn.XLOOKUP(AD25,'PEW7'!$B$6:$B$201,'PEW7'!$A$6:$A$201,0)</f>
        <v>0</v>
      </c>
      <c r="AF25" s="10" t="str">
        <f>_xlfn.XLOOKUP($B25,'PEW8'!$C$6:$C$201,'PEW8'!$B$6:$B$201,"")</f>
        <v/>
      </c>
      <c r="AG25" s="72">
        <f>_xlfn.XLOOKUP(AF25,'PEW8'!$B$6:$B$201,'PEW8'!$A$6:$A$201,0)</f>
        <v>0</v>
      </c>
      <c r="AH25" s="10" t="str">
        <f>_xlfn.XLOOKUP($B25,PS!$C$6:$C$201,PS!$B$6:$B$201,"")</f>
        <v/>
      </c>
      <c r="AI25" s="72">
        <f>_xlfn.XLOOKUP(AH25,PS!$B$6:$B$201,PS!$A$6:$A$201,0)</f>
        <v>0</v>
      </c>
      <c r="AJ25" s="10" t="str" cm="1">
        <f t="array" ref="AJ25">_xlfn.XLOOKUP($B25,IMEW!C$6:C$201,IMEW!$B$6:B$201,"")</f>
        <v/>
      </c>
      <c r="AK25" s="73">
        <f>_xlfn.XLOOKUP(AJ25,IMEW!$B$6:$B$201,IMEW!$A$6:$A$201,0)</f>
        <v>0</v>
      </c>
    </row>
    <row r="26" spans="1:37" ht="14.3" x14ac:dyDescent="0.25">
      <c r="A26" s="8">
        <f>ROW()-5</f>
        <v>21</v>
      </c>
      <c r="B26" s="9"/>
      <c r="C26" s="11"/>
      <c r="D26" s="71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2" t="str">
        <f>_xlfn.XLOOKUP($B26,'PP1'!$C$6:$C$55,'PP1'!$B$6:$B$55,"")</f>
        <v/>
      </c>
      <c r="F26" s="116">
        <f>_xlfn.XLOOKUP(E26,'PP1'!$B$6:$B$55,'PP1'!$A$6:$A$55,0)</f>
        <v>0</v>
      </c>
      <c r="G26" s="12" t="str">
        <f>_xlfn.XLOOKUP($B26,'PP2'!$C$6:$C$55,'PP2'!$B$6:$B$55,"")</f>
        <v/>
      </c>
      <c r="H26" s="118">
        <f>_xlfn.XLOOKUP(G26,'PP2'!$B$6:$B$55,'PP2'!$A$6:$A$55,0)</f>
        <v>0</v>
      </c>
      <c r="I26" s="12" t="str">
        <f>_xlfn.XLOOKUP($B26,'PP3'!$C$6:$C$55,'PP3'!$B$6:$B$55,"")</f>
        <v/>
      </c>
      <c r="J26" s="118">
        <f>_xlfn.XLOOKUP(I26,'PP3'!$B$6:$B$55,'PP3'!$A$6:$A$55,0)</f>
        <v>0</v>
      </c>
      <c r="K26" s="12" t="str">
        <f>_xlfn.XLOOKUP($B26,'PP4'!$C$6:$C$55,'PP4'!$B$6:$B$55,"")</f>
        <v/>
      </c>
      <c r="L26" s="118">
        <f>_xlfn.XLOOKUP(K26,'PP4'!$B$6:$B$55,'PP4'!$A$6:$A$55,0)</f>
        <v>0</v>
      </c>
      <c r="M26" s="12" t="str">
        <f>_xlfn.XLOOKUP($B26,'PP5'!$C$6:$C$55,'PP5'!$B$6:$B$55,"")</f>
        <v/>
      </c>
      <c r="N26" s="118">
        <f>_xlfn.XLOOKUP(M26,'PP5'!$B$6:$B$55,'PP5'!$A$6:$A$55,0)</f>
        <v>0</v>
      </c>
      <c r="O26" s="12" t="str">
        <f>_xlfn.XLOOKUP(B26,MPW!C$6:C$55,MPW!B$6:B$55,"")</f>
        <v/>
      </c>
      <c r="P26" s="118" t="str">
        <f>_xlfn.XLOOKUP(O26,MPW!B$6:B$55,MPW!A$6:A$55,0)</f>
        <v/>
      </c>
      <c r="R26" s="10" t="str">
        <f>_xlfn.XLOOKUP($B26,'PEW1'!$C$6:$C$201,'PEW1'!$B$6:$B$201,"")</f>
        <v/>
      </c>
      <c r="S26" s="72">
        <f>_xlfn.XLOOKUP(R26,'PEW1'!$B$6:$B$201,'PEW1'!$A$6:$A$201,0)</f>
        <v>0</v>
      </c>
      <c r="T26" s="10" t="str">
        <f>_xlfn.XLOOKUP($B26,'PEW2'!$C$6:$C$201,'PEW2'!$B$6:$B$201,"")</f>
        <v/>
      </c>
      <c r="U26" s="72">
        <f>_xlfn.XLOOKUP(T26,'PEW2'!$B$6:$B$201,'PEW2'!$A$6:$A$201,0)</f>
        <v>0</v>
      </c>
      <c r="V26" s="10" t="str">
        <f>_xlfn.XLOOKUP($B26,'PEW3'!$C$6:$C$201,'PEW3'!$B$6:$B$201,"")</f>
        <v/>
      </c>
      <c r="W26" s="72">
        <f>_xlfn.XLOOKUP(V26,'PEW3'!$B$6:$B$201,'PEW3'!$A$6:$A$201,0)</f>
        <v>0</v>
      </c>
      <c r="X26" s="10" t="str">
        <f>_xlfn.XLOOKUP($B26,'PEW4'!$C$6:$C$201,'PEW4'!$B$6:$B$201,"")</f>
        <v/>
      </c>
      <c r="Y26" s="72">
        <f>_xlfn.XLOOKUP(X26,'PEW4'!$B$6:$B$201,'PEW4'!$A$6:$A$201,0)</f>
        <v>0</v>
      </c>
      <c r="Z26" s="10" t="str">
        <f>_xlfn.XLOOKUP($B26,'PEW5'!$C$6:$C$201,'PEW5'!$B$6:$B$201,"")</f>
        <v/>
      </c>
      <c r="AA26" s="72">
        <f>_xlfn.XLOOKUP(Z26,'PEW5'!$B$6:$B$201,'PEW5'!$A$6:$A$201,0)</f>
        <v>0</v>
      </c>
      <c r="AB26" s="10" t="str">
        <f>_xlfn.XLOOKUP($B26,'PEW6'!$C$6:$C$201,'PEW6'!$B$6:$B$201,"")</f>
        <v/>
      </c>
      <c r="AC26" s="72">
        <f>_xlfn.XLOOKUP(AB26,'PEW6'!$B$6:$B$201,'PEW6'!$A$6:$A$201,0)</f>
        <v>0</v>
      </c>
      <c r="AD26" s="10" t="str">
        <f>_xlfn.XLOOKUP($B26,'PEW7'!$C$6:$C$201,'PEW7'!$B$6:$B$201,"")</f>
        <v/>
      </c>
      <c r="AE26" s="72">
        <f>_xlfn.XLOOKUP(AD26,'PEW7'!$B$6:$B$201,'PEW7'!$A$6:$A$201,0)</f>
        <v>0</v>
      </c>
      <c r="AF26" s="10" t="str">
        <f>_xlfn.XLOOKUP($B26,'PEW8'!$C$6:$C$201,'PEW8'!$B$6:$B$201,"")</f>
        <v/>
      </c>
      <c r="AG26" s="72">
        <f>_xlfn.XLOOKUP(AF26,'PEW8'!$B$6:$B$201,'PEW8'!$A$6:$A$201,0)</f>
        <v>0</v>
      </c>
      <c r="AH26" s="10" t="str">
        <f>_xlfn.XLOOKUP($B26,PS!$C$6:$C$201,PS!$B$6:$B$201,"")</f>
        <v/>
      </c>
      <c r="AI26" s="72">
        <f>_xlfn.XLOOKUP(AH26,PS!$B$6:$B$201,PS!$A$6:$A$201,0)</f>
        <v>0</v>
      </c>
      <c r="AJ26" s="10" t="str" cm="1">
        <f t="array" ref="AJ26">_xlfn.XLOOKUP($B26,IMEW!C$6:C$201,IMEW!$B$6:B$201,"")</f>
        <v/>
      </c>
      <c r="AK26" s="73">
        <f>_xlfn.XLOOKUP(AJ26,IMEW!$B$6:$B$201,IMEW!$A$6:$A$201,0)</f>
        <v>0</v>
      </c>
    </row>
    <row r="27" spans="1:37" ht="14.3" x14ac:dyDescent="0.25">
      <c r="A27" s="8">
        <f>ROW()-5</f>
        <v>22</v>
      </c>
      <c r="B27" s="9"/>
      <c r="C27" s="11"/>
      <c r="D27" s="71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2" t="str">
        <f>_xlfn.XLOOKUP($B27,'PP1'!$C$6:$C$55,'PP1'!$B$6:$B$55,"")</f>
        <v/>
      </c>
      <c r="F27" s="116">
        <f>_xlfn.XLOOKUP(E27,'PP1'!$B$6:$B$55,'PP1'!$A$6:$A$55,0)</f>
        <v>0</v>
      </c>
      <c r="G27" s="12" t="str">
        <f>_xlfn.XLOOKUP($B27,'PP2'!$C$6:$C$55,'PP2'!$B$6:$B$55,"")</f>
        <v/>
      </c>
      <c r="H27" s="118">
        <f>_xlfn.XLOOKUP(G27,'PP2'!$B$6:$B$55,'PP2'!$A$6:$A$55,0)</f>
        <v>0</v>
      </c>
      <c r="I27" s="12" t="str">
        <f>_xlfn.XLOOKUP($B27,'PP3'!$C$6:$C$55,'PP3'!$B$6:$B$55,"")</f>
        <v/>
      </c>
      <c r="J27" s="118">
        <f>_xlfn.XLOOKUP(I27,'PP3'!$B$6:$B$55,'PP3'!$A$6:$A$55,0)</f>
        <v>0</v>
      </c>
      <c r="K27" s="12" t="str">
        <f>_xlfn.XLOOKUP($B27,'PP4'!$C$6:$C$55,'PP4'!$B$6:$B$55,"")</f>
        <v/>
      </c>
      <c r="L27" s="118">
        <f>_xlfn.XLOOKUP(K27,'PP4'!$B$6:$B$55,'PP4'!$A$6:$A$55,0)</f>
        <v>0</v>
      </c>
      <c r="M27" s="12" t="str">
        <f>_xlfn.XLOOKUP($B27,'PP5'!$C$6:$C$55,'PP5'!$B$6:$B$55,"")</f>
        <v/>
      </c>
      <c r="N27" s="118">
        <f>_xlfn.XLOOKUP(M27,'PP5'!$B$6:$B$55,'PP5'!$A$6:$A$55,0)</f>
        <v>0</v>
      </c>
      <c r="O27" s="12" t="str">
        <f>_xlfn.XLOOKUP(B27,MPW!C$6:C$55,MPW!B$6:B$55,"")</f>
        <v/>
      </c>
      <c r="P27" s="118" t="str">
        <f>_xlfn.XLOOKUP(O27,MPW!B$6:B$55,MPW!A$6:A$55,0)</f>
        <v/>
      </c>
      <c r="R27" s="10" t="str">
        <f>_xlfn.XLOOKUP($B27,'PEW1'!$C$6:$C$201,'PEW1'!$B$6:$B$201,"")</f>
        <v/>
      </c>
      <c r="S27" s="72">
        <f>_xlfn.XLOOKUP(R27,'PEW1'!$B$6:$B$201,'PEW1'!$A$6:$A$201,0)</f>
        <v>0</v>
      </c>
      <c r="T27" s="10" t="str">
        <f>_xlfn.XLOOKUP($B27,'PEW2'!$C$6:$C$201,'PEW2'!$B$6:$B$201,"")</f>
        <v/>
      </c>
      <c r="U27" s="72">
        <f>_xlfn.XLOOKUP(T27,'PEW2'!$B$6:$B$201,'PEW2'!$A$6:$A$201,0)</f>
        <v>0</v>
      </c>
      <c r="V27" s="10" t="str">
        <f>_xlfn.XLOOKUP($B27,'PEW3'!$C$6:$C$201,'PEW3'!$B$6:$B$201,"")</f>
        <v/>
      </c>
      <c r="W27" s="72">
        <f>_xlfn.XLOOKUP(V27,'PEW3'!$B$6:$B$201,'PEW3'!$A$6:$A$201,0)</f>
        <v>0</v>
      </c>
      <c r="X27" s="10" t="str">
        <f>_xlfn.XLOOKUP($B27,'PEW4'!$C$6:$C$201,'PEW4'!$B$6:$B$201,"")</f>
        <v/>
      </c>
      <c r="Y27" s="72">
        <f>_xlfn.XLOOKUP(X27,'PEW4'!$B$6:$B$201,'PEW4'!$A$6:$A$201,0)</f>
        <v>0</v>
      </c>
      <c r="Z27" s="10" t="str">
        <f>_xlfn.XLOOKUP($B27,'PEW5'!$C$6:$C$201,'PEW5'!$B$6:$B$201,"")</f>
        <v/>
      </c>
      <c r="AA27" s="72">
        <f>_xlfn.XLOOKUP(Z27,'PEW5'!$B$6:$B$201,'PEW5'!$A$6:$A$201,0)</f>
        <v>0</v>
      </c>
      <c r="AB27" s="10" t="str">
        <f>_xlfn.XLOOKUP($B27,'PEW6'!$C$6:$C$201,'PEW6'!$B$6:$B$201,"")</f>
        <v/>
      </c>
      <c r="AC27" s="72">
        <f>_xlfn.XLOOKUP(AB27,'PEW6'!$B$6:$B$201,'PEW6'!$A$6:$A$201,0)</f>
        <v>0</v>
      </c>
      <c r="AD27" s="10" t="str">
        <f>_xlfn.XLOOKUP($B27,'PEW7'!$C$6:$C$201,'PEW7'!$B$6:$B$201,"")</f>
        <v/>
      </c>
      <c r="AE27" s="72">
        <f>_xlfn.XLOOKUP(AD27,'PEW7'!$B$6:$B$201,'PEW7'!$A$6:$A$201,0)</f>
        <v>0</v>
      </c>
      <c r="AF27" s="10" t="str">
        <f>_xlfn.XLOOKUP($B27,'PEW8'!$C$6:$C$201,'PEW8'!$B$6:$B$201,"")</f>
        <v/>
      </c>
      <c r="AG27" s="72">
        <f>_xlfn.XLOOKUP(AF27,'PEW8'!$B$6:$B$201,'PEW8'!$A$6:$A$201,0)</f>
        <v>0</v>
      </c>
      <c r="AH27" s="10" t="str">
        <f>_xlfn.XLOOKUP($B27,PS!$C$6:$C$201,PS!$B$6:$B$201,"")</f>
        <v/>
      </c>
      <c r="AI27" s="72">
        <f>_xlfn.XLOOKUP(AH27,PS!$B$6:$B$201,PS!$A$6:$A$201,0)</f>
        <v>0</v>
      </c>
      <c r="AJ27" s="10" t="str" cm="1">
        <f t="array" ref="AJ27">_xlfn.XLOOKUP($B27,IMEW!C$6:C$201,IMEW!$B$6:B$201,"")</f>
        <v/>
      </c>
      <c r="AK27" s="73">
        <f>_xlfn.XLOOKUP(AJ27,IMEW!$B$6:$B$201,IMEW!$A$6:$A$201,0)</f>
        <v>0</v>
      </c>
    </row>
    <row r="28" spans="1:37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37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37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7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7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167" spans="3:3" x14ac:dyDescent="0.2">
      <c r="C167" t="s">
        <v>48</v>
      </c>
    </row>
  </sheetData>
  <autoFilter ref="A5:AK5" xr:uid="{3A0A20B3-5AAD-4C6E-AC99-1ABF64677A16}">
    <sortState xmlns:xlrd2="http://schemas.microsoft.com/office/spreadsheetml/2017/richdata2" ref="A7:AK27">
      <sortCondition descending="1" ref="D5"/>
    </sortState>
  </autoFilter>
  <mergeCells count="22"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M4:N4"/>
    <mergeCell ref="R4:S4"/>
    <mergeCell ref="X4:Y4"/>
    <mergeCell ref="Z4:AA4"/>
    <mergeCell ref="AB4:AC4"/>
    <mergeCell ref="R1:AK3"/>
    <mergeCell ref="AJ4:AK4"/>
    <mergeCell ref="AD4:AE4"/>
    <mergeCell ref="AF4:AG4"/>
    <mergeCell ref="T4:U4"/>
    <mergeCell ref="V4:W4"/>
    <mergeCell ref="AH4:AI4"/>
  </mergeCells>
  <conditionalFormatting sqref="A6:A27">
    <cfRule type="cellIs" dxfId="19" priority="16" operator="equal">
      <formula>3</formula>
    </cfRule>
    <cfRule type="cellIs" dxfId="18" priority="17" operator="equal">
      <formula>2</formula>
    </cfRule>
    <cfRule type="cellIs" dxfId="17" priority="18" operator="equal">
      <formula>1</formula>
    </cfRule>
  </conditionalFormatting>
  <conditionalFormatting sqref="R6:AK27 D6:P27">
    <cfRule type="cellIs" dxfId="1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C128-DA1F-46C8-A263-C1BCD779419B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2.2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24</v>
      </c>
      <c r="I1" s="76" t="s">
        <v>25</v>
      </c>
      <c r="J1" s="76" t="s">
        <v>26</v>
      </c>
      <c r="K1" s="77" t="s">
        <v>113</v>
      </c>
      <c r="L1" s="78"/>
      <c r="M1" s="78"/>
    </row>
    <row r="2" spans="1:36" ht="14.45" customHeight="1" x14ac:dyDescent="0.25">
      <c r="A2" s="74"/>
      <c r="B2" s="20" t="s">
        <v>28</v>
      </c>
      <c r="C2" s="215" t="s">
        <v>114</v>
      </c>
      <c r="D2" s="213"/>
      <c r="E2" s="21"/>
      <c r="F2" s="21"/>
      <c r="G2" s="21"/>
      <c r="H2" s="80">
        <v>21</v>
      </c>
      <c r="I2" s="81">
        <v>50</v>
      </c>
      <c r="J2" s="81">
        <v>10</v>
      </c>
      <c r="K2" s="111">
        <f>3*H2^(1/3)</f>
        <v>8.2767725291433614</v>
      </c>
      <c r="L2" s="78"/>
      <c r="M2" s="78"/>
    </row>
    <row r="3" spans="1:36" ht="14.45" customHeight="1" x14ac:dyDescent="0.25">
      <c r="A3" s="74"/>
      <c r="B3" s="82" t="s">
        <v>30</v>
      </c>
      <c r="C3" s="214" t="s">
        <v>115</v>
      </c>
      <c r="D3" s="214"/>
      <c r="E3" s="26"/>
      <c r="F3" s="26"/>
      <c r="G3" s="26"/>
      <c r="H3" s="78"/>
      <c r="I3" s="78"/>
      <c r="J3" s="83"/>
      <c r="K3" s="78"/>
      <c r="L3" s="78"/>
      <c r="M3" s="7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83"/>
      <c r="K4" s="78"/>
      <c r="L4" s="78"/>
      <c r="M4" s="78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84" t="s">
        <v>38</v>
      </c>
      <c r="I5" s="85" t="s">
        <v>39</v>
      </c>
      <c r="J5" s="86" t="s">
        <v>40</v>
      </c>
      <c r="K5" s="85" t="s">
        <v>41</v>
      </c>
      <c r="L5" s="85" t="s">
        <v>42</v>
      </c>
      <c r="M5" s="84" t="s">
        <v>43</v>
      </c>
    </row>
    <row r="6" spans="1:36" ht="14.45" customHeight="1" x14ac:dyDescent="0.25">
      <c r="A6" s="87">
        <f>M6</f>
        <v>124.83031758743009</v>
      </c>
      <c r="B6" s="34">
        <f t="shared" ref="B6:B65" si="0">IF(H6&gt;$H$2,"",(ROW()-5))</f>
        <v>1</v>
      </c>
      <c r="C6" s="35" t="s">
        <v>48</v>
      </c>
      <c r="D6" s="35"/>
      <c r="E6" s="35"/>
      <c r="F6" s="35"/>
      <c r="G6" s="28"/>
      <c r="H6" s="88">
        <v>1</v>
      </c>
      <c r="I6" s="89">
        <f t="shared" ref="I6:I69" si="1">IF(H6&lt;$H$2+1,($I$2-($I$2-1)*(LOG(H6)/LOG($H$2))),"")</f>
        <v>50</v>
      </c>
      <c r="J6" s="88">
        <f>INT(LOG($H$2,2))-ROUNDUP(LOG(H6,2),0)+IF(OR($H$2=1,$H$2=2,$H$2=4,$H$2=8,$H$2=16,$H$2=32,$H$2=64,$H$2=128,$H$2=256),0,1)</f>
        <v>5</v>
      </c>
      <c r="K6" s="88">
        <f t="shared" ref="K6:K69" si="2">J6*$J$2</f>
        <v>50</v>
      </c>
      <c r="L6" s="90">
        <f>3*K2</f>
        <v>24.830317587430084</v>
      </c>
      <c r="M6" s="90">
        <f t="shared" ref="M6:M69" si="3">IF(I6&lt;&gt;"",K6+I6+L6,0)</f>
        <v>124.83031758743009</v>
      </c>
    </row>
    <row r="7" spans="1:36" ht="14.45" customHeight="1" x14ac:dyDescent="0.25">
      <c r="A7" s="91">
        <f t="shared" ref="A7:A60" si="4">M7</f>
        <v>95.397702872136023</v>
      </c>
      <c r="B7" s="40">
        <f t="shared" si="0"/>
        <v>2</v>
      </c>
      <c r="C7" s="41" t="s">
        <v>16</v>
      </c>
      <c r="D7" s="41"/>
      <c r="E7" s="41"/>
      <c r="F7" s="41"/>
      <c r="G7" s="28"/>
      <c r="H7" s="92">
        <v>2</v>
      </c>
      <c r="I7" s="93">
        <f t="shared" si="1"/>
        <v>38.844157813849307</v>
      </c>
      <c r="J7" s="92">
        <f t="shared" ref="J7:J70" si="5">INT(LOG($H$2,2))-ROUNDUP(LOG(H7,2),0)+IF(OR($H$2=1,$H$2=2,$H$2=4,$H$2=8,$H$2=16,$H$2=32,$H$2=64,$H$2=128,$H$2=256),0,1)</f>
        <v>4</v>
      </c>
      <c r="K7" s="92">
        <f t="shared" si="2"/>
        <v>40</v>
      </c>
      <c r="L7" s="94">
        <f>2*K2</f>
        <v>16.553545058286723</v>
      </c>
      <c r="M7" s="94">
        <f t="shared" si="3"/>
        <v>95.397702872136023</v>
      </c>
    </row>
    <row r="8" spans="1:36" ht="14.45" customHeight="1" x14ac:dyDescent="0.25">
      <c r="A8" s="87">
        <f t="shared" si="4"/>
        <v>70.595181000131376</v>
      </c>
      <c r="B8" s="34">
        <f t="shared" si="0"/>
        <v>3</v>
      </c>
      <c r="C8" s="35" t="s">
        <v>116</v>
      </c>
      <c r="D8" s="35"/>
      <c r="E8" s="35"/>
      <c r="F8" s="35"/>
      <c r="G8" s="28"/>
      <c r="H8" s="88">
        <v>3</v>
      </c>
      <c r="I8" s="89">
        <f t="shared" si="1"/>
        <v>32.318408470988018</v>
      </c>
      <c r="J8" s="88">
        <f t="shared" si="5"/>
        <v>3</v>
      </c>
      <c r="K8" s="88">
        <f t="shared" si="2"/>
        <v>30</v>
      </c>
      <c r="L8" s="90">
        <f>K2</f>
        <v>8.2767725291433614</v>
      </c>
      <c r="M8" s="90">
        <f t="shared" si="3"/>
        <v>70.595181000131376</v>
      </c>
    </row>
    <row r="9" spans="1:36" s="79" customFormat="1" ht="14.45" customHeight="1" x14ac:dyDescent="0.25">
      <c r="A9" s="91">
        <f t="shared" si="4"/>
        <v>70.595181000131376</v>
      </c>
      <c r="B9" s="40">
        <f>IF(H9&gt;$H$2,"",3)</f>
        <v>3</v>
      </c>
      <c r="C9" s="41" t="s">
        <v>48</v>
      </c>
      <c r="D9" s="41"/>
      <c r="E9" s="41"/>
      <c r="F9" s="41"/>
      <c r="G9" s="28"/>
      <c r="H9" s="92">
        <v>3</v>
      </c>
      <c r="I9" s="93">
        <f t="shared" si="1"/>
        <v>32.318408470988018</v>
      </c>
      <c r="J9" s="92">
        <f t="shared" si="5"/>
        <v>3</v>
      </c>
      <c r="K9" s="92">
        <f t="shared" si="2"/>
        <v>30</v>
      </c>
      <c r="L9" s="94">
        <f>K2</f>
        <v>8.2767725291433614</v>
      </c>
      <c r="M9" s="94">
        <f t="shared" si="3"/>
        <v>70.595181000131376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48</v>
      </c>
      <c r="AI9" s="79">
        <v>23</v>
      </c>
    </row>
    <row r="10" spans="1:36" ht="14.45" customHeight="1" x14ac:dyDescent="0.25">
      <c r="A10" s="87">
        <f t="shared" si="4"/>
        <v>44.096936605847048</v>
      </c>
      <c r="B10" s="34">
        <f t="shared" si="0"/>
        <v>5</v>
      </c>
      <c r="C10" s="35" t="s">
        <v>48</v>
      </c>
      <c r="D10" s="35"/>
      <c r="E10" s="35"/>
      <c r="F10" s="35"/>
      <c r="G10" s="28"/>
      <c r="H10" s="88">
        <v>5</v>
      </c>
      <c r="I10" s="89">
        <f t="shared" si="1"/>
        <v>24.096936605847045</v>
      </c>
      <c r="J10" s="88">
        <f t="shared" si="5"/>
        <v>2</v>
      </c>
      <c r="K10" s="88">
        <f t="shared" si="2"/>
        <v>20</v>
      </c>
      <c r="L10" s="88"/>
      <c r="M10" s="90">
        <f t="shared" si="3"/>
        <v>44.096936605847048</v>
      </c>
      <c r="V10" s="95"/>
      <c r="Z10" s="96"/>
      <c r="AA10" s="96"/>
      <c r="AG10" s="97"/>
      <c r="AH10" s="79" t="s">
        <v>50</v>
      </c>
      <c r="AI10" s="79">
        <v>45</v>
      </c>
    </row>
    <row r="11" spans="1:36" ht="14.45" customHeight="1" x14ac:dyDescent="0.25">
      <c r="A11" s="91">
        <f t="shared" si="4"/>
        <v>41.162566284837325</v>
      </c>
      <c r="B11" s="40">
        <f t="shared" si="0"/>
        <v>6</v>
      </c>
      <c r="C11" s="41" t="s">
        <v>48</v>
      </c>
      <c r="D11" s="41"/>
      <c r="E11" s="41"/>
      <c r="F11" s="41"/>
      <c r="G11" s="28"/>
      <c r="H11" s="92">
        <v>6</v>
      </c>
      <c r="I11" s="93">
        <f t="shared" si="1"/>
        <v>21.162566284837325</v>
      </c>
      <c r="J11" s="92">
        <f t="shared" si="5"/>
        <v>2</v>
      </c>
      <c r="K11" s="92">
        <f t="shared" si="2"/>
        <v>20</v>
      </c>
      <c r="L11" s="92"/>
      <c r="M11" s="94">
        <f t="shared" si="3"/>
        <v>41.162566284837325</v>
      </c>
      <c r="V11" s="98"/>
      <c r="Z11" s="96"/>
      <c r="AA11" s="96"/>
      <c r="AG11" s="97"/>
      <c r="AH11" s="79" t="s">
        <v>52</v>
      </c>
      <c r="AI11" s="79">
        <v>50</v>
      </c>
    </row>
    <row r="12" spans="1:36" ht="14.45" customHeight="1" x14ac:dyDescent="0.25">
      <c r="A12" s="87">
        <f t="shared" si="4"/>
        <v>38.681591529011982</v>
      </c>
      <c r="B12" s="34">
        <f t="shared" si="0"/>
        <v>7</v>
      </c>
      <c r="C12" s="35" t="s">
        <v>48</v>
      </c>
      <c r="D12" s="35"/>
      <c r="E12" s="35"/>
      <c r="F12" s="35"/>
      <c r="G12" s="28"/>
      <c r="H12" s="88">
        <v>7</v>
      </c>
      <c r="I12" s="89">
        <f t="shared" si="1"/>
        <v>18.681591529011982</v>
      </c>
      <c r="J12" s="88">
        <f t="shared" si="5"/>
        <v>2</v>
      </c>
      <c r="K12" s="88">
        <f t="shared" si="2"/>
        <v>20</v>
      </c>
      <c r="L12" s="88"/>
      <c r="M12" s="90">
        <f t="shared" si="3"/>
        <v>38.681591529011982</v>
      </c>
      <c r="Z12" s="96"/>
      <c r="AA12" s="96"/>
      <c r="AG12" s="97"/>
      <c r="AH12" s="79" t="s">
        <v>53</v>
      </c>
      <c r="AI12" s="79">
        <f>AI11-1</f>
        <v>49</v>
      </c>
    </row>
    <row r="13" spans="1:36" ht="14.45" customHeight="1" x14ac:dyDescent="0.25">
      <c r="A13" s="91">
        <f t="shared" si="4"/>
        <v>36.532473441547907</v>
      </c>
      <c r="B13" s="40">
        <f t="shared" si="0"/>
        <v>8</v>
      </c>
      <c r="C13" s="41" t="s">
        <v>48</v>
      </c>
      <c r="D13" s="41"/>
      <c r="E13" s="41"/>
      <c r="F13" s="41"/>
      <c r="G13" s="28"/>
      <c r="H13" s="92">
        <v>8</v>
      </c>
      <c r="I13" s="93">
        <f t="shared" si="1"/>
        <v>16.532473441547907</v>
      </c>
      <c r="J13" s="92">
        <f t="shared" si="5"/>
        <v>2</v>
      </c>
      <c r="K13" s="92">
        <f t="shared" si="2"/>
        <v>20</v>
      </c>
      <c r="L13" s="92"/>
      <c r="M13" s="94">
        <f t="shared" si="3"/>
        <v>36.532473441547907</v>
      </c>
      <c r="X13" s="95"/>
      <c r="AG13" s="97"/>
      <c r="AH13" s="79" t="s">
        <v>54</v>
      </c>
      <c r="AI13" s="79">
        <f>LOG(AI9)</f>
        <v>1.3617278360175928</v>
      </c>
    </row>
    <row r="14" spans="1:36" x14ac:dyDescent="0.25">
      <c r="A14" s="87">
        <f t="shared" si="4"/>
        <v>24.636816941976043</v>
      </c>
      <c r="B14" s="34">
        <f t="shared" si="0"/>
        <v>9</v>
      </c>
      <c r="C14" s="35" t="s">
        <v>18</v>
      </c>
      <c r="D14" s="35"/>
      <c r="E14" s="35"/>
      <c r="F14" s="35"/>
      <c r="G14" s="28"/>
      <c r="H14" s="88">
        <v>9</v>
      </c>
      <c r="I14" s="89">
        <f t="shared" si="1"/>
        <v>14.636816941976043</v>
      </c>
      <c r="J14" s="88">
        <f t="shared" si="5"/>
        <v>1</v>
      </c>
      <c r="K14" s="88">
        <f t="shared" si="2"/>
        <v>10</v>
      </c>
      <c r="L14" s="88"/>
      <c r="M14" s="90">
        <f t="shared" si="3"/>
        <v>24.636816941976043</v>
      </c>
      <c r="X14" s="99"/>
      <c r="Z14" s="96"/>
      <c r="AA14" s="96"/>
      <c r="AG14" s="97"/>
      <c r="AH14" s="79" t="s">
        <v>55</v>
      </c>
      <c r="AI14" s="79">
        <f>LOG(AI10)</f>
        <v>1.6532125137753437</v>
      </c>
    </row>
    <row r="15" spans="1:36" x14ac:dyDescent="0.25">
      <c r="A15" s="91">
        <f t="shared" si="4"/>
        <v>22.941094419696348</v>
      </c>
      <c r="B15" s="40">
        <f t="shared" si="0"/>
        <v>10</v>
      </c>
      <c r="C15" s="41" t="s">
        <v>48</v>
      </c>
      <c r="D15" s="41"/>
      <c r="E15" s="41"/>
      <c r="F15" s="41"/>
      <c r="G15" s="28"/>
      <c r="H15" s="92">
        <v>10</v>
      </c>
      <c r="I15" s="93">
        <f t="shared" si="1"/>
        <v>12.941094419696348</v>
      </c>
      <c r="J15" s="92">
        <f t="shared" si="5"/>
        <v>1</v>
      </c>
      <c r="K15" s="92">
        <f t="shared" si="2"/>
        <v>10</v>
      </c>
      <c r="L15" s="92"/>
      <c r="M15" s="94">
        <f t="shared" si="3"/>
        <v>22.941094419696348</v>
      </c>
      <c r="X15" s="95"/>
      <c r="Z15" s="96"/>
      <c r="AA15" s="96"/>
    </row>
    <row r="16" spans="1:36" x14ac:dyDescent="0.25">
      <c r="A16" s="87">
        <f t="shared" si="4"/>
        <v>21.407126808702444</v>
      </c>
      <c r="B16" s="34">
        <f t="shared" si="0"/>
        <v>11</v>
      </c>
      <c r="C16" s="35" t="s">
        <v>48</v>
      </c>
      <c r="D16" s="35"/>
      <c r="E16" s="35"/>
      <c r="F16" s="35"/>
      <c r="G16" s="28"/>
      <c r="H16" s="88">
        <v>11</v>
      </c>
      <c r="I16" s="89">
        <f t="shared" si="1"/>
        <v>11.407126808702444</v>
      </c>
      <c r="J16" s="88">
        <f t="shared" si="5"/>
        <v>1</v>
      </c>
      <c r="K16" s="88">
        <f t="shared" si="2"/>
        <v>10</v>
      </c>
      <c r="L16" s="88"/>
      <c r="M16" s="90">
        <f t="shared" si="3"/>
        <v>21.407126808702444</v>
      </c>
      <c r="R16" s="100"/>
      <c r="Z16" s="96"/>
      <c r="AA16" s="96"/>
      <c r="AH16" s="101" t="s">
        <v>56</v>
      </c>
      <c r="AI16" s="79">
        <f>AI11-AI12*AI13/AI14</f>
        <v>9.6393909380186855</v>
      </c>
      <c r="AJ16" s="79" t="s">
        <v>57</v>
      </c>
    </row>
    <row r="17" spans="1:19" x14ac:dyDescent="0.25">
      <c r="A17" s="91">
        <f t="shared" si="4"/>
        <v>20.006724098686625</v>
      </c>
      <c r="B17" s="40">
        <f t="shared" si="0"/>
        <v>12</v>
      </c>
      <c r="C17" s="41" t="s">
        <v>48</v>
      </c>
      <c r="D17" s="41"/>
      <c r="E17" s="41"/>
      <c r="F17" s="41"/>
      <c r="G17" s="28"/>
      <c r="H17" s="92">
        <v>12</v>
      </c>
      <c r="I17" s="93">
        <f t="shared" si="1"/>
        <v>10.006724098686625</v>
      </c>
      <c r="J17" s="92">
        <f t="shared" si="5"/>
        <v>1</v>
      </c>
      <c r="K17" s="92">
        <f t="shared" si="2"/>
        <v>10</v>
      </c>
      <c r="L17" s="92"/>
      <c r="M17" s="94">
        <f t="shared" si="3"/>
        <v>20.006724098686625</v>
      </c>
    </row>
    <row r="18" spans="1:19" x14ac:dyDescent="0.25">
      <c r="A18" s="87">
        <f t="shared" si="4"/>
        <v>18.718478485054014</v>
      </c>
      <c r="B18" s="34">
        <f t="shared" si="0"/>
        <v>13</v>
      </c>
      <c r="C18" s="35" t="s">
        <v>48</v>
      </c>
      <c r="D18" s="35"/>
      <c r="E18" s="35"/>
      <c r="F18" s="35"/>
      <c r="G18" s="28"/>
      <c r="H18" s="88">
        <v>13</v>
      </c>
      <c r="I18" s="89">
        <f t="shared" si="1"/>
        <v>8.718478485054014</v>
      </c>
      <c r="J18" s="88">
        <f t="shared" si="5"/>
        <v>1</v>
      </c>
      <c r="K18" s="88">
        <f t="shared" si="2"/>
        <v>10</v>
      </c>
      <c r="L18" s="88"/>
      <c r="M18" s="90">
        <f t="shared" si="3"/>
        <v>18.718478485054014</v>
      </c>
    </row>
    <row r="19" spans="1:19" x14ac:dyDescent="0.25">
      <c r="A19" s="91">
        <f t="shared" si="4"/>
        <v>17.525749342861289</v>
      </c>
      <c r="B19" s="40">
        <f t="shared" si="0"/>
        <v>14</v>
      </c>
      <c r="C19" s="41" t="s">
        <v>48</v>
      </c>
      <c r="D19" s="41"/>
      <c r="E19" s="41"/>
      <c r="F19" s="41"/>
      <c r="G19" s="28"/>
      <c r="H19" s="92">
        <v>14</v>
      </c>
      <c r="I19" s="93">
        <f t="shared" si="1"/>
        <v>7.5257493428612889</v>
      </c>
      <c r="J19" s="92">
        <f t="shared" si="5"/>
        <v>1</v>
      </c>
      <c r="K19" s="92">
        <f t="shared" si="2"/>
        <v>10</v>
      </c>
      <c r="L19" s="92"/>
      <c r="M19" s="94">
        <f t="shared" si="3"/>
        <v>17.525749342861289</v>
      </c>
    </row>
    <row r="20" spans="1:19" x14ac:dyDescent="0.25">
      <c r="A20" s="87">
        <f t="shared" si="4"/>
        <v>16.41534507683506</v>
      </c>
      <c r="B20" s="34">
        <f t="shared" si="0"/>
        <v>15</v>
      </c>
      <c r="C20" s="35" t="s">
        <v>48</v>
      </c>
      <c r="D20" s="35"/>
      <c r="E20" s="35"/>
      <c r="F20" s="35"/>
      <c r="G20" s="28"/>
      <c r="H20" s="88">
        <v>15</v>
      </c>
      <c r="I20" s="89">
        <f t="shared" si="1"/>
        <v>6.4153450768350595</v>
      </c>
      <c r="J20" s="88">
        <f t="shared" si="5"/>
        <v>1</v>
      </c>
      <c r="K20" s="88">
        <f t="shared" si="2"/>
        <v>10</v>
      </c>
      <c r="L20" s="88"/>
      <c r="M20" s="90">
        <f t="shared" si="3"/>
        <v>16.41534507683506</v>
      </c>
      <c r="R20" s="102"/>
      <c r="S20" s="103"/>
    </row>
    <row r="21" spans="1:19" x14ac:dyDescent="0.25">
      <c r="A21" s="91">
        <f t="shared" si="4"/>
        <v>15.376631255397214</v>
      </c>
      <c r="B21" s="40">
        <f t="shared" si="0"/>
        <v>16</v>
      </c>
      <c r="C21" s="41" t="s">
        <v>48</v>
      </c>
      <c r="D21" s="41"/>
      <c r="E21" s="41"/>
      <c r="F21" s="41"/>
      <c r="G21" s="28"/>
      <c r="H21" s="92">
        <v>16</v>
      </c>
      <c r="I21" s="93">
        <f t="shared" si="1"/>
        <v>5.3766312553972142</v>
      </c>
      <c r="J21" s="92">
        <f t="shared" si="5"/>
        <v>1</v>
      </c>
      <c r="K21" s="92">
        <f t="shared" si="2"/>
        <v>10</v>
      </c>
      <c r="L21" s="92"/>
      <c r="M21" s="94">
        <f t="shared" si="3"/>
        <v>15.376631255397214</v>
      </c>
    </row>
    <row r="22" spans="1:19" x14ac:dyDescent="0.25">
      <c r="A22" s="87">
        <f t="shared" si="4"/>
        <v>4.4009096012560747</v>
      </c>
      <c r="B22" s="34">
        <f t="shared" si="0"/>
        <v>17</v>
      </c>
      <c r="C22" s="35" t="s">
        <v>48</v>
      </c>
      <c r="D22" s="35"/>
      <c r="E22" s="35"/>
      <c r="F22" s="35"/>
      <c r="G22" s="28"/>
      <c r="H22" s="88">
        <v>17</v>
      </c>
      <c r="I22" s="89">
        <f t="shared" si="1"/>
        <v>4.4009096012560747</v>
      </c>
      <c r="J22" s="88">
        <f t="shared" si="5"/>
        <v>0</v>
      </c>
      <c r="K22" s="88">
        <f t="shared" si="2"/>
        <v>0</v>
      </c>
      <c r="L22" s="88"/>
      <c r="M22" s="90">
        <f t="shared" si="3"/>
        <v>4.4009096012560747</v>
      </c>
    </row>
    <row r="23" spans="1:19" x14ac:dyDescent="0.25">
      <c r="A23" s="91">
        <f t="shared" si="4"/>
        <v>3.4809747558253505</v>
      </c>
      <c r="B23" s="40">
        <f t="shared" si="0"/>
        <v>18</v>
      </c>
      <c r="C23" s="41" t="s">
        <v>48</v>
      </c>
      <c r="D23" s="41"/>
      <c r="E23" s="41"/>
      <c r="F23" s="41"/>
      <c r="G23" s="28"/>
      <c r="H23" s="92">
        <v>18</v>
      </c>
      <c r="I23" s="93">
        <f t="shared" si="1"/>
        <v>3.4809747558253505</v>
      </c>
      <c r="J23" s="92">
        <f t="shared" si="5"/>
        <v>0</v>
      </c>
      <c r="K23" s="92">
        <f t="shared" si="2"/>
        <v>0</v>
      </c>
      <c r="L23" s="92"/>
      <c r="M23" s="94">
        <f t="shared" si="3"/>
        <v>3.4809747558253505</v>
      </c>
    </row>
    <row r="24" spans="1:19" x14ac:dyDescent="0.25">
      <c r="A24" s="87">
        <f t="shared" si="4"/>
        <v>2.6107910418158227</v>
      </c>
      <c r="B24" s="34">
        <f t="shared" si="0"/>
        <v>19</v>
      </c>
      <c r="C24" s="35" t="s">
        <v>48</v>
      </c>
      <c r="D24" s="35"/>
      <c r="E24" s="35"/>
      <c r="F24" s="35"/>
      <c r="G24" s="28"/>
      <c r="H24" s="88">
        <v>19</v>
      </c>
      <c r="I24" s="89">
        <f t="shared" si="1"/>
        <v>2.6107910418158227</v>
      </c>
      <c r="J24" s="88">
        <f t="shared" si="5"/>
        <v>0</v>
      </c>
      <c r="K24" s="88">
        <f t="shared" si="2"/>
        <v>0</v>
      </c>
      <c r="L24" s="88"/>
      <c r="M24" s="90">
        <f t="shared" si="3"/>
        <v>2.6107910418158227</v>
      </c>
      <c r="R24" s="102"/>
      <c r="S24" s="103"/>
    </row>
    <row r="25" spans="1:19" x14ac:dyDescent="0.25">
      <c r="A25" s="91">
        <f t="shared" si="4"/>
        <v>1.7852522335456484</v>
      </c>
      <c r="B25" s="40">
        <f t="shared" si="0"/>
        <v>20</v>
      </c>
      <c r="C25" s="41" t="s">
        <v>48</v>
      </c>
      <c r="D25" s="41"/>
      <c r="E25" s="41"/>
      <c r="F25" s="41"/>
      <c r="G25" s="28"/>
      <c r="H25" s="92">
        <v>20</v>
      </c>
      <c r="I25" s="93">
        <f t="shared" si="1"/>
        <v>1.7852522335456484</v>
      </c>
      <c r="J25" s="92">
        <f t="shared" si="5"/>
        <v>0</v>
      </c>
      <c r="K25" s="92">
        <f t="shared" si="2"/>
        <v>0</v>
      </c>
      <c r="L25" s="92"/>
      <c r="M25" s="94">
        <f t="shared" si="3"/>
        <v>1.7852522335456484</v>
      </c>
    </row>
    <row r="26" spans="1:19" x14ac:dyDescent="0.25">
      <c r="A26" s="87">
        <f t="shared" si="4"/>
        <v>1</v>
      </c>
      <c r="B26" s="34">
        <f t="shared" si="0"/>
        <v>21</v>
      </c>
      <c r="C26" s="35" t="s">
        <v>48</v>
      </c>
      <c r="D26" s="35"/>
      <c r="E26" s="35"/>
      <c r="F26" s="35"/>
      <c r="G26" s="28"/>
      <c r="H26" s="88">
        <v>21</v>
      </c>
      <c r="I26" s="89">
        <f t="shared" si="1"/>
        <v>1</v>
      </c>
      <c r="J26" s="88">
        <f t="shared" si="5"/>
        <v>0</v>
      </c>
      <c r="K26" s="88">
        <f t="shared" si="2"/>
        <v>0</v>
      </c>
      <c r="L26" s="88"/>
      <c r="M26" s="90">
        <f t="shared" si="3"/>
        <v>1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2">
        <v>22</v>
      </c>
      <c r="I27" s="93" t="str">
        <f t="shared" si="1"/>
        <v/>
      </c>
      <c r="J27" s="92">
        <f t="shared" si="5"/>
        <v>0</v>
      </c>
      <c r="K27" s="92">
        <f t="shared" si="2"/>
        <v>0</v>
      </c>
      <c r="L27" s="92"/>
      <c r="M27" s="94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88">
        <v>23</v>
      </c>
      <c r="I28" s="89" t="str">
        <f t="shared" si="1"/>
        <v/>
      </c>
      <c r="J28" s="88">
        <f t="shared" si="5"/>
        <v>0</v>
      </c>
      <c r="K28" s="88">
        <f t="shared" si="2"/>
        <v>0</v>
      </c>
      <c r="L28" s="88"/>
      <c r="M28" s="90">
        <f t="shared" si="3"/>
        <v>0</v>
      </c>
      <c r="R28" s="102"/>
      <c r="S28" s="103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74"/>
      <c r="H29" s="92">
        <v>24</v>
      </c>
      <c r="I29" s="93" t="str">
        <f t="shared" si="1"/>
        <v/>
      </c>
      <c r="J29" s="92">
        <f t="shared" si="5"/>
        <v>0</v>
      </c>
      <c r="K29" s="92">
        <f t="shared" si="2"/>
        <v>0</v>
      </c>
      <c r="L29" s="92"/>
      <c r="M29" s="94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74"/>
      <c r="H30" s="88">
        <v>25</v>
      </c>
      <c r="I30" s="89" t="str">
        <f t="shared" si="1"/>
        <v/>
      </c>
      <c r="J30" s="88">
        <f t="shared" si="5"/>
        <v>0</v>
      </c>
      <c r="K30" s="88">
        <f t="shared" si="2"/>
        <v>0</v>
      </c>
      <c r="L30" s="88"/>
      <c r="M30" s="90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2">
        <f t="shared" si="5"/>
        <v>0</v>
      </c>
      <c r="K31" s="92">
        <f t="shared" si="2"/>
        <v>0</v>
      </c>
      <c r="L31" s="92"/>
      <c r="M31" s="94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8">
        <f t="shared" si="5"/>
        <v>0</v>
      </c>
      <c r="K32" s="88">
        <f t="shared" si="2"/>
        <v>0</v>
      </c>
      <c r="L32" s="88"/>
      <c r="M32" s="90">
        <f t="shared" si="3"/>
        <v>0</v>
      </c>
      <c r="R32" s="102"/>
      <c r="S32" s="103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2">
        <f t="shared" si="5"/>
        <v>0</v>
      </c>
      <c r="K33" s="92">
        <f t="shared" si="2"/>
        <v>0</v>
      </c>
      <c r="L33" s="92"/>
      <c r="M33" s="94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8">
        <f t="shared" si="5"/>
        <v>0</v>
      </c>
      <c r="K34" s="88">
        <f t="shared" si="2"/>
        <v>0</v>
      </c>
      <c r="L34" s="88"/>
      <c r="M34" s="90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2">
        <f t="shared" si="5"/>
        <v>0</v>
      </c>
      <c r="K35" s="92">
        <f t="shared" si="2"/>
        <v>0</v>
      </c>
      <c r="L35" s="92"/>
      <c r="M35" s="94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8">
        <f t="shared" si="5"/>
        <v>0</v>
      </c>
      <c r="K36" s="88">
        <f t="shared" si="2"/>
        <v>0</v>
      </c>
      <c r="L36" s="88"/>
      <c r="M36" s="90">
        <f t="shared" si="3"/>
        <v>0</v>
      </c>
      <c r="R36" s="102"/>
      <c r="S36" s="103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2">
        <f t="shared" si="5"/>
        <v>0</v>
      </c>
      <c r="K37" s="92">
        <f t="shared" si="2"/>
        <v>0</v>
      </c>
      <c r="L37" s="92"/>
      <c r="M37" s="94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8">
        <f t="shared" si="5"/>
        <v>-1</v>
      </c>
      <c r="K38" s="88">
        <f t="shared" si="2"/>
        <v>-10</v>
      </c>
      <c r="L38" s="88"/>
      <c r="M38" s="90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2">
        <f t="shared" si="5"/>
        <v>-1</v>
      </c>
      <c r="K39" s="92">
        <f t="shared" si="2"/>
        <v>-10</v>
      </c>
      <c r="L39" s="92"/>
      <c r="M39" s="94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8">
        <f t="shared" si="5"/>
        <v>-1</v>
      </c>
      <c r="K40" s="88">
        <f t="shared" si="2"/>
        <v>-10</v>
      </c>
      <c r="L40" s="88"/>
      <c r="M40" s="90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2">
        <f t="shared" si="5"/>
        <v>-1</v>
      </c>
      <c r="K41" s="92">
        <f t="shared" si="2"/>
        <v>-10</v>
      </c>
      <c r="L41" s="92"/>
      <c r="M41" s="94">
        <f t="shared" si="3"/>
        <v>0</v>
      </c>
      <c r="S41" s="104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8">
        <f t="shared" si="5"/>
        <v>-1</v>
      </c>
      <c r="K42" s="88">
        <f t="shared" si="2"/>
        <v>-10</v>
      </c>
      <c r="L42" s="88"/>
      <c r="M42" s="90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2">
        <f t="shared" si="5"/>
        <v>-1</v>
      </c>
      <c r="K43" s="92">
        <f t="shared" si="2"/>
        <v>-10</v>
      </c>
      <c r="L43" s="92"/>
      <c r="M43" s="94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8">
        <f t="shared" si="5"/>
        <v>-1</v>
      </c>
      <c r="K44" s="88">
        <f t="shared" si="2"/>
        <v>-10</v>
      </c>
      <c r="L44" s="88"/>
      <c r="M44" s="90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2">
        <f t="shared" si="5"/>
        <v>-1</v>
      </c>
      <c r="K45" s="92">
        <f t="shared" si="2"/>
        <v>-10</v>
      </c>
      <c r="L45" s="92"/>
      <c r="M45" s="94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8">
        <f t="shared" si="5"/>
        <v>-1</v>
      </c>
      <c r="K46" s="88">
        <f t="shared" si="2"/>
        <v>-10</v>
      </c>
      <c r="L46" s="88"/>
      <c r="M46" s="90">
        <f t="shared" si="3"/>
        <v>0</v>
      </c>
      <c r="R46" s="74">
        <f>LOG($H$2,2)</f>
        <v>4.3923174227787607</v>
      </c>
      <c r="T46" s="79">
        <f>LOG(H38,2)</f>
        <v>5.0443941193584534</v>
      </c>
      <c r="U46" s="79">
        <f>R46-T46</f>
        <v>-0.65207669657969269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2">
        <f t="shared" si="5"/>
        <v>-1</v>
      </c>
      <c r="K47" s="92">
        <f t="shared" si="2"/>
        <v>-10</v>
      </c>
      <c r="L47" s="92"/>
      <c r="M47" s="94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8">
        <f t="shared" si="5"/>
        <v>-1</v>
      </c>
      <c r="K48" s="88">
        <f t="shared" si="2"/>
        <v>-10</v>
      </c>
      <c r="L48" s="88"/>
      <c r="M48" s="90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2">
        <f t="shared" si="5"/>
        <v>-1</v>
      </c>
      <c r="K49" s="92">
        <f t="shared" si="2"/>
        <v>-10</v>
      </c>
      <c r="L49" s="92"/>
      <c r="M49" s="94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8">
        <f t="shared" si="5"/>
        <v>-1</v>
      </c>
      <c r="K50" s="88">
        <f t="shared" si="2"/>
        <v>-10</v>
      </c>
      <c r="L50" s="88"/>
      <c r="M50" s="90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2">
        <f t="shared" si="5"/>
        <v>-1</v>
      </c>
      <c r="K51" s="92">
        <f t="shared" si="2"/>
        <v>-10</v>
      </c>
      <c r="L51" s="92"/>
      <c r="M51" s="94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8">
        <f t="shared" si="5"/>
        <v>-1</v>
      </c>
      <c r="K52" s="88">
        <f t="shared" si="2"/>
        <v>-10</v>
      </c>
      <c r="L52" s="88"/>
      <c r="M52" s="90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2">
        <f t="shared" si="5"/>
        <v>-1</v>
      </c>
      <c r="K53" s="92">
        <f t="shared" si="2"/>
        <v>-10</v>
      </c>
      <c r="L53" s="92"/>
      <c r="M53" s="94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8">
        <f t="shared" si="5"/>
        <v>-1</v>
      </c>
      <c r="K54" s="88">
        <f t="shared" si="2"/>
        <v>-10</v>
      </c>
      <c r="L54" s="88"/>
      <c r="M54" s="90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2">
        <f t="shared" si="5"/>
        <v>-1</v>
      </c>
      <c r="K55" s="92">
        <f t="shared" si="2"/>
        <v>-10</v>
      </c>
      <c r="L55" s="92"/>
      <c r="M55" s="94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8">
        <f t="shared" si="5"/>
        <v>-1</v>
      </c>
      <c r="K56" s="88">
        <f t="shared" si="2"/>
        <v>-10</v>
      </c>
      <c r="L56" s="88"/>
      <c r="M56" s="90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2">
        <f t="shared" si="5"/>
        <v>-1</v>
      </c>
      <c r="K57" s="92">
        <f t="shared" si="2"/>
        <v>-10</v>
      </c>
      <c r="L57" s="92"/>
      <c r="M57" s="94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8">
        <f t="shared" si="5"/>
        <v>-1</v>
      </c>
      <c r="K58" s="88">
        <f t="shared" si="2"/>
        <v>-10</v>
      </c>
      <c r="L58" s="88"/>
      <c r="M58" s="90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2">
        <f t="shared" si="5"/>
        <v>-1</v>
      </c>
      <c r="K59" s="92">
        <f t="shared" si="2"/>
        <v>-10</v>
      </c>
      <c r="L59" s="92"/>
      <c r="M59" s="94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8">
        <f t="shared" si="5"/>
        <v>-1</v>
      </c>
      <c r="K60" s="88">
        <f t="shared" si="2"/>
        <v>-10</v>
      </c>
      <c r="L60" s="88"/>
      <c r="M60" s="90">
        <f t="shared" si="3"/>
        <v>0</v>
      </c>
    </row>
    <row r="61" spans="1:13" x14ac:dyDescent="0.25">
      <c r="A61" s="91"/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2">
        <f t="shared" si="5"/>
        <v>-1</v>
      </c>
      <c r="K61" s="92">
        <f t="shared" si="2"/>
        <v>-10</v>
      </c>
      <c r="L61" s="92"/>
      <c r="M61" s="94">
        <f t="shared" si="3"/>
        <v>0</v>
      </c>
    </row>
    <row r="62" spans="1:13" x14ac:dyDescent="0.25">
      <c r="A62" s="87"/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8">
        <f t="shared" si="5"/>
        <v>-1</v>
      </c>
      <c r="K62" s="88">
        <f t="shared" si="2"/>
        <v>-10</v>
      </c>
      <c r="L62" s="88"/>
      <c r="M62" s="90">
        <f t="shared" si="3"/>
        <v>0</v>
      </c>
    </row>
    <row r="63" spans="1:13" x14ac:dyDescent="0.25">
      <c r="A63" s="91"/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2">
        <f t="shared" si="5"/>
        <v>-1</v>
      </c>
      <c r="K63" s="92">
        <f t="shared" si="2"/>
        <v>-10</v>
      </c>
      <c r="L63" s="92"/>
      <c r="M63" s="94">
        <f t="shared" si="3"/>
        <v>0</v>
      </c>
    </row>
    <row r="64" spans="1:13" x14ac:dyDescent="0.25">
      <c r="A64" s="87"/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8">
        <f t="shared" si="5"/>
        <v>-1</v>
      </c>
      <c r="K64" s="88">
        <f t="shared" si="2"/>
        <v>-10</v>
      </c>
      <c r="L64" s="88"/>
      <c r="M64" s="90">
        <f t="shared" si="3"/>
        <v>0</v>
      </c>
    </row>
    <row r="65" spans="1:13" x14ac:dyDescent="0.25">
      <c r="A65" s="91"/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2">
        <f t="shared" si="5"/>
        <v>-1</v>
      </c>
      <c r="K65" s="92">
        <f t="shared" si="2"/>
        <v>-10</v>
      </c>
      <c r="L65" s="92"/>
      <c r="M65" s="94">
        <f t="shared" si="3"/>
        <v>0</v>
      </c>
    </row>
    <row r="66" spans="1:13" x14ac:dyDescent="0.25">
      <c r="A66" s="87"/>
      <c r="B66" s="34"/>
      <c r="G66" s="74"/>
      <c r="H66" s="88">
        <v>61</v>
      </c>
      <c r="I66" s="89" t="str">
        <f t="shared" si="1"/>
        <v/>
      </c>
      <c r="J66" s="88">
        <f t="shared" si="5"/>
        <v>-1</v>
      </c>
      <c r="K66" s="88">
        <f t="shared" si="2"/>
        <v>-10</v>
      </c>
      <c r="L66" s="88"/>
      <c r="M66" s="90">
        <f t="shared" si="3"/>
        <v>0</v>
      </c>
    </row>
    <row r="67" spans="1:13" x14ac:dyDescent="0.25">
      <c r="A67" s="91"/>
      <c r="B67" s="40"/>
      <c r="G67" s="74"/>
      <c r="H67" s="88">
        <v>62</v>
      </c>
      <c r="I67" s="89" t="str">
        <f t="shared" si="1"/>
        <v/>
      </c>
      <c r="J67" s="88">
        <f t="shared" si="5"/>
        <v>-1</v>
      </c>
      <c r="K67" s="88">
        <f t="shared" si="2"/>
        <v>-10</v>
      </c>
      <c r="L67" s="88"/>
      <c r="M67" s="90">
        <f t="shared" si="3"/>
        <v>0</v>
      </c>
    </row>
    <row r="68" spans="1:13" x14ac:dyDescent="0.25">
      <c r="A68" s="87"/>
      <c r="B68" s="34"/>
      <c r="G68" s="74"/>
      <c r="H68" s="88">
        <v>63</v>
      </c>
      <c r="I68" s="89" t="str">
        <f t="shared" si="1"/>
        <v/>
      </c>
      <c r="J68" s="88">
        <f t="shared" si="5"/>
        <v>-1</v>
      </c>
      <c r="K68" s="88">
        <f t="shared" si="2"/>
        <v>-10</v>
      </c>
      <c r="L68" s="88"/>
      <c r="M68" s="90">
        <f t="shared" si="3"/>
        <v>0</v>
      </c>
    </row>
    <row r="69" spans="1:13" x14ac:dyDescent="0.25">
      <c r="A69" s="91"/>
      <c r="B69" s="40"/>
      <c r="G69" s="74"/>
      <c r="H69" s="88">
        <v>64</v>
      </c>
      <c r="I69" s="89" t="str">
        <f t="shared" si="1"/>
        <v/>
      </c>
      <c r="J69" s="88">
        <f t="shared" si="5"/>
        <v>-1</v>
      </c>
      <c r="K69" s="88">
        <f t="shared" si="2"/>
        <v>-10</v>
      </c>
      <c r="L69" s="88"/>
      <c r="M69" s="90">
        <f t="shared" si="3"/>
        <v>0</v>
      </c>
    </row>
    <row r="70" spans="1:13" x14ac:dyDescent="0.25">
      <c r="A70" s="106"/>
      <c r="G70" s="74"/>
      <c r="H70" s="88">
        <v>65</v>
      </c>
      <c r="I70" s="89" t="str">
        <f t="shared" ref="I70:I133" si="6">IF(H70&lt;$H$2+1,($I$2-($I$2-1)*(LOG(H70)/LOG($H$2))),"")</f>
        <v/>
      </c>
      <c r="J70" s="88">
        <f t="shared" si="5"/>
        <v>-2</v>
      </c>
      <c r="K70" s="88">
        <f t="shared" ref="K70:K133" si="7">J70*$J$2</f>
        <v>-20</v>
      </c>
      <c r="L70" s="88"/>
      <c r="M70" s="90">
        <f t="shared" ref="M70:M133" si="8">IF(I70&lt;&gt;"",K70+I70+L70,0)</f>
        <v>0</v>
      </c>
    </row>
    <row r="71" spans="1:13" x14ac:dyDescent="0.25">
      <c r="A71" s="106"/>
      <c r="G71" s="74"/>
      <c r="H71" s="88">
        <v>66</v>
      </c>
      <c r="I71" s="89" t="str">
        <f t="shared" si="6"/>
        <v/>
      </c>
      <c r="J71" s="88">
        <f t="shared" ref="J71:J134" si="9">INT(LOG($H$2,2))-ROUNDUP(LOG(H71,2),0)+IF(OR($H$2=1,$H$2=2,$H$2=4,$H$2=8,$H$2=16,$H$2=32,$H$2=64,$H$2=128,$H$2=256),0,1)</f>
        <v>-2</v>
      </c>
      <c r="K71" s="88">
        <f t="shared" si="7"/>
        <v>-20</v>
      </c>
      <c r="L71" s="88"/>
      <c r="M71" s="90">
        <f t="shared" si="8"/>
        <v>0</v>
      </c>
    </row>
    <row r="72" spans="1:13" x14ac:dyDescent="0.25">
      <c r="A72" s="106"/>
      <c r="G72" s="74"/>
      <c r="H72" s="88">
        <v>67</v>
      </c>
      <c r="I72" s="89" t="str">
        <f t="shared" si="6"/>
        <v/>
      </c>
      <c r="J72" s="88">
        <f t="shared" si="9"/>
        <v>-2</v>
      </c>
      <c r="K72" s="88">
        <f t="shared" si="7"/>
        <v>-20</v>
      </c>
      <c r="L72" s="88"/>
      <c r="M72" s="90">
        <f t="shared" si="8"/>
        <v>0</v>
      </c>
    </row>
    <row r="73" spans="1:13" x14ac:dyDescent="0.25">
      <c r="A73" s="106"/>
      <c r="G73" s="74"/>
      <c r="H73" s="88">
        <v>68</v>
      </c>
      <c r="I73" s="89" t="str">
        <f t="shared" si="6"/>
        <v/>
      </c>
      <c r="J73" s="88">
        <f t="shared" si="9"/>
        <v>-2</v>
      </c>
      <c r="K73" s="88">
        <f t="shared" si="7"/>
        <v>-20</v>
      </c>
      <c r="L73" s="88"/>
      <c r="M73" s="90">
        <f t="shared" si="8"/>
        <v>0</v>
      </c>
    </row>
    <row r="74" spans="1:13" x14ac:dyDescent="0.25">
      <c r="A74" s="106"/>
      <c r="G74" s="74"/>
      <c r="H74" s="88">
        <v>69</v>
      </c>
      <c r="I74" s="89" t="str">
        <f t="shared" si="6"/>
        <v/>
      </c>
      <c r="J74" s="88">
        <f t="shared" si="9"/>
        <v>-2</v>
      </c>
      <c r="K74" s="88">
        <f t="shared" si="7"/>
        <v>-20</v>
      </c>
      <c r="L74" s="88"/>
      <c r="M74" s="90">
        <f t="shared" si="8"/>
        <v>0</v>
      </c>
    </row>
    <row r="75" spans="1:13" x14ac:dyDescent="0.25">
      <c r="A75" s="106"/>
      <c r="G75" s="74"/>
      <c r="H75" s="88">
        <v>70</v>
      </c>
      <c r="I75" s="89" t="str">
        <f t="shared" si="6"/>
        <v/>
      </c>
      <c r="J75" s="88">
        <f t="shared" si="9"/>
        <v>-2</v>
      </c>
      <c r="K75" s="88">
        <f t="shared" si="7"/>
        <v>-20</v>
      </c>
      <c r="L75" s="88"/>
      <c r="M75" s="90">
        <f t="shared" si="8"/>
        <v>0</v>
      </c>
    </row>
    <row r="76" spans="1:13" x14ac:dyDescent="0.25">
      <c r="A76" s="106"/>
      <c r="G76" s="74"/>
      <c r="H76" s="88">
        <v>71</v>
      </c>
      <c r="I76" s="89" t="str">
        <f t="shared" si="6"/>
        <v/>
      </c>
      <c r="J76" s="88">
        <f t="shared" si="9"/>
        <v>-2</v>
      </c>
      <c r="K76" s="88">
        <f t="shared" si="7"/>
        <v>-20</v>
      </c>
      <c r="L76" s="88"/>
      <c r="M76" s="90">
        <f t="shared" si="8"/>
        <v>0</v>
      </c>
    </row>
    <row r="77" spans="1:13" x14ac:dyDescent="0.25">
      <c r="A77" s="106"/>
      <c r="G77" s="74"/>
      <c r="H77" s="88">
        <v>72</v>
      </c>
      <c r="I77" s="89" t="str">
        <f t="shared" si="6"/>
        <v/>
      </c>
      <c r="J77" s="88">
        <f t="shared" si="9"/>
        <v>-2</v>
      </c>
      <c r="K77" s="88">
        <f t="shared" si="7"/>
        <v>-20</v>
      </c>
      <c r="L77" s="88"/>
      <c r="M77" s="90">
        <f t="shared" si="8"/>
        <v>0</v>
      </c>
    </row>
    <row r="78" spans="1:13" x14ac:dyDescent="0.25">
      <c r="A78" s="106"/>
      <c r="G78" s="74"/>
      <c r="H78" s="88">
        <v>73</v>
      </c>
      <c r="I78" s="89" t="str">
        <f t="shared" si="6"/>
        <v/>
      </c>
      <c r="J78" s="88">
        <f t="shared" si="9"/>
        <v>-2</v>
      </c>
      <c r="K78" s="88">
        <f t="shared" si="7"/>
        <v>-20</v>
      </c>
      <c r="L78" s="88"/>
      <c r="M78" s="90">
        <f t="shared" si="8"/>
        <v>0</v>
      </c>
    </row>
    <row r="79" spans="1:13" x14ac:dyDescent="0.25">
      <c r="A79" s="106"/>
      <c r="G79" s="74"/>
      <c r="H79" s="88">
        <v>74</v>
      </c>
      <c r="I79" s="89" t="str">
        <f t="shared" si="6"/>
        <v/>
      </c>
      <c r="J79" s="88">
        <f t="shared" si="9"/>
        <v>-2</v>
      </c>
      <c r="K79" s="88">
        <f t="shared" si="7"/>
        <v>-20</v>
      </c>
      <c r="L79" s="88"/>
      <c r="M79" s="90">
        <f t="shared" si="8"/>
        <v>0</v>
      </c>
    </row>
    <row r="80" spans="1:13" x14ac:dyDescent="0.25">
      <c r="A80" s="106"/>
      <c r="G80" s="74"/>
      <c r="H80" s="88">
        <v>75</v>
      </c>
      <c r="I80" s="89" t="str">
        <f t="shared" si="6"/>
        <v/>
      </c>
      <c r="J80" s="88">
        <f t="shared" si="9"/>
        <v>-2</v>
      </c>
      <c r="K80" s="88">
        <f t="shared" si="7"/>
        <v>-20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8">
        <f t="shared" si="9"/>
        <v>-2</v>
      </c>
      <c r="K81" s="88">
        <f t="shared" si="7"/>
        <v>-20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8">
        <f t="shared" si="9"/>
        <v>-2</v>
      </c>
      <c r="K82" s="88">
        <f t="shared" si="7"/>
        <v>-20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8">
        <f t="shared" si="9"/>
        <v>-2</v>
      </c>
      <c r="K83" s="88">
        <f t="shared" si="7"/>
        <v>-20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8">
        <f t="shared" si="9"/>
        <v>-2</v>
      </c>
      <c r="K84" s="88">
        <f t="shared" si="7"/>
        <v>-20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8">
        <f t="shared" si="9"/>
        <v>-2</v>
      </c>
      <c r="K85" s="88">
        <f t="shared" si="7"/>
        <v>-20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8">
        <f t="shared" si="9"/>
        <v>-2</v>
      </c>
      <c r="K86" s="88">
        <f t="shared" si="7"/>
        <v>-20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8">
        <f t="shared" si="9"/>
        <v>-2</v>
      </c>
      <c r="K87" s="88">
        <f t="shared" si="7"/>
        <v>-20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8">
        <f t="shared" si="9"/>
        <v>-2</v>
      </c>
      <c r="K88" s="88">
        <f t="shared" si="7"/>
        <v>-20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8">
        <f t="shared" si="9"/>
        <v>-2</v>
      </c>
      <c r="K89" s="88">
        <f t="shared" si="7"/>
        <v>-20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8">
        <f t="shared" si="9"/>
        <v>-2</v>
      </c>
      <c r="K90" s="88">
        <f t="shared" si="7"/>
        <v>-20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8">
        <f t="shared" si="9"/>
        <v>-2</v>
      </c>
      <c r="K91" s="88">
        <f t="shared" si="7"/>
        <v>-20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8">
        <f t="shared" si="9"/>
        <v>-2</v>
      </c>
      <c r="K92" s="88">
        <f t="shared" si="7"/>
        <v>-20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8">
        <f t="shared" si="9"/>
        <v>-2</v>
      </c>
      <c r="K93" s="88">
        <f t="shared" si="7"/>
        <v>-20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8">
        <f t="shared" si="9"/>
        <v>-2</v>
      </c>
      <c r="K94" s="88">
        <f t="shared" si="7"/>
        <v>-20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8">
        <f t="shared" si="9"/>
        <v>-2</v>
      </c>
      <c r="K95" s="88">
        <f t="shared" si="7"/>
        <v>-20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8">
        <f t="shared" si="9"/>
        <v>-2</v>
      </c>
      <c r="K96" s="88">
        <f t="shared" si="7"/>
        <v>-20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8">
        <f t="shared" si="9"/>
        <v>-2</v>
      </c>
      <c r="K97" s="88">
        <f t="shared" si="7"/>
        <v>-20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8">
        <f t="shared" si="9"/>
        <v>-2</v>
      </c>
      <c r="K98" s="88">
        <f t="shared" si="7"/>
        <v>-20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8">
        <f t="shared" si="9"/>
        <v>-2</v>
      </c>
      <c r="K99" s="88">
        <f t="shared" si="7"/>
        <v>-20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8">
        <f t="shared" si="9"/>
        <v>-2</v>
      </c>
      <c r="K100" s="88">
        <f t="shared" si="7"/>
        <v>-20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8">
        <f t="shared" si="9"/>
        <v>-2</v>
      </c>
      <c r="K101" s="88">
        <f t="shared" si="7"/>
        <v>-20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8">
        <f t="shared" si="9"/>
        <v>-2</v>
      </c>
      <c r="K102" s="88">
        <f t="shared" si="7"/>
        <v>-20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8">
        <f t="shared" si="9"/>
        <v>-2</v>
      </c>
      <c r="K103" s="88">
        <f t="shared" si="7"/>
        <v>-20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8">
        <f t="shared" si="9"/>
        <v>-2</v>
      </c>
      <c r="K104" s="88">
        <f t="shared" si="7"/>
        <v>-20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8">
        <f t="shared" si="9"/>
        <v>-2</v>
      </c>
      <c r="K105" s="88">
        <f t="shared" si="7"/>
        <v>-20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8">
        <f t="shared" si="9"/>
        <v>-2</v>
      </c>
      <c r="K106" s="88">
        <f t="shared" si="7"/>
        <v>-20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8">
        <f t="shared" si="9"/>
        <v>-2</v>
      </c>
      <c r="K107" s="88">
        <f t="shared" si="7"/>
        <v>-20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8">
        <f t="shared" si="9"/>
        <v>-2</v>
      </c>
      <c r="K108" s="88">
        <f t="shared" si="7"/>
        <v>-20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8">
        <f t="shared" si="9"/>
        <v>-2</v>
      </c>
      <c r="K109" s="88">
        <f t="shared" si="7"/>
        <v>-20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8">
        <f t="shared" si="9"/>
        <v>-2</v>
      </c>
      <c r="K110" s="88">
        <f t="shared" si="7"/>
        <v>-20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8">
        <f t="shared" si="9"/>
        <v>-2</v>
      </c>
      <c r="K111" s="88">
        <f t="shared" si="7"/>
        <v>-20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8">
        <f t="shared" si="9"/>
        <v>-2</v>
      </c>
      <c r="K112" s="88">
        <f t="shared" si="7"/>
        <v>-20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8">
        <f t="shared" si="9"/>
        <v>-2</v>
      </c>
      <c r="K113" s="88">
        <f t="shared" si="7"/>
        <v>-20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8">
        <f t="shared" si="9"/>
        <v>-2</v>
      </c>
      <c r="K114" s="88">
        <f t="shared" si="7"/>
        <v>-20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8">
        <f t="shared" si="9"/>
        <v>-2</v>
      </c>
      <c r="K115" s="88">
        <f t="shared" si="7"/>
        <v>-20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8">
        <f t="shared" si="9"/>
        <v>-2</v>
      </c>
      <c r="K116" s="88">
        <f t="shared" si="7"/>
        <v>-20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8">
        <f t="shared" si="9"/>
        <v>-2</v>
      </c>
      <c r="K117" s="88">
        <f t="shared" si="7"/>
        <v>-20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8">
        <f t="shared" si="9"/>
        <v>-2</v>
      </c>
      <c r="K118" s="88">
        <f t="shared" si="7"/>
        <v>-20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8">
        <f t="shared" si="9"/>
        <v>-2</v>
      </c>
      <c r="K119" s="88">
        <f t="shared" si="7"/>
        <v>-20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8">
        <f t="shared" si="9"/>
        <v>-2</v>
      </c>
      <c r="K120" s="88">
        <f t="shared" si="7"/>
        <v>-20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8">
        <f t="shared" si="9"/>
        <v>-2</v>
      </c>
      <c r="K121" s="88">
        <f t="shared" si="7"/>
        <v>-20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8">
        <f t="shared" si="9"/>
        <v>-2</v>
      </c>
      <c r="K122" s="88">
        <f t="shared" si="7"/>
        <v>-20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8">
        <f t="shared" si="9"/>
        <v>-2</v>
      </c>
      <c r="K123" s="88">
        <f t="shared" si="7"/>
        <v>-20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8">
        <f t="shared" si="9"/>
        <v>-2</v>
      </c>
      <c r="K124" s="88">
        <f t="shared" si="7"/>
        <v>-20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8">
        <f t="shared" si="9"/>
        <v>-2</v>
      </c>
      <c r="K125" s="88">
        <f t="shared" si="7"/>
        <v>-20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8">
        <f t="shared" si="9"/>
        <v>-2</v>
      </c>
      <c r="K126" s="88">
        <f t="shared" si="7"/>
        <v>-20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8">
        <f t="shared" si="9"/>
        <v>-2</v>
      </c>
      <c r="K127" s="88">
        <f t="shared" si="7"/>
        <v>-20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8">
        <f t="shared" si="9"/>
        <v>-2</v>
      </c>
      <c r="K128" s="88">
        <f t="shared" si="7"/>
        <v>-20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8">
        <f t="shared" si="9"/>
        <v>-2</v>
      </c>
      <c r="K129" s="88">
        <f t="shared" si="7"/>
        <v>-20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8">
        <f t="shared" si="9"/>
        <v>-2</v>
      </c>
      <c r="K130" s="88">
        <f t="shared" si="7"/>
        <v>-20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8">
        <f t="shared" si="9"/>
        <v>-2</v>
      </c>
      <c r="K131" s="88">
        <f t="shared" si="7"/>
        <v>-20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8">
        <f t="shared" si="9"/>
        <v>-2</v>
      </c>
      <c r="K132" s="88">
        <f t="shared" si="7"/>
        <v>-20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8">
        <f t="shared" si="9"/>
        <v>-2</v>
      </c>
      <c r="K133" s="88">
        <f t="shared" si="7"/>
        <v>-20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0">IF(H134&lt;$H$2+1,($I$2-($I$2-1)*(LOG(H134)/LOG($H$2))),"")</f>
        <v/>
      </c>
      <c r="J134" s="88">
        <f t="shared" si="9"/>
        <v>-3</v>
      </c>
      <c r="K134" s="88">
        <f t="shared" ref="K134:K197" si="11">J134*$J$2</f>
        <v>-30</v>
      </c>
      <c r="L134" s="88"/>
      <c r="M134" s="90">
        <f t="shared" ref="M134:M197" si="12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0"/>
        <v/>
      </c>
      <c r="J135" s="88">
        <f t="shared" ref="J135:J198" si="13">INT(LOG($H$2,2))-ROUNDUP(LOG(H135,2),0)+IF(OR($H$2=1,$H$2=2,$H$2=4,$H$2=8,$H$2=16,$H$2=32,$H$2=64,$H$2=128,$H$2=256),0,1)</f>
        <v>-3</v>
      </c>
      <c r="K135" s="88">
        <f t="shared" si="11"/>
        <v>-30</v>
      </c>
      <c r="L135" s="88"/>
      <c r="M135" s="90">
        <f t="shared" si="12"/>
        <v>0</v>
      </c>
    </row>
    <row r="136" spans="1:13" x14ac:dyDescent="0.25">
      <c r="A136" s="106"/>
      <c r="G136" s="74"/>
      <c r="H136" s="88">
        <v>131</v>
      </c>
      <c r="I136" s="89" t="str">
        <f t="shared" si="10"/>
        <v/>
      </c>
      <c r="J136" s="88">
        <f t="shared" si="13"/>
        <v>-3</v>
      </c>
      <c r="K136" s="88">
        <f t="shared" si="11"/>
        <v>-30</v>
      </c>
      <c r="L136" s="88"/>
      <c r="M136" s="90">
        <f t="shared" si="12"/>
        <v>0</v>
      </c>
    </row>
    <row r="137" spans="1:13" x14ac:dyDescent="0.25">
      <c r="A137" s="106"/>
      <c r="G137" s="74"/>
      <c r="H137" s="88">
        <v>132</v>
      </c>
      <c r="I137" s="89" t="str">
        <f t="shared" si="10"/>
        <v/>
      </c>
      <c r="J137" s="88">
        <f t="shared" si="13"/>
        <v>-3</v>
      </c>
      <c r="K137" s="88">
        <f t="shared" si="11"/>
        <v>-30</v>
      </c>
      <c r="L137" s="88"/>
      <c r="M137" s="90">
        <f t="shared" si="12"/>
        <v>0</v>
      </c>
    </row>
    <row r="138" spans="1:13" x14ac:dyDescent="0.25">
      <c r="A138" s="106"/>
      <c r="G138" s="74"/>
      <c r="H138" s="88">
        <v>133</v>
      </c>
      <c r="I138" s="89" t="str">
        <f t="shared" si="10"/>
        <v/>
      </c>
      <c r="J138" s="88">
        <f t="shared" si="13"/>
        <v>-3</v>
      </c>
      <c r="K138" s="88">
        <f t="shared" si="11"/>
        <v>-30</v>
      </c>
      <c r="L138" s="88"/>
      <c r="M138" s="90">
        <f t="shared" si="12"/>
        <v>0</v>
      </c>
    </row>
    <row r="139" spans="1:13" x14ac:dyDescent="0.25">
      <c r="A139" s="106"/>
      <c r="G139" s="74"/>
      <c r="H139" s="88">
        <v>134</v>
      </c>
      <c r="I139" s="89" t="str">
        <f t="shared" si="10"/>
        <v/>
      </c>
      <c r="J139" s="88">
        <f t="shared" si="13"/>
        <v>-3</v>
      </c>
      <c r="K139" s="88">
        <f t="shared" si="11"/>
        <v>-30</v>
      </c>
      <c r="L139" s="88"/>
      <c r="M139" s="90">
        <f t="shared" si="12"/>
        <v>0</v>
      </c>
    </row>
    <row r="140" spans="1:13" x14ac:dyDescent="0.25">
      <c r="A140" s="106"/>
      <c r="G140" s="74"/>
      <c r="H140" s="88">
        <v>135</v>
      </c>
      <c r="I140" s="89" t="str">
        <f t="shared" si="10"/>
        <v/>
      </c>
      <c r="J140" s="88">
        <f t="shared" si="13"/>
        <v>-3</v>
      </c>
      <c r="K140" s="88">
        <f t="shared" si="11"/>
        <v>-30</v>
      </c>
      <c r="L140" s="88"/>
      <c r="M140" s="90">
        <f t="shared" si="12"/>
        <v>0</v>
      </c>
    </row>
    <row r="141" spans="1:13" x14ac:dyDescent="0.25">
      <c r="A141" s="106"/>
      <c r="G141" s="74"/>
      <c r="H141" s="88">
        <v>136</v>
      </c>
      <c r="I141" s="89" t="str">
        <f t="shared" si="10"/>
        <v/>
      </c>
      <c r="J141" s="88">
        <f t="shared" si="13"/>
        <v>-3</v>
      </c>
      <c r="K141" s="88">
        <f t="shared" si="11"/>
        <v>-30</v>
      </c>
      <c r="L141" s="88"/>
      <c r="M141" s="90">
        <f t="shared" si="12"/>
        <v>0</v>
      </c>
    </row>
    <row r="142" spans="1:13" x14ac:dyDescent="0.25">
      <c r="A142" s="106"/>
      <c r="G142" s="74"/>
      <c r="H142" s="88">
        <v>137</v>
      </c>
      <c r="I142" s="89" t="str">
        <f t="shared" si="10"/>
        <v/>
      </c>
      <c r="J142" s="88">
        <f t="shared" si="13"/>
        <v>-3</v>
      </c>
      <c r="K142" s="88">
        <f t="shared" si="11"/>
        <v>-30</v>
      </c>
      <c r="L142" s="88"/>
      <c r="M142" s="90">
        <f t="shared" si="12"/>
        <v>0</v>
      </c>
    </row>
    <row r="143" spans="1:13" x14ac:dyDescent="0.25">
      <c r="A143" s="106"/>
      <c r="G143" s="74"/>
      <c r="H143" s="88">
        <v>138</v>
      </c>
      <c r="I143" s="89" t="str">
        <f t="shared" si="10"/>
        <v/>
      </c>
      <c r="J143" s="88">
        <f t="shared" si="13"/>
        <v>-3</v>
      </c>
      <c r="K143" s="88">
        <f t="shared" si="11"/>
        <v>-30</v>
      </c>
      <c r="L143" s="88"/>
      <c r="M143" s="90">
        <f t="shared" si="12"/>
        <v>0</v>
      </c>
    </row>
    <row r="144" spans="1:13" x14ac:dyDescent="0.25">
      <c r="A144" s="106"/>
      <c r="G144" s="74"/>
      <c r="H144" s="88">
        <v>139</v>
      </c>
      <c r="I144" s="89" t="str">
        <f t="shared" si="10"/>
        <v/>
      </c>
      <c r="J144" s="88">
        <f t="shared" si="13"/>
        <v>-3</v>
      </c>
      <c r="K144" s="88">
        <f t="shared" si="11"/>
        <v>-30</v>
      </c>
      <c r="L144" s="88"/>
      <c r="M144" s="90">
        <f t="shared" si="12"/>
        <v>0</v>
      </c>
    </row>
    <row r="145" spans="1:13" x14ac:dyDescent="0.25">
      <c r="A145" s="106"/>
      <c r="G145" s="74"/>
      <c r="H145" s="88">
        <v>140</v>
      </c>
      <c r="I145" s="89" t="str">
        <f t="shared" si="10"/>
        <v/>
      </c>
      <c r="J145" s="88">
        <f t="shared" si="13"/>
        <v>-3</v>
      </c>
      <c r="K145" s="88">
        <f t="shared" si="11"/>
        <v>-30</v>
      </c>
      <c r="L145" s="88"/>
      <c r="M145" s="90">
        <f t="shared" si="12"/>
        <v>0</v>
      </c>
    </row>
    <row r="146" spans="1:13" x14ac:dyDescent="0.25">
      <c r="A146" s="106"/>
      <c r="G146" s="74"/>
      <c r="H146" s="88">
        <v>141</v>
      </c>
      <c r="I146" s="89" t="str">
        <f t="shared" si="10"/>
        <v/>
      </c>
      <c r="J146" s="88">
        <f t="shared" si="13"/>
        <v>-3</v>
      </c>
      <c r="K146" s="88">
        <f t="shared" si="11"/>
        <v>-30</v>
      </c>
      <c r="L146" s="88"/>
      <c r="M146" s="90">
        <f t="shared" si="12"/>
        <v>0</v>
      </c>
    </row>
    <row r="147" spans="1:13" x14ac:dyDescent="0.25">
      <c r="A147" s="106"/>
      <c r="G147" s="74"/>
      <c r="H147" s="88">
        <v>142</v>
      </c>
      <c r="I147" s="89" t="str">
        <f t="shared" si="10"/>
        <v/>
      </c>
      <c r="J147" s="88">
        <f t="shared" si="13"/>
        <v>-3</v>
      </c>
      <c r="K147" s="88">
        <f t="shared" si="11"/>
        <v>-30</v>
      </c>
      <c r="L147" s="88"/>
      <c r="M147" s="90">
        <f t="shared" si="12"/>
        <v>0</v>
      </c>
    </row>
    <row r="148" spans="1:13" x14ac:dyDescent="0.25">
      <c r="A148" s="106"/>
      <c r="G148" s="74"/>
      <c r="H148" s="88">
        <v>143</v>
      </c>
      <c r="I148" s="89" t="str">
        <f t="shared" si="10"/>
        <v/>
      </c>
      <c r="J148" s="88">
        <f t="shared" si="13"/>
        <v>-3</v>
      </c>
      <c r="K148" s="88">
        <f t="shared" si="11"/>
        <v>-30</v>
      </c>
      <c r="L148" s="88"/>
      <c r="M148" s="90">
        <f t="shared" si="12"/>
        <v>0</v>
      </c>
    </row>
    <row r="149" spans="1:13" x14ac:dyDescent="0.25">
      <c r="A149" s="106"/>
      <c r="G149" s="74"/>
      <c r="H149" s="88">
        <v>144</v>
      </c>
      <c r="I149" s="89" t="str">
        <f t="shared" si="10"/>
        <v/>
      </c>
      <c r="J149" s="88">
        <f t="shared" si="13"/>
        <v>-3</v>
      </c>
      <c r="K149" s="88">
        <f t="shared" si="11"/>
        <v>-30</v>
      </c>
      <c r="L149" s="88"/>
      <c r="M149" s="90">
        <f t="shared" si="12"/>
        <v>0</v>
      </c>
    </row>
    <row r="150" spans="1:13" x14ac:dyDescent="0.25">
      <c r="A150" s="106"/>
      <c r="G150" s="74"/>
      <c r="H150" s="88">
        <v>145</v>
      </c>
      <c r="I150" s="89" t="str">
        <f t="shared" si="10"/>
        <v/>
      </c>
      <c r="J150" s="88">
        <f t="shared" si="13"/>
        <v>-3</v>
      </c>
      <c r="K150" s="88">
        <f t="shared" si="11"/>
        <v>-30</v>
      </c>
      <c r="L150" s="88"/>
      <c r="M150" s="90">
        <f t="shared" si="12"/>
        <v>0</v>
      </c>
    </row>
    <row r="151" spans="1:13" x14ac:dyDescent="0.25">
      <c r="A151" s="106"/>
      <c r="G151" s="74"/>
      <c r="H151" s="88">
        <v>146</v>
      </c>
      <c r="I151" s="89" t="str">
        <f t="shared" si="10"/>
        <v/>
      </c>
      <c r="J151" s="88">
        <f t="shared" si="13"/>
        <v>-3</v>
      </c>
      <c r="K151" s="88">
        <f t="shared" si="11"/>
        <v>-30</v>
      </c>
      <c r="L151" s="88"/>
      <c r="M151" s="90">
        <f t="shared" si="12"/>
        <v>0</v>
      </c>
    </row>
    <row r="152" spans="1:13" x14ac:dyDescent="0.25">
      <c r="A152" s="106"/>
      <c r="G152" s="74"/>
      <c r="H152" s="88">
        <v>147</v>
      </c>
      <c r="I152" s="89" t="str">
        <f t="shared" si="10"/>
        <v/>
      </c>
      <c r="J152" s="88">
        <f t="shared" si="13"/>
        <v>-3</v>
      </c>
      <c r="K152" s="88">
        <f t="shared" si="11"/>
        <v>-30</v>
      </c>
      <c r="L152" s="88"/>
      <c r="M152" s="90">
        <f t="shared" si="12"/>
        <v>0</v>
      </c>
    </row>
    <row r="153" spans="1:13" x14ac:dyDescent="0.25">
      <c r="A153" s="106"/>
      <c r="G153" s="74"/>
      <c r="H153" s="88">
        <v>148</v>
      </c>
      <c r="I153" s="89" t="str">
        <f t="shared" si="10"/>
        <v/>
      </c>
      <c r="J153" s="88">
        <f t="shared" si="13"/>
        <v>-3</v>
      </c>
      <c r="K153" s="88">
        <f t="shared" si="11"/>
        <v>-30</v>
      </c>
      <c r="L153" s="88"/>
      <c r="M153" s="90">
        <f t="shared" si="12"/>
        <v>0</v>
      </c>
    </row>
    <row r="154" spans="1:13" x14ac:dyDescent="0.25">
      <c r="A154" s="106"/>
      <c r="G154" s="74"/>
      <c r="H154" s="88">
        <v>149</v>
      </c>
      <c r="I154" s="89" t="str">
        <f t="shared" si="10"/>
        <v/>
      </c>
      <c r="J154" s="88">
        <f t="shared" si="13"/>
        <v>-3</v>
      </c>
      <c r="K154" s="88">
        <f t="shared" si="11"/>
        <v>-30</v>
      </c>
      <c r="L154" s="88"/>
      <c r="M154" s="90">
        <f t="shared" si="12"/>
        <v>0</v>
      </c>
    </row>
    <row r="155" spans="1:13" x14ac:dyDescent="0.25">
      <c r="A155" s="106"/>
      <c r="G155" s="74"/>
      <c r="H155" s="88">
        <v>150</v>
      </c>
      <c r="I155" s="89" t="str">
        <f t="shared" si="10"/>
        <v/>
      </c>
      <c r="J155" s="88">
        <f t="shared" si="13"/>
        <v>-3</v>
      </c>
      <c r="K155" s="88">
        <f t="shared" si="11"/>
        <v>-30</v>
      </c>
      <c r="L155" s="88"/>
      <c r="M155" s="90">
        <f t="shared" si="12"/>
        <v>0</v>
      </c>
    </row>
    <row r="156" spans="1:13" x14ac:dyDescent="0.25">
      <c r="A156" s="106"/>
      <c r="G156" s="74"/>
      <c r="H156" s="88">
        <v>151</v>
      </c>
      <c r="I156" s="89" t="str">
        <f t="shared" si="10"/>
        <v/>
      </c>
      <c r="J156" s="88">
        <f t="shared" si="13"/>
        <v>-3</v>
      </c>
      <c r="K156" s="88">
        <f t="shared" si="11"/>
        <v>-30</v>
      </c>
      <c r="L156" s="88"/>
      <c r="M156" s="90">
        <f t="shared" si="12"/>
        <v>0</v>
      </c>
    </row>
    <row r="157" spans="1:13" x14ac:dyDescent="0.25">
      <c r="A157" s="106"/>
      <c r="G157" s="74"/>
      <c r="H157" s="88">
        <v>152</v>
      </c>
      <c r="I157" s="89" t="str">
        <f t="shared" si="10"/>
        <v/>
      </c>
      <c r="J157" s="88">
        <f t="shared" si="13"/>
        <v>-3</v>
      </c>
      <c r="K157" s="88">
        <f t="shared" si="11"/>
        <v>-30</v>
      </c>
      <c r="L157" s="88"/>
      <c r="M157" s="90">
        <f t="shared" si="12"/>
        <v>0</v>
      </c>
    </row>
    <row r="158" spans="1:13" x14ac:dyDescent="0.25">
      <c r="A158" s="106"/>
      <c r="G158" s="74"/>
      <c r="H158" s="88">
        <v>153</v>
      </c>
      <c r="I158" s="89" t="str">
        <f t="shared" si="10"/>
        <v/>
      </c>
      <c r="J158" s="88">
        <f t="shared" si="13"/>
        <v>-3</v>
      </c>
      <c r="K158" s="88">
        <f t="shared" si="11"/>
        <v>-30</v>
      </c>
      <c r="L158" s="88"/>
      <c r="M158" s="90">
        <f t="shared" si="12"/>
        <v>0</v>
      </c>
    </row>
    <row r="159" spans="1:13" x14ac:dyDescent="0.25">
      <c r="A159" s="106"/>
      <c r="G159" s="74"/>
      <c r="H159" s="88">
        <v>154</v>
      </c>
      <c r="I159" s="89" t="str">
        <f t="shared" si="10"/>
        <v/>
      </c>
      <c r="J159" s="88">
        <f t="shared" si="13"/>
        <v>-3</v>
      </c>
      <c r="K159" s="88">
        <f t="shared" si="11"/>
        <v>-30</v>
      </c>
      <c r="L159" s="88"/>
      <c r="M159" s="90">
        <f t="shared" si="12"/>
        <v>0</v>
      </c>
    </row>
    <row r="160" spans="1:13" x14ac:dyDescent="0.25">
      <c r="A160" s="106"/>
      <c r="G160" s="74"/>
      <c r="H160" s="88">
        <v>155</v>
      </c>
      <c r="I160" s="89" t="str">
        <f t="shared" si="10"/>
        <v/>
      </c>
      <c r="J160" s="88">
        <f t="shared" si="13"/>
        <v>-3</v>
      </c>
      <c r="K160" s="88">
        <f t="shared" si="11"/>
        <v>-30</v>
      </c>
      <c r="L160" s="88"/>
      <c r="M160" s="90">
        <f t="shared" si="12"/>
        <v>0</v>
      </c>
    </row>
    <row r="161" spans="1:13" x14ac:dyDescent="0.25">
      <c r="A161" s="106"/>
      <c r="G161" s="74"/>
      <c r="H161" s="88">
        <v>156</v>
      </c>
      <c r="I161" s="89" t="str">
        <f t="shared" si="10"/>
        <v/>
      </c>
      <c r="J161" s="88">
        <f t="shared" si="13"/>
        <v>-3</v>
      </c>
      <c r="K161" s="88">
        <f t="shared" si="11"/>
        <v>-30</v>
      </c>
      <c r="L161" s="88"/>
      <c r="M161" s="90">
        <f t="shared" si="12"/>
        <v>0</v>
      </c>
    </row>
    <row r="162" spans="1:13" x14ac:dyDescent="0.25">
      <c r="A162" s="106"/>
      <c r="G162" s="74"/>
      <c r="H162" s="88">
        <v>157</v>
      </c>
      <c r="I162" s="89" t="str">
        <f t="shared" si="10"/>
        <v/>
      </c>
      <c r="J162" s="88">
        <f t="shared" si="13"/>
        <v>-3</v>
      </c>
      <c r="K162" s="88">
        <f t="shared" si="11"/>
        <v>-30</v>
      </c>
      <c r="L162" s="88"/>
      <c r="M162" s="90">
        <f t="shared" si="12"/>
        <v>0</v>
      </c>
    </row>
    <row r="163" spans="1:13" x14ac:dyDescent="0.25">
      <c r="A163" s="106"/>
      <c r="G163" s="74"/>
      <c r="H163" s="88">
        <v>158</v>
      </c>
      <c r="I163" s="89" t="str">
        <f t="shared" si="10"/>
        <v/>
      </c>
      <c r="J163" s="88">
        <f t="shared" si="13"/>
        <v>-3</v>
      </c>
      <c r="K163" s="88">
        <f t="shared" si="11"/>
        <v>-30</v>
      </c>
      <c r="L163" s="88"/>
      <c r="M163" s="90">
        <f t="shared" si="12"/>
        <v>0</v>
      </c>
    </row>
    <row r="164" spans="1:13" x14ac:dyDescent="0.25">
      <c r="A164" s="106"/>
      <c r="G164" s="74"/>
      <c r="H164" s="88">
        <v>159</v>
      </c>
      <c r="I164" s="89" t="str">
        <f t="shared" si="10"/>
        <v/>
      </c>
      <c r="J164" s="88">
        <f t="shared" si="13"/>
        <v>-3</v>
      </c>
      <c r="K164" s="88">
        <f t="shared" si="11"/>
        <v>-30</v>
      </c>
      <c r="L164" s="88"/>
      <c r="M164" s="90">
        <f t="shared" si="12"/>
        <v>0</v>
      </c>
    </row>
    <row r="165" spans="1:13" x14ac:dyDescent="0.25">
      <c r="A165" s="106"/>
      <c r="G165" s="74"/>
      <c r="H165" s="88">
        <v>160</v>
      </c>
      <c r="I165" s="89" t="str">
        <f t="shared" si="10"/>
        <v/>
      </c>
      <c r="J165" s="88">
        <f t="shared" si="13"/>
        <v>-3</v>
      </c>
      <c r="K165" s="88">
        <f t="shared" si="11"/>
        <v>-30</v>
      </c>
      <c r="L165" s="88"/>
      <c r="M165" s="90">
        <f t="shared" si="12"/>
        <v>0</v>
      </c>
    </row>
    <row r="166" spans="1:13" x14ac:dyDescent="0.25">
      <c r="A166" s="106"/>
      <c r="G166" s="74"/>
      <c r="H166" s="88">
        <v>161</v>
      </c>
      <c r="I166" s="89" t="str">
        <f t="shared" si="10"/>
        <v/>
      </c>
      <c r="J166" s="88">
        <f t="shared" si="13"/>
        <v>-3</v>
      </c>
      <c r="K166" s="88">
        <f t="shared" si="11"/>
        <v>-30</v>
      </c>
      <c r="L166" s="88"/>
      <c r="M166" s="90">
        <f t="shared" si="12"/>
        <v>0</v>
      </c>
    </row>
    <row r="167" spans="1:13" x14ac:dyDescent="0.25">
      <c r="A167" s="106"/>
      <c r="G167" s="74"/>
      <c r="H167" s="88">
        <v>162</v>
      </c>
      <c r="I167" s="89" t="str">
        <f t="shared" si="10"/>
        <v/>
      </c>
      <c r="J167" s="88">
        <f t="shared" si="13"/>
        <v>-3</v>
      </c>
      <c r="K167" s="88">
        <f t="shared" si="11"/>
        <v>-30</v>
      </c>
      <c r="L167" s="88"/>
      <c r="M167" s="90">
        <f t="shared" si="12"/>
        <v>0</v>
      </c>
    </row>
    <row r="168" spans="1:13" x14ac:dyDescent="0.25">
      <c r="A168" s="106"/>
      <c r="G168" s="74"/>
      <c r="H168" s="88">
        <v>163</v>
      </c>
      <c r="I168" s="89" t="str">
        <f t="shared" si="10"/>
        <v/>
      </c>
      <c r="J168" s="88">
        <f t="shared" si="13"/>
        <v>-3</v>
      </c>
      <c r="K168" s="88">
        <f t="shared" si="11"/>
        <v>-30</v>
      </c>
      <c r="L168" s="88"/>
      <c r="M168" s="90">
        <f t="shared" si="12"/>
        <v>0</v>
      </c>
    </row>
    <row r="169" spans="1:13" x14ac:dyDescent="0.25">
      <c r="A169" s="106"/>
      <c r="C169" s="105" t="s">
        <v>48</v>
      </c>
      <c r="G169" s="74"/>
      <c r="H169" s="88">
        <v>164</v>
      </c>
      <c r="I169" s="89" t="str">
        <f t="shared" si="10"/>
        <v/>
      </c>
      <c r="J169" s="88">
        <f t="shared" si="13"/>
        <v>-3</v>
      </c>
      <c r="K169" s="88">
        <f t="shared" si="11"/>
        <v>-30</v>
      </c>
      <c r="L169" s="88"/>
      <c r="M169" s="90">
        <f t="shared" si="12"/>
        <v>0</v>
      </c>
    </row>
    <row r="170" spans="1:13" x14ac:dyDescent="0.25">
      <c r="A170" s="106"/>
      <c r="G170" s="74"/>
      <c r="H170" s="88">
        <v>165</v>
      </c>
      <c r="I170" s="89" t="str">
        <f t="shared" si="10"/>
        <v/>
      </c>
      <c r="J170" s="88">
        <f t="shared" si="13"/>
        <v>-3</v>
      </c>
      <c r="K170" s="88">
        <f t="shared" si="11"/>
        <v>-30</v>
      </c>
      <c r="L170" s="88"/>
      <c r="M170" s="90">
        <f t="shared" si="12"/>
        <v>0</v>
      </c>
    </row>
    <row r="171" spans="1:13" x14ac:dyDescent="0.25">
      <c r="A171" s="106"/>
      <c r="G171" s="74"/>
      <c r="H171" s="88">
        <v>166</v>
      </c>
      <c r="I171" s="89" t="str">
        <f t="shared" si="10"/>
        <v/>
      </c>
      <c r="J171" s="88">
        <f t="shared" si="13"/>
        <v>-3</v>
      </c>
      <c r="K171" s="88">
        <f t="shared" si="11"/>
        <v>-30</v>
      </c>
      <c r="L171" s="88"/>
      <c r="M171" s="90">
        <f t="shared" si="12"/>
        <v>0</v>
      </c>
    </row>
    <row r="172" spans="1:13" x14ac:dyDescent="0.25">
      <c r="A172" s="106"/>
      <c r="G172" s="74"/>
      <c r="H172" s="88">
        <v>167</v>
      </c>
      <c r="I172" s="89" t="str">
        <f t="shared" si="10"/>
        <v/>
      </c>
      <c r="J172" s="88">
        <f t="shared" si="13"/>
        <v>-3</v>
      </c>
      <c r="K172" s="88">
        <f t="shared" si="11"/>
        <v>-30</v>
      </c>
      <c r="L172" s="88"/>
      <c r="M172" s="90">
        <f t="shared" si="12"/>
        <v>0</v>
      </c>
    </row>
    <row r="173" spans="1:13" x14ac:dyDescent="0.25">
      <c r="A173" s="106"/>
      <c r="G173" s="74"/>
      <c r="H173" s="88">
        <v>168</v>
      </c>
      <c r="I173" s="89" t="str">
        <f t="shared" si="10"/>
        <v/>
      </c>
      <c r="J173" s="88">
        <f t="shared" si="13"/>
        <v>-3</v>
      </c>
      <c r="K173" s="88">
        <f t="shared" si="11"/>
        <v>-30</v>
      </c>
      <c r="L173" s="88"/>
      <c r="M173" s="90">
        <f t="shared" si="12"/>
        <v>0</v>
      </c>
    </row>
    <row r="174" spans="1:13" x14ac:dyDescent="0.25">
      <c r="A174" s="106"/>
      <c r="G174" s="74"/>
      <c r="H174" s="88">
        <v>169</v>
      </c>
      <c r="I174" s="89" t="str">
        <f t="shared" si="10"/>
        <v/>
      </c>
      <c r="J174" s="88">
        <f t="shared" si="13"/>
        <v>-3</v>
      </c>
      <c r="K174" s="88">
        <f t="shared" si="11"/>
        <v>-30</v>
      </c>
      <c r="L174" s="88"/>
      <c r="M174" s="90">
        <f t="shared" si="12"/>
        <v>0</v>
      </c>
    </row>
    <row r="175" spans="1:13" x14ac:dyDescent="0.25">
      <c r="A175" s="106"/>
      <c r="G175" s="74"/>
      <c r="H175" s="88">
        <v>170</v>
      </c>
      <c r="I175" s="89" t="str">
        <f t="shared" si="10"/>
        <v/>
      </c>
      <c r="J175" s="88">
        <f t="shared" si="13"/>
        <v>-3</v>
      </c>
      <c r="K175" s="88">
        <f t="shared" si="11"/>
        <v>-30</v>
      </c>
      <c r="L175" s="88"/>
      <c r="M175" s="90">
        <f t="shared" si="12"/>
        <v>0</v>
      </c>
    </row>
    <row r="176" spans="1:13" x14ac:dyDescent="0.25">
      <c r="A176" s="106"/>
      <c r="G176" s="74"/>
      <c r="H176" s="88">
        <v>171</v>
      </c>
      <c r="I176" s="89" t="str">
        <f t="shared" si="10"/>
        <v/>
      </c>
      <c r="J176" s="88">
        <f t="shared" si="13"/>
        <v>-3</v>
      </c>
      <c r="K176" s="88">
        <f t="shared" si="11"/>
        <v>-30</v>
      </c>
      <c r="L176" s="88"/>
      <c r="M176" s="90">
        <f t="shared" si="12"/>
        <v>0</v>
      </c>
    </row>
    <row r="177" spans="1:13" x14ac:dyDescent="0.25">
      <c r="A177" s="106"/>
      <c r="G177" s="74"/>
      <c r="H177" s="88">
        <v>172</v>
      </c>
      <c r="I177" s="89" t="str">
        <f t="shared" si="10"/>
        <v/>
      </c>
      <c r="J177" s="88">
        <f t="shared" si="13"/>
        <v>-3</v>
      </c>
      <c r="K177" s="88">
        <f t="shared" si="11"/>
        <v>-30</v>
      </c>
      <c r="L177" s="88"/>
      <c r="M177" s="90">
        <f t="shared" si="12"/>
        <v>0</v>
      </c>
    </row>
    <row r="178" spans="1:13" x14ac:dyDescent="0.25">
      <c r="A178" s="106"/>
      <c r="G178" s="74"/>
      <c r="H178" s="88">
        <v>173</v>
      </c>
      <c r="I178" s="89" t="str">
        <f t="shared" si="10"/>
        <v/>
      </c>
      <c r="J178" s="88">
        <f t="shared" si="13"/>
        <v>-3</v>
      </c>
      <c r="K178" s="88">
        <f t="shared" si="11"/>
        <v>-30</v>
      </c>
      <c r="L178" s="88"/>
      <c r="M178" s="90">
        <f t="shared" si="12"/>
        <v>0</v>
      </c>
    </row>
    <row r="179" spans="1:13" x14ac:dyDescent="0.25">
      <c r="A179" s="106"/>
      <c r="G179" s="74"/>
      <c r="H179" s="88">
        <v>174</v>
      </c>
      <c r="I179" s="89" t="str">
        <f t="shared" si="10"/>
        <v/>
      </c>
      <c r="J179" s="88">
        <f t="shared" si="13"/>
        <v>-3</v>
      </c>
      <c r="K179" s="88">
        <f t="shared" si="11"/>
        <v>-30</v>
      </c>
      <c r="L179" s="88"/>
      <c r="M179" s="90">
        <f t="shared" si="12"/>
        <v>0</v>
      </c>
    </row>
    <row r="180" spans="1:13" x14ac:dyDescent="0.25">
      <c r="A180" s="106"/>
      <c r="G180" s="74"/>
      <c r="H180" s="88">
        <v>175</v>
      </c>
      <c r="I180" s="89" t="str">
        <f t="shared" si="10"/>
        <v/>
      </c>
      <c r="J180" s="88">
        <f t="shared" si="13"/>
        <v>-3</v>
      </c>
      <c r="K180" s="88">
        <f t="shared" si="11"/>
        <v>-30</v>
      </c>
      <c r="L180" s="88"/>
      <c r="M180" s="90">
        <f t="shared" si="12"/>
        <v>0</v>
      </c>
    </row>
    <row r="181" spans="1:13" x14ac:dyDescent="0.25">
      <c r="A181" s="106"/>
      <c r="G181" s="74"/>
      <c r="H181" s="88">
        <v>176</v>
      </c>
      <c r="I181" s="89" t="str">
        <f t="shared" si="10"/>
        <v/>
      </c>
      <c r="J181" s="88">
        <f t="shared" si="13"/>
        <v>-3</v>
      </c>
      <c r="K181" s="88">
        <f t="shared" si="11"/>
        <v>-30</v>
      </c>
      <c r="L181" s="88"/>
      <c r="M181" s="90">
        <f t="shared" si="12"/>
        <v>0</v>
      </c>
    </row>
    <row r="182" spans="1:13" x14ac:dyDescent="0.25">
      <c r="A182" s="106"/>
      <c r="G182" s="74"/>
      <c r="H182" s="88">
        <v>177</v>
      </c>
      <c r="I182" s="89" t="str">
        <f t="shared" si="10"/>
        <v/>
      </c>
      <c r="J182" s="88">
        <f t="shared" si="13"/>
        <v>-3</v>
      </c>
      <c r="K182" s="88">
        <f t="shared" si="11"/>
        <v>-30</v>
      </c>
      <c r="L182" s="88"/>
      <c r="M182" s="90">
        <f t="shared" si="12"/>
        <v>0</v>
      </c>
    </row>
    <row r="183" spans="1:13" x14ac:dyDescent="0.25">
      <c r="A183" s="106"/>
      <c r="G183" s="74"/>
      <c r="H183" s="88">
        <v>178</v>
      </c>
      <c r="I183" s="89" t="str">
        <f t="shared" si="10"/>
        <v/>
      </c>
      <c r="J183" s="88">
        <f t="shared" si="13"/>
        <v>-3</v>
      </c>
      <c r="K183" s="88">
        <f t="shared" si="11"/>
        <v>-30</v>
      </c>
      <c r="L183" s="88"/>
      <c r="M183" s="90">
        <f t="shared" si="12"/>
        <v>0</v>
      </c>
    </row>
    <row r="184" spans="1:13" x14ac:dyDescent="0.25">
      <c r="A184" s="106"/>
      <c r="G184" s="74"/>
      <c r="H184" s="88">
        <v>179</v>
      </c>
      <c r="I184" s="89" t="str">
        <f t="shared" si="10"/>
        <v/>
      </c>
      <c r="J184" s="88">
        <f t="shared" si="13"/>
        <v>-3</v>
      </c>
      <c r="K184" s="88">
        <f t="shared" si="11"/>
        <v>-30</v>
      </c>
      <c r="L184" s="88"/>
      <c r="M184" s="90">
        <f t="shared" si="12"/>
        <v>0</v>
      </c>
    </row>
    <row r="185" spans="1:13" x14ac:dyDescent="0.25">
      <c r="A185" s="106"/>
      <c r="G185" s="74"/>
      <c r="H185" s="88">
        <v>180</v>
      </c>
      <c r="I185" s="89" t="str">
        <f t="shared" si="10"/>
        <v/>
      </c>
      <c r="J185" s="88">
        <f t="shared" si="13"/>
        <v>-3</v>
      </c>
      <c r="K185" s="88">
        <f t="shared" si="11"/>
        <v>-30</v>
      </c>
      <c r="L185" s="88"/>
      <c r="M185" s="90">
        <f t="shared" si="12"/>
        <v>0</v>
      </c>
    </row>
    <row r="186" spans="1:13" x14ac:dyDescent="0.25">
      <c r="A186" s="106"/>
      <c r="G186" s="74"/>
      <c r="H186" s="88">
        <v>181</v>
      </c>
      <c r="I186" s="89" t="str">
        <f t="shared" si="10"/>
        <v/>
      </c>
      <c r="J186" s="88">
        <f t="shared" si="13"/>
        <v>-3</v>
      </c>
      <c r="K186" s="88">
        <f t="shared" si="11"/>
        <v>-30</v>
      </c>
      <c r="L186" s="88"/>
      <c r="M186" s="90">
        <f t="shared" si="12"/>
        <v>0</v>
      </c>
    </row>
    <row r="187" spans="1:13" x14ac:dyDescent="0.25">
      <c r="A187" s="106"/>
      <c r="G187" s="74"/>
      <c r="H187" s="88">
        <v>182</v>
      </c>
      <c r="I187" s="89" t="str">
        <f t="shared" si="10"/>
        <v/>
      </c>
      <c r="J187" s="88">
        <f t="shared" si="13"/>
        <v>-3</v>
      </c>
      <c r="K187" s="88">
        <f t="shared" si="11"/>
        <v>-30</v>
      </c>
      <c r="L187" s="88"/>
      <c r="M187" s="90">
        <f t="shared" si="12"/>
        <v>0</v>
      </c>
    </row>
    <row r="188" spans="1:13" x14ac:dyDescent="0.25">
      <c r="A188" s="106"/>
      <c r="G188" s="74"/>
      <c r="H188" s="88">
        <v>183</v>
      </c>
      <c r="I188" s="89" t="str">
        <f t="shared" si="10"/>
        <v/>
      </c>
      <c r="J188" s="88">
        <f t="shared" si="13"/>
        <v>-3</v>
      </c>
      <c r="K188" s="88">
        <f t="shared" si="11"/>
        <v>-30</v>
      </c>
      <c r="L188" s="88"/>
      <c r="M188" s="90">
        <f t="shared" si="12"/>
        <v>0</v>
      </c>
    </row>
    <row r="189" spans="1:13" x14ac:dyDescent="0.25">
      <c r="A189" s="106"/>
      <c r="G189" s="74"/>
      <c r="H189" s="88">
        <v>184</v>
      </c>
      <c r="I189" s="89" t="str">
        <f t="shared" si="10"/>
        <v/>
      </c>
      <c r="J189" s="88">
        <f t="shared" si="13"/>
        <v>-3</v>
      </c>
      <c r="K189" s="88">
        <f t="shared" si="11"/>
        <v>-30</v>
      </c>
      <c r="L189" s="88"/>
      <c r="M189" s="90">
        <f t="shared" si="12"/>
        <v>0</v>
      </c>
    </row>
    <row r="190" spans="1:13" x14ac:dyDescent="0.25">
      <c r="A190" s="106"/>
      <c r="G190" s="74"/>
      <c r="H190" s="88">
        <v>185</v>
      </c>
      <c r="I190" s="89" t="str">
        <f t="shared" si="10"/>
        <v/>
      </c>
      <c r="J190" s="88">
        <f t="shared" si="13"/>
        <v>-3</v>
      </c>
      <c r="K190" s="88">
        <f t="shared" si="11"/>
        <v>-30</v>
      </c>
      <c r="L190" s="88"/>
      <c r="M190" s="90">
        <f t="shared" si="12"/>
        <v>0</v>
      </c>
    </row>
    <row r="191" spans="1:13" x14ac:dyDescent="0.25">
      <c r="A191" s="106"/>
      <c r="G191" s="74"/>
      <c r="H191" s="88">
        <v>186</v>
      </c>
      <c r="I191" s="89" t="str">
        <f t="shared" si="10"/>
        <v/>
      </c>
      <c r="J191" s="88">
        <f t="shared" si="13"/>
        <v>-3</v>
      </c>
      <c r="K191" s="88">
        <f t="shared" si="11"/>
        <v>-30</v>
      </c>
      <c r="L191" s="88"/>
      <c r="M191" s="90">
        <f t="shared" si="12"/>
        <v>0</v>
      </c>
    </row>
    <row r="192" spans="1:13" x14ac:dyDescent="0.25">
      <c r="A192" s="106"/>
      <c r="G192" s="74"/>
      <c r="H192" s="88">
        <v>187</v>
      </c>
      <c r="I192" s="89" t="str">
        <f t="shared" si="10"/>
        <v/>
      </c>
      <c r="J192" s="88">
        <f t="shared" si="13"/>
        <v>-3</v>
      </c>
      <c r="K192" s="88">
        <f t="shared" si="11"/>
        <v>-30</v>
      </c>
      <c r="L192" s="88"/>
      <c r="M192" s="90">
        <f t="shared" si="12"/>
        <v>0</v>
      </c>
    </row>
    <row r="193" spans="1:13" x14ac:dyDescent="0.25">
      <c r="A193" s="106"/>
      <c r="G193" s="74"/>
      <c r="H193" s="88">
        <v>188</v>
      </c>
      <c r="I193" s="89" t="str">
        <f t="shared" si="10"/>
        <v/>
      </c>
      <c r="J193" s="88">
        <f t="shared" si="13"/>
        <v>-3</v>
      </c>
      <c r="K193" s="88">
        <f t="shared" si="11"/>
        <v>-30</v>
      </c>
      <c r="L193" s="88"/>
      <c r="M193" s="90">
        <f t="shared" si="12"/>
        <v>0</v>
      </c>
    </row>
    <row r="194" spans="1:13" x14ac:dyDescent="0.25">
      <c r="A194" s="106"/>
      <c r="G194" s="74"/>
      <c r="H194" s="88">
        <v>189</v>
      </c>
      <c r="I194" s="89" t="str">
        <f t="shared" si="10"/>
        <v/>
      </c>
      <c r="J194" s="88">
        <f t="shared" si="13"/>
        <v>-3</v>
      </c>
      <c r="K194" s="88">
        <f t="shared" si="11"/>
        <v>-30</v>
      </c>
      <c r="L194" s="88"/>
      <c r="M194" s="90">
        <f t="shared" si="12"/>
        <v>0</v>
      </c>
    </row>
    <row r="195" spans="1:13" x14ac:dyDescent="0.25">
      <c r="A195" s="106"/>
      <c r="G195" s="74"/>
      <c r="H195" s="88">
        <v>190</v>
      </c>
      <c r="I195" s="89" t="str">
        <f t="shared" si="10"/>
        <v/>
      </c>
      <c r="J195" s="88">
        <f t="shared" si="13"/>
        <v>-3</v>
      </c>
      <c r="K195" s="88">
        <f t="shared" si="11"/>
        <v>-30</v>
      </c>
      <c r="L195" s="88"/>
      <c r="M195" s="90">
        <f t="shared" si="12"/>
        <v>0</v>
      </c>
    </row>
    <row r="196" spans="1:13" x14ac:dyDescent="0.25">
      <c r="A196" s="106"/>
      <c r="G196" s="74"/>
      <c r="H196" s="88">
        <v>191</v>
      </c>
      <c r="I196" s="89" t="str">
        <f t="shared" si="10"/>
        <v/>
      </c>
      <c r="J196" s="88">
        <f t="shared" si="13"/>
        <v>-3</v>
      </c>
      <c r="K196" s="88">
        <f t="shared" si="11"/>
        <v>-30</v>
      </c>
      <c r="L196" s="88"/>
      <c r="M196" s="90">
        <f t="shared" si="12"/>
        <v>0</v>
      </c>
    </row>
    <row r="197" spans="1:13" x14ac:dyDescent="0.25">
      <c r="A197" s="106"/>
      <c r="G197" s="74"/>
      <c r="H197" s="88">
        <v>192</v>
      </c>
      <c r="I197" s="89" t="str">
        <f t="shared" si="10"/>
        <v/>
      </c>
      <c r="J197" s="88">
        <f t="shared" si="13"/>
        <v>-3</v>
      </c>
      <c r="K197" s="88">
        <f t="shared" si="11"/>
        <v>-30</v>
      </c>
      <c r="L197" s="88"/>
      <c r="M197" s="90">
        <f t="shared" si="12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4">IF(H198&lt;$H$2+1,($I$2-($I$2-1)*(LOG(H198)/LOG($H$2))),"")</f>
        <v/>
      </c>
      <c r="J198" s="88">
        <f t="shared" si="13"/>
        <v>-3</v>
      </c>
      <c r="K198" s="88">
        <f t="shared" ref="K198:K261" si="15">J198*$J$2</f>
        <v>-30</v>
      </c>
      <c r="L198" s="88"/>
      <c r="M198" s="90">
        <f t="shared" ref="M198:M261" si="16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4"/>
        <v/>
      </c>
      <c r="J199" s="88">
        <f t="shared" ref="J199:J262" si="17">INT(LOG($H$2,2))-ROUNDUP(LOG(H199,2),0)+IF(OR($H$2=1,$H$2=2,$H$2=4,$H$2=8,$H$2=16,$H$2=32,$H$2=64,$H$2=128,$H$2=256),0,1)</f>
        <v>-3</v>
      </c>
      <c r="K199" s="88">
        <f t="shared" si="15"/>
        <v>-30</v>
      </c>
      <c r="L199" s="88"/>
      <c r="M199" s="90">
        <f t="shared" si="16"/>
        <v>0</v>
      </c>
    </row>
    <row r="200" spans="1:13" x14ac:dyDescent="0.25">
      <c r="A200" s="106"/>
      <c r="G200" s="74"/>
      <c r="H200" s="88">
        <v>195</v>
      </c>
      <c r="I200" s="89" t="str">
        <f t="shared" si="14"/>
        <v/>
      </c>
      <c r="J200" s="88">
        <f t="shared" si="17"/>
        <v>-3</v>
      </c>
      <c r="K200" s="88">
        <f t="shared" si="15"/>
        <v>-30</v>
      </c>
      <c r="L200" s="88"/>
      <c r="M200" s="90">
        <f t="shared" si="16"/>
        <v>0</v>
      </c>
    </row>
    <row r="201" spans="1:13" x14ac:dyDescent="0.25">
      <c r="A201" s="106"/>
      <c r="G201" s="74"/>
      <c r="H201" s="88">
        <v>196</v>
      </c>
      <c r="I201" s="89" t="str">
        <f t="shared" si="14"/>
        <v/>
      </c>
      <c r="J201" s="88">
        <f t="shared" si="17"/>
        <v>-3</v>
      </c>
      <c r="K201" s="88">
        <f t="shared" si="15"/>
        <v>-30</v>
      </c>
      <c r="L201" s="88"/>
      <c r="M201" s="90">
        <f t="shared" si="16"/>
        <v>0</v>
      </c>
    </row>
    <row r="202" spans="1:13" x14ac:dyDescent="0.25">
      <c r="A202" s="106"/>
      <c r="G202" s="74"/>
      <c r="H202" s="88">
        <v>197</v>
      </c>
      <c r="I202" s="89" t="str">
        <f t="shared" si="14"/>
        <v/>
      </c>
      <c r="J202" s="88">
        <f t="shared" si="17"/>
        <v>-3</v>
      </c>
      <c r="K202" s="88">
        <f t="shared" si="15"/>
        <v>-30</v>
      </c>
      <c r="L202" s="88"/>
      <c r="M202" s="90">
        <f t="shared" si="16"/>
        <v>0</v>
      </c>
    </row>
    <row r="203" spans="1:13" x14ac:dyDescent="0.25">
      <c r="A203" s="106"/>
      <c r="G203" s="74"/>
      <c r="H203" s="88">
        <v>198</v>
      </c>
      <c r="I203" s="89" t="str">
        <f t="shared" si="14"/>
        <v/>
      </c>
      <c r="J203" s="88">
        <f t="shared" si="17"/>
        <v>-3</v>
      </c>
      <c r="K203" s="88">
        <f t="shared" si="15"/>
        <v>-30</v>
      </c>
      <c r="L203" s="88"/>
      <c r="M203" s="90">
        <f t="shared" si="16"/>
        <v>0</v>
      </c>
    </row>
    <row r="204" spans="1:13" x14ac:dyDescent="0.25">
      <c r="A204" s="106"/>
      <c r="G204" s="74"/>
      <c r="H204" s="88">
        <v>199</v>
      </c>
      <c r="I204" s="89" t="str">
        <f t="shared" si="14"/>
        <v/>
      </c>
      <c r="J204" s="88">
        <f t="shared" si="17"/>
        <v>-3</v>
      </c>
      <c r="K204" s="88">
        <f t="shared" si="15"/>
        <v>-30</v>
      </c>
      <c r="L204" s="88"/>
      <c r="M204" s="90">
        <f t="shared" si="16"/>
        <v>0</v>
      </c>
    </row>
    <row r="205" spans="1:13" x14ac:dyDescent="0.25">
      <c r="A205" s="106"/>
      <c r="G205" s="74"/>
      <c r="H205" s="88">
        <v>200</v>
      </c>
      <c r="I205" s="89" t="str">
        <f t="shared" si="14"/>
        <v/>
      </c>
      <c r="J205" s="88">
        <f t="shared" si="17"/>
        <v>-3</v>
      </c>
      <c r="K205" s="88">
        <f t="shared" si="15"/>
        <v>-30</v>
      </c>
      <c r="L205" s="88"/>
      <c r="M205" s="90">
        <f t="shared" si="16"/>
        <v>0</v>
      </c>
    </row>
    <row r="206" spans="1:13" x14ac:dyDescent="0.25">
      <c r="A206" s="106"/>
      <c r="G206" s="74"/>
      <c r="H206" s="88">
        <v>201</v>
      </c>
      <c r="I206" s="89" t="str">
        <f t="shared" si="14"/>
        <v/>
      </c>
      <c r="J206" s="88">
        <f t="shared" si="17"/>
        <v>-3</v>
      </c>
      <c r="K206" s="88">
        <f t="shared" si="15"/>
        <v>-30</v>
      </c>
      <c r="L206" s="88"/>
      <c r="M206" s="90">
        <f t="shared" si="16"/>
        <v>0</v>
      </c>
    </row>
    <row r="207" spans="1:13" x14ac:dyDescent="0.25">
      <c r="A207" s="106"/>
      <c r="G207" s="74"/>
      <c r="H207" s="88">
        <v>202</v>
      </c>
      <c r="I207" s="89" t="str">
        <f t="shared" si="14"/>
        <v/>
      </c>
      <c r="J207" s="88">
        <f t="shared" si="17"/>
        <v>-3</v>
      </c>
      <c r="K207" s="88">
        <f t="shared" si="15"/>
        <v>-30</v>
      </c>
      <c r="L207" s="88"/>
      <c r="M207" s="90">
        <f t="shared" si="16"/>
        <v>0</v>
      </c>
    </row>
    <row r="208" spans="1:13" x14ac:dyDescent="0.25">
      <c r="A208" s="106"/>
      <c r="G208" s="74"/>
      <c r="H208" s="88">
        <v>203</v>
      </c>
      <c r="I208" s="89" t="str">
        <f t="shared" si="14"/>
        <v/>
      </c>
      <c r="J208" s="88">
        <f t="shared" si="17"/>
        <v>-3</v>
      </c>
      <c r="K208" s="88">
        <f t="shared" si="15"/>
        <v>-30</v>
      </c>
      <c r="L208" s="88"/>
      <c r="M208" s="90">
        <f t="shared" si="16"/>
        <v>0</v>
      </c>
    </row>
    <row r="209" spans="1:13" x14ac:dyDescent="0.25">
      <c r="A209" s="106"/>
      <c r="G209" s="74"/>
      <c r="H209" s="88">
        <v>204</v>
      </c>
      <c r="I209" s="89" t="str">
        <f t="shared" si="14"/>
        <v/>
      </c>
      <c r="J209" s="88">
        <f t="shared" si="17"/>
        <v>-3</v>
      </c>
      <c r="K209" s="88">
        <f t="shared" si="15"/>
        <v>-30</v>
      </c>
      <c r="L209" s="88"/>
      <c r="M209" s="90">
        <f t="shared" si="16"/>
        <v>0</v>
      </c>
    </row>
    <row r="210" spans="1:13" x14ac:dyDescent="0.25">
      <c r="A210" s="106"/>
      <c r="G210" s="74"/>
      <c r="H210" s="88">
        <v>205</v>
      </c>
      <c r="I210" s="89" t="str">
        <f t="shared" si="14"/>
        <v/>
      </c>
      <c r="J210" s="88">
        <f t="shared" si="17"/>
        <v>-3</v>
      </c>
      <c r="K210" s="88">
        <f t="shared" si="15"/>
        <v>-30</v>
      </c>
      <c r="L210" s="88"/>
      <c r="M210" s="90">
        <f t="shared" si="16"/>
        <v>0</v>
      </c>
    </row>
    <row r="211" spans="1:13" x14ac:dyDescent="0.25">
      <c r="A211" s="106"/>
      <c r="G211" s="74"/>
      <c r="H211" s="88">
        <v>206</v>
      </c>
      <c r="I211" s="89" t="str">
        <f t="shared" si="14"/>
        <v/>
      </c>
      <c r="J211" s="88">
        <f t="shared" si="17"/>
        <v>-3</v>
      </c>
      <c r="K211" s="88">
        <f t="shared" si="15"/>
        <v>-30</v>
      </c>
      <c r="L211" s="88"/>
      <c r="M211" s="90">
        <f t="shared" si="16"/>
        <v>0</v>
      </c>
    </row>
    <row r="212" spans="1:13" x14ac:dyDescent="0.25">
      <c r="A212" s="106"/>
      <c r="G212" s="74"/>
      <c r="H212" s="88">
        <v>207</v>
      </c>
      <c r="I212" s="89" t="str">
        <f t="shared" si="14"/>
        <v/>
      </c>
      <c r="J212" s="88">
        <f t="shared" si="17"/>
        <v>-3</v>
      </c>
      <c r="K212" s="88">
        <f t="shared" si="15"/>
        <v>-30</v>
      </c>
      <c r="L212" s="88"/>
      <c r="M212" s="90">
        <f t="shared" si="16"/>
        <v>0</v>
      </c>
    </row>
    <row r="213" spans="1:13" x14ac:dyDescent="0.25">
      <c r="A213" s="106"/>
      <c r="G213" s="74"/>
      <c r="H213" s="88">
        <v>208</v>
      </c>
      <c r="I213" s="89" t="str">
        <f t="shared" si="14"/>
        <v/>
      </c>
      <c r="J213" s="88">
        <f t="shared" si="17"/>
        <v>-3</v>
      </c>
      <c r="K213" s="88">
        <f t="shared" si="15"/>
        <v>-30</v>
      </c>
      <c r="L213" s="88"/>
      <c r="M213" s="90">
        <f t="shared" si="16"/>
        <v>0</v>
      </c>
    </row>
    <row r="214" spans="1:13" x14ac:dyDescent="0.25">
      <c r="A214" s="106"/>
      <c r="G214" s="74"/>
      <c r="H214" s="88">
        <v>209</v>
      </c>
      <c r="I214" s="89" t="str">
        <f t="shared" si="14"/>
        <v/>
      </c>
      <c r="J214" s="88">
        <f t="shared" si="17"/>
        <v>-3</v>
      </c>
      <c r="K214" s="88">
        <f t="shared" si="15"/>
        <v>-30</v>
      </c>
      <c r="L214" s="88"/>
      <c r="M214" s="90">
        <f t="shared" si="16"/>
        <v>0</v>
      </c>
    </row>
    <row r="215" spans="1:13" x14ac:dyDescent="0.25">
      <c r="A215" s="106"/>
      <c r="G215" s="74"/>
      <c r="H215" s="88">
        <v>210</v>
      </c>
      <c r="I215" s="89" t="str">
        <f t="shared" si="14"/>
        <v/>
      </c>
      <c r="J215" s="88">
        <f t="shared" si="17"/>
        <v>-3</v>
      </c>
      <c r="K215" s="88">
        <f t="shared" si="15"/>
        <v>-30</v>
      </c>
      <c r="L215" s="88"/>
      <c r="M215" s="90">
        <f t="shared" si="16"/>
        <v>0</v>
      </c>
    </row>
    <row r="216" spans="1:13" x14ac:dyDescent="0.25">
      <c r="A216" s="106"/>
      <c r="G216" s="74"/>
      <c r="H216" s="88">
        <v>211</v>
      </c>
      <c r="I216" s="89" t="str">
        <f t="shared" si="14"/>
        <v/>
      </c>
      <c r="J216" s="88">
        <f t="shared" si="17"/>
        <v>-3</v>
      </c>
      <c r="K216" s="88">
        <f t="shared" si="15"/>
        <v>-30</v>
      </c>
      <c r="L216" s="88"/>
      <c r="M216" s="90">
        <f t="shared" si="16"/>
        <v>0</v>
      </c>
    </row>
    <row r="217" spans="1:13" x14ac:dyDescent="0.25">
      <c r="A217" s="106"/>
      <c r="G217" s="74"/>
      <c r="H217" s="88">
        <v>212</v>
      </c>
      <c r="I217" s="89" t="str">
        <f t="shared" si="14"/>
        <v/>
      </c>
      <c r="J217" s="88">
        <f t="shared" si="17"/>
        <v>-3</v>
      </c>
      <c r="K217" s="88">
        <f t="shared" si="15"/>
        <v>-30</v>
      </c>
      <c r="L217" s="88"/>
      <c r="M217" s="90">
        <f t="shared" si="16"/>
        <v>0</v>
      </c>
    </row>
    <row r="218" spans="1:13" x14ac:dyDescent="0.25">
      <c r="A218" s="106"/>
      <c r="G218" s="74"/>
      <c r="H218" s="88">
        <v>213</v>
      </c>
      <c r="I218" s="89" t="str">
        <f t="shared" si="14"/>
        <v/>
      </c>
      <c r="J218" s="88">
        <f t="shared" si="17"/>
        <v>-3</v>
      </c>
      <c r="K218" s="88">
        <f t="shared" si="15"/>
        <v>-30</v>
      </c>
      <c r="L218" s="88"/>
      <c r="M218" s="90">
        <f t="shared" si="16"/>
        <v>0</v>
      </c>
    </row>
    <row r="219" spans="1:13" x14ac:dyDescent="0.25">
      <c r="A219" s="106"/>
      <c r="G219" s="74"/>
      <c r="H219" s="88">
        <v>214</v>
      </c>
      <c r="I219" s="89" t="str">
        <f t="shared" si="14"/>
        <v/>
      </c>
      <c r="J219" s="88">
        <f t="shared" si="17"/>
        <v>-3</v>
      </c>
      <c r="K219" s="88">
        <f t="shared" si="15"/>
        <v>-30</v>
      </c>
      <c r="L219" s="88"/>
      <c r="M219" s="90">
        <f t="shared" si="16"/>
        <v>0</v>
      </c>
    </row>
    <row r="220" spans="1:13" x14ac:dyDescent="0.25">
      <c r="A220" s="106"/>
      <c r="G220" s="74"/>
      <c r="H220" s="88">
        <v>215</v>
      </c>
      <c r="I220" s="89" t="str">
        <f t="shared" si="14"/>
        <v/>
      </c>
      <c r="J220" s="88">
        <f t="shared" si="17"/>
        <v>-3</v>
      </c>
      <c r="K220" s="88">
        <f t="shared" si="15"/>
        <v>-30</v>
      </c>
      <c r="L220" s="88"/>
      <c r="M220" s="90">
        <f t="shared" si="16"/>
        <v>0</v>
      </c>
    </row>
    <row r="221" spans="1:13" x14ac:dyDescent="0.25">
      <c r="A221" s="106"/>
      <c r="G221" s="74"/>
      <c r="H221" s="88">
        <v>216</v>
      </c>
      <c r="I221" s="89" t="str">
        <f t="shared" si="14"/>
        <v/>
      </c>
      <c r="J221" s="88">
        <f t="shared" si="17"/>
        <v>-3</v>
      </c>
      <c r="K221" s="88">
        <f t="shared" si="15"/>
        <v>-30</v>
      </c>
      <c r="L221" s="88"/>
      <c r="M221" s="90">
        <f t="shared" si="16"/>
        <v>0</v>
      </c>
    </row>
    <row r="222" spans="1:13" x14ac:dyDescent="0.25">
      <c r="A222" s="106"/>
      <c r="G222" s="74"/>
      <c r="H222" s="88">
        <v>217</v>
      </c>
      <c r="I222" s="89" t="str">
        <f t="shared" si="14"/>
        <v/>
      </c>
      <c r="J222" s="88">
        <f t="shared" si="17"/>
        <v>-3</v>
      </c>
      <c r="K222" s="88">
        <f t="shared" si="15"/>
        <v>-30</v>
      </c>
      <c r="L222" s="88"/>
      <c r="M222" s="90">
        <f t="shared" si="16"/>
        <v>0</v>
      </c>
    </row>
    <row r="223" spans="1:13" x14ac:dyDescent="0.25">
      <c r="A223" s="106"/>
      <c r="G223" s="74"/>
      <c r="H223" s="88">
        <v>218</v>
      </c>
      <c r="I223" s="89" t="str">
        <f t="shared" si="14"/>
        <v/>
      </c>
      <c r="J223" s="88">
        <f t="shared" si="17"/>
        <v>-3</v>
      </c>
      <c r="K223" s="88">
        <f t="shared" si="15"/>
        <v>-30</v>
      </c>
      <c r="L223" s="88"/>
      <c r="M223" s="90">
        <f t="shared" si="16"/>
        <v>0</v>
      </c>
    </row>
    <row r="224" spans="1:13" x14ac:dyDescent="0.25">
      <c r="A224" s="106"/>
      <c r="G224" s="74"/>
      <c r="H224" s="88">
        <v>219</v>
      </c>
      <c r="I224" s="89" t="str">
        <f t="shared" si="14"/>
        <v/>
      </c>
      <c r="J224" s="88">
        <f t="shared" si="17"/>
        <v>-3</v>
      </c>
      <c r="K224" s="88">
        <f t="shared" si="15"/>
        <v>-30</v>
      </c>
      <c r="L224" s="88"/>
      <c r="M224" s="90">
        <f t="shared" si="16"/>
        <v>0</v>
      </c>
    </row>
    <row r="225" spans="1:13" x14ac:dyDescent="0.25">
      <c r="A225" s="106"/>
      <c r="G225" s="74"/>
      <c r="H225" s="88">
        <v>220</v>
      </c>
      <c r="I225" s="89" t="str">
        <f t="shared" si="14"/>
        <v/>
      </c>
      <c r="J225" s="88">
        <f t="shared" si="17"/>
        <v>-3</v>
      </c>
      <c r="K225" s="88">
        <f t="shared" si="15"/>
        <v>-30</v>
      </c>
      <c r="L225" s="88"/>
      <c r="M225" s="90">
        <f t="shared" si="16"/>
        <v>0</v>
      </c>
    </row>
    <row r="226" spans="1:13" x14ac:dyDescent="0.25">
      <c r="A226" s="106"/>
      <c r="G226" s="74"/>
      <c r="H226" s="88">
        <v>221</v>
      </c>
      <c r="I226" s="89" t="str">
        <f t="shared" si="14"/>
        <v/>
      </c>
      <c r="J226" s="88">
        <f t="shared" si="17"/>
        <v>-3</v>
      </c>
      <c r="K226" s="88">
        <f t="shared" si="15"/>
        <v>-30</v>
      </c>
      <c r="L226" s="88"/>
      <c r="M226" s="90">
        <f t="shared" si="16"/>
        <v>0</v>
      </c>
    </row>
    <row r="227" spans="1:13" x14ac:dyDescent="0.25">
      <c r="A227" s="106"/>
      <c r="G227" s="74"/>
      <c r="H227" s="88">
        <v>222</v>
      </c>
      <c r="I227" s="89" t="str">
        <f t="shared" si="14"/>
        <v/>
      </c>
      <c r="J227" s="88">
        <f t="shared" si="17"/>
        <v>-3</v>
      </c>
      <c r="K227" s="88">
        <f t="shared" si="15"/>
        <v>-30</v>
      </c>
      <c r="L227" s="88"/>
      <c r="M227" s="90">
        <f t="shared" si="16"/>
        <v>0</v>
      </c>
    </row>
    <row r="228" spans="1:13" x14ac:dyDescent="0.25">
      <c r="A228" s="106"/>
      <c r="G228" s="74"/>
      <c r="H228" s="88">
        <v>223</v>
      </c>
      <c r="I228" s="89" t="str">
        <f t="shared" si="14"/>
        <v/>
      </c>
      <c r="J228" s="88">
        <f t="shared" si="17"/>
        <v>-3</v>
      </c>
      <c r="K228" s="88">
        <f t="shared" si="15"/>
        <v>-30</v>
      </c>
      <c r="L228" s="88"/>
      <c r="M228" s="90">
        <f t="shared" si="16"/>
        <v>0</v>
      </c>
    </row>
    <row r="229" spans="1:13" x14ac:dyDescent="0.25">
      <c r="A229" s="106"/>
      <c r="G229" s="74"/>
      <c r="H229" s="88">
        <v>224</v>
      </c>
      <c r="I229" s="89" t="str">
        <f t="shared" si="14"/>
        <v/>
      </c>
      <c r="J229" s="88">
        <f t="shared" si="17"/>
        <v>-3</v>
      </c>
      <c r="K229" s="88">
        <f t="shared" si="15"/>
        <v>-30</v>
      </c>
      <c r="L229" s="88"/>
      <c r="M229" s="90">
        <f t="shared" si="16"/>
        <v>0</v>
      </c>
    </row>
    <row r="230" spans="1:13" x14ac:dyDescent="0.25">
      <c r="A230" s="106"/>
      <c r="G230" s="74"/>
      <c r="H230" s="88">
        <v>225</v>
      </c>
      <c r="I230" s="89" t="str">
        <f t="shared" si="14"/>
        <v/>
      </c>
      <c r="J230" s="88">
        <f t="shared" si="17"/>
        <v>-3</v>
      </c>
      <c r="K230" s="88">
        <f t="shared" si="15"/>
        <v>-30</v>
      </c>
      <c r="L230" s="88"/>
      <c r="M230" s="90">
        <f t="shared" si="16"/>
        <v>0</v>
      </c>
    </row>
    <row r="231" spans="1:13" x14ac:dyDescent="0.25">
      <c r="A231" s="106"/>
      <c r="G231" s="74"/>
      <c r="H231" s="88">
        <v>226</v>
      </c>
      <c r="I231" s="89" t="str">
        <f t="shared" si="14"/>
        <v/>
      </c>
      <c r="J231" s="88">
        <f t="shared" si="17"/>
        <v>-3</v>
      </c>
      <c r="K231" s="88">
        <f t="shared" si="15"/>
        <v>-30</v>
      </c>
      <c r="L231" s="88"/>
      <c r="M231" s="90">
        <f t="shared" si="16"/>
        <v>0</v>
      </c>
    </row>
    <row r="232" spans="1:13" x14ac:dyDescent="0.25">
      <c r="A232" s="106"/>
      <c r="G232" s="74"/>
      <c r="H232" s="88">
        <v>227</v>
      </c>
      <c r="I232" s="89" t="str">
        <f t="shared" si="14"/>
        <v/>
      </c>
      <c r="J232" s="88">
        <f t="shared" si="17"/>
        <v>-3</v>
      </c>
      <c r="K232" s="88">
        <f t="shared" si="15"/>
        <v>-30</v>
      </c>
      <c r="L232" s="88"/>
      <c r="M232" s="90">
        <f t="shared" si="16"/>
        <v>0</v>
      </c>
    </row>
    <row r="233" spans="1:13" x14ac:dyDescent="0.25">
      <c r="A233" s="106"/>
      <c r="G233" s="74"/>
      <c r="H233" s="88">
        <v>228</v>
      </c>
      <c r="I233" s="89" t="str">
        <f t="shared" si="14"/>
        <v/>
      </c>
      <c r="J233" s="88">
        <f t="shared" si="17"/>
        <v>-3</v>
      </c>
      <c r="K233" s="88">
        <f t="shared" si="15"/>
        <v>-30</v>
      </c>
      <c r="L233" s="88"/>
      <c r="M233" s="90">
        <f t="shared" si="16"/>
        <v>0</v>
      </c>
    </row>
    <row r="234" spans="1:13" x14ac:dyDescent="0.25">
      <c r="A234" s="106"/>
      <c r="G234" s="74"/>
      <c r="H234" s="88">
        <v>229</v>
      </c>
      <c r="I234" s="89" t="str">
        <f t="shared" si="14"/>
        <v/>
      </c>
      <c r="J234" s="88">
        <f t="shared" si="17"/>
        <v>-3</v>
      </c>
      <c r="K234" s="88">
        <f t="shared" si="15"/>
        <v>-30</v>
      </c>
      <c r="L234" s="88"/>
      <c r="M234" s="90">
        <f t="shared" si="16"/>
        <v>0</v>
      </c>
    </row>
    <row r="235" spans="1:13" x14ac:dyDescent="0.25">
      <c r="A235" s="106"/>
      <c r="G235" s="74"/>
      <c r="H235" s="88">
        <v>230</v>
      </c>
      <c r="I235" s="89" t="str">
        <f t="shared" si="14"/>
        <v/>
      </c>
      <c r="J235" s="88">
        <f t="shared" si="17"/>
        <v>-3</v>
      </c>
      <c r="K235" s="88">
        <f t="shared" si="15"/>
        <v>-30</v>
      </c>
      <c r="L235" s="88"/>
      <c r="M235" s="90">
        <f t="shared" si="16"/>
        <v>0</v>
      </c>
    </row>
    <row r="236" spans="1:13" x14ac:dyDescent="0.25">
      <c r="A236" s="106"/>
      <c r="G236" s="74"/>
      <c r="H236" s="88">
        <v>231</v>
      </c>
      <c r="I236" s="89" t="str">
        <f t="shared" si="14"/>
        <v/>
      </c>
      <c r="J236" s="88">
        <f t="shared" si="17"/>
        <v>-3</v>
      </c>
      <c r="K236" s="88">
        <f t="shared" si="15"/>
        <v>-30</v>
      </c>
      <c r="L236" s="88"/>
      <c r="M236" s="90">
        <f t="shared" si="16"/>
        <v>0</v>
      </c>
    </row>
    <row r="237" spans="1:13" x14ac:dyDescent="0.25">
      <c r="A237" s="106"/>
      <c r="G237" s="74"/>
      <c r="H237" s="88">
        <v>232</v>
      </c>
      <c r="I237" s="89" t="str">
        <f t="shared" si="14"/>
        <v/>
      </c>
      <c r="J237" s="88">
        <f t="shared" si="17"/>
        <v>-3</v>
      </c>
      <c r="K237" s="88">
        <f t="shared" si="15"/>
        <v>-30</v>
      </c>
      <c r="L237" s="88"/>
      <c r="M237" s="90">
        <f t="shared" si="16"/>
        <v>0</v>
      </c>
    </row>
    <row r="238" spans="1:13" x14ac:dyDescent="0.25">
      <c r="A238" s="106"/>
      <c r="G238" s="74"/>
      <c r="H238" s="88">
        <v>233</v>
      </c>
      <c r="I238" s="89" t="str">
        <f t="shared" si="14"/>
        <v/>
      </c>
      <c r="J238" s="88">
        <f t="shared" si="17"/>
        <v>-3</v>
      </c>
      <c r="K238" s="88">
        <f t="shared" si="15"/>
        <v>-30</v>
      </c>
      <c r="L238" s="88"/>
      <c r="M238" s="90">
        <f t="shared" si="16"/>
        <v>0</v>
      </c>
    </row>
    <row r="239" spans="1:13" x14ac:dyDescent="0.25">
      <c r="A239" s="106"/>
      <c r="G239" s="74"/>
      <c r="H239" s="88">
        <v>234</v>
      </c>
      <c r="I239" s="89" t="str">
        <f t="shared" si="14"/>
        <v/>
      </c>
      <c r="J239" s="88">
        <f t="shared" si="17"/>
        <v>-3</v>
      </c>
      <c r="K239" s="88">
        <f t="shared" si="15"/>
        <v>-30</v>
      </c>
      <c r="L239" s="88"/>
      <c r="M239" s="90">
        <f t="shared" si="16"/>
        <v>0</v>
      </c>
    </row>
    <row r="240" spans="1:13" x14ac:dyDescent="0.25">
      <c r="A240" s="106"/>
      <c r="G240" s="74"/>
      <c r="H240" s="88">
        <v>235</v>
      </c>
      <c r="I240" s="89" t="str">
        <f t="shared" si="14"/>
        <v/>
      </c>
      <c r="J240" s="88">
        <f t="shared" si="17"/>
        <v>-3</v>
      </c>
      <c r="K240" s="88">
        <f t="shared" si="15"/>
        <v>-30</v>
      </c>
      <c r="L240" s="88"/>
      <c r="M240" s="90">
        <f t="shared" si="16"/>
        <v>0</v>
      </c>
    </row>
    <row r="241" spans="1:13" x14ac:dyDescent="0.25">
      <c r="A241" s="106"/>
      <c r="G241" s="74"/>
      <c r="H241" s="88">
        <v>236</v>
      </c>
      <c r="I241" s="89" t="str">
        <f t="shared" si="14"/>
        <v/>
      </c>
      <c r="J241" s="88">
        <f t="shared" si="17"/>
        <v>-3</v>
      </c>
      <c r="K241" s="88">
        <f t="shared" si="15"/>
        <v>-30</v>
      </c>
      <c r="L241" s="88"/>
      <c r="M241" s="90">
        <f t="shared" si="16"/>
        <v>0</v>
      </c>
    </row>
    <row r="242" spans="1:13" x14ac:dyDescent="0.25">
      <c r="A242" s="106"/>
      <c r="G242" s="74"/>
      <c r="H242" s="88">
        <v>237</v>
      </c>
      <c r="I242" s="89" t="str">
        <f t="shared" si="14"/>
        <v/>
      </c>
      <c r="J242" s="88">
        <f t="shared" si="17"/>
        <v>-3</v>
      </c>
      <c r="K242" s="88">
        <f t="shared" si="15"/>
        <v>-30</v>
      </c>
      <c r="L242" s="88"/>
      <c r="M242" s="90">
        <f t="shared" si="16"/>
        <v>0</v>
      </c>
    </row>
    <row r="243" spans="1:13" x14ac:dyDescent="0.25">
      <c r="A243" s="106"/>
      <c r="G243" s="74"/>
      <c r="H243" s="88">
        <v>238</v>
      </c>
      <c r="I243" s="89" t="str">
        <f t="shared" si="14"/>
        <v/>
      </c>
      <c r="J243" s="88">
        <f t="shared" si="17"/>
        <v>-3</v>
      </c>
      <c r="K243" s="88">
        <f t="shared" si="15"/>
        <v>-30</v>
      </c>
      <c r="L243" s="88"/>
      <c r="M243" s="90">
        <f t="shared" si="16"/>
        <v>0</v>
      </c>
    </row>
    <row r="244" spans="1:13" x14ac:dyDescent="0.25">
      <c r="A244" s="106"/>
      <c r="G244" s="74"/>
      <c r="H244" s="88">
        <v>239</v>
      </c>
      <c r="I244" s="89" t="str">
        <f t="shared" si="14"/>
        <v/>
      </c>
      <c r="J244" s="88">
        <f t="shared" si="17"/>
        <v>-3</v>
      </c>
      <c r="K244" s="88">
        <f t="shared" si="15"/>
        <v>-30</v>
      </c>
      <c r="L244" s="88"/>
      <c r="M244" s="90">
        <f t="shared" si="16"/>
        <v>0</v>
      </c>
    </row>
    <row r="245" spans="1:13" x14ac:dyDescent="0.25">
      <c r="A245" s="106"/>
      <c r="G245" s="74"/>
      <c r="H245" s="88">
        <v>240</v>
      </c>
      <c r="I245" s="89" t="str">
        <f t="shared" si="14"/>
        <v/>
      </c>
      <c r="J245" s="88">
        <f t="shared" si="17"/>
        <v>-3</v>
      </c>
      <c r="K245" s="88">
        <f t="shared" si="15"/>
        <v>-30</v>
      </c>
      <c r="L245" s="88"/>
      <c r="M245" s="90">
        <f t="shared" si="16"/>
        <v>0</v>
      </c>
    </row>
    <row r="246" spans="1:13" x14ac:dyDescent="0.25">
      <c r="A246" s="106"/>
      <c r="G246" s="74"/>
      <c r="H246" s="88">
        <v>241</v>
      </c>
      <c r="I246" s="89" t="str">
        <f t="shared" si="14"/>
        <v/>
      </c>
      <c r="J246" s="88">
        <f t="shared" si="17"/>
        <v>-3</v>
      </c>
      <c r="K246" s="88">
        <f t="shared" si="15"/>
        <v>-30</v>
      </c>
      <c r="L246" s="88"/>
      <c r="M246" s="90">
        <f t="shared" si="16"/>
        <v>0</v>
      </c>
    </row>
    <row r="247" spans="1:13" x14ac:dyDescent="0.25">
      <c r="A247" s="106"/>
      <c r="G247" s="74"/>
      <c r="H247" s="88">
        <v>242</v>
      </c>
      <c r="I247" s="89" t="str">
        <f t="shared" si="14"/>
        <v/>
      </c>
      <c r="J247" s="88">
        <f t="shared" si="17"/>
        <v>-3</v>
      </c>
      <c r="K247" s="88">
        <f t="shared" si="15"/>
        <v>-30</v>
      </c>
      <c r="L247" s="88"/>
      <c r="M247" s="90">
        <f t="shared" si="16"/>
        <v>0</v>
      </c>
    </row>
    <row r="248" spans="1:13" x14ac:dyDescent="0.25">
      <c r="A248" s="106"/>
      <c r="G248" s="74"/>
      <c r="H248" s="88">
        <v>243</v>
      </c>
      <c r="I248" s="89" t="str">
        <f t="shared" si="14"/>
        <v/>
      </c>
      <c r="J248" s="88">
        <f t="shared" si="17"/>
        <v>-3</v>
      </c>
      <c r="K248" s="88">
        <f t="shared" si="15"/>
        <v>-30</v>
      </c>
      <c r="L248" s="88"/>
      <c r="M248" s="90">
        <f t="shared" si="16"/>
        <v>0</v>
      </c>
    </row>
    <row r="249" spans="1:13" x14ac:dyDescent="0.25">
      <c r="A249" s="106"/>
      <c r="G249" s="74"/>
      <c r="H249" s="88">
        <v>244</v>
      </c>
      <c r="I249" s="89" t="str">
        <f t="shared" si="14"/>
        <v/>
      </c>
      <c r="J249" s="88">
        <f t="shared" si="17"/>
        <v>-3</v>
      </c>
      <c r="K249" s="88">
        <f t="shared" si="15"/>
        <v>-30</v>
      </c>
      <c r="L249" s="88"/>
      <c r="M249" s="90">
        <f t="shared" si="16"/>
        <v>0</v>
      </c>
    </row>
    <row r="250" spans="1:13" x14ac:dyDescent="0.25">
      <c r="A250" s="106"/>
      <c r="G250" s="74"/>
      <c r="H250" s="88">
        <v>245</v>
      </c>
      <c r="I250" s="89" t="str">
        <f t="shared" si="14"/>
        <v/>
      </c>
      <c r="J250" s="88">
        <f t="shared" si="17"/>
        <v>-3</v>
      </c>
      <c r="K250" s="88">
        <f t="shared" si="15"/>
        <v>-30</v>
      </c>
      <c r="L250" s="88"/>
      <c r="M250" s="90">
        <f t="shared" si="16"/>
        <v>0</v>
      </c>
    </row>
    <row r="251" spans="1:13" x14ac:dyDescent="0.25">
      <c r="A251" s="106"/>
      <c r="G251" s="74"/>
      <c r="H251" s="88">
        <v>246</v>
      </c>
      <c r="I251" s="89" t="str">
        <f t="shared" si="14"/>
        <v/>
      </c>
      <c r="J251" s="88">
        <f t="shared" si="17"/>
        <v>-3</v>
      </c>
      <c r="K251" s="88">
        <f t="shared" si="15"/>
        <v>-30</v>
      </c>
      <c r="L251" s="88"/>
      <c r="M251" s="90">
        <f t="shared" si="16"/>
        <v>0</v>
      </c>
    </row>
    <row r="252" spans="1:13" x14ac:dyDescent="0.25">
      <c r="A252" s="106"/>
      <c r="G252" s="74"/>
      <c r="H252" s="88">
        <v>247</v>
      </c>
      <c r="I252" s="89" t="str">
        <f t="shared" si="14"/>
        <v/>
      </c>
      <c r="J252" s="88">
        <f t="shared" si="17"/>
        <v>-3</v>
      </c>
      <c r="K252" s="88">
        <f t="shared" si="15"/>
        <v>-30</v>
      </c>
      <c r="L252" s="88"/>
      <c r="M252" s="90">
        <f t="shared" si="16"/>
        <v>0</v>
      </c>
    </row>
    <row r="253" spans="1:13" x14ac:dyDescent="0.25">
      <c r="A253" s="106"/>
      <c r="G253" s="74"/>
      <c r="H253" s="88">
        <v>248</v>
      </c>
      <c r="I253" s="89" t="str">
        <f t="shared" si="14"/>
        <v/>
      </c>
      <c r="J253" s="88">
        <f t="shared" si="17"/>
        <v>-3</v>
      </c>
      <c r="K253" s="88">
        <f t="shared" si="15"/>
        <v>-30</v>
      </c>
      <c r="L253" s="88"/>
      <c r="M253" s="90">
        <f t="shared" si="16"/>
        <v>0</v>
      </c>
    </row>
    <row r="254" spans="1:13" x14ac:dyDescent="0.25">
      <c r="A254" s="106"/>
      <c r="G254" s="74"/>
      <c r="H254" s="88">
        <v>249</v>
      </c>
      <c r="I254" s="89" t="str">
        <f t="shared" si="14"/>
        <v/>
      </c>
      <c r="J254" s="88">
        <f t="shared" si="17"/>
        <v>-3</v>
      </c>
      <c r="K254" s="88">
        <f t="shared" si="15"/>
        <v>-30</v>
      </c>
      <c r="L254" s="88"/>
      <c r="M254" s="90">
        <f t="shared" si="16"/>
        <v>0</v>
      </c>
    </row>
    <row r="255" spans="1:13" x14ac:dyDescent="0.25">
      <c r="A255" s="106"/>
      <c r="G255" s="74"/>
      <c r="H255" s="88">
        <v>250</v>
      </c>
      <c r="I255" s="89" t="str">
        <f t="shared" si="14"/>
        <v/>
      </c>
      <c r="J255" s="88">
        <f t="shared" si="17"/>
        <v>-3</v>
      </c>
      <c r="K255" s="88">
        <f t="shared" si="15"/>
        <v>-30</v>
      </c>
      <c r="L255" s="88"/>
      <c r="M255" s="90">
        <f t="shared" si="16"/>
        <v>0</v>
      </c>
    </row>
    <row r="256" spans="1:13" x14ac:dyDescent="0.25">
      <c r="A256" s="106"/>
      <c r="G256" s="74"/>
      <c r="H256" s="88">
        <v>251</v>
      </c>
      <c r="I256" s="89" t="str">
        <f t="shared" si="14"/>
        <v/>
      </c>
      <c r="J256" s="88">
        <f t="shared" si="17"/>
        <v>-3</v>
      </c>
      <c r="K256" s="88">
        <f t="shared" si="15"/>
        <v>-30</v>
      </c>
      <c r="L256" s="88"/>
      <c r="M256" s="90">
        <f t="shared" si="16"/>
        <v>0</v>
      </c>
    </row>
    <row r="257" spans="1:13" x14ac:dyDescent="0.25">
      <c r="A257" s="106"/>
      <c r="G257" s="74"/>
      <c r="H257" s="88">
        <v>252</v>
      </c>
      <c r="I257" s="89" t="str">
        <f t="shared" si="14"/>
        <v/>
      </c>
      <c r="J257" s="88">
        <f t="shared" si="17"/>
        <v>-3</v>
      </c>
      <c r="K257" s="88">
        <f t="shared" si="15"/>
        <v>-30</v>
      </c>
      <c r="L257" s="88"/>
      <c r="M257" s="90">
        <f t="shared" si="16"/>
        <v>0</v>
      </c>
    </row>
    <row r="258" spans="1:13" x14ac:dyDescent="0.25">
      <c r="A258" s="106"/>
      <c r="G258" s="74"/>
      <c r="H258" s="88">
        <v>253</v>
      </c>
      <c r="I258" s="89" t="str">
        <f t="shared" si="14"/>
        <v/>
      </c>
      <c r="J258" s="88">
        <f t="shared" si="17"/>
        <v>-3</v>
      </c>
      <c r="K258" s="88">
        <f t="shared" si="15"/>
        <v>-30</v>
      </c>
      <c r="L258" s="88"/>
      <c r="M258" s="90">
        <f t="shared" si="16"/>
        <v>0</v>
      </c>
    </row>
    <row r="259" spans="1:13" x14ac:dyDescent="0.25">
      <c r="A259" s="106"/>
      <c r="G259" s="74"/>
      <c r="H259" s="88">
        <v>254</v>
      </c>
      <c r="I259" s="89" t="str">
        <f t="shared" si="14"/>
        <v/>
      </c>
      <c r="J259" s="88">
        <f t="shared" si="17"/>
        <v>-3</v>
      </c>
      <c r="K259" s="88">
        <f t="shared" si="15"/>
        <v>-30</v>
      </c>
      <c r="L259" s="88"/>
      <c r="M259" s="90">
        <f t="shared" si="16"/>
        <v>0</v>
      </c>
    </row>
    <row r="260" spans="1:13" x14ac:dyDescent="0.25">
      <c r="A260" s="106"/>
      <c r="G260" s="74"/>
      <c r="H260" s="88">
        <v>255</v>
      </c>
      <c r="I260" s="89" t="str">
        <f t="shared" si="14"/>
        <v/>
      </c>
      <c r="J260" s="88">
        <f t="shared" si="17"/>
        <v>-3</v>
      </c>
      <c r="K260" s="88">
        <f t="shared" si="15"/>
        <v>-30</v>
      </c>
      <c r="L260" s="88"/>
      <c r="M260" s="90">
        <f t="shared" si="16"/>
        <v>0</v>
      </c>
    </row>
    <row r="261" spans="1:13" x14ac:dyDescent="0.25">
      <c r="A261" s="106"/>
      <c r="G261" s="74"/>
      <c r="H261" s="88">
        <v>256</v>
      </c>
      <c r="I261" s="89" t="str">
        <f t="shared" si="14"/>
        <v/>
      </c>
      <c r="J261" s="88">
        <f t="shared" si="17"/>
        <v>-3</v>
      </c>
      <c r="K261" s="88">
        <f t="shared" si="15"/>
        <v>-30</v>
      </c>
      <c r="L261" s="88"/>
      <c r="M261" s="90">
        <f t="shared" si="16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8">IF(H262&lt;$H$2+1,($I$2-($I$2-1)*(LOG(H262)/LOG($H$2))),"")</f>
        <v/>
      </c>
      <c r="J262" s="88">
        <f t="shared" si="17"/>
        <v>-4</v>
      </c>
      <c r="K262" s="88">
        <f t="shared" ref="K262:K305" si="19">J262*$J$2</f>
        <v>-40</v>
      </c>
      <c r="L262" s="88"/>
      <c r="M262" s="90">
        <f t="shared" ref="M262:M305" si="20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8"/>
        <v/>
      </c>
      <c r="J263" s="88">
        <f t="shared" ref="J263:J305" si="21">INT(LOG($H$2,2))-ROUNDUP(LOG(H263,2),0)+IF(OR($H$2=1,$H$2=2,$H$2=4,$H$2=8,$H$2=16,$H$2=32,$H$2=64,$H$2=128,$H$2=256),0,1)</f>
        <v>-4</v>
      </c>
      <c r="K263" s="88">
        <f t="shared" si="19"/>
        <v>-40</v>
      </c>
      <c r="L263" s="88"/>
      <c r="M263" s="90">
        <f t="shared" si="20"/>
        <v>0</v>
      </c>
    </row>
    <row r="264" spans="1:13" x14ac:dyDescent="0.25">
      <c r="A264" s="106"/>
      <c r="G264" s="74"/>
      <c r="H264" s="88">
        <v>259</v>
      </c>
      <c r="I264" s="89" t="str">
        <f t="shared" si="18"/>
        <v/>
      </c>
      <c r="J264" s="88">
        <f t="shared" si="21"/>
        <v>-4</v>
      </c>
      <c r="K264" s="88">
        <f t="shared" si="19"/>
        <v>-40</v>
      </c>
      <c r="L264" s="88"/>
      <c r="M264" s="90">
        <f t="shared" si="20"/>
        <v>0</v>
      </c>
    </row>
    <row r="265" spans="1:13" x14ac:dyDescent="0.25">
      <c r="A265" s="106"/>
      <c r="G265" s="74"/>
      <c r="H265" s="88">
        <v>260</v>
      </c>
      <c r="I265" s="89" t="str">
        <f t="shared" si="18"/>
        <v/>
      </c>
      <c r="J265" s="88">
        <f t="shared" si="21"/>
        <v>-4</v>
      </c>
      <c r="K265" s="88">
        <f t="shared" si="19"/>
        <v>-40</v>
      </c>
      <c r="L265" s="88"/>
      <c r="M265" s="90">
        <f t="shared" si="20"/>
        <v>0</v>
      </c>
    </row>
    <row r="266" spans="1:13" x14ac:dyDescent="0.25">
      <c r="A266" s="106"/>
      <c r="G266" s="74"/>
      <c r="H266" s="88">
        <v>261</v>
      </c>
      <c r="I266" s="89" t="str">
        <f t="shared" si="18"/>
        <v/>
      </c>
      <c r="J266" s="88">
        <f t="shared" si="21"/>
        <v>-4</v>
      </c>
      <c r="K266" s="88">
        <f t="shared" si="19"/>
        <v>-40</v>
      </c>
      <c r="L266" s="88"/>
      <c r="M266" s="90">
        <f t="shared" si="20"/>
        <v>0</v>
      </c>
    </row>
    <row r="267" spans="1:13" x14ac:dyDescent="0.25">
      <c r="A267" s="106"/>
      <c r="G267" s="74"/>
      <c r="H267" s="88">
        <v>262</v>
      </c>
      <c r="I267" s="89" t="str">
        <f t="shared" si="18"/>
        <v/>
      </c>
      <c r="J267" s="88">
        <f t="shared" si="21"/>
        <v>-4</v>
      </c>
      <c r="K267" s="88">
        <f t="shared" si="19"/>
        <v>-40</v>
      </c>
      <c r="L267" s="88"/>
      <c r="M267" s="90">
        <f t="shared" si="20"/>
        <v>0</v>
      </c>
    </row>
    <row r="268" spans="1:13" x14ac:dyDescent="0.25">
      <c r="A268" s="106"/>
      <c r="G268" s="74"/>
      <c r="H268" s="88">
        <v>263</v>
      </c>
      <c r="I268" s="89" t="str">
        <f t="shared" si="18"/>
        <v/>
      </c>
      <c r="J268" s="88">
        <f t="shared" si="21"/>
        <v>-4</v>
      </c>
      <c r="K268" s="88">
        <f t="shared" si="19"/>
        <v>-40</v>
      </c>
      <c r="L268" s="88"/>
      <c r="M268" s="90">
        <f t="shared" si="20"/>
        <v>0</v>
      </c>
    </row>
    <row r="269" spans="1:13" x14ac:dyDescent="0.25">
      <c r="A269" s="106"/>
      <c r="G269" s="74"/>
      <c r="H269" s="88">
        <v>264</v>
      </c>
      <c r="I269" s="89" t="str">
        <f t="shared" si="18"/>
        <v/>
      </c>
      <c r="J269" s="88">
        <f t="shared" si="21"/>
        <v>-4</v>
      </c>
      <c r="K269" s="88">
        <f t="shared" si="19"/>
        <v>-40</v>
      </c>
      <c r="L269" s="88"/>
      <c r="M269" s="90">
        <f t="shared" si="20"/>
        <v>0</v>
      </c>
    </row>
    <row r="270" spans="1:13" x14ac:dyDescent="0.25">
      <c r="A270" s="106"/>
      <c r="G270" s="74"/>
      <c r="H270" s="88">
        <v>265</v>
      </c>
      <c r="I270" s="89" t="str">
        <f t="shared" si="18"/>
        <v/>
      </c>
      <c r="J270" s="88">
        <f t="shared" si="21"/>
        <v>-4</v>
      </c>
      <c r="K270" s="88">
        <f t="shared" si="19"/>
        <v>-40</v>
      </c>
      <c r="L270" s="88"/>
      <c r="M270" s="90">
        <f t="shared" si="20"/>
        <v>0</v>
      </c>
    </row>
    <row r="271" spans="1:13" x14ac:dyDescent="0.25">
      <c r="A271" s="106"/>
      <c r="G271" s="74"/>
      <c r="H271" s="88">
        <v>266</v>
      </c>
      <c r="I271" s="89" t="str">
        <f t="shared" si="18"/>
        <v/>
      </c>
      <c r="J271" s="88">
        <f t="shared" si="21"/>
        <v>-4</v>
      </c>
      <c r="K271" s="88">
        <f t="shared" si="19"/>
        <v>-40</v>
      </c>
      <c r="L271" s="88"/>
      <c r="M271" s="90">
        <f t="shared" si="20"/>
        <v>0</v>
      </c>
    </row>
    <row r="272" spans="1:13" x14ac:dyDescent="0.25">
      <c r="A272" s="106"/>
      <c r="G272" s="74"/>
      <c r="H272" s="88">
        <v>267</v>
      </c>
      <c r="I272" s="89" t="str">
        <f t="shared" si="18"/>
        <v/>
      </c>
      <c r="J272" s="88">
        <f t="shared" si="21"/>
        <v>-4</v>
      </c>
      <c r="K272" s="88">
        <f t="shared" si="19"/>
        <v>-40</v>
      </c>
      <c r="L272" s="88"/>
      <c r="M272" s="90">
        <f t="shared" si="20"/>
        <v>0</v>
      </c>
    </row>
    <row r="273" spans="1:13" x14ac:dyDescent="0.25">
      <c r="A273" s="106"/>
      <c r="G273" s="74"/>
      <c r="H273" s="88">
        <v>268</v>
      </c>
      <c r="I273" s="89" t="str">
        <f t="shared" si="18"/>
        <v/>
      </c>
      <c r="J273" s="88">
        <f t="shared" si="21"/>
        <v>-4</v>
      </c>
      <c r="K273" s="88">
        <f t="shared" si="19"/>
        <v>-40</v>
      </c>
      <c r="L273" s="88"/>
      <c r="M273" s="90">
        <f t="shared" si="20"/>
        <v>0</v>
      </c>
    </row>
    <row r="274" spans="1:13" x14ac:dyDescent="0.25">
      <c r="A274" s="106"/>
      <c r="G274" s="74"/>
      <c r="H274" s="88">
        <v>269</v>
      </c>
      <c r="I274" s="89" t="str">
        <f t="shared" si="18"/>
        <v/>
      </c>
      <c r="J274" s="88">
        <f t="shared" si="21"/>
        <v>-4</v>
      </c>
      <c r="K274" s="88">
        <f t="shared" si="19"/>
        <v>-40</v>
      </c>
      <c r="L274" s="88"/>
      <c r="M274" s="90">
        <f t="shared" si="20"/>
        <v>0</v>
      </c>
    </row>
    <row r="275" spans="1:13" x14ac:dyDescent="0.25">
      <c r="A275" s="106"/>
      <c r="G275" s="74"/>
      <c r="H275" s="88">
        <v>270</v>
      </c>
      <c r="I275" s="89" t="str">
        <f t="shared" si="18"/>
        <v/>
      </c>
      <c r="J275" s="88">
        <f t="shared" si="21"/>
        <v>-4</v>
      </c>
      <c r="K275" s="88">
        <f t="shared" si="19"/>
        <v>-40</v>
      </c>
      <c r="L275" s="88"/>
      <c r="M275" s="90">
        <f t="shared" si="20"/>
        <v>0</v>
      </c>
    </row>
    <row r="276" spans="1:13" x14ac:dyDescent="0.25">
      <c r="A276" s="106"/>
      <c r="G276" s="74"/>
      <c r="H276" s="88">
        <v>271</v>
      </c>
      <c r="I276" s="89" t="str">
        <f t="shared" si="18"/>
        <v/>
      </c>
      <c r="J276" s="88">
        <f t="shared" si="21"/>
        <v>-4</v>
      </c>
      <c r="K276" s="88">
        <f t="shared" si="19"/>
        <v>-40</v>
      </c>
      <c r="L276" s="88"/>
      <c r="M276" s="90">
        <f t="shared" si="20"/>
        <v>0</v>
      </c>
    </row>
    <row r="277" spans="1:13" x14ac:dyDescent="0.25">
      <c r="A277" s="106"/>
      <c r="G277" s="74"/>
      <c r="H277" s="88">
        <v>272</v>
      </c>
      <c r="I277" s="89" t="str">
        <f t="shared" si="18"/>
        <v/>
      </c>
      <c r="J277" s="88">
        <f t="shared" si="21"/>
        <v>-4</v>
      </c>
      <c r="K277" s="88">
        <f t="shared" si="19"/>
        <v>-40</v>
      </c>
      <c r="L277" s="88"/>
      <c r="M277" s="90">
        <f t="shared" si="20"/>
        <v>0</v>
      </c>
    </row>
    <row r="278" spans="1:13" x14ac:dyDescent="0.25">
      <c r="A278" s="106"/>
      <c r="G278" s="74"/>
      <c r="H278" s="88">
        <v>273</v>
      </c>
      <c r="I278" s="89" t="str">
        <f t="shared" si="18"/>
        <v/>
      </c>
      <c r="J278" s="88">
        <f t="shared" si="21"/>
        <v>-4</v>
      </c>
      <c r="K278" s="88">
        <f t="shared" si="19"/>
        <v>-40</v>
      </c>
      <c r="L278" s="88"/>
      <c r="M278" s="90">
        <f t="shared" si="20"/>
        <v>0</v>
      </c>
    </row>
    <row r="279" spans="1:13" x14ac:dyDescent="0.25">
      <c r="A279" s="106"/>
      <c r="G279" s="74"/>
      <c r="H279" s="88">
        <v>274</v>
      </c>
      <c r="I279" s="89" t="str">
        <f t="shared" si="18"/>
        <v/>
      </c>
      <c r="J279" s="88">
        <f t="shared" si="21"/>
        <v>-4</v>
      </c>
      <c r="K279" s="88">
        <f t="shared" si="19"/>
        <v>-40</v>
      </c>
      <c r="L279" s="88"/>
      <c r="M279" s="90">
        <f t="shared" si="20"/>
        <v>0</v>
      </c>
    </row>
    <row r="280" spans="1:13" x14ac:dyDescent="0.25">
      <c r="A280" s="106"/>
      <c r="G280" s="74"/>
      <c r="H280" s="88">
        <v>275</v>
      </c>
      <c r="I280" s="89" t="str">
        <f t="shared" si="18"/>
        <v/>
      </c>
      <c r="J280" s="88">
        <f t="shared" si="21"/>
        <v>-4</v>
      </c>
      <c r="K280" s="88">
        <f t="shared" si="19"/>
        <v>-40</v>
      </c>
      <c r="L280" s="88"/>
      <c r="M280" s="90">
        <f t="shared" si="20"/>
        <v>0</v>
      </c>
    </row>
    <row r="281" spans="1:13" x14ac:dyDescent="0.25">
      <c r="A281" s="106"/>
      <c r="G281" s="74"/>
      <c r="H281" s="88">
        <v>276</v>
      </c>
      <c r="I281" s="89" t="str">
        <f t="shared" si="18"/>
        <v/>
      </c>
      <c r="J281" s="88">
        <f t="shared" si="21"/>
        <v>-4</v>
      </c>
      <c r="K281" s="88">
        <f t="shared" si="19"/>
        <v>-40</v>
      </c>
      <c r="L281" s="88"/>
      <c r="M281" s="90">
        <f t="shared" si="20"/>
        <v>0</v>
      </c>
    </row>
    <row r="282" spans="1:13" x14ac:dyDescent="0.25">
      <c r="A282" s="106"/>
      <c r="G282" s="74"/>
      <c r="H282" s="88">
        <v>277</v>
      </c>
      <c r="I282" s="89" t="str">
        <f t="shared" si="18"/>
        <v/>
      </c>
      <c r="J282" s="88">
        <f t="shared" si="21"/>
        <v>-4</v>
      </c>
      <c r="K282" s="88">
        <f t="shared" si="19"/>
        <v>-40</v>
      </c>
      <c r="L282" s="88"/>
      <c r="M282" s="90">
        <f t="shared" si="20"/>
        <v>0</v>
      </c>
    </row>
    <row r="283" spans="1:13" x14ac:dyDescent="0.25">
      <c r="A283" s="106"/>
      <c r="G283" s="74"/>
      <c r="H283" s="88">
        <v>278</v>
      </c>
      <c r="I283" s="89" t="str">
        <f t="shared" si="18"/>
        <v/>
      </c>
      <c r="J283" s="88">
        <f t="shared" si="21"/>
        <v>-4</v>
      </c>
      <c r="K283" s="88">
        <f t="shared" si="19"/>
        <v>-40</v>
      </c>
      <c r="L283" s="88"/>
      <c r="M283" s="90">
        <f t="shared" si="20"/>
        <v>0</v>
      </c>
    </row>
    <row r="284" spans="1:13" x14ac:dyDescent="0.25">
      <c r="A284" s="106"/>
      <c r="G284" s="74"/>
      <c r="H284" s="88">
        <v>279</v>
      </c>
      <c r="I284" s="89" t="str">
        <f t="shared" si="18"/>
        <v/>
      </c>
      <c r="J284" s="88">
        <f t="shared" si="21"/>
        <v>-4</v>
      </c>
      <c r="K284" s="88">
        <f t="shared" si="19"/>
        <v>-40</v>
      </c>
      <c r="L284" s="88"/>
      <c r="M284" s="90">
        <f t="shared" si="20"/>
        <v>0</v>
      </c>
    </row>
    <row r="285" spans="1:13" x14ac:dyDescent="0.25">
      <c r="A285" s="106"/>
      <c r="G285" s="74"/>
      <c r="H285" s="88">
        <v>280</v>
      </c>
      <c r="I285" s="89" t="str">
        <f t="shared" si="18"/>
        <v/>
      </c>
      <c r="J285" s="88">
        <f t="shared" si="21"/>
        <v>-4</v>
      </c>
      <c r="K285" s="88">
        <f t="shared" si="19"/>
        <v>-40</v>
      </c>
      <c r="L285" s="88"/>
      <c r="M285" s="90">
        <f t="shared" si="20"/>
        <v>0</v>
      </c>
    </row>
    <row r="286" spans="1:13" x14ac:dyDescent="0.25">
      <c r="A286" s="106"/>
      <c r="G286" s="74"/>
      <c r="H286" s="88">
        <v>281</v>
      </c>
      <c r="I286" s="89" t="str">
        <f t="shared" si="18"/>
        <v/>
      </c>
      <c r="J286" s="88">
        <f t="shared" si="21"/>
        <v>-4</v>
      </c>
      <c r="K286" s="88">
        <f t="shared" si="19"/>
        <v>-40</v>
      </c>
      <c r="L286" s="88"/>
      <c r="M286" s="90">
        <f t="shared" si="20"/>
        <v>0</v>
      </c>
    </row>
    <row r="287" spans="1:13" x14ac:dyDescent="0.25">
      <c r="A287" s="106"/>
      <c r="G287" s="74"/>
      <c r="H287" s="88">
        <v>282</v>
      </c>
      <c r="I287" s="89" t="str">
        <f t="shared" si="18"/>
        <v/>
      </c>
      <c r="J287" s="88">
        <f t="shared" si="21"/>
        <v>-4</v>
      </c>
      <c r="K287" s="88">
        <f t="shared" si="19"/>
        <v>-40</v>
      </c>
      <c r="L287" s="88"/>
      <c r="M287" s="90">
        <f t="shared" si="20"/>
        <v>0</v>
      </c>
    </row>
    <row r="288" spans="1:13" x14ac:dyDescent="0.25">
      <c r="A288" s="106"/>
      <c r="G288" s="74"/>
      <c r="H288" s="88">
        <v>283</v>
      </c>
      <c r="I288" s="89" t="str">
        <f t="shared" si="18"/>
        <v/>
      </c>
      <c r="J288" s="88">
        <f t="shared" si="21"/>
        <v>-4</v>
      </c>
      <c r="K288" s="88">
        <f t="shared" si="19"/>
        <v>-40</v>
      </c>
      <c r="L288" s="88"/>
      <c r="M288" s="90">
        <f t="shared" si="20"/>
        <v>0</v>
      </c>
    </row>
    <row r="289" spans="1:13" x14ac:dyDescent="0.25">
      <c r="A289" s="106"/>
      <c r="G289" s="74"/>
      <c r="H289" s="88">
        <v>284</v>
      </c>
      <c r="I289" s="89" t="str">
        <f t="shared" si="18"/>
        <v/>
      </c>
      <c r="J289" s="88">
        <f t="shared" si="21"/>
        <v>-4</v>
      </c>
      <c r="K289" s="88">
        <f t="shared" si="19"/>
        <v>-40</v>
      </c>
      <c r="L289" s="88"/>
      <c r="M289" s="90">
        <f t="shared" si="20"/>
        <v>0</v>
      </c>
    </row>
    <row r="290" spans="1:13" x14ac:dyDescent="0.25">
      <c r="A290" s="106"/>
      <c r="G290" s="74"/>
      <c r="H290" s="88">
        <v>285</v>
      </c>
      <c r="I290" s="89" t="str">
        <f t="shared" si="18"/>
        <v/>
      </c>
      <c r="J290" s="88">
        <f t="shared" si="21"/>
        <v>-4</v>
      </c>
      <c r="K290" s="88">
        <f t="shared" si="19"/>
        <v>-40</v>
      </c>
      <c r="L290" s="88"/>
      <c r="M290" s="90">
        <f t="shared" si="20"/>
        <v>0</v>
      </c>
    </row>
    <row r="291" spans="1:13" x14ac:dyDescent="0.25">
      <c r="A291" s="106"/>
      <c r="G291" s="74"/>
      <c r="H291" s="88">
        <v>286</v>
      </c>
      <c r="I291" s="89" t="str">
        <f t="shared" si="18"/>
        <v/>
      </c>
      <c r="J291" s="88">
        <f t="shared" si="21"/>
        <v>-4</v>
      </c>
      <c r="K291" s="88">
        <f t="shared" si="19"/>
        <v>-40</v>
      </c>
      <c r="L291" s="88"/>
      <c r="M291" s="90">
        <f t="shared" si="20"/>
        <v>0</v>
      </c>
    </row>
    <row r="292" spans="1:13" x14ac:dyDescent="0.25">
      <c r="A292" s="106"/>
      <c r="G292" s="74"/>
      <c r="H292" s="88">
        <v>287</v>
      </c>
      <c r="I292" s="89" t="str">
        <f t="shared" si="18"/>
        <v/>
      </c>
      <c r="J292" s="88">
        <f t="shared" si="21"/>
        <v>-4</v>
      </c>
      <c r="K292" s="88">
        <f t="shared" si="19"/>
        <v>-40</v>
      </c>
      <c r="L292" s="88"/>
      <c r="M292" s="90">
        <f t="shared" si="20"/>
        <v>0</v>
      </c>
    </row>
    <row r="293" spans="1:13" x14ac:dyDescent="0.25">
      <c r="A293" s="106"/>
      <c r="G293" s="74"/>
      <c r="H293" s="88">
        <v>288</v>
      </c>
      <c r="I293" s="89" t="str">
        <f t="shared" si="18"/>
        <v/>
      </c>
      <c r="J293" s="88">
        <f t="shared" si="21"/>
        <v>-4</v>
      </c>
      <c r="K293" s="88">
        <f t="shared" si="19"/>
        <v>-40</v>
      </c>
      <c r="L293" s="88"/>
      <c r="M293" s="90">
        <f t="shared" si="20"/>
        <v>0</v>
      </c>
    </row>
    <row r="294" spans="1:13" x14ac:dyDescent="0.25">
      <c r="A294" s="106"/>
      <c r="G294" s="74"/>
      <c r="H294" s="88">
        <v>289</v>
      </c>
      <c r="I294" s="89" t="str">
        <f t="shared" si="18"/>
        <v/>
      </c>
      <c r="J294" s="88">
        <f t="shared" si="21"/>
        <v>-4</v>
      </c>
      <c r="K294" s="88">
        <f t="shared" si="19"/>
        <v>-40</v>
      </c>
      <c r="L294" s="88"/>
      <c r="M294" s="90">
        <f t="shared" si="20"/>
        <v>0</v>
      </c>
    </row>
    <row r="295" spans="1:13" x14ac:dyDescent="0.25">
      <c r="A295" s="106"/>
      <c r="G295" s="74"/>
      <c r="H295" s="88">
        <v>290</v>
      </c>
      <c r="I295" s="89" t="str">
        <f t="shared" si="18"/>
        <v/>
      </c>
      <c r="J295" s="88">
        <f t="shared" si="21"/>
        <v>-4</v>
      </c>
      <c r="K295" s="88">
        <f t="shared" si="19"/>
        <v>-40</v>
      </c>
      <c r="L295" s="88"/>
      <c r="M295" s="90">
        <f t="shared" si="20"/>
        <v>0</v>
      </c>
    </row>
    <row r="296" spans="1:13" x14ac:dyDescent="0.25">
      <c r="A296" s="106"/>
      <c r="G296" s="74"/>
      <c r="H296" s="88">
        <v>291</v>
      </c>
      <c r="I296" s="89" t="str">
        <f t="shared" si="18"/>
        <v/>
      </c>
      <c r="J296" s="88">
        <f t="shared" si="21"/>
        <v>-4</v>
      </c>
      <c r="K296" s="88">
        <f t="shared" si="19"/>
        <v>-40</v>
      </c>
      <c r="L296" s="88"/>
      <c r="M296" s="90">
        <f t="shared" si="20"/>
        <v>0</v>
      </c>
    </row>
    <row r="297" spans="1:13" x14ac:dyDescent="0.25">
      <c r="A297" s="106"/>
      <c r="G297" s="74"/>
      <c r="H297" s="88">
        <v>292</v>
      </c>
      <c r="I297" s="89" t="str">
        <f t="shared" si="18"/>
        <v/>
      </c>
      <c r="J297" s="88">
        <f t="shared" si="21"/>
        <v>-4</v>
      </c>
      <c r="K297" s="88">
        <f t="shared" si="19"/>
        <v>-40</v>
      </c>
      <c r="L297" s="88"/>
      <c r="M297" s="90">
        <f t="shared" si="20"/>
        <v>0</v>
      </c>
    </row>
    <row r="298" spans="1:13" x14ac:dyDescent="0.25">
      <c r="A298" s="106"/>
      <c r="G298" s="74"/>
      <c r="H298" s="88">
        <v>293</v>
      </c>
      <c r="I298" s="89" t="str">
        <f t="shared" si="18"/>
        <v/>
      </c>
      <c r="J298" s="88">
        <f t="shared" si="21"/>
        <v>-4</v>
      </c>
      <c r="K298" s="88">
        <f t="shared" si="19"/>
        <v>-40</v>
      </c>
      <c r="L298" s="88"/>
      <c r="M298" s="90">
        <f t="shared" si="20"/>
        <v>0</v>
      </c>
    </row>
    <row r="299" spans="1:13" x14ac:dyDescent="0.25">
      <c r="A299" s="106"/>
      <c r="G299" s="74"/>
      <c r="H299" s="88">
        <v>294</v>
      </c>
      <c r="I299" s="89" t="str">
        <f t="shared" si="18"/>
        <v/>
      </c>
      <c r="J299" s="88">
        <f t="shared" si="21"/>
        <v>-4</v>
      </c>
      <c r="K299" s="88">
        <f t="shared" si="19"/>
        <v>-40</v>
      </c>
      <c r="L299" s="88"/>
      <c r="M299" s="90">
        <f t="shared" si="20"/>
        <v>0</v>
      </c>
    </row>
    <row r="300" spans="1:13" x14ac:dyDescent="0.25">
      <c r="A300" s="106"/>
      <c r="G300" s="74"/>
      <c r="H300" s="88">
        <v>295</v>
      </c>
      <c r="I300" s="89" t="str">
        <f t="shared" si="18"/>
        <v/>
      </c>
      <c r="J300" s="88">
        <f t="shared" si="21"/>
        <v>-4</v>
      </c>
      <c r="K300" s="88">
        <f t="shared" si="19"/>
        <v>-40</v>
      </c>
      <c r="L300" s="88"/>
      <c r="M300" s="90">
        <f t="shared" si="20"/>
        <v>0</v>
      </c>
    </row>
    <row r="301" spans="1:13" x14ac:dyDescent="0.25">
      <c r="A301" s="106"/>
      <c r="G301" s="74"/>
      <c r="H301" s="88">
        <v>296</v>
      </c>
      <c r="I301" s="89" t="str">
        <f t="shared" si="18"/>
        <v/>
      </c>
      <c r="J301" s="88">
        <f t="shared" si="21"/>
        <v>-4</v>
      </c>
      <c r="K301" s="88">
        <f t="shared" si="19"/>
        <v>-40</v>
      </c>
      <c r="L301" s="88"/>
      <c r="M301" s="90">
        <f t="shared" si="20"/>
        <v>0</v>
      </c>
    </row>
    <row r="302" spans="1:13" x14ac:dyDescent="0.25">
      <c r="A302" s="106"/>
      <c r="G302" s="74"/>
      <c r="H302" s="88">
        <v>297</v>
      </c>
      <c r="I302" s="89" t="str">
        <f t="shared" si="18"/>
        <v/>
      </c>
      <c r="J302" s="88">
        <f t="shared" si="21"/>
        <v>-4</v>
      </c>
      <c r="K302" s="88">
        <f t="shared" si="19"/>
        <v>-40</v>
      </c>
      <c r="L302" s="88"/>
      <c r="M302" s="90">
        <f t="shared" si="20"/>
        <v>0</v>
      </c>
    </row>
    <row r="303" spans="1:13" x14ac:dyDescent="0.25">
      <c r="A303" s="106"/>
      <c r="G303" s="74"/>
      <c r="H303" s="88">
        <v>298</v>
      </c>
      <c r="I303" s="89" t="str">
        <f t="shared" si="18"/>
        <v/>
      </c>
      <c r="J303" s="88">
        <f t="shared" si="21"/>
        <v>-4</v>
      </c>
      <c r="K303" s="88">
        <f t="shared" si="19"/>
        <v>-40</v>
      </c>
      <c r="L303" s="88"/>
      <c r="M303" s="90">
        <f t="shared" si="20"/>
        <v>0</v>
      </c>
    </row>
    <row r="304" spans="1:13" x14ac:dyDescent="0.25">
      <c r="A304" s="106"/>
      <c r="G304" s="74"/>
      <c r="H304" s="88">
        <v>299</v>
      </c>
      <c r="I304" s="89" t="str">
        <f t="shared" si="18"/>
        <v/>
      </c>
      <c r="J304" s="88">
        <f t="shared" si="21"/>
        <v>-4</v>
      </c>
      <c r="K304" s="88">
        <f t="shared" si="19"/>
        <v>-40</v>
      </c>
      <c r="L304" s="88"/>
      <c r="M304" s="90">
        <f t="shared" si="20"/>
        <v>0</v>
      </c>
    </row>
    <row r="305" spans="1:16" x14ac:dyDescent="0.25">
      <c r="A305" s="106"/>
      <c r="G305" s="74"/>
      <c r="H305" s="88">
        <v>300</v>
      </c>
      <c r="I305" s="89" t="str">
        <f t="shared" si="18"/>
        <v/>
      </c>
      <c r="J305" s="88">
        <f t="shared" si="21"/>
        <v>-4</v>
      </c>
      <c r="K305" s="88">
        <f t="shared" si="19"/>
        <v>-40</v>
      </c>
      <c r="L305" s="88"/>
      <c r="M305" s="90">
        <f t="shared" si="20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C061D6BF-D9B4-4E97-BAD7-26FDAFD80313}">
      <formula1>#REF!</formula1>
    </dataValidation>
  </dataValidations>
  <hyperlinks>
    <hyperlink ref="C2" r:id="rId1" xr:uid="{863FF726-DF3E-4AA3-B592-D9348210C3F9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CBBF-5F9E-4E9B-8C09-FA55A5277121}">
  <sheetPr>
    <tabColor rgb="FF92D050"/>
  </sheetPr>
  <dimension ref="A1:AL317"/>
  <sheetViews>
    <sheetView workbookViewId="0">
      <selection activeCell="C28" sqref="C28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24</v>
      </c>
      <c r="I1" s="76" t="s">
        <v>25</v>
      </c>
      <c r="J1" s="76" t="s">
        <v>26</v>
      </c>
      <c r="K1" s="77" t="s">
        <v>113</v>
      </c>
      <c r="L1" s="78"/>
      <c r="M1" s="78"/>
    </row>
    <row r="2" spans="1:36" x14ac:dyDescent="0.25">
      <c r="A2" s="74"/>
      <c r="B2" s="20" t="s">
        <v>28</v>
      </c>
      <c r="C2" s="260" t="s">
        <v>117</v>
      </c>
      <c r="D2" s="260"/>
      <c r="E2" s="21"/>
      <c r="F2" s="21"/>
      <c r="G2" s="21"/>
      <c r="H2" s="80">
        <v>22</v>
      </c>
      <c r="I2" s="81">
        <v>50</v>
      </c>
      <c r="J2" s="81">
        <v>10</v>
      </c>
      <c r="K2" s="111">
        <f>3*H2^(1/3)</f>
        <v>8.4061179919661626</v>
      </c>
      <c r="L2" s="78"/>
      <c r="M2" s="78"/>
    </row>
    <row r="3" spans="1:36" ht="14.45" customHeight="1" x14ac:dyDescent="0.25">
      <c r="A3" s="74"/>
      <c r="B3" s="82" t="s">
        <v>30</v>
      </c>
      <c r="C3" s="238" t="s">
        <v>118</v>
      </c>
      <c r="D3" s="238"/>
      <c r="E3" s="26"/>
      <c r="F3" s="26"/>
      <c r="G3" s="26"/>
      <c r="H3" s="78"/>
      <c r="I3" s="78"/>
      <c r="J3" s="78"/>
      <c r="K3" s="78"/>
      <c r="L3" s="78"/>
      <c r="M3" s="7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78"/>
      <c r="K4" s="78"/>
      <c r="L4" s="78"/>
      <c r="M4" s="78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84" t="s">
        <v>38</v>
      </c>
      <c r="I5" s="85" t="s">
        <v>39</v>
      </c>
      <c r="J5" s="85" t="s">
        <v>40</v>
      </c>
      <c r="K5" s="85" t="s">
        <v>41</v>
      </c>
      <c r="L5" s="85" t="s">
        <v>42</v>
      </c>
      <c r="M5" s="84" t="s">
        <v>43</v>
      </c>
    </row>
    <row r="6" spans="1:36" ht="14.45" customHeight="1" x14ac:dyDescent="0.25">
      <c r="A6" s="87">
        <f>M6</f>
        <v>125.21835397589848</v>
      </c>
      <c r="B6" s="34">
        <f t="shared" ref="B6:B65" si="0">IF(H6&gt;$H$2,"",(ROW()-5))</f>
        <v>1</v>
      </c>
      <c r="C6" s="35" t="s">
        <v>48</v>
      </c>
      <c r="D6" s="35"/>
      <c r="E6" s="35"/>
      <c r="F6" s="35"/>
      <c r="G6" s="28"/>
      <c r="H6" s="88">
        <v>1</v>
      </c>
      <c r="I6" s="89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5</v>
      </c>
      <c r="K6" s="88">
        <f t="shared" ref="K6:K69" si="2">J6*$J$2</f>
        <v>50</v>
      </c>
      <c r="L6" s="90">
        <f>3*K2</f>
        <v>25.218353975898488</v>
      </c>
      <c r="M6" s="90">
        <f t="shared" ref="M6:M69" si="3">IF(I6&lt;&gt;"",K6+I6+L6,0)</f>
        <v>125.21835397589848</v>
      </c>
    </row>
    <row r="7" spans="1:36" ht="14.45" customHeight="1" x14ac:dyDescent="0.25">
      <c r="A7" s="91">
        <f t="shared" ref="A7:A37" si="4">M7</f>
        <v>95.824288597271121</v>
      </c>
      <c r="B7" s="40">
        <f t="shared" si="0"/>
        <v>2</v>
      </c>
      <c r="C7" s="41" t="s">
        <v>48</v>
      </c>
      <c r="D7" s="41"/>
      <c r="E7" s="41"/>
      <c r="F7" s="41"/>
      <c r="G7" s="28"/>
      <c r="H7" s="92">
        <v>2</v>
      </c>
      <c r="I7" s="93">
        <f t="shared" si="1"/>
        <v>39.012052613338803</v>
      </c>
      <c r="J7" s="93">
        <f t="shared" ref="J7:J70" si="5">INT(LOG($H$2,2))-ROUNDUP(LOG(H7,2),0)+IF(OR($H$2=1,$H$2=2,$H$2=4,$H$2=8,$H$2=16,$H$2=32,$H$2=64,$H$2=128,$H$2=256),0,1)</f>
        <v>4</v>
      </c>
      <c r="K7" s="92">
        <f t="shared" si="2"/>
        <v>40</v>
      </c>
      <c r="L7" s="94">
        <f>2*K2</f>
        <v>16.812235983932325</v>
      </c>
      <c r="M7" s="94">
        <f t="shared" si="3"/>
        <v>95.824288597271121</v>
      </c>
    </row>
    <row r="8" spans="1:36" ht="14.45" customHeight="1" x14ac:dyDescent="0.25">
      <c r="A8" s="87">
        <f t="shared" si="4"/>
        <v>70.99063342421114</v>
      </c>
      <c r="B8" s="34">
        <f t="shared" si="0"/>
        <v>3</v>
      </c>
      <c r="C8" s="35" t="s">
        <v>48</v>
      </c>
      <c r="D8" s="35"/>
      <c r="E8" s="35"/>
      <c r="F8" s="35"/>
      <c r="G8" s="28"/>
      <c r="H8" s="88">
        <v>3</v>
      </c>
      <c r="I8" s="89">
        <f t="shared" si="1"/>
        <v>32.584515432244977</v>
      </c>
      <c r="J8" s="89">
        <f t="shared" si="5"/>
        <v>3</v>
      </c>
      <c r="K8" s="88">
        <f t="shared" si="2"/>
        <v>30</v>
      </c>
      <c r="L8" s="90">
        <f>K2</f>
        <v>8.4061179919661626</v>
      </c>
      <c r="M8" s="90">
        <f t="shared" si="3"/>
        <v>70.99063342421114</v>
      </c>
    </row>
    <row r="9" spans="1:36" s="79" customFormat="1" ht="14.45" customHeight="1" x14ac:dyDescent="0.25">
      <c r="A9" s="91">
        <f t="shared" si="4"/>
        <v>70.99063342421114</v>
      </c>
      <c r="B9" s="40">
        <f>IF(H9&gt;$H$2,"",3)</f>
        <v>3</v>
      </c>
      <c r="C9" s="41" t="s">
        <v>48</v>
      </c>
      <c r="D9" s="41"/>
      <c r="E9" s="41"/>
      <c r="F9" s="41"/>
      <c r="G9" s="28"/>
      <c r="H9" s="92">
        <v>3</v>
      </c>
      <c r="I9" s="93">
        <f t="shared" si="1"/>
        <v>32.584515432244977</v>
      </c>
      <c r="J9" s="92">
        <f t="shared" si="5"/>
        <v>3</v>
      </c>
      <c r="K9" s="92">
        <f t="shared" si="2"/>
        <v>30</v>
      </c>
      <c r="L9" s="94">
        <f>K2</f>
        <v>8.4061179919661626</v>
      </c>
      <c r="M9" s="94">
        <f t="shared" si="3"/>
        <v>70.99063342421114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48</v>
      </c>
      <c r="AI9" s="79">
        <v>23</v>
      </c>
    </row>
    <row r="10" spans="1:36" ht="14.45" customHeight="1" x14ac:dyDescent="0.25">
      <c r="A10" s="87">
        <f t="shared" si="4"/>
        <v>44.486776257767197</v>
      </c>
      <c r="B10" s="34">
        <f t="shared" si="0"/>
        <v>5</v>
      </c>
      <c r="C10" s="35" t="s">
        <v>16</v>
      </c>
      <c r="D10" s="35"/>
      <c r="E10" s="35"/>
      <c r="F10" s="35"/>
      <c r="G10" s="28"/>
      <c r="H10" s="88">
        <v>5</v>
      </c>
      <c r="I10" s="89">
        <f t="shared" si="1"/>
        <v>24.486776257767197</v>
      </c>
      <c r="J10" s="89">
        <f t="shared" si="5"/>
        <v>2</v>
      </c>
      <c r="K10" s="88">
        <f t="shared" si="2"/>
        <v>20</v>
      </c>
      <c r="L10" s="88"/>
      <c r="M10" s="90">
        <f t="shared" si="3"/>
        <v>44.486776257767197</v>
      </c>
      <c r="V10" s="95"/>
      <c r="Z10" s="96"/>
      <c r="AA10" s="96"/>
      <c r="AG10" s="97"/>
      <c r="AH10" s="79" t="s">
        <v>50</v>
      </c>
      <c r="AI10" s="79">
        <v>45</v>
      </c>
    </row>
    <row r="11" spans="1:36" ht="14.45" customHeight="1" x14ac:dyDescent="0.25">
      <c r="A11" s="91">
        <f t="shared" si="4"/>
        <v>41.59656804558378</v>
      </c>
      <c r="B11" s="40">
        <f t="shared" si="0"/>
        <v>6</v>
      </c>
      <c r="C11" s="41" t="s">
        <v>48</v>
      </c>
      <c r="D11" s="41"/>
      <c r="E11" s="41"/>
      <c r="F11" s="41"/>
      <c r="G11" s="28"/>
      <c r="H11" s="92">
        <v>6</v>
      </c>
      <c r="I11" s="93">
        <f t="shared" si="1"/>
        <v>21.59656804558378</v>
      </c>
      <c r="J11" s="93">
        <f t="shared" si="5"/>
        <v>2</v>
      </c>
      <c r="K11" s="92">
        <f t="shared" si="2"/>
        <v>20</v>
      </c>
      <c r="L11" s="92"/>
      <c r="M11" s="94">
        <f t="shared" si="3"/>
        <v>41.59656804558378</v>
      </c>
      <c r="V11" s="98"/>
      <c r="Z11" s="96"/>
      <c r="AA11" s="96"/>
      <c r="AG11" s="97"/>
      <c r="AH11" s="79" t="s">
        <v>52</v>
      </c>
      <c r="AI11" s="79">
        <v>50</v>
      </c>
    </row>
    <row r="12" spans="1:36" ht="14.45" customHeight="1" x14ac:dyDescent="0.25">
      <c r="A12" s="87">
        <f t="shared" si="4"/>
        <v>39.152931820746701</v>
      </c>
      <c r="B12" s="34">
        <f t="shared" si="0"/>
        <v>7</v>
      </c>
      <c r="C12" s="35" t="s">
        <v>48</v>
      </c>
      <c r="D12" s="35"/>
      <c r="E12" s="35"/>
      <c r="F12" s="35"/>
      <c r="G12" s="28"/>
      <c r="H12" s="88">
        <v>7</v>
      </c>
      <c r="I12" s="89">
        <f t="shared" si="1"/>
        <v>19.152931820746701</v>
      </c>
      <c r="J12" s="89">
        <f t="shared" si="5"/>
        <v>2</v>
      </c>
      <c r="K12" s="88">
        <f t="shared" si="2"/>
        <v>20</v>
      </c>
      <c r="L12" s="88"/>
      <c r="M12" s="90">
        <f t="shared" si="3"/>
        <v>39.152931820746701</v>
      </c>
      <c r="Z12" s="96"/>
      <c r="AA12" s="96"/>
      <c r="AG12" s="97"/>
      <c r="AH12" s="79" t="s">
        <v>53</v>
      </c>
      <c r="AI12" s="79">
        <f>AI11-1</f>
        <v>49</v>
      </c>
    </row>
    <row r="13" spans="1:36" ht="14.45" customHeight="1" x14ac:dyDescent="0.25">
      <c r="A13" s="91">
        <f t="shared" si="4"/>
        <v>37.036157840016408</v>
      </c>
      <c r="B13" s="40">
        <f t="shared" si="0"/>
        <v>8</v>
      </c>
      <c r="C13" s="41" t="s">
        <v>48</v>
      </c>
      <c r="D13" s="41"/>
      <c r="E13" s="41"/>
      <c r="F13" s="41"/>
      <c r="G13" s="28"/>
      <c r="H13" s="92">
        <v>8</v>
      </c>
      <c r="I13" s="93">
        <f t="shared" si="1"/>
        <v>17.036157840016408</v>
      </c>
      <c r="J13" s="93">
        <f t="shared" si="5"/>
        <v>2</v>
      </c>
      <c r="K13" s="92">
        <f t="shared" si="2"/>
        <v>20</v>
      </c>
      <c r="L13" s="92"/>
      <c r="M13" s="94">
        <f t="shared" si="3"/>
        <v>37.036157840016408</v>
      </c>
      <c r="X13" s="95"/>
      <c r="AG13" s="97"/>
      <c r="AH13" s="79" t="s">
        <v>54</v>
      </c>
      <c r="AI13" s="79">
        <f>LOG(AI9)</f>
        <v>1.3617278360175928</v>
      </c>
    </row>
    <row r="14" spans="1:36" x14ac:dyDescent="0.25">
      <c r="A14" s="87">
        <f t="shared" si="4"/>
        <v>25.169030864489955</v>
      </c>
      <c r="B14" s="34">
        <f t="shared" si="0"/>
        <v>9</v>
      </c>
      <c r="C14" s="35" t="s">
        <v>48</v>
      </c>
      <c r="D14" s="35"/>
      <c r="E14" s="35"/>
      <c r="F14" s="35"/>
      <c r="G14" s="28"/>
      <c r="H14" s="88">
        <v>9</v>
      </c>
      <c r="I14" s="89">
        <f t="shared" si="1"/>
        <v>15.169030864489955</v>
      </c>
      <c r="J14" s="89">
        <f t="shared" si="5"/>
        <v>1</v>
      </c>
      <c r="K14" s="88">
        <f t="shared" si="2"/>
        <v>10</v>
      </c>
      <c r="L14" s="88"/>
      <c r="M14" s="90">
        <f t="shared" si="3"/>
        <v>25.169030864489955</v>
      </c>
      <c r="X14" s="99"/>
      <c r="Z14" s="96"/>
      <c r="AA14" s="96"/>
      <c r="AG14" s="97"/>
      <c r="AH14" s="79" t="s">
        <v>55</v>
      </c>
      <c r="AI14" s="79">
        <f>LOG(AI10)</f>
        <v>1.6532125137753437</v>
      </c>
    </row>
    <row r="15" spans="1:36" x14ac:dyDescent="0.25">
      <c r="A15" s="91">
        <f t="shared" si="4"/>
        <v>23.498828871105999</v>
      </c>
      <c r="B15" s="40">
        <f t="shared" si="0"/>
        <v>10</v>
      </c>
      <c r="C15" s="41" t="s">
        <v>48</v>
      </c>
      <c r="D15" s="41"/>
      <c r="E15" s="41"/>
      <c r="F15" s="41"/>
      <c r="G15" s="28"/>
      <c r="H15" s="92">
        <v>10</v>
      </c>
      <c r="I15" s="93">
        <f t="shared" si="1"/>
        <v>13.498828871105999</v>
      </c>
      <c r="J15" s="93">
        <f t="shared" si="5"/>
        <v>1</v>
      </c>
      <c r="K15" s="92">
        <f t="shared" si="2"/>
        <v>10</v>
      </c>
      <c r="L15" s="92"/>
      <c r="M15" s="94">
        <f t="shared" si="3"/>
        <v>23.498828871105999</v>
      </c>
      <c r="X15" s="95"/>
      <c r="Z15" s="96"/>
      <c r="AA15" s="96"/>
    </row>
    <row r="16" spans="1:36" x14ac:dyDescent="0.25">
      <c r="A16" s="87">
        <f t="shared" si="4"/>
        <v>21.98794738666119</v>
      </c>
      <c r="B16" s="34">
        <f t="shared" si="0"/>
        <v>11</v>
      </c>
      <c r="C16" s="35" t="s">
        <v>48</v>
      </c>
      <c r="D16" s="35"/>
      <c r="E16" s="35"/>
      <c r="F16" s="35"/>
      <c r="G16" s="28"/>
      <c r="H16" s="88">
        <v>11</v>
      </c>
      <c r="I16" s="89">
        <f t="shared" si="1"/>
        <v>11.98794738666119</v>
      </c>
      <c r="J16" s="89">
        <f t="shared" si="5"/>
        <v>1</v>
      </c>
      <c r="K16" s="88">
        <f t="shared" si="2"/>
        <v>10</v>
      </c>
      <c r="L16" s="88"/>
      <c r="M16" s="90">
        <f t="shared" si="3"/>
        <v>21.98794738666119</v>
      </c>
      <c r="R16" s="100"/>
      <c r="Z16" s="96"/>
      <c r="AA16" s="96"/>
      <c r="AH16" s="101" t="s">
        <v>56</v>
      </c>
      <c r="AI16" s="79">
        <f>AI11-AI12*AI13/AI14</f>
        <v>9.6393909380186855</v>
      </c>
      <c r="AJ16" s="79" t="s">
        <v>57</v>
      </c>
    </row>
    <row r="17" spans="1:19" x14ac:dyDescent="0.25">
      <c r="A17" s="91">
        <f t="shared" si="4"/>
        <v>20.608620658922582</v>
      </c>
      <c r="B17" s="40">
        <f t="shared" si="0"/>
        <v>12</v>
      </c>
      <c r="C17" s="41" t="s">
        <v>48</v>
      </c>
      <c r="D17" s="41"/>
      <c r="E17" s="41"/>
      <c r="F17" s="41"/>
      <c r="G17" s="28"/>
      <c r="H17" s="92">
        <v>12</v>
      </c>
      <c r="I17" s="93">
        <f t="shared" si="1"/>
        <v>10.608620658922582</v>
      </c>
      <c r="J17" s="93">
        <f t="shared" si="5"/>
        <v>1</v>
      </c>
      <c r="K17" s="92">
        <f t="shared" si="2"/>
        <v>10</v>
      </c>
      <c r="L17" s="92"/>
      <c r="M17" s="94">
        <f t="shared" si="3"/>
        <v>20.608620658922582</v>
      </c>
    </row>
    <row r="18" spans="1:19" x14ac:dyDescent="0.25">
      <c r="A18" s="87">
        <f t="shared" si="4"/>
        <v>19.339763069554294</v>
      </c>
      <c r="B18" s="34">
        <f t="shared" si="0"/>
        <v>13</v>
      </c>
      <c r="C18" s="35" t="s">
        <v>48</v>
      </c>
      <c r="D18" s="35"/>
      <c r="E18" s="35"/>
      <c r="F18" s="35"/>
      <c r="G18" s="28"/>
      <c r="H18" s="88">
        <v>13</v>
      </c>
      <c r="I18" s="89">
        <f t="shared" si="1"/>
        <v>9.3397630695542944</v>
      </c>
      <c r="J18" s="89">
        <f t="shared" si="5"/>
        <v>1</v>
      </c>
      <c r="K18" s="88">
        <f t="shared" si="2"/>
        <v>10</v>
      </c>
      <c r="L18" s="88"/>
      <c r="M18" s="90">
        <f t="shared" si="3"/>
        <v>19.339763069554294</v>
      </c>
    </row>
    <row r="19" spans="1:19" x14ac:dyDescent="0.25">
      <c r="A19" s="91">
        <f t="shared" si="4"/>
        <v>18.164984434085504</v>
      </c>
      <c r="B19" s="40">
        <f t="shared" si="0"/>
        <v>14</v>
      </c>
      <c r="C19" s="41" t="s">
        <v>48</v>
      </c>
      <c r="D19" s="41"/>
      <c r="E19" s="41"/>
      <c r="F19" s="41"/>
      <c r="G19" s="28"/>
      <c r="H19" s="92">
        <v>14</v>
      </c>
      <c r="I19" s="93">
        <f t="shared" si="1"/>
        <v>8.164984434085504</v>
      </c>
      <c r="J19" s="93">
        <f t="shared" si="5"/>
        <v>1</v>
      </c>
      <c r="K19" s="92">
        <f t="shared" si="2"/>
        <v>10</v>
      </c>
      <c r="L19" s="92"/>
      <c r="M19" s="94">
        <f t="shared" si="3"/>
        <v>18.164984434085504</v>
      </c>
    </row>
    <row r="20" spans="1:19" x14ac:dyDescent="0.25">
      <c r="A20" s="87">
        <f t="shared" si="4"/>
        <v>17.071291690012167</v>
      </c>
      <c r="B20" s="34">
        <f t="shared" si="0"/>
        <v>15</v>
      </c>
      <c r="C20" s="35" t="s">
        <v>48</v>
      </c>
      <c r="D20" s="35"/>
      <c r="E20" s="35"/>
      <c r="F20" s="35"/>
      <c r="G20" s="28"/>
      <c r="H20" s="88">
        <v>15</v>
      </c>
      <c r="I20" s="89">
        <f t="shared" si="1"/>
        <v>7.071291690012167</v>
      </c>
      <c r="J20" s="89">
        <f t="shared" si="5"/>
        <v>1</v>
      </c>
      <c r="K20" s="88">
        <f t="shared" si="2"/>
        <v>10</v>
      </c>
      <c r="L20" s="88"/>
      <c r="M20" s="90">
        <f t="shared" si="3"/>
        <v>17.071291690012167</v>
      </c>
      <c r="R20" s="102"/>
      <c r="S20" s="103"/>
    </row>
    <row r="21" spans="1:19" x14ac:dyDescent="0.25">
      <c r="A21" s="91">
        <f t="shared" si="4"/>
        <v>16.04821045335521</v>
      </c>
      <c r="B21" s="40">
        <f t="shared" si="0"/>
        <v>16</v>
      </c>
      <c r="C21" s="41" t="s">
        <v>48</v>
      </c>
      <c r="D21" s="41"/>
      <c r="E21" s="41"/>
      <c r="F21" s="41"/>
      <c r="G21" s="28"/>
      <c r="H21" s="92">
        <v>16</v>
      </c>
      <c r="I21" s="93">
        <f t="shared" si="1"/>
        <v>6.0482104533552103</v>
      </c>
      <c r="J21" s="93">
        <f t="shared" si="5"/>
        <v>1</v>
      </c>
      <c r="K21" s="92">
        <f t="shared" si="2"/>
        <v>10</v>
      </c>
      <c r="L21" s="92"/>
      <c r="M21" s="94">
        <f t="shared" si="3"/>
        <v>16.04821045335521</v>
      </c>
    </row>
    <row r="22" spans="1:19" x14ac:dyDescent="0.25">
      <c r="A22" s="87">
        <f t="shared" si="4"/>
        <v>5.0871733554085878</v>
      </c>
      <c r="B22" s="34">
        <f t="shared" si="0"/>
        <v>17</v>
      </c>
      <c r="C22" s="35" t="s">
        <v>48</v>
      </c>
      <c r="D22" s="35"/>
      <c r="E22" s="35"/>
      <c r="F22" s="35"/>
      <c r="G22" s="28"/>
      <c r="H22" s="88">
        <v>17</v>
      </c>
      <c r="I22" s="89">
        <f t="shared" si="1"/>
        <v>5.0871733554085878</v>
      </c>
      <c r="J22" s="89">
        <f t="shared" si="5"/>
        <v>0</v>
      </c>
      <c r="K22" s="88">
        <f t="shared" si="2"/>
        <v>0</v>
      </c>
      <c r="L22" s="88"/>
      <c r="M22" s="90">
        <f t="shared" si="3"/>
        <v>5.0871733554085878</v>
      </c>
    </row>
    <row r="23" spans="1:19" x14ac:dyDescent="0.25">
      <c r="A23" s="91">
        <f t="shared" si="4"/>
        <v>4.1810834778287571</v>
      </c>
      <c r="B23" s="40">
        <f t="shared" si="0"/>
        <v>18</v>
      </c>
      <c r="C23" s="41" t="s">
        <v>48</v>
      </c>
      <c r="D23" s="41"/>
      <c r="E23" s="41"/>
      <c r="F23" s="41"/>
      <c r="G23" s="28"/>
      <c r="H23" s="92">
        <v>18</v>
      </c>
      <c r="I23" s="93">
        <f t="shared" si="1"/>
        <v>4.1810834778287571</v>
      </c>
      <c r="J23" s="93">
        <f t="shared" si="5"/>
        <v>0</v>
      </c>
      <c r="K23" s="92">
        <f t="shared" si="2"/>
        <v>0</v>
      </c>
      <c r="L23" s="92"/>
      <c r="M23" s="94">
        <f t="shared" si="3"/>
        <v>4.1810834778287571</v>
      </c>
    </row>
    <row r="24" spans="1:19" x14ac:dyDescent="0.25">
      <c r="A24" s="87">
        <f t="shared" si="4"/>
        <v>3.323995979931361</v>
      </c>
      <c r="B24" s="34">
        <f t="shared" si="0"/>
        <v>19</v>
      </c>
      <c r="C24" s="35" t="s">
        <v>18</v>
      </c>
      <c r="D24" s="35"/>
      <c r="E24" s="35"/>
      <c r="F24" s="35"/>
      <c r="G24" s="28"/>
      <c r="H24" s="88">
        <v>19</v>
      </c>
      <c r="I24" s="89">
        <f t="shared" si="1"/>
        <v>3.323995979931361</v>
      </c>
      <c r="J24" s="89">
        <f t="shared" si="5"/>
        <v>0</v>
      </c>
      <c r="K24" s="88">
        <f t="shared" si="2"/>
        <v>0</v>
      </c>
      <c r="L24" s="88"/>
      <c r="M24" s="90">
        <f t="shared" si="3"/>
        <v>3.323995979931361</v>
      </c>
      <c r="R24" s="102"/>
      <c r="S24" s="103"/>
    </row>
    <row r="25" spans="1:19" x14ac:dyDescent="0.25">
      <c r="A25" s="91">
        <f t="shared" si="4"/>
        <v>2.5108814844447949</v>
      </c>
      <c r="B25" s="40">
        <f t="shared" si="0"/>
        <v>20</v>
      </c>
      <c r="C25" s="41" t="s">
        <v>48</v>
      </c>
      <c r="D25" s="41"/>
      <c r="E25" s="41"/>
      <c r="F25" s="41"/>
      <c r="G25" s="28"/>
      <c r="H25" s="92">
        <v>20</v>
      </c>
      <c r="I25" s="93">
        <f t="shared" si="1"/>
        <v>2.5108814844447949</v>
      </c>
      <c r="J25" s="93">
        <f t="shared" si="5"/>
        <v>0</v>
      </c>
      <c r="K25" s="92">
        <f t="shared" si="2"/>
        <v>0</v>
      </c>
      <c r="L25" s="92"/>
      <c r="M25" s="94">
        <f t="shared" si="3"/>
        <v>2.5108814844447949</v>
      </c>
    </row>
    <row r="26" spans="1:19" x14ac:dyDescent="0.25">
      <c r="A26" s="87">
        <f t="shared" si="4"/>
        <v>1.7374472529916716</v>
      </c>
      <c r="B26" s="34">
        <f t="shared" si="0"/>
        <v>21</v>
      </c>
      <c r="C26" s="35" t="s">
        <v>48</v>
      </c>
      <c r="D26" s="35"/>
      <c r="E26" s="35"/>
      <c r="F26" s="35"/>
      <c r="G26" s="28"/>
      <c r="H26" s="88">
        <v>21</v>
      </c>
      <c r="I26" s="89">
        <f t="shared" si="1"/>
        <v>1.7374472529916716</v>
      </c>
      <c r="J26" s="89">
        <f t="shared" si="5"/>
        <v>0</v>
      </c>
      <c r="K26" s="88">
        <f t="shared" si="2"/>
        <v>0</v>
      </c>
      <c r="L26" s="88"/>
      <c r="M26" s="90">
        <f t="shared" si="3"/>
        <v>1.7374472529916716</v>
      </c>
    </row>
    <row r="27" spans="1:19" x14ac:dyDescent="0.25">
      <c r="A27" s="91">
        <f t="shared" si="4"/>
        <v>1</v>
      </c>
      <c r="B27" s="40">
        <f t="shared" si="0"/>
        <v>22</v>
      </c>
      <c r="C27" s="41" t="s">
        <v>48</v>
      </c>
      <c r="D27" s="41"/>
      <c r="E27" s="41"/>
      <c r="F27" s="41"/>
      <c r="G27" s="28"/>
      <c r="H27" s="92">
        <v>22</v>
      </c>
      <c r="I27" s="93">
        <f t="shared" si="1"/>
        <v>1</v>
      </c>
      <c r="J27" s="93">
        <f t="shared" si="5"/>
        <v>0</v>
      </c>
      <c r="K27" s="92">
        <f t="shared" si="2"/>
        <v>0</v>
      </c>
      <c r="L27" s="92"/>
      <c r="M27" s="94">
        <f t="shared" si="3"/>
        <v>1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88">
        <v>23</v>
      </c>
      <c r="I28" s="89" t="str">
        <f t="shared" si="1"/>
        <v/>
      </c>
      <c r="J28" s="89">
        <f t="shared" si="5"/>
        <v>0</v>
      </c>
      <c r="K28" s="88">
        <f t="shared" si="2"/>
        <v>0</v>
      </c>
      <c r="L28" s="88"/>
      <c r="M28" s="90">
        <f t="shared" si="3"/>
        <v>0</v>
      </c>
      <c r="R28" s="102"/>
      <c r="S28" s="103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74"/>
      <c r="H29" s="92">
        <v>24</v>
      </c>
      <c r="I29" s="93" t="str">
        <f t="shared" si="1"/>
        <v/>
      </c>
      <c r="J29" s="93">
        <f t="shared" si="5"/>
        <v>0</v>
      </c>
      <c r="K29" s="92">
        <f t="shared" si="2"/>
        <v>0</v>
      </c>
      <c r="L29" s="92"/>
      <c r="M29" s="94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74"/>
      <c r="H30" s="88">
        <v>25</v>
      </c>
      <c r="I30" s="89" t="str">
        <f t="shared" si="1"/>
        <v/>
      </c>
      <c r="J30" s="89">
        <f t="shared" si="5"/>
        <v>0</v>
      </c>
      <c r="K30" s="88">
        <f t="shared" si="2"/>
        <v>0</v>
      </c>
      <c r="L30" s="88"/>
      <c r="M30" s="90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3">
        <f t="shared" si="5"/>
        <v>0</v>
      </c>
      <c r="K31" s="92">
        <f t="shared" si="2"/>
        <v>0</v>
      </c>
      <c r="L31" s="92"/>
      <c r="M31" s="94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9">
        <f t="shared" si="5"/>
        <v>0</v>
      </c>
      <c r="K32" s="88">
        <f t="shared" si="2"/>
        <v>0</v>
      </c>
      <c r="L32" s="88"/>
      <c r="M32" s="90">
        <f t="shared" si="3"/>
        <v>0</v>
      </c>
      <c r="R32" s="102"/>
      <c r="S32" s="103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3">
        <f t="shared" si="5"/>
        <v>0</v>
      </c>
      <c r="K33" s="92">
        <f t="shared" si="2"/>
        <v>0</v>
      </c>
      <c r="L33" s="92"/>
      <c r="M33" s="94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9">
        <f t="shared" si="5"/>
        <v>0</v>
      </c>
      <c r="K34" s="88">
        <f t="shared" si="2"/>
        <v>0</v>
      </c>
      <c r="L34" s="88"/>
      <c r="M34" s="90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3">
        <f t="shared" si="5"/>
        <v>0</v>
      </c>
      <c r="K35" s="92">
        <f t="shared" si="2"/>
        <v>0</v>
      </c>
      <c r="L35" s="92"/>
      <c r="M35" s="94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9">
        <f t="shared" si="5"/>
        <v>0</v>
      </c>
      <c r="K36" s="88">
        <f t="shared" si="2"/>
        <v>0</v>
      </c>
      <c r="L36" s="88"/>
      <c r="M36" s="90">
        <f t="shared" si="3"/>
        <v>0</v>
      </c>
      <c r="R36" s="102"/>
      <c r="S36" s="103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3">
        <f t="shared" si="5"/>
        <v>0</v>
      </c>
      <c r="K37" s="92">
        <f t="shared" si="2"/>
        <v>0</v>
      </c>
      <c r="L37" s="92"/>
      <c r="M37" s="94">
        <f t="shared" si="3"/>
        <v>0</v>
      </c>
    </row>
    <row r="38" spans="1:21" x14ac:dyDescent="0.25">
      <c r="A38" s="87"/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9">
        <f t="shared" si="5"/>
        <v>-1</v>
      </c>
      <c r="K38" s="88">
        <f t="shared" si="2"/>
        <v>-10</v>
      </c>
      <c r="L38" s="88"/>
      <c r="M38" s="90">
        <f t="shared" si="3"/>
        <v>0</v>
      </c>
    </row>
    <row r="39" spans="1:21" x14ac:dyDescent="0.25">
      <c r="A39" s="91"/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3">
        <f t="shared" si="5"/>
        <v>-1</v>
      </c>
      <c r="K39" s="92">
        <f t="shared" si="2"/>
        <v>-10</v>
      </c>
      <c r="L39" s="92"/>
      <c r="M39" s="94">
        <f t="shared" si="3"/>
        <v>0</v>
      </c>
    </row>
    <row r="40" spans="1:21" x14ac:dyDescent="0.25">
      <c r="A40" s="87"/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9">
        <f t="shared" si="5"/>
        <v>-1</v>
      </c>
      <c r="K40" s="88">
        <f t="shared" si="2"/>
        <v>-10</v>
      </c>
      <c r="L40" s="88"/>
      <c r="M40" s="90">
        <f t="shared" si="3"/>
        <v>0</v>
      </c>
    </row>
    <row r="41" spans="1:21" x14ac:dyDescent="0.25">
      <c r="A41" s="91"/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3">
        <f t="shared" si="5"/>
        <v>-1</v>
      </c>
      <c r="K41" s="92">
        <f t="shared" si="2"/>
        <v>-10</v>
      </c>
      <c r="L41" s="92"/>
      <c r="M41" s="94">
        <f t="shared" si="3"/>
        <v>0</v>
      </c>
      <c r="S41" s="104"/>
    </row>
    <row r="42" spans="1:21" x14ac:dyDescent="0.25">
      <c r="A42" s="87"/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9">
        <f t="shared" si="5"/>
        <v>-1</v>
      </c>
      <c r="K42" s="88">
        <f t="shared" si="2"/>
        <v>-10</v>
      </c>
      <c r="L42" s="88"/>
      <c r="M42" s="90">
        <f t="shared" si="3"/>
        <v>0</v>
      </c>
    </row>
    <row r="43" spans="1:21" x14ac:dyDescent="0.25">
      <c r="A43" s="91"/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3">
        <f t="shared" si="5"/>
        <v>-1</v>
      </c>
      <c r="K43" s="92">
        <f t="shared" si="2"/>
        <v>-10</v>
      </c>
      <c r="L43" s="92"/>
      <c r="M43" s="94">
        <f t="shared" si="3"/>
        <v>0</v>
      </c>
    </row>
    <row r="44" spans="1:21" x14ac:dyDescent="0.25">
      <c r="A44" s="87"/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9">
        <f t="shared" si="5"/>
        <v>-1</v>
      </c>
      <c r="K44" s="88">
        <f t="shared" si="2"/>
        <v>-10</v>
      </c>
      <c r="L44" s="88"/>
      <c r="M44" s="90">
        <f t="shared" si="3"/>
        <v>0</v>
      </c>
    </row>
    <row r="45" spans="1:21" x14ac:dyDescent="0.25">
      <c r="A45" s="91"/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3">
        <f t="shared" si="5"/>
        <v>-1</v>
      </c>
      <c r="K45" s="92">
        <f t="shared" si="2"/>
        <v>-10</v>
      </c>
      <c r="L45" s="92"/>
      <c r="M45" s="94">
        <f t="shared" si="3"/>
        <v>0</v>
      </c>
    </row>
    <row r="46" spans="1:21" x14ac:dyDescent="0.25">
      <c r="A46" s="87"/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9">
        <f t="shared" si="5"/>
        <v>-1</v>
      </c>
      <c r="K46" s="88">
        <f t="shared" si="2"/>
        <v>-10</v>
      </c>
      <c r="L46" s="88"/>
      <c r="M46" s="90">
        <f t="shared" si="3"/>
        <v>0</v>
      </c>
      <c r="R46" s="74">
        <f>LOG($H$2,2)</f>
        <v>4.4594316186372973</v>
      </c>
      <c r="T46" s="79">
        <f>LOG(H38,2)</f>
        <v>5.0443941193584534</v>
      </c>
      <c r="U46" s="79">
        <f>R46-T46</f>
        <v>-0.58496250072115608</v>
      </c>
    </row>
    <row r="47" spans="1:21" x14ac:dyDescent="0.25">
      <c r="A47" s="91"/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3">
        <f t="shared" si="5"/>
        <v>-1</v>
      </c>
      <c r="K47" s="92">
        <f t="shared" si="2"/>
        <v>-10</v>
      </c>
      <c r="L47" s="92"/>
      <c r="M47" s="94">
        <f t="shared" si="3"/>
        <v>0</v>
      </c>
    </row>
    <row r="48" spans="1:21" x14ac:dyDescent="0.25">
      <c r="A48" s="87"/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9">
        <f t="shared" si="5"/>
        <v>-1</v>
      </c>
      <c r="K48" s="88">
        <f t="shared" si="2"/>
        <v>-10</v>
      </c>
      <c r="L48" s="88"/>
      <c r="M48" s="90">
        <f t="shared" si="3"/>
        <v>0</v>
      </c>
    </row>
    <row r="49" spans="1:13" x14ac:dyDescent="0.25">
      <c r="A49" s="91"/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3">
        <f t="shared" si="5"/>
        <v>-1</v>
      </c>
      <c r="K49" s="92">
        <f t="shared" si="2"/>
        <v>-10</v>
      </c>
      <c r="L49" s="92"/>
      <c r="M49" s="94">
        <f t="shared" si="3"/>
        <v>0</v>
      </c>
    </row>
    <row r="50" spans="1:13" x14ac:dyDescent="0.25">
      <c r="A50" s="87"/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9">
        <f t="shared" si="5"/>
        <v>-1</v>
      </c>
      <c r="K50" s="88">
        <f t="shared" si="2"/>
        <v>-10</v>
      </c>
      <c r="L50" s="88"/>
      <c r="M50" s="90">
        <f t="shared" si="3"/>
        <v>0</v>
      </c>
    </row>
    <row r="51" spans="1:13" x14ac:dyDescent="0.25">
      <c r="A51" s="91"/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3">
        <f t="shared" si="5"/>
        <v>-1</v>
      </c>
      <c r="K51" s="92">
        <f t="shared" si="2"/>
        <v>-10</v>
      </c>
      <c r="L51" s="92"/>
      <c r="M51" s="94">
        <f t="shared" si="3"/>
        <v>0</v>
      </c>
    </row>
    <row r="52" spans="1:13" x14ac:dyDescent="0.25">
      <c r="A52" s="87"/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9">
        <f t="shared" si="5"/>
        <v>-1</v>
      </c>
      <c r="K52" s="88">
        <f t="shared" si="2"/>
        <v>-10</v>
      </c>
      <c r="L52" s="88"/>
      <c r="M52" s="90">
        <f t="shared" si="3"/>
        <v>0</v>
      </c>
    </row>
    <row r="53" spans="1:13" x14ac:dyDescent="0.25">
      <c r="A53" s="91"/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3">
        <f t="shared" si="5"/>
        <v>-1</v>
      </c>
      <c r="K53" s="92">
        <f t="shared" si="2"/>
        <v>-10</v>
      </c>
      <c r="L53" s="92"/>
      <c r="M53" s="94">
        <f t="shared" si="3"/>
        <v>0</v>
      </c>
    </row>
    <row r="54" spans="1:13" x14ac:dyDescent="0.25">
      <c r="A54" s="87"/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9">
        <f t="shared" si="5"/>
        <v>-1</v>
      </c>
      <c r="K54" s="88">
        <f t="shared" si="2"/>
        <v>-10</v>
      </c>
      <c r="L54" s="88"/>
      <c r="M54" s="90">
        <f t="shared" si="3"/>
        <v>0</v>
      </c>
    </row>
    <row r="55" spans="1:13" x14ac:dyDescent="0.25">
      <c r="A55" s="91"/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3">
        <f t="shared" si="5"/>
        <v>-1</v>
      </c>
      <c r="K55" s="92">
        <f t="shared" si="2"/>
        <v>-10</v>
      </c>
      <c r="L55" s="92"/>
      <c r="M55" s="94">
        <f t="shared" si="3"/>
        <v>0</v>
      </c>
    </row>
    <row r="56" spans="1:13" x14ac:dyDescent="0.25">
      <c r="A56" s="87"/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9">
        <f t="shared" si="5"/>
        <v>-1</v>
      </c>
      <c r="K56" s="88">
        <f t="shared" si="2"/>
        <v>-10</v>
      </c>
      <c r="L56" s="88"/>
      <c r="M56" s="90">
        <f t="shared" si="3"/>
        <v>0</v>
      </c>
    </row>
    <row r="57" spans="1:13" x14ac:dyDescent="0.25">
      <c r="A57" s="91"/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3">
        <f t="shared" si="5"/>
        <v>-1</v>
      </c>
      <c r="K57" s="92">
        <f t="shared" si="2"/>
        <v>-10</v>
      </c>
      <c r="L57" s="92"/>
      <c r="M57" s="94">
        <f t="shared" si="3"/>
        <v>0</v>
      </c>
    </row>
    <row r="58" spans="1:13" x14ac:dyDescent="0.25">
      <c r="A58" s="87"/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9">
        <f t="shared" si="5"/>
        <v>-1</v>
      </c>
      <c r="K58" s="88">
        <f t="shared" si="2"/>
        <v>-10</v>
      </c>
      <c r="L58" s="88"/>
      <c r="M58" s="90">
        <f t="shared" si="3"/>
        <v>0</v>
      </c>
    </row>
    <row r="59" spans="1:13" x14ac:dyDescent="0.25">
      <c r="A59" s="91"/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3">
        <f t="shared" si="5"/>
        <v>-1</v>
      </c>
      <c r="K59" s="92">
        <f t="shared" si="2"/>
        <v>-10</v>
      </c>
      <c r="L59" s="92"/>
      <c r="M59" s="94">
        <f t="shared" si="3"/>
        <v>0</v>
      </c>
    </row>
    <row r="60" spans="1:13" x14ac:dyDescent="0.25">
      <c r="A60" s="87"/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9">
        <f t="shared" si="5"/>
        <v>-1</v>
      </c>
      <c r="K60" s="88">
        <f t="shared" si="2"/>
        <v>-10</v>
      </c>
      <c r="L60" s="88"/>
      <c r="M60" s="90">
        <f t="shared" si="3"/>
        <v>0</v>
      </c>
    </row>
    <row r="61" spans="1:13" x14ac:dyDescent="0.25">
      <c r="A61" s="91"/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3">
        <f t="shared" si="5"/>
        <v>-1</v>
      </c>
      <c r="K61" s="92">
        <f t="shared" si="2"/>
        <v>-10</v>
      </c>
      <c r="L61" s="92"/>
      <c r="M61" s="94">
        <f t="shared" si="3"/>
        <v>0</v>
      </c>
    </row>
    <row r="62" spans="1:13" x14ac:dyDescent="0.25">
      <c r="A62" s="87"/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9">
        <f t="shared" si="5"/>
        <v>-1</v>
      </c>
      <c r="K62" s="88">
        <f t="shared" si="2"/>
        <v>-10</v>
      </c>
      <c r="L62" s="88"/>
      <c r="M62" s="90">
        <f t="shared" si="3"/>
        <v>0</v>
      </c>
    </row>
    <row r="63" spans="1:13" x14ac:dyDescent="0.25">
      <c r="A63" s="91"/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3">
        <f t="shared" si="5"/>
        <v>-1</v>
      </c>
      <c r="K63" s="92">
        <f t="shared" si="2"/>
        <v>-10</v>
      </c>
      <c r="L63" s="92"/>
      <c r="M63" s="94">
        <f t="shared" si="3"/>
        <v>0</v>
      </c>
    </row>
    <row r="64" spans="1:13" x14ac:dyDescent="0.25">
      <c r="A64" s="87"/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9">
        <f t="shared" si="5"/>
        <v>-1</v>
      </c>
      <c r="K64" s="88">
        <f t="shared" si="2"/>
        <v>-10</v>
      </c>
      <c r="L64" s="88"/>
      <c r="M64" s="90">
        <f t="shared" si="3"/>
        <v>0</v>
      </c>
    </row>
    <row r="65" spans="1:13" x14ac:dyDescent="0.25">
      <c r="A65" s="91"/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3">
        <f t="shared" si="5"/>
        <v>-1</v>
      </c>
      <c r="K65" s="92">
        <f t="shared" si="2"/>
        <v>-10</v>
      </c>
      <c r="L65" s="92"/>
      <c r="M65" s="94">
        <f t="shared" si="3"/>
        <v>0</v>
      </c>
    </row>
    <row r="66" spans="1:13" x14ac:dyDescent="0.25">
      <c r="A66" s="106"/>
      <c r="B66" s="34"/>
      <c r="G66" s="74"/>
      <c r="H66" s="88">
        <v>61</v>
      </c>
      <c r="I66" s="89" t="str">
        <f t="shared" si="1"/>
        <v/>
      </c>
      <c r="J66" s="89">
        <f t="shared" si="5"/>
        <v>-1</v>
      </c>
      <c r="K66" s="88">
        <f t="shared" si="2"/>
        <v>-10</v>
      </c>
      <c r="L66" s="88"/>
      <c r="M66" s="90">
        <f t="shared" si="3"/>
        <v>0</v>
      </c>
    </row>
    <row r="67" spans="1:13" x14ac:dyDescent="0.25">
      <c r="A67" s="106"/>
      <c r="B67" s="40"/>
      <c r="G67" s="74"/>
      <c r="H67" s="88">
        <v>62</v>
      </c>
      <c r="I67" s="89" t="str">
        <f t="shared" si="1"/>
        <v/>
      </c>
      <c r="J67" s="89">
        <f t="shared" si="5"/>
        <v>-1</v>
      </c>
      <c r="K67" s="88">
        <f t="shared" si="2"/>
        <v>-10</v>
      </c>
      <c r="L67" s="88"/>
      <c r="M67" s="90">
        <f t="shared" si="3"/>
        <v>0</v>
      </c>
    </row>
    <row r="68" spans="1:13" x14ac:dyDescent="0.25">
      <c r="A68" s="106"/>
      <c r="B68" s="34"/>
      <c r="G68" s="74"/>
      <c r="H68" s="88">
        <v>63</v>
      </c>
      <c r="I68" s="89" t="str">
        <f t="shared" si="1"/>
        <v/>
      </c>
      <c r="J68" s="89">
        <f t="shared" si="5"/>
        <v>-1</v>
      </c>
      <c r="K68" s="88">
        <f t="shared" si="2"/>
        <v>-10</v>
      </c>
      <c r="L68" s="88"/>
      <c r="M68" s="90">
        <f t="shared" si="3"/>
        <v>0</v>
      </c>
    </row>
    <row r="69" spans="1:13" x14ac:dyDescent="0.25">
      <c r="A69" s="106"/>
      <c r="B69" s="40"/>
      <c r="G69" s="74"/>
      <c r="H69" s="88">
        <v>64</v>
      </c>
      <c r="I69" s="89" t="str">
        <f t="shared" si="1"/>
        <v/>
      </c>
      <c r="J69" s="89">
        <f t="shared" si="5"/>
        <v>-1</v>
      </c>
      <c r="K69" s="88">
        <f t="shared" si="2"/>
        <v>-10</v>
      </c>
      <c r="L69" s="88"/>
      <c r="M69" s="90">
        <f t="shared" si="3"/>
        <v>0</v>
      </c>
    </row>
    <row r="70" spans="1:13" x14ac:dyDescent="0.25">
      <c r="A70" s="106"/>
      <c r="G70" s="74"/>
      <c r="H70" s="88">
        <v>65</v>
      </c>
      <c r="I70" s="89" t="str">
        <f t="shared" ref="I70:I133" si="6">IF(H70&lt;$H$2+1,($I$2-($I$2-1)*(LOG(H70)/LOG($H$2))),"")</f>
        <v/>
      </c>
      <c r="J70" s="89">
        <f t="shared" si="5"/>
        <v>-2</v>
      </c>
      <c r="K70" s="88">
        <f t="shared" ref="K70:K133" si="7">J70*$J$2</f>
        <v>-20</v>
      </c>
      <c r="L70" s="88"/>
      <c r="M70" s="90">
        <f t="shared" ref="M70:M133" si="8">IF(I70&lt;&gt;"",K70+I70+L70,0)</f>
        <v>0</v>
      </c>
    </row>
    <row r="71" spans="1:13" x14ac:dyDescent="0.25">
      <c r="A71" s="106"/>
      <c r="G71" s="74"/>
      <c r="H71" s="88">
        <v>66</v>
      </c>
      <c r="I71" s="89" t="str">
        <f t="shared" si="6"/>
        <v/>
      </c>
      <c r="J71" s="89">
        <f t="shared" ref="J71:J134" si="9">INT(LOG($H$2,2))-ROUNDUP(LOG(H71,2),0)+IF(OR($H$2=1,$H$2=2,$H$2=4,$H$2=8,$H$2=16,$H$2=32,$H$2=64,$H$2=128,$H$2=256),0,1)</f>
        <v>-2</v>
      </c>
      <c r="K71" s="88">
        <f t="shared" si="7"/>
        <v>-20</v>
      </c>
      <c r="L71" s="88"/>
      <c r="M71" s="90">
        <f t="shared" si="8"/>
        <v>0</v>
      </c>
    </row>
    <row r="72" spans="1:13" x14ac:dyDescent="0.25">
      <c r="A72" s="106"/>
      <c r="G72" s="74"/>
      <c r="H72" s="88">
        <v>67</v>
      </c>
      <c r="I72" s="89" t="str">
        <f t="shared" si="6"/>
        <v/>
      </c>
      <c r="J72" s="89">
        <f t="shared" si="9"/>
        <v>-2</v>
      </c>
      <c r="K72" s="88">
        <f t="shared" si="7"/>
        <v>-20</v>
      </c>
      <c r="L72" s="88"/>
      <c r="M72" s="90">
        <f t="shared" si="8"/>
        <v>0</v>
      </c>
    </row>
    <row r="73" spans="1:13" x14ac:dyDescent="0.25">
      <c r="A73" s="106"/>
      <c r="G73" s="74"/>
      <c r="H73" s="88">
        <v>68</v>
      </c>
      <c r="I73" s="89" t="str">
        <f t="shared" si="6"/>
        <v/>
      </c>
      <c r="J73" s="89">
        <f t="shared" si="9"/>
        <v>-2</v>
      </c>
      <c r="K73" s="88">
        <f t="shared" si="7"/>
        <v>-20</v>
      </c>
      <c r="L73" s="88"/>
      <c r="M73" s="90">
        <f t="shared" si="8"/>
        <v>0</v>
      </c>
    </row>
    <row r="74" spans="1:13" x14ac:dyDescent="0.25">
      <c r="A74" s="106"/>
      <c r="G74" s="74"/>
      <c r="H74" s="88">
        <v>69</v>
      </c>
      <c r="I74" s="89" t="str">
        <f t="shared" si="6"/>
        <v/>
      </c>
      <c r="J74" s="89">
        <f t="shared" si="9"/>
        <v>-2</v>
      </c>
      <c r="K74" s="88">
        <f t="shared" si="7"/>
        <v>-20</v>
      </c>
      <c r="L74" s="88"/>
      <c r="M74" s="90">
        <f t="shared" si="8"/>
        <v>0</v>
      </c>
    </row>
    <row r="75" spans="1:13" x14ac:dyDescent="0.25">
      <c r="A75" s="106"/>
      <c r="G75" s="74"/>
      <c r="H75" s="88">
        <v>70</v>
      </c>
      <c r="I75" s="89" t="str">
        <f t="shared" si="6"/>
        <v/>
      </c>
      <c r="J75" s="89">
        <f t="shared" si="9"/>
        <v>-2</v>
      </c>
      <c r="K75" s="88">
        <f t="shared" si="7"/>
        <v>-20</v>
      </c>
      <c r="L75" s="88"/>
      <c r="M75" s="90">
        <f t="shared" si="8"/>
        <v>0</v>
      </c>
    </row>
    <row r="76" spans="1:13" x14ac:dyDescent="0.25">
      <c r="A76" s="106"/>
      <c r="G76" s="74"/>
      <c r="H76" s="88">
        <v>71</v>
      </c>
      <c r="I76" s="89" t="str">
        <f t="shared" si="6"/>
        <v/>
      </c>
      <c r="J76" s="89">
        <f t="shared" si="9"/>
        <v>-2</v>
      </c>
      <c r="K76" s="88">
        <f t="shared" si="7"/>
        <v>-20</v>
      </c>
      <c r="L76" s="88"/>
      <c r="M76" s="90">
        <f t="shared" si="8"/>
        <v>0</v>
      </c>
    </row>
    <row r="77" spans="1:13" x14ac:dyDescent="0.25">
      <c r="A77" s="106"/>
      <c r="G77" s="74"/>
      <c r="H77" s="88">
        <v>72</v>
      </c>
      <c r="I77" s="89" t="str">
        <f t="shared" si="6"/>
        <v/>
      </c>
      <c r="J77" s="89">
        <f t="shared" si="9"/>
        <v>-2</v>
      </c>
      <c r="K77" s="88">
        <f t="shared" si="7"/>
        <v>-20</v>
      </c>
      <c r="L77" s="88"/>
      <c r="M77" s="90">
        <f t="shared" si="8"/>
        <v>0</v>
      </c>
    </row>
    <row r="78" spans="1:13" x14ac:dyDescent="0.25">
      <c r="A78" s="106"/>
      <c r="G78" s="74"/>
      <c r="H78" s="88">
        <v>73</v>
      </c>
      <c r="I78" s="89" t="str">
        <f t="shared" si="6"/>
        <v/>
      </c>
      <c r="J78" s="89">
        <f t="shared" si="9"/>
        <v>-2</v>
      </c>
      <c r="K78" s="88">
        <f t="shared" si="7"/>
        <v>-20</v>
      </c>
      <c r="L78" s="88"/>
      <c r="M78" s="90">
        <f t="shared" si="8"/>
        <v>0</v>
      </c>
    </row>
    <row r="79" spans="1:13" x14ac:dyDescent="0.25">
      <c r="A79" s="106"/>
      <c r="G79" s="74"/>
      <c r="H79" s="88">
        <v>74</v>
      </c>
      <c r="I79" s="89" t="str">
        <f t="shared" si="6"/>
        <v/>
      </c>
      <c r="J79" s="89">
        <f t="shared" si="9"/>
        <v>-2</v>
      </c>
      <c r="K79" s="88">
        <f t="shared" si="7"/>
        <v>-20</v>
      </c>
      <c r="L79" s="88"/>
      <c r="M79" s="90">
        <f t="shared" si="8"/>
        <v>0</v>
      </c>
    </row>
    <row r="80" spans="1:13" x14ac:dyDescent="0.25">
      <c r="A80" s="106"/>
      <c r="G80" s="74"/>
      <c r="H80" s="88">
        <v>75</v>
      </c>
      <c r="I80" s="89" t="str">
        <f t="shared" si="6"/>
        <v/>
      </c>
      <c r="J80" s="89">
        <f t="shared" si="9"/>
        <v>-2</v>
      </c>
      <c r="K80" s="88">
        <f t="shared" si="7"/>
        <v>-20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9">
        <f t="shared" si="9"/>
        <v>-2</v>
      </c>
      <c r="K81" s="88">
        <f t="shared" si="7"/>
        <v>-20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9">
        <f t="shared" si="9"/>
        <v>-2</v>
      </c>
      <c r="K82" s="88">
        <f t="shared" si="7"/>
        <v>-20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9">
        <f t="shared" si="9"/>
        <v>-2</v>
      </c>
      <c r="K83" s="88">
        <f t="shared" si="7"/>
        <v>-20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9">
        <f t="shared" si="9"/>
        <v>-2</v>
      </c>
      <c r="K84" s="88">
        <f t="shared" si="7"/>
        <v>-20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9">
        <f t="shared" si="9"/>
        <v>-2</v>
      </c>
      <c r="K85" s="88">
        <f t="shared" si="7"/>
        <v>-20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9">
        <f t="shared" si="9"/>
        <v>-2</v>
      </c>
      <c r="K86" s="88">
        <f t="shared" si="7"/>
        <v>-20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9">
        <f t="shared" si="9"/>
        <v>-2</v>
      </c>
      <c r="K87" s="88">
        <f t="shared" si="7"/>
        <v>-20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9">
        <f t="shared" si="9"/>
        <v>-2</v>
      </c>
      <c r="K88" s="88">
        <f t="shared" si="7"/>
        <v>-20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9">
        <f t="shared" si="9"/>
        <v>-2</v>
      </c>
      <c r="K89" s="88">
        <f t="shared" si="7"/>
        <v>-20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9">
        <f t="shared" si="9"/>
        <v>-2</v>
      </c>
      <c r="K90" s="88">
        <f t="shared" si="7"/>
        <v>-20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9">
        <f t="shared" si="9"/>
        <v>-2</v>
      </c>
      <c r="K91" s="88">
        <f t="shared" si="7"/>
        <v>-20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9">
        <f t="shared" si="9"/>
        <v>-2</v>
      </c>
      <c r="K92" s="88">
        <f t="shared" si="7"/>
        <v>-20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9">
        <f t="shared" si="9"/>
        <v>-2</v>
      </c>
      <c r="K93" s="88">
        <f t="shared" si="7"/>
        <v>-20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9">
        <f t="shared" si="9"/>
        <v>-2</v>
      </c>
      <c r="K94" s="88">
        <f t="shared" si="7"/>
        <v>-20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9">
        <f t="shared" si="9"/>
        <v>-2</v>
      </c>
      <c r="K95" s="88">
        <f t="shared" si="7"/>
        <v>-20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9">
        <f t="shared" si="9"/>
        <v>-2</v>
      </c>
      <c r="K96" s="88">
        <f t="shared" si="7"/>
        <v>-20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9">
        <f t="shared" si="9"/>
        <v>-2</v>
      </c>
      <c r="K97" s="88">
        <f t="shared" si="7"/>
        <v>-20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9">
        <f t="shared" si="9"/>
        <v>-2</v>
      </c>
      <c r="K98" s="88">
        <f t="shared" si="7"/>
        <v>-20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9">
        <f t="shared" si="9"/>
        <v>-2</v>
      </c>
      <c r="K99" s="88">
        <f t="shared" si="7"/>
        <v>-20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9">
        <f t="shared" si="9"/>
        <v>-2</v>
      </c>
      <c r="K100" s="88">
        <f t="shared" si="7"/>
        <v>-20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9">
        <f t="shared" si="9"/>
        <v>-2</v>
      </c>
      <c r="K101" s="88">
        <f t="shared" si="7"/>
        <v>-20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9">
        <f t="shared" si="9"/>
        <v>-2</v>
      </c>
      <c r="K102" s="88">
        <f t="shared" si="7"/>
        <v>-20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9">
        <f t="shared" si="9"/>
        <v>-2</v>
      </c>
      <c r="K103" s="88">
        <f t="shared" si="7"/>
        <v>-20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9">
        <f t="shared" si="9"/>
        <v>-2</v>
      </c>
      <c r="K104" s="88">
        <f t="shared" si="7"/>
        <v>-20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9">
        <f t="shared" si="9"/>
        <v>-2</v>
      </c>
      <c r="K105" s="88">
        <f t="shared" si="7"/>
        <v>-20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9">
        <f t="shared" si="9"/>
        <v>-2</v>
      </c>
      <c r="K106" s="88">
        <f t="shared" si="7"/>
        <v>-20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9">
        <f t="shared" si="9"/>
        <v>-2</v>
      </c>
      <c r="K107" s="88">
        <f t="shared" si="7"/>
        <v>-20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9">
        <f t="shared" si="9"/>
        <v>-2</v>
      </c>
      <c r="K108" s="88">
        <f t="shared" si="7"/>
        <v>-20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9">
        <f t="shared" si="9"/>
        <v>-2</v>
      </c>
      <c r="K109" s="88">
        <f t="shared" si="7"/>
        <v>-20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9">
        <f t="shared" si="9"/>
        <v>-2</v>
      </c>
      <c r="K110" s="88">
        <f t="shared" si="7"/>
        <v>-20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9">
        <f t="shared" si="9"/>
        <v>-2</v>
      </c>
      <c r="K111" s="88">
        <f t="shared" si="7"/>
        <v>-20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9">
        <f t="shared" si="9"/>
        <v>-2</v>
      </c>
      <c r="K112" s="88">
        <f t="shared" si="7"/>
        <v>-20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9">
        <f t="shared" si="9"/>
        <v>-2</v>
      </c>
      <c r="K113" s="88">
        <f t="shared" si="7"/>
        <v>-20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9">
        <f t="shared" si="9"/>
        <v>-2</v>
      </c>
      <c r="K114" s="88">
        <f t="shared" si="7"/>
        <v>-20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9">
        <f t="shared" si="9"/>
        <v>-2</v>
      </c>
      <c r="K115" s="88">
        <f t="shared" si="7"/>
        <v>-20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9">
        <f t="shared" si="9"/>
        <v>-2</v>
      </c>
      <c r="K116" s="88">
        <f t="shared" si="7"/>
        <v>-20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9">
        <f t="shared" si="9"/>
        <v>-2</v>
      </c>
      <c r="K117" s="88">
        <f t="shared" si="7"/>
        <v>-20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9">
        <f t="shared" si="9"/>
        <v>-2</v>
      </c>
      <c r="K118" s="88">
        <f t="shared" si="7"/>
        <v>-20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9">
        <f t="shared" si="9"/>
        <v>-2</v>
      </c>
      <c r="K119" s="88">
        <f t="shared" si="7"/>
        <v>-20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9">
        <f t="shared" si="9"/>
        <v>-2</v>
      </c>
      <c r="K120" s="88">
        <f t="shared" si="7"/>
        <v>-20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9">
        <f t="shared" si="9"/>
        <v>-2</v>
      </c>
      <c r="K121" s="88">
        <f t="shared" si="7"/>
        <v>-20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9">
        <f t="shared" si="9"/>
        <v>-2</v>
      </c>
      <c r="K122" s="88">
        <f t="shared" si="7"/>
        <v>-20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9">
        <f t="shared" si="9"/>
        <v>-2</v>
      </c>
      <c r="K123" s="88">
        <f t="shared" si="7"/>
        <v>-20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9">
        <f t="shared" si="9"/>
        <v>-2</v>
      </c>
      <c r="K124" s="88">
        <f t="shared" si="7"/>
        <v>-20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9">
        <f t="shared" si="9"/>
        <v>-2</v>
      </c>
      <c r="K125" s="88">
        <f t="shared" si="7"/>
        <v>-20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9">
        <f t="shared" si="9"/>
        <v>-2</v>
      </c>
      <c r="K126" s="88">
        <f t="shared" si="7"/>
        <v>-20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9">
        <f t="shared" si="9"/>
        <v>-2</v>
      </c>
      <c r="K127" s="88">
        <f t="shared" si="7"/>
        <v>-20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9">
        <f t="shared" si="9"/>
        <v>-2</v>
      </c>
      <c r="K128" s="88">
        <f t="shared" si="7"/>
        <v>-20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9">
        <f t="shared" si="9"/>
        <v>-2</v>
      </c>
      <c r="K129" s="88">
        <f t="shared" si="7"/>
        <v>-20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9">
        <f t="shared" si="9"/>
        <v>-2</v>
      </c>
      <c r="K130" s="88">
        <f t="shared" si="7"/>
        <v>-20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9">
        <f t="shared" si="9"/>
        <v>-2</v>
      </c>
      <c r="K131" s="88">
        <f t="shared" si="7"/>
        <v>-20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9">
        <f t="shared" si="9"/>
        <v>-2</v>
      </c>
      <c r="K132" s="88">
        <f t="shared" si="7"/>
        <v>-20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9">
        <f t="shared" si="9"/>
        <v>-2</v>
      </c>
      <c r="K133" s="88">
        <f t="shared" si="7"/>
        <v>-20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0">IF(H134&lt;$H$2+1,($I$2-($I$2-1)*(LOG(H134)/LOG($H$2))),"")</f>
        <v/>
      </c>
      <c r="J134" s="89">
        <f t="shared" si="9"/>
        <v>-3</v>
      </c>
      <c r="K134" s="88">
        <f t="shared" ref="K134:K197" si="11">J134*$J$2</f>
        <v>-30</v>
      </c>
      <c r="L134" s="88"/>
      <c r="M134" s="90">
        <f t="shared" ref="M134:M197" si="12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0"/>
        <v/>
      </c>
      <c r="J135" s="89">
        <f t="shared" ref="J135:J198" si="13">INT(LOG($H$2,2))-ROUNDUP(LOG(H135,2),0)+IF(OR($H$2=1,$H$2=2,$H$2=4,$H$2=8,$H$2=16,$H$2=32,$H$2=64,$H$2=128,$H$2=256),0,1)</f>
        <v>-3</v>
      </c>
      <c r="K135" s="88">
        <f t="shared" si="11"/>
        <v>-30</v>
      </c>
      <c r="L135" s="88"/>
      <c r="M135" s="90">
        <f t="shared" si="12"/>
        <v>0</v>
      </c>
    </row>
    <row r="136" spans="1:13" x14ac:dyDescent="0.25">
      <c r="A136" s="106"/>
      <c r="G136" s="74"/>
      <c r="H136" s="88">
        <v>131</v>
      </c>
      <c r="I136" s="89" t="str">
        <f t="shared" si="10"/>
        <v/>
      </c>
      <c r="J136" s="89">
        <f t="shared" si="13"/>
        <v>-3</v>
      </c>
      <c r="K136" s="88">
        <f t="shared" si="11"/>
        <v>-30</v>
      </c>
      <c r="L136" s="88"/>
      <c r="M136" s="90">
        <f t="shared" si="12"/>
        <v>0</v>
      </c>
    </row>
    <row r="137" spans="1:13" x14ac:dyDescent="0.25">
      <c r="A137" s="106"/>
      <c r="G137" s="74"/>
      <c r="H137" s="88">
        <v>132</v>
      </c>
      <c r="I137" s="89" t="str">
        <f t="shared" si="10"/>
        <v/>
      </c>
      <c r="J137" s="89">
        <f t="shared" si="13"/>
        <v>-3</v>
      </c>
      <c r="K137" s="88">
        <f t="shared" si="11"/>
        <v>-30</v>
      </c>
      <c r="L137" s="88"/>
      <c r="M137" s="90">
        <f t="shared" si="12"/>
        <v>0</v>
      </c>
    </row>
    <row r="138" spans="1:13" x14ac:dyDescent="0.25">
      <c r="A138" s="106"/>
      <c r="G138" s="74"/>
      <c r="H138" s="88">
        <v>133</v>
      </c>
      <c r="I138" s="89" t="str">
        <f t="shared" si="10"/>
        <v/>
      </c>
      <c r="J138" s="89">
        <f t="shared" si="13"/>
        <v>-3</v>
      </c>
      <c r="K138" s="88">
        <f t="shared" si="11"/>
        <v>-30</v>
      </c>
      <c r="L138" s="88"/>
      <c r="M138" s="90">
        <f t="shared" si="12"/>
        <v>0</v>
      </c>
    </row>
    <row r="139" spans="1:13" x14ac:dyDescent="0.25">
      <c r="A139" s="106"/>
      <c r="G139" s="74"/>
      <c r="H139" s="88">
        <v>134</v>
      </c>
      <c r="I139" s="89" t="str">
        <f t="shared" si="10"/>
        <v/>
      </c>
      <c r="J139" s="89">
        <f t="shared" si="13"/>
        <v>-3</v>
      </c>
      <c r="K139" s="88">
        <f t="shared" si="11"/>
        <v>-30</v>
      </c>
      <c r="L139" s="88"/>
      <c r="M139" s="90">
        <f t="shared" si="12"/>
        <v>0</v>
      </c>
    </row>
    <row r="140" spans="1:13" x14ac:dyDescent="0.25">
      <c r="A140" s="106"/>
      <c r="G140" s="74"/>
      <c r="H140" s="88">
        <v>135</v>
      </c>
      <c r="I140" s="89" t="str">
        <f t="shared" si="10"/>
        <v/>
      </c>
      <c r="J140" s="89">
        <f t="shared" si="13"/>
        <v>-3</v>
      </c>
      <c r="K140" s="88">
        <f t="shared" si="11"/>
        <v>-30</v>
      </c>
      <c r="L140" s="88"/>
      <c r="M140" s="90">
        <f t="shared" si="12"/>
        <v>0</v>
      </c>
    </row>
    <row r="141" spans="1:13" x14ac:dyDescent="0.25">
      <c r="A141" s="106"/>
      <c r="G141" s="74"/>
      <c r="H141" s="88">
        <v>136</v>
      </c>
      <c r="I141" s="89" t="str">
        <f t="shared" si="10"/>
        <v/>
      </c>
      <c r="J141" s="89">
        <f t="shared" si="13"/>
        <v>-3</v>
      </c>
      <c r="K141" s="88">
        <f t="shared" si="11"/>
        <v>-30</v>
      </c>
      <c r="L141" s="88"/>
      <c r="M141" s="90">
        <f t="shared" si="12"/>
        <v>0</v>
      </c>
    </row>
    <row r="142" spans="1:13" x14ac:dyDescent="0.25">
      <c r="A142" s="106"/>
      <c r="G142" s="74"/>
      <c r="H142" s="88">
        <v>137</v>
      </c>
      <c r="I142" s="89" t="str">
        <f t="shared" si="10"/>
        <v/>
      </c>
      <c r="J142" s="89">
        <f t="shared" si="13"/>
        <v>-3</v>
      </c>
      <c r="K142" s="88">
        <f t="shared" si="11"/>
        <v>-30</v>
      </c>
      <c r="L142" s="88"/>
      <c r="M142" s="90">
        <f t="shared" si="12"/>
        <v>0</v>
      </c>
    </row>
    <row r="143" spans="1:13" x14ac:dyDescent="0.25">
      <c r="A143" s="106"/>
      <c r="G143" s="74"/>
      <c r="H143" s="88">
        <v>138</v>
      </c>
      <c r="I143" s="89" t="str">
        <f t="shared" si="10"/>
        <v/>
      </c>
      <c r="J143" s="89">
        <f t="shared" si="13"/>
        <v>-3</v>
      </c>
      <c r="K143" s="88">
        <f t="shared" si="11"/>
        <v>-30</v>
      </c>
      <c r="L143" s="88"/>
      <c r="M143" s="90">
        <f t="shared" si="12"/>
        <v>0</v>
      </c>
    </row>
    <row r="144" spans="1:13" x14ac:dyDescent="0.25">
      <c r="A144" s="106"/>
      <c r="G144" s="74"/>
      <c r="H144" s="88">
        <v>139</v>
      </c>
      <c r="I144" s="89" t="str">
        <f t="shared" si="10"/>
        <v/>
      </c>
      <c r="J144" s="89">
        <f t="shared" si="13"/>
        <v>-3</v>
      </c>
      <c r="K144" s="88">
        <f t="shared" si="11"/>
        <v>-30</v>
      </c>
      <c r="L144" s="88"/>
      <c r="M144" s="90">
        <f t="shared" si="12"/>
        <v>0</v>
      </c>
    </row>
    <row r="145" spans="1:13" x14ac:dyDescent="0.25">
      <c r="A145" s="106"/>
      <c r="G145" s="74"/>
      <c r="H145" s="88">
        <v>140</v>
      </c>
      <c r="I145" s="89" t="str">
        <f t="shared" si="10"/>
        <v/>
      </c>
      <c r="J145" s="89">
        <f t="shared" si="13"/>
        <v>-3</v>
      </c>
      <c r="K145" s="88">
        <f t="shared" si="11"/>
        <v>-30</v>
      </c>
      <c r="L145" s="88"/>
      <c r="M145" s="90">
        <f t="shared" si="12"/>
        <v>0</v>
      </c>
    </row>
    <row r="146" spans="1:13" x14ac:dyDescent="0.25">
      <c r="A146" s="106"/>
      <c r="G146" s="74"/>
      <c r="H146" s="88">
        <v>141</v>
      </c>
      <c r="I146" s="89" t="str">
        <f t="shared" si="10"/>
        <v/>
      </c>
      <c r="J146" s="89">
        <f t="shared" si="13"/>
        <v>-3</v>
      </c>
      <c r="K146" s="88">
        <f t="shared" si="11"/>
        <v>-30</v>
      </c>
      <c r="L146" s="88"/>
      <c r="M146" s="90">
        <f t="shared" si="12"/>
        <v>0</v>
      </c>
    </row>
    <row r="147" spans="1:13" x14ac:dyDescent="0.25">
      <c r="A147" s="106"/>
      <c r="G147" s="74"/>
      <c r="H147" s="88">
        <v>142</v>
      </c>
      <c r="I147" s="89" t="str">
        <f t="shared" si="10"/>
        <v/>
      </c>
      <c r="J147" s="89">
        <f t="shared" si="13"/>
        <v>-3</v>
      </c>
      <c r="K147" s="88">
        <f t="shared" si="11"/>
        <v>-30</v>
      </c>
      <c r="L147" s="88"/>
      <c r="M147" s="90">
        <f t="shared" si="12"/>
        <v>0</v>
      </c>
    </row>
    <row r="148" spans="1:13" x14ac:dyDescent="0.25">
      <c r="A148" s="106"/>
      <c r="G148" s="74"/>
      <c r="H148" s="88">
        <v>143</v>
      </c>
      <c r="I148" s="89" t="str">
        <f t="shared" si="10"/>
        <v/>
      </c>
      <c r="J148" s="89">
        <f t="shared" si="13"/>
        <v>-3</v>
      </c>
      <c r="K148" s="88">
        <f t="shared" si="11"/>
        <v>-30</v>
      </c>
      <c r="L148" s="88"/>
      <c r="M148" s="90">
        <f t="shared" si="12"/>
        <v>0</v>
      </c>
    </row>
    <row r="149" spans="1:13" x14ac:dyDescent="0.25">
      <c r="A149" s="106"/>
      <c r="G149" s="74"/>
      <c r="H149" s="88">
        <v>144</v>
      </c>
      <c r="I149" s="89" t="str">
        <f t="shared" si="10"/>
        <v/>
      </c>
      <c r="J149" s="89">
        <f t="shared" si="13"/>
        <v>-3</v>
      </c>
      <c r="K149" s="88">
        <f t="shared" si="11"/>
        <v>-30</v>
      </c>
      <c r="L149" s="88"/>
      <c r="M149" s="90">
        <f t="shared" si="12"/>
        <v>0</v>
      </c>
    </row>
    <row r="150" spans="1:13" x14ac:dyDescent="0.25">
      <c r="A150" s="106"/>
      <c r="G150" s="74"/>
      <c r="H150" s="88">
        <v>145</v>
      </c>
      <c r="I150" s="89" t="str">
        <f t="shared" si="10"/>
        <v/>
      </c>
      <c r="J150" s="89">
        <f t="shared" si="13"/>
        <v>-3</v>
      </c>
      <c r="K150" s="88">
        <f t="shared" si="11"/>
        <v>-30</v>
      </c>
      <c r="L150" s="88"/>
      <c r="M150" s="90">
        <f t="shared" si="12"/>
        <v>0</v>
      </c>
    </row>
    <row r="151" spans="1:13" x14ac:dyDescent="0.25">
      <c r="A151" s="106"/>
      <c r="G151" s="74"/>
      <c r="H151" s="88">
        <v>146</v>
      </c>
      <c r="I151" s="89" t="str">
        <f t="shared" si="10"/>
        <v/>
      </c>
      <c r="J151" s="89">
        <f t="shared" si="13"/>
        <v>-3</v>
      </c>
      <c r="K151" s="88">
        <f t="shared" si="11"/>
        <v>-30</v>
      </c>
      <c r="L151" s="88"/>
      <c r="M151" s="90">
        <f t="shared" si="12"/>
        <v>0</v>
      </c>
    </row>
    <row r="152" spans="1:13" x14ac:dyDescent="0.25">
      <c r="A152" s="106"/>
      <c r="G152" s="74"/>
      <c r="H152" s="88">
        <v>147</v>
      </c>
      <c r="I152" s="89" t="str">
        <f t="shared" si="10"/>
        <v/>
      </c>
      <c r="J152" s="89">
        <f t="shared" si="13"/>
        <v>-3</v>
      </c>
      <c r="K152" s="88">
        <f t="shared" si="11"/>
        <v>-30</v>
      </c>
      <c r="L152" s="88"/>
      <c r="M152" s="90">
        <f t="shared" si="12"/>
        <v>0</v>
      </c>
    </row>
    <row r="153" spans="1:13" x14ac:dyDescent="0.25">
      <c r="A153" s="106"/>
      <c r="G153" s="74"/>
      <c r="H153" s="88">
        <v>148</v>
      </c>
      <c r="I153" s="89" t="str">
        <f t="shared" si="10"/>
        <v/>
      </c>
      <c r="J153" s="89">
        <f t="shared" si="13"/>
        <v>-3</v>
      </c>
      <c r="K153" s="88">
        <f t="shared" si="11"/>
        <v>-30</v>
      </c>
      <c r="L153" s="88"/>
      <c r="M153" s="90">
        <f t="shared" si="12"/>
        <v>0</v>
      </c>
    </row>
    <row r="154" spans="1:13" x14ac:dyDescent="0.25">
      <c r="A154" s="106"/>
      <c r="G154" s="74"/>
      <c r="H154" s="88">
        <v>149</v>
      </c>
      <c r="I154" s="89" t="str">
        <f t="shared" si="10"/>
        <v/>
      </c>
      <c r="J154" s="89">
        <f t="shared" si="13"/>
        <v>-3</v>
      </c>
      <c r="K154" s="88">
        <f t="shared" si="11"/>
        <v>-30</v>
      </c>
      <c r="L154" s="88"/>
      <c r="M154" s="90">
        <f t="shared" si="12"/>
        <v>0</v>
      </c>
    </row>
    <row r="155" spans="1:13" x14ac:dyDescent="0.25">
      <c r="A155" s="106"/>
      <c r="G155" s="74"/>
      <c r="H155" s="88">
        <v>150</v>
      </c>
      <c r="I155" s="89" t="str">
        <f t="shared" si="10"/>
        <v/>
      </c>
      <c r="J155" s="89">
        <f t="shared" si="13"/>
        <v>-3</v>
      </c>
      <c r="K155" s="88">
        <f t="shared" si="11"/>
        <v>-30</v>
      </c>
      <c r="L155" s="88"/>
      <c r="M155" s="90">
        <f t="shared" si="12"/>
        <v>0</v>
      </c>
    </row>
    <row r="156" spans="1:13" x14ac:dyDescent="0.25">
      <c r="A156" s="106"/>
      <c r="G156" s="74"/>
      <c r="H156" s="88">
        <v>151</v>
      </c>
      <c r="I156" s="89" t="str">
        <f t="shared" si="10"/>
        <v/>
      </c>
      <c r="J156" s="89">
        <f t="shared" si="13"/>
        <v>-3</v>
      </c>
      <c r="K156" s="88">
        <f t="shared" si="11"/>
        <v>-30</v>
      </c>
      <c r="L156" s="88"/>
      <c r="M156" s="90">
        <f t="shared" si="12"/>
        <v>0</v>
      </c>
    </row>
    <row r="157" spans="1:13" x14ac:dyDescent="0.25">
      <c r="A157" s="106"/>
      <c r="G157" s="74"/>
      <c r="H157" s="88">
        <v>152</v>
      </c>
      <c r="I157" s="89" t="str">
        <f t="shared" si="10"/>
        <v/>
      </c>
      <c r="J157" s="89">
        <f t="shared" si="13"/>
        <v>-3</v>
      </c>
      <c r="K157" s="88">
        <f t="shared" si="11"/>
        <v>-30</v>
      </c>
      <c r="L157" s="88"/>
      <c r="M157" s="90">
        <f t="shared" si="12"/>
        <v>0</v>
      </c>
    </row>
    <row r="158" spans="1:13" x14ac:dyDescent="0.25">
      <c r="A158" s="106"/>
      <c r="G158" s="74"/>
      <c r="H158" s="88">
        <v>153</v>
      </c>
      <c r="I158" s="89" t="str">
        <f t="shared" si="10"/>
        <v/>
      </c>
      <c r="J158" s="89">
        <f t="shared" si="13"/>
        <v>-3</v>
      </c>
      <c r="K158" s="88">
        <f t="shared" si="11"/>
        <v>-30</v>
      </c>
      <c r="L158" s="88"/>
      <c r="M158" s="90">
        <f t="shared" si="12"/>
        <v>0</v>
      </c>
    </row>
    <row r="159" spans="1:13" x14ac:dyDescent="0.25">
      <c r="A159" s="106"/>
      <c r="G159" s="74"/>
      <c r="H159" s="88">
        <v>154</v>
      </c>
      <c r="I159" s="89" t="str">
        <f t="shared" si="10"/>
        <v/>
      </c>
      <c r="J159" s="89">
        <f t="shared" si="13"/>
        <v>-3</v>
      </c>
      <c r="K159" s="88">
        <f t="shared" si="11"/>
        <v>-30</v>
      </c>
      <c r="L159" s="88"/>
      <c r="M159" s="90">
        <f t="shared" si="12"/>
        <v>0</v>
      </c>
    </row>
    <row r="160" spans="1:13" x14ac:dyDescent="0.25">
      <c r="A160" s="106"/>
      <c r="G160" s="74"/>
      <c r="H160" s="88">
        <v>155</v>
      </c>
      <c r="I160" s="89" t="str">
        <f t="shared" si="10"/>
        <v/>
      </c>
      <c r="J160" s="89">
        <f t="shared" si="13"/>
        <v>-3</v>
      </c>
      <c r="K160" s="88">
        <f t="shared" si="11"/>
        <v>-30</v>
      </c>
      <c r="L160" s="88"/>
      <c r="M160" s="90">
        <f t="shared" si="12"/>
        <v>0</v>
      </c>
    </row>
    <row r="161" spans="1:13" x14ac:dyDescent="0.25">
      <c r="A161" s="106"/>
      <c r="G161" s="74"/>
      <c r="H161" s="88">
        <v>156</v>
      </c>
      <c r="I161" s="89" t="str">
        <f t="shared" si="10"/>
        <v/>
      </c>
      <c r="J161" s="89">
        <f t="shared" si="13"/>
        <v>-3</v>
      </c>
      <c r="K161" s="88">
        <f t="shared" si="11"/>
        <v>-30</v>
      </c>
      <c r="L161" s="88"/>
      <c r="M161" s="90">
        <f t="shared" si="12"/>
        <v>0</v>
      </c>
    </row>
    <row r="162" spans="1:13" x14ac:dyDescent="0.25">
      <c r="A162" s="106"/>
      <c r="G162" s="74"/>
      <c r="H162" s="88">
        <v>157</v>
      </c>
      <c r="I162" s="89" t="str">
        <f t="shared" si="10"/>
        <v/>
      </c>
      <c r="J162" s="89">
        <f t="shared" si="13"/>
        <v>-3</v>
      </c>
      <c r="K162" s="88">
        <f t="shared" si="11"/>
        <v>-30</v>
      </c>
      <c r="L162" s="88"/>
      <c r="M162" s="90">
        <f t="shared" si="12"/>
        <v>0</v>
      </c>
    </row>
    <row r="163" spans="1:13" x14ac:dyDescent="0.25">
      <c r="A163" s="106"/>
      <c r="G163" s="74"/>
      <c r="H163" s="88">
        <v>158</v>
      </c>
      <c r="I163" s="89" t="str">
        <f t="shared" si="10"/>
        <v/>
      </c>
      <c r="J163" s="89">
        <f t="shared" si="13"/>
        <v>-3</v>
      </c>
      <c r="K163" s="88">
        <f t="shared" si="11"/>
        <v>-30</v>
      </c>
      <c r="L163" s="88"/>
      <c r="M163" s="90">
        <f t="shared" si="12"/>
        <v>0</v>
      </c>
    </row>
    <row r="164" spans="1:13" x14ac:dyDescent="0.25">
      <c r="A164" s="106"/>
      <c r="G164" s="74"/>
      <c r="H164" s="88">
        <v>159</v>
      </c>
      <c r="I164" s="89" t="str">
        <f t="shared" si="10"/>
        <v/>
      </c>
      <c r="J164" s="89">
        <f t="shared" si="13"/>
        <v>-3</v>
      </c>
      <c r="K164" s="88">
        <f t="shared" si="11"/>
        <v>-30</v>
      </c>
      <c r="L164" s="88"/>
      <c r="M164" s="90">
        <f t="shared" si="12"/>
        <v>0</v>
      </c>
    </row>
    <row r="165" spans="1:13" x14ac:dyDescent="0.25">
      <c r="A165" s="106"/>
      <c r="G165" s="74"/>
      <c r="H165" s="88">
        <v>160</v>
      </c>
      <c r="I165" s="89" t="str">
        <f t="shared" si="10"/>
        <v/>
      </c>
      <c r="J165" s="89">
        <f t="shared" si="13"/>
        <v>-3</v>
      </c>
      <c r="K165" s="88">
        <f t="shared" si="11"/>
        <v>-30</v>
      </c>
      <c r="L165" s="88"/>
      <c r="M165" s="90">
        <f t="shared" si="12"/>
        <v>0</v>
      </c>
    </row>
    <row r="166" spans="1:13" x14ac:dyDescent="0.25">
      <c r="A166" s="106"/>
      <c r="G166" s="74"/>
      <c r="H166" s="88">
        <v>161</v>
      </c>
      <c r="I166" s="89" t="str">
        <f t="shared" si="10"/>
        <v/>
      </c>
      <c r="J166" s="89">
        <f t="shared" si="13"/>
        <v>-3</v>
      </c>
      <c r="K166" s="88">
        <f t="shared" si="11"/>
        <v>-30</v>
      </c>
      <c r="L166" s="88"/>
      <c r="M166" s="90">
        <f t="shared" si="12"/>
        <v>0</v>
      </c>
    </row>
    <row r="167" spans="1:13" x14ac:dyDescent="0.25">
      <c r="A167" s="106"/>
      <c r="G167" s="74"/>
      <c r="H167" s="88">
        <v>162</v>
      </c>
      <c r="I167" s="89" t="str">
        <f t="shared" si="10"/>
        <v/>
      </c>
      <c r="J167" s="89">
        <f t="shared" si="13"/>
        <v>-3</v>
      </c>
      <c r="K167" s="88">
        <f t="shared" si="11"/>
        <v>-30</v>
      </c>
      <c r="L167" s="88"/>
      <c r="M167" s="90">
        <f t="shared" si="12"/>
        <v>0</v>
      </c>
    </row>
    <row r="168" spans="1:13" x14ac:dyDescent="0.25">
      <c r="A168" s="106"/>
      <c r="G168" s="74"/>
      <c r="H168" s="88">
        <v>163</v>
      </c>
      <c r="I168" s="89" t="str">
        <f t="shared" si="10"/>
        <v/>
      </c>
      <c r="J168" s="89">
        <f t="shared" si="13"/>
        <v>-3</v>
      </c>
      <c r="K168" s="88">
        <f t="shared" si="11"/>
        <v>-30</v>
      </c>
      <c r="L168" s="88"/>
      <c r="M168" s="90">
        <f t="shared" si="12"/>
        <v>0</v>
      </c>
    </row>
    <row r="169" spans="1:13" x14ac:dyDescent="0.25">
      <c r="A169" s="106"/>
      <c r="C169" s="105" t="s">
        <v>48</v>
      </c>
      <c r="G169" s="74"/>
      <c r="H169" s="88">
        <v>164</v>
      </c>
      <c r="I169" s="89" t="str">
        <f t="shared" si="10"/>
        <v/>
      </c>
      <c r="J169" s="89">
        <f t="shared" si="13"/>
        <v>-3</v>
      </c>
      <c r="K169" s="88">
        <f t="shared" si="11"/>
        <v>-30</v>
      </c>
      <c r="L169" s="88"/>
      <c r="M169" s="90">
        <f t="shared" si="12"/>
        <v>0</v>
      </c>
    </row>
    <row r="170" spans="1:13" x14ac:dyDescent="0.25">
      <c r="A170" s="106"/>
      <c r="G170" s="74"/>
      <c r="H170" s="88">
        <v>165</v>
      </c>
      <c r="I170" s="89" t="str">
        <f t="shared" si="10"/>
        <v/>
      </c>
      <c r="J170" s="89">
        <f t="shared" si="13"/>
        <v>-3</v>
      </c>
      <c r="K170" s="88">
        <f t="shared" si="11"/>
        <v>-30</v>
      </c>
      <c r="L170" s="88"/>
      <c r="M170" s="90">
        <f t="shared" si="12"/>
        <v>0</v>
      </c>
    </row>
    <row r="171" spans="1:13" x14ac:dyDescent="0.25">
      <c r="A171" s="106"/>
      <c r="G171" s="74"/>
      <c r="H171" s="88">
        <v>166</v>
      </c>
      <c r="I171" s="89" t="str">
        <f t="shared" si="10"/>
        <v/>
      </c>
      <c r="J171" s="89">
        <f t="shared" si="13"/>
        <v>-3</v>
      </c>
      <c r="K171" s="88">
        <f t="shared" si="11"/>
        <v>-30</v>
      </c>
      <c r="L171" s="88"/>
      <c r="M171" s="90">
        <f t="shared" si="12"/>
        <v>0</v>
      </c>
    </row>
    <row r="172" spans="1:13" x14ac:dyDescent="0.25">
      <c r="A172" s="106"/>
      <c r="G172" s="74"/>
      <c r="H172" s="88">
        <v>167</v>
      </c>
      <c r="I172" s="89" t="str">
        <f t="shared" si="10"/>
        <v/>
      </c>
      <c r="J172" s="89">
        <f t="shared" si="13"/>
        <v>-3</v>
      </c>
      <c r="K172" s="88">
        <f t="shared" si="11"/>
        <v>-30</v>
      </c>
      <c r="L172" s="88"/>
      <c r="M172" s="90">
        <f t="shared" si="12"/>
        <v>0</v>
      </c>
    </row>
    <row r="173" spans="1:13" x14ac:dyDescent="0.25">
      <c r="A173" s="106"/>
      <c r="G173" s="74"/>
      <c r="H173" s="88">
        <v>168</v>
      </c>
      <c r="I173" s="89" t="str">
        <f t="shared" si="10"/>
        <v/>
      </c>
      <c r="J173" s="89">
        <f t="shared" si="13"/>
        <v>-3</v>
      </c>
      <c r="K173" s="88">
        <f t="shared" si="11"/>
        <v>-30</v>
      </c>
      <c r="L173" s="88"/>
      <c r="M173" s="90">
        <f t="shared" si="12"/>
        <v>0</v>
      </c>
    </row>
    <row r="174" spans="1:13" x14ac:dyDescent="0.25">
      <c r="A174" s="106"/>
      <c r="G174" s="74"/>
      <c r="H174" s="88">
        <v>169</v>
      </c>
      <c r="I174" s="89" t="str">
        <f t="shared" si="10"/>
        <v/>
      </c>
      <c r="J174" s="89">
        <f t="shared" si="13"/>
        <v>-3</v>
      </c>
      <c r="K174" s="88">
        <f t="shared" si="11"/>
        <v>-30</v>
      </c>
      <c r="L174" s="88"/>
      <c r="M174" s="90">
        <f t="shared" si="12"/>
        <v>0</v>
      </c>
    </row>
    <row r="175" spans="1:13" x14ac:dyDescent="0.25">
      <c r="A175" s="106"/>
      <c r="G175" s="74"/>
      <c r="H175" s="88">
        <v>170</v>
      </c>
      <c r="I175" s="89" t="str">
        <f t="shared" si="10"/>
        <v/>
      </c>
      <c r="J175" s="89">
        <f t="shared" si="13"/>
        <v>-3</v>
      </c>
      <c r="K175" s="88">
        <f t="shared" si="11"/>
        <v>-30</v>
      </c>
      <c r="L175" s="88"/>
      <c r="M175" s="90">
        <f t="shared" si="12"/>
        <v>0</v>
      </c>
    </row>
    <row r="176" spans="1:13" x14ac:dyDescent="0.25">
      <c r="A176" s="106"/>
      <c r="G176" s="74"/>
      <c r="H176" s="88">
        <v>171</v>
      </c>
      <c r="I176" s="89" t="str">
        <f t="shared" si="10"/>
        <v/>
      </c>
      <c r="J176" s="89">
        <f t="shared" si="13"/>
        <v>-3</v>
      </c>
      <c r="K176" s="88">
        <f t="shared" si="11"/>
        <v>-30</v>
      </c>
      <c r="L176" s="88"/>
      <c r="M176" s="90">
        <f t="shared" si="12"/>
        <v>0</v>
      </c>
    </row>
    <row r="177" spans="1:13" x14ac:dyDescent="0.25">
      <c r="A177" s="106"/>
      <c r="G177" s="74"/>
      <c r="H177" s="88">
        <v>172</v>
      </c>
      <c r="I177" s="89" t="str">
        <f t="shared" si="10"/>
        <v/>
      </c>
      <c r="J177" s="89">
        <f t="shared" si="13"/>
        <v>-3</v>
      </c>
      <c r="K177" s="88">
        <f t="shared" si="11"/>
        <v>-30</v>
      </c>
      <c r="L177" s="88"/>
      <c r="M177" s="90">
        <f t="shared" si="12"/>
        <v>0</v>
      </c>
    </row>
    <row r="178" spans="1:13" x14ac:dyDescent="0.25">
      <c r="A178" s="106"/>
      <c r="G178" s="74"/>
      <c r="H178" s="88">
        <v>173</v>
      </c>
      <c r="I178" s="89" t="str">
        <f t="shared" si="10"/>
        <v/>
      </c>
      <c r="J178" s="89">
        <f t="shared" si="13"/>
        <v>-3</v>
      </c>
      <c r="K178" s="88">
        <f t="shared" si="11"/>
        <v>-30</v>
      </c>
      <c r="L178" s="88"/>
      <c r="M178" s="90">
        <f t="shared" si="12"/>
        <v>0</v>
      </c>
    </row>
    <row r="179" spans="1:13" x14ac:dyDescent="0.25">
      <c r="A179" s="106"/>
      <c r="G179" s="74"/>
      <c r="H179" s="88">
        <v>174</v>
      </c>
      <c r="I179" s="89" t="str">
        <f t="shared" si="10"/>
        <v/>
      </c>
      <c r="J179" s="89">
        <f t="shared" si="13"/>
        <v>-3</v>
      </c>
      <c r="K179" s="88">
        <f t="shared" si="11"/>
        <v>-30</v>
      </c>
      <c r="L179" s="88"/>
      <c r="M179" s="90">
        <f t="shared" si="12"/>
        <v>0</v>
      </c>
    </row>
    <row r="180" spans="1:13" x14ac:dyDescent="0.25">
      <c r="A180" s="106"/>
      <c r="G180" s="74"/>
      <c r="H180" s="88">
        <v>175</v>
      </c>
      <c r="I180" s="89" t="str">
        <f t="shared" si="10"/>
        <v/>
      </c>
      <c r="J180" s="89">
        <f t="shared" si="13"/>
        <v>-3</v>
      </c>
      <c r="K180" s="88">
        <f t="shared" si="11"/>
        <v>-30</v>
      </c>
      <c r="L180" s="88"/>
      <c r="M180" s="90">
        <f t="shared" si="12"/>
        <v>0</v>
      </c>
    </row>
    <row r="181" spans="1:13" x14ac:dyDescent="0.25">
      <c r="A181" s="106"/>
      <c r="G181" s="74"/>
      <c r="H181" s="88">
        <v>176</v>
      </c>
      <c r="I181" s="89" t="str">
        <f t="shared" si="10"/>
        <v/>
      </c>
      <c r="J181" s="89">
        <f t="shared" si="13"/>
        <v>-3</v>
      </c>
      <c r="K181" s="88">
        <f t="shared" si="11"/>
        <v>-30</v>
      </c>
      <c r="L181" s="88"/>
      <c r="M181" s="90">
        <f t="shared" si="12"/>
        <v>0</v>
      </c>
    </row>
    <row r="182" spans="1:13" x14ac:dyDescent="0.25">
      <c r="A182" s="106"/>
      <c r="G182" s="74"/>
      <c r="H182" s="88">
        <v>177</v>
      </c>
      <c r="I182" s="89" t="str">
        <f t="shared" si="10"/>
        <v/>
      </c>
      <c r="J182" s="89">
        <f t="shared" si="13"/>
        <v>-3</v>
      </c>
      <c r="K182" s="88">
        <f t="shared" si="11"/>
        <v>-30</v>
      </c>
      <c r="L182" s="88"/>
      <c r="M182" s="90">
        <f t="shared" si="12"/>
        <v>0</v>
      </c>
    </row>
    <row r="183" spans="1:13" x14ac:dyDescent="0.25">
      <c r="A183" s="106"/>
      <c r="G183" s="74"/>
      <c r="H183" s="88">
        <v>178</v>
      </c>
      <c r="I183" s="89" t="str">
        <f t="shared" si="10"/>
        <v/>
      </c>
      <c r="J183" s="89">
        <f t="shared" si="13"/>
        <v>-3</v>
      </c>
      <c r="K183" s="88">
        <f t="shared" si="11"/>
        <v>-30</v>
      </c>
      <c r="L183" s="88"/>
      <c r="M183" s="90">
        <f t="shared" si="12"/>
        <v>0</v>
      </c>
    </row>
    <row r="184" spans="1:13" x14ac:dyDescent="0.25">
      <c r="A184" s="106"/>
      <c r="G184" s="74"/>
      <c r="H184" s="88">
        <v>179</v>
      </c>
      <c r="I184" s="89" t="str">
        <f t="shared" si="10"/>
        <v/>
      </c>
      <c r="J184" s="89">
        <f t="shared" si="13"/>
        <v>-3</v>
      </c>
      <c r="K184" s="88">
        <f t="shared" si="11"/>
        <v>-30</v>
      </c>
      <c r="L184" s="88"/>
      <c r="M184" s="90">
        <f t="shared" si="12"/>
        <v>0</v>
      </c>
    </row>
    <row r="185" spans="1:13" x14ac:dyDescent="0.25">
      <c r="A185" s="106"/>
      <c r="G185" s="74"/>
      <c r="H185" s="88">
        <v>180</v>
      </c>
      <c r="I185" s="89" t="str">
        <f t="shared" si="10"/>
        <v/>
      </c>
      <c r="J185" s="89">
        <f t="shared" si="13"/>
        <v>-3</v>
      </c>
      <c r="K185" s="88">
        <f t="shared" si="11"/>
        <v>-30</v>
      </c>
      <c r="L185" s="88"/>
      <c r="M185" s="90">
        <f t="shared" si="12"/>
        <v>0</v>
      </c>
    </row>
    <row r="186" spans="1:13" x14ac:dyDescent="0.25">
      <c r="A186" s="106"/>
      <c r="G186" s="74"/>
      <c r="H186" s="88">
        <v>181</v>
      </c>
      <c r="I186" s="89" t="str">
        <f t="shared" si="10"/>
        <v/>
      </c>
      <c r="J186" s="89">
        <f t="shared" si="13"/>
        <v>-3</v>
      </c>
      <c r="K186" s="88">
        <f t="shared" si="11"/>
        <v>-30</v>
      </c>
      <c r="L186" s="88"/>
      <c r="M186" s="90">
        <f t="shared" si="12"/>
        <v>0</v>
      </c>
    </row>
    <row r="187" spans="1:13" x14ac:dyDescent="0.25">
      <c r="A187" s="106"/>
      <c r="G187" s="74"/>
      <c r="H187" s="88">
        <v>182</v>
      </c>
      <c r="I187" s="89" t="str">
        <f t="shared" si="10"/>
        <v/>
      </c>
      <c r="J187" s="89">
        <f t="shared" si="13"/>
        <v>-3</v>
      </c>
      <c r="K187" s="88">
        <f t="shared" si="11"/>
        <v>-30</v>
      </c>
      <c r="L187" s="88"/>
      <c r="M187" s="90">
        <f t="shared" si="12"/>
        <v>0</v>
      </c>
    </row>
    <row r="188" spans="1:13" x14ac:dyDescent="0.25">
      <c r="A188" s="106"/>
      <c r="G188" s="74"/>
      <c r="H188" s="88">
        <v>183</v>
      </c>
      <c r="I188" s="89" t="str">
        <f t="shared" si="10"/>
        <v/>
      </c>
      <c r="J188" s="89">
        <f t="shared" si="13"/>
        <v>-3</v>
      </c>
      <c r="K188" s="88">
        <f t="shared" si="11"/>
        <v>-30</v>
      </c>
      <c r="L188" s="88"/>
      <c r="M188" s="90">
        <f t="shared" si="12"/>
        <v>0</v>
      </c>
    </row>
    <row r="189" spans="1:13" x14ac:dyDescent="0.25">
      <c r="A189" s="106"/>
      <c r="G189" s="74"/>
      <c r="H189" s="88">
        <v>184</v>
      </c>
      <c r="I189" s="89" t="str">
        <f t="shared" si="10"/>
        <v/>
      </c>
      <c r="J189" s="89">
        <f t="shared" si="13"/>
        <v>-3</v>
      </c>
      <c r="K189" s="88">
        <f t="shared" si="11"/>
        <v>-30</v>
      </c>
      <c r="L189" s="88"/>
      <c r="M189" s="90">
        <f t="shared" si="12"/>
        <v>0</v>
      </c>
    </row>
    <row r="190" spans="1:13" x14ac:dyDescent="0.25">
      <c r="A190" s="106"/>
      <c r="G190" s="74"/>
      <c r="H190" s="88">
        <v>185</v>
      </c>
      <c r="I190" s="89" t="str">
        <f t="shared" si="10"/>
        <v/>
      </c>
      <c r="J190" s="89">
        <f t="shared" si="13"/>
        <v>-3</v>
      </c>
      <c r="K190" s="88">
        <f t="shared" si="11"/>
        <v>-30</v>
      </c>
      <c r="L190" s="88"/>
      <c r="M190" s="90">
        <f t="shared" si="12"/>
        <v>0</v>
      </c>
    </row>
    <row r="191" spans="1:13" x14ac:dyDescent="0.25">
      <c r="A191" s="106"/>
      <c r="G191" s="74"/>
      <c r="H191" s="88">
        <v>186</v>
      </c>
      <c r="I191" s="89" t="str">
        <f t="shared" si="10"/>
        <v/>
      </c>
      <c r="J191" s="89">
        <f t="shared" si="13"/>
        <v>-3</v>
      </c>
      <c r="K191" s="88">
        <f t="shared" si="11"/>
        <v>-30</v>
      </c>
      <c r="L191" s="88"/>
      <c r="M191" s="90">
        <f t="shared" si="12"/>
        <v>0</v>
      </c>
    </row>
    <row r="192" spans="1:13" x14ac:dyDescent="0.25">
      <c r="A192" s="106"/>
      <c r="G192" s="74"/>
      <c r="H192" s="88">
        <v>187</v>
      </c>
      <c r="I192" s="89" t="str">
        <f t="shared" si="10"/>
        <v/>
      </c>
      <c r="J192" s="89">
        <f t="shared" si="13"/>
        <v>-3</v>
      </c>
      <c r="K192" s="88">
        <f t="shared" si="11"/>
        <v>-30</v>
      </c>
      <c r="L192" s="88"/>
      <c r="M192" s="90">
        <f t="shared" si="12"/>
        <v>0</v>
      </c>
    </row>
    <row r="193" spans="1:13" x14ac:dyDescent="0.25">
      <c r="A193" s="106"/>
      <c r="G193" s="74"/>
      <c r="H193" s="88">
        <v>188</v>
      </c>
      <c r="I193" s="89" t="str">
        <f t="shared" si="10"/>
        <v/>
      </c>
      <c r="J193" s="89">
        <f t="shared" si="13"/>
        <v>-3</v>
      </c>
      <c r="K193" s="88">
        <f t="shared" si="11"/>
        <v>-30</v>
      </c>
      <c r="L193" s="88"/>
      <c r="M193" s="90">
        <f t="shared" si="12"/>
        <v>0</v>
      </c>
    </row>
    <row r="194" spans="1:13" x14ac:dyDescent="0.25">
      <c r="A194" s="106"/>
      <c r="G194" s="74"/>
      <c r="H194" s="88">
        <v>189</v>
      </c>
      <c r="I194" s="89" t="str">
        <f t="shared" si="10"/>
        <v/>
      </c>
      <c r="J194" s="89">
        <f t="shared" si="13"/>
        <v>-3</v>
      </c>
      <c r="K194" s="88">
        <f t="shared" si="11"/>
        <v>-30</v>
      </c>
      <c r="L194" s="88"/>
      <c r="M194" s="90">
        <f t="shared" si="12"/>
        <v>0</v>
      </c>
    </row>
    <row r="195" spans="1:13" x14ac:dyDescent="0.25">
      <c r="A195" s="106"/>
      <c r="G195" s="74"/>
      <c r="H195" s="88">
        <v>190</v>
      </c>
      <c r="I195" s="89" t="str">
        <f t="shared" si="10"/>
        <v/>
      </c>
      <c r="J195" s="89">
        <f t="shared" si="13"/>
        <v>-3</v>
      </c>
      <c r="K195" s="88">
        <f t="shared" si="11"/>
        <v>-30</v>
      </c>
      <c r="L195" s="88"/>
      <c r="M195" s="90">
        <f t="shared" si="12"/>
        <v>0</v>
      </c>
    </row>
    <row r="196" spans="1:13" x14ac:dyDescent="0.25">
      <c r="A196" s="106"/>
      <c r="G196" s="74"/>
      <c r="H196" s="88">
        <v>191</v>
      </c>
      <c r="I196" s="89" t="str">
        <f t="shared" si="10"/>
        <v/>
      </c>
      <c r="J196" s="89">
        <f t="shared" si="13"/>
        <v>-3</v>
      </c>
      <c r="K196" s="88">
        <f t="shared" si="11"/>
        <v>-30</v>
      </c>
      <c r="L196" s="88"/>
      <c r="M196" s="90">
        <f t="shared" si="12"/>
        <v>0</v>
      </c>
    </row>
    <row r="197" spans="1:13" x14ac:dyDescent="0.25">
      <c r="A197" s="106"/>
      <c r="G197" s="74"/>
      <c r="H197" s="88">
        <v>192</v>
      </c>
      <c r="I197" s="89" t="str">
        <f t="shared" si="10"/>
        <v/>
      </c>
      <c r="J197" s="89">
        <f t="shared" si="13"/>
        <v>-3</v>
      </c>
      <c r="K197" s="88">
        <f t="shared" si="11"/>
        <v>-30</v>
      </c>
      <c r="L197" s="88"/>
      <c r="M197" s="90">
        <f t="shared" si="12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4">IF(H198&lt;$H$2+1,($I$2-($I$2-1)*(LOG(H198)/LOG($H$2))),"")</f>
        <v/>
      </c>
      <c r="J198" s="89">
        <f t="shared" si="13"/>
        <v>-3</v>
      </c>
      <c r="K198" s="88">
        <f t="shared" ref="K198:K261" si="15">J198*$J$2</f>
        <v>-30</v>
      </c>
      <c r="L198" s="88"/>
      <c r="M198" s="90">
        <f t="shared" ref="M198:M261" si="16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4"/>
        <v/>
      </c>
      <c r="J199" s="89">
        <f t="shared" ref="J199:J262" si="17">INT(LOG($H$2,2))-ROUNDUP(LOG(H199,2),0)+IF(OR($H$2=1,$H$2=2,$H$2=4,$H$2=8,$H$2=16,$H$2=32,$H$2=64,$H$2=128,$H$2=256),0,1)</f>
        <v>-3</v>
      </c>
      <c r="K199" s="88">
        <f t="shared" si="15"/>
        <v>-30</v>
      </c>
      <c r="L199" s="88"/>
      <c r="M199" s="90">
        <f t="shared" si="16"/>
        <v>0</v>
      </c>
    </row>
    <row r="200" spans="1:13" x14ac:dyDescent="0.25">
      <c r="A200" s="106"/>
      <c r="G200" s="74"/>
      <c r="H200" s="88">
        <v>195</v>
      </c>
      <c r="I200" s="89" t="str">
        <f t="shared" si="14"/>
        <v/>
      </c>
      <c r="J200" s="89">
        <f t="shared" si="17"/>
        <v>-3</v>
      </c>
      <c r="K200" s="88">
        <f t="shared" si="15"/>
        <v>-30</v>
      </c>
      <c r="L200" s="88"/>
      <c r="M200" s="90">
        <f t="shared" si="16"/>
        <v>0</v>
      </c>
    </row>
    <row r="201" spans="1:13" x14ac:dyDescent="0.25">
      <c r="A201" s="106"/>
      <c r="G201" s="74"/>
      <c r="H201" s="88">
        <v>196</v>
      </c>
      <c r="I201" s="89" t="str">
        <f t="shared" si="14"/>
        <v/>
      </c>
      <c r="J201" s="89">
        <f t="shared" si="17"/>
        <v>-3</v>
      </c>
      <c r="K201" s="88">
        <f t="shared" si="15"/>
        <v>-30</v>
      </c>
      <c r="L201" s="88"/>
      <c r="M201" s="90">
        <f t="shared" si="16"/>
        <v>0</v>
      </c>
    </row>
    <row r="202" spans="1:13" x14ac:dyDescent="0.25">
      <c r="A202" s="106"/>
      <c r="G202" s="74"/>
      <c r="H202" s="88">
        <v>197</v>
      </c>
      <c r="I202" s="89" t="str">
        <f t="shared" si="14"/>
        <v/>
      </c>
      <c r="J202" s="89">
        <f t="shared" si="17"/>
        <v>-3</v>
      </c>
      <c r="K202" s="88">
        <f t="shared" si="15"/>
        <v>-30</v>
      </c>
      <c r="L202" s="88"/>
      <c r="M202" s="90">
        <f t="shared" si="16"/>
        <v>0</v>
      </c>
    </row>
    <row r="203" spans="1:13" x14ac:dyDescent="0.25">
      <c r="A203" s="106"/>
      <c r="G203" s="74"/>
      <c r="H203" s="88">
        <v>198</v>
      </c>
      <c r="I203" s="89" t="str">
        <f t="shared" si="14"/>
        <v/>
      </c>
      <c r="J203" s="89">
        <f t="shared" si="17"/>
        <v>-3</v>
      </c>
      <c r="K203" s="88">
        <f t="shared" si="15"/>
        <v>-30</v>
      </c>
      <c r="L203" s="88"/>
      <c r="M203" s="90">
        <f t="shared" si="16"/>
        <v>0</v>
      </c>
    </row>
    <row r="204" spans="1:13" x14ac:dyDescent="0.25">
      <c r="A204" s="106"/>
      <c r="G204" s="74"/>
      <c r="H204" s="88">
        <v>199</v>
      </c>
      <c r="I204" s="89" t="str">
        <f t="shared" si="14"/>
        <v/>
      </c>
      <c r="J204" s="89">
        <f t="shared" si="17"/>
        <v>-3</v>
      </c>
      <c r="K204" s="88">
        <f t="shared" si="15"/>
        <v>-30</v>
      </c>
      <c r="L204" s="88"/>
      <c r="M204" s="90">
        <f t="shared" si="16"/>
        <v>0</v>
      </c>
    </row>
    <row r="205" spans="1:13" x14ac:dyDescent="0.25">
      <c r="A205" s="106"/>
      <c r="G205" s="74"/>
      <c r="H205" s="88">
        <v>200</v>
      </c>
      <c r="I205" s="89" t="str">
        <f t="shared" si="14"/>
        <v/>
      </c>
      <c r="J205" s="89">
        <f t="shared" si="17"/>
        <v>-3</v>
      </c>
      <c r="K205" s="88">
        <f t="shared" si="15"/>
        <v>-30</v>
      </c>
      <c r="L205" s="88"/>
      <c r="M205" s="90">
        <f t="shared" si="16"/>
        <v>0</v>
      </c>
    </row>
    <row r="206" spans="1:13" x14ac:dyDescent="0.25">
      <c r="A206" s="106"/>
      <c r="G206" s="74"/>
      <c r="H206" s="88">
        <v>201</v>
      </c>
      <c r="I206" s="89" t="str">
        <f t="shared" si="14"/>
        <v/>
      </c>
      <c r="J206" s="89">
        <f t="shared" si="17"/>
        <v>-3</v>
      </c>
      <c r="K206" s="88">
        <f t="shared" si="15"/>
        <v>-30</v>
      </c>
      <c r="L206" s="88"/>
      <c r="M206" s="90">
        <f t="shared" si="16"/>
        <v>0</v>
      </c>
    </row>
    <row r="207" spans="1:13" x14ac:dyDescent="0.25">
      <c r="A207" s="106"/>
      <c r="G207" s="74"/>
      <c r="H207" s="88">
        <v>202</v>
      </c>
      <c r="I207" s="89" t="str">
        <f t="shared" si="14"/>
        <v/>
      </c>
      <c r="J207" s="89">
        <f t="shared" si="17"/>
        <v>-3</v>
      </c>
      <c r="K207" s="88">
        <f t="shared" si="15"/>
        <v>-30</v>
      </c>
      <c r="L207" s="88"/>
      <c r="M207" s="90">
        <f t="shared" si="16"/>
        <v>0</v>
      </c>
    </row>
    <row r="208" spans="1:13" x14ac:dyDescent="0.25">
      <c r="A208" s="106"/>
      <c r="G208" s="74"/>
      <c r="H208" s="88">
        <v>203</v>
      </c>
      <c r="I208" s="89" t="str">
        <f t="shared" si="14"/>
        <v/>
      </c>
      <c r="J208" s="89">
        <f t="shared" si="17"/>
        <v>-3</v>
      </c>
      <c r="K208" s="88">
        <f t="shared" si="15"/>
        <v>-30</v>
      </c>
      <c r="L208" s="88"/>
      <c r="M208" s="90">
        <f t="shared" si="16"/>
        <v>0</v>
      </c>
    </row>
    <row r="209" spans="1:13" x14ac:dyDescent="0.25">
      <c r="A209" s="106"/>
      <c r="G209" s="74"/>
      <c r="H209" s="88">
        <v>204</v>
      </c>
      <c r="I209" s="89" t="str">
        <f t="shared" si="14"/>
        <v/>
      </c>
      <c r="J209" s="89">
        <f t="shared" si="17"/>
        <v>-3</v>
      </c>
      <c r="K209" s="88">
        <f t="shared" si="15"/>
        <v>-30</v>
      </c>
      <c r="L209" s="88"/>
      <c r="M209" s="90">
        <f t="shared" si="16"/>
        <v>0</v>
      </c>
    </row>
    <row r="210" spans="1:13" x14ac:dyDescent="0.25">
      <c r="A210" s="106"/>
      <c r="G210" s="74"/>
      <c r="H210" s="88">
        <v>205</v>
      </c>
      <c r="I210" s="89" t="str">
        <f t="shared" si="14"/>
        <v/>
      </c>
      <c r="J210" s="89">
        <f t="shared" si="17"/>
        <v>-3</v>
      </c>
      <c r="K210" s="88">
        <f t="shared" si="15"/>
        <v>-30</v>
      </c>
      <c r="L210" s="88"/>
      <c r="M210" s="90">
        <f t="shared" si="16"/>
        <v>0</v>
      </c>
    </row>
    <row r="211" spans="1:13" x14ac:dyDescent="0.25">
      <c r="A211" s="106"/>
      <c r="G211" s="74"/>
      <c r="H211" s="88">
        <v>206</v>
      </c>
      <c r="I211" s="89" t="str">
        <f t="shared" si="14"/>
        <v/>
      </c>
      <c r="J211" s="89">
        <f t="shared" si="17"/>
        <v>-3</v>
      </c>
      <c r="K211" s="88">
        <f t="shared" si="15"/>
        <v>-30</v>
      </c>
      <c r="L211" s="88"/>
      <c r="M211" s="90">
        <f t="shared" si="16"/>
        <v>0</v>
      </c>
    </row>
    <row r="212" spans="1:13" x14ac:dyDescent="0.25">
      <c r="A212" s="106"/>
      <c r="G212" s="74"/>
      <c r="H212" s="88">
        <v>207</v>
      </c>
      <c r="I212" s="89" t="str">
        <f t="shared" si="14"/>
        <v/>
      </c>
      <c r="J212" s="89">
        <f t="shared" si="17"/>
        <v>-3</v>
      </c>
      <c r="K212" s="88">
        <f t="shared" si="15"/>
        <v>-30</v>
      </c>
      <c r="L212" s="88"/>
      <c r="M212" s="90">
        <f t="shared" si="16"/>
        <v>0</v>
      </c>
    </row>
    <row r="213" spans="1:13" x14ac:dyDescent="0.25">
      <c r="A213" s="106"/>
      <c r="G213" s="74"/>
      <c r="H213" s="88">
        <v>208</v>
      </c>
      <c r="I213" s="89" t="str">
        <f t="shared" si="14"/>
        <v/>
      </c>
      <c r="J213" s="89">
        <f t="shared" si="17"/>
        <v>-3</v>
      </c>
      <c r="K213" s="88">
        <f t="shared" si="15"/>
        <v>-30</v>
      </c>
      <c r="L213" s="88"/>
      <c r="M213" s="90">
        <f t="shared" si="16"/>
        <v>0</v>
      </c>
    </row>
    <row r="214" spans="1:13" x14ac:dyDescent="0.25">
      <c r="A214" s="106"/>
      <c r="G214" s="74"/>
      <c r="H214" s="88">
        <v>209</v>
      </c>
      <c r="I214" s="89" t="str">
        <f t="shared" si="14"/>
        <v/>
      </c>
      <c r="J214" s="89">
        <f t="shared" si="17"/>
        <v>-3</v>
      </c>
      <c r="K214" s="88">
        <f t="shared" si="15"/>
        <v>-30</v>
      </c>
      <c r="L214" s="88"/>
      <c r="M214" s="90">
        <f t="shared" si="16"/>
        <v>0</v>
      </c>
    </row>
    <row r="215" spans="1:13" x14ac:dyDescent="0.25">
      <c r="A215" s="106"/>
      <c r="G215" s="74"/>
      <c r="H215" s="88">
        <v>210</v>
      </c>
      <c r="I215" s="89" t="str">
        <f t="shared" si="14"/>
        <v/>
      </c>
      <c r="J215" s="89">
        <f t="shared" si="17"/>
        <v>-3</v>
      </c>
      <c r="K215" s="88">
        <f t="shared" si="15"/>
        <v>-30</v>
      </c>
      <c r="L215" s="88"/>
      <c r="M215" s="90">
        <f t="shared" si="16"/>
        <v>0</v>
      </c>
    </row>
    <row r="216" spans="1:13" x14ac:dyDescent="0.25">
      <c r="A216" s="106"/>
      <c r="G216" s="74"/>
      <c r="H216" s="88">
        <v>211</v>
      </c>
      <c r="I216" s="89" t="str">
        <f t="shared" si="14"/>
        <v/>
      </c>
      <c r="J216" s="89">
        <f t="shared" si="17"/>
        <v>-3</v>
      </c>
      <c r="K216" s="88">
        <f t="shared" si="15"/>
        <v>-30</v>
      </c>
      <c r="L216" s="88"/>
      <c r="M216" s="90">
        <f t="shared" si="16"/>
        <v>0</v>
      </c>
    </row>
    <row r="217" spans="1:13" x14ac:dyDescent="0.25">
      <c r="A217" s="106"/>
      <c r="G217" s="74"/>
      <c r="H217" s="88">
        <v>212</v>
      </c>
      <c r="I217" s="89" t="str">
        <f t="shared" si="14"/>
        <v/>
      </c>
      <c r="J217" s="89">
        <f t="shared" si="17"/>
        <v>-3</v>
      </c>
      <c r="K217" s="88">
        <f t="shared" si="15"/>
        <v>-30</v>
      </c>
      <c r="L217" s="88"/>
      <c r="M217" s="90">
        <f t="shared" si="16"/>
        <v>0</v>
      </c>
    </row>
    <row r="218" spans="1:13" x14ac:dyDescent="0.25">
      <c r="A218" s="106"/>
      <c r="G218" s="74"/>
      <c r="H218" s="88">
        <v>213</v>
      </c>
      <c r="I218" s="89" t="str">
        <f t="shared" si="14"/>
        <v/>
      </c>
      <c r="J218" s="89">
        <f t="shared" si="17"/>
        <v>-3</v>
      </c>
      <c r="K218" s="88">
        <f t="shared" si="15"/>
        <v>-30</v>
      </c>
      <c r="L218" s="88"/>
      <c r="M218" s="90">
        <f t="shared" si="16"/>
        <v>0</v>
      </c>
    </row>
    <row r="219" spans="1:13" x14ac:dyDescent="0.25">
      <c r="A219" s="106"/>
      <c r="G219" s="74"/>
      <c r="H219" s="88">
        <v>214</v>
      </c>
      <c r="I219" s="89" t="str">
        <f t="shared" si="14"/>
        <v/>
      </c>
      <c r="J219" s="89">
        <f t="shared" si="17"/>
        <v>-3</v>
      </c>
      <c r="K219" s="88">
        <f t="shared" si="15"/>
        <v>-30</v>
      </c>
      <c r="L219" s="88"/>
      <c r="M219" s="90">
        <f t="shared" si="16"/>
        <v>0</v>
      </c>
    </row>
    <row r="220" spans="1:13" x14ac:dyDescent="0.25">
      <c r="A220" s="106"/>
      <c r="G220" s="74"/>
      <c r="H220" s="88">
        <v>215</v>
      </c>
      <c r="I220" s="89" t="str">
        <f t="shared" si="14"/>
        <v/>
      </c>
      <c r="J220" s="89">
        <f t="shared" si="17"/>
        <v>-3</v>
      </c>
      <c r="K220" s="88">
        <f t="shared" si="15"/>
        <v>-30</v>
      </c>
      <c r="L220" s="88"/>
      <c r="M220" s="90">
        <f t="shared" si="16"/>
        <v>0</v>
      </c>
    </row>
    <row r="221" spans="1:13" x14ac:dyDescent="0.25">
      <c r="A221" s="106"/>
      <c r="G221" s="74"/>
      <c r="H221" s="88">
        <v>216</v>
      </c>
      <c r="I221" s="89" t="str">
        <f t="shared" si="14"/>
        <v/>
      </c>
      <c r="J221" s="89">
        <f t="shared" si="17"/>
        <v>-3</v>
      </c>
      <c r="K221" s="88">
        <f t="shared" si="15"/>
        <v>-30</v>
      </c>
      <c r="L221" s="88"/>
      <c r="M221" s="90">
        <f t="shared" si="16"/>
        <v>0</v>
      </c>
    </row>
    <row r="222" spans="1:13" x14ac:dyDescent="0.25">
      <c r="A222" s="106"/>
      <c r="G222" s="74"/>
      <c r="H222" s="88">
        <v>217</v>
      </c>
      <c r="I222" s="89" t="str">
        <f t="shared" si="14"/>
        <v/>
      </c>
      <c r="J222" s="89">
        <f t="shared" si="17"/>
        <v>-3</v>
      </c>
      <c r="K222" s="88">
        <f t="shared" si="15"/>
        <v>-30</v>
      </c>
      <c r="L222" s="88"/>
      <c r="M222" s="90">
        <f t="shared" si="16"/>
        <v>0</v>
      </c>
    </row>
    <row r="223" spans="1:13" x14ac:dyDescent="0.25">
      <c r="A223" s="106"/>
      <c r="G223" s="74"/>
      <c r="H223" s="88">
        <v>218</v>
      </c>
      <c r="I223" s="89" t="str">
        <f t="shared" si="14"/>
        <v/>
      </c>
      <c r="J223" s="89">
        <f t="shared" si="17"/>
        <v>-3</v>
      </c>
      <c r="K223" s="88">
        <f t="shared" si="15"/>
        <v>-30</v>
      </c>
      <c r="L223" s="88"/>
      <c r="M223" s="90">
        <f t="shared" si="16"/>
        <v>0</v>
      </c>
    </row>
    <row r="224" spans="1:13" x14ac:dyDescent="0.25">
      <c r="A224" s="106"/>
      <c r="G224" s="74"/>
      <c r="H224" s="88">
        <v>219</v>
      </c>
      <c r="I224" s="89" t="str">
        <f t="shared" si="14"/>
        <v/>
      </c>
      <c r="J224" s="89">
        <f t="shared" si="17"/>
        <v>-3</v>
      </c>
      <c r="K224" s="88">
        <f t="shared" si="15"/>
        <v>-30</v>
      </c>
      <c r="L224" s="88"/>
      <c r="M224" s="90">
        <f t="shared" si="16"/>
        <v>0</v>
      </c>
    </row>
    <row r="225" spans="1:13" x14ac:dyDescent="0.25">
      <c r="A225" s="106"/>
      <c r="G225" s="74"/>
      <c r="H225" s="88">
        <v>220</v>
      </c>
      <c r="I225" s="89" t="str">
        <f t="shared" si="14"/>
        <v/>
      </c>
      <c r="J225" s="89">
        <f t="shared" si="17"/>
        <v>-3</v>
      </c>
      <c r="K225" s="88">
        <f t="shared" si="15"/>
        <v>-30</v>
      </c>
      <c r="L225" s="88"/>
      <c r="M225" s="90">
        <f t="shared" si="16"/>
        <v>0</v>
      </c>
    </row>
    <row r="226" spans="1:13" x14ac:dyDescent="0.25">
      <c r="A226" s="106"/>
      <c r="G226" s="74"/>
      <c r="H226" s="88">
        <v>221</v>
      </c>
      <c r="I226" s="89" t="str">
        <f t="shared" si="14"/>
        <v/>
      </c>
      <c r="J226" s="89">
        <f t="shared" si="17"/>
        <v>-3</v>
      </c>
      <c r="K226" s="88">
        <f t="shared" si="15"/>
        <v>-30</v>
      </c>
      <c r="L226" s="88"/>
      <c r="M226" s="90">
        <f t="shared" si="16"/>
        <v>0</v>
      </c>
    </row>
    <row r="227" spans="1:13" x14ac:dyDescent="0.25">
      <c r="A227" s="106"/>
      <c r="G227" s="74"/>
      <c r="H227" s="88">
        <v>222</v>
      </c>
      <c r="I227" s="89" t="str">
        <f t="shared" si="14"/>
        <v/>
      </c>
      <c r="J227" s="89">
        <f t="shared" si="17"/>
        <v>-3</v>
      </c>
      <c r="K227" s="88">
        <f t="shared" si="15"/>
        <v>-30</v>
      </c>
      <c r="L227" s="88"/>
      <c r="M227" s="90">
        <f t="shared" si="16"/>
        <v>0</v>
      </c>
    </row>
    <row r="228" spans="1:13" x14ac:dyDescent="0.25">
      <c r="A228" s="106"/>
      <c r="G228" s="74"/>
      <c r="H228" s="88">
        <v>223</v>
      </c>
      <c r="I228" s="89" t="str">
        <f t="shared" si="14"/>
        <v/>
      </c>
      <c r="J228" s="89">
        <f t="shared" si="17"/>
        <v>-3</v>
      </c>
      <c r="K228" s="88">
        <f t="shared" si="15"/>
        <v>-30</v>
      </c>
      <c r="L228" s="88"/>
      <c r="M228" s="90">
        <f t="shared" si="16"/>
        <v>0</v>
      </c>
    </row>
    <row r="229" spans="1:13" x14ac:dyDescent="0.25">
      <c r="A229" s="106"/>
      <c r="G229" s="74"/>
      <c r="H229" s="88">
        <v>224</v>
      </c>
      <c r="I229" s="89" t="str">
        <f t="shared" si="14"/>
        <v/>
      </c>
      <c r="J229" s="89">
        <f t="shared" si="17"/>
        <v>-3</v>
      </c>
      <c r="K229" s="88">
        <f t="shared" si="15"/>
        <v>-30</v>
      </c>
      <c r="L229" s="88"/>
      <c r="M229" s="90">
        <f t="shared" si="16"/>
        <v>0</v>
      </c>
    </row>
    <row r="230" spans="1:13" x14ac:dyDescent="0.25">
      <c r="A230" s="106"/>
      <c r="G230" s="74"/>
      <c r="H230" s="88">
        <v>225</v>
      </c>
      <c r="I230" s="89" t="str">
        <f t="shared" si="14"/>
        <v/>
      </c>
      <c r="J230" s="89">
        <f t="shared" si="17"/>
        <v>-3</v>
      </c>
      <c r="K230" s="88">
        <f t="shared" si="15"/>
        <v>-30</v>
      </c>
      <c r="L230" s="88"/>
      <c r="M230" s="90">
        <f t="shared" si="16"/>
        <v>0</v>
      </c>
    </row>
    <row r="231" spans="1:13" x14ac:dyDescent="0.25">
      <c r="A231" s="106"/>
      <c r="G231" s="74"/>
      <c r="H231" s="88">
        <v>226</v>
      </c>
      <c r="I231" s="89" t="str">
        <f t="shared" si="14"/>
        <v/>
      </c>
      <c r="J231" s="89">
        <f t="shared" si="17"/>
        <v>-3</v>
      </c>
      <c r="K231" s="88">
        <f t="shared" si="15"/>
        <v>-30</v>
      </c>
      <c r="L231" s="88"/>
      <c r="M231" s="90">
        <f t="shared" si="16"/>
        <v>0</v>
      </c>
    </row>
    <row r="232" spans="1:13" x14ac:dyDescent="0.25">
      <c r="A232" s="106"/>
      <c r="G232" s="74"/>
      <c r="H232" s="88">
        <v>227</v>
      </c>
      <c r="I232" s="89" t="str">
        <f t="shared" si="14"/>
        <v/>
      </c>
      <c r="J232" s="89">
        <f t="shared" si="17"/>
        <v>-3</v>
      </c>
      <c r="K232" s="88">
        <f t="shared" si="15"/>
        <v>-30</v>
      </c>
      <c r="L232" s="88"/>
      <c r="M232" s="90">
        <f t="shared" si="16"/>
        <v>0</v>
      </c>
    </row>
    <row r="233" spans="1:13" x14ac:dyDescent="0.25">
      <c r="A233" s="106"/>
      <c r="G233" s="74"/>
      <c r="H233" s="88">
        <v>228</v>
      </c>
      <c r="I233" s="89" t="str">
        <f t="shared" si="14"/>
        <v/>
      </c>
      <c r="J233" s="89">
        <f t="shared" si="17"/>
        <v>-3</v>
      </c>
      <c r="K233" s="88">
        <f t="shared" si="15"/>
        <v>-30</v>
      </c>
      <c r="L233" s="88"/>
      <c r="M233" s="90">
        <f t="shared" si="16"/>
        <v>0</v>
      </c>
    </row>
    <row r="234" spans="1:13" x14ac:dyDescent="0.25">
      <c r="A234" s="106"/>
      <c r="G234" s="74"/>
      <c r="H234" s="88">
        <v>229</v>
      </c>
      <c r="I234" s="89" t="str">
        <f t="shared" si="14"/>
        <v/>
      </c>
      <c r="J234" s="89">
        <f t="shared" si="17"/>
        <v>-3</v>
      </c>
      <c r="K234" s="88">
        <f t="shared" si="15"/>
        <v>-30</v>
      </c>
      <c r="L234" s="88"/>
      <c r="M234" s="90">
        <f t="shared" si="16"/>
        <v>0</v>
      </c>
    </row>
    <row r="235" spans="1:13" x14ac:dyDescent="0.25">
      <c r="A235" s="106"/>
      <c r="G235" s="74"/>
      <c r="H235" s="88">
        <v>230</v>
      </c>
      <c r="I235" s="89" t="str">
        <f t="shared" si="14"/>
        <v/>
      </c>
      <c r="J235" s="89">
        <f t="shared" si="17"/>
        <v>-3</v>
      </c>
      <c r="K235" s="88">
        <f t="shared" si="15"/>
        <v>-30</v>
      </c>
      <c r="L235" s="88"/>
      <c r="M235" s="90">
        <f t="shared" si="16"/>
        <v>0</v>
      </c>
    </row>
    <row r="236" spans="1:13" x14ac:dyDescent="0.25">
      <c r="A236" s="106"/>
      <c r="G236" s="74"/>
      <c r="H236" s="88">
        <v>231</v>
      </c>
      <c r="I236" s="89" t="str">
        <f t="shared" si="14"/>
        <v/>
      </c>
      <c r="J236" s="89">
        <f t="shared" si="17"/>
        <v>-3</v>
      </c>
      <c r="K236" s="88">
        <f t="shared" si="15"/>
        <v>-30</v>
      </c>
      <c r="L236" s="88"/>
      <c r="M236" s="90">
        <f t="shared" si="16"/>
        <v>0</v>
      </c>
    </row>
    <row r="237" spans="1:13" x14ac:dyDescent="0.25">
      <c r="A237" s="106"/>
      <c r="G237" s="74"/>
      <c r="H237" s="88">
        <v>232</v>
      </c>
      <c r="I237" s="89" t="str">
        <f t="shared" si="14"/>
        <v/>
      </c>
      <c r="J237" s="89">
        <f t="shared" si="17"/>
        <v>-3</v>
      </c>
      <c r="K237" s="88">
        <f t="shared" si="15"/>
        <v>-30</v>
      </c>
      <c r="L237" s="88"/>
      <c r="M237" s="90">
        <f t="shared" si="16"/>
        <v>0</v>
      </c>
    </row>
    <row r="238" spans="1:13" x14ac:dyDescent="0.25">
      <c r="A238" s="106"/>
      <c r="G238" s="74"/>
      <c r="H238" s="88">
        <v>233</v>
      </c>
      <c r="I238" s="89" t="str">
        <f t="shared" si="14"/>
        <v/>
      </c>
      <c r="J238" s="89">
        <f t="shared" si="17"/>
        <v>-3</v>
      </c>
      <c r="K238" s="88">
        <f t="shared" si="15"/>
        <v>-30</v>
      </c>
      <c r="L238" s="88"/>
      <c r="M238" s="90">
        <f t="shared" si="16"/>
        <v>0</v>
      </c>
    </row>
    <row r="239" spans="1:13" x14ac:dyDescent="0.25">
      <c r="A239" s="106"/>
      <c r="G239" s="74"/>
      <c r="H239" s="88">
        <v>234</v>
      </c>
      <c r="I239" s="89" t="str">
        <f t="shared" si="14"/>
        <v/>
      </c>
      <c r="J239" s="89">
        <f t="shared" si="17"/>
        <v>-3</v>
      </c>
      <c r="K239" s="88">
        <f t="shared" si="15"/>
        <v>-30</v>
      </c>
      <c r="L239" s="88"/>
      <c r="M239" s="90">
        <f t="shared" si="16"/>
        <v>0</v>
      </c>
    </row>
    <row r="240" spans="1:13" x14ac:dyDescent="0.25">
      <c r="A240" s="106"/>
      <c r="G240" s="74"/>
      <c r="H240" s="88">
        <v>235</v>
      </c>
      <c r="I240" s="89" t="str">
        <f t="shared" si="14"/>
        <v/>
      </c>
      <c r="J240" s="89">
        <f t="shared" si="17"/>
        <v>-3</v>
      </c>
      <c r="K240" s="88">
        <f t="shared" si="15"/>
        <v>-30</v>
      </c>
      <c r="L240" s="88"/>
      <c r="M240" s="90">
        <f t="shared" si="16"/>
        <v>0</v>
      </c>
    </row>
    <row r="241" spans="1:13" x14ac:dyDescent="0.25">
      <c r="A241" s="106"/>
      <c r="G241" s="74"/>
      <c r="H241" s="88">
        <v>236</v>
      </c>
      <c r="I241" s="89" t="str">
        <f t="shared" si="14"/>
        <v/>
      </c>
      <c r="J241" s="89">
        <f t="shared" si="17"/>
        <v>-3</v>
      </c>
      <c r="K241" s="88">
        <f t="shared" si="15"/>
        <v>-30</v>
      </c>
      <c r="L241" s="88"/>
      <c r="M241" s="90">
        <f t="shared" si="16"/>
        <v>0</v>
      </c>
    </row>
    <row r="242" spans="1:13" x14ac:dyDescent="0.25">
      <c r="A242" s="106"/>
      <c r="G242" s="74"/>
      <c r="H242" s="88">
        <v>237</v>
      </c>
      <c r="I242" s="89" t="str">
        <f t="shared" si="14"/>
        <v/>
      </c>
      <c r="J242" s="89">
        <f t="shared" si="17"/>
        <v>-3</v>
      </c>
      <c r="K242" s="88">
        <f t="shared" si="15"/>
        <v>-30</v>
      </c>
      <c r="L242" s="88"/>
      <c r="M242" s="90">
        <f t="shared" si="16"/>
        <v>0</v>
      </c>
    </row>
    <row r="243" spans="1:13" x14ac:dyDescent="0.25">
      <c r="A243" s="106"/>
      <c r="G243" s="74"/>
      <c r="H243" s="88">
        <v>238</v>
      </c>
      <c r="I243" s="89" t="str">
        <f t="shared" si="14"/>
        <v/>
      </c>
      <c r="J243" s="89">
        <f t="shared" si="17"/>
        <v>-3</v>
      </c>
      <c r="K243" s="88">
        <f t="shared" si="15"/>
        <v>-30</v>
      </c>
      <c r="L243" s="88"/>
      <c r="M243" s="90">
        <f t="shared" si="16"/>
        <v>0</v>
      </c>
    </row>
    <row r="244" spans="1:13" x14ac:dyDescent="0.25">
      <c r="A244" s="106"/>
      <c r="G244" s="74"/>
      <c r="H244" s="88">
        <v>239</v>
      </c>
      <c r="I244" s="89" t="str">
        <f t="shared" si="14"/>
        <v/>
      </c>
      <c r="J244" s="89">
        <f t="shared" si="17"/>
        <v>-3</v>
      </c>
      <c r="K244" s="88">
        <f t="shared" si="15"/>
        <v>-30</v>
      </c>
      <c r="L244" s="88"/>
      <c r="M244" s="90">
        <f t="shared" si="16"/>
        <v>0</v>
      </c>
    </row>
    <row r="245" spans="1:13" x14ac:dyDescent="0.25">
      <c r="A245" s="106"/>
      <c r="G245" s="74"/>
      <c r="H245" s="88">
        <v>240</v>
      </c>
      <c r="I245" s="89" t="str">
        <f t="shared" si="14"/>
        <v/>
      </c>
      <c r="J245" s="89">
        <f t="shared" si="17"/>
        <v>-3</v>
      </c>
      <c r="K245" s="88">
        <f t="shared" si="15"/>
        <v>-30</v>
      </c>
      <c r="L245" s="88"/>
      <c r="M245" s="90">
        <f t="shared" si="16"/>
        <v>0</v>
      </c>
    </row>
    <row r="246" spans="1:13" x14ac:dyDescent="0.25">
      <c r="A246" s="106"/>
      <c r="G246" s="74"/>
      <c r="H246" s="88">
        <v>241</v>
      </c>
      <c r="I246" s="89" t="str">
        <f t="shared" si="14"/>
        <v/>
      </c>
      <c r="J246" s="89">
        <f t="shared" si="17"/>
        <v>-3</v>
      </c>
      <c r="K246" s="88">
        <f t="shared" si="15"/>
        <v>-30</v>
      </c>
      <c r="L246" s="88"/>
      <c r="M246" s="90">
        <f t="shared" si="16"/>
        <v>0</v>
      </c>
    </row>
    <row r="247" spans="1:13" x14ac:dyDescent="0.25">
      <c r="A247" s="106"/>
      <c r="G247" s="74"/>
      <c r="H247" s="88">
        <v>242</v>
      </c>
      <c r="I247" s="89" t="str">
        <f t="shared" si="14"/>
        <v/>
      </c>
      <c r="J247" s="89">
        <f t="shared" si="17"/>
        <v>-3</v>
      </c>
      <c r="K247" s="88">
        <f t="shared" si="15"/>
        <v>-30</v>
      </c>
      <c r="L247" s="88"/>
      <c r="M247" s="90">
        <f t="shared" si="16"/>
        <v>0</v>
      </c>
    </row>
    <row r="248" spans="1:13" x14ac:dyDescent="0.25">
      <c r="A248" s="106"/>
      <c r="G248" s="74"/>
      <c r="H248" s="88">
        <v>243</v>
      </c>
      <c r="I248" s="89" t="str">
        <f t="shared" si="14"/>
        <v/>
      </c>
      <c r="J248" s="89">
        <f t="shared" si="17"/>
        <v>-3</v>
      </c>
      <c r="K248" s="88">
        <f t="shared" si="15"/>
        <v>-30</v>
      </c>
      <c r="L248" s="88"/>
      <c r="M248" s="90">
        <f t="shared" si="16"/>
        <v>0</v>
      </c>
    </row>
    <row r="249" spans="1:13" x14ac:dyDescent="0.25">
      <c r="A249" s="106"/>
      <c r="G249" s="74"/>
      <c r="H249" s="88">
        <v>244</v>
      </c>
      <c r="I249" s="89" t="str">
        <f t="shared" si="14"/>
        <v/>
      </c>
      <c r="J249" s="89">
        <f t="shared" si="17"/>
        <v>-3</v>
      </c>
      <c r="K249" s="88">
        <f t="shared" si="15"/>
        <v>-30</v>
      </c>
      <c r="L249" s="88"/>
      <c r="M249" s="90">
        <f t="shared" si="16"/>
        <v>0</v>
      </c>
    </row>
    <row r="250" spans="1:13" x14ac:dyDescent="0.25">
      <c r="A250" s="106"/>
      <c r="G250" s="74"/>
      <c r="H250" s="88">
        <v>245</v>
      </c>
      <c r="I250" s="89" t="str">
        <f t="shared" si="14"/>
        <v/>
      </c>
      <c r="J250" s="89">
        <f t="shared" si="17"/>
        <v>-3</v>
      </c>
      <c r="K250" s="88">
        <f t="shared" si="15"/>
        <v>-30</v>
      </c>
      <c r="L250" s="88"/>
      <c r="M250" s="90">
        <f t="shared" si="16"/>
        <v>0</v>
      </c>
    </row>
    <row r="251" spans="1:13" x14ac:dyDescent="0.25">
      <c r="A251" s="106"/>
      <c r="G251" s="74"/>
      <c r="H251" s="88">
        <v>246</v>
      </c>
      <c r="I251" s="89" t="str">
        <f t="shared" si="14"/>
        <v/>
      </c>
      <c r="J251" s="89">
        <f t="shared" si="17"/>
        <v>-3</v>
      </c>
      <c r="K251" s="88">
        <f t="shared" si="15"/>
        <v>-30</v>
      </c>
      <c r="L251" s="88"/>
      <c r="M251" s="90">
        <f t="shared" si="16"/>
        <v>0</v>
      </c>
    </row>
    <row r="252" spans="1:13" x14ac:dyDescent="0.25">
      <c r="A252" s="106"/>
      <c r="G252" s="74"/>
      <c r="H252" s="88">
        <v>247</v>
      </c>
      <c r="I252" s="89" t="str">
        <f t="shared" si="14"/>
        <v/>
      </c>
      <c r="J252" s="89">
        <f t="shared" si="17"/>
        <v>-3</v>
      </c>
      <c r="K252" s="88">
        <f t="shared" si="15"/>
        <v>-30</v>
      </c>
      <c r="L252" s="88"/>
      <c r="M252" s="90">
        <f t="shared" si="16"/>
        <v>0</v>
      </c>
    </row>
    <row r="253" spans="1:13" x14ac:dyDescent="0.25">
      <c r="A253" s="106"/>
      <c r="G253" s="74"/>
      <c r="H253" s="88">
        <v>248</v>
      </c>
      <c r="I253" s="89" t="str">
        <f t="shared" si="14"/>
        <v/>
      </c>
      <c r="J253" s="89">
        <f t="shared" si="17"/>
        <v>-3</v>
      </c>
      <c r="K253" s="88">
        <f t="shared" si="15"/>
        <v>-30</v>
      </c>
      <c r="L253" s="88"/>
      <c r="M253" s="90">
        <f t="shared" si="16"/>
        <v>0</v>
      </c>
    </row>
    <row r="254" spans="1:13" x14ac:dyDescent="0.25">
      <c r="A254" s="106"/>
      <c r="G254" s="74"/>
      <c r="H254" s="88">
        <v>249</v>
      </c>
      <c r="I254" s="89" t="str">
        <f t="shared" si="14"/>
        <v/>
      </c>
      <c r="J254" s="89">
        <f t="shared" si="17"/>
        <v>-3</v>
      </c>
      <c r="K254" s="88">
        <f t="shared" si="15"/>
        <v>-30</v>
      </c>
      <c r="L254" s="88"/>
      <c r="M254" s="90">
        <f t="shared" si="16"/>
        <v>0</v>
      </c>
    </row>
    <row r="255" spans="1:13" x14ac:dyDescent="0.25">
      <c r="A255" s="106"/>
      <c r="G255" s="74"/>
      <c r="H255" s="88">
        <v>250</v>
      </c>
      <c r="I255" s="89" t="str">
        <f t="shared" si="14"/>
        <v/>
      </c>
      <c r="J255" s="89">
        <f t="shared" si="17"/>
        <v>-3</v>
      </c>
      <c r="K255" s="88">
        <f t="shared" si="15"/>
        <v>-30</v>
      </c>
      <c r="L255" s="88"/>
      <c r="M255" s="90">
        <f t="shared" si="16"/>
        <v>0</v>
      </c>
    </row>
    <row r="256" spans="1:13" x14ac:dyDescent="0.25">
      <c r="A256" s="106"/>
      <c r="G256" s="74"/>
      <c r="H256" s="88">
        <v>251</v>
      </c>
      <c r="I256" s="89" t="str">
        <f t="shared" si="14"/>
        <v/>
      </c>
      <c r="J256" s="89">
        <f t="shared" si="17"/>
        <v>-3</v>
      </c>
      <c r="K256" s="88">
        <f t="shared" si="15"/>
        <v>-30</v>
      </c>
      <c r="L256" s="88"/>
      <c r="M256" s="90">
        <f t="shared" si="16"/>
        <v>0</v>
      </c>
    </row>
    <row r="257" spans="1:13" x14ac:dyDescent="0.25">
      <c r="A257" s="106"/>
      <c r="G257" s="74"/>
      <c r="H257" s="88">
        <v>252</v>
      </c>
      <c r="I257" s="89" t="str">
        <f t="shared" si="14"/>
        <v/>
      </c>
      <c r="J257" s="89">
        <f t="shared" si="17"/>
        <v>-3</v>
      </c>
      <c r="K257" s="88">
        <f t="shared" si="15"/>
        <v>-30</v>
      </c>
      <c r="L257" s="88"/>
      <c r="M257" s="90">
        <f t="shared" si="16"/>
        <v>0</v>
      </c>
    </row>
    <row r="258" spans="1:13" x14ac:dyDescent="0.25">
      <c r="A258" s="106"/>
      <c r="G258" s="74"/>
      <c r="H258" s="88">
        <v>253</v>
      </c>
      <c r="I258" s="89" t="str">
        <f t="shared" si="14"/>
        <v/>
      </c>
      <c r="J258" s="89">
        <f t="shared" si="17"/>
        <v>-3</v>
      </c>
      <c r="K258" s="88">
        <f t="shared" si="15"/>
        <v>-30</v>
      </c>
      <c r="L258" s="88"/>
      <c r="M258" s="90">
        <f t="shared" si="16"/>
        <v>0</v>
      </c>
    </row>
    <row r="259" spans="1:13" x14ac:dyDescent="0.25">
      <c r="A259" s="106"/>
      <c r="G259" s="74"/>
      <c r="H259" s="88">
        <v>254</v>
      </c>
      <c r="I259" s="89" t="str">
        <f t="shared" si="14"/>
        <v/>
      </c>
      <c r="J259" s="89">
        <f t="shared" si="17"/>
        <v>-3</v>
      </c>
      <c r="K259" s="88">
        <f t="shared" si="15"/>
        <v>-30</v>
      </c>
      <c r="L259" s="88"/>
      <c r="M259" s="90">
        <f t="shared" si="16"/>
        <v>0</v>
      </c>
    </row>
    <row r="260" spans="1:13" x14ac:dyDescent="0.25">
      <c r="A260" s="106"/>
      <c r="G260" s="74"/>
      <c r="H260" s="88">
        <v>255</v>
      </c>
      <c r="I260" s="89" t="str">
        <f t="shared" si="14"/>
        <v/>
      </c>
      <c r="J260" s="89">
        <f t="shared" si="17"/>
        <v>-3</v>
      </c>
      <c r="K260" s="88">
        <f t="shared" si="15"/>
        <v>-30</v>
      </c>
      <c r="L260" s="88"/>
      <c r="M260" s="90">
        <f t="shared" si="16"/>
        <v>0</v>
      </c>
    </row>
    <row r="261" spans="1:13" x14ac:dyDescent="0.25">
      <c r="A261" s="106"/>
      <c r="G261" s="74"/>
      <c r="H261" s="88">
        <v>256</v>
      </c>
      <c r="I261" s="89" t="str">
        <f t="shared" si="14"/>
        <v/>
      </c>
      <c r="J261" s="89">
        <f t="shared" si="17"/>
        <v>-3</v>
      </c>
      <c r="K261" s="88">
        <f t="shared" si="15"/>
        <v>-30</v>
      </c>
      <c r="L261" s="88"/>
      <c r="M261" s="90">
        <f t="shared" si="16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8">IF(H262&lt;$H$2+1,($I$2-($I$2-1)*(LOG(H262)/LOG($H$2))),"")</f>
        <v/>
      </c>
      <c r="J262" s="89">
        <f t="shared" si="17"/>
        <v>-4</v>
      </c>
      <c r="K262" s="88">
        <f t="shared" ref="K262:K305" si="19">J262*$J$2</f>
        <v>-40</v>
      </c>
      <c r="L262" s="88"/>
      <c r="M262" s="90">
        <f t="shared" ref="M262:M305" si="20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8"/>
        <v/>
      </c>
      <c r="J263" s="89">
        <f t="shared" ref="J263:J305" si="21">INT(LOG($H$2,2))-ROUNDUP(LOG(H263,2),0)+IF(OR($H$2=1,$H$2=2,$H$2=4,$H$2=8,$H$2=16,$H$2=32,$H$2=64,$H$2=128,$H$2=256),0,1)</f>
        <v>-4</v>
      </c>
      <c r="K263" s="88">
        <f t="shared" si="19"/>
        <v>-40</v>
      </c>
      <c r="L263" s="88"/>
      <c r="M263" s="90">
        <f t="shared" si="20"/>
        <v>0</v>
      </c>
    </row>
    <row r="264" spans="1:13" x14ac:dyDescent="0.25">
      <c r="A264" s="106"/>
      <c r="G264" s="74"/>
      <c r="H264" s="88">
        <v>259</v>
      </c>
      <c r="I264" s="89" t="str">
        <f t="shared" si="18"/>
        <v/>
      </c>
      <c r="J264" s="89">
        <f t="shared" si="21"/>
        <v>-4</v>
      </c>
      <c r="K264" s="88">
        <f t="shared" si="19"/>
        <v>-40</v>
      </c>
      <c r="L264" s="88"/>
      <c r="M264" s="90">
        <f t="shared" si="20"/>
        <v>0</v>
      </c>
    </row>
    <row r="265" spans="1:13" x14ac:dyDescent="0.25">
      <c r="A265" s="106"/>
      <c r="G265" s="74"/>
      <c r="H265" s="88">
        <v>260</v>
      </c>
      <c r="I265" s="89" t="str">
        <f t="shared" si="18"/>
        <v/>
      </c>
      <c r="J265" s="89">
        <f t="shared" si="21"/>
        <v>-4</v>
      </c>
      <c r="K265" s="88">
        <f t="shared" si="19"/>
        <v>-40</v>
      </c>
      <c r="L265" s="88"/>
      <c r="M265" s="90">
        <f t="shared" si="20"/>
        <v>0</v>
      </c>
    </row>
    <row r="266" spans="1:13" x14ac:dyDescent="0.25">
      <c r="A266" s="106"/>
      <c r="G266" s="74"/>
      <c r="H266" s="88">
        <v>261</v>
      </c>
      <c r="I266" s="89" t="str">
        <f t="shared" si="18"/>
        <v/>
      </c>
      <c r="J266" s="89">
        <f t="shared" si="21"/>
        <v>-4</v>
      </c>
      <c r="K266" s="88">
        <f t="shared" si="19"/>
        <v>-40</v>
      </c>
      <c r="L266" s="88"/>
      <c r="M266" s="90">
        <f t="shared" si="20"/>
        <v>0</v>
      </c>
    </row>
    <row r="267" spans="1:13" x14ac:dyDescent="0.25">
      <c r="A267" s="106"/>
      <c r="G267" s="74"/>
      <c r="H267" s="88">
        <v>262</v>
      </c>
      <c r="I267" s="89" t="str">
        <f t="shared" si="18"/>
        <v/>
      </c>
      <c r="J267" s="89">
        <f t="shared" si="21"/>
        <v>-4</v>
      </c>
      <c r="K267" s="88">
        <f t="shared" si="19"/>
        <v>-40</v>
      </c>
      <c r="L267" s="88"/>
      <c r="M267" s="90">
        <f t="shared" si="20"/>
        <v>0</v>
      </c>
    </row>
    <row r="268" spans="1:13" x14ac:dyDescent="0.25">
      <c r="A268" s="106"/>
      <c r="G268" s="74"/>
      <c r="H268" s="88">
        <v>263</v>
      </c>
      <c r="I268" s="89" t="str">
        <f t="shared" si="18"/>
        <v/>
      </c>
      <c r="J268" s="89">
        <f t="shared" si="21"/>
        <v>-4</v>
      </c>
      <c r="K268" s="88">
        <f t="shared" si="19"/>
        <v>-40</v>
      </c>
      <c r="L268" s="88"/>
      <c r="M268" s="90">
        <f t="shared" si="20"/>
        <v>0</v>
      </c>
    </row>
    <row r="269" spans="1:13" x14ac:dyDescent="0.25">
      <c r="A269" s="106"/>
      <c r="G269" s="74"/>
      <c r="H269" s="88">
        <v>264</v>
      </c>
      <c r="I269" s="89" t="str">
        <f t="shared" si="18"/>
        <v/>
      </c>
      <c r="J269" s="89">
        <f t="shared" si="21"/>
        <v>-4</v>
      </c>
      <c r="K269" s="88">
        <f t="shared" si="19"/>
        <v>-40</v>
      </c>
      <c r="L269" s="88"/>
      <c r="M269" s="90">
        <f t="shared" si="20"/>
        <v>0</v>
      </c>
    </row>
    <row r="270" spans="1:13" x14ac:dyDescent="0.25">
      <c r="A270" s="106"/>
      <c r="G270" s="74"/>
      <c r="H270" s="88">
        <v>265</v>
      </c>
      <c r="I270" s="89" t="str">
        <f t="shared" si="18"/>
        <v/>
      </c>
      <c r="J270" s="89">
        <f t="shared" si="21"/>
        <v>-4</v>
      </c>
      <c r="K270" s="88">
        <f t="shared" si="19"/>
        <v>-40</v>
      </c>
      <c r="L270" s="88"/>
      <c r="M270" s="90">
        <f t="shared" si="20"/>
        <v>0</v>
      </c>
    </row>
    <row r="271" spans="1:13" x14ac:dyDescent="0.25">
      <c r="A271" s="106"/>
      <c r="G271" s="74"/>
      <c r="H271" s="88">
        <v>266</v>
      </c>
      <c r="I271" s="89" t="str">
        <f t="shared" si="18"/>
        <v/>
      </c>
      <c r="J271" s="89">
        <f t="shared" si="21"/>
        <v>-4</v>
      </c>
      <c r="K271" s="88">
        <f t="shared" si="19"/>
        <v>-40</v>
      </c>
      <c r="L271" s="88"/>
      <c r="M271" s="90">
        <f t="shared" si="20"/>
        <v>0</v>
      </c>
    </row>
    <row r="272" spans="1:13" x14ac:dyDescent="0.25">
      <c r="A272" s="106"/>
      <c r="G272" s="74"/>
      <c r="H272" s="88">
        <v>267</v>
      </c>
      <c r="I272" s="89" t="str">
        <f t="shared" si="18"/>
        <v/>
      </c>
      <c r="J272" s="89">
        <f t="shared" si="21"/>
        <v>-4</v>
      </c>
      <c r="K272" s="88">
        <f t="shared" si="19"/>
        <v>-40</v>
      </c>
      <c r="L272" s="88"/>
      <c r="M272" s="90">
        <f t="shared" si="20"/>
        <v>0</v>
      </c>
    </row>
    <row r="273" spans="1:13" x14ac:dyDescent="0.25">
      <c r="A273" s="106"/>
      <c r="G273" s="74"/>
      <c r="H273" s="88">
        <v>268</v>
      </c>
      <c r="I273" s="89" t="str">
        <f t="shared" si="18"/>
        <v/>
      </c>
      <c r="J273" s="89">
        <f t="shared" si="21"/>
        <v>-4</v>
      </c>
      <c r="K273" s="88">
        <f t="shared" si="19"/>
        <v>-40</v>
      </c>
      <c r="L273" s="88"/>
      <c r="M273" s="90">
        <f t="shared" si="20"/>
        <v>0</v>
      </c>
    </row>
    <row r="274" spans="1:13" x14ac:dyDescent="0.25">
      <c r="A274" s="106"/>
      <c r="G274" s="74"/>
      <c r="H274" s="88">
        <v>269</v>
      </c>
      <c r="I274" s="89" t="str">
        <f t="shared" si="18"/>
        <v/>
      </c>
      <c r="J274" s="89">
        <f t="shared" si="21"/>
        <v>-4</v>
      </c>
      <c r="K274" s="88">
        <f t="shared" si="19"/>
        <v>-40</v>
      </c>
      <c r="L274" s="88"/>
      <c r="M274" s="90">
        <f t="shared" si="20"/>
        <v>0</v>
      </c>
    </row>
    <row r="275" spans="1:13" x14ac:dyDescent="0.25">
      <c r="A275" s="106"/>
      <c r="G275" s="74"/>
      <c r="H275" s="88">
        <v>270</v>
      </c>
      <c r="I275" s="89" t="str">
        <f t="shared" si="18"/>
        <v/>
      </c>
      <c r="J275" s="89">
        <f t="shared" si="21"/>
        <v>-4</v>
      </c>
      <c r="K275" s="88">
        <f t="shared" si="19"/>
        <v>-40</v>
      </c>
      <c r="L275" s="88"/>
      <c r="M275" s="90">
        <f t="shared" si="20"/>
        <v>0</v>
      </c>
    </row>
    <row r="276" spans="1:13" x14ac:dyDescent="0.25">
      <c r="A276" s="106"/>
      <c r="G276" s="74"/>
      <c r="H276" s="88">
        <v>271</v>
      </c>
      <c r="I276" s="89" t="str">
        <f t="shared" si="18"/>
        <v/>
      </c>
      <c r="J276" s="89">
        <f t="shared" si="21"/>
        <v>-4</v>
      </c>
      <c r="K276" s="88">
        <f t="shared" si="19"/>
        <v>-40</v>
      </c>
      <c r="L276" s="88"/>
      <c r="M276" s="90">
        <f t="shared" si="20"/>
        <v>0</v>
      </c>
    </row>
    <row r="277" spans="1:13" x14ac:dyDescent="0.25">
      <c r="A277" s="106"/>
      <c r="G277" s="74"/>
      <c r="H277" s="88">
        <v>272</v>
      </c>
      <c r="I277" s="89" t="str">
        <f t="shared" si="18"/>
        <v/>
      </c>
      <c r="J277" s="89">
        <f t="shared" si="21"/>
        <v>-4</v>
      </c>
      <c r="K277" s="88">
        <f t="shared" si="19"/>
        <v>-40</v>
      </c>
      <c r="L277" s="88"/>
      <c r="M277" s="90">
        <f t="shared" si="20"/>
        <v>0</v>
      </c>
    </row>
    <row r="278" spans="1:13" x14ac:dyDescent="0.25">
      <c r="A278" s="106"/>
      <c r="G278" s="74"/>
      <c r="H278" s="88">
        <v>273</v>
      </c>
      <c r="I278" s="89" t="str">
        <f t="shared" si="18"/>
        <v/>
      </c>
      <c r="J278" s="89">
        <f t="shared" si="21"/>
        <v>-4</v>
      </c>
      <c r="K278" s="88">
        <f t="shared" si="19"/>
        <v>-40</v>
      </c>
      <c r="L278" s="88"/>
      <c r="M278" s="90">
        <f t="shared" si="20"/>
        <v>0</v>
      </c>
    </row>
    <row r="279" spans="1:13" x14ac:dyDescent="0.25">
      <c r="A279" s="106"/>
      <c r="G279" s="74"/>
      <c r="H279" s="88">
        <v>274</v>
      </c>
      <c r="I279" s="89" t="str">
        <f t="shared" si="18"/>
        <v/>
      </c>
      <c r="J279" s="89">
        <f t="shared" si="21"/>
        <v>-4</v>
      </c>
      <c r="K279" s="88">
        <f t="shared" si="19"/>
        <v>-40</v>
      </c>
      <c r="L279" s="88"/>
      <c r="M279" s="90">
        <f t="shared" si="20"/>
        <v>0</v>
      </c>
    </row>
    <row r="280" spans="1:13" x14ac:dyDescent="0.25">
      <c r="A280" s="106"/>
      <c r="G280" s="74"/>
      <c r="H280" s="88">
        <v>275</v>
      </c>
      <c r="I280" s="89" t="str">
        <f t="shared" si="18"/>
        <v/>
      </c>
      <c r="J280" s="89">
        <f t="shared" si="21"/>
        <v>-4</v>
      </c>
      <c r="K280" s="88">
        <f t="shared" si="19"/>
        <v>-40</v>
      </c>
      <c r="L280" s="88"/>
      <c r="M280" s="90">
        <f t="shared" si="20"/>
        <v>0</v>
      </c>
    </row>
    <row r="281" spans="1:13" x14ac:dyDescent="0.25">
      <c r="A281" s="106"/>
      <c r="G281" s="74"/>
      <c r="H281" s="88">
        <v>276</v>
      </c>
      <c r="I281" s="89" t="str">
        <f t="shared" si="18"/>
        <v/>
      </c>
      <c r="J281" s="89">
        <f t="shared" si="21"/>
        <v>-4</v>
      </c>
      <c r="K281" s="88">
        <f t="shared" si="19"/>
        <v>-40</v>
      </c>
      <c r="L281" s="88"/>
      <c r="M281" s="90">
        <f t="shared" si="20"/>
        <v>0</v>
      </c>
    </row>
    <row r="282" spans="1:13" x14ac:dyDescent="0.25">
      <c r="A282" s="106"/>
      <c r="G282" s="74"/>
      <c r="H282" s="88">
        <v>277</v>
      </c>
      <c r="I282" s="89" t="str">
        <f t="shared" si="18"/>
        <v/>
      </c>
      <c r="J282" s="89">
        <f t="shared" si="21"/>
        <v>-4</v>
      </c>
      <c r="K282" s="88">
        <f t="shared" si="19"/>
        <v>-40</v>
      </c>
      <c r="L282" s="88"/>
      <c r="M282" s="90">
        <f t="shared" si="20"/>
        <v>0</v>
      </c>
    </row>
    <row r="283" spans="1:13" x14ac:dyDescent="0.25">
      <c r="A283" s="106"/>
      <c r="G283" s="74"/>
      <c r="H283" s="88">
        <v>278</v>
      </c>
      <c r="I283" s="89" t="str">
        <f t="shared" si="18"/>
        <v/>
      </c>
      <c r="J283" s="89">
        <f t="shared" si="21"/>
        <v>-4</v>
      </c>
      <c r="K283" s="88">
        <f t="shared" si="19"/>
        <v>-40</v>
      </c>
      <c r="L283" s="88"/>
      <c r="M283" s="90">
        <f t="shared" si="20"/>
        <v>0</v>
      </c>
    </row>
    <row r="284" spans="1:13" x14ac:dyDescent="0.25">
      <c r="A284" s="106"/>
      <c r="G284" s="74"/>
      <c r="H284" s="88">
        <v>279</v>
      </c>
      <c r="I284" s="89" t="str">
        <f t="shared" si="18"/>
        <v/>
      </c>
      <c r="J284" s="89">
        <f t="shared" si="21"/>
        <v>-4</v>
      </c>
      <c r="K284" s="88">
        <f t="shared" si="19"/>
        <v>-40</v>
      </c>
      <c r="L284" s="88"/>
      <c r="M284" s="90">
        <f t="shared" si="20"/>
        <v>0</v>
      </c>
    </row>
    <row r="285" spans="1:13" x14ac:dyDescent="0.25">
      <c r="A285" s="106"/>
      <c r="G285" s="74"/>
      <c r="H285" s="88">
        <v>280</v>
      </c>
      <c r="I285" s="89" t="str">
        <f t="shared" si="18"/>
        <v/>
      </c>
      <c r="J285" s="89">
        <f t="shared" si="21"/>
        <v>-4</v>
      </c>
      <c r="K285" s="88">
        <f t="shared" si="19"/>
        <v>-40</v>
      </c>
      <c r="L285" s="88"/>
      <c r="M285" s="90">
        <f t="shared" si="20"/>
        <v>0</v>
      </c>
    </row>
    <row r="286" spans="1:13" x14ac:dyDescent="0.25">
      <c r="A286" s="106"/>
      <c r="G286" s="74"/>
      <c r="H286" s="88">
        <v>281</v>
      </c>
      <c r="I286" s="89" t="str">
        <f t="shared" si="18"/>
        <v/>
      </c>
      <c r="J286" s="89">
        <f t="shared" si="21"/>
        <v>-4</v>
      </c>
      <c r="K286" s="88">
        <f t="shared" si="19"/>
        <v>-40</v>
      </c>
      <c r="L286" s="88"/>
      <c r="M286" s="90">
        <f t="shared" si="20"/>
        <v>0</v>
      </c>
    </row>
    <row r="287" spans="1:13" x14ac:dyDescent="0.25">
      <c r="A287" s="106"/>
      <c r="G287" s="74"/>
      <c r="H287" s="88">
        <v>282</v>
      </c>
      <c r="I287" s="89" t="str">
        <f t="shared" si="18"/>
        <v/>
      </c>
      <c r="J287" s="89">
        <f t="shared" si="21"/>
        <v>-4</v>
      </c>
      <c r="K287" s="88">
        <f t="shared" si="19"/>
        <v>-40</v>
      </c>
      <c r="L287" s="88"/>
      <c r="M287" s="90">
        <f t="shared" si="20"/>
        <v>0</v>
      </c>
    </row>
    <row r="288" spans="1:13" x14ac:dyDescent="0.25">
      <c r="A288" s="106"/>
      <c r="G288" s="74"/>
      <c r="H288" s="88">
        <v>283</v>
      </c>
      <c r="I288" s="89" t="str">
        <f t="shared" si="18"/>
        <v/>
      </c>
      <c r="J288" s="89">
        <f t="shared" si="21"/>
        <v>-4</v>
      </c>
      <c r="K288" s="88">
        <f t="shared" si="19"/>
        <v>-40</v>
      </c>
      <c r="L288" s="88"/>
      <c r="M288" s="90">
        <f t="shared" si="20"/>
        <v>0</v>
      </c>
    </row>
    <row r="289" spans="1:13" x14ac:dyDescent="0.25">
      <c r="A289" s="106"/>
      <c r="G289" s="74"/>
      <c r="H289" s="88">
        <v>284</v>
      </c>
      <c r="I289" s="89" t="str">
        <f t="shared" si="18"/>
        <v/>
      </c>
      <c r="J289" s="89">
        <f t="shared" si="21"/>
        <v>-4</v>
      </c>
      <c r="K289" s="88">
        <f t="shared" si="19"/>
        <v>-40</v>
      </c>
      <c r="L289" s="88"/>
      <c r="M289" s="90">
        <f t="shared" si="20"/>
        <v>0</v>
      </c>
    </row>
    <row r="290" spans="1:13" x14ac:dyDescent="0.25">
      <c r="A290" s="106"/>
      <c r="G290" s="74"/>
      <c r="H290" s="88">
        <v>285</v>
      </c>
      <c r="I290" s="89" t="str">
        <f t="shared" si="18"/>
        <v/>
      </c>
      <c r="J290" s="89">
        <f t="shared" si="21"/>
        <v>-4</v>
      </c>
      <c r="K290" s="88">
        <f t="shared" si="19"/>
        <v>-40</v>
      </c>
      <c r="L290" s="88"/>
      <c r="M290" s="90">
        <f t="shared" si="20"/>
        <v>0</v>
      </c>
    </row>
    <row r="291" spans="1:13" x14ac:dyDescent="0.25">
      <c r="A291" s="106"/>
      <c r="G291" s="74"/>
      <c r="H291" s="88">
        <v>286</v>
      </c>
      <c r="I291" s="89" t="str">
        <f t="shared" si="18"/>
        <v/>
      </c>
      <c r="J291" s="89">
        <f t="shared" si="21"/>
        <v>-4</v>
      </c>
      <c r="K291" s="88">
        <f t="shared" si="19"/>
        <v>-40</v>
      </c>
      <c r="L291" s="88"/>
      <c r="M291" s="90">
        <f t="shared" si="20"/>
        <v>0</v>
      </c>
    </row>
    <row r="292" spans="1:13" x14ac:dyDescent="0.25">
      <c r="A292" s="106"/>
      <c r="G292" s="74"/>
      <c r="H292" s="88">
        <v>287</v>
      </c>
      <c r="I292" s="89" t="str">
        <f t="shared" si="18"/>
        <v/>
      </c>
      <c r="J292" s="89">
        <f t="shared" si="21"/>
        <v>-4</v>
      </c>
      <c r="K292" s="88">
        <f t="shared" si="19"/>
        <v>-40</v>
      </c>
      <c r="L292" s="88"/>
      <c r="M292" s="90">
        <f t="shared" si="20"/>
        <v>0</v>
      </c>
    </row>
    <row r="293" spans="1:13" x14ac:dyDescent="0.25">
      <c r="A293" s="106"/>
      <c r="G293" s="74"/>
      <c r="H293" s="88">
        <v>288</v>
      </c>
      <c r="I293" s="89" t="str">
        <f t="shared" si="18"/>
        <v/>
      </c>
      <c r="J293" s="89">
        <f t="shared" si="21"/>
        <v>-4</v>
      </c>
      <c r="K293" s="88">
        <f t="shared" si="19"/>
        <v>-40</v>
      </c>
      <c r="L293" s="88"/>
      <c r="M293" s="90">
        <f t="shared" si="20"/>
        <v>0</v>
      </c>
    </row>
    <row r="294" spans="1:13" x14ac:dyDescent="0.25">
      <c r="A294" s="106"/>
      <c r="G294" s="74"/>
      <c r="H294" s="88">
        <v>289</v>
      </c>
      <c r="I294" s="89" t="str">
        <f t="shared" si="18"/>
        <v/>
      </c>
      <c r="J294" s="89">
        <f t="shared" si="21"/>
        <v>-4</v>
      </c>
      <c r="K294" s="88">
        <f t="shared" si="19"/>
        <v>-40</v>
      </c>
      <c r="L294" s="88"/>
      <c r="M294" s="90">
        <f t="shared" si="20"/>
        <v>0</v>
      </c>
    </row>
    <row r="295" spans="1:13" x14ac:dyDescent="0.25">
      <c r="A295" s="106"/>
      <c r="G295" s="74"/>
      <c r="H295" s="88">
        <v>290</v>
      </c>
      <c r="I295" s="89" t="str">
        <f t="shared" si="18"/>
        <v/>
      </c>
      <c r="J295" s="89">
        <f t="shared" si="21"/>
        <v>-4</v>
      </c>
      <c r="K295" s="88">
        <f t="shared" si="19"/>
        <v>-40</v>
      </c>
      <c r="L295" s="88"/>
      <c r="M295" s="90">
        <f t="shared" si="20"/>
        <v>0</v>
      </c>
    </row>
    <row r="296" spans="1:13" x14ac:dyDescent="0.25">
      <c r="A296" s="106"/>
      <c r="G296" s="74"/>
      <c r="H296" s="88">
        <v>291</v>
      </c>
      <c r="I296" s="89" t="str">
        <f t="shared" si="18"/>
        <v/>
      </c>
      <c r="J296" s="89">
        <f t="shared" si="21"/>
        <v>-4</v>
      </c>
      <c r="K296" s="88">
        <f t="shared" si="19"/>
        <v>-40</v>
      </c>
      <c r="L296" s="88"/>
      <c r="M296" s="90">
        <f t="shared" si="20"/>
        <v>0</v>
      </c>
    </row>
    <row r="297" spans="1:13" x14ac:dyDescent="0.25">
      <c r="A297" s="106"/>
      <c r="G297" s="74"/>
      <c r="H297" s="88">
        <v>292</v>
      </c>
      <c r="I297" s="89" t="str">
        <f t="shared" si="18"/>
        <v/>
      </c>
      <c r="J297" s="89">
        <f t="shared" si="21"/>
        <v>-4</v>
      </c>
      <c r="K297" s="88">
        <f t="shared" si="19"/>
        <v>-40</v>
      </c>
      <c r="L297" s="88"/>
      <c r="M297" s="90">
        <f t="shared" si="20"/>
        <v>0</v>
      </c>
    </row>
    <row r="298" spans="1:13" x14ac:dyDescent="0.25">
      <c r="A298" s="106"/>
      <c r="G298" s="74"/>
      <c r="H298" s="88">
        <v>293</v>
      </c>
      <c r="I298" s="89" t="str">
        <f t="shared" si="18"/>
        <v/>
      </c>
      <c r="J298" s="89">
        <f t="shared" si="21"/>
        <v>-4</v>
      </c>
      <c r="K298" s="88">
        <f t="shared" si="19"/>
        <v>-40</v>
      </c>
      <c r="L298" s="88"/>
      <c r="M298" s="90">
        <f t="shared" si="20"/>
        <v>0</v>
      </c>
    </row>
    <row r="299" spans="1:13" x14ac:dyDescent="0.25">
      <c r="A299" s="106"/>
      <c r="G299" s="74"/>
      <c r="H299" s="88">
        <v>294</v>
      </c>
      <c r="I299" s="89" t="str">
        <f t="shared" si="18"/>
        <v/>
      </c>
      <c r="J299" s="89">
        <f t="shared" si="21"/>
        <v>-4</v>
      </c>
      <c r="K299" s="88">
        <f t="shared" si="19"/>
        <v>-40</v>
      </c>
      <c r="L299" s="88"/>
      <c r="M299" s="90">
        <f t="shared" si="20"/>
        <v>0</v>
      </c>
    </row>
    <row r="300" spans="1:13" x14ac:dyDescent="0.25">
      <c r="A300" s="106"/>
      <c r="G300" s="74"/>
      <c r="H300" s="88">
        <v>295</v>
      </c>
      <c r="I300" s="89" t="str">
        <f t="shared" si="18"/>
        <v/>
      </c>
      <c r="J300" s="89">
        <f t="shared" si="21"/>
        <v>-4</v>
      </c>
      <c r="K300" s="88">
        <f t="shared" si="19"/>
        <v>-40</v>
      </c>
      <c r="L300" s="88"/>
      <c r="M300" s="90">
        <f t="shared" si="20"/>
        <v>0</v>
      </c>
    </row>
    <row r="301" spans="1:13" x14ac:dyDescent="0.25">
      <c r="A301" s="106"/>
      <c r="G301" s="74"/>
      <c r="H301" s="88">
        <v>296</v>
      </c>
      <c r="I301" s="89" t="str">
        <f t="shared" si="18"/>
        <v/>
      </c>
      <c r="J301" s="89">
        <f t="shared" si="21"/>
        <v>-4</v>
      </c>
      <c r="K301" s="88">
        <f t="shared" si="19"/>
        <v>-40</v>
      </c>
      <c r="L301" s="88"/>
      <c r="M301" s="90">
        <f t="shared" si="20"/>
        <v>0</v>
      </c>
    </row>
    <row r="302" spans="1:13" x14ac:dyDescent="0.25">
      <c r="A302" s="106"/>
      <c r="G302" s="74"/>
      <c r="H302" s="88">
        <v>297</v>
      </c>
      <c r="I302" s="89" t="str">
        <f t="shared" si="18"/>
        <v/>
      </c>
      <c r="J302" s="89">
        <f t="shared" si="21"/>
        <v>-4</v>
      </c>
      <c r="K302" s="88">
        <f t="shared" si="19"/>
        <v>-40</v>
      </c>
      <c r="L302" s="88"/>
      <c r="M302" s="90">
        <f t="shared" si="20"/>
        <v>0</v>
      </c>
    </row>
    <row r="303" spans="1:13" x14ac:dyDescent="0.25">
      <c r="A303" s="106"/>
      <c r="G303" s="74"/>
      <c r="H303" s="88">
        <v>298</v>
      </c>
      <c r="I303" s="89" t="str">
        <f t="shared" si="18"/>
        <v/>
      </c>
      <c r="J303" s="89">
        <f t="shared" si="21"/>
        <v>-4</v>
      </c>
      <c r="K303" s="88">
        <f t="shared" si="19"/>
        <v>-40</v>
      </c>
      <c r="L303" s="88"/>
      <c r="M303" s="90">
        <f t="shared" si="20"/>
        <v>0</v>
      </c>
    </row>
    <row r="304" spans="1:13" x14ac:dyDescent="0.25">
      <c r="A304" s="106"/>
      <c r="G304" s="74"/>
      <c r="H304" s="88">
        <v>299</v>
      </c>
      <c r="I304" s="89" t="str">
        <f t="shared" si="18"/>
        <v/>
      </c>
      <c r="J304" s="89">
        <f t="shared" si="21"/>
        <v>-4</v>
      </c>
      <c r="K304" s="88">
        <f t="shared" si="19"/>
        <v>-40</v>
      </c>
      <c r="L304" s="88"/>
      <c r="M304" s="90">
        <f t="shared" si="20"/>
        <v>0</v>
      </c>
    </row>
    <row r="305" spans="1:16" x14ac:dyDescent="0.25">
      <c r="A305" s="106"/>
      <c r="G305" s="74"/>
      <c r="H305" s="88">
        <v>300</v>
      </c>
      <c r="I305" s="89" t="str">
        <f t="shared" si="18"/>
        <v/>
      </c>
      <c r="J305" s="89">
        <f t="shared" si="21"/>
        <v>-4</v>
      </c>
      <c r="K305" s="88">
        <f t="shared" si="19"/>
        <v>-40</v>
      </c>
      <c r="L305" s="88"/>
      <c r="M305" s="90">
        <f t="shared" si="20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BFDE0CA6-9E98-4C8C-853D-433F96FD87C6}">
      <formula1>#REF!</formula1>
    </dataValidation>
  </dataValidations>
  <hyperlinks>
    <hyperlink ref="C2:D2" r:id="rId1" display="Madrid" xr:uid="{8175C073-3107-43E1-ACD0-E6D3BAE12AFC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986E-D787-4E95-9266-E71CF571EE09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24</v>
      </c>
      <c r="I1" s="76" t="s">
        <v>25</v>
      </c>
      <c r="J1" s="76" t="s">
        <v>26</v>
      </c>
      <c r="K1" s="77" t="s">
        <v>113</v>
      </c>
      <c r="L1" s="78"/>
      <c r="M1" s="78"/>
    </row>
    <row r="2" spans="1:36" x14ac:dyDescent="0.25">
      <c r="A2" s="74"/>
      <c r="B2" s="20" t="s">
        <v>28</v>
      </c>
      <c r="C2" s="260" t="s">
        <v>119</v>
      </c>
      <c r="D2" s="260"/>
      <c r="E2" s="21"/>
      <c r="F2" s="21"/>
      <c r="G2" s="21"/>
      <c r="H2" s="80">
        <v>24</v>
      </c>
      <c r="I2" s="81">
        <v>50</v>
      </c>
      <c r="J2" s="81">
        <v>10</v>
      </c>
      <c r="K2" s="111">
        <f>3*H2^(1/3)</f>
        <v>8.6534974218444489</v>
      </c>
      <c r="L2" s="78"/>
      <c r="M2" s="78"/>
    </row>
    <row r="3" spans="1:36" ht="14.45" customHeight="1" x14ac:dyDescent="0.25">
      <c r="A3" s="74"/>
      <c r="B3" s="82" t="s">
        <v>30</v>
      </c>
      <c r="C3" s="238" t="s">
        <v>120</v>
      </c>
      <c r="D3" s="238"/>
      <c r="E3" s="26"/>
      <c r="F3" s="26"/>
      <c r="G3" s="26"/>
      <c r="H3" s="78"/>
      <c r="I3" s="78"/>
      <c r="J3" s="78"/>
      <c r="K3" s="78"/>
      <c r="L3" s="78"/>
      <c r="M3" s="7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78"/>
      <c r="K4" s="78"/>
      <c r="L4" s="78"/>
      <c r="M4" s="78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84" t="s">
        <v>38</v>
      </c>
      <c r="I5" s="85" t="s">
        <v>39</v>
      </c>
      <c r="J5" s="85" t="s">
        <v>40</v>
      </c>
      <c r="K5" s="85" t="s">
        <v>41</v>
      </c>
      <c r="L5" s="85" t="s">
        <v>42</v>
      </c>
      <c r="M5" s="84" t="s">
        <v>43</v>
      </c>
    </row>
    <row r="6" spans="1:36" ht="14.45" customHeight="1" x14ac:dyDescent="0.25">
      <c r="A6" s="87">
        <f>M6</f>
        <v>125.96049226553335</v>
      </c>
      <c r="B6" s="34">
        <f t="shared" ref="B6:B65" si="0">IF(H6&gt;$H$2,"",(ROW()-5))</f>
        <v>1</v>
      </c>
      <c r="C6" s="35" t="s">
        <v>48</v>
      </c>
      <c r="D6" s="35"/>
      <c r="E6" s="35"/>
      <c r="F6" s="35"/>
      <c r="G6" s="28"/>
      <c r="H6" s="88">
        <v>1</v>
      </c>
      <c r="I6" s="89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5</v>
      </c>
      <c r="K6" s="88">
        <f t="shared" ref="K6:K69" si="2">J6*$J$2</f>
        <v>50</v>
      </c>
      <c r="L6" s="90">
        <f>3*K2</f>
        <v>25.960492265533347</v>
      </c>
      <c r="M6" s="90">
        <f t="shared" ref="M6:M69" si="3">IF(I6&lt;&gt;"",K6+I6+L6,0)</f>
        <v>125.96049226553335</v>
      </c>
    </row>
    <row r="7" spans="1:36" ht="14.45" customHeight="1" x14ac:dyDescent="0.25">
      <c r="A7" s="91">
        <f t="shared" ref="A7:A70" si="4">M7</f>
        <v>96.619884536397848</v>
      </c>
      <c r="B7" s="40">
        <f t="shared" si="0"/>
        <v>2</v>
      </c>
      <c r="C7" s="41" t="s">
        <v>48</v>
      </c>
      <c r="D7" s="41"/>
      <c r="E7" s="41"/>
      <c r="F7" s="41"/>
      <c r="G7" s="28"/>
      <c r="H7" s="92">
        <v>2</v>
      </c>
      <c r="I7" s="93">
        <f t="shared" si="1"/>
        <v>39.31288969270895</v>
      </c>
      <c r="J7" s="93">
        <f t="shared" ref="J7:J70" si="5">INT(LOG($H$2,2))-ROUNDUP(LOG(H7,2),0)+IF(OR($H$2=1,$H$2=2,$H$2=4,$H$2=8,$H$2=16,$H$2=32,$H$2=64,$H$2=128,$H$2=256),0,1)</f>
        <v>4</v>
      </c>
      <c r="K7" s="92">
        <f t="shared" si="2"/>
        <v>40</v>
      </c>
      <c r="L7" s="94">
        <f>2*K2</f>
        <v>17.306994843688898</v>
      </c>
      <c r="M7" s="94">
        <f t="shared" si="3"/>
        <v>96.619884536397848</v>
      </c>
    </row>
    <row r="8" spans="1:36" ht="14.45" customHeight="1" x14ac:dyDescent="0.25">
      <c r="A8" s="87">
        <f t="shared" si="4"/>
        <v>71.714828343717585</v>
      </c>
      <c r="B8" s="34">
        <f t="shared" si="0"/>
        <v>3</v>
      </c>
      <c r="C8" s="35" t="s">
        <v>48</v>
      </c>
      <c r="D8" s="35"/>
      <c r="E8" s="35"/>
      <c r="F8" s="35"/>
      <c r="G8" s="28"/>
      <c r="H8" s="88">
        <v>3</v>
      </c>
      <c r="I8" s="89">
        <f t="shared" si="1"/>
        <v>33.061330921873136</v>
      </c>
      <c r="J8" s="89">
        <f t="shared" si="5"/>
        <v>3</v>
      </c>
      <c r="K8" s="88">
        <f t="shared" si="2"/>
        <v>30</v>
      </c>
      <c r="L8" s="90">
        <f>K2</f>
        <v>8.6534974218444489</v>
      </c>
      <c r="M8" s="90">
        <f t="shared" si="3"/>
        <v>71.714828343717585</v>
      </c>
    </row>
    <row r="9" spans="1:36" s="79" customFormat="1" ht="14.45" customHeight="1" x14ac:dyDescent="0.25">
      <c r="A9" s="91">
        <f t="shared" si="4"/>
        <v>71.714828343717585</v>
      </c>
      <c r="B9" s="40">
        <f>IF(H9&gt;$H$2,"",3)</f>
        <v>3</v>
      </c>
      <c r="C9" s="41" t="s">
        <v>48</v>
      </c>
      <c r="D9" s="41"/>
      <c r="E9" s="41"/>
      <c r="F9" s="41"/>
      <c r="G9" s="28"/>
      <c r="H9" s="92">
        <v>3</v>
      </c>
      <c r="I9" s="93">
        <f t="shared" si="1"/>
        <v>33.061330921873136</v>
      </c>
      <c r="J9" s="92">
        <f t="shared" si="5"/>
        <v>3</v>
      </c>
      <c r="K9" s="92">
        <f t="shared" si="2"/>
        <v>30</v>
      </c>
      <c r="L9" s="94">
        <f>K2</f>
        <v>8.6534974218444489</v>
      </c>
      <c r="M9" s="94">
        <f t="shared" si="3"/>
        <v>71.714828343717585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48</v>
      </c>
      <c r="AI9" s="79">
        <v>23</v>
      </c>
    </row>
    <row r="10" spans="1:36" ht="14.45" customHeight="1" x14ac:dyDescent="0.25">
      <c r="A10" s="87">
        <f t="shared" si="4"/>
        <v>45.185298324340607</v>
      </c>
      <c r="B10" s="34">
        <f t="shared" si="0"/>
        <v>5</v>
      </c>
      <c r="C10" s="35" t="s">
        <v>48</v>
      </c>
      <c r="D10" s="35"/>
      <c r="E10" s="35"/>
      <c r="F10" s="35"/>
      <c r="G10" s="28"/>
      <c r="H10" s="88">
        <v>5</v>
      </c>
      <c r="I10" s="89">
        <f t="shared" si="1"/>
        <v>25.185298324340607</v>
      </c>
      <c r="J10" s="89">
        <f t="shared" si="5"/>
        <v>2</v>
      </c>
      <c r="K10" s="88">
        <f t="shared" si="2"/>
        <v>20</v>
      </c>
      <c r="L10" s="88"/>
      <c r="M10" s="90">
        <f t="shared" si="3"/>
        <v>45.185298324340607</v>
      </c>
      <c r="V10" s="95"/>
      <c r="Z10" s="96"/>
      <c r="AA10" s="96"/>
      <c r="AG10" s="97"/>
      <c r="AH10" s="79" t="s">
        <v>50</v>
      </c>
      <c r="AI10" s="79">
        <v>45</v>
      </c>
    </row>
    <row r="11" spans="1:36" ht="14.45" customHeight="1" x14ac:dyDescent="0.25">
      <c r="A11" s="91">
        <f t="shared" si="4"/>
        <v>42.374220614582093</v>
      </c>
      <c r="B11" s="40">
        <f t="shared" si="0"/>
        <v>6</v>
      </c>
      <c r="C11" s="41" t="s">
        <v>48</v>
      </c>
      <c r="D11" s="41"/>
      <c r="E11" s="41"/>
      <c r="F11" s="41"/>
      <c r="G11" s="28"/>
      <c r="H11" s="92">
        <v>6</v>
      </c>
      <c r="I11" s="93">
        <f t="shared" si="1"/>
        <v>22.374220614582093</v>
      </c>
      <c r="J11" s="93">
        <f t="shared" si="5"/>
        <v>2</v>
      </c>
      <c r="K11" s="92">
        <f t="shared" si="2"/>
        <v>20</v>
      </c>
      <c r="L11" s="92"/>
      <c r="M11" s="94">
        <f t="shared" si="3"/>
        <v>42.374220614582093</v>
      </c>
      <c r="V11" s="98"/>
      <c r="Z11" s="96"/>
      <c r="AA11" s="96"/>
      <c r="AG11" s="97"/>
      <c r="AH11" s="79" t="s">
        <v>52</v>
      </c>
      <c r="AI11" s="79">
        <v>50</v>
      </c>
    </row>
    <row r="12" spans="1:36" ht="14.45" customHeight="1" x14ac:dyDescent="0.25">
      <c r="A12" s="87">
        <f t="shared" si="4"/>
        <v>39.997488276253925</v>
      </c>
      <c r="B12" s="34">
        <f t="shared" si="0"/>
        <v>7</v>
      </c>
      <c r="C12" s="35" t="s">
        <v>16</v>
      </c>
      <c r="D12" s="35"/>
      <c r="E12" s="35"/>
      <c r="F12" s="35"/>
      <c r="G12" s="28"/>
      <c r="H12" s="88">
        <v>7</v>
      </c>
      <c r="I12" s="89">
        <f t="shared" si="1"/>
        <v>19.997488276253925</v>
      </c>
      <c r="J12" s="89">
        <f t="shared" si="5"/>
        <v>2</v>
      </c>
      <c r="K12" s="88">
        <f t="shared" si="2"/>
        <v>20</v>
      </c>
      <c r="L12" s="88"/>
      <c r="M12" s="90">
        <f t="shared" si="3"/>
        <v>39.997488276253925</v>
      </c>
      <c r="Z12" s="96"/>
      <c r="AA12" s="96"/>
      <c r="AG12" s="97"/>
      <c r="AH12" s="79" t="s">
        <v>53</v>
      </c>
      <c r="AI12" s="79">
        <f>AI11-1</f>
        <v>49</v>
      </c>
    </row>
    <row r="13" spans="1:36" ht="14.45" customHeight="1" x14ac:dyDescent="0.25">
      <c r="A13" s="91">
        <f t="shared" si="4"/>
        <v>37.938669078126857</v>
      </c>
      <c r="B13" s="40">
        <f t="shared" si="0"/>
        <v>8</v>
      </c>
      <c r="C13" s="41" t="s">
        <v>48</v>
      </c>
      <c r="D13" s="41"/>
      <c r="E13" s="41"/>
      <c r="F13" s="41"/>
      <c r="G13" s="28"/>
      <c r="H13" s="92">
        <v>8</v>
      </c>
      <c r="I13" s="93">
        <f t="shared" si="1"/>
        <v>17.938669078126857</v>
      </c>
      <c r="J13" s="93">
        <f t="shared" si="5"/>
        <v>2</v>
      </c>
      <c r="K13" s="92">
        <f t="shared" si="2"/>
        <v>20</v>
      </c>
      <c r="L13" s="92"/>
      <c r="M13" s="94">
        <f t="shared" si="3"/>
        <v>37.938669078126857</v>
      </c>
      <c r="X13" s="95"/>
      <c r="AG13" s="97"/>
      <c r="AH13" s="79" t="s">
        <v>54</v>
      </c>
      <c r="AI13" s="79">
        <f>LOG(AI9)</f>
        <v>1.3617278360175928</v>
      </c>
    </row>
    <row r="14" spans="1:36" x14ac:dyDescent="0.25">
      <c r="A14" s="87">
        <f t="shared" si="4"/>
        <v>26.122661843746279</v>
      </c>
      <c r="B14" s="34">
        <f t="shared" si="0"/>
        <v>9</v>
      </c>
      <c r="C14" s="35" t="s">
        <v>48</v>
      </c>
      <c r="D14" s="35"/>
      <c r="E14" s="35"/>
      <c r="F14" s="35"/>
      <c r="G14" s="28"/>
      <c r="H14" s="88">
        <v>9</v>
      </c>
      <c r="I14" s="89">
        <f t="shared" si="1"/>
        <v>16.122661843746279</v>
      </c>
      <c r="J14" s="89">
        <f t="shared" si="5"/>
        <v>1</v>
      </c>
      <c r="K14" s="88">
        <f t="shared" si="2"/>
        <v>10</v>
      </c>
      <c r="L14" s="88"/>
      <c r="M14" s="90">
        <f t="shared" si="3"/>
        <v>26.122661843746279</v>
      </c>
      <c r="X14" s="99"/>
      <c r="Z14" s="96"/>
      <c r="AA14" s="96"/>
      <c r="AG14" s="97"/>
      <c r="AH14" s="79" t="s">
        <v>55</v>
      </c>
      <c r="AI14" s="79">
        <f>LOG(AI10)</f>
        <v>1.6532125137753437</v>
      </c>
    </row>
    <row r="15" spans="1:36" x14ac:dyDescent="0.25">
      <c r="A15" s="91">
        <f t="shared" si="4"/>
        <v>24.498188017049557</v>
      </c>
      <c r="B15" s="40">
        <f t="shared" si="0"/>
        <v>10</v>
      </c>
      <c r="C15" s="41" t="s">
        <v>48</v>
      </c>
      <c r="D15" s="41"/>
      <c r="E15" s="41"/>
      <c r="F15" s="41"/>
      <c r="G15" s="28"/>
      <c r="H15" s="92">
        <v>10</v>
      </c>
      <c r="I15" s="93">
        <f t="shared" si="1"/>
        <v>14.498188017049557</v>
      </c>
      <c r="J15" s="93">
        <f t="shared" si="5"/>
        <v>1</v>
      </c>
      <c r="K15" s="92">
        <f t="shared" si="2"/>
        <v>10</v>
      </c>
      <c r="L15" s="92"/>
      <c r="M15" s="94">
        <f t="shared" si="3"/>
        <v>24.498188017049557</v>
      </c>
      <c r="X15" s="95"/>
      <c r="Z15" s="96"/>
      <c r="AA15" s="96"/>
    </row>
    <row r="16" spans="1:36" x14ac:dyDescent="0.25">
      <c r="A16" s="87">
        <f t="shared" si="4"/>
        <v>23.028672691092787</v>
      </c>
      <c r="B16" s="34">
        <f t="shared" si="0"/>
        <v>11</v>
      </c>
      <c r="C16" s="35" t="s">
        <v>48</v>
      </c>
      <c r="D16" s="35"/>
      <c r="E16" s="35"/>
      <c r="F16" s="35"/>
      <c r="G16" s="28"/>
      <c r="H16" s="88">
        <v>11</v>
      </c>
      <c r="I16" s="89">
        <f t="shared" si="1"/>
        <v>13.028672691092787</v>
      </c>
      <c r="J16" s="89">
        <f t="shared" si="5"/>
        <v>1</v>
      </c>
      <c r="K16" s="88">
        <f t="shared" si="2"/>
        <v>10</v>
      </c>
      <c r="L16" s="88"/>
      <c r="M16" s="90">
        <f t="shared" si="3"/>
        <v>23.028672691092787</v>
      </c>
      <c r="R16" s="100"/>
      <c r="Z16" s="96"/>
      <c r="AA16" s="96"/>
      <c r="AH16" s="101" t="s">
        <v>56</v>
      </c>
      <c r="AI16" s="79">
        <f>AI11-AI12*AI13/AI14</f>
        <v>9.6393909380186855</v>
      </c>
      <c r="AJ16" s="79" t="s">
        <v>57</v>
      </c>
    </row>
    <row r="17" spans="1:19" x14ac:dyDescent="0.25">
      <c r="A17" s="91">
        <f t="shared" si="4"/>
        <v>21.687110307291043</v>
      </c>
      <c r="B17" s="40">
        <f t="shared" si="0"/>
        <v>12</v>
      </c>
      <c r="C17" s="41" t="s">
        <v>48</v>
      </c>
      <c r="D17" s="41"/>
      <c r="E17" s="41"/>
      <c r="F17" s="41"/>
      <c r="G17" s="28"/>
      <c r="H17" s="92">
        <v>12</v>
      </c>
      <c r="I17" s="93">
        <f t="shared" si="1"/>
        <v>11.687110307291043</v>
      </c>
      <c r="J17" s="93">
        <f t="shared" si="5"/>
        <v>1</v>
      </c>
      <c r="K17" s="92">
        <f t="shared" si="2"/>
        <v>10</v>
      </c>
      <c r="L17" s="92"/>
      <c r="M17" s="94">
        <f t="shared" si="3"/>
        <v>21.687110307291043</v>
      </c>
    </row>
    <row r="18" spans="1:19" x14ac:dyDescent="0.25">
      <c r="A18" s="87">
        <f t="shared" si="4"/>
        <v>20.452992546745158</v>
      </c>
      <c r="B18" s="34">
        <f t="shared" si="0"/>
        <v>13</v>
      </c>
      <c r="C18" s="35" t="s">
        <v>48</v>
      </c>
      <c r="D18" s="35"/>
      <c r="E18" s="35"/>
      <c r="F18" s="35"/>
      <c r="G18" s="28"/>
      <c r="H18" s="88">
        <v>13</v>
      </c>
      <c r="I18" s="89">
        <f t="shared" si="1"/>
        <v>10.452992546745158</v>
      </c>
      <c r="J18" s="89">
        <f t="shared" si="5"/>
        <v>1</v>
      </c>
      <c r="K18" s="88">
        <f t="shared" si="2"/>
        <v>10</v>
      </c>
      <c r="L18" s="88"/>
      <c r="M18" s="90">
        <f t="shared" si="3"/>
        <v>20.452992546745158</v>
      </c>
    </row>
    <row r="19" spans="1:19" x14ac:dyDescent="0.25">
      <c r="A19" s="91">
        <f t="shared" si="4"/>
        <v>19.310377968962882</v>
      </c>
      <c r="B19" s="40">
        <f t="shared" si="0"/>
        <v>14</v>
      </c>
      <c r="C19" s="41" t="s">
        <v>48</v>
      </c>
      <c r="D19" s="41"/>
      <c r="E19" s="41"/>
      <c r="F19" s="41"/>
      <c r="G19" s="28"/>
      <c r="H19" s="92">
        <v>14</v>
      </c>
      <c r="I19" s="93">
        <f t="shared" si="1"/>
        <v>9.3103779689628823</v>
      </c>
      <c r="J19" s="93">
        <f t="shared" si="5"/>
        <v>1</v>
      </c>
      <c r="K19" s="92">
        <f t="shared" si="2"/>
        <v>10</v>
      </c>
      <c r="L19" s="92"/>
      <c r="M19" s="94">
        <f t="shared" si="3"/>
        <v>19.310377968962882</v>
      </c>
    </row>
    <row r="20" spans="1:19" x14ac:dyDescent="0.25">
      <c r="A20" s="87">
        <f t="shared" si="4"/>
        <v>18.246629246213743</v>
      </c>
      <c r="B20" s="34">
        <f t="shared" si="0"/>
        <v>15</v>
      </c>
      <c r="C20" s="35" t="s">
        <v>48</v>
      </c>
      <c r="D20" s="35"/>
      <c r="E20" s="35"/>
      <c r="F20" s="35"/>
      <c r="G20" s="28"/>
      <c r="H20" s="88">
        <v>15</v>
      </c>
      <c r="I20" s="89">
        <f t="shared" si="1"/>
        <v>8.2466292462137432</v>
      </c>
      <c r="J20" s="89">
        <f t="shared" si="5"/>
        <v>1</v>
      </c>
      <c r="K20" s="88">
        <f t="shared" si="2"/>
        <v>10</v>
      </c>
      <c r="L20" s="88"/>
      <c r="M20" s="90">
        <f t="shared" si="3"/>
        <v>18.246629246213743</v>
      </c>
      <c r="R20" s="102"/>
      <c r="S20" s="103"/>
    </row>
    <row r="21" spans="1:19" x14ac:dyDescent="0.25">
      <c r="A21" s="91">
        <f t="shared" si="4"/>
        <v>17.251558770835814</v>
      </c>
      <c r="B21" s="40">
        <f t="shared" si="0"/>
        <v>16</v>
      </c>
      <c r="C21" s="41" t="s">
        <v>48</v>
      </c>
      <c r="D21" s="41"/>
      <c r="E21" s="41"/>
      <c r="F21" s="41"/>
      <c r="G21" s="28"/>
      <c r="H21" s="92">
        <v>16</v>
      </c>
      <c r="I21" s="93">
        <f t="shared" si="1"/>
        <v>7.251558770835814</v>
      </c>
      <c r="J21" s="93">
        <f t="shared" si="5"/>
        <v>1</v>
      </c>
      <c r="K21" s="92">
        <f t="shared" si="2"/>
        <v>10</v>
      </c>
      <c r="L21" s="92"/>
      <c r="M21" s="94">
        <f t="shared" si="3"/>
        <v>17.251558770835814</v>
      </c>
    </row>
    <row r="22" spans="1:19" x14ac:dyDescent="0.25">
      <c r="A22" s="87">
        <f t="shared" si="4"/>
        <v>6.3168337386043518</v>
      </c>
      <c r="B22" s="34">
        <f t="shared" si="0"/>
        <v>17</v>
      </c>
      <c r="C22" s="35" t="s">
        <v>48</v>
      </c>
      <c r="D22" s="35"/>
      <c r="E22" s="35"/>
      <c r="F22" s="35"/>
      <c r="G22" s="28"/>
      <c r="H22" s="88">
        <v>17</v>
      </c>
      <c r="I22" s="89">
        <f t="shared" si="1"/>
        <v>6.3168337386043518</v>
      </c>
      <c r="J22" s="89">
        <f t="shared" si="5"/>
        <v>0</v>
      </c>
      <c r="K22" s="88">
        <f t="shared" si="2"/>
        <v>0</v>
      </c>
      <c r="L22" s="88"/>
      <c r="M22" s="90">
        <f t="shared" si="3"/>
        <v>6.3168337386043518</v>
      </c>
    </row>
    <row r="23" spans="1:19" x14ac:dyDescent="0.25">
      <c r="A23" s="91">
        <f t="shared" si="4"/>
        <v>5.435551536455236</v>
      </c>
      <c r="B23" s="40">
        <f t="shared" si="0"/>
        <v>18</v>
      </c>
      <c r="C23" s="41" t="s">
        <v>48</v>
      </c>
      <c r="D23" s="41"/>
      <c r="E23" s="41"/>
      <c r="F23" s="41"/>
      <c r="G23" s="28"/>
      <c r="H23" s="92">
        <v>18</v>
      </c>
      <c r="I23" s="93">
        <f t="shared" si="1"/>
        <v>5.435551536455236</v>
      </c>
      <c r="J23" s="93">
        <f t="shared" si="5"/>
        <v>0</v>
      </c>
      <c r="K23" s="92">
        <f t="shared" si="2"/>
        <v>0</v>
      </c>
      <c r="L23" s="92"/>
      <c r="M23" s="94">
        <f t="shared" si="3"/>
        <v>5.435551536455236</v>
      </c>
    </row>
    <row r="24" spans="1:19" x14ac:dyDescent="0.25">
      <c r="A24" s="87">
        <f t="shared" si="4"/>
        <v>4.60193008645183</v>
      </c>
      <c r="B24" s="34">
        <f t="shared" si="0"/>
        <v>19</v>
      </c>
      <c r="C24" s="35" t="s">
        <v>48</v>
      </c>
      <c r="D24" s="35"/>
      <c r="E24" s="35"/>
      <c r="F24" s="35"/>
      <c r="G24" s="28"/>
      <c r="H24" s="88">
        <v>19</v>
      </c>
      <c r="I24" s="89">
        <f t="shared" si="1"/>
        <v>4.60193008645183</v>
      </c>
      <c r="J24" s="89">
        <f t="shared" si="5"/>
        <v>0</v>
      </c>
      <c r="K24" s="88">
        <f t="shared" si="2"/>
        <v>0</v>
      </c>
      <c r="L24" s="88"/>
      <c r="M24" s="90">
        <f t="shared" si="3"/>
        <v>4.60193008645183</v>
      </c>
      <c r="R24" s="102"/>
      <c r="S24" s="103"/>
    </row>
    <row r="25" spans="1:19" x14ac:dyDescent="0.25">
      <c r="A25" s="91">
        <f t="shared" si="4"/>
        <v>3.8110777097585071</v>
      </c>
      <c r="B25" s="40">
        <f t="shared" si="0"/>
        <v>20</v>
      </c>
      <c r="C25" s="41" t="s">
        <v>48</v>
      </c>
      <c r="D25" s="41"/>
      <c r="E25" s="41"/>
      <c r="F25" s="41"/>
      <c r="G25" s="28"/>
      <c r="H25" s="92">
        <v>20</v>
      </c>
      <c r="I25" s="93">
        <f t="shared" si="1"/>
        <v>3.8110777097585071</v>
      </c>
      <c r="J25" s="93">
        <f t="shared" si="5"/>
        <v>0</v>
      </c>
      <c r="K25" s="92">
        <f t="shared" si="2"/>
        <v>0</v>
      </c>
      <c r="L25" s="92"/>
      <c r="M25" s="94">
        <f t="shared" si="3"/>
        <v>3.8110777097585071</v>
      </c>
    </row>
    <row r="26" spans="1:19" x14ac:dyDescent="0.25">
      <c r="A26" s="87">
        <f t="shared" si="4"/>
        <v>3.0588191981270612</v>
      </c>
      <c r="B26" s="34">
        <f t="shared" si="0"/>
        <v>21</v>
      </c>
      <c r="C26" s="35" t="s">
        <v>48</v>
      </c>
      <c r="D26" s="35"/>
      <c r="E26" s="35"/>
      <c r="F26" s="35"/>
      <c r="G26" s="28"/>
      <c r="H26" s="88">
        <v>21</v>
      </c>
      <c r="I26" s="89">
        <f t="shared" si="1"/>
        <v>3.0588191981270612</v>
      </c>
      <c r="J26" s="89">
        <f t="shared" si="5"/>
        <v>0</v>
      </c>
      <c r="K26" s="88">
        <f t="shared" si="2"/>
        <v>0</v>
      </c>
      <c r="L26" s="88"/>
      <c r="M26" s="90">
        <f t="shared" si="3"/>
        <v>3.0588191981270612</v>
      </c>
    </row>
    <row r="27" spans="1:19" x14ac:dyDescent="0.25">
      <c r="A27" s="91">
        <f t="shared" si="4"/>
        <v>2.3415623838017439</v>
      </c>
      <c r="B27" s="40">
        <f t="shared" si="0"/>
        <v>22</v>
      </c>
      <c r="C27" s="41" t="s">
        <v>48</v>
      </c>
      <c r="D27" s="41"/>
      <c r="E27" s="41"/>
      <c r="F27" s="41"/>
      <c r="G27" s="28"/>
      <c r="H27" s="92">
        <v>22</v>
      </c>
      <c r="I27" s="93">
        <f t="shared" si="1"/>
        <v>2.3415623838017439</v>
      </c>
      <c r="J27" s="93">
        <f t="shared" si="5"/>
        <v>0</v>
      </c>
      <c r="K27" s="92">
        <f t="shared" si="2"/>
        <v>0</v>
      </c>
      <c r="L27" s="92"/>
      <c r="M27" s="94">
        <f t="shared" si="3"/>
        <v>2.3415623838017439</v>
      </c>
    </row>
    <row r="28" spans="1:19" x14ac:dyDescent="0.25">
      <c r="A28" s="87">
        <f t="shared" si="4"/>
        <v>1.6561943937534522</v>
      </c>
      <c r="B28" s="34">
        <f t="shared" si="0"/>
        <v>23</v>
      </c>
      <c r="C28" s="35" t="s">
        <v>48</v>
      </c>
      <c r="D28" s="35"/>
      <c r="E28" s="35"/>
      <c r="F28" s="35"/>
      <c r="G28" s="28"/>
      <c r="H28" s="88">
        <v>23</v>
      </c>
      <c r="I28" s="89">
        <f t="shared" si="1"/>
        <v>1.6561943937534522</v>
      </c>
      <c r="J28" s="89">
        <f t="shared" si="5"/>
        <v>0</v>
      </c>
      <c r="K28" s="88">
        <f t="shared" si="2"/>
        <v>0</v>
      </c>
      <c r="L28" s="88"/>
      <c r="M28" s="90">
        <f t="shared" si="3"/>
        <v>1.6561943937534522</v>
      </c>
      <c r="R28" s="102"/>
      <c r="S28" s="103"/>
    </row>
    <row r="29" spans="1:19" x14ac:dyDescent="0.25">
      <c r="A29" s="91">
        <f t="shared" si="4"/>
        <v>1</v>
      </c>
      <c r="B29" s="40">
        <f t="shared" si="0"/>
        <v>24</v>
      </c>
      <c r="C29" s="41" t="s">
        <v>48</v>
      </c>
      <c r="D29" s="41"/>
      <c r="E29" s="41"/>
      <c r="F29" s="41"/>
      <c r="G29" s="74"/>
      <c r="H29" s="92">
        <v>24</v>
      </c>
      <c r="I29" s="93">
        <f t="shared" si="1"/>
        <v>1</v>
      </c>
      <c r="J29" s="93">
        <f t="shared" si="5"/>
        <v>0</v>
      </c>
      <c r="K29" s="92">
        <f t="shared" si="2"/>
        <v>0</v>
      </c>
      <c r="L29" s="92"/>
      <c r="M29" s="94">
        <f t="shared" si="3"/>
        <v>1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74"/>
      <c r="H30" s="88">
        <v>25</v>
      </c>
      <c r="I30" s="89" t="str">
        <f t="shared" si="1"/>
        <v/>
      </c>
      <c r="J30" s="89">
        <f t="shared" si="5"/>
        <v>0</v>
      </c>
      <c r="K30" s="88">
        <f t="shared" si="2"/>
        <v>0</v>
      </c>
      <c r="L30" s="88"/>
      <c r="M30" s="90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3">
        <f t="shared" si="5"/>
        <v>0</v>
      </c>
      <c r="K31" s="92">
        <f t="shared" si="2"/>
        <v>0</v>
      </c>
      <c r="L31" s="92"/>
      <c r="M31" s="94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9">
        <f t="shared" si="5"/>
        <v>0</v>
      </c>
      <c r="K32" s="88">
        <f t="shared" si="2"/>
        <v>0</v>
      </c>
      <c r="L32" s="88"/>
      <c r="M32" s="90">
        <f t="shared" si="3"/>
        <v>0</v>
      </c>
      <c r="R32" s="102"/>
      <c r="S32" s="103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3">
        <f t="shared" si="5"/>
        <v>0</v>
      </c>
      <c r="K33" s="92">
        <f t="shared" si="2"/>
        <v>0</v>
      </c>
      <c r="L33" s="92"/>
      <c r="M33" s="94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9">
        <f t="shared" si="5"/>
        <v>0</v>
      </c>
      <c r="K34" s="88">
        <f t="shared" si="2"/>
        <v>0</v>
      </c>
      <c r="L34" s="88"/>
      <c r="M34" s="90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3">
        <f t="shared" si="5"/>
        <v>0</v>
      </c>
      <c r="K35" s="92">
        <f t="shared" si="2"/>
        <v>0</v>
      </c>
      <c r="L35" s="92"/>
      <c r="M35" s="94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9">
        <f t="shared" si="5"/>
        <v>0</v>
      </c>
      <c r="K36" s="88">
        <f t="shared" si="2"/>
        <v>0</v>
      </c>
      <c r="L36" s="88"/>
      <c r="M36" s="90">
        <f t="shared" si="3"/>
        <v>0</v>
      </c>
      <c r="R36" s="102"/>
      <c r="S36" s="103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3">
        <f t="shared" si="5"/>
        <v>0</v>
      </c>
      <c r="K37" s="92">
        <f t="shared" si="2"/>
        <v>0</v>
      </c>
      <c r="L37" s="92"/>
      <c r="M37" s="94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9">
        <f t="shared" si="5"/>
        <v>-1</v>
      </c>
      <c r="K38" s="88">
        <f t="shared" si="2"/>
        <v>-10</v>
      </c>
      <c r="L38" s="88"/>
      <c r="M38" s="90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3">
        <f t="shared" si="5"/>
        <v>-1</v>
      </c>
      <c r="K39" s="92">
        <f t="shared" si="2"/>
        <v>-10</v>
      </c>
      <c r="L39" s="92"/>
      <c r="M39" s="94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9">
        <f t="shared" si="5"/>
        <v>-1</v>
      </c>
      <c r="K40" s="88">
        <f t="shared" si="2"/>
        <v>-10</v>
      </c>
      <c r="L40" s="88"/>
      <c r="M40" s="90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3">
        <f t="shared" si="5"/>
        <v>-1</v>
      </c>
      <c r="K41" s="92">
        <f t="shared" si="2"/>
        <v>-10</v>
      </c>
      <c r="L41" s="92"/>
      <c r="M41" s="94">
        <f t="shared" si="3"/>
        <v>0</v>
      </c>
      <c r="S41" s="104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9">
        <f t="shared" si="5"/>
        <v>-1</v>
      </c>
      <c r="K42" s="88">
        <f t="shared" si="2"/>
        <v>-10</v>
      </c>
      <c r="L42" s="88"/>
      <c r="M42" s="90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3">
        <f t="shared" si="5"/>
        <v>-1</v>
      </c>
      <c r="K43" s="92">
        <f t="shared" si="2"/>
        <v>-10</v>
      </c>
      <c r="L43" s="92"/>
      <c r="M43" s="94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9">
        <f t="shared" si="5"/>
        <v>-1</v>
      </c>
      <c r="K44" s="88">
        <f t="shared" si="2"/>
        <v>-10</v>
      </c>
      <c r="L44" s="88"/>
      <c r="M44" s="90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3">
        <f t="shared" si="5"/>
        <v>-1</v>
      </c>
      <c r="K45" s="92">
        <f t="shared" si="2"/>
        <v>-10</v>
      </c>
      <c r="L45" s="92"/>
      <c r="M45" s="94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9">
        <f t="shared" si="5"/>
        <v>-1</v>
      </c>
      <c r="K46" s="88">
        <f t="shared" si="2"/>
        <v>-10</v>
      </c>
      <c r="L46" s="88"/>
      <c r="M46" s="90">
        <f t="shared" si="3"/>
        <v>0</v>
      </c>
      <c r="R46" s="74">
        <f>LOG($H$2,2)</f>
        <v>4.584962500721157</v>
      </c>
      <c r="T46" s="79">
        <f>LOG(H38,2)</f>
        <v>5.0443941193584534</v>
      </c>
      <c r="U46" s="79">
        <f>R46-T46</f>
        <v>-0.45943161863729642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3">
        <f t="shared" si="5"/>
        <v>-1</v>
      </c>
      <c r="K47" s="92">
        <f t="shared" si="2"/>
        <v>-10</v>
      </c>
      <c r="L47" s="92"/>
      <c r="M47" s="94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9">
        <f t="shared" si="5"/>
        <v>-1</v>
      </c>
      <c r="K48" s="88">
        <f t="shared" si="2"/>
        <v>-10</v>
      </c>
      <c r="L48" s="88"/>
      <c r="M48" s="90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3">
        <f t="shared" si="5"/>
        <v>-1</v>
      </c>
      <c r="K49" s="92">
        <f t="shared" si="2"/>
        <v>-10</v>
      </c>
      <c r="L49" s="92"/>
      <c r="M49" s="94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9">
        <f t="shared" si="5"/>
        <v>-1</v>
      </c>
      <c r="K50" s="88">
        <f t="shared" si="2"/>
        <v>-10</v>
      </c>
      <c r="L50" s="88"/>
      <c r="M50" s="90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3">
        <f t="shared" si="5"/>
        <v>-1</v>
      </c>
      <c r="K51" s="92">
        <f t="shared" si="2"/>
        <v>-10</v>
      </c>
      <c r="L51" s="92"/>
      <c r="M51" s="94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9">
        <f t="shared" si="5"/>
        <v>-1</v>
      </c>
      <c r="K52" s="88">
        <f t="shared" si="2"/>
        <v>-10</v>
      </c>
      <c r="L52" s="88"/>
      <c r="M52" s="90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3">
        <f t="shared" si="5"/>
        <v>-1</v>
      </c>
      <c r="K53" s="92">
        <f t="shared" si="2"/>
        <v>-10</v>
      </c>
      <c r="L53" s="92"/>
      <c r="M53" s="94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9">
        <f t="shared" si="5"/>
        <v>-1</v>
      </c>
      <c r="K54" s="88">
        <f t="shared" si="2"/>
        <v>-10</v>
      </c>
      <c r="L54" s="88"/>
      <c r="M54" s="90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3">
        <f t="shared" si="5"/>
        <v>-1</v>
      </c>
      <c r="K55" s="92">
        <f t="shared" si="2"/>
        <v>-10</v>
      </c>
      <c r="L55" s="92"/>
      <c r="M55" s="94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9">
        <f t="shared" si="5"/>
        <v>-1</v>
      </c>
      <c r="K56" s="88">
        <f t="shared" si="2"/>
        <v>-10</v>
      </c>
      <c r="L56" s="88"/>
      <c r="M56" s="90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3">
        <f t="shared" si="5"/>
        <v>-1</v>
      </c>
      <c r="K57" s="92">
        <f t="shared" si="2"/>
        <v>-10</v>
      </c>
      <c r="L57" s="92"/>
      <c r="M57" s="94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9">
        <f t="shared" si="5"/>
        <v>-1</v>
      </c>
      <c r="K58" s="88">
        <f t="shared" si="2"/>
        <v>-10</v>
      </c>
      <c r="L58" s="88"/>
      <c r="M58" s="90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3">
        <f t="shared" si="5"/>
        <v>-1</v>
      </c>
      <c r="K59" s="92">
        <f t="shared" si="2"/>
        <v>-10</v>
      </c>
      <c r="L59" s="92"/>
      <c r="M59" s="94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9">
        <f t="shared" si="5"/>
        <v>-1</v>
      </c>
      <c r="K60" s="88">
        <f t="shared" si="2"/>
        <v>-10</v>
      </c>
      <c r="L60" s="88"/>
      <c r="M60" s="90">
        <f t="shared" si="3"/>
        <v>0</v>
      </c>
    </row>
    <row r="61" spans="1:13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3">
        <f t="shared" si="5"/>
        <v>-1</v>
      </c>
      <c r="K61" s="92">
        <f t="shared" si="2"/>
        <v>-10</v>
      </c>
      <c r="L61" s="92"/>
      <c r="M61" s="94">
        <f t="shared" si="3"/>
        <v>0</v>
      </c>
    </row>
    <row r="62" spans="1:13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9">
        <f t="shared" si="5"/>
        <v>-1</v>
      </c>
      <c r="K62" s="88">
        <f t="shared" si="2"/>
        <v>-10</v>
      </c>
      <c r="L62" s="88"/>
      <c r="M62" s="90">
        <f t="shared" si="3"/>
        <v>0</v>
      </c>
    </row>
    <row r="63" spans="1:13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3">
        <f t="shared" si="5"/>
        <v>-1</v>
      </c>
      <c r="K63" s="92">
        <f t="shared" si="2"/>
        <v>-10</v>
      </c>
      <c r="L63" s="92"/>
      <c r="M63" s="94">
        <f t="shared" si="3"/>
        <v>0</v>
      </c>
    </row>
    <row r="64" spans="1:13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9">
        <f t="shared" si="5"/>
        <v>-1</v>
      </c>
      <c r="K64" s="88">
        <f t="shared" si="2"/>
        <v>-10</v>
      </c>
      <c r="L64" s="88"/>
      <c r="M64" s="90">
        <f t="shared" si="3"/>
        <v>0</v>
      </c>
    </row>
    <row r="65" spans="1:13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3">
        <f t="shared" si="5"/>
        <v>-1</v>
      </c>
      <c r="K65" s="92">
        <f t="shared" si="2"/>
        <v>-10</v>
      </c>
      <c r="L65" s="92"/>
      <c r="M65" s="94">
        <f t="shared" si="3"/>
        <v>0</v>
      </c>
    </row>
    <row r="66" spans="1:13" x14ac:dyDescent="0.25">
      <c r="A66" s="91">
        <f t="shared" si="4"/>
        <v>0</v>
      </c>
      <c r="B66" s="34"/>
      <c r="G66" s="74"/>
      <c r="H66" s="88">
        <v>61</v>
      </c>
      <c r="I66" s="89" t="str">
        <f t="shared" si="1"/>
        <v/>
      </c>
      <c r="J66" s="89">
        <f t="shared" si="5"/>
        <v>-1</v>
      </c>
      <c r="K66" s="88">
        <f t="shared" si="2"/>
        <v>-10</v>
      </c>
      <c r="L66" s="88"/>
      <c r="M66" s="90">
        <f t="shared" si="3"/>
        <v>0</v>
      </c>
    </row>
    <row r="67" spans="1:13" x14ac:dyDescent="0.25">
      <c r="A67" s="91">
        <f t="shared" si="4"/>
        <v>0</v>
      </c>
      <c r="B67" s="40"/>
      <c r="G67" s="74"/>
      <c r="H67" s="88">
        <v>62</v>
      </c>
      <c r="I67" s="89" t="str">
        <f t="shared" si="1"/>
        <v/>
      </c>
      <c r="J67" s="89">
        <f t="shared" si="5"/>
        <v>-1</v>
      </c>
      <c r="K67" s="88">
        <f t="shared" si="2"/>
        <v>-10</v>
      </c>
      <c r="L67" s="88"/>
      <c r="M67" s="90">
        <f t="shared" si="3"/>
        <v>0</v>
      </c>
    </row>
    <row r="68" spans="1:13" x14ac:dyDescent="0.25">
      <c r="A68" s="91">
        <f t="shared" si="4"/>
        <v>0</v>
      </c>
      <c r="B68" s="34"/>
      <c r="G68" s="74"/>
      <c r="H68" s="88">
        <v>63</v>
      </c>
      <c r="I68" s="89" t="str">
        <f t="shared" si="1"/>
        <v/>
      </c>
      <c r="J68" s="89">
        <f t="shared" si="5"/>
        <v>-1</v>
      </c>
      <c r="K68" s="88">
        <f t="shared" si="2"/>
        <v>-10</v>
      </c>
      <c r="L68" s="88"/>
      <c r="M68" s="90">
        <f t="shared" si="3"/>
        <v>0</v>
      </c>
    </row>
    <row r="69" spans="1:13" x14ac:dyDescent="0.25">
      <c r="A69" s="91">
        <f t="shared" si="4"/>
        <v>0</v>
      </c>
      <c r="B69" s="40"/>
      <c r="G69" s="74"/>
      <c r="H69" s="88">
        <v>64</v>
      </c>
      <c r="I69" s="89" t="str">
        <f t="shared" si="1"/>
        <v/>
      </c>
      <c r="J69" s="89">
        <f t="shared" si="5"/>
        <v>-1</v>
      </c>
      <c r="K69" s="88">
        <f t="shared" si="2"/>
        <v>-10</v>
      </c>
      <c r="L69" s="88"/>
      <c r="M69" s="90">
        <f t="shared" si="3"/>
        <v>0</v>
      </c>
    </row>
    <row r="70" spans="1:13" x14ac:dyDescent="0.25">
      <c r="A70" s="91">
        <f t="shared" si="4"/>
        <v>0</v>
      </c>
      <c r="G70" s="74"/>
      <c r="H70" s="88">
        <v>65</v>
      </c>
      <c r="I70" s="89" t="str">
        <f t="shared" ref="I70:I133" si="6">IF(H70&lt;$H$2+1,($I$2-($I$2-1)*(LOG(H70)/LOG($H$2))),"")</f>
        <v/>
      </c>
      <c r="J70" s="89">
        <f t="shared" si="5"/>
        <v>-2</v>
      </c>
      <c r="K70" s="88">
        <f t="shared" ref="K70:K133" si="7">J70*$J$2</f>
        <v>-20</v>
      </c>
      <c r="L70" s="88"/>
      <c r="M70" s="90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74"/>
      <c r="H71" s="88">
        <v>66</v>
      </c>
      <c r="I71" s="89" t="str">
        <f t="shared" si="6"/>
        <v/>
      </c>
      <c r="J71" s="89">
        <f t="shared" ref="J71:J134" si="10">INT(LOG($H$2,2))-ROUNDUP(LOG(H71,2),0)+IF(OR($H$2=1,$H$2=2,$H$2=4,$H$2=8,$H$2=16,$H$2=32,$H$2=64,$H$2=128,$H$2=256),0,1)</f>
        <v>-2</v>
      </c>
      <c r="K71" s="88">
        <f t="shared" si="7"/>
        <v>-20</v>
      </c>
      <c r="L71" s="88"/>
      <c r="M71" s="90">
        <f t="shared" si="8"/>
        <v>0</v>
      </c>
    </row>
    <row r="72" spans="1:13" x14ac:dyDescent="0.25">
      <c r="A72" s="91">
        <f t="shared" si="9"/>
        <v>0</v>
      </c>
      <c r="G72" s="74"/>
      <c r="H72" s="88">
        <v>67</v>
      </c>
      <c r="I72" s="89" t="str">
        <f t="shared" si="6"/>
        <v/>
      </c>
      <c r="J72" s="89">
        <f t="shared" si="10"/>
        <v>-2</v>
      </c>
      <c r="K72" s="88">
        <f t="shared" si="7"/>
        <v>-20</v>
      </c>
      <c r="L72" s="88"/>
      <c r="M72" s="90">
        <f t="shared" si="8"/>
        <v>0</v>
      </c>
    </row>
    <row r="73" spans="1:13" x14ac:dyDescent="0.25">
      <c r="A73" s="91">
        <f t="shared" si="9"/>
        <v>0</v>
      </c>
      <c r="G73" s="74"/>
      <c r="H73" s="88">
        <v>68</v>
      </c>
      <c r="I73" s="89" t="str">
        <f t="shared" si="6"/>
        <v/>
      </c>
      <c r="J73" s="89">
        <f t="shared" si="10"/>
        <v>-2</v>
      </c>
      <c r="K73" s="88">
        <f t="shared" si="7"/>
        <v>-20</v>
      </c>
      <c r="L73" s="88"/>
      <c r="M73" s="90">
        <f t="shared" si="8"/>
        <v>0</v>
      </c>
    </row>
    <row r="74" spans="1:13" x14ac:dyDescent="0.25">
      <c r="A74" s="91">
        <f t="shared" si="9"/>
        <v>0</v>
      </c>
      <c r="G74" s="74"/>
      <c r="H74" s="88">
        <v>69</v>
      </c>
      <c r="I74" s="89" t="str">
        <f t="shared" si="6"/>
        <v/>
      </c>
      <c r="J74" s="89">
        <f t="shared" si="10"/>
        <v>-2</v>
      </c>
      <c r="K74" s="88">
        <f t="shared" si="7"/>
        <v>-20</v>
      </c>
      <c r="L74" s="88"/>
      <c r="M74" s="90">
        <f t="shared" si="8"/>
        <v>0</v>
      </c>
    </row>
    <row r="75" spans="1:13" x14ac:dyDescent="0.25">
      <c r="A75" s="91">
        <f t="shared" si="9"/>
        <v>0</v>
      </c>
      <c r="G75" s="74"/>
      <c r="H75" s="88">
        <v>70</v>
      </c>
      <c r="I75" s="89" t="str">
        <f t="shared" si="6"/>
        <v/>
      </c>
      <c r="J75" s="89">
        <f t="shared" si="10"/>
        <v>-2</v>
      </c>
      <c r="K75" s="88">
        <f t="shared" si="7"/>
        <v>-20</v>
      </c>
      <c r="L75" s="88"/>
      <c r="M75" s="90">
        <f t="shared" si="8"/>
        <v>0</v>
      </c>
    </row>
    <row r="76" spans="1:13" x14ac:dyDescent="0.25">
      <c r="A76" s="91">
        <f t="shared" si="9"/>
        <v>0</v>
      </c>
      <c r="G76" s="74"/>
      <c r="H76" s="88">
        <v>71</v>
      </c>
      <c r="I76" s="89" t="str">
        <f t="shared" si="6"/>
        <v/>
      </c>
      <c r="J76" s="89">
        <f t="shared" si="10"/>
        <v>-2</v>
      </c>
      <c r="K76" s="88">
        <f t="shared" si="7"/>
        <v>-20</v>
      </c>
      <c r="L76" s="88"/>
      <c r="M76" s="90">
        <f t="shared" si="8"/>
        <v>0</v>
      </c>
    </row>
    <row r="77" spans="1:13" x14ac:dyDescent="0.25">
      <c r="A77" s="91">
        <f t="shared" si="9"/>
        <v>0</v>
      </c>
      <c r="G77" s="74"/>
      <c r="H77" s="88">
        <v>72</v>
      </c>
      <c r="I77" s="89" t="str">
        <f t="shared" si="6"/>
        <v/>
      </c>
      <c r="J77" s="89">
        <f t="shared" si="10"/>
        <v>-2</v>
      </c>
      <c r="K77" s="88">
        <f t="shared" si="7"/>
        <v>-20</v>
      </c>
      <c r="L77" s="88"/>
      <c r="M77" s="90">
        <f t="shared" si="8"/>
        <v>0</v>
      </c>
    </row>
    <row r="78" spans="1:13" x14ac:dyDescent="0.25">
      <c r="A78" s="91">
        <f t="shared" si="9"/>
        <v>0</v>
      </c>
      <c r="G78" s="74"/>
      <c r="H78" s="88">
        <v>73</v>
      </c>
      <c r="I78" s="89" t="str">
        <f t="shared" si="6"/>
        <v/>
      </c>
      <c r="J78" s="89">
        <f t="shared" si="10"/>
        <v>-2</v>
      </c>
      <c r="K78" s="88">
        <f t="shared" si="7"/>
        <v>-20</v>
      </c>
      <c r="L78" s="88"/>
      <c r="M78" s="90">
        <f t="shared" si="8"/>
        <v>0</v>
      </c>
    </row>
    <row r="79" spans="1:13" x14ac:dyDescent="0.25">
      <c r="A79" s="91">
        <f t="shared" si="9"/>
        <v>0</v>
      </c>
      <c r="G79" s="74"/>
      <c r="H79" s="88">
        <v>74</v>
      </c>
      <c r="I79" s="89" t="str">
        <f t="shared" si="6"/>
        <v/>
      </c>
      <c r="J79" s="89">
        <f t="shared" si="10"/>
        <v>-2</v>
      </c>
      <c r="K79" s="88">
        <f t="shared" si="7"/>
        <v>-20</v>
      </c>
      <c r="L79" s="88"/>
      <c r="M79" s="90">
        <f t="shared" si="8"/>
        <v>0</v>
      </c>
    </row>
    <row r="80" spans="1:13" x14ac:dyDescent="0.25">
      <c r="A80" s="87"/>
      <c r="G80" s="74"/>
      <c r="H80" s="88">
        <v>75</v>
      </c>
      <c r="I80" s="89" t="str">
        <f t="shared" si="6"/>
        <v/>
      </c>
      <c r="J80" s="89">
        <f t="shared" si="10"/>
        <v>-2</v>
      </c>
      <c r="K80" s="88">
        <f t="shared" si="7"/>
        <v>-20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9">
        <f t="shared" si="10"/>
        <v>-2</v>
      </c>
      <c r="K81" s="88">
        <f t="shared" si="7"/>
        <v>-20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9">
        <f t="shared" si="10"/>
        <v>-2</v>
      </c>
      <c r="K82" s="88">
        <f t="shared" si="7"/>
        <v>-20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9">
        <f t="shared" si="10"/>
        <v>-2</v>
      </c>
      <c r="K83" s="88">
        <f t="shared" si="7"/>
        <v>-20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9">
        <f t="shared" si="10"/>
        <v>-2</v>
      </c>
      <c r="K84" s="88">
        <f t="shared" si="7"/>
        <v>-20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9">
        <f t="shared" si="10"/>
        <v>-2</v>
      </c>
      <c r="K85" s="88">
        <f t="shared" si="7"/>
        <v>-20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9">
        <f t="shared" si="10"/>
        <v>-2</v>
      </c>
      <c r="K86" s="88">
        <f t="shared" si="7"/>
        <v>-20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9">
        <f t="shared" si="10"/>
        <v>-2</v>
      </c>
      <c r="K87" s="88">
        <f t="shared" si="7"/>
        <v>-20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9">
        <f t="shared" si="10"/>
        <v>-2</v>
      </c>
      <c r="K88" s="88">
        <f t="shared" si="7"/>
        <v>-20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9">
        <f t="shared" si="10"/>
        <v>-2</v>
      </c>
      <c r="K89" s="88">
        <f t="shared" si="7"/>
        <v>-20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9">
        <f t="shared" si="10"/>
        <v>-2</v>
      </c>
      <c r="K90" s="88">
        <f t="shared" si="7"/>
        <v>-20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9">
        <f t="shared" si="10"/>
        <v>-2</v>
      </c>
      <c r="K91" s="88">
        <f t="shared" si="7"/>
        <v>-20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9">
        <f t="shared" si="10"/>
        <v>-2</v>
      </c>
      <c r="K92" s="88">
        <f t="shared" si="7"/>
        <v>-20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9">
        <f t="shared" si="10"/>
        <v>-2</v>
      </c>
      <c r="K93" s="88">
        <f t="shared" si="7"/>
        <v>-20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9">
        <f t="shared" si="10"/>
        <v>-2</v>
      </c>
      <c r="K94" s="88">
        <f t="shared" si="7"/>
        <v>-20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9">
        <f t="shared" si="10"/>
        <v>-2</v>
      </c>
      <c r="K95" s="88">
        <f t="shared" si="7"/>
        <v>-20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9">
        <f t="shared" si="10"/>
        <v>-2</v>
      </c>
      <c r="K96" s="88">
        <f t="shared" si="7"/>
        <v>-20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9">
        <f t="shared" si="10"/>
        <v>-2</v>
      </c>
      <c r="K97" s="88">
        <f t="shared" si="7"/>
        <v>-20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9">
        <f t="shared" si="10"/>
        <v>-2</v>
      </c>
      <c r="K98" s="88">
        <f t="shared" si="7"/>
        <v>-20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9">
        <f t="shared" si="10"/>
        <v>-2</v>
      </c>
      <c r="K99" s="88">
        <f t="shared" si="7"/>
        <v>-20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9">
        <f t="shared" si="10"/>
        <v>-2</v>
      </c>
      <c r="K100" s="88">
        <f t="shared" si="7"/>
        <v>-20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9">
        <f t="shared" si="10"/>
        <v>-2</v>
      </c>
      <c r="K101" s="88">
        <f t="shared" si="7"/>
        <v>-20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9">
        <f t="shared" si="10"/>
        <v>-2</v>
      </c>
      <c r="K102" s="88">
        <f t="shared" si="7"/>
        <v>-20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9">
        <f t="shared" si="10"/>
        <v>-2</v>
      </c>
      <c r="K103" s="88">
        <f t="shared" si="7"/>
        <v>-20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9">
        <f t="shared" si="10"/>
        <v>-2</v>
      </c>
      <c r="K104" s="88">
        <f t="shared" si="7"/>
        <v>-20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9">
        <f t="shared" si="10"/>
        <v>-2</v>
      </c>
      <c r="K105" s="88">
        <f t="shared" si="7"/>
        <v>-20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9">
        <f t="shared" si="10"/>
        <v>-2</v>
      </c>
      <c r="K106" s="88">
        <f t="shared" si="7"/>
        <v>-20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9">
        <f t="shared" si="10"/>
        <v>-2</v>
      </c>
      <c r="K107" s="88">
        <f t="shared" si="7"/>
        <v>-20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9">
        <f t="shared" si="10"/>
        <v>-2</v>
      </c>
      <c r="K108" s="88">
        <f t="shared" si="7"/>
        <v>-20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9">
        <f t="shared" si="10"/>
        <v>-2</v>
      </c>
      <c r="K109" s="88">
        <f t="shared" si="7"/>
        <v>-20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9">
        <f t="shared" si="10"/>
        <v>-2</v>
      </c>
      <c r="K110" s="88">
        <f t="shared" si="7"/>
        <v>-20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9">
        <f t="shared" si="10"/>
        <v>-2</v>
      </c>
      <c r="K111" s="88">
        <f t="shared" si="7"/>
        <v>-20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9">
        <f t="shared" si="10"/>
        <v>-2</v>
      </c>
      <c r="K112" s="88">
        <f t="shared" si="7"/>
        <v>-20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9">
        <f t="shared" si="10"/>
        <v>-2</v>
      </c>
      <c r="K113" s="88">
        <f t="shared" si="7"/>
        <v>-20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9">
        <f t="shared" si="10"/>
        <v>-2</v>
      </c>
      <c r="K114" s="88">
        <f t="shared" si="7"/>
        <v>-20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9">
        <f t="shared" si="10"/>
        <v>-2</v>
      </c>
      <c r="K115" s="88">
        <f t="shared" si="7"/>
        <v>-20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9">
        <f t="shared" si="10"/>
        <v>-2</v>
      </c>
      <c r="K116" s="88">
        <f t="shared" si="7"/>
        <v>-20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9">
        <f t="shared" si="10"/>
        <v>-2</v>
      </c>
      <c r="K117" s="88">
        <f t="shared" si="7"/>
        <v>-20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9">
        <f t="shared" si="10"/>
        <v>-2</v>
      </c>
      <c r="K118" s="88">
        <f t="shared" si="7"/>
        <v>-20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9">
        <f t="shared" si="10"/>
        <v>-2</v>
      </c>
      <c r="K119" s="88">
        <f t="shared" si="7"/>
        <v>-20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9">
        <f t="shared" si="10"/>
        <v>-2</v>
      </c>
      <c r="K120" s="88">
        <f t="shared" si="7"/>
        <v>-20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9">
        <f t="shared" si="10"/>
        <v>-2</v>
      </c>
      <c r="K121" s="88">
        <f t="shared" si="7"/>
        <v>-20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9">
        <f t="shared" si="10"/>
        <v>-2</v>
      </c>
      <c r="K122" s="88">
        <f t="shared" si="7"/>
        <v>-20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9">
        <f t="shared" si="10"/>
        <v>-2</v>
      </c>
      <c r="K123" s="88">
        <f t="shared" si="7"/>
        <v>-20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9">
        <f t="shared" si="10"/>
        <v>-2</v>
      </c>
      <c r="K124" s="88">
        <f t="shared" si="7"/>
        <v>-20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9">
        <f t="shared" si="10"/>
        <v>-2</v>
      </c>
      <c r="K125" s="88">
        <f t="shared" si="7"/>
        <v>-20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9">
        <f t="shared" si="10"/>
        <v>-2</v>
      </c>
      <c r="K126" s="88">
        <f t="shared" si="7"/>
        <v>-20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9">
        <f t="shared" si="10"/>
        <v>-2</v>
      </c>
      <c r="K127" s="88">
        <f t="shared" si="7"/>
        <v>-20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9">
        <f t="shared" si="10"/>
        <v>-2</v>
      </c>
      <c r="K128" s="88">
        <f t="shared" si="7"/>
        <v>-20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9">
        <f t="shared" si="10"/>
        <v>-2</v>
      </c>
      <c r="K129" s="88">
        <f t="shared" si="7"/>
        <v>-20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9">
        <f t="shared" si="10"/>
        <v>-2</v>
      </c>
      <c r="K130" s="88">
        <f t="shared" si="7"/>
        <v>-20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9">
        <f t="shared" si="10"/>
        <v>-2</v>
      </c>
      <c r="K131" s="88">
        <f t="shared" si="7"/>
        <v>-20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9">
        <f t="shared" si="10"/>
        <v>-2</v>
      </c>
      <c r="K132" s="88">
        <f t="shared" si="7"/>
        <v>-20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9">
        <f t="shared" si="10"/>
        <v>-2</v>
      </c>
      <c r="K133" s="88">
        <f t="shared" si="7"/>
        <v>-20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1">IF(H134&lt;$H$2+1,($I$2-($I$2-1)*(LOG(H134)/LOG($H$2))),"")</f>
        <v/>
      </c>
      <c r="J134" s="89">
        <f t="shared" si="10"/>
        <v>-3</v>
      </c>
      <c r="K134" s="88">
        <f t="shared" ref="K134:K197" si="12">J134*$J$2</f>
        <v>-30</v>
      </c>
      <c r="L134" s="88"/>
      <c r="M134" s="90">
        <f t="shared" ref="M134:M197" si="13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1"/>
        <v/>
      </c>
      <c r="J135" s="89">
        <f t="shared" ref="J135:J198" si="14">INT(LOG($H$2,2))-ROUNDUP(LOG(H135,2),0)+IF(OR($H$2=1,$H$2=2,$H$2=4,$H$2=8,$H$2=16,$H$2=32,$H$2=64,$H$2=128,$H$2=256),0,1)</f>
        <v>-3</v>
      </c>
      <c r="K135" s="88">
        <f t="shared" si="12"/>
        <v>-30</v>
      </c>
      <c r="L135" s="88"/>
      <c r="M135" s="90">
        <f t="shared" si="13"/>
        <v>0</v>
      </c>
    </row>
    <row r="136" spans="1:13" x14ac:dyDescent="0.25">
      <c r="A136" s="106"/>
      <c r="G136" s="74"/>
      <c r="H136" s="88">
        <v>131</v>
      </c>
      <c r="I136" s="89" t="str">
        <f t="shared" si="11"/>
        <v/>
      </c>
      <c r="J136" s="89">
        <f t="shared" si="14"/>
        <v>-3</v>
      </c>
      <c r="K136" s="88">
        <f t="shared" si="12"/>
        <v>-30</v>
      </c>
      <c r="L136" s="88"/>
      <c r="M136" s="90">
        <f t="shared" si="13"/>
        <v>0</v>
      </c>
    </row>
    <row r="137" spans="1:13" x14ac:dyDescent="0.25">
      <c r="A137" s="106"/>
      <c r="G137" s="74"/>
      <c r="H137" s="88">
        <v>132</v>
      </c>
      <c r="I137" s="89" t="str">
        <f t="shared" si="11"/>
        <v/>
      </c>
      <c r="J137" s="89">
        <f t="shared" si="14"/>
        <v>-3</v>
      </c>
      <c r="K137" s="88">
        <f t="shared" si="12"/>
        <v>-30</v>
      </c>
      <c r="L137" s="88"/>
      <c r="M137" s="90">
        <f t="shared" si="13"/>
        <v>0</v>
      </c>
    </row>
    <row r="138" spans="1:13" x14ac:dyDescent="0.25">
      <c r="A138" s="106"/>
      <c r="G138" s="74"/>
      <c r="H138" s="88">
        <v>133</v>
      </c>
      <c r="I138" s="89" t="str">
        <f t="shared" si="11"/>
        <v/>
      </c>
      <c r="J138" s="89">
        <f t="shared" si="14"/>
        <v>-3</v>
      </c>
      <c r="K138" s="88">
        <f t="shared" si="12"/>
        <v>-30</v>
      </c>
      <c r="L138" s="88"/>
      <c r="M138" s="90">
        <f t="shared" si="13"/>
        <v>0</v>
      </c>
    </row>
    <row r="139" spans="1:13" x14ac:dyDescent="0.25">
      <c r="A139" s="106"/>
      <c r="G139" s="74"/>
      <c r="H139" s="88">
        <v>134</v>
      </c>
      <c r="I139" s="89" t="str">
        <f t="shared" si="11"/>
        <v/>
      </c>
      <c r="J139" s="89">
        <f t="shared" si="14"/>
        <v>-3</v>
      </c>
      <c r="K139" s="88">
        <f t="shared" si="12"/>
        <v>-30</v>
      </c>
      <c r="L139" s="88"/>
      <c r="M139" s="90">
        <f t="shared" si="13"/>
        <v>0</v>
      </c>
    </row>
    <row r="140" spans="1:13" x14ac:dyDescent="0.25">
      <c r="A140" s="106"/>
      <c r="G140" s="74"/>
      <c r="H140" s="88">
        <v>135</v>
      </c>
      <c r="I140" s="89" t="str">
        <f t="shared" si="11"/>
        <v/>
      </c>
      <c r="J140" s="89">
        <f t="shared" si="14"/>
        <v>-3</v>
      </c>
      <c r="K140" s="88">
        <f t="shared" si="12"/>
        <v>-30</v>
      </c>
      <c r="L140" s="88"/>
      <c r="M140" s="90">
        <f t="shared" si="13"/>
        <v>0</v>
      </c>
    </row>
    <row r="141" spans="1:13" x14ac:dyDescent="0.25">
      <c r="A141" s="106"/>
      <c r="G141" s="74"/>
      <c r="H141" s="88">
        <v>136</v>
      </c>
      <c r="I141" s="89" t="str">
        <f t="shared" si="11"/>
        <v/>
      </c>
      <c r="J141" s="89">
        <f t="shared" si="14"/>
        <v>-3</v>
      </c>
      <c r="K141" s="88">
        <f t="shared" si="12"/>
        <v>-30</v>
      </c>
      <c r="L141" s="88"/>
      <c r="M141" s="90">
        <f t="shared" si="13"/>
        <v>0</v>
      </c>
    </row>
    <row r="142" spans="1:13" x14ac:dyDescent="0.25">
      <c r="A142" s="106"/>
      <c r="G142" s="74"/>
      <c r="H142" s="88">
        <v>137</v>
      </c>
      <c r="I142" s="89" t="str">
        <f t="shared" si="11"/>
        <v/>
      </c>
      <c r="J142" s="89">
        <f t="shared" si="14"/>
        <v>-3</v>
      </c>
      <c r="K142" s="88">
        <f t="shared" si="12"/>
        <v>-30</v>
      </c>
      <c r="L142" s="88"/>
      <c r="M142" s="90">
        <f t="shared" si="13"/>
        <v>0</v>
      </c>
    </row>
    <row r="143" spans="1:13" x14ac:dyDescent="0.25">
      <c r="A143" s="106"/>
      <c r="G143" s="74"/>
      <c r="H143" s="88">
        <v>138</v>
      </c>
      <c r="I143" s="89" t="str">
        <f t="shared" si="11"/>
        <v/>
      </c>
      <c r="J143" s="89">
        <f t="shared" si="14"/>
        <v>-3</v>
      </c>
      <c r="K143" s="88">
        <f t="shared" si="12"/>
        <v>-30</v>
      </c>
      <c r="L143" s="88"/>
      <c r="M143" s="90">
        <f t="shared" si="13"/>
        <v>0</v>
      </c>
    </row>
    <row r="144" spans="1:13" x14ac:dyDescent="0.25">
      <c r="A144" s="106"/>
      <c r="G144" s="74"/>
      <c r="H144" s="88">
        <v>139</v>
      </c>
      <c r="I144" s="89" t="str">
        <f t="shared" si="11"/>
        <v/>
      </c>
      <c r="J144" s="89">
        <f t="shared" si="14"/>
        <v>-3</v>
      </c>
      <c r="K144" s="88">
        <f t="shared" si="12"/>
        <v>-30</v>
      </c>
      <c r="L144" s="88"/>
      <c r="M144" s="90">
        <f t="shared" si="13"/>
        <v>0</v>
      </c>
    </row>
    <row r="145" spans="1:13" x14ac:dyDescent="0.25">
      <c r="A145" s="106"/>
      <c r="G145" s="74"/>
      <c r="H145" s="88">
        <v>140</v>
      </c>
      <c r="I145" s="89" t="str">
        <f t="shared" si="11"/>
        <v/>
      </c>
      <c r="J145" s="89">
        <f t="shared" si="14"/>
        <v>-3</v>
      </c>
      <c r="K145" s="88">
        <f t="shared" si="12"/>
        <v>-30</v>
      </c>
      <c r="L145" s="88"/>
      <c r="M145" s="90">
        <f t="shared" si="13"/>
        <v>0</v>
      </c>
    </row>
    <row r="146" spans="1:13" x14ac:dyDescent="0.25">
      <c r="A146" s="106"/>
      <c r="G146" s="74"/>
      <c r="H146" s="88">
        <v>141</v>
      </c>
      <c r="I146" s="89" t="str">
        <f t="shared" si="11"/>
        <v/>
      </c>
      <c r="J146" s="89">
        <f t="shared" si="14"/>
        <v>-3</v>
      </c>
      <c r="K146" s="88">
        <f t="shared" si="12"/>
        <v>-30</v>
      </c>
      <c r="L146" s="88"/>
      <c r="M146" s="90">
        <f t="shared" si="13"/>
        <v>0</v>
      </c>
    </row>
    <row r="147" spans="1:13" x14ac:dyDescent="0.25">
      <c r="A147" s="106"/>
      <c r="G147" s="74"/>
      <c r="H147" s="88">
        <v>142</v>
      </c>
      <c r="I147" s="89" t="str">
        <f t="shared" si="11"/>
        <v/>
      </c>
      <c r="J147" s="89">
        <f t="shared" si="14"/>
        <v>-3</v>
      </c>
      <c r="K147" s="88">
        <f t="shared" si="12"/>
        <v>-30</v>
      </c>
      <c r="L147" s="88"/>
      <c r="M147" s="90">
        <f t="shared" si="13"/>
        <v>0</v>
      </c>
    </row>
    <row r="148" spans="1:13" x14ac:dyDescent="0.25">
      <c r="A148" s="106"/>
      <c r="G148" s="74"/>
      <c r="H148" s="88">
        <v>143</v>
      </c>
      <c r="I148" s="89" t="str">
        <f t="shared" si="11"/>
        <v/>
      </c>
      <c r="J148" s="89">
        <f t="shared" si="14"/>
        <v>-3</v>
      </c>
      <c r="K148" s="88">
        <f t="shared" si="12"/>
        <v>-30</v>
      </c>
      <c r="L148" s="88"/>
      <c r="M148" s="90">
        <f t="shared" si="13"/>
        <v>0</v>
      </c>
    </row>
    <row r="149" spans="1:13" x14ac:dyDescent="0.25">
      <c r="A149" s="106"/>
      <c r="G149" s="74"/>
      <c r="H149" s="88">
        <v>144</v>
      </c>
      <c r="I149" s="89" t="str">
        <f t="shared" si="11"/>
        <v/>
      </c>
      <c r="J149" s="89">
        <f t="shared" si="14"/>
        <v>-3</v>
      </c>
      <c r="K149" s="88">
        <f t="shared" si="12"/>
        <v>-30</v>
      </c>
      <c r="L149" s="88"/>
      <c r="M149" s="90">
        <f t="shared" si="13"/>
        <v>0</v>
      </c>
    </row>
    <row r="150" spans="1:13" x14ac:dyDescent="0.25">
      <c r="A150" s="106"/>
      <c r="G150" s="74"/>
      <c r="H150" s="88">
        <v>145</v>
      </c>
      <c r="I150" s="89" t="str">
        <f t="shared" si="11"/>
        <v/>
      </c>
      <c r="J150" s="89">
        <f t="shared" si="14"/>
        <v>-3</v>
      </c>
      <c r="K150" s="88">
        <f t="shared" si="12"/>
        <v>-30</v>
      </c>
      <c r="L150" s="88"/>
      <c r="M150" s="90">
        <f t="shared" si="13"/>
        <v>0</v>
      </c>
    </row>
    <row r="151" spans="1:13" x14ac:dyDescent="0.25">
      <c r="A151" s="106"/>
      <c r="G151" s="74"/>
      <c r="H151" s="88">
        <v>146</v>
      </c>
      <c r="I151" s="89" t="str">
        <f t="shared" si="11"/>
        <v/>
      </c>
      <c r="J151" s="89">
        <f t="shared" si="14"/>
        <v>-3</v>
      </c>
      <c r="K151" s="88">
        <f t="shared" si="12"/>
        <v>-30</v>
      </c>
      <c r="L151" s="88"/>
      <c r="M151" s="90">
        <f t="shared" si="13"/>
        <v>0</v>
      </c>
    </row>
    <row r="152" spans="1:13" x14ac:dyDescent="0.25">
      <c r="A152" s="106"/>
      <c r="G152" s="74"/>
      <c r="H152" s="88">
        <v>147</v>
      </c>
      <c r="I152" s="89" t="str">
        <f t="shared" si="11"/>
        <v/>
      </c>
      <c r="J152" s="89">
        <f t="shared" si="14"/>
        <v>-3</v>
      </c>
      <c r="K152" s="88">
        <f t="shared" si="12"/>
        <v>-30</v>
      </c>
      <c r="L152" s="88"/>
      <c r="M152" s="90">
        <f t="shared" si="13"/>
        <v>0</v>
      </c>
    </row>
    <row r="153" spans="1:13" x14ac:dyDescent="0.25">
      <c r="A153" s="106"/>
      <c r="G153" s="74"/>
      <c r="H153" s="88">
        <v>148</v>
      </c>
      <c r="I153" s="89" t="str">
        <f t="shared" si="11"/>
        <v/>
      </c>
      <c r="J153" s="89">
        <f t="shared" si="14"/>
        <v>-3</v>
      </c>
      <c r="K153" s="88">
        <f t="shared" si="12"/>
        <v>-30</v>
      </c>
      <c r="L153" s="88"/>
      <c r="M153" s="90">
        <f t="shared" si="13"/>
        <v>0</v>
      </c>
    </row>
    <row r="154" spans="1:13" x14ac:dyDescent="0.25">
      <c r="A154" s="106"/>
      <c r="G154" s="74"/>
      <c r="H154" s="88">
        <v>149</v>
      </c>
      <c r="I154" s="89" t="str">
        <f t="shared" si="11"/>
        <v/>
      </c>
      <c r="J154" s="89">
        <f t="shared" si="14"/>
        <v>-3</v>
      </c>
      <c r="K154" s="88">
        <f t="shared" si="12"/>
        <v>-30</v>
      </c>
      <c r="L154" s="88"/>
      <c r="M154" s="90">
        <f t="shared" si="13"/>
        <v>0</v>
      </c>
    </row>
    <row r="155" spans="1:13" x14ac:dyDescent="0.25">
      <c r="A155" s="106"/>
      <c r="G155" s="74"/>
      <c r="H155" s="88">
        <v>150</v>
      </c>
      <c r="I155" s="89" t="str">
        <f t="shared" si="11"/>
        <v/>
      </c>
      <c r="J155" s="89">
        <f t="shared" si="14"/>
        <v>-3</v>
      </c>
      <c r="K155" s="88">
        <f t="shared" si="12"/>
        <v>-30</v>
      </c>
      <c r="L155" s="88"/>
      <c r="M155" s="90">
        <f t="shared" si="13"/>
        <v>0</v>
      </c>
    </row>
    <row r="156" spans="1:13" x14ac:dyDescent="0.25">
      <c r="A156" s="106"/>
      <c r="G156" s="74"/>
      <c r="H156" s="88">
        <v>151</v>
      </c>
      <c r="I156" s="89" t="str">
        <f t="shared" si="11"/>
        <v/>
      </c>
      <c r="J156" s="89">
        <f t="shared" si="14"/>
        <v>-3</v>
      </c>
      <c r="K156" s="88">
        <f t="shared" si="12"/>
        <v>-30</v>
      </c>
      <c r="L156" s="88"/>
      <c r="M156" s="90">
        <f t="shared" si="13"/>
        <v>0</v>
      </c>
    </row>
    <row r="157" spans="1:13" x14ac:dyDescent="0.25">
      <c r="A157" s="106"/>
      <c r="G157" s="74"/>
      <c r="H157" s="88">
        <v>152</v>
      </c>
      <c r="I157" s="89" t="str">
        <f t="shared" si="11"/>
        <v/>
      </c>
      <c r="J157" s="89">
        <f t="shared" si="14"/>
        <v>-3</v>
      </c>
      <c r="K157" s="88">
        <f t="shared" si="12"/>
        <v>-30</v>
      </c>
      <c r="L157" s="88"/>
      <c r="M157" s="90">
        <f t="shared" si="13"/>
        <v>0</v>
      </c>
    </row>
    <row r="158" spans="1:13" x14ac:dyDescent="0.25">
      <c r="A158" s="106"/>
      <c r="G158" s="74"/>
      <c r="H158" s="88">
        <v>153</v>
      </c>
      <c r="I158" s="89" t="str">
        <f t="shared" si="11"/>
        <v/>
      </c>
      <c r="J158" s="89">
        <f t="shared" si="14"/>
        <v>-3</v>
      </c>
      <c r="K158" s="88">
        <f t="shared" si="12"/>
        <v>-30</v>
      </c>
      <c r="L158" s="88"/>
      <c r="M158" s="90">
        <f t="shared" si="13"/>
        <v>0</v>
      </c>
    </row>
    <row r="159" spans="1:13" x14ac:dyDescent="0.25">
      <c r="A159" s="106"/>
      <c r="G159" s="74"/>
      <c r="H159" s="88">
        <v>154</v>
      </c>
      <c r="I159" s="89" t="str">
        <f t="shared" si="11"/>
        <v/>
      </c>
      <c r="J159" s="89">
        <f t="shared" si="14"/>
        <v>-3</v>
      </c>
      <c r="K159" s="88">
        <f t="shared" si="12"/>
        <v>-30</v>
      </c>
      <c r="L159" s="88"/>
      <c r="M159" s="90">
        <f t="shared" si="13"/>
        <v>0</v>
      </c>
    </row>
    <row r="160" spans="1:13" x14ac:dyDescent="0.25">
      <c r="A160" s="106"/>
      <c r="G160" s="74"/>
      <c r="H160" s="88">
        <v>155</v>
      </c>
      <c r="I160" s="89" t="str">
        <f t="shared" si="11"/>
        <v/>
      </c>
      <c r="J160" s="89">
        <f t="shared" si="14"/>
        <v>-3</v>
      </c>
      <c r="K160" s="88">
        <f t="shared" si="12"/>
        <v>-30</v>
      </c>
      <c r="L160" s="88"/>
      <c r="M160" s="90">
        <f t="shared" si="13"/>
        <v>0</v>
      </c>
    </row>
    <row r="161" spans="1:13" x14ac:dyDescent="0.25">
      <c r="A161" s="106"/>
      <c r="G161" s="74"/>
      <c r="H161" s="88">
        <v>156</v>
      </c>
      <c r="I161" s="89" t="str">
        <f t="shared" si="11"/>
        <v/>
      </c>
      <c r="J161" s="89">
        <f t="shared" si="14"/>
        <v>-3</v>
      </c>
      <c r="K161" s="88">
        <f t="shared" si="12"/>
        <v>-30</v>
      </c>
      <c r="L161" s="88"/>
      <c r="M161" s="90">
        <f t="shared" si="13"/>
        <v>0</v>
      </c>
    </row>
    <row r="162" spans="1:13" x14ac:dyDescent="0.25">
      <c r="A162" s="106"/>
      <c r="G162" s="74"/>
      <c r="H162" s="88">
        <v>157</v>
      </c>
      <c r="I162" s="89" t="str">
        <f t="shared" si="11"/>
        <v/>
      </c>
      <c r="J162" s="89">
        <f t="shared" si="14"/>
        <v>-3</v>
      </c>
      <c r="K162" s="88">
        <f t="shared" si="12"/>
        <v>-30</v>
      </c>
      <c r="L162" s="88"/>
      <c r="M162" s="90">
        <f t="shared" si="13"/>
        <v>0</v>
      </c>
    </row>
    <row r="163" spans="1:13" x14ac:dyDescent="0.25">
      <c r="A163" s="106"/>
      <c r="G163" s="74"/>
      <c r="H163" s="88">
        <v>158</v>
      </c>
      <c r="I163" s="89" t="str">
        <f t="shared" si="11"/>
        <v/>
      </c>
      <c r="J163" s="89">
        <f t="shared" si="14"/>
        <v>-3</v>
      </c>
      <c r="K163" s="88">
        <f t="shared" si="12"/>
        <v>-30</v>
      </c>
      <c r="L163" s="88"/>
      <c r="M163" s="90">
        <f t="shared" si="13"/>
        <v>0</v>
      </c>
    </row>
    <row r="164" spans="1:13" x14ac:dyDescent="0.25">
      <c r="A164" s="106"/>
      <c r="G164" s="74"/>
      <c r="H164" s="88">
        <v>159</v>
      </c>
      <c r="I164" s="89" t="str">
        <f t="shared" si="11"/>
        <v/>
      </c>
      <c r="J164" s="89">
        <f t="shared" si="14"/>
        <v>-3</v>
      </c>
      <c r="K164" s="88">
        <f t="shared" si="12"/>
        <v>-30</v>
      </c>
      <c r="L164" s="88"/>
      <c r="M164" s="90">
        <f t="shared" si="13"/>
        <v>0</v>
      </c>
    </row>
    <row r="165" spans="1:13" x14ac:dyDescent="0.25">
      <c r="A165" s="106"/>
      <c r="G165" s="74"/>
      <c r="H165" s="88">
        <v>160</v>
      </c>
      <c r="I165" s="89" t="str">
        <f t="shared" si="11"/>
        <v/>
      </c>
      <c r="J165" s="89">
        <f t="shared" si="14"/>
        <v>-3</v>
      </c>
      <c r="K165" s="88">
        <f t="shared" si="12"/>
        <v>-30</v>
      </c>
      <c r="L165" s="88"/>
      <c r="M165" s="90">
        <f t="shared" si="13"/>
        <v>0</v>
      </c>
    </row>
    <row r="166" spans="1:13" x14ac:dyDescent="0.25">
      <c r="A166" s="106"/>
      <c r="G166" s="74"/>
      <c r="H166" s="88">
        <v>161</v>
      </c>
      <c r="I166" s="89" t="str">
        <f t="shared" si="11"/>
        <v/>
      </c>
      <c r="J166" s="89">
        <f t="shared" si="14"/>
        <v>-3</v>
      </c>
      <c r="K166" s="88">
        <f t="shared" si="12"/>
        <v>-30</v>
      </c>
      <c r="L166" s="88"/>
      <c r="M166" s="90">
        <f t="shared" si="13"/>
        <v>0</v>
      </c>
    </row>
    <row r="167" spans="1:13" x14ac:dyDescent="0.25">
      <c r="A167" s="106"/>
      <c r="G167" s="74"/>
      <c r="H167" s="88">
        <v>162</v>
      </c>
      <c r="I167" s="89" t="str">
        <f t="shared" si="11"/>
        <v/>
      </c>
      <c r="J167" s="89">
        <f t="shared" si="14"/>
        <v>-3</v>
      </c>
      <c r="K167" s="88">
        <f t="shared" si="12"/>
        <v>-30</v>
      </c>
      <c r="L167" s="88"/>
      <c r="M167" s="90">
        <f t="shared" si="13"/>
        <v>0</v>
      </c>
    </row>
    <row r="168" spans="1:13" x14ac:dyDescent="0.25">
      <c r="A168" s="106"/>
      <c r="G168" s="74"/>
      <c r="H168" s="88">
        <v>163</v>
      </c>
      <c r="I168" s="89" t="str">
        <f t="shared" si="11"/>
        <v/>
      </c>
      <c r="J168" s="89">
        <f t="shared" si="14"/>
        <v>-3</v>
      </c>
      <c r="K168" s="88">
        <f t="shared" si="12"/>
        <v>-30</v>
      </c>
      <c r="L168" s="88"/>
      <c r="M168" s="90">
        <f t="shared" si="13"/>
        <v>0</v>
      </c>
    </row>
    <row r="169" spans="1:13" x14ac:dyDescent="0.25">
      <c r="A169" s="106"/>
      <c r="C169" s="105" t="s">
        <v>48</v>
      </c>
      <c r="G169" s="74"/>
      <c r="H169" s="88">
        <v>164</v>
      </c>
      <c r="I169" s="89" t="str">
        <f t="shared" si="11"/>
        <v/>
      </c>
      <c r="J169" s="89">
        <f t="shared" si="14"/>
        <v>-3</v>
      </c>
      <c r="K169" s="88">
        <f t="shared" si="12"/>
        <v>-30</v>
      </c>
      <c r="L169" s="88"/>
      <c r="M169" s="90">
        <f t="shared" si="13"/>
        <v>0</v>
      </c>
    </row>
    <row r="170" spans="1:13" x14ac:dyDescent="0.25">
      <c r="A170" s="106"/>
      <c r="G170" s="74"/>
      <c r="H170" s="88">
        <v>165</v>
      </c>
      <c r="I170" s="89" t="str">
        <f t="shared" si="11"/>
        <v/>
      </c>
      <c r="J170" s="89">
        <f t="shared" si="14"/>
        <v>-3</v>
      </c>
      <c r="K170" s="88">
        <f t="shared" si="12"/>
        <v>-30</v>
      </c>
      <c r="L170" s="88"/>
      <c r="M170" s="90">
        <f t="shared" si="13"/>
        <v>0</v>
      </c>
    </row>
    <row r="171" spans="1:13" x14ac:dyDescent="0.25">
      <c r="A171" s="106"/>
      <c r="G171" s="74"/>
      <c r="H171" s="88">
        <v>166</v>
      </c>
      <c r="I171" s="89" t="str">
        <f t="shared" si="11"/>
        <v/>
      </c>
      <c r="J171" s="89">
        <f t="shared" si="14"/>
        <v>-3</v>
      </c>
      <c r="K171" s="88">
        <f t="shared" si="12"/>
        <v>-30</v>
      </c>
      <c r="L171" s="88"/>
      <c r="M171" s="90">
        <f t="shared" si="13"/>
        <v>0</v>
      </c>
    </row>
    <row r="172" spans="1:13" x14ac:dyDescent="0.25">
      <c r="A172" s="106"/>
      <c r="G172" s="74"/>
      <c r="H172" s="88">
        <v>167</v>
      </c>
      <c r="I172" s="89" t="str">
        <f t="shared" si="11"/>
        <v/>
      </c>
      <c r="J172" s="89">
        <f t="shared" si="14"/>
        <v>-3</v>
      </c>
      <c r="K172" s="88">
        <f t="shared" si="12"/>
        <v>-30</v>
      </c>
      <c r="L172" s="88"/>
      <c r="M172" s="90">
        <f t="shared" si="13"/>
        <v>0</v>
      </c>
    </row>
    <row r="173" spans="1:13" x14ac:dyDescent="0.25">
      <c r="A173" s="106"/>
      <c r="G173" s="74"/>
      <c r="H173" s="88">
        <v>168</v>
      </c>
      <c r="I173" s="89" t="str">
        <f t="shared" si="11"/>
        <v/>
      </c>
      <c r="J173" s="89">
        <f t="shared" si="14"/>
        <v>-3</v>
      </c>
      <c r="K173" s="88">
        <f t="shared" si="12"/>
        <v>-30</v>
      </c>
      <c r="L173" s="88"/>
      <c r="M173" s="90">
        <f t="shared" si="13"/>
        <v>0</v>
      </c>
    </row>
    <row r="174" spans="1:13" x14ac:dyDescent="0.25">
      <c r="A174" s="106"/>
      <c r="G174" s="74"/>
      <c r="H174" s="88">
        <v>169</v>
      </c>
      <c r="I174" s="89" t="str">
        <f t="shared" si="11"/>
        <v/>
      </c>
      <c r="J174" s="89">
        <f t="shared" si="14"/>
        <v>-3</v>
      </c>
      <c r="K174" s="88">
        <f t="shared" si="12"/>
        <v>-30</v>
      </c>
      <c r="L174" s="88"/>
      <c r="M174" s="90">
        <f t="shared" si="13"/>
        <v>0</v>
      </c>
    </row>
    <row r="175" spans="1:13" x14ac:dyDescent="0.25">
      <c r="A175" s="106"/>
      <c r="G175" s="74"/>
      <c r="H175" s="88">
        <v>170</v>
      </c>
      <c r="I175" s="89" t="str">
        <f t="shared" si="11"/>
        <v/>
      </c>
      <c r="J175" s="89">
        <f t="shared" si="14"/>
        <v>-3</v>
      </c>
      <c r="K175" s="88">
        <f t="shared" si="12"/>
        <v>-30</v>
      </c>
      <c r="L175" s="88"/>
      <c r="M175" s="90">
        <f t="shared" si="13"/>
        <v>0</v>
      </c>
    </row>
    <row r="176" spans="1:13" x14ac:dyDescent="0.25">
      <c r="A176" s="106"/>
      <c r="G176" s="74"/>
      <c r="H176" s="88">
        <v>171</v>
      </c>
      <c r="I176" s="89" t="str">
        <f t="shared" si="11"/>
        <v/>
      </c>
      <c r="J176" s="89">
        <f t="shared" si="14"/>
        <v>-3</v>
      </c>
      <c r="K176" s="88">
        <f t="shared" si="12"/>
        <v>-30</v>
      </c>
      <c r="L176" s="88"/>
      <c r="M176" s="90">
        <f t="shared" si="13"/>
        <v>0</v>
      </c>
    </row>
    <row r="177" spans="1:13" x14ac:dyDescent="0.25">
      <c r="A177" s="106"/>
      <c r="G177" s="74"/>
      <c r="H177" s="88">
        <v>172</v>
      </c>
      <c r="I177" s="89" t="str">
        <f t="shared" si="11"/>
        <v/>
      </c>
      <c r="J177" s="89">
        <f t="shared" si="14"/>
        <v>-3</v>
      </c>
      <c r="K177" s="88">
        <f t="shared" si="12"/>
        <v>-30</v>
      </c>
      <c r="L177" s="88"/>
      <c r="M177" s="90">
        <f t="shared" si="13"/>
        <v>0</v>
      </c>
    </row>
    <row r="178" spans="1:13" x14ac:dyDescent="0.25">
      <c r="A178" s="106"/>
      <c r="G178" s="74"/>
      <c r="H178" s="88">
        <v>173</v>
      </c>
      <c r="I178" s="89" t="str">
        <f t="shared" si="11"/>
        <v/>
      </c>
      <c r="J178" s="89">
        <f t="shared" si="14"/>
        <v>-3</v>
      </c>
      <c r="K178" s="88">
        <f t="shared" si="12"/>
        <v>-30</v>
      </c>
      <c r="L178" s="88"/>
      <c r="M178" s="90">
        <f t="shared" si="13"/>
        <v>0</v>
      </c>
    </row>
    <row r="179" spans="1:13" x14ac:dyDescent="0.25">
      <c r="A179" s="106"/>
      <c r="G179" s="74"/>
      <c r="H179" s="88">
        <v>174</v>
      </c>
      <c r="I179" s="89" t="str">
        <f t="shared" si="11"/>
        <v/>
      </c>
      <c r="J179" s="89">
        <f t="shared" si="14"/>
        <v>-3</v>
      </c>
      <c r="K179" s="88">
        <f t="shared" si="12"/>
        <v>-30</v>
      </c>
      <c r="L179" s="88"/>
      <c r="M179" s="90">
        <f t="shared" si="13"/>
        <v>0</v>
      </c>
    </row>
    <row r="180" spans="1:13" x14ac:dyDescent="0.25">
      <c r="A180" s="106"/>
      <c r="G180" s="74"/>
      <c r="H180" s="88">
        <v>175</v>
      </c>
      <c r="I180" s="89" t="str">
        <f t="shared" si="11"/>
        <v/>
      </c>
      <c r="J180" s="89">
        <f t="shared" si="14"/>
        <v>-3</v>
      </c>
      <c r="K180" s="88">
        <f t="shared" si="12"/>
        <v>-30</v>
      </c>
      <c r="L180" s="88"/>
      <c r="M180" s="90">
        <f t="shared" si="13"/>
        <v>0</v>
      </c>
    </row>
    <row r="181" spans="1:13" x14ac:dyDescent="0.25">
      <c r="A181" s="106"/>
      <c r="G181" s="74"/>
      <c r="H181" s="88">
        <v>176</v>
      </c>
      <c r="I181" s="89" t="str">
        <f t="shared" si="11"/>
        <v/>
      </c>
      <c r="J181" s="89">
        <f t="shared" si="14"/>
        <v>-3</v>
      </c>
      <c r="K181" s="88">
        <f t="shared" si="12"/>
        <v>-30</v>
      </c>
      <c r="L181" s="88"/>
      <c r="M181" s="90">
        <f t="shared" si="13"/>
        <v>0</v>
      </c>
    </row>
    <row r="182" spans="1:13" x14ac:dyDescent="0.25">
      <c r="A182" s="106"/>
      <c r="G182" s="74"/>
      <c r="H182" s="88">
        <v>177</v>
      </c>
      <c r="I182" s="89" t="str">
        <f t="shared" si="11"/>
        <v/>
      </c>
      <c r="J182" s="89">
        <f t="shared" si="14"/>
        <v>-3</v>
      </c>
      <c r="K182" s="88">
        <f t="shared" si="12"/>
        <v>-30</v>
      </c>
      <c r="L182" s="88"/>
      <c r="M182" s="90">
        <f t="shared" si="13"/>
        <v>0</v>
      </c>
    </row>
    <row r="183" spans="1:13" x14ac:dyDescent="0.25">
      <c r="A183" s="106"/>
      <c r="G183" s="74"/>
      <c r="H183" s="88">
        <v>178</v>
      </c>
      <c r="I183" s="89" t="str">
        <f t="shared" si="11"/>
        <v/>
      </c>
      <c r="J183" s="89">
        <f t="shared" si="14"/>
        <v>-3</v>
      </c>
      <c r="K183" s="88">
        <f t="shared" si="12"/>
        <v>-30</v>
      </c>
      <c r="L183" s="88"/>
      <c r="M183" s="90">
        <f t="shared" si="13"/>
        <v>0</v>
      </c>
    </row>
    <row r="184" spans="1:13" x14ac:dyDescent="0.25">
      <c r="A184" s="106"/>
      <c r="G184" s="74"/>
      <c r="H184" s="88">
        <v>179</v>
      </c>
      <c r="I184" s="89" t="str">
        <f t="shared" si="11"/>
        <v/>
      </c>
      <c r="J184" s="89">
        <f t="shared" si="14"/>
        <v>-3</v>
      </c>
      <c r="K184" s="88">
        <f t="shared" si="12"/>
        <v>-30</v>
      </c>
      <c r="L184" s="88"/>
      <c r="M184" s="90">
        <f t="shared" si="13"/>
        <v>0</v>
      </c>
    </row>
    <row r="185" spans="1:13" x14ac:dyDescent="0.25">
      <c r="A185" s="106"/>
      <c r="G185" s="74"/>
      <c r="H185" s="88">
        <v>180</v>
      </c>
      <c r="I185" s="89" t="str">
        <f t="shared" si="11"/>
        <v/>
      </c>
      <c r="J185" s="89">
        <f t="shared" si="14"/>
        <v>-3</v>
      </c>
      <c r="K185" s="88">
        <f t="shared" si="12"/>
        <v>-30</v>
      </c>
      <c r="L185" s="88"/>
      <c r="M185" s="90">
        <f t="shared" si="13"/>
        <v>0</v>
      </c>
    </row>
    <row r="186" spans="1:13" x14ac:dyDescent="0.25">
      <c r="A186" s="106"/>
      <c r="G186" s="74"/>
      <c r="H186" s="88">
        <v>181</v>
      </c>
      <c r="I186" s="89" t="str">
        <f t="shared" si="11"/>
        <v/>
      </c>
      <c r="J186" s="89">
        <f t="shared" si="14"/>
        <v>-3</v>
      </c>
      <c r="K186" s="88">
        <f t="shared" si="12"/>
        <v>-30</v>
      </c>
      <c r="L186" s="88"/>
      <c r="M186" s="90">
        <f t="shared" si="13"/>
        <v>0</v>
      </c>
    </row>
    <row r="187" spans="1:13" x14ac:dyDescent="0.25">
      <c r="A187" s="106"/>
      <c r="G187" s="74"/>
      <c r="H187" s="88">
        <v>182</v>
      </c>
      <c r="I187" s="89" t="str">
        <f t="shared" si="11"/>
        <v/>
      </c>
      <c r="J187" s="89">
        <f t="shared" si="14"/>
        <v>-3</v>
      </c>
      <c r="K187" s="88">
        <f t="shared" si="12"/>
        <v>-30</v>
      </c>
      <c r="L187" s="88"/>
      <c r="M187" s="90">
        <f t="shared" si="13"/>
        <v>0</v>
      </c>
    </row>
    <row r="188" spans="1:13" x14ac:dyDescent="0.25">
      <c r="A188" s="106"/>
      <c r="G188" s="74"/>
      <c r="H188" s="88">
        <v>183</v>
      </c>
      <c r="I188" s="89" t="str">
        <f t="shared" si="11"/>
        <v/>
      </c>
      <c r="J188" s="89">
        <f t="shared" si="14"/>
        <v>-3</v>
      </c>
      <c r="K188" s="88">
        <f t="shared" si="12"/>
        <v>-30</v>
      </c>
      <c r="L188" s="88"/>
      <c r="M188" s="90">
        <f t="shared" si="13"/>
        <v>0</v>
      </c>
    </row>
    <row r="189" spans="1:13" x14ac:dyDescent="0.25">
      <c r="A189" s="106"/>
      <c r="G189" s="74"/>
      <c r="H189" s="88">
        <v>184</v>
      </c>
      <c r="I189" s="89" t="str">
        <f t="shared" si="11"/>
        <v/>
      </c>
      <c r="J189" s="89">
        <f t="shared" si="14"/>
        <v>-3</v>
      </c>
      <c r="K189" s="88">
        <f t="shared" si="12"/>
        <v>-30</v>
      </c>
      <c r="L189" s="88"/>
      <c r="M189" s="90">
        <f t="shared" si="13"/>
        <v>0</v>
      </c>
    </row>
    <row r="190" spans="1:13" x14ac:dyDescent="0.25">
      <c r="A190" s="106"/>
      <c r="G190" s="74"/>
      <c r="H190" s="88">
        <v>185</v>
      </c>
      <c r="I190" s="89" t="str">
        <f t="shared" si="11"/>
        <v/>
      </c>
      <c r="J190" s="89">
        <f t="shared" si="14"/>
        <v>-3</v>
      </c>
      <c r="K190" s="88">
        <f t="shared" si="12"/>
        <v>-30</v>
      </c>
      <c r="L190" s="88"/>
      <c r="M190" s="90">
        <f t="shared" si="13"/>
        <v>0</v>
      </c>
    </row>
    <row r="191" spans="1:13" x14ac:dyDescent="0.25">
      <c r="A191" s="106"/>
      <c r="G191" s="74"/>
      <c r="H191" s="88">
        <v>186</v>
      </c>
      <c r="I191" s="89" t="str">
        <f t="shared" si="11"/>
        <v/>
      </c>
      <c r="J191" s="89">
        <f t="shared" si="14"/>
        <v>-3</v>
      </c>
      <c r="K191" s="88">
        <f t="shared" si="12"/>
        <v>-30</v>
      </c>
      <c r="L191" s="88"/>
      <c r="M191" s="90">
        <f t="shared" si="13"/>
        <v>0</v>
      </c>
    </row>
    <row r="192" spans="1:13" x14ac:dyDescent="0.25">
      <c r="A192" s="106"/>
      <c r="G192" s="74"/>
      <c r="H192" s="88">
        <v>187</v>
      </c>
      <c r="I192" s="89" t="str">
        <f t="shared" si="11"/>
        <v/>
      </c>
      <c r="J192" s="89">
        <f t="shared" si="14"/>
        <v>-3</v>
      </c>
      <c r="K192" s="88">
        <f t="shared" si="12"/>
        <v>-30</v>
      </c>
      <c r="L192" s="88"/>
      <c r="M192" s="90">
        <f t="shared" si="13"/>
        <v>0</v>
      </c>
    </row>
    <row r="193" spans="1:13" x14ac:dyDescent="0.25">
      <c r="A193" s="106"/>
      <c r="G193" s="74"/>
      <c r="H193" s="88">
        <v>188</v>
      </c>
      <c r="I193" s="89" t="str">
        <f t="shared" si="11"/>
        <v/>
      </c>
      <c r="J193" s="89">
        <f t="shared" si="14"/>
        <v>-3</v>
      </c>
      <c r="K193" s="88">
        <f t="shared" si="12"/>
        <v>-30</v>
      </c>
      <c r="L193" s="88"/>
      <c r="M193" s="90">
        <f t="shared" si="13"/>
        <v>0</v>
      </c>
    </row>
    <row r="194" spans="1:13" x14ac:dyDescent="0.25">
      <c r="A194" s="106"/>
      <c r="G194" s="74"/>
      <c r="H194" s="88">
        <v>189</v>
      </c>
      <c r="I194" s="89" t="str">
        <f t="shared" si="11"/>
        <v/>
      </c>
      <c r="J194" s="89">
        <f t="shared" si="14"/>
        <v>-3</v>
      </c>
      <c r="K194" s="88">
        <f t="shared" si="12"/>
        <v>-30</v>
      </c>
      <c r="L194" s="88"/>
      <c r="M194" s="90">
        <f t="shared" si="13"/>
        <v>0</v>
      </c>
    </row>
    <row r="195" spans="1:13" x14ac:dyDescent="0.25">
      <c r="A195" s="106"/>
      <c r="G195" s="74"/>
      <c r="H195" s="88">
        <v>190</v>
      </c>
      <c r="I195" s="89" t="str">
        <f t="shared" si="11"/>
        <v/>
      </c>
      <c r="J195" s="89">
        <f t="shared" si="14"/>
        <v>-3</v>
      </c>
      <c r="K195" s="88">
        <f t="shared" si="12"/>
        <v>-30</v>
      </c>
      <c r="L195" s="88"/>
      <c r="M195" s="90">
        <f t="shared" si="13"/>
        <v>0</v>
      </c>
    </row>
    <row r="196" spans="1:13" x14ac:dyDescent="0.25">
      <c r="A196" s="106"/>
      <c r="G196" s="74"/>
      <c r="H196" s="88">
        <v>191</v>
      </c>
      <c r="I196" s="89" t="str">
        <f t="shared" si="11"/>
        <v/>
      </c>
      <c r="J196" s="89">
        <f t="shared" si="14"/>
        <v>-3</v>
      </c>
      <c r="K196" s="88">
        <f t="shared" si="12"/>
        <v>-30</v>
      </c>
      <c r="L196" s="88"/>
      <c r="M196" s="90">
        <f t="shared" si="13"/>
        <v>0</v>
      </c>
    </row>
    <row r="197" spans="1:13" x14ac:dyDescent="0.25">
      <c r="A197" s="106"/>
      <c r="G197" s="74"/>
      <c r="H197" s="88">
        <v>192</v>
      </c>
      <c r="I197" s="89" t="str">
        <f t="shared" si="11"/>
        <v/>
      </c>
      <c r="J197" s="89">
        <f t="shared" si="14"/>
        <v>-3</v>
      </c>
      <c r="K197" s="88">
        <f t="shared" si="12"/>
        <v>-30</v>
      </c>
      <c r="L197" s="88"/>
      <c r="M197" s="90">
        <f t="shared" si="13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5">IF(H198&lt;$H$2+1,($I$2-($I$2-1)*(LOG(H198)/LOG($H$2))),"")</f>
        <v/>
      </c>
      <c r="J198" s="89">
        <f t="shared" si="14"/>
        <v>-3</v>
      </c>
      <c r="K198" s="88">
        <f t="shared" ref="K198:K261" si="16">J198*$J$2</f>
        <v>-30</v>
      </c>
      <c r="L198" s="88"/>
      <c r="M198" s="90">
        <f t="shared" ref="M198:M261" si="17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5"/>
        <v/>
      </c>
      <c r="J199" s="89">
        <f t="shared" ref="J199:J262" si="18">INT(LOG($H$2,2))-ROUNDUP(LOG(H199,2),0)+IF(OR($H$2=1,$H$2=2,$H$2=4,$H$2=8,$H$2=16,$H$2=32,$H$2=64,$H$2=128,$H$2=256),0,1)</f>
        <v>-3</v>
      </c>
      <c r="K199" s="88">
        <f t="shared" si="16"/>
        <v>-30</v>
      </c>
      <c r="L199" s="88"/>
      <c r="M199" s="90">
        <f t="shared" si="17"/>
        <v>0</v>
      </c>
    </row>
    <row r="200" spans="1:13" x14ac:dyDescent="0.25">
      <c r="A200" s="106"/>
      <c r="G200" s="74"/>
      <c r="H200" s="88">
        <v>195</v>
      </c>
      <c r="I200" s="89" t="str">
        <f t="shared" si="15"/>
        <v/>
      </c>
      <c r="J200" s="89">
        <f t="shared" si="18"/>
        <v>-3</v>
      </c>
      <c r="K200" s="88">
        <f t="shared" si="16"/>
        <v>-30</v>
      </c>
      <c r="L200" s="88"/>
      <c r="M200" s="90">
        <f t="shared" si="17"/>
        <v>0</v>
      </c>
    </row>
    <row r="201" spans="1:13" x14ac:dyDescent="0.25">
      <c r="A201" s="106"/>
      <c r="G201" s="74"/>
      <c r="H201" s="88">
        <v>196</v>
      </c>
      <c r="I201" s="89" t="str">
        <f t="shared" si="15"/>
        <v/>
      </c>
      <c r="J201" s="89">
        <f t="shared" si="18"/>
        <v>-3</v>
      </c>
      <c r="K201" s="88">
        <f t="shared" si="16"/>
        <v>-30</v>
      </c>
      <c r="L201" s="88"/>
      <c r="M201" s="90">
        <f t="shared" si="17"/>
        <v>0</v>
      </c>
    </row>
    <row r="202" spans="1:13" x14ac:dyDescent="0.25">
      <c r="A202" s="106"/>
      <c r="G202" s="74"/>
      <c r="H202" s="88">
        <v>197</v>
      </c>
      <c r="I202" s="89" t="str">
        <f t="shared" si="15"/>
        <v/>
      </c>
      <c r="J202" s="89">
        <f t="shared" si="18"/>
        <v>-3</v>
      </c>
      <c r="K202" s="88">
        <f t="shared" si="16"/>
        <v>-30</v>
      </c>
      <c r="L202" s="88"/>
      <c r="M202" s="90">
        <f t="shared" si="17"/>
        <v>0</v>
      </c>
    </row>
    <row r="203" spans="1:13" x14ac:dyDescent="0.25">
      <c r="A203" s="106"/>
      <c r="G203" s="74"/>
      <c r="H203" s="88">
        <v>198</v>
      </c>
      <c r="I203" s="89" t="str">
        <f t="shared" si="15"/>
        <v/>
      </c>
      <c r="J203" s="89">
        <f t="shared" si="18"/>
        <v>-3</v>
      </c>
      <c r="K203" s="88">
        <f t="shared" si="16"/>
        <v>-30</v>
      </c>
      <c r="L203" s="88"/>
      <c r="M203" s="90">
        <f t="shared" si="17"/>
        <v>0</v>
      </c>
    </row>
    <row r="204" spans="1:13" x14ac:dyDescent="0.25">
      <c r="A204" s="106"/>
      <c r="G204" s="74"/>
      <c r="H204" s="88">
        <v>199</v>
      </c>
      <c r="I204" s="89" t="str">
        <f t="shared" si="15"/>
        <v/>
      </c>
      <c r="J204" s="89">
        <f t="shared" si="18"/>
        <v>-3</v>
      </c>
      <c r="K204" s="88">
        <f t="shared" si="16"/>
        <v>-30</v>
      </c>
      <c r="L204" s="88"/>
      <c r="M204" s="90">
        <f t="shared" si="17"/>
        <v>0</v>
      </c>
    </row>
    <row r="205" spans="1:13" x14ac:dyDescent="0.25">
      <c r="A205" s="106"/>
      <c r="G205" s="74"/>
      <c r="H205" s="88">
        <v>200</v>
      </c>
      <c r="I205" s="89" t="str">
        <f t="shared" si="15"/>
        <v/>
      </c>
      <c r="J205" s="89">
        <f t="shared" si="18"/>
        <v>-3</v>
      </c>
      <c r="K205" s="88">
        <f t="shared" si="16"/>
        <v>-30</v>
      </c>
      <c r="L205" s="88"/>
      <c r="M205" s="90">
        <f t="shared" si="17"/>
        <v>0</v>
      </c>
    </row>
    <row r="206" spans="1:13" x14ac:dyDescent="0.25">
      <c r="A206" s="106"/>
      <c r="G206" s="74"/>
      <c r="H206" s="88">
        <v>201</v>
      </c>
      <c r="I206" s="89" t="str">
        <f t="shared" si="15"/>
        <v/>
      </c>
      <c r="J206" s="89">
        <f t="shared" si="18"/>
        <v>-3</v>
      </c>
      <c r="K206" s="88">
        <f t="shared" si="16"/>
        <v>-30</v>
      </c>
      <c r="L206" s="88"/>
      <c r="M206" s="90">
        <f t="shared" si="17"/>
        <v>0</v>
      </c>
    </row>
    <row r="207" spans="1:13" x14ac:dyDescent="0.25">
      <c r="A207" s="106"/>
      <c r="G207" s="74"/>
      <c r="H207" s="88">
        <v>202</v>
      </c>
      <c r="I207" s="89" t="str">
        <f t="shared" si="15"/>
        <v/>
      </c>
      <c r="J207" s="89">
        <f t="shared" si="18"/>
        <v>-3</v>
      </c>
      <c r="K207" s="88">
        <f t="shared" si="16"/>
        <v>-30</v>
      </c>
      <c r="L207" s="88"/>
      <c r="M207" s="90">
        <f t="shared" si="17"/>
        <v>0</v>
      </c>
    </row>
    <row r="208" spans="1:13" x14ac:dyDescent="0.25">
      <c r="A208" s="106"/>
      <c r="G208" s="74"/>
      <c r="H208" s="88">
        <v>203</v>
      </c>
      <c r="I208" s="89" t="str">
        <f t="shared" si="15"/>
        <v/>
      </c>
      <c r="J208" s="89">
        <f t="shared" si="18"/>
        <v>-3</v>
      </c>
      <c r="K208" s="88">
        <f t="shared" si="16"/>
        <v>-30</v>
      </c>
      <c r="L208" s="88"/>
      <c r="M208" s="90">
        <f t="shared" si="17"/>
        <v>0</v>
      </c>
    </row>
    <row r="209" spans="1:13" x14ac:dyDescent="0.25">
      <c r="A209" s="106"/>
      <c r="G209" s="74"/>
      <c r="H209" s="88">
        <v>204</v>
      </c>
      <c r="I209" s="89" t="str">
        <f t="shared" si="15"/>
        <v/>
      </c>
      <c r="J209" s="89">
        <f t="shared" si="18"/>
        <v>-3</v>
      </c>
      <c r="K209" s="88">
        <f t="shared" si="16"/>
        <v>-30</v>
      </c>
      <c r="L209" s="88"/>
      <c r="M209" s="90">
        <f t="shared" si="17"/>
        <v>0</v>
      </c>
    </row>
    <row r="210" spans="1:13" x14ac:dyDescent="0.25">
      <c r="A210" s="106"/>
      <c r="G210" s="74"/>
      <c r="H210" s="88">
        <v>205</v>
      </c>
      <c r="I210" s="89" t="str">
        <f t="shared" si="15"/>
        <v/>
      </c>
      <c r="J210" s="89">
        <f t="shared" si="18"/>
        <v>-3</v>
      </c>
      <c r="K210" s="88">
        <f t="shared" si="16"/>
        <v>-30</v>
      </c>
      <c r="L210" s="88"/>
      <c r="M210" s="90">
        <f t="shared" si="17"/>
        <v>0</v>
      </c>
    </row>
    <row r="211" spans="1:13" x14ac:dyDescent="0.25">
      <c r="A211" s="106"/>
      <c r="G211" s="74"/>
      <c r="H211" s="88">
        <v>206</v>
      </c>
      <c r="I211" s="89" t="str">
        <f t="shared" si="15"/>
        <v/>
      </c>
      <c r="J211" s="89">
        <f t="shared" si="18"/>
        <v>-3</v>
      </c>
      <c r="K211" s="88">
        <f t="shared" si="16"/>
        <v>-30</v>
      </c>
      <c r="L211" s="88"/>
      <c r="M211" s="90">
        <f t="shared" si="17"/>
        <v>0</v>
      </c>
    </row>
    <row r="212" spans="1:13" x14ac:dyDescent="0.25">
      <c r="A212" s="106"/>
      <c r="G212" s="74"/>
      <c r="H212" s="88">
        <v>207</v>
      </c>
      <c r="I212" s="89" t="str">
        <f t="shared" si="15"/>
        <v/>
      </c>
      <c r="J212" s="89">
        <f t="shared" si="18"/>
        <v>-3</v>
      </c>
      <c r="K212" s="88">
        <f t="shared" si="16"/>
        <v>-30</v>
      </c>
      <c r="L212" s="88"/>
      <c r="M212" s="90">
        <f t="shared" si="17"/>
        <v>0</v>
      </c>
    </row>
    <row r="213" spans="1:13" x14ac:dyDescent="0.25">
      <c r="A213" s="106"/>
      <c r="G213" s="74"/>
      <c r="H213" s="88">
        <v>208</v>
      </c>
      <c r="I213" s="89" t="str">
        <f t="shared" si="15"/>
        <v/>
      </c>
      <c r="J213" s="89">
        <f t="shared" si="18"/>
        <v>-3</v>
      </c>
      <c r="K213" s="88">
        <f t="shared" si="16"/>
        <v>-30</v>
      </c>
      <c r="L213" s="88"/>
      <c r="M213" s="90">
        <f t="shared" si="17"/>
        <v>0</v>
      </c>
    </row>
    <row r="214" spans="1:13" x14ac:dyDescent="0.25">
      <c r="A214" s="106"/>
      <c r="G214" s="74"/>
      <c r="H214" s="88">
        <v>209</v>
      </c>
      <c r="I214" s="89" t="str">
        <f t="shared" si="15"/>
        <v/>
      </c>
      <c r="J214" s="89">
        <f t="shared" si="18"/>
        <v>-3</v>
      </c>
      <c r="K214" s="88">
        <f t="shared" si="16"/>
        <v>-30</v>
      </c>
      <c r="L214" s="88"/>
      <c r="M214" s="90">
        <f t="shared" si="17"/>
        <v>0</v>
      </c>
    </row>
    <row r="215" spans="1:13" x14ac:dyDescent="0.25">
      <c r="A215" s="106"/>
      <c r="G215" s="74"/>
      <c r="H215" s="88">
        <v>210</v>
      </c>
      <c r="I215" s="89" t="str">
        <f t="shared" si="15"/>
        <v/>
      </c>
      <c r="J215" s="89">
        <f t="shared" si="18"/>
        <v>-3</v>
      </c>
      <c r="K215" s="88">
        <f t="shared" si="16"/>
        <v>-30</v>
      </c>
      <c r="L215" s="88"/>
      <c r="M215" s="90">
        <f t="shared" si="17"/>
        <v>0</v>
      </c>
    </row>
    <row r="216" spans="1:13" x14ac:dyDescent="0.25">
      <c r="A216" s="106"/>
      <c r="G216" s="74"/>
      <c r="H216" s="88">
        <v>211</v>
      </c>
      <c r="I216" s="89" t="str">
        <f t="shared" si="15"/>
        <v/>
      </c>
      <c r="J216" s="89">
        <f t="shared" si="18"/>
        <v>-3</v>
      </c>
      <c r="K216" s="88">
        <f t="shared" si="16"/>
        <v>-30</v>
      </c>
      <c r="L216" s="88"/>
      <c r="M216" s="90">
        <f t="shared" si="17"/>
        <v>0</v>
      </c>
    </row>
    <row r="217" spans="1:13" x14ac:dyDescent="0.25">
      <c r="A217" s="106"/>
      <c r="G217" s="74"/>
      <c r="H217" s="88">
        <v>212</v>
      </c>
      <c r="I217" s="89" t="str">
        <f t="shared" si="15"/>
        <v/>
      </c>
      <c r="J217" s="89">
        <f t="shared" si="18"/>
        <v>-3</v>
      </c>
      <c r="K217" s="88">
        <f t="shared" si="16"/>
        <v>-30</v>
      </c>
      <c r="L217" s="88"/>
      <c r="M217" s="90">
        <f t="shared" si="17"/>
        <v>0</v>
      </c>
    </row>
    <row r="218" spans="1:13" x14ac:dyDescent="0.25">
      <c r="A218" s="106"/>
      <c r="G218" s="74"/>
      <c r="H218" s="88">
        <v>213</v>
      </c>
      <c r="I218" s="89" t="str">
        <f t="shared" si="15"/>
        <v/>
      </c>
      <c r="J218" s="89">
        <f t="shared" si="18"/>
        <v>-3</v>
      </c>
      <c r="K218" s="88">
        <f t="shared" si="16"/>
        <v>-30</v>
      </c>
      <c r="L218" s="88"/>
      <c r="M218" s="90">
        <f t="shared" si="17"/>
        <v>0</v>
      </c>
    </row>
    <row r="219" spans="1:13" x14ac:dyDescent="0.25">
      <c r="A219" s="106"/>
      <c r="G219" s="74"/>
      <c r="H219" s="88">
        <v>214</v>
      </c>
      <c r="I219" s="89" t="str">
        <f t="shared" si="15"/>
        <v/>
      </c>
      <c r="J219" s="89">
        <f t="shared" si="18"/>
        <v>-3</v>
      </c>
      <c r="K219" s="88">
        <f t="shared" si="16"/>
        <v>-30</v>
      </c>
      <c r="L219" s="88"/>
      <c r="M219" s="90">
        <f t="shared" si="17"/>
        <v>0</v>
      </c>
    </row>
    <row r="220" spans="1:13" x14ac:dyDescent="0.25">
      <c r="A220" s="106"/>
      <c r="G220" s="74"/>
      <c r="H220" s="88">
        <v>215</v>
      </c>
      <c r="I220" s="89" t="str">
        <f t="shared" si="15"/>
        <v/>
      </c>
      <c r="J220" s="89">
        <f t="shared" si="18"/>
        <v>-3</v>
      </c>
      <c r="K220" s="88">
        <f t="shared" si="16"/>
        <v>-30</v>
      </c>
      <c r="L220" s="88"/>
      <c r="M220" s="90">
        <f t="shared" si="17"/>
        <v>0</v>
      </c>
    </row>
    <row r="221" spans="1:13" x14ac:dyDescent="0.25">
      <c r="A221" s="106"/>
      <c r="G221" s="74"/>
      <c r="H221" s="88">
        <v>216</v>
      </c>
      <c r="I221" s="89" t="str">
        <f t="shared" si="15"/>
        <v/>
      </c>
      <c r="J221" s="89">
        <f t="shared" si="18"/>
        <v>-3</v>
      </c>
      <c r="K221" s="88">
        <f t="shared" si="16"/>
        <v>-30</v>
      </c>
      <c r="L221" s="88"/>
      <c r="M221" s="90">
        <f t="shared" si="17"/>
        <v>0</v>
      </c>
    </row>
    <row r="222" spans="1:13" x14ac:dyDescent="0.25">
      <c r="A222" s="106"/>
      <c r="G222" s="74"/>
      <c r="H222" s="88">
        <v>217</v>
      </c>
      <c r="I222" s="89" t="str">
        <f t="shared" si="15"/>
        <v/>
      </c>
      <c r="J222" s="89">
        <f t="shared" si="18"/>
        <v>-3</v>
      </c>
      <c r="K222" s="88">
        <f t="shared" si="16"/>
        <v>-30</v>
      </c>
      <c r="L222" s="88"/>
      <c r="M222" s="90">
        <f t="shared" si="17"/>
        <v>0</v>
      </c>
    </row>
    <row r="223" spans="1:13" x14ac:dyDescent="0.25">
      <c r="A223" s="106"/>
      <c r="G223" s="74"/>
      <c r="H223" s="88">
        <v>218</v>
      </c>
      <c r="I223" s="89" t="str">
        <f t="shared" si="15"/>
        <v/>
      </c>
      <c r="J223" s="89">
        <f t="shared" si="18"/>
        <v>-3</v>
      </c>
      <c r="K223" s="88">
        <f t="shared" si="16"/>
        <v>-30</v>
      </c>
      <c r="L223" s="88"/>
      <c r="M223" s="90">
        <f t="shared" si="17"/>
        <v>0</v>
      </c>
    </row>
    <row r="224" spans="1:13" x14ac:dyDescent="0.25">
      <c r="A224" s="106"/>
      <c r="G224" s="74"/>
      <c r="H224" s="88">
        <v>219</v>
      </c>
      <c r="I224" s="89" t="str">
        <f t="shared" si="15"/>
        <v/>
      </c>
      <c r="J224" s="89">
        <f t="shared" si="18"/>
        <v>-3</v>
      </c>
      <c r="K224" s="88">
        <f t="shared" si="16"/>
        <v>-30</v>
      </c>
      <c r="L224" s="88"/>
      <c r="M224" s="90">
        <f t="shared" si="17"/>
        <v>0</v>
      </c>
    </row>
    <row r="225" spans="1:13" x14ac:dyDescent="0.25">
      <c r="A225" s="106"/>
      <c r="G225" s="74"/>
      <c r="H225" s="88">
        <v>220</v>
      </c>
      <c r="I225" s="89" t="str">
        <f t="shared" si="15"/>
        <v/>
      </c>
      <c r="J225" s="89">
        <f t="shared" si="18"/>
        <v>-3</v>
      </c>
      <c r="K225" s="88">
        <f t="shared" si="16"/>
        <v>-30</v>
      </c>
      <c r="L225" s="88"/>
      <c r="M225" s="90">
        <f t="shared" si="17"/>
        <v>0</v>
      </c>
    </row>
    <row r="226" spans="1:13" x14ac:dyDescent="0.25">
      <c r="A226" s="106"/>
      <c r="G226" s="74"/>
      <c r="H226" s="88">
        <v>221</v>
      </c>
      <c r="I226" s="89" t="str">
        <f t="shared" si="15"/>
        <v/>
      </c>
      <c r="J226" s="89">
        <f t="shared" si="18"/>
        <v>-3</v>
      </c>
      <c r="K226" s="88">
        <f t="shared" si="16"/>
        <v>-30</v>
      </c>
      <c r="L226" s="88"/>
      <c r="M226" s="90">
        <f t="shared" si="17"/>
        <v>0</v>
      </c>
    </row>
    <row r="227" spans="1:13" x14ac:dyDescent="0.25">
      <c r="A227" s="106"/>
      <c r="G227" s="74"/>
      <c r="H227" s="88">
        <v>222</v>
      </c>
      <c r="I227" s="89" t="str">
        <f t="shared" si="15"/>
        <v/>
      </c>
      <c r="J227" s="89">
        <f t="shared" si="18"/>
        <v>-3</v>
      </c>
      <c r="K227" s="88">
        <f t="shared" si="16"/>
        <v>-30</v>
      </c>
      <c r="L227" s="88"/>
      <c r="M227" s="90">
        <f t="shared" si="17"/>
        <v>0</v>
      </c>
    </row>
    <row r="228" spans="1:13" x14ac:dyDescent="0.25">
      <c r="A228" s="106"/>
      <c r="G228" s="74"/>
      <c r="H228" s="88">
        <v>223</v>
      </c>
      <c r="I228" s="89" t="str">
        <f t="shared" si="15"/>
        <v/>
      </c>
      <c r="J228" s="89">
        <f t="shared" si="18"/>
        <v>-3</v>
      </c>
      <c r="K228" s="88">
        <f t="shared" si="16"/>
        <v>-30</v>
      </c>
      <c r="L228" s="88"/>
      <c r="M228" s="90">
        <f t="shared" si="17"/>
        <v>0</v>
      </c>
    </row>
    <row r="229" spans="1:13" x14ac:dyDescent="0.25">
      <c r="A229" s="106"/>
      <c r="G229" s="74"/>
      <c r="H229" s="88">
        <v>224</v>
      </c>
      <c r="I229" s="89" t="str">
        <f t="shared" si="15"/>
        <v/>
      </c>
      <c r="J229" s="89">
        <f t="shared" si="18"/>
        <v>-3</v>
      </c>
      <c r="K229" s="88">
        <f t="shared" si="16"/>
        <v>-30</v>
      </c>
      <c r="L229" s="88"/>
      <c r="M229" s="90">
        <f t="shared" si="17"/>
        <v>0</v>
      </c>
    </row>
    <row r="230" spans="1:13" x14ac:dyDescent="0.25">
      <c r="A230" s="106"/>
      <c r="G230" s="74"/>
      <c r="H230" s="88">
        <v>225</v>
      </c>
      <c r="I230" s="89" t="str">
        <f t="shared" si="15"/>
        <v/>
      </c>
      <c r="J230" s="89">
        <f t="shared" si="18"/>
        <v>-3</v>
      </c>
      <c r="K230" s="88">
        <f t="shared" si="16"/>
        <v>-30</v>
      </c>
      <c r="L230" s="88"/>
      <c r="M230" s="90">
        <f t="shared" si="17"/>
        <v>0</v>
      </c>
    </row>
    <row r="231" spans="1:13" x14ac:dyDescent="0.25">
      <c r="A231" s="106"/>
      <c r="G231" s="74"/>
      <c r="H231" s="88">
        <v>226</v>
      </c>
      <c r="I231" s="89" t="str">
        <f t="shared" si="15"/>
        <v/>
      </c>
      <c r="J231" s="89">
        <f t="shared" si="18"/>
        <v>-3</v>
      </c>
      <c r="K231" s="88">
        <f t="shared" si="16"/>
        <v>-30</v>
      </c>
      <c r="L231" s="88"/>
      <c r="M231" s="90">
        <f t="shared" si="17"/>
        <v>0</v>
      </c>
    </row>
    <row r="232" spans="1:13" x14ac:dyDescent="0.25">
      <c r="A232" s="106"/>
      <c r="G232" s="74"/>
      <c r="H232" s="88">
        <v>227</v>
      </c>
      <c r="I232" s="89" t="str">
        <f t="shared" si="15"/>
        <v/>
      </c>
      <c r="J232" s="89">
        <f t="shared" si="18"/>
        <v>-3</v>
      </c>
      <c r="K232" s="88">
        <f t="shared" si="16"/>
        <v>-30</v>
      </c>
      <c r="L232" s="88"/>
      <c r="M232" s="90">
        <f t="shared" si="17"/>
        <v>0</v>
      </c>
    </row>
    <row r="233" spans="1:13" x14ac:dyDescent="0.25">
      <c r="A233" s="106"/>
      <c r="G233" s="74"/>
      <c r="H233" s="88">
        <v>228</v>
      </c>
      <c r="I233" s="89" t="str">
        <f t="shared" si="15"/>
        <v/>
      </c>
      <c r="J233" s="89">
        <f t="shared" si="18"/>
        <v>-3</v>
      </c>
      <c r="K233" s="88">
        <f t="shared" si="16"/>
        <v>-30</v>
      </c>
      <c r="L233" s="88"/>
      <c r="M233" s="90">
        <f t="shared" si="17"/>
        <v>0</v>
      </c>
    </row>
    <row r="234" spans="1:13" x14ac:dyDescent="0.25">
      <c r="A234" s="106"/>
      <c r="G234" s="74"/>
      <c r="H234" s="88">
        <v>229</v>
      </c>
      <c r="I234" s="89" t="str">
        <f t="shared" si="15"/>
        <v/>
      </c>
      <c r="J234" s="89">
        <f t="shared" si="18"/>
        <v>-3</v>
      </c>
      <c r="K234" s="88">
        <f t="shared" si="16"/>
        <v>-30</v>
      </c>
      <c r="L234" s="88"/>
      <c r="M234" s="90">
        <f t="shared" si="17"/>
        <v>0</v>
      </c>
    </row>
    <row r="235" spans="1:13" x14ac:dyDescent="0.25">
      <c r="A235" s="106"/>
      <c r="G235" s="74"/>
      <c r="H235" s="88">
        <v>230</v>
      </c>
      <c r="I235" s="89" t="str">
        <f t="shared" si="15"/>
        <v/>
      </c>
      <c r="J235" s="89">
        <f t="shared" si="18"/>
        <v>-3</v>
      </c>
      <c r="K235" s="88">
        <f t="shared" si="16"/>
        <v>-30</v>
      </c>
      <c r="L235" s="88"/>
      <c r="M235" s="90">
        <f t="shared" si="17"/>
        <v>0</v>
      </c>
    </row>
    <row r="236" spans="1:13" x14ac:dyDescent="0.25">
      <c r="A236" s="106"/>
      <c r="G236" s="74"/>
      <c r="H236" s="88">
        <v>231</v>
      </c>
      <c r="I236" s="89" t="str">
        <f t="shared" si="15"/>
        <v/>
      </c>
      <c r="J236" s="89">
        <f t="shared" si="18"/>
        <v>-3</v>
      </c>
      <c r="K236" s="88">
        <f t="shared" si="16"/>
        <v>-30</v>
      </c>
      <c r="L236" s="88"/>
      <c r="M236" s="90">
        <f t="shared" si="17"/>
        <v>0</v>
      </c>
    </row>
    <row r="237" spans="1:13" x14ac:dyDescent="0.25">
      <c r="A237" s="106"/>
      <c r="G237" s="74"/>
      <c r="H237" s="88">
        <v>232</v>
      </c>
      <c r="I237" s="89" t="str">
        <f t="shared" si="15"/>
        <v/>
      </c>
      <c r="J237" s="89">
        <f t="shared" si="18"/>
        <v>-3</v>
      </c>
      <c r="K237" s="88">
        <f t="shared" si="16"/>
        <v>-30</v>
      </c>
      <c r="L237" s="88"/>
      <c r="M237" s="90">
        <f t="shared" si="17"/>
        <v>0</v>
      </c>
    </row>
    <row r="238" spans="1:13" x14ac:dyDescent="0.25">
      <c r="A238" s="106"/>
      <c r="G238" s="74"/>
      <c r="H238" s="88">
        <v>233</v>
      </c>
      <c r="I238" s="89" t="str">
        <f t="shared" si="15"/>
        <v/>
      </c>
      <c r="J238" s="89">
        <f t="shared" si="18"/>
        <v>-3</v>
      </c>
      <c r="K238" s="88">
        <f t="shared" si="16"/>
        <v>-30</v>
      </c>
      <c r="L238" s="88"/>
      <c r="M238" s="90">
        <f t="shared" si="17"/>
        <v>0</v>
      </c>
    </row>
    <row r="239" spans="1:13" x14ac:dyDescent="0.25">
      <c r="A239" s="106"/>
      <c r="G239" s="74"/>
      <c r="H239" s="88">
        <v>234</v>
      </c>
      <c r="I239" s="89" t="str">
        <f t="shared" si="15"/>
        <v/>
      </c>
      <c r="J239" s="89">
        <f t="shared" si="18"/>
        <v>-3</v>
      </c>
      <c r="K239" s="88">
        <f t="shared" si="16"/>
        <v>-30</v>
      </c>
      <c r="L239" s="88"/>
      <c r="M239" s="90">
        <f t="shared" si="17"/>
        <v>0</v>
      </c>
    </row>
    <row r="240" spans="1:13" x14ac:dyDescent="0.25">
      <c r="A240" s="106"/>
      <c r="G240" s="74"/>
      <c r="H240" s="88">
        <v>235</v>
      </c>
      <c r="I240" s="89" t="str">
        <f t="shared" si="15"/>
        <v/>
      </c>
      <c r="J240" s="89">
        <f t="shared" si="18"/>
        <v>-3</v>
      </c>
      <c r="K240" s="88">
        <f t="shared" si="16"/>
        <v>-30</v>
      </c>
      <c r="L240" s="88"/>
      <c r="M240" s="90">
        <f t="shared" si="17"/>
        <v>0</v>
      </c>
    </row>
    <row r="241" spans="1:13" x14ac:dyDescent="0.25">
      <c r="A241" s="106"/>
      <c r="G241" s="74"/>
      <c r="H241" s="88">
        <v>236</v>
      </c>
      <c r="I241" s="89" t="str">
        <f t="shared" si="15"/>
        <v/>
      </c>
      <c r="J241" s="89">
        <f t="shared" si="18"/>
        <v>-3</v>
      </c>
      <c r="K241" s="88">
        <f t="shared" si="16"/>
        <v>-30</v>
      </c>
      <c r="L241" s="88"/>
      <c r="M241" s="90">
        <f t="shared" si="17"/>
        <v>0</v>
      </c>
    </row>
    <row r="242" spans="1:13" x14ac:dyDescent="0.25">
      <c r="A242" s="106"/>
      <c r="G242" s="74"/>
      <c r="H242" s="88">
        <v>237</v>
      </c>
      <c r="I242" s="89" t="str">
        <f t="shared" si="15"/>
        <v/>
      </c>
      <c r="J242" s="89">
        <f t="shared" si="18"/>
        <v>-3</v>
      </c>
      <c r="K242" s="88">
        <f t="shared" si="16"/>
        <v>-30</v>
      </c>
      <c r="L242" s="88"/>
      <c r="M242" s="90">
        <f t="shared" si="17"/>
        <v>0</v>
      </c>
    </row>
    <row r="243" spans="1:13" x14ac:dyDescent="0.25">
      <c r="A243" s="106"/>
      <c r="G243" s="74"/>
      <c r="H243" s="88">
        <v>238</v>
      </c>
      <c r="I243" s="89" t="str">
        <f t="shared" si="15"/>
        <v/>
      </c>
      <c r="J243" s="89">
        <f t="shared" si="18"/>
        <v>-3</v>
      </c>
      <c r="K243" s="88">
        <f t="shared" si="16"/>
        <v>-30</v>
      </c>
      <c r="L243" s="88"/>
      <c r="M243" s="90">
        <f t="shared" si="17"/>
        <v>0</v>
      </c>
    </row>
    <row r="244" spans="1:13" x14ac:dyDescent="0.25">
      <c r="A244" s="106"/>
      <c r="G244" s="74"/>
      <c r="H244" s="88">
        <v>239</v>
      </c>
      <c r="I244" s="89" t="str">
        <f t="shared" si="15"/>
        <v/>
      </c>
      <c r="J244" s="89">
        <f t="shared" si="18"/>
        <v>-3</v>
      </c>
      <c r="K244" s="88">
        <f t="shared" si="16"/>
        <v>-30</v>
      </c>
      <c r="L244" s="88"/>
      <c r="M244" s="90">
        <f t="shared" si="17"/>
        <v>0</v>
      </c>
    </row>
    <row r="245" spans="1:13" x14ac:dyDescent="0.25">
      <c r="A245" s="106"/>
      <c r="G245" s="74"/>
      <c r="H245" s="88">
        <v>240</v>
      </c>
      <c r="I245" s="89" t="str">
        <f t="shared" si="15"/>
        <v/>
      </c>
      <c r="J245" s="89">
        <f t="shared" si="18"/>
        <v>-3</v>
      </c>
      <c r="K245" s="88">
        <f t="shared" si="16"/>
        <v>-30</v>
      </c>
      <c r="L245" s="88"/>
      <c r="M245" s="90">
        <f t="shared" si="17"/>
        <v>0</v>
      </c>
    </row>
    <row r="246" spans="1:13" x14ac:dyDescent="0.25">
      <c r="A246" s="106"/>
      <c r="G246" s="74"/>
      <c r="H246" s="88">
        <v>241</v>
      </c>
      <c r="I246" s="89" t="str">
        <f t="shared" si="15"/>
        <v/>
      </c>
      <c r="J246" s="89">
        <f t="shared" si="18"/>
        <v>-3</v>
      </c>
      <c r="K246" s="88">
        <f t="shared" si="16"/>
        <v>-30</v>
      </c>
      <c r="L246" s="88"/>
      <c r="M246" s="90">
        <f t="shared" si="17"/>
        <v>0</v>
      </c>
    </row>
    <row r="247" spans="1:13" x14ac:dyDescent="0.25">
      <c r="A247" s="106"/>
      <c r="G247" s="74"/>
      <c r="H247" s="88">
        <v>242</v>
      </c>
      <c r="I247" s="89" t="str">
        <f t="shared" si="15"/>
        <v/>
      </c>
      <c r="J247" s="89">
        <f t="shared" si="18"/>
        <v>-3</v>
      </c>
      <c r="K247" s="88">
        <f t="shared" si="16"/>
        <v>-30</v>
      </c>
      <c r="L247" s="88"/>
      <c r="M247" s="90">
        <f t="shared" si="17"/>
        <v>0</v>
      </c>
    </row>
    <row r="248" spans="1:13" x14ac:dyDescent="0.25">
      <c r="A248" s="106"/>
      <c r="G248" s="74"/>
      <c r="H248" s="88">
        <v>243</v>
      </c>
      <c r="I248" s="89" t="str">
        <f t="shared" si="15"/>
        <v/>
      </c>
      <c r="J248" s="89">
        <f t="shared" si="18"/>
        <v>-3</v>
      </c>
      <c r="K248" s="88">
        <f t="shared" si="16"/>
        <v>-30</v>
      </c>
      <c r="L248" s="88"/>
      <c r="M248" s="90">
        <f t="shared" si="17"/>
        <v>0</v>
      </c>
    </row>
    <row r="249" spans="1:13" x14ac:dyDescent="0.25">
      <c r="A249" s="106"/>
      <c r="G249" s="74"/>
      <c r="H249" s="88">
        <v>244</v>
      </c>
      <c r="I249" s="89" t="str">
        <f t="shared" si="15"/>
        <v/>
      </c>
      <c r="J249" s="89">
        <f t="shared" si="18"/>
        <v>-3</v>
      </c>
      <c r="K249" s="88">
        <f t="shared" si="16"/>
        <v>-30</v>
      </c>
      <c r="L249" s="88"/>
      <c r="M249" s="90">
        <f t="shared" si="17"/>
        <v>0</v>
      </c>
    </row>
    <row r="250" spans="1:13" x14ac:dyDescent="0.25">
      <c r="A250" s="106"/>
      <c r="G250" s="74"/>
      <c r="H250" s="88">
        <v>245</v>
      </c>
      <c r="I250" s="89" t="str">
        <f t="shared" si="15"/>
        <v/>
      </c>
      <c r="J250" s="89">
        <f t="shared" si="18"/>
        <v>-3</v>
      </c>
      <c r="K250" s="88">
        <f t="shared" si="16"/>
        <v>-30</v>
      </c>
      <c r="L250" s="88"/>
      <c r="M250" s="90">
        <f t="shared" si="17"/>
        <v>0</v>
      </c>
    </row>
    <row r="251" spans="1:13" x14ac:dyDescent="0.25">
      <c r="A251" s="106"/>
      <c r="G251" s="74"/>
      <c r="H251" s="88">
        <v>246</v>
      </c>
      <c r="I251" s="89" t="str">
        <f t="shared" si="15"/>
        <v/>
      </c>
      <c r="J251" s="89">
        <f t="shared" si="18"/>
        <v>-3</v>
      </c>
      <c r="K251" s="88">
        <f t="shared" si="16"/>
        <v>-30</v>
      </c>
      <c r="L251" s="88"/>
      <c r="M251" s="90">
        <f t="shared" si="17"/>
        <v>0</v>
      </c>
    </row>
    <row r="252" spans="1:13" x14ac:dyDescent="0.25">
      <c r="A252" s="106"/>
      <c r="G252" s="74"/>
      <c r="H252" s="88">
        <v>247</v>
      </c>
      <c r="I252" s="89" t="str">
        <f t="shared" si="15"/>
        <v/>
      </c>
      <c r="J252" s="89">
        <f t="shared" si="18"/>
        <v>-3</v>
      </c>
      <c r="K252" s="88">
        <f t="shared" si="16"/>
        <v>-30</v>
      </c>
      <c r="L252" s="88"/>
      <c r="M252" s="90">
        <f t="shared" si="17"/>
        <v>0</v>
      </c>
    </row>
    <row r="253" spans="1:13" x14ac:dyDescent="0.25">
      <c r="A253" s="106"/>
      <c r="G253" s="74"/>
      <c r="H253" s="88">
        <v>248</v>
      </c>
      <c r="I253" s="89" t="str">
        <f t="shared" si="15"/>
        <v/>
      </c>
      <c r="J253" s="89">
        <f t="shared" si="18"/>
        <v>-3</v>
      </c>
      <c r="K253" s="88">
        <f t="shared" si="16"/>
        <v>-30</v>
      </c>
      <c r="L253" s="88"/>
      <c r="M253" s="90">
        <f t="shared" si="17"/>
        <v>0</v>
      </c>
    </row>
    <row r="254" spans="1:13" x14ac:dyDescent="0.25">
      <c r="A254" s="106"/>
      <c r="G254" s="74"/>
      <c r="H254" s="88">
        <v>249</v>
      </c>
      <c r="I254" s="89" t="str">
        <f t="shared" si="15"/>
        <v/>
      </c>
      <c r="J254" s="89">
        <f t="shared" si="18"/>
        <v>-3</v>
      </c>
      <c r="K254" s="88">
        <f t="shared" si="16"/>
        <v>-30</v>
      </c>
      <c r="L254" s="88"/>
      <c r="M254" s="90">
        <f t="shared" si="17"/>
        <v>0</v>
      </c>
    </row>
    <row r="255" spans="1:13" x14ac:dyDescent="0.25">
      <c r="A255" s="106"/>
      <c r="G255" s="74"/>
      <c r="H255" s="88">
        <v>250</v>
      </c>
      <c r="I255" s="89" t="str">
        <f t="shared" si="15"/>
        <v/>
      </c>
      <c r="J255" s="89">
        <f t="shared" si="18"/>
        <v>-3</v>
      </c>
      <c r="K255" s="88">
        <f t="shared" si="16"/>
        <v>-30</v>
      </c>
      <c r="L255" s="88"/>
      <c r="M255" s="90">
        <f t="shared" si="17"/>
        <v>0</v>
      </c>
    </row>
    <row r="256" spans="1:13" x14ac:dyDescent="0.25">
      <c r="A256" s="106"/>
      <c r="G256" s="74"/>
      <c r="H256" s="88">
        <v>251</v>
      </c>
      <c r="I256" s="89" t="str">
        <f t="shared" si="15"/>
        <v/>
      </c>
      <c r="J256" s="89">
        <f t="shared" si="18"/>
        <v>-3</v>
      </c>
      <c r="K256" s="88">
        <f t="shared" si="16"/>
        <v>-30</v>
      </c>
      <c r="L256" s="88"/>
      <c r="M256" s="90">
        <f t="shared" si="17"/>
        <v>0</v>
      </c>
    </row>
    <row r="257" spans="1:13" x14ac:dyDescent="0.25">
      <c r="A257" s="106"/>
      <c r="G257" s="74"/>
      <c r="H257" s="88">
        <v>252</v>
      </c>
      <c r="I257" s="89" t="str">
        <f t="shared" si="15"/>
        <v/>
      </c>
      <c r="J257" s="89">
        <f t="shared" si="18"/>
        <v>-3</v>
      </c>
      <c r="K257" s="88">
        <f t="shared" si="16"/>
        <v>-30</v>
      </c>
      <c r="L257" s="88"/>
      <c r="M257" s="90">
        <f t="shared" si="17"/>
        <v>0</v>
      </c>
    </row>
    <row r="258" spans="1:13" x14ac:dyDescent="0.25">
      <c r="A258" s="106"/>
      <c r="G258" s="74"/>
      <c r="H258" s="88">
        <v>253</v>
      </c>
      <c r="I258" s="89" t="str">
        <f t="shared" si="15"/>
        <v/>
      </c>
      <c r="J258" s="89">
        <f t="shared" si="18"/>
        <v>-3</v>
      </c>
      <c r="K258" s="88">
        <f t="shared" si="16"/>
        <v>-30</v>
      </c>
      <c r="L258" s="88"/>
      <c r="M258" s="90">
        <f t="shared" si="17"/>
        <v>0</v>
      </c>
    </row>
    <row r="259" spans="1:13" x14ac:dyDescent="0.25">
      <c r="A259" s="106"/>
      <c r="G259" s="74"/>
      <c r="H259" s="88">
        <v>254</v>
      </c>
      <c r="I259" s="89" t="str">
        <f t="shared" si="15"/>
        <v/>
      </c>
      <c r="J259" s="89">
        <f t="shared" si="18"/>
        <v>-3</v>
      </c>
      <c r="K259" s="88">
        <f t="shared" si="16"/>
        <v>-30</v>
      </c>
      <c r="L259" s="88"/>
      <c r="M259" s="90">
        <f t="shared" si="17"/>
        <v>0</v>
      </c>
    </row>
    <row r="260" spans="1:13" x14ac:dyDescent="0.25">
      <c r="A260" s="106"/>
      <c r="G260" s="74"/>
      <c r="H260" s="88">
        <v>255</v>
      </c>
      <c r="I260" s="89" t="str">
        <f t="shared" si="15"/>
        <v/>
      </c>
      <c r="J260" s="89">
        <f t="shared" si="18"/>
        <v>-3</v>
      </c>
      <c r="K260" s="88">
        <f t="shared" si="16"/>
        <v>-30</v>
      </c>
      <c r="L260" s="88"/>
      <c r="M260" s="90">
        <f t="shared" si="17"/>
        <v>0</v>
      </c>
    </row>
    <row r="261" spans="1:13" x14ac:dyDescent="0.25">
      <c r="A261" s="106"/>
      <c r="G261" s="74"/>
      <c r="H261" s="88">
        <v>256</v>
      </c>
      <c r="I261" s="89" t="str">
        <f t="shared" si="15"/>
        <v/>
      </c>
      <c r="J261" s="89">
        <f t="shared" si="18"/>
        <v>-3</v>
      </c>
      <c r="K261" s="88">
        <f t="shared" si="16"/>
        <v>-30</v>
      </c>
      <c r="L261" s="88"/>
      <c r="M261" s="90">
        <f t="shared" si="17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9">IF(H262&lt;$H$2+1,($I$2-($I$2-1)*(LOG(H262)/LOG($H$2))),"")</f>
        <v/>
      </c>
      <c r="J262" s="89">
        <f t="shared" si="18"/>
        <v>-4</v>
      </c>
      <c r="K262" s="88">
        <f t="shared" ref="K262:K305" si="20">J262*$J$2</f>
        <v>-40</v>
      </c>
      <c r="L262" s="88"/>
      <c r="M262" s="90">
        <f t="shared" ref="M262:M305" si="21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9"/>
        <v/>
      </c>
      <c r="J263" s="89">
        <f t="shared" ref="J263:J305" si="22">INT(LOG($H$2,2))-ROUNDUP(LOG(H263,2),0)+IF(OR($H$2=1,$H$2=2,$H$2=4,$H$2=8,$H$2=16,$H$2=32,$H$2=64,$H$2=128,$H$2=256),0,1)</f>
        <v>-4</v>
      </c>
      <c r="K263" s="88">
        <f t="shared" si="20"/>
        <v>-40</v>
      </c>
      <c r="L263" s="88"/>
      <c r="M263" s="90">
        <f t="shared" si="21"/>
        <v>0</v>
      </c>
    </row>
    <row r="264" spans="1:13" x14ac:dyDescent="0.25">
      <c r="A264" s="106"/>
      <c r="G264" s="74"/>
      <c r="H264" s="88">
        <v>259</v>
      </c>
      <c r="I264" s="89" t="str">
        <f t="shared" si="19"/>
        <v/>
      </c>
      <c r="J264" s="89">
        <f t="shared" si="22"/>
        <v>-4</v>
      </c>
      <c r="K264" s="88">
        <f t="shared" si="20"/>
        <v>-40</v>
      </c>
      <c r="L264" s="88"/>
      <c r="M264" s="90">
        <f t="shared" si="21"/>
        <v>0</v>
      </c>
    </row>
    <row r="265" spans="1:13" x14ac:dyDescent="0.25">
      <c r="A265" s="106"/>
      <c r="G265" s="74"/>
      <c r="H265" s="88">
        <v>260</v>
      </c>
      <c r="I265" s="89" t="str">
        <f t="shared" si="19"/>
        <v/>
      </c>
      <c r="J265" s="89">
        <f t="shared" si="22"/>
        <v>-4</v>
      </c>
      <c r="K265" s="88">
        <f t="shared" si="20"/>
        <v>-40</v>
      </c>
      <c r="L265" s="88"/>
      <c r="M265" s="90">
        <f t="shared" si="21"/>
        <v>0</v>
      </c>
    </row>
    <row r="266" spans="1:13" x14ac:dyDescent="0.25">
      <c r="A266" s="106"/>
      <c r="G266" s="74"/>
      <c r="H266" s="88">
        <v>261</v>
      </c>
      <c r="I266" s="89" t="str">
        <f t="shared" si="19"/>
        <v/>
      </c>
      <c r="J266" s="89">
        <f t="shared" si="22"/>
        <v>-4</v>
      </c>
      <c r="K266" s="88">
        <f t="shared" si="20"/>
        <v>-40</v>
      </c>
      <c r="L266" s="88"/>
      <c r="M266" s="90">
        <f t="shared" si="21"/>
        <v>0</v>
      </c>
    </row>
    <row r="267" spans="1:13" x14ac:dyDescent="0.25">
      <c r="A267" s="106"/>
      <c r="G267" s="74"/>
      <c r="H267" s="88">
        <v>262</v>
      </c>
      <c r="I267" s="89" t="str">
        <f t="shared" si="19"/>
        <v/>
      </c>
      <c r="J267" s="89">
        <f t="shared" si="22"/>
        <v>-4</v>
      </c>
      <c r="K267" s="88">
        <f t="shared" si="20"/>
        <v>-40</v>
      </c>
      <c r="L267" s="88"/>
      <c r="M267" s="90">
        <f t="shared" si="21"/>
        <v>0</v>
      </c>
    </row>
    <row r="268" spans="1:13" x14ac:dyDescent="0.25">
      <c r="A268" s="106"/>
      <c r="G268" s="74"/>
      <c r="H268" s="88">
        <v>263</v>
      </c>
      <c r="I268" s="89" t="str">
        <f t="shared" si="19"/>
        <v/>
      </c>
      <c r="J268" s="89">
        <f t="shared" si="22"/>
        <v>-4</v>
      </c>
      <c r="K268" s="88">
        <f t="shared" si="20"/>
        <v>-40</v>
      </c>
      <c r="L268" s="88"/>
      <c r="M268" s="90">
        <f t="shared" si="21"/>
        <v>0</v>
      </c>
    </row>
    <row r="269" spans="1:13" x14ac:dyDescent="0.25">
      <c r="A269" s="106"/>
      <c r="G269" s="74"/>
      <c r="H269" s="88">
        <v>264</v>
      </c>
      <c r="I269" s="89" t="str">
        <f t="shared" si="19"/>
        <v/>
      </c>
      <c r="J269" s="89">
        <f t="shared" si="22"/>
        <v>-4</v>
      </c>
      <c r="K269" s="88">
        <f t="shared" si="20"/>
        <v>-40</v>
      </c>
      <c r="L269" s="88"/>
      <c r="M269" s="90">
        <f t="shared" si="21"/>
        <v>0</v>
      </c>
    </row>
    <row r="270" spans="1:13" x14ac:dyDescent="0.25">
      <c r="A270" s="106"/>
      <c r="G270" s="74"/>
      <c r="H270" s="88">
        <v>265</v>
      </c>
      <c r="I270" s="89" t="str">
        <f t="shared" si="19"/>
        <v/>
      </c>
      <c r="J270" s="89">
        <f t="shared" si="22"/>
        <v>-4</v>
      </c>
      <c r="K270" s="88">
        <f t="shared" si="20"/>
        <v>-40</v>
      </c>
      <c r="L270" s="88"/>
      <c r="M270" s="90">
        <f t="shared" si="21"/>
        <v>0</v>
      </c>
    </row>
    <row r="271" spans="1:13" x14ac:dyDescent="0.25">
      <c r="A271" s="106"/>
      <c r="G271" s="74"/>
      <c r="H271" s="88">
        <v>266</v>
      </c>
      <c r="I271" s="89" t="str">
        <f t="shared" si="19"/>
        <v/>
      </c>
      <c r="J271" s="89">
        <f t="shared" si="22"/>
        <v>-4</v>
      </c>
      <c r="K271" s="88">
        <f t="shared" si="20"/>
        <v>-40</v>
      </c>
      <c r="L271" s="88"/>
      <c r="M271" s="90">
        <f t="shared" si="21"/>
        <v>0</v>
      </c>
    </row>
    <row r="272" spans="1:13" x14ac:dyDescent="0.25">
      <c r="A272" s="106"/>
      <c r="G272" s="74"/>
      <c r="H272" s="88">
        <v>267</v>
      </c>
      <c r="I272" s="89" t="str">
        <f t="shared" si="19"/>
        <v/>
      </c>
      <c r="J272" s="89">
        <f t="shared" si="22"/>
        <v>-4</v>
      </c>
      <c r="K272" s="88">
        <f t="shared" si="20"/>
        <v>-40</v>
      </c>
      <c r="L272" s="88"/>
      <c r="M272" s="90">
        <f t="shared" si="21"/>
        <v>0</v>
      </c>
    </row>
    <row r="273" spans="1:13" x14ac:dyDescent="0.25">
      <c r="A273" s="106"/>
      <c r="G273" s="74"/>
      <c r="H273" s="88">
        <v>268</v>
      </c>
      <c r="I273" s="89" t="str">
        <f t="shared" si="19"/>
        <v/>
      </c>
      <c r="J273" s="89">
        <f t="shared" si="22"/>
        <v>-4</v>
      </c>
      <c r="K273" s="88">
        <f t="shared" si="20"/>
        <v>-40</v>
      </c>
      <c r="L273" s="88"/>
      <c r="M273" s="90">
        <f t="shared" si="21"/>
        <v>0</v>
      </c>
    </row>
    <row r="274" spans="1:13" x14ac:dyDescent="0.25">
      <c r="A274" s="106"/>
      <c r="G274" s="74"/>
      <c r="H274" s="88">
        <v>269</v>
      </c>
      <c r="I274" s="89" t="str">
        <f t="shared" si="19"/>
        <v/>
      </c>
      <c r="J274" s="89">
        <f t="shared" si="22"/>
        <v>-4</v>
      </c>
      <c r="K274" s="88">
        <f t="shared" si="20"/>
        <v>-40</v>
      </c>
      <c r="L274" s="88"/>
      <c r="M274" s="90">
        <f t="shared" si="21"/>
        <v>0</v>
      </c>
    </row>
    <row r="275" spans="1:13" x14ac:dyDescent="0.25">
      <c r="A275" s="106"/>
      <c r="G275" s="74"/>
      <c r="H275" s="88">
        <v>270</v>
      </c>
      <c r="I275" s="89" t="str">
        <f t="shared" si="19"/>
        <v/>
      </c>
      <c r="J275" s="89">
        <f t="shared" si="22"/>
        <v>-4</v>
      </c>
      <c r="K275" s="88">
        <f t="shared" si="20"/>
        <v>-40</v>
      </c>
      <c r="L275" s="88"/>
      <c r="M275" s="90">
        <f t="shared" si="21"/>
        <v>0</v>
      </c>
    </row>
    <row r="276" spans="1:13" x14ac:dyDescent="0.25">
      <c r="A276" s="106"/>
      <c r="G276" s="74"/>
      <c r="H276" s="88">
        <v>271</v>
      </c>
      <c r="I276" s="89" t="str">
        <f t="shared" si="19"/>
        <v/>
      </c>
      <c r="J276" s="89">
        <f t="shared" si="22"/>
        <v>-4</v>
      </c>
      <c r="K276" s="88">
        <f t="shared" si="20"/>
        <v>-40</v>
      </c>
      <c r="L276" s="88"/>
      <c r="M276" s="90">
        <f t="shared" si="21"/>
        <v>0</v>
      </c>
    </row>
    <row r="277" spans="1:13" x14ac:dyDescent="0.25">
      <c r="A277" s="106"/>
      <c r="G277" s="74"/>
      <c r="H277" s="88">
        <v>272</v>
      </c>
      <c r="I277" s="89" t="str">
        <f t="shared" si="19"/>
        <v/>
      </c>
      <c r="J277" s="89">
        <f t="shared" si="22"/>
        <v>-4</v>
      </c>
      <c r="K277" s="88">
        <f t="shared" si="20"/>
        <v>-40</v>
      </c>
      <c r="L277" s="88"/>
      <c r="M277" s="90">
        <f t="shared" si="21"/>
        <v>0</v>
      </c>
    </row>
    <row r="278" spans="1:13" x14ac:dyDescent="0.25">
      <c r="A278" s="106"/>
      <c r="G278" s="74"/>
      <c r="H278" s="88">
        <v>273</v>
      </c>
      <c r="I278" s="89" t="str">
        <f t="shared" si="19"/>
        <v/>
      </c>
      <c r="J278" s="89">
        <f t="shared" si="22"/>
        <v>-4</v>
      </c>
      <c r="K278" s="88">
        <f t="shared" si="20"/>
        <v>-40</v>
      </c>
      <c r="L278" s="88"/>
      <c r="M278" s="90">
        <f t="shared" si="21"/>
        <v>0</v>
      </c>
    </row>
    <row r="279" spans="1:13" x14ac:dyDescent="0.25">
      <c r="A279" s="106"/>
      <c r="G279" s="74"/>
      <c r="H279" s="88">
        <v>274</v>
      </c>
      <c r="I279" s="89" t="str">
        <f t="shared" si="19"/>
        <v/>
      </c>
      <c r="J279" s="89">
        <f t="shared" si="22"/>
        <v>-4</v>
      </c>
      <c r="K279" s="88">
        <f t="shared" si="20"/>
        <v>-40</v>
      </c>
      <c r="L279" s="88"/>
      <c r="M279" s="90">
        <f t="shared" si="21"/>
        <v>0</v>
      </c>
    </row>
    <row r="280" spans="1:13" x14ac:dyDescent="0.25">
      <c r="A280" s="106"/>
      <c r="G280" s="74"/>
      <c r="H280" s="88">
        <v>275</v>
      </c>
      <c r="I280" s="89" t="str">
        <f t="shared" si="19"/>
        <v/>
      </c>
      <c r="J280" s="89">
        <f t="shared" si="22"/>
        <v>-4</v>
      </c>
      <c r="K280" s="88">
        <f t="shared" si="20"/>
        <v>-40</v>
      </c>
      <c r="L280" s="88"/>
      <c r="M280" s="90">
        <f t="shared" si="21"/>
        <v>0</v>
      </c>
    </row>
    <row r="281" spans="1:13" x14ac:dyDescent="0.25">
      <c r="A281" s="106"/>
      <c r="G281" s="74"/>
      <c r="H281" s="88">
        <v>276</v>
      </c>
      <c r="I281" s="89" t="str">
        <f t="shared" si="19"/>
        <v/>
      </c>
      <c r="J281" s="89">
        <f t="shared" si="22"/>
        <v>-4</v>
      </c>
      <c r="K281" s="88">
        <f t="shared" si="20"/>
        <v>-40</v>
      </c>
      <c r="L281" s="88"/>
      <c r="M281" s="90">
        <f t="shared" si="21"/>
        <v>0</v>
      </c>
    </row>
    <row r="282" spans="1:13" x14ac:dyDescent="0.25">
      <c r="A282" s="106"/>
      <c r="G282" s="74"/>
      <c r="H282" s="88">
        <v>277</v>
      </c>
      <c r="I282" s="89" t="str">
        <f t="shared" si="19"/>
        <v/>
      </c>
      <c r="J282" s="89">
        <f t="shared" si="22"/>
        <v>-4</v>
      </c>
      <c r="K282" s="88">
        <f t="shared" si="20"/>
        <v>-40</v>
      </c>
      <c r="L282" s="88"/>
      <c r="M282" s="90">
        <f t="shared" si="21"/>
        <v>0</v>
      </c>
    </row>
    <row r="283" spans="1:13" x14ac:dyDescent="0.25">
      <c r="A283" s="106"/>
      <c r="G283" s="74"/>
      <c r="H283" s="88">
        <v>278</v>
      </c>
      <c r="I283" s="89" t="str">
        <f t="shared" si="19"/>
        <v/>
      </c>
      <c r="J283" s="89">
        <f t="shared" si="22"/>
        <v>-4</v>
      </c>
      <c r="K283" s="88">
        <f t="shared" si="20"/>
        <v>-40</v>
      </c>
      <c r="L283" s="88"/>
      <c r="M283" s="90">
        <f t="shared" si="21"/>
        <v>0</v>
      </c>
    </row>
    <row r="284" spans="1:13" x14ac:dyDescent="0.25">
      <c r="A284" s="106"/>
      <c r="G284" s="74"/>
      <c r="H284" s="88">
        <v>279</v>
      </c>
      <c r="I284" s="89" t="str">
        <f t="shared" si="19"/>
        <v/>
      </c>
      <c r="J284" s="89">
        <f t="shared" si="22"/>
        <v>-4</v>
      </c>
      <c r="K284" s="88">
        <f t="shared" si="20"/>
        <v>-40</v>
      </c>
      <c r="L284" s="88"/>
      <c r="M284" s="90">
        <f t="shared" si="21"/>
        <v>0</v>
      </c>
    </row>
    <row r="285" spans="1:13" x14ac:dyDescent="0.25">
      <c r="A285" s="106"/>
      <c r="G285" s="74"/>
      <c r="H285" s="88">
        <v>280</v>
      </c>
      <c r="I285" s="89" t="str">
        <f t="shared" si="19"/>
        <v/>
      </c>
      <c r="J285" s="89">
        <f t="shared" si="22"/>
        <v>-4</v>
      </c>
      <c r="K285" s="88">
        <f t="shared" si="20"/>
        <v>-40</v>
      </c>
      <c r="L285" s="88"/>
      <c r="M285" s="90">
        <f t="shared" si="21"/>
        <v>0</v>
      </c>
    </row>
    <row r="286" spans="1:13" x14ac:dyDescent="0.25">
      <c r="A286" s="106"/>
      <c r="G286" s="74"/>
      <c r="H286" s="88">
        <v>281</v>
      </c>
      <c r="I286" s="89" t="str">
        <f t="shared" si="19"/>
        <v/>
      </c>
      <c r="J286" s="89">
        <f t="shared" si="22"/>
        <v>-4</v>
      </c>
      <c r="K286" s="88">
        <f t="shared" si="20"/>
        <v>-40</v>
      </c>
      <c r="L286" s="88"/>
      <c r="M286" s="90">
        <f t="shared" si="21"/>
        <v>0</v>
      </c>
    </row>
    <row r="287" spans="1:13" x14ac:dyDescent="0.25">
      <c r="A287" s="106"/>
      <c r="G287" s="74"/>
      <c r="H287" s="88">
        <v>282</v>
      </c>
      <c r="I287" s="89" t="str">
        <f t="shared" si="19"/>
        <v/>
      </c>
      <c r="J287" s="89">
        <f t="shared" si="22"/>
        <v>-4</v>
      </c>
      <c r="K287" s="88">
        <f t="shared" si="20"/>
        <v>-40</v>
      </c>
      <c r="L287" s="88"/>
      <c r="M287" s="90">
        <f t="shared" si="21"/>
        <v>0</v>
      </c>
    </row>
    <row r="288" spans="1:13" x14ac:dyDescent="0.25">
      <c r="A288" s="106"/>
      <c r="G288" s="74"/>
      <c r="H288" s="88">
        <v>283</v>
      </c>
      <c r="I288" s="89" t="str">
        <f t="shared" si="19"/>
        <v/>
      </c>
      <c r="J288" s="89">
        <f t="shared" si="22"/>
        <v>-4</v>
      </c>
      <c r="K288" s="88">
        <f t="shared" si="20"/>
        <v>-40</v>
      </c>
      <c r="L288" s="88"/>
      <c r="M288" s="90">
        <f t="shared" si="21"/>
        <v>0</v>
      </c>
    </row>
    <row r="289" spans="1:13" x14ac:dyDescent="0.25">
      <c r="A289" s="106"/>
      <c r="G289" s="74"/>
      <c r="H289" s="88">
        <v>284</v>
      </c>
      <c r="I289" s="89" t="str">
        <f t="shared" si="19"/>
        <v/>
      </c>
      <c r="J289" s="89">
        <f t="shared" si="22"/>
        <v>-4</v>
      </c>
      <c r="K289" s="88">
        <f t="shared" si="20"/>
        <v>-40</v>
      </c>
      <c r="L289" s="88"/>
      <c r="M289" s="90">
        <f t="shared" si="21"/>
        <v>0</v>
      </c>
    </row>
    <row r="290" spans="1:13" x14ac:dyDescent="0.25">
      <c r="A290" s="106"/>
      <c r="G290" s="74"/>
      <c r="H290" s="88">
        <v>285</v>
      </c>
      <c r="I290" s="89" t="str">
        <f t="shared" si="19"/>
        <v/>
      </c>
      <c r="J290" s="89">
        <f t="shared" si="22"/>
        <v>-4</v>
      </c>
      <c r="K290" s="88">
        <f t="shared" si="20"/>
        <v>-40</v>
      </c>
      <c r="L290" s="88"/>
      <c r="M290" s="90">
        <f t="shared" si="21"/>
        <v>0</v>
      </c>
    </row>
    <row r="291" spans="1:13" x14ac:dyDescent="0.25">
      <c r="A291" s="106"/>
      <c r="G291" s="74"/>
      <c r="H291" s="88">
        <v>286</v>
      </c>
      <c r="I291" s="89" t="str">
        <f t="shared" si="19"/>
        <v/>
      </c>
      <c r="J291" s="89">
        <f t="shared" si="22"/>
        <v>-4</v>
      </c>
      <c r="K291" s="88">
        <f t="shared" si="20"/>
        <v>-40</v>
      </c>
      <c r="L291" s="88"/>
      <c r="M291" s="90">
        <f t="shared" si="21"/>
        <v>0</v>
      </c>
    </row>
    <row r="292" spans="1:13" x14ac:dyDescent="0.25">
      <c r="A292" s="106"/>
      <c r="G292" s="74"/>
      <c r="H292" s="88">
        <v>287</v>
      </c>
      <c r="I292" s="89" t="str">
        <f t="shared" si="19"/>
        <v/>
      </c>
      <c r="J292" s="89">
        <f t="shared" si="22"/>
        <v>-4</v>
      </c>
      <c r="K292" s="88">
        <f t="shared" si="20"/>
        <v>-40</v>
      </c>
      <c r="L292" s="88"/>
      <c r="M292" s="90">
        <f t="shared" si="21"/>
        <v>0</v>
      </c>
    </row>
    <row r="293" spans="1:13" x14ac:dyDescent="0.25">
      <c r="A293" s="106"/>
      <c r="G293" s="74"/>
      <c r="H293" s="88">
        <v>288</v>
      </c>
      <c r="I293" s="89" t="str">
        <f t="shared" si="19"/>
        <v/>
      </c>
      <c r="J293" s="89">
        <f t="shared" si="22"/>
        <v>-4</v>
      </c>
      <c r="K293" s="88">
        <f t="shared" si="20"/>
        <v>-40</v>
      </c>
      <c r="L293" s="88"/>
      <c r="M293" s="90">
        <f t="shared" si="21"/>
        <v>0</v>
      </c>
    </row>
    <row r="294" spans="1:13" x14ac:dyDescent="0.25">
      <c r="A294" s="106"/>
      <c r="G294" s="74"/>
      <c r="H294" s="88">
        <v>289</v>
      </c>
      <c r="I294" s="89" t="str">
        <f t="shared" si="19"/>
        <v/>
      </c>
      <c r="J294" s="89">
        <f t="shared" si="22"/>
        <v>-4</v>
      </c>
      <c r="K294" s="88">
        <f t="shared" si="20"/>
        <v>-40</v>
      </c>
      <c r="L294" s="88"/>
      <c r="M294" s="90">
        <f t="shared" si="21"/>
        <v>0</v>
      </c>
    </row>
    <row r="295" spans="1:13" x14ac:dyDescent="0.25">
      <c r="A295" s="106"/>
      <c r="G295" s="74"/>
      <c r="H295" s="88">
        <v>290</v>
      </c>
      <c r="I295" s="89" t="str">
        <f t="shared" si="19"/>
        <v/>
      </c>
      <c r="J295" s="89">
        <f t="shared" si="22"/>
        <v>-4</v>
      </c>
      <c r="K295" s="88">
        <f t="shared" si="20"/>
        <v>-40</v>
      </c>
      <c r="L295" s="88"/>
      <c r="M295" s="90">
        <f t="shared" si="21"/>
        <v>0</v>
      </c>
    </row>
    <row r="296" spans="1:13" x14ac:dyDescent="0.25">
      <c r="A296" s="106"/>
      <c r="G296" s="74"/>
      <c r="H296" s="88">
        <v>291</v>
      </c>
      <c r="I296" s="89" t="str">
        <f t="shared" si="19"/>
        <v/>
      </c>
      <c r="J296" s="89">
        <f t="shared" si="22"/>
        <v>-4</v>
      </c>
      <c r="K296" s="88">
        <f t="shared" si="20"/>
        <v>-40</v>
      </c>
      <c r="L296" s="88"/>
      <c r="M296" s="90">
        <f t="shared" si="21"/>
        <v>0</v>
      </c>
    </row>
    <row r="297" spans="1:13" x14ac:dyDescent="0.25">
      <c r="A297" s="106"/>
      <c r="G297" s="74"/>
      <c r="H297" s="88">
        <v>292</v>
      </c>
      <c r="I297" s="89" t="str">
        <f t="shared" si="19"/>
        <v/>
      </c>
      <c r="J297" s="89">
        <f t="shared" si="22"/>
        <v>-4</v>
      </c>
      <c r="K297" s="88">
        <f t="shared" si="20"/>
        <v>-40</v>
      </c>
      <c r="L297" s="88"/>
      <c r="M297" s="90">
        <f t="shared" si="21"/>
        <v>0</v>
      </c>
    </row>
    <row r="298" spans="1:13" x14ac:dyDescent="0.25">
      <c r="A298" s="106"/>
      <c r="G298" s="74"/>
      <c r="H298" s="88">
        <v>293</v>
      </c>
      <c r="I298" s="89" t="str">
        <f t="shared" si="19"/>
        <v/>
      </c>
      <c r="J298" s="89">
        <f t="shared" si="22"/>
        <v>-4</v>
      </c>
      <c r="K298" s="88">
        <f t="shared" si="20"/>
        <v>-40</v>
      </c>
      <c r="L298" s="88"/>
      <c r="M298" s="90">
        <f t="shared" si="21"/>
        <v>0</v>
      </c>
    </row>
    <row r="299" spans="1:13" x14ac:dyDescent="0.25">
      <c r="A299" s="106"/>
      <c r="G299" s="74"/>
      <c r="H299" s="88">
        <v>294</v>
      </c>
      <c r="I299" s="89" t="str">
        <f t="shared" si="19"/>
        <v/>
      </c>
      <c r="J299" s="89">
        <f t="shared" si="22"/>
        <v>-4</v>
      </c>
      <c r="K299" s="88">
        <f t="shared" si="20"/>
        <v>-40</v>
      </c>
      <c r="L299" s="88"/>
      <c r="M299" s="90">
        <f t="shared" si="21"/>
        <v>0</v>
      </c>
    </row>
    <row r="300" spans="1:13" x14ac:dyDescent="0.25">
      <c r="A300" s="106"/>
      <c r="G300" s="74"/>
      <c r="H300" s="88">
        <v>295</v>
      </c>
      <c r="I300" s="89" t="str">
        <f t="shared" si="19"/>
        <v/>
      </c>
      <c r="J300" s="89">
        <f t="shared" si="22"/>
        <v>-4</v>
      </c>
      <c r="K300" s="88">
        <f t="shared" si="20"/>
        <v>-40</v>
      </c>
      <c r="L300" s="88"/>
      <c r="M300" s="90">
        <f t="shared" si="21"/>
        <v>0</v>
      </c>
    </row>
    <row r="301" spans="1:13" x14ac:dyDescent="0.25">
      <c r="A301" s="106"/>
      <c r="G301" s="74"/>
      <c r="H301" s="88">
        <v>296</v>
      </c>
      <c r="I301" s="89" t="str">
        <f t="shared" si="19"/>
        <v/>
      </c>
      <c r="J301" s="89">
        <f t="shared" si="22"/>
        <v>-4</v>
      </c>
      <c r="K301" s="88">
        <f t="shared" si="20"/>
        <v>-40</v>
      </c>
      <c r="L301" s="88"/>
      <c r="M301" s="90">
        <f t="shared" si="21"/>
        <v>0</v>
      </c>
    </row>
    <row r="302" spans="1:13" x14ac:dyDescent="0.25">
      <c r="A302" s="106"/>
      <c r="G302" s="74"/>
      <c r="H302" s="88">
        <v>297</v>
      </c>
      <c r="I302" s="89" t="str">
        <f t="shared" si="19"/>
        <v/>
      </c>
      <c r="J302" s="89">
        <f t="shared" si="22"/>
        <v>-4</v>
      </c>
      <c r="K302" s="88">
        <f t="shared" si="20"/>
        <v>-40</v>
      </c>
      <c r="L302" s="88"/>
      <c r="M302" s="90">
        <f t="shared" si="21"/>
        <v>0</v>
      </c>
    </row>
    <row r="303" spans="1:13" x14ac:dyDescent="0.25">
      <c r="A303" s="106"/>
      <c r="G303" s="74"/>
      <c r="H303" s="88">
        <v>298</v>
      </c>
      <c r="I303" s="89" t="str">
        <f t="shared" si="19"/>
        <v/>
      </c>
      <c r="J303" s="89">
        <f t="shared" si="22"/>
        <v>-4</v>
      </c>
      <c r="K303" s="88">
        <f t="shared" si="20"/>
        <v>-40</v>
      </c>
      <c r="L303" s="88"/>
      <c r="M303" s="90">
        <f t="shared" si="21"/>
        <v>0</v>
      </c>
    </row>
    <row r="304" spans="1:13" x14ac:dyDescent="0.25">
      <c r="A304" s="106"/>
      <c r="G304" s="74"/>
      <c r="H304" s="88">
        <v>299</v>
      </c>
      <c r="I304" s="89" t="str">
        <f t="shared" si="19"/>
        <v/>
      </c>
      <c r="J304" s="89">
        <f t="shared" si="22"/>
        <v>-4</v>
      </c>
      <c r="K304" s="88">
        <f t="shared" si="20"/>
        <v>-40</v>
      </c>
      <c r="L304" s="88"/>
      <c r="M304" s="90">
        <f t="shared" si="21"/>
        <v>0</v>
      </c>
    </row>
    <row r="305" spans="1:16" x14ac:dyDescent="0.25">
      <c r="A305" s="106"/>
      <c r="G305" s="74"/>
      <c r="H305" s="88">
        <v>300</v>
      </c>
      <c r="I305" s="89" t="str">
        <f t="shared" si="19"/>
        <v/>
      </c>
      <c r="J305" s="89">
        <f t="shared" si="22"/>
        <v>-4</v>
      </c>
      <c r="K305" s="88">
        <f t="shared" si="20"/>
        <v>-40</v>
      </c>
      <c r="L305" s="88"/>
      <c r="M305" s="90">
        <f t="shared" si="21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27C40309-A469-4B4D-81A0-0A81352991C5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8690-0F7B-4961-B148-7E62C1E908A8}">
  <sheetPr>
    <tabColor rgb="FF92D050"/>
  </sheetPr>
  <dimension ref="A1:AL317"/>
  <sheetViews>
    <sheetView workbookViewId="0">
      <selection activeCell="D24" sqref="D24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24</v>
      </c>
      <c r="I1" s="157" t="s">
        <v>25</v>
      </c>
      <c r="J1" s="157" t="s">
        <v>26</v>
      </c>
      <c r="K1" s="158" t="s">
        <v>113</v>
      </c>
      <c r="L1" s="159"/>
      <c r="M1" s="159"/>
    </row>
    <row r="2" spans="1:36" x14ac:dyDescent="0.25">
      <c r="A2" s="155"/>
      <c r="B2" s="20" t="s">
        <v>28</v>
      </c>
      <c r="C2" s="202" t="s">
        <v>121</v>
      </c>
      <c r="D2" s="215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30</v>
      </c>
      <c r="C3" s="214" t="s">
        <v>122</v>
      </c>
      <c r="D3" s="214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65" t="s">
        <v>38</v>
      </c>
      <c r="I5" s="166" t="s">
        <v>39</v>
      </c>
      <c r="J5" s="166" t="s">
        <v>40</v>
      </c>
      <c r="K5" s="166" t="s">
        <v>41</v>
      </c>
      <c r="L5" s="166" t="s">
        <v>42</v>
      </c>
      <c r="M5" s="165" t="s">
        <v>43</v>
      </c>
    </row>
    <row r="6" spans="1:36" ht="14.45" customHeight="1" x14ac:dyDescent="0.25">
      <c r="A6" s="87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1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48</v>
      </c>
      <c r="AI9" s="160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50</v>
      </c>
      <c r="AI10" s="160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52</v>
      </c>
      <c r="AI11" s="160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53</v>
      </c>
      <c r="AI12" s="160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54</v>
      </c>
      <c r="AI13" s="160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55</v>
      </c>
      <c r="AI14" s="160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56</v>
      </c>
      <c r="AI16" s="160">
        <f>AI11-AI12*AI13/AI14</f>
        <v>9.6393909380186855</v>
      </c>
      <c r="AJ16" s="160" t="s">
        <v>57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1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1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1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1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1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1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1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1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1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1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1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1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1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87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48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5A5F9F1A-BD98-46D0-AE34-47BA061078F3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6236-A5A9-4DDA-89CD-D506CC1A287E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24</v>
      </c>
      <c r="I1" s="157" t="s">
        <v>25</v>
      </c>
      <c r="J1" s="157" t="s">
        <v>26</v>
      </c>
      <c r="K1" s="158" t="s">
        <v>113</v>
      </c>
      <c r="L1" s="159"/>
      <c r="M1" s="159"/>
    </row>
    <row r="2" spans="1:36" x14ac:dyDescent="0.25">
      <c r="A2" s="155"/>
      <c r="B2" s="20" t="s">
        <v>28</v>
      </c>
      <c r="C2" s="215" t="s">
        <v>123</v>
      </c>
      <c r="D2" s="213"/>
      <c r="E2" s="21"/>
      <c r="F2" s="21"/>
      <c r="G2" s="21"/>
      <c r="H2" s="161">
        <v>0</v>
      </c>
      <c r="I2" s="162">
        <v>50</v>
      </c>
      <c r="J2" s="162">
        <v>10</v>
      </c>
      <c r="K2" s="189">
        <f>3*H2^(1/3)</f>
        <v>0</v>
      </c>
      <c r="L2" s="159"/>
      <c r="M2" s="159"/>
    </row>
    <row r="3" spans="1:36" x14ac:dyDescent="0.25">
      <c r="A3" s="155"/>
      <c r="B3" s="164" t="s">
        <v>30</v>
      </c>
      <c r="C3" s="214" t="s">
        <v>124</v>
      </c>
      <c r="D3" s="214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65" t="s">
        <v>38</v>
      </c>
      <c r="I5" s="166" t="s">
        <v>39</v>
      </c>
      <c r="J5" s="191" t="s">
        <v>40</v>
      </c>
      <c r="K5" s="166" t="s">
        <v>41</v>
      </c>
      <c r="L5" s="166" t="s">
        <v>42</v>
      </c>
      <c r="M5" s="165" t="s">
        <v>43</v>
      </c>
    </row>
    <row r="6" spans="1:36" ht="14.45" customHeight="1" x14ac:dyDescent="0.25">
      <c r="A6" s="87">
        <f>M6</f>
        <v>0</v>
      </c>
      <c r="B6" s="34" t="str">
        <f>IF(H6&gt;$H$2,"",(ROW()-5))</f>
        <v/>
      </c>
      <c r="C6" s="35"/>
      <c r="D6" s="35"/>
      <c r="E6" s="35"/>
      <c r="F6" s="35" t="s">
        <v>125</v>
      </c>
      <c r="G6" s="28"/>
      <c r="H6" s="167">
        <v>1</v>
      </c>
      <c r="I6" s="168" t="str">
        <f t="shared" ref="I6:I69" si="0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1">J6*$J$2</f>
        <v>#NUM!</v>
      </c>
      <c r="L6" s="169">
        <f>3*K2</f>
        <v>0</v>
      </c>
      <c r="M6" s="169">
        <f t="shared" ref="M6:M69" si="2">IF(I6&lt;&gt;"",K6+I6+L6,0)</f>
        <v>0</v>
      </c>
    </row>
    <row r="7" spans="1:36" ht="14.45" customHeight="1" x14ac:dyDescent="0.25">
      <c r="A7" s="91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125</v>
      </c>
      <c r="G7" s="28"/>
      <c r="H7" s="170">
        <v>2</v>
      </c>
      <c r="I7" s="171" t="str">
        <f t="shared" si="0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1"/>
        <v>#NUM!</v>
      </c>
      <c r="L7" s="172">
        <f>2*K2</f>
        <v>0</v>
      </c>
      <c r="M7" s="172">
        <f t="shared" si="2"/>
        <v>0</v>
      </c>
    </row>
    <row r="8" spans="1:36" ht="14.45" customHeight="1" x14ac:dyDescent="0.25">
      <c r="A8" s="87">
        <f t="shared" si="3"/>
        <v>0</v>
      </c>
      <c r="B8" s="34" t="str">
        <f t="shared" si="4"/>
        <v/>
      </c>
      <c r="C8" s="35"/>
      <c r="D8" s="35"/>
      <c r="E8" s="35"/>
      <c r="F8" s="35" t="s">
        <v>125</v>
      </c>
      <c r="G8" s="28"/>
      <c r="H8" s="167">
        <v>3</v>
      </c>
      <c r="I8" s="168" t="str">
        <f t="shared" si="0"/>
        <v/>
      </c>
      <c r="J8" s="167" t="e">
        <f t="shared" si="5"/>
        <v>#NUM!</v>
      </c>
      <c r="K8" s="167" t="e">
        <f t="shared" si="1"/>
        <v>#NUM!</v>
      </c>
      <c r="L8" s="169">
        <f>K2</f>
        <v>0</v>
      </c>
      <c r="M8" s="169">
        <f t="shared" si="2"/>
        <v>0</v>
      </c>
    </row>
    <row r="9" spans="1:36" s="160" customFormat="1" ht="14.45" customHeight="1" x14ac:dyDescent="0.25">
      <c r="A9" s="91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0"/>
        <v/>
      </c>
      <c r="J9" s="170" t="e">
        <f t="shared" si="5"/>
        <v>#NUM!</v>
      </c>
      <c r="K9" s="170" t="e">
        <f t="shared" si="1"/>
        <v>#NUM!</v>
      </c>
      <c r="L9" s="172">
        <f>K2</f>
        <v>0</v>
      </c>
      <c r="M9" s="172">
        <f t="shared" si="2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48</v>
      </c>
      <c r="AI9" s="160">
        <v>23</v>
      </c>
    </row>
    <row r="10" spans="1:36" ht="14.45" customHeight="1" x14ac:dyDescent="0.25">
      <c r="A10" s="87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7">
        <v>5</v>
      </c>
      <c r="I10" s="168" t="str">
        <f t="shared" si="0"/>
        <v/>
      </c>
      <c r="J10" s="167" t="e">
        <f t="shared" si="5"/>
        <v>#NUM!</v>
      </c>
      <c r="K10" s="167" t="e">
        <f t="shared" si="1"/>
        <v>#NUM!</v>
      </c>
      <c r="L10" s="167"/>
      <c r="M10" s="169">
        <f t="shared" si="2"/>
        <v>0</v>
      </c>
      <c r="V10" s="173"/>
      <c r="Z10" s="174"/>
      <c r="AA10" s="174"/>
      <c r="AG10" s="175"/>
      <c r="AH10" s="160" t="s">
        <v>50</v>
      </c>
      <c r="AI10" s="160">
        <v>45</v>
      </c>
    </row>
    <row r="11" spans="1:36" ht="14.45" customHeight="1" x14ac:dyDescent="0.25">
      <c r="A11" s="91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0">
        <v>6</v>
      </c>
      <c r="I11" s="171" t="str">
        <f t="shared" si="0"/>
        <v/>
      </c>
      <c r="J11" s="170" t="e">
        <f t="shared" si="5"/>
        <v>#NUM!</v>
      </c>
      <c r="K11" s="170" t="e">
        <f t="shared" si="1"/>
        <v>#NUM!</v>
      </c>
      <c r="L11" s="170"/>
      <c r="M11" s="172">
        <f t="shared" si="2"/>
        <v>0</v>
      </c>
      <c r="V11" s="176"/>
      <c r="Z11" s="174"/>
      <c r="AA11" s="174"/>
      <c r="AG11" s="175"/>
      <c r="AH11" s="160" t="s">
        <v>52</v>
      </c>
      <c r="AI11" s="160">
        <v>50</v>
      </c>
    </row>
    <row r="12" spans="1:36" ht="14.45" customHeight="1" x14ac:dyDescent="0.25">
      <c r="A12" s="87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7">
        <v>7</v>
      </c>
      <c r="I12" s="168" t="str">
        <f t="shared" si="0"/>
        <v/>
      </c>
      <c r="J12" s="167" t="e">
        <f t="shared" si="5"/>
        <v>#NUM!</v>
      </c>
      <c r="K12" s="167" t="e">
        <f t="shared" si="1"/>
        <v>#NUM!</v>
      </c>
      <c r="L12" s="167"/>
      <c r="M12" s="169">
        <f t="shared" si="2"/>
        <v>0</v>
      </c>
      <c r="Z12" s="174"/>
      <c r="AA12" s="174"/>
      <c r="AG12" s="175"/>
      <c r="AH12" s="160" t="s">
        <v>53</v>
      </c>
      <c r="AI12" s="160">
        <f>AI11-1</f>
        <v>49</v>
      </c>
    </row>
    <row r="13" spans="1:36" ht="14.45" customHeight="1" x14ac:dyDescent="0.25">
      <c r="A13" s="91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0">
        <v>8</v>
      </c>
      <c r="I13" s="171" t="str">
        <f t="shared" si="0"/>
        <v/>
      </c>
      <c r="J13" s="170" t="e">
        <f t="shared" si="5"/>
        <v>#NUM!</v>
      </c>
      <c r="K13" s="170" t="e">
        <f t="shared" si="1"/>
        <v>#NUM!</v>
      </c>
      <c r="L13" s="170"/>
      <c r="M13" s="172">
        <f t="shared" si="2"/>
        <v>0</v>
      </c>
      <c r="X13" s="173"/>
      <c r="AG13" s="175"/>
      <c r="AH13" s="160" t="s">
        <v>54</v>
      </c>
      <c r="AI13" s="160">
        <f>LOG(AI9)</f>
        <v>1.3617278360175928</v>
      </c>
    </row>
    <row r="14" spans="1:36" x14ac:dyDescent="0.25">
      <c r="A14" s="87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7">
        <v>9</v>
      </c>
      <c r="I14" s="168" t="str">
        <f t="shared" si="0"/>
        <v/>
      </c>
      <c r="J14" s="167" t="e">
        <f t="shared" si="5"/>
        <v>#NUM!</v>
      </c>
      <c r="K14" s="167" t="e">
        <f t="shared" si="1"/>
        <v>#NUM!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55</v>
      </c>
      <c r="AI14" s="160">
        <f>LOG(AI10)</f>
        <v>1.6532125137753437</v>
      </c>
    </row>
    <row r="15" spans="1:36" x14ac:dyDescent="0.25">
      <c r="A15" s="91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0">
        <v>10</v>
      </c>
      <c r="I15" s="171" t="str">
        <f t="shared" si="0"/>
        <v/>
      </c>
      <c r="J15" s="170" t="e">
        <f t="shared" si="5"/>
        <v>#NUM!</v>
      </c>
      <c r="K15" s="170" t="e">
        <f t="shared" si="1"/>
        <v>#NUM!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87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7">
        <v>11</v>
      </c>
      <c r="I16" s="168" t="str">
        <f t="shared" si="0"/>
        <v/>
      </c>
      <c r="J16" s="167" t="e">
        <f t="shared" si="5"/>
        <v>#NUM!</v>
      </c>
      <c r="K16" s="167" t="e">
        <f t="shared" si="1"/>
        <v>#NUM!</v>
      </c>
      <c r="L16" s="167"/>
      <c r="M16" s="169">
        <f t="shared" si="2"/>
        <v>0</v>
      </c>
      <c r="R16" s="178"/>
      <c r="Z16" s="174"/>
      <c r="AA16" s="174"/>
      <c r="AH16" s="179" t="s">
        <v>56</v>
      </c>
      <c r="AI16" s="160">
        <f>AI11-AI12*AI13/AI14</f>
        <v>9.6393909380186855</v>
      </c>
      <c r="AJ16" s="160" t="s">
        <v>57</v>
      </c>
    </row>
    <row r="17" spans="1:19" x14ac:dyDescent="0.25">
      <c r="A17" s="91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0">
        <v>12</v>
      </c>
      <c r="I17" s="171" t="str">
        <f t="shared" si="0"/>
        <v/>
      </c>
      <c r="J17" s="170" t="e">
        <f t="shared" si="5"/>
        <v>#NUM!</v>
      </c>
      <c r="K17" s="170" t="e">
        <f t="shared" si="1"/>
        <v>#NUM!</v>
      </c>
      <c r="L17" s="170"/>
      <c r="M17" s="172">
        <f t="shared" si="2"/>
        <v>0</v>
      </c>
    </row>
    <row r="18" spans="1:19" x14ac:dyDescent="0.25">
      <c r="A18" s="87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7">
        <v>13</v>
      </c>
      <c r="I18" s="168" t="str">
        <f t="shared" si="0"/>
        <v/>
      </c>
      <c r="J18" s="167" t="e">
        <f t="shared" si="5"/>
        <v>#NUM!</v>
      </c>
      <c r="K18" s="167" t="e">
        <f t="shared" si="1"/>
        <v>#NUM!</v>
      </c>
      <c r="L18" s="167"/>
      <c r="M18" s="169">
        <f t="shared" si="2"/>
        <v>0</v>
      </c>
    </row>
    <row r="19" spans="1:19" x14ac:dyDescent="0.25">
      <c r="A19" s="91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0">
        <v>14</v>
      </c>
      <c r="I19" s="171" t="str">
        <f t="shared" si="0"/>
        <v/>
      </c>
      <c r="J19" s="170" t="e">
        <f t="shared" si="5"/>
        <v>#NUM!</v>
      </c>
      <c r="K19" s="170" t="e">
        <f t="shared" si="1"/>
        <v>#NUM!</v>
      </c>
      <c r="L19" s="170"/>
      <c r="M19" s="172">
        <f t="shared" si="2"/>
        <v>0</v>
      </c>
    </row>
    <row r="20" spans="1:19" x14ac:dyDescent="0.25">
      <c r="A20" s="87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7">
        <v>15</v>
      </c>
      <c r="I20" s="168" t="str">
        <f t="shared" si="0"/>
        <v/>
      </c>
      <c r="J20" s="167" t="e">
        <f t="shared" si="5"/>
        <v>#NUM!</v>
      </c>
      <c r="K20" s="167" t="e">
        <f t="shared" si="1"/>
        <v>#NUM!</v>
      </c>
      <c r="L20" s="167"/>
      <c r="M20" s="169">
        <f t="shared" si="2"/>
        <v>0</v>
      </c>
      <c r="R20" s="180"/>
      <c r="S20" s="181"/>
    </row>
    <row r="21" spans="1:19" x14ac:dyDescent="0.25">
      <c r="A21" s="91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0">
        <v>16</v>
      </c>
      <c r="I21" s="171" t="str">
        <f t="shared" si="0"/>
        <v/>
      </c>
      <c r="J21" s="170" t="e">
        <f t="shared" si="5"/>
        <v>#NUM!</v>
      </c>
      <c r="K21" s="170" t="e">
        <f t="shared" si="1"/>
        <v>#NUM!</v>
      </c>
      <c r="L21" s="170"/>
      <c r="M21" s="172">
        <f t="shared" si="2"/>
        <v>0</v>
      </c>
    </row>
    <row r="22" spans="1:19" x14ac:dyDescent="0.25">
      <c r="A22" s="87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7">
        <v>17</v>
      </c>
      <c r="I22" s="168" t="str">
        <f t="shared" si="0"/>
        <v/>
      </c>
      <c r="J22" s="167" t="e">
        <f t="shared" si="5"/>
        <v>#NUM!</v>
      </c>
      <c r="K22" s="167" t="e">
        <f t="shared" si="1"/>
        <v>#NUM!</v>
      </c>
      <c r="L22" s="167"/>
      <c r="M22" s="169">
        <f t="shared" si="2"/>
        <v>0</v>
      </c>
    </row>
    <row r="23" spans="1:19" x14ac:dyDescent="0.25">
      <c r="A23" s="91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0">
        <v>18</v>
      </c>
      <c r="I23" s="171" t="str">
        <f t="shared" si="0"/>
        <v/>
      </c>
      <c r="J23" s="170" t="e">
        <f t="shared" si="5"/>
        <v>#NUM!</v>
      </c>
      <c r="K23" s="170" t="e">
        <f t="shared" si="1"/>
        <v>#NUM!</v>
      </c>
      <c r="L23" s="170"/>
      <c r="M23" s="172">
        <f t="shared" si="2"/>
        <v>0</v>
      </c>
    </row>
    <row r="24" spans="1:19" x14ac:dyDescent="0.25">
      <c r="A24" s="87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7">
        <v>19</v>
      </c>
      <c r="I24" s="168" t="str">
        <f t="shared" si="0"/>
        <v/>
      </c>
      <c r="J24" s="167" t="e">
        <f t="shared" si="5"/>
        <v>#NUM!</v>
      </c>
      <c r="K24" s="167" t="e">
        <f t="shared" si="1"/>
        <v>#NUM!</v>
      </c>
      <c r="L24" s="167"/>
      <c r="M24" s="169">
        <f t="shared" si="2"/>
        <v>0</v>
      </c>
      <c r="R24" s="180"/>
      <c r="S24" s="181"/>
    </row>
    <row r="25" spans="1:19" x14ac:dyDescent="0.25">
      <c r="A25" s="91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0">
        <v>20</v>
      </c>
      <c r="I25" s="171" t="str">
        <f t="shared" si="0"/>
        <v/>
      </c>
      <c r="J25" s="170" t="e">
        <f t="shared" si="5"/>
        <v>#NUM!</v>
      </c>
      <c r="K25" s="170" t="e">
        <f t="shared" si="1"/>
        <v>#NUM!</v>
      </c>
      <c r="L25" s="170"/>
      <c r="M25" s="172">
        <f t="shared" si="2"/>
        <v>0</v>
      </c>
    </row>
    <row r="26" spans="1:19" x14ac:dyDescent="0.25">
      <c r="A26" s="87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7">
        <v>21</v>
      </c>
      <c r="I26" s="168" t="str">
        <f t="shared" si="0"/>
        <v/>
      </c>
      <c r="J26" s="167" t="e">
        <f t="shared" si="5"/>
        <v>#NUM!</v>
      </c>
      <c r="K26" s="167" t="e">
        <f t="shared" si="1"/>
        <v>#NUM!</v>
      </c>
      <c r="L26" s="167"/>
      <c r="M26" s="169">
        <f t="shared" si="2"/>
        <v>0</v>
      </c>
    </row>
    <row r="27" spans="1:19" x14ac:dyDescent="0.25">
      <c r="A27" s="91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0">
        <v>22</v>
      </c>
      <c r="I27" s="171" t="str">
        <f t="shared" si="0"/>
        <v/>
      </c>
      <c r="J27" s="170" t="e">
        <f t="shared" si="5"/>
        <v>#NUM!</v>
      </c>
      <c r="K27" s="170" t="e">
        <f t="shared" si="1"/>
        <v>#NUM!</v>
      </c>
      <c r="L27" s="170"/>
      <c r="M27" s="172">
        <f t="shared" si="2"/>
        <v>0</v>
      </c>
    </row>
    <row r="28" spans="1:19" x14ac:dyDescent="0.25">
      <c r="A28" s="87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7">
        <v>23</v>
      </c>
      <c r="I28" s="168" t="str">
        <f t="shared" si="0"/>
        <v/>
      </c>
      <c r="J28" s="167" t="e">
        <f t="shared" si="5"/>
        <v>#NUM!</v>
      </c>
      <c r="K28" s="167" t="e">
        <f t="shared" si="1"/>
        <v>#NUM!</v>
      </c>
      <c r="L28" s="167"/>
      <c r="M28" s="169">
        <f t="shared" si="2"/>
        <v>0</v>
      </c>
      <c r="R28" s="180"/>
      <c r="S28" s="181"/>
    </row>
    <row r="29" spans="1:19" x14ac:dyDescent="0.25">
      <c r="A29" s="91">
        <f t="shared" si="3"/>
        <v>0</v>
      </c>
      <c r="B29" s="40" t="str">
        <f t="shared" si="4"/>
        <v/>
      </c>
      <c r="C29" s="41"/>
      <c r="D29" s="41"/>
      <c r="E29" s="41"/>
      <c r="F29" s="41"/>
      <c r="G29" s="155"/>
      <c r="H29" s="170">
        <v>24</v>
      </c>
      <c r="I29" s="171" t="str">
        <f t="shared" si="0"/>
        <v/>
      </c>
      <c r="J29" s="170" t="e">
        <f t="shared" si="5"/>
        <v>#NUM!</v>
      </c>
      <c r="K29" s="170" t="e">
        <f t="shared" si="1"/>
        <v>#NUM!</v>
      </c>
      <c r="L29" s="170"/>
      <c r="M29" s="172">
        <f t="shared" si="2"/>
        <v>0</v>
      </c>
    </row>
    <row r="30" spans="1:19" x14ac:dyDescent="0.25">
      <c r="A30" s="87">
        <f t="shared" si="3"/>
        <v>0</v>
      </c>
      <c r="B30" s="34" t="str">
        <f t="shared" si="4"/>
        <v/>
      </c>
      <c r="C30" s="35"/>
      <c r="D30" s="35"/>
      <c r="E30" s="35"/>
      <c r="F30" s="35"/>
      <c r="G30" s="155"/>
      <c r="H30" s="167">
        <v>25</v>
      </c>
      <c r="I30" s="168" t="str">
        <f t="shared" si="0"/>
        <v/>
      </c>
      <c r="J30" s="167" t="e">
        <f t="shared" si="5"/>
        <v>#NUM!</v>
      </c>
      <c r="K30" s="167" t="e">
        <f t="shared" si="1"/>
        <v>#NUM!</v>
      </c>
      <c r="L30" s="167"/>
      <c r="M30" s="169">
        <f t="shared" si="2"/>
        <v>0</v>
      </c>
    </row>
    <row r="31" spans="1:19" x14ac:dyDescent="0.25">
      <c r="A31" s="91">
        <f t="shared" si="3"/>
        <v>0</v>
      </c>
      <c r="B31" s="40" t="str">
        <f t="shared" si="4"/>
        <v/>
      </c>
      <c r="C31" s="41"/>
      <c r="D31" s="41"/>
      <c r="E31" s="41"/>
      <c r="F31" s="41"/>
      <c r="G31" s="155"/>
      <c r="H31" s="170">
        <v>26</v>
      </c>
      <c r="I31" s="171" t="str">
        <f t="shared" si="0"/>
        <v/>
      </c>
      <c r="J31" s="170" t="e">
        <f t="shared" si="5"/>
        <v>#NUM!</v>
      </c>
      <c r="K31" s="170" t="e">
        <f t="shared" si="1"/>
        <v>#NUM!</v>
      </c>
      <c r="L31" s="170"/>
      <c r="M31" s="172">
        <f t="shared" si="2"/>
        <v>0</v>
      </c>
    </row>
    <row r="32" spans="1:19" x14ac:dyDescent="0.25">
      <c r="A32" s="87">
        <f t="shared" si="3"/>
        <v>0</v>
      </c>
      <c r="B32" s="34" t="str">
        <f t="shared" si="4"/>
        <v/>
      </c>
      <c r="C32" s="35"/>
      <c r="D32" s="35"/>
      <c r="E32" s="35"/>
      <c r="F32" s="35"/>
      <c r="G32" s="155"/>
      <c r="H32" s="167">
        <v>27</v>
      </c>
      <c r="I32" s="168" t="str">
        <f t="shared" si="0"/>
        <v/>
      </c>
      <c r="J32" s="167" t="e">
        <f t="shared" si="5"/>
        <v>#NUM!</v>
      </c>
      <c r="K32" s="167" t="e">
        <f t="shared" si="1"/>
        <v>#NUM!</v>
      </c>
      <c r="L32" s="167"/>
      <c r="M32" s="169">
        <f t="shared" si="2"/>
        <v>0</v>
      </c>
      <c r="R32" s="180"/>
      <c r="S32" s="181"/>
    </row>
    <row r="33" spans="1:21" x14ac:dyDescent="0.25">
      <c r="A33" s="91">
        <f t="shared" si="3"/>
        <v>0</v>
      </c>
      <c r="B33" s="40" t="str">
        <f t="shared" si="4"/>
        <v/>
      </c>
      <c r="C33" s="41"/>
      <c r="D33" s="41"/>
      <c r="E33" s="41"/>
      <c r="F33" s="41"/>
      <c r="G33" s="155"/>
      <c r="H33" s="170">
        <v>28</v>
      </c>
      <c r="I33" s="171" t="str">
        <f t="shared" si="0"/>
        <v/>
      </c>
      <c r="J33" s="170" t="e">
        <f t="shared" si="5"/>
        <v>#NUM!</v>
      </c>
      <c r="K33" s="170" t="e">
        <f t="shared" si="1"/>
        <v>#NUM!</v>
      </c>
      <c r="L33" s="170"/>
      <c r="M33" s="172">
        <f t="shared" si="2"/>
        <v>0</v>
      </c>
    </row>
    <row r="34" spans="1:21" x14ac:dyDescent="0.25">
      <c r="A34" s="87">
        <f t="shared" si="3"/>
        <v>0</v>
      </c>
      <c r="B34" s="34" t="str">
        <f t="shared" si="4"/>
        <v/>
      </c>
      <c r="C34" s="35"/>
      <c r="D34" s="35"/>
      <c r="E34" s="35"/>
      <c r="F34" s="35"/>
      <c r="G34" s="155"/>
      <c r="H34" s="167">
        <v>29</v>
      </c>
      <c r="I34" s="168" t="str">
        <f t="shared" si="0"/>
        <v/>
      </c>
      <c r="J34" s="167" t="e">
        <f t="shared" si="5"/>
        <v>#NUM!</v>
      </c>
      <c r="K34" s="167" t="e">
        <f t="shared" si="1"/>
        <v>#NUM!</v>
      </c>
      <c r="L34" s="167"/>
      <c r="M34" s="169">
        <f t="shared" si="2"/>
        <v>0</v>
      </c>
    </row>
    <row r="35" spans="1:21" x14ac:dyDescent="0.25">
      <c r="A35" s="91">
        <f t="shared" si="3"/>
        <v>0</v>
      </c>
      <c r="B35" s="40" t="str">
        <f t="shared" si="4"/>
        <v/>
      </c>
      <c r="C35" s="41"/>
      <c r="D35" s="41"/>
      <c r="E35" s="41"/>
      <c r="F35" s="41"/>
      <c r="G35" s="155"/>
      <c r="H35" s="170">
        <v>30</v>
      </c>
      <c r="I35" s="171" t="str">
        <f t="shared" si="0"/>
        <v/>
      </c>
      <c r="J35" s="170" t="e">
        <f t="shared" si="5"/>
        <v>#NUM!</v>
      </c>
      <c r="K35" s="170" t="e">
        <f t="shared" si="1"/>
        <v>#NUM!</v>
      </c>
      <c r="L35" s="170"/>
      <c r="M35" s="172">
        <f t="shared" si="2"/>
        <v>0</v>
      </c>
    </row>
    <row r="36" spans="1:21" x14ac:dyDescent="0.25">
      <c r="A36" s="87">
        <f t="shared" si="3"/>
        <v>0</v>
      </c>
      <c r="B36" s="34" t="str">
        <f t="shared" si="4"/>
        <v/>
      </c>
      <c r="C36" s="35"/>
      <c r="D36" s="35"/>
      <c r="E36" s="35"/>
      <c r="F36" s="35"/>
      <c r="G36" s="155"/>
      <c r="H36" s="167">
        <v>31</v>
      </c>
      <c r="I36" s="168" t="str">
        <f t="shared" si="0"/>
        <v/>
      </c>
      <c r="J36" s="167" t="e">
        <f t="shared" si="5"/>
        <v>#NUM!</v>
      </c>
      <c r="K36" s="167" t="e">
        <f t="shared" si="1"/>
        <v>#NUM!</v>
      </c>
      <c r="L36" s="167"/>
      <c r="M36" s="169">
        <f t="shared" si="2"/>
        <v>0</v>
      </c>
      <c r="R36" s="180"/>
      <c r="S36" s="181"/>
    </row>
    <row r="37" spans="1:21" x14ac:dyDescent="0.25">
      <c r="A37" s="91">
        <f t="shared" si="3"/>
        <v>0</v>
      </c>
      <c r="B37" s="40" t="str">
        <f t="shared" si="4"/>
        <v/>
      </c>
      <c r="C37" s="41"/>
      <c r="D37" s="41"/>
      <c r="E37" s="41"/>
      <c r="F37" s="41"/>
      <c r="G37" s="155"/>
      <c r="H37" s="170">
        <v>32</v>
      </c>
      <c r="I37" s="171" t="str">
        <f t="shared" si="0"/>
        <v/>
      </c>
      <c r="J37" s="170" t="e">
        <f t="shared" si="5"/>
        <v>#NUM!</v>
      </c>
      <c r="K37" s="170" t="e">
        <f t="shared" si="1"/>
        <v>#NUM!</v>
      </c>
      <c r="L37" s="170"/>
      <c r="M37" s="172">
        <f t="shared" si="2"/>
        <v>0</v>
      </c>
    </row>
    <row r="38" spans="1:21" x14ac:dyDescent="0.25">
      <c r="A38" s="87"/>
      <c r="B38" s="34" t="str">
        <f t="shared" si="4"/>
        <v/>
      </c>
      <c r="C38" s="35"/>
      <c r="D38" s="35"/>
      <c r="E38" s="35"/>
      <c r="F38" s="35"/>
      <c r="G38" s="155"/>
      <c r="H38" s="167">
        <v>33</v>
      </c>
      <c r="I38" s="168" t="str">
        <f t="shared" si="0"/>
        <v/>
      </c>
      <c r="J38" s="167" t="e">
        <f t="shared" si="5"/>
        <v>#NUM!</v>
      </c>
      <c r="K38" s="167" t="e">
        <f t="shared" si="1"/>
        <v>#NUM!</v>
      </c>
      <c r="L38" s="167"/>
      <c r="M38" s="169">
        <f t="shared" si="2"/>
        <v>0</v>
      </c>
    </row>
    <row r="39" spans="1:21" x14ac:dyDescent="0.25">
      <c r="A39" s="91"/>
      <c r="B39" s="40" t="str">
        <f t="shared" si="4"/>
        <v/>
      </c>
      <c r="C39" s="41"/>
      <c r="D39" s="41"/>
      <c r="E39" s="41"/>
      <c r="F39" s="41"/>
      <c r="G39" s="155"/>
      <c r="H39" s="170">
        <v>34</v>
      </c>
      <c r="I39" s="171" t="str">
        <f t="shared" si="0"/>
        <v/>
      </c>
      <c r="J39" s="170" t="e">
        <f t="shared" si="5"/>
        <v>#NUM!</v>
      </c>
      <c r="K39" s="170" t="e">
        <f t="shared" si="1"/>
        <v>#NUM!</v>
      </c>
      <c r="L39" s="170"/>
      <c r="M39" s="172">
        <f t="shared" si="2"/>
        <v>0</v>
      </c>
    </row>
    <row r="40" spans="1:21" x14ac:dyDescent="0.25">
      <c r="A40" s="87"/>
      <c r="B40" s="34" t="str">
        <f t="shared" si="4"/>
        <v/>
      </c>
      <c r="C40" s="35"/>
      <c r="D40" s="35"/>
      <c r="E40" s="35"/>
      <c r="F40" s="35"/>
      <c r="G40" s="155"/>
      <c r="H40" s="167">
        <v>35</v>
      </c>
      <c r="I40" s="168" t="str">
        <f t="shared" si="0"/>
        <v/>
      </c>
      <c r="J40" s="167" t="e">
        <f t="shared" si="5"/>
        <v>#NUM!</v>
      </c>
      <c r="K40" s="167" t="e">
        <f t="shared" si="1"/>
        <v>#NUM!</v>
      </c>
      <c r="L40" s="167"/>
      <c r="M40" s="169">
        <f t="shared" si="2"/>
        <v>0</v>
      </c>
    </row>
    <row r="41" spans="1:21" x14ac:dyDescent="0.25">
      <c r="A41" s="91"/>
      <c r="B41" s="40" t="str">
        <f t="shared" si="4"/>
        <v/>
      </c>
      <c r="C41" s="41"/>
      <c r="D41" s="41"/>
      <c r="E41" s="41"/>
      <c r="F41" s="41"/>
      <c r="G41" s="155"/>
      <c r="H41" s="170">
        <v>36</v>
      </c>
      <c r="I41" s="171" t="str">
        <f t="shared" si="0"/>
        <v/>
      </c>
      <c r="J41" s="170" t="e">
        <f t="shared" si="5"/>
        <v>#NUM!</v>
      </c>
      <c r="K41" s="170" t="e">
        <f t="shared" si="1"/>
        <v>#NUM!</v>
      </c>
      <c r="L41" s="170"/>
      <c r="M41" s="172">
        <f t="shared" si="2"/>
        <v>0</v>
      </c>
      <c r="S41" s="182"/>
    </row>
    <row r="42" spans="1:21" x14ac:dyDescent="0.25">
      <c r="A42" s="87"/>
      <c r="B42" s="34" t="str">
        <f t="shared" si="4"/>
        <v/>
      </c>
      <c r="C42" s="35"/>
      <c r="D42" s="35"/>
      <c r="E42" s="35"/>
      <c r="F42" s="35"/>
      <c r="G42" s="155"/>
      <c r="H42" s="167">
        <v>37</v>
      </c>
      <c r="I42" s="168" t="str">
        <f t="shared" si="0"/>
        <v/>
      </c>
      <c r="J42" s="167" t="e">
        <f t="shared" si="5"/>
        <v>#NUM!</v>
      </c>
      <c r="K42" s="167" t="e">
        <f t="shared" si="1"/>
        <v>#NUM!</v>
      </c>
      <c r="L42" s="167"/>
      <c r="M42" s="169">
        <f t="shared" si="2"/>
        <v>0</v>
      </c>
    </row>
    <row r="43" spans="1:21" x14ac:dyDescent="0.25">
      <c r="A43" s="91"/>
      <c r="B43" s="40" t="str">
        <f t="shared" si="4"/>
        <v/>
      </c>
      <c r="C43" s="41"/>
      <c r="D43" s="41"/>
      <c r="E43" s="41"/>
      <c r="F43" s="41"/>
      <c r="G43" s="155"/>
      <c r="H43" s="170">
        <v>38</v>
      </c>
      <c r="I43" s="171" t="str">
        <f t="shared" si="0"/>
        <v/>
      </c>
      <c r="J43" s="170" t="e">
        <f t="shared" si="5"/>
        <v>#NUM!</v>
      </c>
      <c r="K43" s="170" t="e">
        <f t="shared" si="1"/>
        <v>#NUM!</v>
      </c>
      <c r="L43" s="170"/>
      <c r="M43" s="172">
        <f t="shared" si="2"/>
        <v>0</v>
      </c>
    </row>
    <row r="44" spans="1:21" x14ac:dyDescent="0.25">
      <c r="A44" s="87"/>
      <c r="B44" s="34" t="str">
        <f t="shared" si="4"/>
        <v/>
      </c>
      <c r="C44" s="35"/>
      <c r="D44" s="35"/>
      <c r="E44" s="35"/>
      <c r="F44" s="35"/>
      <c r="G44" s="155"/>
      <c r="H44" s="167">
        <v>39</v>
      </c>
      <c r="I44" s="168" t="str">
        <f t="shared" si="0"/>
        <v/>
      </c>
      <c r="J44" s="167" t="e">
        <f t="shared" si="5"/>
        <v>#NUM!</v>
      </c>
      <c r="K44" s="167" t="e">
        <f t="shared" si="1"/>
        <v>#NUM!</v>
      </c>
      <c r="L44" s="167"/>
      <c r="M44" s="169">
        <f t="shared" si="2"/>
        <v>0</v>
      </c>
    </row>
    <row r="45" spans="1:21" x14ac:dyDescent="0.25">
      <c r="A45" s="91"/>
      <c r="B45" s="40" t="str">
        <f t="shared" si="4"/>
        <v/>
      </c>
      <c r="C45" s="41"/>
      <c r="D45" s="41"/>
      <c r="E45" s="41"/>
      <c r="F45" s="41"/>
      <c r="G45" s="155"/>
      <c r="H45" s="170">
        <v>40</v>
      </c>
      <c r="I45" s="171" t="str">
        <f t="shared" si="0"/>
        <v/>
      </c>
      <c r="J45" s="170" t="e">
        <f t="shared" si="5"/>
        <v>#NUM!</v>
      </c>
      <c r="K45" s="170" t="e">
        <f t="shared" si="1"/>
        <v>#NUM!</v>
      </c>
      <c r="L45" s="170"/>
      <c r="M45" s="172">
        <f t="shared" si="2"/>
        <v>0</v>
      </c>
    </row>
    <row r="46" spans="1:21" x14ac:dyDescent="0.25">
      <c r="A46" s="87"/>
      <c r="B46" s="34" t="str">
        <f t="shared" si="4"/>
        <v/>
      </c>
      <c r="C46" s="35"/>
      <c r="D46" s="35"/>
      <c r="E46" s="35"/>
      <c r="F46" s="35"/>
      <c r="G46" s="155"/>
      <c r="H46" s="167">
        <v>41</v>
      </c>
      <c r="I46" s="168" t="str">
        <f t="shared" si="0"/>
        <v/>
      </c>
      <c r="J46" s="167" t="e">
        <f t="shared" si="5"/>
        <v>#NUM!</v>
      </c>
      <c r="K46" s="167" t="e">
        <f t="shared" si="1"/>
        <v>#NUM!</v>
      </c>
      <c r="L46" s="167"/>
      <c r="M46" s="169">
        <f t="shared" si="2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1"/>
      <c r="B47" s="40" t="str">
        <f t="shared" si="4"/>
        <v/>
      </c>
      <c r="C47" s="41"/>
      <c r="D47" s="41"/>
      <c r="E47" s="41"/>
      <c r="F47" s="41"/>
      <c r="G47" s="155"/>
      <c r="H47" s="170">
        <v>42</v>
      </c>
      <c r="I47" s="171" t="str">
        <f t="shared" si="0"/>
        <v/>
      </c>
      <c r="J47" s="170" t="e">
        <f t="shared" si="5"/>
        <v>#NUM!</v>
      </c>
      <c r="K47" s="170" t="e">
        <f t="shared" si="1"/>
        <v>#NUM!</v>
      </c>
      <c r="L47" s="170"/>
      <c r="M47" s="172">
        <f t="shared" si="2"/>
        <v>0</v>
      </c>
    </row>
    <row r="48" spans="1:21" x14ac:dyDescent="0.25">
      <c r="A48" s="87"/>
      <c r="B48" s="34" t="str">
        <f t="shared" si="4"/>
        <v/>
      </c>
      <c r="C48" s="35"/>
      <c r="D48" s="35"/>
      <c r="E48" s="35"/>
      <c r="F48" s="35"/>
      <c r="G48" s="155"/>
      <c r="H48" s="167">
        <v>43</v>
      </c>
      <c r="I48" s="168" t="str">
        <f t="shared" si="0"/>
        <v/>
      </c>
      <c r="J48" s="167" t="e">
        <f t="shared" si="5"/>
        <v>#NUM!</v>
      </c>
      <c r="K48" s="167" t="e">
        <f t="shared" si="1"/>
        <v>#NUM!</v>
      </c>
      <c r="L48" s="167"/>
      <c r="M48" s="169">
        <f t="shared" si="2"/>
        <v>0</v>
      </c>
    </row>
    <row r="49" spans="1:13" x14ac:dyDescent="0.25">
      <c r="A49" s="91"/>
      <c r="B49" s="40" t="str">
        <f t="shared" si="4"/>
        <v/>
      </c>
      <c r="C49" s="41"/>
      <c r="D49" s="41"/>
      <c r="E49" s="41"/>
      <c r="F49" s="41"/>
      <c r="G49" s="155"/>
      <c r="H49" s="170">
        <v>44</v>
      </c>
      <c r="I49" s="171" t="str">
        <f t="shared" si="0"/>
        <v/>
      </c>
      <c r="J49" s="170" t="e">
        <f t="shared" si="5"/>
        <v>#NUM!</v>
      </c>
      <c r="K49" s="170" t="e">
        <f t="shared" si="1"/>
        <v>#NUM!</v>
      </c>
      <c r="L49" s="170"/>
      <c r="M49" s="172">
        <f t="shared" si="2"/>
        <v>0</v>
      </c>
    </row>
    <row r="50" spans="1:13" x14ac:dyDescent="0.25">
      <c r="A50" s="87"/>
      <c r="B50" s="34" t="str">
        <f t="shared" si="4"/>
        <v/>
      </c>
      <c r="C50" s="35"/>
      <c r="D50" s="35"/>
      <c r="E50" s="35"/>
      <c r="F50" s="35"/>
      <c r="G50" s="155"/>
      <c r="H50" s="167">
        <v>45</v>
      </c>
      <c r="I50" s="168" t="str">
        <f t="shared" si="0"/>
        <v/>
      </c>
      <c r="J50" s="167" t="e">
        <f t="shared" si="5"/>
        <v>#NUM!</v>
      </c>
      <c r="K50" s="167" t="e">
        <f t="shared" si="1"/>
        <v>#NUM!</v>
      </c>
      <c r="L50" s="167"/>
      <c r="M50" s="169">
        <f t="shared" si="2"/>
        <v>0</v>
      </c>
    </row>
    <row r="51" spans="1:13" x14ac:dyDescent="0.25">
      <c r="A51" s="91"/>
      <c r="B51" s="40" t="str">
        <f t="shared" si="4"/>
        <v/>
      </c>
      <c r="C51" s="41"/>
      <c r="D51" s="41"/>
      <c r="E51" s="41"/>
      <c r="F51" s="41"/>
      <c r="G51" s="155"/>
      <c r="H51" s="170">
        <v>46</v>
      </c>
      <c r="I51" s="171" t="str">
        <f t="shared" si="0"/>
        <v/>
      </c>
      <c r="J51" s="170" t="e">
        <f t="shared" si="5"/>
        <v>#NUM!</v>
      </c>
      <c r="K51" s="170" t="e">
        <f t="shared" si="1"/>
        <v>#NUM!</v>
      </c>
      <c r="L51" s="170"/>
      <c r="M51" s="172">
        <f t="shared" si="2"/>
        <v>0</v>
      </c>
    </row>
    <row r="52" spans="1:13" x14ac:dyDescent="0.25">
      <c r="A52" s="87"/>
      <c r="B52" s="34" t="str">
        <f t="shared" si="4"/>
        <v/>
      </c>
      <c r="C52" s="35"/>
      <c r="D52" s="35"/>
      <c r="E52" s="35"/>
      <c r="F52" s="35"/>
      <c r="G52" s="155"/>
      <c r="H52" s="167">
        <v>47</v>
      </c>
      <c r="I52" s="168" t="str">
        <f t="shared" si="0"/>
        <v/>
      </c>
      <c r="J52" s="167" t="e">
        <f t="shared" si="5"/>
        <v>#NUM!</v>
      </c>
      <c r="K52" s="167" t="e">
        <f t="shared" si="1"/>
        <v>#NUM!</v>
      </c>
      <c r="L52" s="167"/>
      <c r="M52" s="169">
        <f t="shared" si="2"/>
        <v>0</v>
      </c>
    </row>
    <row r="53" spans="1:13" x14ac:dyDescent="0.25">
      <c r="A53" s="91"/>
      <c r="B53" s="40" t="str">
        <f t="shared" si="4"/>
        <v/>
      </c>
      <c r="C53" s="41"/>
      <c r="D53" s="41"/>
      <c r="E53" s="41"/>
      <c r="F53" s="41"/>
      <c r="G53" s="155"/>
      <c r="H53" s="170">
        <v>48</v>
      </c>
      <c r="I53" s="171" t="str">
        <f t="shared" si="0"/>
        <v/>
      </c>
      <c r="J53" s="170" t="e">
        <f t="shared" si="5"/>
        <v>#NUM!</v>
      </c>
      <c r="K53" s="170" t="e">
        <f t="shared" si="1"/>
        <v>#NUM!</v>
      </c>
      <c r="L53" s="170"/>
      <c r="M53" s="172">
        <f t="shared" si="2"/>
        <v>0</v>
      </c>
    </row>
    <row r="54" spans="1:13" x14ac:dyDescent="0.25">
      <c r="A54" s="87"/>
      <c r="B54" s="34" t="str">
        <f t="shared" si="4"/>
        <v/>
      </c>
      <c r="C54" s="35"/>
      <c r="D54" s="35"/>
      <c r="E54" s="35"/>
      <c r="F54" s="35"/>
      <c r="G54" s="155"/>
      <c r="H54" s="167">
        <v>49</v>
      </c>
      <c r="I54" s="168" t="str">
        <f t="shared" si="0"/>
        <v/>
      </c>
      <c r="J54" s="167" t="e">
        <f t="shared" si="5"/>
        <v>#NUM!</v>
      </c>
      <c r="K54" s="167" t="e">
        <f t="shared" si="1"/>
        <v>#NUM!</v>
      </c>
      <c r="L54" s="167"/>
      <c r="M54" s="169">
        <f t="shared" si="2"/>
        <v>0</v>
      </c>
    </row>
    <row r="55" spans="1:13" x14ac:dyDescent="0.25">
      <c r="A55" s="91"/>
      <c r="B55" s="40" t="str">
        <f t="shared" si="4"/>
        <v/>
      </c>
      <c r="C55" s="41"/>
      <c r="D55" s="41"/>
      <c r="E55" s="41"/>
      <c r="F55" s="41"/>
      <c r="G55" s="155"/>
      <c r="H55" s="170">
        <v>50</v>
      </c>
      <c r="I55" s="171" t="str">
        <f t="shared" si="0"/>
        <v/>
      </c>
      <c r="J55" s="170" t="e">
        <f t="shared" si="5"/>
        <v>#NUM!</v>
      </c>
      <c r="K55" s="170" t="e">
        <f t="shared" si="1"/>
        <v>#NUM!</v>
      </c>
      <c r="L55" s="170"/>
      <c r="M55" s="172">
        <f t="shared" si="2"/>
        <v>0</v>
      </c>
    </row>
    <row r="56" spans="1:13" x14ac:dyDescent="0.25">
      <c r="A56" s="87"/>
      <c r="B56" s="34" t="str">
        <f t="shared" si="4"/>
        <v/>
      </c>
      <c r="C56" s="35"/>
      <c r="D56" s="35"/>
      <c r="E56" s="35"/>
      <c r="F56" s="35"/>
      <c r="G56" s="155"/>
      <c r="H56" s="167">
        <v>51</v>
      </c>
      <c r="I56" s="168" t="str">
        <f t="shared" si="0"/>
        <v/>
      </c>
      <c r="J56" s="167" t="e">
        <f t="shared" si="5"/>
        <v>#NUM!</v>
      </c>
      <c r="K56" s="167" t="e">
        <f t="shared" si="1"/>
        <v>#NUM!</v>
      </c>
      <c r="L56" s="167"/>
      <c r="M56" s="169">
        <f t="shared" si="2"/>
        <v>0</v>
      </c>
    </row>
    <row r="57" spans="1:13" x14ac:dyDescent="0.25">
      <c r="A57" s="91"/>
      <c r="B57" s="40" t="str">
        <f t="shared" si="4"/>
        <v/>
      </c>
      <c r="C57" s="41"/>
      <c r="D57" s="41"/>
      <c r="E57" s="41"/>
      <c r="F57" s="41"/>
      <c r="G57" s="155"/>
      <c r="H57" s="170">
        <v>52</v>
      </c>
      <c r="I57" s="171" t="str">
        <f t="shared" si="0"/>
        <v/>
      </c>
      <c r="J57" s="170" t="e">
        <f t="shared" si="5"/>
        <v>#NUM!</v>
      </c>
      <c r="K57" s="170" t="e">
        <f t="shared" si="1"/>
        <v>#NUM!</v>
      </c>
      <c r="L57" s="170"/>
      <c r="M57" s="172">
        <f t="shared" si="2"/>
        <v>0</v>
      </c>
    </row>
    <row r="58" spans="1:13" x14ac:dyDescent="0.25">
      <c r="A58" s="87"/>
      <c r="B58" s="34" t="str">
        <f t="shared" si="4"/>
        <v/>
      </c>
      <c r="C58" s="35"/>
      <c r="D58" s="35"/>
      <c r="E58" s="35"/>
      <c r="F58" s="35"/>
      <c r="G58" s="155"/>
      <c r="H58" s="167">
        <v>53</v>
      </c>
      <c r="I58" s="168" t="str">
        <f t="shared" si="0"/>
        <v/>
      </c>
      <c r="J58" s="167" t="e">
        <f t="shared" si="5"/>
        <v>#NUM!</v>
      </c>
      <c r="K58" s="167" t="e">
        <f t="shared" si="1"/>
        <v>#NUM!</v>
      </c>
      <c r="L58" s="167"/>
      <c r="M58" s="169">
        <f t="shared" si="2"/>
        <v>0</v>
      </c>
    </row>
    <row r="59" spans="1:13" x14ac:dyDescent="0.25">
      <c r="A59" s="91"/>
      <c r="B59" s="40" t="str">
        <f t="shared" si="4"/>
        <v/>
      </c>
      <c r="C59" s="41"/>
      <c r="D59" s="41"/>
      <c r="E59" s="41"/>
      <c r="F59" s="41"/>
      <c r="G59" s="155"/>
      <c r="H59" s="170">
        <v>54</v>
      </c>
      <c r="I59" s="171" t="str">
        <f t="shared" si="0"/>
        <v/>
      </c>
      <c r="J59" s="170" t="e">
        <f t="shared" si="5"/>
        <v>#NUM!</v>
      </c>
      <c r="K59" s="170" t="e">
        <f t="shared" si="1"/>
        <v>#NUM!</v>
      </c>
      <c r="L59" s="170"/>
      <c r="M59" s="172">
        <f t="shared" si="2"/>
        <v>0</v>
      </c>
    </row>
    <row r="60" spans="1:13" x14ac:dyDescent="0.25">
      <c r="A60" s="87"/>
      <c r="B60" s="34" t="str">
        <f t="shared" si="4"/>
        <v/>
      </c>
      <c r="C60" s="35"/>
      <c r="D60" s="35"/>
      <c r="E60" s="35"/>
      <c r="F60" s="35"/>
      <c r="G60" s="155"/>
      <c r="H60" s="167">
        <v>55</v>
      </c>
      <c r="I60" s="168" t="str">
        <f t="shared" si="0"/>
        <v/>
      </c>
      <c r="J60" s="167" t="e">
        <f t="shared" si="5"/>
        <v>#NUM!</v>
      </c>
      <c r="K60" s="167" t="e">
        <f t="shared" si="1"/>
        <v>#NUM!</v>
      </c>
      <c r="L60" s="167"/>
      <c r="M60" s="169">
        <f t="shared" si="2"/>
        <v>0</v>
      </c>
    </row>
    <row r="61" spans="1:13" x14ac:dyDescent="0.25">
      <c r="A61" s="91"/>
      <c r="B61" s="40" t="str">
        <f t="shared" si="4"/>
        <v/>
      </c>
      <c r="C61" s="41"/>
      <c r="D61" s="41"/>
      <c r="E61" s="41"/>
      <c r="F61" s="41"/>
      <c r="G61" s="155"/>
      <c r="H61" s="170">
        <v>56</v>
      </c>
      <c r="I61" s="171" t="str">
        <f t="shared" si="0"/>
        <v/>
      </c>
      <c r="J61" s="170" t="e">
        <f t="shared" si="5"/>
        <v>#NUM!</v>
      </c>
      <c r="K61" s="170" t="e">
        <f t="shared" si="1"/>
        <v>#NUM!</v>
      </c>
      <c r="L61" s="170"/>
      <c r="M61" s="172">
        <f t="shared" si="2"/>
        <v>0</v>
      </c>
    </row>
    <row r="62" spans="1:13" x14ac:dyDescent="0.25">
      <c r="A62" s="87"/>
      <c r="B62" s="34" t="str">
        <f t="shared" si="4"/>
        <v/>
      </c>
      <c r="C62" s="35"/>
      <c r="D62" s="35"/>
      <c r="E62" s="35"/>
      <c r="F62" s="35"/>
      <c r="G62" s="155"/>
      <c r="H62" s="167">
        <v>57</v>
      </c>
      <c r="I62" s="168" t="str">
        <f t="shared" si="0"/>
        <v/>
      </c>
      <c r="J62" s="167" t="e">
        <f t="shared" si="5"/>
        <v>#NUM!</v>
      </c>
      <c r="K62" s="167" t="e">
        <f t="shared" si="1"/>
        <v>#NUM!</v>
      </c>
      <c r="L62" s="167"/>
      <c r="M62" s="169">
        <f t="shared" si="2"/>
        <v>0</v>
      </c>
    </row>
    <row r="63" spans="1:13" x14ac:dyDescent="0.25">
      <c r="A63" s="91"/>
      <c r="B63" s="40" t="str">
        <f t="shared" si="4"/>
        <v/>
      </c>
      <c r="C63" s="41"/>
      <c r="D63" s="41"/>
      <c r="E63" s="41"/>
      <c r="F63" s="41"/>
      <c r="G63" s="155"/>
      <c r="H63" s="170">
        <v>58</v>
      </c>
      <c r="I63" s="171" t="str">
        <f t="shared" si="0"/>
        <v/>
      </c>
      <c r="J63" s="170" t="e">
        <f t="shared" si="5"/>
        <v>#NUM!</v>
      </c>
      <c r="K63" s="170" t="e">
        <f t="shared" si="1"/>
        <v>#NUM!</v>
      </c>
      <c r="L63" s="170"/>
      <c r="M63" s="172">
        <f t="shared" si="2"/>
        <v>0</v>
      </c>
    </row>
    <row r="64" spans="1:13" x14ac:dyDescent="0.25">
      <c r="A64" s="87"/>
      <c r="B64" s="34" t="str">
        <f t="shared" si="4"/>
        <v/>
      </c>
      <c r="C64" s="35"/>
      <c r="D64" s="35"/>
      <c r="E64" s="35"/>
      <c r="F64" s="35"/>
      <c r="G64" s="155"/>
      <c r="H64" s="167">
        <v>59</v>
      </c>
      <c r="I64" s="168" t="str">
        <f t="shared" si="0"/>
        <v/>
      </c>
      <c r="J64" s="167" t="e">
        <f t="shared" si="5"/>
        <v>#NUM!</v>
      </c>
      <c r="K64" s="167" t="e">
        <f t="shared" si="1"/>
        <v>#NUM!</v>
      </c>
      <c r="L64" s="167"/>
      <c r="M64" s="169">
        <f t="shared" si="2"/>
        <v>0</v>
      </c>
    </row>
    <row r="65" spans="1:13" x14ac:dyDescent="0.25">
      <c r="A65" s="91"/>
      <c r="B65" s="40" t="str">
        <f t="shared" si="4"/>
        <v/>
      </c>
      <c r="C65" s="41"/>
      <c r="D65" s="41"/>
      <c r="E65" s="41"/>
      <c r="F65" s="41"/>
      <c r="G65" s="155"/>
      <c r="H65" s="170">
        <v>60</v>
      </c>
      <c r="I65" s="171" t="str">
        <f t="shared" si="0"/>
        <v/>
      </c>
      <c r="J65" s="170" t="e">
        <f t="shared" si="5"/>
        <v>#NUM!</v>
      </c>
      <c r="K65" s="170" t="e">
        <f t="shared" si="1"/>
        <v>#NUM!</v>
      </c>
      <c r="L65" s="170"/>
      <c r="M65" s="172">
        <f t="shared" si="2"/>
        <v>0</v>
      </c>
    </row>
    <row r="66" spans="1:13" x14ac:dyDescent="0.25">
      <c r="A66" s="192"/>
      <c r="B66" s="34"/>
      <c r="G66" s="155"/>
      <c r="H66" s="167">
        <v>61</v>
      </c>
      <c r="I66" s="168" t="str">
        <f t="shared" si="0"/>
        <v/>
      </c>
      <c r="J66" s="167" t="e">
        <f t="shared" si="5"/>
        <v>#NUM!</v>
      </c>
      <c r="K66" s="167" t="e">
        <f t="shared" si="1"/>
        <v>#NUM!</v>
      </c>
      <c r="L66" s="167"/>
      <c r="M66" s="169">
        <f t="shared" si="2"/>
        <v>0</v>
      </c>
    </row>
    <row r="67" spans="1:13" x14ac:dyDescent="0.25">
      <c r="A67" s="192"/>
      <c r="B67" s="40"/>
      <c r="G67" s="155"/>
      <c r="H67" s="167">
        <v>62</v>
      </c>
      <c r="I67" s="168" t="str">
        <f t="shared" si="0"/>
        <v/>
      </c>
      <c r="J67" s="167" t="e">
        <f t="shared" si="5"/>
        <v>#NUM!</v>
      </c>
      <c r="K67" s="167" t="e">
        <f t="shared" si="1"/>
        <v>#NUM!</v>
      </c>
      <c r="L67" s="167"/>
      <c r="M67" s="169">
        <f t="shared" si="2"/>
        <v>0</v>
      </c>
    </row>
    <row r="68" spans="1:13" x14ac:dyDescent="0.25">
      <c r="A68" s="192"/>
      <c r="B68" s="34"/>
      <c r="G68" s="155"/>
      <c r="H68" s="167">
        <v>63</v>
      </c>
      <c r="I68" s="168" t="str">
        <f t="shared" si="0"/>
        <v/>
      </c>
      <c r="J68" s="167" t="e">
        <f t="shared" si="5"/>
        <v>#NUM!</v>
      </c>
      <c r="K68" s="167" t="e">
        <f t="shared" si="1"/>
        <v>#NUM!</v>
      </c>
      <c r="L68" s="167"/>
      <c r="M68" s="169">
        <f t="shared" si="2"/>
        <v>0</v>
      </c>
    </row>
    <row r="69" spans="1:13" x14ac:dyDescent="0.25">
      <c r="A69" s="192"/>
      <c r="B69" s="40"/>
      <c r="G69" s="155"/>
      <c r="H69" s="167">
        <v>64</v>
      </c>
      <c r="I69" s="168" t="str">
        <f t="shared" si="0"/>
        <v/>
      </c>
      <c r="J69" s="167" t="e">
        <f t="shared" si="5"/>
        <v>#NUM!</v>
      </c>
      <c r="K69" s="167" t="e">
        <f t="shared" si="1"/>
        <v>#NUM!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 t="e">
        <f t="shared" ref="J71:J134" si="9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 t="e">
        <f t="shared" si="9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 t="e">
        <f t="shared" si="9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 t="e">
        <f t="shared" si="9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 t="e">
        <f t="shared" si="9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 t="e">
        <f t="shared" si="9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 t="e">
        <f t="shared" si="9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 t="e">
        <f t="shared" si="9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 t="e">
        <f t="shared" si="9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 t="e">
        <f t="shared" si="9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 t="e">
        <f t="shared" si="9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 t="e">
        <f t="shared" si="9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 t="e">
        <f t="shared" si="9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 t="e">
        <f t="shared" si="9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 t="e">
        <f t="shared" si="9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 t="e">
        <f t="shared" si="9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 t="e">
        <f t="shared" si="9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 t="e">
        <f t="shared" si="9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 t="e">
        <f t="shared" si="9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 t="e">
        <f t="shared" si="9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 t="e">
        <f t="shared" si="9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 t="e">
        <f t="shared" si="9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 t="e">
        <f t="shared" si="9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 t="e">
        <f t="shared" si="9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 t="e">
        <f t="shared" si="9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 t="e">
        <f t="shared" si="9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 t="e">
        <f t="shared" si="9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 t="e">
        <f t="shared" si="9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 t="e">
        <f t="shared" si="9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 t="e">
        <f t="shared" si="9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 t="e">
        <f t="shared" si="9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 t="e">
        <f t="shared" si="9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 t="e">
        <f t="shared" si="9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 t="e">
        <f t="shared" si="9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 t="e">
        <f t="shared" si="9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 t="e">
        <f t="shared" si="9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 t="e">
        <f t="shared" si="9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 t="e">
        <f t="shared" si="9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 t="e">
        <f t="shared" si="9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 t="e">
        <f t="shared" si="9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 t="e">
        <f t="shared" si="9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 t="e">
        <f t="shared" si="9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 t="e">
        <f t="shared" si="9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 t="e">
        <f t="shared" si="9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 t="e">
        <f t="shared" si="9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 t="e">
        <f t="shared" si="9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 t="e">
        <f t="shared" si="9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 t="e">
        <f t="shared" si="9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 t="e">
        <f t="shared" si="9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 t="e">
        <f t="shared" si="9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 t="e">
        <f t="shared" si="9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 t="e">
        <f t="shared" si="9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 t="e">
        <f t="shared" si="9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 t="e">
        <f t="shared" si="9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 t="e">
        <f t="shared" si="9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 t="e">
        <f t="shared" si="9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 t="e">
        <f t="shared" si="9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 t="e">
        <f t="shared" si="9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 t="e">
        <f t="shared" si="9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 t="e">
        <f t="shared" si="9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 t="e">
        <f t="shared" si="9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 t="e">
        <f t="shared" si="9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 t="e">
        <f t="shared" si="9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 t="e">
        <f t="shared" si="9"/>
        <v>#NUM!</v>
      </c>
      <c r="K134" s="167" t="e">
        <f t="shared" ref="K134:K197" si="11">J134*$J$2</f>
        <v>#NUM!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 t="e">
        <f t="shared" ref="J135:J198" si="13">INT(LOG($H$2,2))-ROUNDUP(LOG(H135,2),0)+IF(OR($H$2=1,$H$2=2,$H$2=4,$H$2=8,$H$2=16,$H$2=32,$H$2=64,$H$2=128,$H$2=256),0,1)</f>
        <v>#NUM!</v>
      </c>
      <c r="K135" s="167" t="e">
        <f t="shared" si="11"/>
        <v>#NUM!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 t="e">
        <f t="shared" si="13"/>
        <v>#NUM!</v>
      </c>
      <c r="K136" s="167" t="e">
        <f t="shared" si="11"/>
        <v>#NUM!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 t="e">
        <f t="shared" si="13"/>
        <v>#NUM!</v>
      </c>
      <c r="K137" s="167" t="e">
        <f t="shared" si="11"/>
        <v>#NUM!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 t="e">
        <f t="shared" si="13"/>
        <v>#NUM!</v>
      </c>
      <c r="K138" s="167" t="e">
        <f t="shared" si="11"/>
        <v>#NUM!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 t="e">
        <f t="shared" si="13"/>
        <v>#NUM!</v>
      </c>
      <c r="K139" s="167" t="e">
        <f t="shared" si="11"/>
        <v>#NUM!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 t="e">
        <f t="shared" si="13"/>
        <v>#NUM!</v>
      </c>
      <c r="K140" s="167" t="e">
        <f t="shared" si="11"/>
        <v>#NUM!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 t="e">
        <f t="shared" si="13"/>
        <v>#NUM!</v>
      </c>
      <c r="K141" s="167" t="e">
        <f t="shared" si="11"/>
        <v>#NUM!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 t="e">
        <f t="shared" si="13"/>
        <v>#NUM!</v>
      </c>
      <c r="K142" s="167" t="e">
        <f t="shared" si="11"/>
        <v>#NUM!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 t="e">
        <f t="shared" si="13"/>
        <v>#NUM!</v>
      </c>
      <c r="K143" s="167" t="e">
        <f t="shared" si="11"/>
        <v>#NUM!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 t="e">
        <f t="shared" si="13"/>
        <v>#NUM!</v>
      </c>
      <c r="K144" s="167" t="e">
        <f t="shared" si="11"/>
        <v>#NUM!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 t="e">
        <f t="shared" si="13"/>
        <v>#NUM!</v>
      </c>
      <c r="K145" s="167" t="e">
        <f t="shared" si="11"/>
        <v>#NUM!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 t="e">
        <f t="shared" si="13"/>
        <v>#NUM!</v>
      </c>
      <c r="K146" s="167" t="e">
        <f t="shared" si="11"/>
        <v>#NUM!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 t="e">
        <f t="shared" si="13"/>
        <v>#NUM!</v>
      </c>
      <c r="K147" s="167" t="e">
        <f t="shared" si="11"/>
        <v>#NUM!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 t="e">
        <f t="shared" si="13"/>
        <v>#NUM!</v>
      </c>
      <c r="K148" s="167" t="e">
        <f t="shared" si="11"/>
        <v>#NUM!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 t="e">
        <f t="shared" si="13"/>
        <v>#NUM!</v>
      </c>
      <c r="K149" s="167" t="e">
        <f t="shared" si="11"/>
        <v>#NUM!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 t="e">
        <f t="shared" si="13"/>
        <v>#NUM!</v>
      </c>
      <c r="K150" s="167" t="e">
        <f t="shared" si="11"/>
        <v>#NUM!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 t="e">
        <f t="shared" si="13"/>
        <v>#NUM!</v>
      </c>
      <c r="K151" s="167" t="e">
        <f t="shared" si="11"/>
        <v>#NUM!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 t="e">
        <f t="shared" si="13"/>
        <v>#NUM!</v>
      </c>
      <c r="K152" s="167" t="e">
        <f t="shared" si="11"/>
        <v>#NUM!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 t="e">
        <f t="shared" si="13"/>
        <v>#NUM!</v>
      </c>
      <c r="K153" s="167" t="e">
        <f t="shared" si="11"/>
        <v>#NUM!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 t="e">
        <f t="shared" si="13"/>
        <v>#NUM!</v>
      </c>
      <c r="K154" s="167" t="e">
        <f t="shared" si="11"/>
        <v>#NUM!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 t="e">
        <f t="shared" si="13"/>
        <v>#NUM!</v>
      </c>
      <c r="K155" s="167" t="e">
        <f t="shared" si="11"/>
        <v>#NUM!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 t="e">
        <f t="shared" si="13"/>
        <v>#NUM!</v>
      </c>
      <c r="K156" s="167" t="e">
        <f t="shared" si="11"/>
        <v>#NUM!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 t="e">
        <f t="shared" si="13"/>
        <v>#NUM!</v>
      </c>
      <c r="K157" s="167" t="e">
        <f t="shared" si="11"/>
        <v>#NUM!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 t="e">
        <f t="shared" si="13"/>
        <v>#NUM!</v>
      </c>
      <c r="K158" s="167" t="e">
        <f t="shared" si="11"/>
        <v>#NUM!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 t="e">
        <f t="shared" si="13"/>
        <v>#NUM!</v>
      </c>
      <c r="K159" s="167" t="e">
        <f t="shared" si="11"/>
        <v>#NUM!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 t="e">
        <f t="shared" si="13"/>
        <v>#NUM!</v>
      </c>
      <c r="K160" s="167" t="e">
        <f t="shared" si="11"/>
        <v>#NUM!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 t="e">
        <f t="shared" si="13"/>
        <v>#NUM!</v>
      </c>
      <c r="K161" s="167" t="e">
        <f t="shared" si="11"/>
        <v>#NUM!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 t="e">
        <f t="shared" si="13"/>
        <v>#NUM!</v>
      </c>
      <c r="K162" s="167" t="e">
        <f t="shared" si="11"/>
        <v>#NUM!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 t="e">
        <f t="shared" si="13"/>
        <v>#NUM!</v>
      </c>
      <c r="K163" s="167" t="e">
        <f t="shared" si="11"/>
        <v>#NUM!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 t="e">
        <f t="shared" si="13"/>
        <v>#NUM!</v>
      </c>
      <c r="K164" s="167" t="e">
        <f t="shared" si="11"/>
        <v>#NUM!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 t="e">
        <f t="shared" si="13"/>
        <v>#NUM!</v>
      </c>
      <c r="K165" s="167" t="e">
        <f t="shared" si="11"/>
        <v>#NUM!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 t="e">
        <f t="shared" si="13"/>
        <v>#NUM!</v>
      </c>
      <c r="K166" s="167" t="e">
        <f t="shared" si="11"/>
        <v>#NUM!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 t="e">
        <f t="shared" si="13"/>
        <v>#NUM!</v>
      </c>
      <c r="K167" s="167" t="e">
        <f t="shared" si="11"/>
        <v>#NUM!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 t="e">
        <f t="shared" si="13"/>
        <v>#NUM!</v>
      </c>
      <c r="K168" s="167" t="e">
        <f t="shared" si="11"/>
        <v>#NUM!</v>
      </c>
      <c r="L168" s="167"/>
      <c r="M168" s="169">
        <f t="shared" si="12"/>
        <v>0</v>
      </c>
    </row>
    <row r="169" spans="1:13" x14ac:dyDescent="0.25">
      <c r="A169" s="184"/>
      <c r="C169" s="183" t="s">
        <v>48</v>
      </c>
      <c r="G169" s="155"/>
      <c r="H169" s="167">
        <v>164</v>
      </c>
      <c r="I169" s="168" t="str">
        <f t="shared" si="10"/>
        <v/>
      </c>
      <c r="J169" s="167" t="e">
        <f t="shared" si="13"/>
        <v>#NUM!</v>
      </c>
      <c r="K169" s="167" t="e">
        <f t="shared" si="11"/>
        <v>#NUM!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 t="e">
        <f t="shared" si="13"/>
        <v>#NUM!</v>
      </c>
      <c r="K170" s="167" t="e">
        <f t="shared" si="11"/>
        <v>#NUM!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 t="e">
        <f t="shared" si="13"/>
        <v>#NUM!</v>
      </c>
      <c r="K171" s="167" t="e">
        <f t="shared" si="11"/>
        <v>#NUM!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 t="e">
        <f t="shared" si="13"/>
        <v>#NUM!</v>
      </c>
      <c r="K172" s="167" t="e">
        <f t="shared" si="11"/>
        <v>#NUM!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 t="e">
        <f t="shared" si="13"/>
        <v>#NUM!</v>
      </c>
      <c r="K173" s="167" t="e">
        <f t="shared" si="11"/>
        <v>#NUM!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 t="e">
        <f t="shared" si="13"/>
        <v>#NUM!</v>
      </c>
      <c r="K174" s="167" t="e">
        <f t="shared" si="11"/>
        <v>#NUM!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 t="e">
        <f t="shared" si="13"/>
        <v>#NUM!</v>
      </c>
      <c r="K175" s="167" t="e">
        <f t="shared" si="11"/>
        <v>#NUM!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 t="e">
        <f t="shared" si="13"/>
        <v>#NUM!</v>
      </c>
      <c r="K176" s="167" t="e">
        <f t="shared" si="11"/>
        <v>#NUM!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 t="e">
        <f t="shared" si="13"/>
        <v>#NUM!</v>
      </c>
      <c r="K177" s="167" t="e">
        <f t="shared" si="11"/>
        <v>#NUM!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 t="e">
        <f t="shared" si="13"/>
        <v>#NUM!</v>
      </c>
      <c r="K178" s="167" t="e">
        <f t="shared" si="11"/>
        <v>#NUM!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 t="e">
        <f t="shared" si="13"/>
        <v>#NUM!</v>
      </c>
      <c r="K179" s="167" t="e">
        <f t="shared" si="11"/>
        <v>#NUM!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 t="e">
        <f t="shared" si="13"/>
        <v>#NUM!</v>
      </c>
      <c r="K180" s="167" t="e">
        <f t="shared" si="11"/>
        <v>#NUM!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 t="e">
        <f t="shared" si="13"/>
        <v>#NUM!</v>
      </c>
      <c r="K181" s="167" t="e">
        <f t="shared" si="11"/>
        <v>#NUM!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 t="e">
        <f t="shared" si="13"/>
        <v>#NUM!</v>
      </c>
      <c r="K182" s="167" t="e">
        <f t="shared" si="11"/>
        <v>#NUM!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 t="e">
        <f t="shared" si="13"/>
        <v>#NUM!</v>
      </c>
      <c r="K183" s="167" t="e">
        <f t="shared" si="11"/>
        <v>#NUM!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 t="e">
        <f t="shared" si="13"/>
        <v>#NUM!</v>
      </c>
      <c r="K184" s="167" t="e">
        <f t="shared" si="11"/>
        <v>#NUM!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 t="e">
        <f t="shared" si="13"/>
        <v>#NUM!</v>
      </c>
      <c r="K185" s="167" t="e">
        <f t="shared" si="11"/>
        <v>#NUM!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 t="e">
        <f t="shared" si="13"/>
        <v>#NUM!</v>
      </c>
      <c r="K186" s="167" t="e">
        <f t="shared" si="11"/>
        <v>#NUM!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 t="e">
        <f t="shared" si="13"/>
        <v>#NUM!</v>
      </c>
      <c r="K187" s="167" t="e">
        <f t="shared" si="11"/>
        <v>#NUM!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 t="e">
        <f t="shared" si="13"/>
        <v>#NUM!</v>
      </c>
      <c r="K188" s="167" t="e">
        <f t="shared" si="11"/>
        <v>#NUM!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 t="e">
        <f t="shared" si="13"/>
        <v>#NUM!</v>
      </c>
      <c r="K189" s="167" t="e">
        <f t="shared" si="11"/>
        <v>#NUM!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 t="e">
        <f t="shared" si="13"/>
        <v>#NUM!</v>
      </c>
      <c r="K190" s="167" t="e">
        <f t="shared" si="11"/>
        <v>#NUM!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 t="e">
        <f t="shared" si="13"/>
        <v>#NUM!</v>
      </c>
      <c r="K191" s="167" t="e">
        <f t="shared" si="11"/>
        <v>#NUM!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 t="e">
        <f t="shared" si="13"/>
        <v>#NUM!</v>
      </c>
      <c r="K192" s="167" t="e">
        <f t="shared" si="11"/>
        <v>#NUM!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 t="e">
        <f t="shared" si="13"/>
        <v>#NUM!</v>
      </c>
      <c r="K193" s="167" t="e">
        <f t="shared" si="11"/>
        <v>#NUM!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 t="e">
        <f t="shared" si="13"/>
        <v>#NUM!</v>
      </c>
      <c r="K194" s="167" t="e">
        <f t="shared" si="11"/>
        <v>#NUM!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 t="e">
        <f t="shared" si="13"/>
        <v>#NUM!</v>
      </c>
      <c r="K195" s="167" t="e">
        <f t="shared" si="11"/>
        <v>#NUM!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 t="e">
        <f t="shared" si="13"/>
        <v>#NUM!</v>
      </c>
      <c r="K196" s="167" t="e">
        <f t="shared" si="11"/>
        <v>#NUM!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 t="e">
        <f t="shared" si="13"/>
        <v>#NUM!</v>
      </c>
      <c r="K197" s="167" t="e">
        <f t="shared" si="11"/>
        <v>#NUM!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 t="e">
        <f t="shared" si="13"/>
        <v>#NUM!</v>
      </c>
      <c r="K198" s="167" t="e">
        <f t="shared" ref="K198:K261" si="15">J198*$J$2</f>
        <v>#NUM!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 t="e">
        <f t="shared" ref="J199:J262" si="17">INT(LOG($H$2,2))-ROUNDUP(LOG(H199,2),0)+IF(OR($H$2=1,$H$2=2,$H$2=4,$H$2=8,$H$2=16,$H$2=32,$H$2=64,$H$2=128,$H$2=256),0,1)</f>
        <v>#NUM!</v>
      </c>
      <c r="K199" s="167" t="e">
        <f t="shared" si="15"/>
        <v>#NUM!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 t="e">
        <f t="shared" si="17"/>
        <v>#NUM!</v>
      </c>
      <c r="K200" s="167" t="e">
        <f t="shared" si="15"/>
        <v>#NUM!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 t="e">
        <f t="shared" si="17"/>
        <v>#NUM!</v>
      </c>
      <c r="K201" s="167" t="e">
        <f t="shared" si="15"/>
        <v>#NUM!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 t="e">
        <f t="shared" si="17"/>
        <v>#NUM!</v>
      </c>
      <c r="K202" s="167" t="e">
        <f t="shared" si="15"/>
        <v>#NUM!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 t="e">
        <f t="shared" si="17"/>
        <v>#NUM!</v>
      </c>
      <c r="K203" s="167" t="e">
        <f t="shared" si="15"/>
        <v>#NUM!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 t="e">
        <f t="shared" si="17"/>
        <v>#NUM!</v>
      </c>
      <c r="K204" s="167" t="e">
        <f t="shared" si="15"/>
        <v>#NUM!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 t="e">
        <f t="shared" si="17"/>
        <v>#NUM!</v>
      </c>
      <c r="K205" s="167" t="e">
        <f t="shared" si="15"/>
        <v>#NUM!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 t="e">
        <f t="shared" si="17"/>
        <v>#NUM!</v>
      </c>
      <c r="K206" s="167" t="e">
        <f t="shared" si="15"/>
        <v>#NUM!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 t="e">
        <f t="shared" si="17"/>
        <v>#NUM!</v>
      </c>
      <c r="K207" s="167" t="e">
        <f t="shared" si="15"/>
        <v>#NUM!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 t="e">
        <f t="shared" si="17"/>
        <v>#NUM!</v>
      </c>
      <c r="K208" s="167" t="e">
        <f t="shared" si="15"/>
        <v>#NUM!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 t="e">
        <f t="shared" si="17"/>
        <v>#NUM!</v>
      </c>
      <c r="K209" s="167" t="e">
        <f t="shared" si="15"/>
        <v>#NUM!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 t="e">
        <f t="shared" si="17"/>
        <v>#NUM!</v>
      </c>
      <c r="K210" s="167" t="e">
        <f t="shared" si="15"/>
        <v>#NUM!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 t="e">
        <f t="shared" si="17"/>
        <v>#NUM!</v>
      </c>
      <c r="K211" s="167" t="e">
        <f t="shared" si="15"/>
        <v>#NUM!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 t="e">
        <f t="shared" si="17"/>
        <v>#NUM!</v>
      </c>
      <c r="K212" s="167" t="e">
        <f t="shared" si="15"/>
        <v>#NUM!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 t="e">
        <f t="shared" si="17"/>
        <v>#NUM!</v>
      </c>
      <c r="K213" s="167" t="e">
        <f t="shared" si="15"/>
        <v>#NUM!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 t="e">
        <f t="shared" si="17"/>
        <v>#NUM!</v>
      </c>
      <c r="K214" s="167" t="e">
        <f t="shared" si="15"/>
        <v>#NUM!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 t="e">
        <f t="shared" si="17"/>
        <v>#NUM!</v>
      </c>
      <c r="K215" s="167" t="e">
        <f t="shared" si="15"/>
        <v>#NUM!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 t="e">
        <f t="shared" si="17"/>
        <v>#NUM!</v>
      </c>
      <c r="K216" s="167" t="e">
        <f t="shared" si="15"/>
        <v>#NUM!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 t="e">
        <f t="shared" si="17"/>
        <v>#NUM!</v>
      </c>
      <c r="K217" s="167" t="e">
        <f t="shared" si="15"/>
        <v>#NUM!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 t="e">
        <f t="shared" si="17"/>
        <v>#NUM!</v>
      </c>
      <c r="K218" s="167" t="e">
        <f t="shared" si="15"/>
        <v>#NUM!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 t="e">
        <f t="shared" si="17"/>
        <v>#NUM!</v>
      </c>
      <c r="K219" s="167" t="e">
        <f t="shared" si="15"/>
        <v>#NUM!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 t="e">
        <f t="shared" si="17"/>
        <v>#NUM!</v>
      </c>
      <c r="K220" s="167" t="e">
        <f t="shared" si="15"/>
        <v>#NUM!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 t="e">
        <f t="shared" si="17"/>
        <v>#NUM!</v>
      </c>
      <c r="K221" s="167" t="e">
        <f t="shared" si="15"/>
        <v>#NUM!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 t="e">
        <f t="shared" si="17"/>
        <v>#NUM!</v>
      </c>
      <c r="K222" s="167" t="e">
        <f t="shared" si="15"/>
        <v>#NUM!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 t="e">
        <f t="shared" si="17"/>
        <v>#NUM!</v>
      </c>
      <c r="K223" s="167" t="e">
        <f t="shared" si="15"/>
        <v>#NUM!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 t="e">
        <f t="shared" si="17"/>
        <v>#NUM!</v>
      </c>
      <c r="K224" s="167" t="e">
        <f t="shared" si="15"/>
        <v>#NUM!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 t="e">
        <f t="shared" si="17"/>
        <v>#NUM!</v>
      </c>
      <c r="K225" s="167" t="e">
        <f t="shared" si="15"/>
        <v>#NUM!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 t="e">
        <f t="shared" si="17"/>
        <v>#NUM!</v>
      </c>
      <c r="K226" s="167" t="e">
        <f t="shared" si="15"/>
        <v>#NUM!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 t="e">
        <f t="shared" si="17"/>
        <v>#NUM!</v>
      </c>
      <c r="K227" s="167" t="e">
        <f t="shared" si="15"/>
        <v>#NUM!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 t="e">
        <f t="shared" si="17"/>
        <v>#NUM!</v>
      </c>
      <c r="K228" s="167" t="e">
        <f t="shared" si="15"/>
        <v>#NUM!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 t="e">
        <f t="shared" si="17"/>
        <v>#NUM!</v>
      </c>
      <c r="K229" s="167" t="e">
        <f t="shared" si="15"/>
        <v>#NUM!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 t="e">
        <f t="shared" si="17"/>
        <v>#NUM!</v>
      </c>
      <c r="K230" s="167" t="e">
        <f t="shared" si="15"/>
        <v>#NUM!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 t="e">
        <f t="shared" si="17"/>
        <v>#NUM!</v>
      </c>
      <c r="K231" s="167" t="e">
        <f t="shared" si="15"/>
        <v>#NUM!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 t="e">
        <f t="shared" si="17"/>
        <v>#NUM!</v>
      </c>
      <c r="K232" s="167" t="e">
        <f t="shared" si="15"/>
        <v>#NUM!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 t="e">
        <f t="shared" si="17"/>
        <v>#NUM!</v>
      </c>
      <c r="K233" s="167" t="e">
        <f t="shared" si="15"/>
        <v>#NUM!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 t="e">
        <f t="shared" si="17"/>
        <v>#NUM!</v>
      </c>
      <c r="K234" s="167" t="e">
        <f t="shared" si="15"/>
        <v>#NUM!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 t="e">
        <f t="shared" si="17"/>
        <v>#NUM!</v>
      </c>
      <c r="K235" s="167" t="e">
        <f t="shared" si="15"/>
        <v>#NUM!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 t="e">
        <f t="shared" si="17"/>
        <v>#NUM!</v>
      </c>
      <c r="K236" s="167" t="e">
        <f t="shared" si="15"/>
        <v>#NUM!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 t="e">
        <f t="shared" si="17"/>
        <v>#NUM!</v>
      </c>
      <c r="K237" s="167" t="e">
        <f t="shared" si="15"/>
        <v>#NUM!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 t="e">
        <f t="shared" si="17"/>
        <v>#NUM!</v>
      </c>
      <c r="K238" s="167" t="e">
        <f t="shared" si="15"/>
        <v>#NUM!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 t="e">
        <f t="shared" si="17"/>
        <v>#NUM!</v>
      </c>
      <c r="K239" s="167" t="e">
        <f t="shared" si="15"/>
        <v>#NUM!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 t="e">
        <f t="shared" si="17"/>
        <v>#NUM!</v>
      </c>
      <c r="K240" s="167" t="e">
        <f t="shared" si="15"/>
        <v>#NUM!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 t="e">
        <f t="shared" si="17"/>
        <v>#NUM!</v>
      </c>
      <c r="K241" s="167" t="e">
        <f t="shared" si="15"/>
        <v>#NUM!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 t="e">
        <f t="shared" si="17"/>
        <v>#NUM!</v>
      </c>
      <c r="K242" s="167" t="e">
        <f t="shared" si="15"/>
        <v>#NUM!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 t="e">
        <f t="shared" si="17"/>
        <v>#NUM!</v>
      </c>
      <c r="K243" s="167" t="e">
        <f t="shared" si="15"/>
        <v>#NUM!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 t="e">
        <f t="shared" si="17"/>
        <v>#NUM!</v>
      </c>
      <c r="K244" s="167" t="e">
        <f t="shared" si="15"/>
        <v>#NUM!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 t="e">
        <f t="shared" si="17"/>
        <v>#NUM!</v>
      </c>
      <c r="K245" s="167" t="e">
        <f t="shared" si="15"/>
        <v>#NUM!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 t="e">
        <f t="shared" si="17"/>
        <v>#NUM!</v>
      </c>
      <c r="K246" s="167" t="e">
        <f t="shared" si="15"/>
        <v>#NUM!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 t="e">
        <f t="shared" si="17"/>
        <v>#NUM!</v>
      </c>
      <c r="K247" s="167" t="e">
        <f t="shared" si="15"/>
        <v>#NUM!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 t="e">
        <f t="shared" si="17"/>
        <v>#NUM!</v>
      </c>
      <c r="K248" s="167" t="e">
        <f t="shared" si="15"/>
        <v>#NUM!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 t="e">
        <f t="shared" si="17"/>
        <v>#NUM!</v>
      </c>
      <c r="K249" s="167" t="e">
        <f t="shared" si="15"/>
        <v>#NUM!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 t="e">
        <f t="shared" si="17"/>
        <v>#NUM!</v>
      </c>
      <c r="K250" s="167" t="e">
        <f t="shared" si="15"/>
        <v>#NUM!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 t="e">
        <f t="shared" si="17"/>
        <v>#NUM!</v>
      </c>
      <c r="K251" s="167" t="e">
        <f t="shared" si="15"/>
        <v>#NUM!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 t="e">
        <f t="shared" si="17"/>
        <v>#NUM!</v>
      </c>
      <c r="K252" s="167" t="e">
        <f t="shared" si="15"/>
        <v>#NUM!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 t="e">
        <f t="shared" si="17"/>
        <v>#NUM!</v>
      </c>
      <c r="K253" s="167" t="e">
        <f t="shared" si="15"/>
        <v>#NUM!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 t="e">
        <f t="shared" si="17"/>
        <v>#NUM!</v>
      </c>
      <c r="K254" s="167" t="e">
        <f t="shared" si="15"/>
        <v>#NUM!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 t="e">
        <f t="shared" si="17"/>
        <v>#NUM!</v>
      </c>
      <c r="K255" s="167" t="e">
        <f t="shared" si="15"/>
        <v>#NUM!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 t="e">
        <f t="shared" si="17"/>
        <v>#NUM!</v>
      </c>
      <c r="K256" s="167" t="e">
        <f t="shared" si="15"/>
        <v>#NUM!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 t="e">
        <f t="shared" si="17"/>
        <v>#NUM!</v>
      </c>
      <c r="K257" s="167" t="e">
        <f t="shared" si="15"/>
        <v>#NUM!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 t="e">
        <f t="shared" si="17"/>
        <v>#NUM!</v>
      </c>
      <c r="K258" s="167" t="e">
        <f t="shared" si="15"/>
        <v>#NUM!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 t="e">
        <f t="shared" si="17"/>
        <v>#NUM!</v>
      </c>
      <c r="K259" s="167" t="e">
        <f t="shared" si="15"/>
        <v>#NUM!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 t="e">
        <f t="shared" si="17"/>
        <v>#NUM!</v>
      </c>
      <c r="K260" s="167" t="e">
        <f t="shared" si="15"/>
        <v>#NUM!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 t="e">
        <f t="shared" si="17"/>
        <v>#NUM!</v>
      </c>
      <c r="K261" s="167" t="e">
        <f t="shared" si="15"/>
        <v>#NUM!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 t="e">
        <f t="shared" si="17"/>
        <v>#NUM!</v>
      </c>
      <c r="K262" s="167" t="e">
        <f t="shared" ref="K262:K305" si="19">J262*$J$2</f>
        <v>#NUM!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 t="e">
        <f t="shared" ref="J263:J326" si="21">INT(LOG($H$2,2))-ROUNDUP(LOG(H263,2),0)+IF(OR($H$2=1,$H$2=2,$H$2=4,$H$2=8,$H$2=16,$H$2=32,$H$2=64,$H$2=128,$H$2=256),0,1)</f>
        <v>#NUM!</v>
      </c>
      <c r="K263" s="167" t="e">
        <f t="shared" si="19"/>
        <v>#NUM!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 t="e">
        <f t="shared" si="21"/>
        <v>#NUM!</v>
      </c>
      <c r="K264" s="167" t="e">
        <f t="shared" si="19"/>
        <v>#NUM!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 t="e">
        <f t="shared" si="21"/>
        <v>#NUM!</v>
      </c>
      <c r="K265" s="167" t="e">
        <f t="shared" si="19"/>
        <v>#NUM!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 t="e">
        <f t="shared" si="21"/>
        <v>#NUM!</v>
      </c>
      <c r="K266" s="167" t="e">
        <f t="shared" si="19"/>
        <v>#NUM!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 t="e">
        <f t="shared" si="21"/>
        <v>#NUM!</v>
      </c>
      <c r="K267" s="167" t="e">
        <f t="shared" si="19"/>
        <v>#NUM!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 t="e">
        <f t="shared" si="21"/>
        <v>#NUM!</v>
      </c>
      <c r="K268" s="167" t="e">
        <f t="shared" si="19"/>
        <v>#NUM!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 t="e">
        <f t="shared" si="21"/>
        <v>#NUM!</v>
      </c>
      <c r="K269" s="167" t="e">
        <f t="shared" si="19"/>
        <v>#NUM!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 t="e">
        <f t="shared" si="21"/>
        <v>#NUM!</v>
      </c>
      <c r="K270" s="167" t="e">
        <f t="shared" si="19"/>
        <v>#NUM!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 t="e">
        <f t="shared" si="21"/>
        <v>#NUM!</v>
      </c>
      <c r="K271" s="167" t="e">
        <f t="shared" si="19"/>
        <v>#NUM!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 t="e">
        <f t="shared" si="21"/>
        <v>#NUM!</v>
      </c>
      <c r="K272" s="167" t="e">
        <f t="shared" si="19"/>
        <v>#NUM!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 t="e">
        <f t="shared" si="21"/>
        <v>#NUM!</v>
      </c>
      <c r="K273" s="167" t="e">
        <f t="shared" si="19"/>
        <v>#NUM!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 t="e">
        <f t="shared" si="21"/>
        <v>#NUM!</v>
      </c>
      <c r="K274" s="167" t="e">
        <f t="shared" si="19"/>
        <v>#NUM!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 t="e">
        <f t="shared" si="21"/>
        <v>#NUM!</v>
      </c>
      <c r="K275" s="167" t="e">
        <f t="shared" si="19"/>
        <v>#NUM!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 t="e">
        <f t="shared" si="21"/>
        <v>#NUM!</v>
      </c>
      <c r="K276" s="167" t="e">
        <f t="shared" si="19"/>
        <v>#NUM!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 t="e">
        <f t="shared" si="21"/>
        <v>#NUM!</v>
      </c>
      <c r="K277" s="167" t="e">
        <f t="shared" si="19"/>
        <v>#NUM!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 t="e">
        <f t="shared" si="21"/>
        <v>#NUM!</v>
      </c>
      <c r="K278" s="167" t="e">
        <f t="shared" si="19"/>
        <v>#NUM!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 t="e">
        <f t="shared" si="21"/>
        <v>#NUM!</v>
      </c>
      <c r="K279" s="167" t="e">
        <f t="shared" si="19"/>
        <v>#NUM!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 t="e">
        <f t="shared" si="21"/>
        <v>#NUM!</v>
      </c>
      <c r="K280" s="167" t="e">
        <f t="shared" si="19"/>
        <v>#NUM!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 t="e">
        <f t="shared" si="21"/>
        <v>#NUM!</v>
      </c>
      <c r="K281" s="167" t="e">
        <f t="shared" si="19"/>
        <v>#NUM!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 t="e">
        <f t="shared" si="21"/>
        <v>#NUM!</v>
      </c>
      <c r="K282" s="167" t="e">
        <f t="shared" si="19"/>
        <v>#NUM!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 t="e">
        <f t="shared" si="21"/>
        <v>#NUM!</v>
      </c>
      <c r="K283" s="167" t="e">
        <f t="shared" si="19"/>
        <v>#NUM!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 t="e">
        <f t="shared" si="21"/>
        <v>#NUM!</v>
      </c>
      <c r="K284" s="167" t="e">
        <f t="shared" si="19"/>
        <v>#NUM!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 t="e">
        <f t="shared" si="21"/>
        <v>#NUM!</v>
      </c>
      <c r="K285" s="167" t="e">
        <f t="shared" si="19"/>
        <v>#NUM!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 t="e">
        <f t="shared" si="21"/>
        <v>#NUM!</v>
      </c>
      <c r="K286" s="167" t="e">
        <f t="shared" si="19"/>
        <v>#NUM!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 t="e">
        <f t="shared" si="21"/>
        <v>#NUM!</v>
      </c>
      <c r="K287" s="167" t="e">
        <f t="shared" si="19"/>
        <v>#NUM!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 t="e">
        <f t="shared" si="21"/>
        <v>#NUM!</v>
      </c>
      <c r="K288" s="167" t="e">
        <f t="shared" si="19"/>
        <v>#NUM!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 t="e">
        <f t="shared" si="21"/>
        <v>#NUM!</v>
      </c>
      <c r="K289" s="167" t="e">
        <f t="shared" si="19"/>
        <v>#NUM!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 t="e">
        <f t="shared" si="21"/>
        <v>#NUM!</v>
      </c>
      <c r="K290" s="167" t="e">
        <f t="shared" si="19"/>
        <v>#NUM!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 t="e">
        <f t="shared" si="21"/>
        <v>#NUM!</v>
      </c>
      <c r="K291" s="167" t="e">
        <f t="shared" si="19"/>
        <v>#NUM!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 t="e">
        <f t="shared" si="21"/>
        <v>#NUM!</v>
      </c>
      <c r="K292" s="167" t="e">
        <f t="shared" si="19"/>
        <v>#NUM!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 t="e">
        <f t="shared" si="21"/>
        <v>#NUM!</v>
      </c>
      <c r="K293" s="167" t="e">
        <f t="shared" si="19"/>
        <v>#NUM!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 t="e">
        <f t="shared" si="21"/>
        <v>#NUM!</v>
      </c>
      <c r="K294" s="167" t="e">
        <f t="shared" si="19"/>
        <v>#NUM!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 t="e">
        <f t="shared" si="21"/>
        <v>#NUM!</v>
      </c>
      <c r="K295" s="167" t="e">
        <f t="shared" si="19"/>
        <v>#NUM!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 t="e">
        <f t="shared" si="21"/>
        <v>#NUM!</v>
      </c>
      <c r="K296" s="167" t="e">
        <f t="shared" si="19"/>
        <v>#NUM!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 t="e">
        <f t="shared" si="21"/>
        <v>#NUM!</v>
      </c>
      <c r="K297" s="167" t="e">
        <f t="shared" si="19"/>
        <v>#NUM!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 t="e">
        <f t="shared" si="21"/>
        <v>#NUM!</v>
      </c>
      <c r="K298" s="167" t="e">
        <f t="shared" si="19"/>
        <v>#NUM!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 t="e">
        <f t="shared" si="21"/>
        <v>#NUM!</v>
      </c>
      <c r="K299" s="167" t="e">
        <f t="shared" si="19"/>
        <v>#NUM!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 t="e">
        <f t="shared" si="21"/>
        <v>#NUM!</v>
      </c>
      <c r="K300" s="167" t="e">
        <f t="shared" si="19"/>
        <v>#NUM!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 t="e">
        <f t="shared" si="21"/>
        <v>#NUM!</v>
      </c>
      <c r="K301" s="167" t="e">
        <f t="shared" si="19"/>
        <v>#NUM!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 t="e">
        <f t="shared" si="21"/>
        <v>#NUM!</v>
      </c>
      <c r="K302" s="167" t="e">
        <f t="shared" si="19"/>
        <v>#NUM!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 t="e">
        <f t="shared" si="21"/>
        <v>#NUM!</v>
      </c>
      <c r="K303" s="167" t="e">
        <f t="shared" si="19"/>
        <v>#NUM!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 t="e">
        <f t="shared" si="21"/>
        <v>#NUM!</v>
      </c>
      <c r="K304" s="167" t="e">
        <f t="shared" si="19"/>
        <v>#NUM!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 t="e">
        <f t="shared" si="21"/>
        <v>#NUM!</v>
      </c>
      <c r="K305" s="167" t="e">
        <f t="shared" si="19"/>
        <v>#NUM!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7ADA81B5-405A-4704-9206-DC0DD07CD575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DE11-6D0E-4442-944A-9E8D4D38645B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24</v>
      </c>
      <c r="I1" s="157" t="s">
        <v>25</v>
      </c>
      <c r="J1" s="157" t="s">
        <v>26</v>
      </c>
      <c r="K1" s="158" t="s">
        <v>113</v>
      </c>
      <c r="L1" s="159"/>
      <c r="M1" s="159"/>
    </row>
    <row r="2" spans="1:36" x14ac:dyDescent="0.25">
      <c r="A2" s="155"/>
      <c r="B2" s="20" t="s">
        <v>28</v>
      </c>
      <c r="C2" s="260" t="s">
        <v>126</v>
      </c>
      <c r="D2" s="260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30</v>
      </c>
      <c r="C3" s="238" t="s">
        <v>127</v>
      </c>
      <c r="D3" s="238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65" t="s">
        <v>38</v>
      </c>
      <c r="I5" s="166" t="s">
        <v>39</v>
      </c>
      <c r="J5" s="166" t="s">
        <v>40</v>
      </c>
      <c r="K5" s="166" t="s">
        <v>41</v>
      </c>
      <c r="L5" s="166" t="s">
        <v>42</v>
      </c>
      <c r="M5" s="165" t="s">
        <v>43</v>
      </c>
    </row>
    <row r="6" spans="1:36" ht="14.45" customHeight="1" x14ac:dyDescent="0.25">
      <c r="A6" s="87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1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48</v>
      </c>
      <c r="AI9" s="160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50</v>
      </c>
      <c r="AI10" s="160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52</v>
      </c>
      <c r="AI11" s="160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53</v>
      </c>
      <c r="AI12" s="160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54</v>
      </c>
      <c r="AI13" s="160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55</v>
      </c>
      <c r="AI14" s="160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56</v>
      </c>
      <c r="AI16" s="160">
        <f>AI11-AI12*AI13/AI14</f>
        <v>9.6393909380186855</v>
      </c>
      <c r="AJ16" s="160" t="s">
        <v>57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1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1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1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1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1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1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1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1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1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1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1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1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1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87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48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48832D53-7BC6-43C5-BBB1-60C62A1D9715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8E10-3B47-4A81-987A-4F34F55E43B7}">
  <sheetPr>
    <tabColor rgb="FF92D050"/>
  </sheetPr>
  <dimension ref="A1:AL374"/>
  <sheetViews>
    <sheetView zoomScaleNormal="100" workbookViewId="0">
      <selection activeCell="E15" sqref="E15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24</v>
      </c>
      <c r="I1" s="157" t="s">
        <v>25</v>
      </c>
      <c r="J1" s="157" t="s">
        <v>26</v>
      </c>
      <c r="K1" s="158" t="s">
        <v>113</v>
      </c>
      <c r="L1" s="159"/>
      <c r="M1" s="159"/>
    </row>
    <row r="2" spans="1:36" x14ac:dyDescent="0.25">
      <c r="A2" s="155"/>
      <c r="B2" s="20" t="s">
        <v>28</v>
      </c>
      <c r="C2" s="217" t="s">
        <v>128</v>
      </c>
      <c r="D2" s="213"/>
      <c r="E2" s="21"/>
      <c r="F2" s="21"/>
      <c r="G2" s="21"/>
      <c r="H2" s="161">
        <v>7</v>
      </c>
      <c r="I2" s="162">
        <v>50</v>
      </c>
      <c r="J2" s="162">
        <v>10</v>
      </c>
      <c r="K2" s="189">
        <f>3*H2^(1/3)</f>
        <v>5.738793548317167</v>
      </c>
      <c r="L2" s="159"/>
      <c r="M2" s="159"/>
    </row>
    <row r="3" spans="1:36" x14ac:dyDescent="0.25">
      <c r="A3" s="155"/>
      <c r="B3" s="164" t="s">
        <v>30</v>
      </c>
      <c r="C3" s="216" t="s">
        <v>129</v>
      </c>
      <c r="D3" s="214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65" t="s">
        <v>38</v>
      </c>
      <c r="I5" s="166" t="s">
        <v>39</v>
      </c>
      <c r="J5" s="191" t="s">
        <v>40</v>
      </c>
      <c r="K5" s="166" t="s">
        <v>41</v>
      </c>
      <c r="L5" s="166" t="s">
        <v>42</v>
      </c>
      <c r="M5" s="165" t="s">
        <v>43</v>
      </c>
    </row>
    <row r="6" spans="1:36" ht="14.45" customHeight="1" x14ac:dyDescent="0.25">
      <c r="A6" s="87">
        <f>M6</f>
        <v>97.216380644951499</v>
      </c>
      <c r="B6" s="34">
        <f>IF(H6&gt;$H$2,"",(ROW()-5))</f>
        <v>1</v>
      </c>
      <c r="C6" s="35" t="s">
        <v>18</v>
      </c>
      <c r="D6" s="35"/>
      <c r="E6" s="35"/>
      <c r="F6" s="35" t="s">
        <v>125</v>
      </c>
      <c r="G6" s="28"/>
      <c r="H6" s="167">
        <v>1</v>
      </c>
      <c r="I6" s="168">
        <f t="shared" ref="I6:I69" si="0">IF(H6&lt;$H$2+1,($I$2-($I$2-1)*(LOG(H6)/LOG($H$2))),"")</f>
        <v>50</v>
      </c>
      <c r="J6" s="167">
        <f>INT(LOG($H$2,2))-ROUNDUP(LOG(H6,2),0)+IF(OR($H$2=1,$H$2=2,$H$2=4,$H$2=8,$H$2=16,$H$2=32,$H$2=64,$H$2=128,$H$2=256),0,1)</f>
        <v>3</v>
      </c>
      <c r="K6" s="167">
        <f t="shared" ref="K6:K69" si="1">J6*$J$2</f>
        <v>30</v>
      </c>
      <c r="L6" s="169">
        <f>3*K2</f>
        <v>17.216380644951499</v>
      </c>
      <c r="M6" s="169">
        <f t="shared" ref="M6:M69" si="2">IF(I6&lt;&gt;"",K6+I6+L6,0)</f>
        <v>97.216380644951499</v>
      </c>
    </row>
    <row r="7" spans="1:36" ht="14.45" customHeight="1" x14ac:dyDescent="0.25">
      <c r="A7" s="91">
        <f t="shared" ref="A7:A37" si="3">M7</f>
        <v>64.023434928341246</v>
      </c>
      <c r="B7" s="40">
        <f t="shared" ref="B7:B65" si="4">IF(H7&gt;$H$2,"",(ROW()-5))</f>
        <v>2</v>
      </c>
      <c r="C7" s="41" t="s">
        <v>48</v>
      </c>
      <c r="D7" s="41"/>
      <c r="E7" s="41"/>
      <c r="F7" s="41" t="s">
        <v>125</v>
      </c>
      <c r="G7" s="28"/>
      <c r="H7" s="170">
        <v>2</v>
      </c>
      <c r="I7" s="171">
        <f t="shared" si="0"/>
        <v>32.545847831706908</v>
      </c>
      <c r="J7" s="170">
        <f t="shared" ref="J7:J70" si="5">INT(LOG($H$2,2))-ROUNDUP(LOG(H7,2),0)+IF(OR($H$2=1,$H$2=2,$H$2=4,$H$2=8,$H$2=16,$H$2=32,$H$2=64,$H$2=128,$H$2=256),0,1)</f>
        <v>2</v>
      </c>
      <c r="K7" s="170">
        <f t="shared" si="1"/>
        <v>20</v>
      </c>
      <c r="L7" s="172">
        <f>2*K2</f>
        <v>11.477587096634334</v>
      </c>
      <c r="M7" s="172">
        <f t="shared" si="2"/>
        <v>64.023434928341246</v>
      </c>
    </row>
    <row r="8" spans="1:36" ht="14.45" customHeight="1" x14ac:dyDescent="0.25">
      <c r="A8" s="87">
        <f t="shared" si="3"/>
        <v>38.074616879691767</v>
      </c>
      <c r="B8" s="34">
        <f t="shared" si="4"/>
        <v>3</v>
      </c>
      <c r="C8" s="35" t="s">
        <v>48</v>
      </c>
      <c r="D8" s="35"/>
      <c r="E8" s="35"/>
      <c r="F8" s="35" t="s">
        <v>125</v>
      </c>
      <c r="G8" s="28"/>
      <c r="H8" s="167">
        <v>3</v>
      </c>
      <c r="I8" s="168">
        <f t="shared" si="0"/>
        <v>22.335823331374595</v>
      </c>
      <c r="J8" s="167">
        <f t="shared" si="5"/>
        <v>1</v>
      </c>
      <c r="K8" s="167">
        <f t="shared" si="1"/>
        <v>10</v>
      </c>
      <c r="L8" s="169">
        <f>K2</f>
        <v>5.738793548317167</v>
      </c>
      <c r="M8" s="169">
        <f t="shared" si="2"/>
        <v>38.074616879691767</v>
      </c>
    </row>
    <row r="9" spans="1:36" s="160" customFormat="1" ht="14.45" customHeight="1" x14ac:dyDescent="0.25">
      <c r="A9" s="91">
        <f t="shared" si="3"/>
        <v>38.074616879691767</v>
      </c>
      <c r="B9" s="40">
        <f>IF(H9&gt;$H$2,"",3)</f>
        <v>3</v>
      </c>
      <c r="C9" s="41" t="s">
        <v>48</v>
      </c>
      <c r="D9" s="41"/>
      <c r="E9" s="41"/>
      <c r="F9" s="41"/>
      <c r="G9" s="28"/>
      <c r="H9" s="170">
        <v>3</v>
      </c>
      <c r="I9" s="171">
        <f t="shared" si="0"/>
        <v>22.335823331374595</v>
      </c>
      <c r="J9" s="170">
        <f t="shared" si="5"/>
        <v>1</v>
      </c>
      <c r="K9" s="170">
        <f t="shared" si="1"/>
        <v>10</v>
      </c>
      <c r="L9" s="172">
        <f>K2</f>
        <v>5.738793548317167</v>
      </c>
      <c r="M9" s="172">
        <f t="shared" si="2"/>
        <v>38.074616879691767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48</v>
      </c>
      <c r="AI9" s="160">
        <v>23</v>
      </c>
    </row>
    <row r="10" spans="1:36" ht="14.45" customHeight="1" x14ac:dyDescent="0.25">
      <c r="A10" s="87">
        <f t="shared" si="3"/>
        <v>9.472713708001109</v>
      </c>
      <c r="B10" s="34">
        <f t="shared" si="4"/>
        <v>5</v>
      </c>
      <c r="C10" s="35" t="s">
        <v>48</v>
      </c>
      <c r="D10" s="35"/>
      <c r="E10" s="35"/>
      <c r="F10" s="35"/>
      <c r="G10" s="28"/>
      <c r="H10" s="167">
        <v>5</v>
      </c>
      <c r="I10" s="168">
        <f t="shared" si="0"/>
        <v>9.472713708001109</v>
      </c>
      <c r="J10" s="167">
        <f t="shared" si="5"/>
        <v>0</v>
      </c>
      <c r="K10" s="167">
        <f t="shared" si="1"/>
        <v>0</v>
      </c>
      <c r="L10" s="167"/>
      <c r="M10" s="169">
        <f t="shared" si="2"/>
        <v>9.472713708001109</v>
      </c>
      <c r="V10" s="173"/>
      <c r="Z10" s="174"/>
      <c r="AA10" s="174"/>
      <c r="AG10" s="175"/>
      <c r="AH10" s="160" t="s">
        <v>50</v>
      </c>
      <c r="AI10" s="160">
        <v>45</v>
      </c>
    </row>
    <row r="11" spans="1:36" ht="14.45" customHeight="1" x14ac:dyDescent="0.25">
      <c r="A11" s="91">
        <f t="shared" si="3"/>
        <v>4.8816711630815135</v>
      </c>
      <c r="B11" s="40">
        <f t="shared" si="4"/>
        <v>6</v>
      </c>
      <c r="C11" s="41" t="s">
        <v>48</v>
      </c>
      <c r="D11" s="41"/>
      <c r="E11" s="41"/>
      <c r="F11" s="41"/>
      <c r="G11" s="28"/>
      <c r="H11" s="170">
        <v>6</v>
      </c>
      <c r="I11" s="171">
        <f t="shared" si="0"/>
        <v>4.8816711630815135</v>
      </c>
      <c r="J11" s="170">
        <f t="shared" si="5"/>
        <v>0</v>
      </c>
      <c r="K11" s="170">
        <f t="shared" si="1"/>
        <v>0</v>
      </c>
      <c r="L11" s="170"/>
      <c r="M11" s="172">
        <f t="shared" si="2"/>
        <v>4.8816711630815135</v>
      </c>
      <c r="V11" s="176"/>
      <c r="Z11" s="174"/>
      <c r="AA11" s="174"/>
      <c r="AG11" s="175"/>
      <c r="AH11" s="160" t="s">
        <v>52</v>
      </c>
      <c r="AI11" s="160">
        <v>50</v>
      </c>
    </row>
    <row r="12" spans="1:36" ht="14.45" customHeight="1" x14ac:dyDescent="0.25">
      <c r="A12" s="87">
        <f t="shared" si="3"/>
        <v>1</v>
      </c>
      <c r="B12" s="34">
        <f t="shared" si="4"/>
        <v>7</v>
      </c>
      <c r="C12" s="35" t="s">
        <v>48</v>
      </c>
      <c r="D12" s="35"/>
      <c r="E12" s="35"/>
      <c r="F12" s="35"/>
      <c r="G12" s="28"/>
      <c r="H12" s="167">
        <v>7</v>
      </c>
      <c r="I12" s="168">
        <f t="shared" si="0"/>
        <v>1</v>
      </c>
      <c r="J12" s="167">
        <f t="shared" si="5"/>
        <v>0</v>
      </c>
      <c r="K12" s="167">
        <f t="shared" si="1"/>
        <v>0</v>
      </c>
      <c r="L12" s="167"/>
      <c r="M12" s="169">
        <f t="shared" si="2"/>
        <v>1</v>
      </c>
      <c r="Z12" s="174"/>
      <c r="AA12" s="174"/>
      <c r="AG12" s="175"/>
      <c r="AH12" s="160" t="s">
        <v>53</v>
      </c>
      <c r="AI12" s="160">
        <f>AI11-1</f>
        <v>49</v>
      </c>
    </row>
    <row r="13" spans="1:36" ht="14.45" customHeight="1" x14ac:dyDescent="0.25">
      <c r="A13" s="91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0">
        <v>8</v>
      </c>
      <c r="I13" s="171" t="str">
        <f t="shared" si="0"/>
        <v/>
      </c>
      <c r="J13" s="170">
        <f t="shared" si="5"/>
        <v>0</v>
      </c>
      <c r="K13" s="170">
        <f t="shared" si="1"/>
        <v>0</v>
      </c>
      <c r="L13" s="170"/>
      <c r="M13" s="172">
        <f t="shared" si="2"/>
        <v>0</v>
      </c>
      <c r="X13" s="173"/>
      <c r="AG13" s="175"/>
      <c r="AH13" s="160" t="s">
        <v>54</v>
      </c>
      <c r="AI13" s="160">
        <f>LOG(AI9)</f>
        <v>1.3617278360175928</v>
      </c>
    </row>
    <row r="14" spans="1:36" x14ac:dyDescent="0.25">
      <c r="A14" s="87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7">
        <v>9</v>
      </c>
      <c r="I14" s="168" t="str">
        <f t="shared" si="0"/>
        <v/>
      </c>
      <c r="J14" s="167">
        <f t="shared" si="5"/>
        <v>-1</v>
      </c>
      <c r="K14" s="167">
        <f t="shared" si="1"/>
        <v>-10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55</v>
      </c>
      <c r="AI14" s="160">
        <f>LOG(AI10)</f>
        <v>1.6532125137753437</v>
      </c>
    </row>
    <row r="15" spans="1:36" x14ac:dyDescent="0.25">
      <c r="A15" s="91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0">
        <v>10</v>
      </c>
      <c r="I15" s="171" t="str">
        <f t="shared" si="0"/>
        <v/>
      </c>
      <c r="J15" s="170">
        <f t="shared" si="5"/>
        <v>-1</v>
      </c>
      <c r="K15" s="170">
        <f t="shared" si="1"/>
        <v>-10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87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7">
        <v>11</v>
      </c>
      <c r="I16" s="168" t="str">
        <f t="shared" si="0"/>
        <v/>
      </c>
      <c r="J16" s="167">
        <f t="shared" si="5"/>
        <v>-1</v>
      </c>
      <c r="K16" s="167">
        <f t="shared" si="1"/>
        <v>-10</v>
      </c>
      <c r="L16" s="167"/>
      <c r="M16" s="169">
        <f t="shared" si="2"/>
        <v>0</v>
      </c>
      <c r="R16" s="178"/>
      <c r="Z16" s="174"/>
      <c r="AA16" s="174"/>
      <c r="AH16" s="179" t="s">
        <v>56</v>
      </c>
      <c r="AI16" s="160">
        <f>AI11-AI12*AI13/AI14</f>
        <v>9.6393909380186855</v>
      </c>
      <c r="AJ16" s="160" t="s">
        <v>57</v>
      </c>
    </row>
    <row r="17" spans="1:19" x14ac:dyDescent="0.25">
      <c r="A17" s="91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0">
        <v>12</v>
      </c>
      <c r="I17" s="171" t="str">
        <f t="shared" si="0"/>
        <v/>
      </c>
      <c r="J17" s="170">
        <f t="shared" si="5"/>
        <v>-1</v>
      </c>
      <c r="K17" s="170">
        <f t="shared" si="1"/>
        <v>-10</v>
      </c>
      <c r="L17" s="170"/>
      <c r="M17" s="172">
        <f t="shared" si="2"/>
        <v>0</v>
      </c>
    </row>
    <row r="18" spans="1:19" x14ac:dyDescent="0.25">
      <c r="A18" s="87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7">
        <v>13</v>
      </c>
      <c r="I18" s="168" t="str">
        <f t="shared" si="0"/>
        <v/>
      </c>
      <c r="J18" s="167">
        <f t="shared" si="5"/>
        <v>-1</v>
      </c>
      <c r="K18" s="167">
        <f t="shared" si="1"/>
        <v>-10</v>
      </c>
      <c r="L18" s="167"/>
      <c r="M18" s="169">
        <f t="shared" si="2"/>
        <v>0</v>
      </c>
    </row>
    <row r="19" spans="1:19" x14ac:dyDescent="0.25">
      <c r="A19" s="91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0">
        <v>14</v>
      </c>
      <c r="I19" s="171" t="str">
        <f t="shared" si="0"/>
        <v/>
      </c>
      <c r="J19" s="170">
        <f t="shared" si="5"/>
        <v>-1</v>
      </c>
      <c r="K19" s="170">
        <f t="shared" si="1"/>
        <v>-10</v>
      </c>
      <c r="L19" s="170"/>
      <c r="M19" s="172">
        <f t="shared" si="2"/>
        <v>0</v>
      </c>
    </row>
    <row r="20" spans="1:19" x14ac:dyDescent="0.25">
      <c r="A20" s="87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7">
        <v>15</v>
      </c>
      <c r="I20" s="168" t="str">
        <f t="shared" si="0"/>
        <v/>
      </c>
      <c r="J20" s="167">
        <f t="shared" si="5"/>
        <v>-1</v>
      </c>
      <c r="K20" s="167">
        <f t="shared" si="1"/>
        <v>-10</v>
      </c>
      <c r="L20" s="167"/>
      <c r="M20" s="169">
        <f t="shared" si="2"/>
        <v>0</v>
      </c>
      <c r="R20" s="180"/>
      <c r="S20" s="181"/>
    </row>
    <row r="21" spans="1:19" x14ac:dyDescent="0.25">
      <c r="A21" s="91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0">
        <v>16</v>
      </c>
      <c r="I21" s="171" t="str">
        <f t="shared" si="0"/>
        <v/>
      </c>
      <c r="J21" s="170">
        <f t="shared" si="5"/>
        <v>-1</v>
      </c>
      <c r="K21" s="170">
        <f t="shared" si="1"/>
        <v>-10</v>
      </c>
      <c r="L21" s="170"/>
      <c r="M21" s="172">
        <f t="shared" si="2"/>
        <v>0</v>
      </c>
    </row>
    <row r="22" spans="1:19" x14ac:dyDescent="0.25">
      <c r="A22" s="87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7">
        <v>17</v>
      </c>
      <c r="I22" s="168" t="str">
        <f t="shared" si="0"/>
        <v/>
      </c>
      <c r="J22" s="167">
        <f t="shared" si="5"/>
        <v>-2</v>
      </c>
      <c r="K22" s="167">
        <f t="shared" si="1"/>
        <v>-20</v>
      </c>
      <c r="L22" s="167"/>
      <c r="M22" s="169">
        <f t="shared" si="2"/>
        <v>0</v>
      </c>
    </row>
    <row r="23" spans="1:19" x14ac:dyDescent="0.25">
      <c r="A23" s="91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0">
        <v>18</v>
      </c>
      <c r="I23" s="171" t="str">
        <f t="shared" si="0"/>
        <v/>
      </c>
      <c r="J23" s="170">
        <f t="shared" si="5"/>
        <v>-2</v>
      </c>
      <c r="K23" s="170">
        <f t="shared" si="1"/>
        <v>-20</v>
      </c>
      <c r="L23" s="170"/>
      <c r="M23" s="172">
        <f t="shared" si="2"/>
        <v>0</v>
      </c>
    </row>
    <row r="24" spans="1:19" x14ac:dyDescent="0.25">
      <c r="A24" s="87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7">
        <v>19</v>
      </c>
      <c r="I24" s="168" t="str">
        <f t="shared" si="0"/>
        <v/>
      </c>
      <c r="J24" s="167">
        <f t="shared" si="5"/>
        <v>-2</v>
      </c>
      <c r="K24" s="167">
        <f t="shared" si="1"/>
        <v>-20</v>
      </c>
      <c r="L24" s="167"/>
      <c r="M24" s="169">
        <f t="shared" si="2"/>
        <v>0</v>
      </c>
      <c r="R24" s="180"/>
      <c r="S24" s="181"/>
    </row>
    <row r="25" spans="1:19" x14ac:dyDescent="0.25">
      <c r="A25" s="91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0">
        <v>20</v>
      </c>
      <c r="I25" s="171" t="str">
        <f t="shared" si="0"/>
        <v/>
      </c>
      <c r="J25" s="170">
        <f t="shared" si="5"/>
        <v>-2</v>
      </c>
      <c r="K25" s="170">
        <f t="shared" si="1"/>
        <v>-20</v>
      </c>
      <c r="L25" s="170"/>
      <c r="M25" s="172">
        <f t="shared" si="2"/>
        <v>0</v>
      </c>
    </row>
    <row r="26" spans="1:19" x14ac:dyDescent="0.25">
      <c r="A26" s="87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7">
        <v>21</v>
      </c>
      <c r="I26" s="168" t="str">
        <f t="shared" si="0"/>
        <v/>
      </c>
      <c r="J26" s="167">
        <f t="shared" si="5"/>
        <v>-2</v>
      </c>
      <c r="K26" s="167">
        <f t="shared" si="1"/>
        <v>-20</v>
      </c>
      <c r="L26" s="167"/>
      <c r="M26" s="169">
        <f t="shared" si="2"/>
        <v>0</v>
      </c>
    </row>
    <row r="27" spans="1:19" x14ac:dyDescent="0.25">
      <c r="A27" s="91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0">
        <v>22</v>
      </c>
      <c r="I27" s="171" t="str">
        <f t="shared" si="0"/>
        <v/>
      </c>
      <c r="J27" s="170">
        <f t="shared" si="5"/>
        <v>-2</v>
      </c>
      <c r="K27" s="170">
        <f t="shared" si="1"/>
        <v>-20</v>
      </c>
      <c r="L27" s="170"/>
      <c r="M27" s="172">
        <f t="shared" si="2"/>
        <v>0</v>
      </c>
    </row>
    <row r="28" spans="1:19" x14ac:dyDescent="0.25">
      <c r="A28" s="87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7">
        <v>23</v>
      </c>
      <c r="I28" s="168" t="str">
        <f t="shared" si="0"/>
        <v/>
      </c>
      <c r="J28" s="167">
        <f t="shared" si="5"/>
        <v>-2</v>
      </c>
      <c r="K28" s="167">
        <f t="shared" si="1"/>
        <v>-20</v>
      </c>
      <c r="L28" s="167"/>
      <c r="M28" s="169">
        <f t="shared" si="2"/>
        <v>0</v>
      </c>
      <c r="R28" s="180"/>
      <c r="S28" s="181"/>
    </row>
    <row r="29" spans="1:19" x14ac:dyDescent="0.25">
      <c r="A29" s="91">
        <f t="shared" si="3"/>
        <v>0</v>
      </c>
      <c r="B29" s="40" t="str">
        <f t="shared" si="4"/>
        <v/>
      </c>
      <c r="C29" s="41"/>
      <c r="D29" s="41"/>
      <c r="E29" s="41"/>
      <c r="F29" s="41"/>
      <c r="G29" s="155"/>
      <c r="H29" s="170">
        <v>24</v>
      </c>
      <c r="I29" s="171" t="str">
        <f t="shared" si="0"/>
        <v/>
      </c>
      <c r="J29" s="170">
        <f t="shared" si="5"/>
        <v>-2</v>
      </c>
      <c r="K29" s="170">
        <f t="shared" si="1"/>
        <v>-20</v>
      </c>
      <c r="L29" s="170"/>
      <c r="M29" s="172">
        <f t="shared" si="2"/>
        <v>0</v>
      </c>
    </row>
    <row r="30" spans="1:19" x14ac:dyDescent="0.25">
      <c r="A30" s="87">
        <f t="shared" si="3"/>
        <v>0</v>
      </c>
      <c r="B30" s="34" t="str">
        <f t="shared" si="4"/>
        <v/>
      </c>
      <c r="C30" s="35"/>
      <c r="D30" s="35"/>
      <c r="E30" s="35"/>
      <c r="F30" s="35"/>
      <c r="G30" s="155"/>
      <c r="H30" s="167">
        <v>25</v>
      </c>
      <c r="I30" s="168" t="str">
        <f t="shared" si="0"/>
        <v/>
      </c>
      <c r="J30" s="167">
        <f t="shared" si="5"/>
        <v>-2</v>
      </c>
      <c r="K30" s="167">
        <f t="shared" si="1"/>
        <v>-20</v>
      </c>
      <c r="L30" s="167"/>
      <c r="M30" s="169">
        <f t="shared" si="2"/>
        <v>0</v>
      </c>
    </row>
    <row r="31" spans="1:19" x14ac:dyDescent="0.25">
      <c r="A31" s="91">
        <f t="shared" si="3"/>
        <v>0</v>
      </c>
      <c r="B31" s="40" t="str">
        <f t="shared" si="4"/>
        <v/>
      </c>
      <c r="C31" s="41"/>
      <c r="D31" s="41"/>
      <c r="E31" s="41"/>
      <c r="F31" s="41"/>
      <c r="G31" s="155"/>
      <c r="H31" s="170">
        <v>26</v>
      </c>
      <c r="I31" s="171" t="str">
        <f t="shared" si="0"/>
        <v/>
      </c>
      <c r="J31" s="170">
        <f t="shared" si="5"/>
        <v>-2</v>
      </c>
      <c r="K31" s="170">
        <f t="shared" si="1"/>
        <v>-20</v>
      </c>
      <c r="L31" s="170"/>
      <c r="M31" s="172">
        <f t="shared" si="2"/>
        <v>0</v>
      </c>
    </row>
    <row r="32" spans="1:19" x14ac:dyDescent="0.25">
      <c r="A32" s="87">
        <f t="shared" si="3"/>
        <v>0</v>
      </c>
      <c r="B32" s="34" t="str">
        <f t="shared" si="4"/>
        <v/>
      </c>
      <c r="C32" s="35"/>
      <c r="D32" s="35"/>
      <c r="E32" s="35"/>
      <c r="F32" s="35"/>
      <c r="G32" s="155"/>
      <c r="H32" s="167">
        <v>27</v>
      </c>
      <c r="I32" s="168" t="str">
        <f t="shared" si="0"/>
        <v/>
      </c>
      <c r="J32" s="167">
        <f t="shared" si="5"/>
        <v>-2</v>
      </c>
      <c r="K32" s="167">
        <f t="shared" si="1"/>
        <v>-20</v>
      </c>
      <c r="L32" s="167"/>
      <c r="M32" s="169">
        <f t="shared" si="2"/>
        <v>0</v>
      </c>
      <c r="R32" s="180"/>
      <c r="S32" s="181"/>
    </row>
    <row r="33" spans="1:21" x14ac:dyDescent="0.25">
      <c r="A33" s="91">
        <f t="shared" si="3"/>
        <v>0</v>
      </c>
      <c r="B33" s="40" t="str">
        <f t="shared" si="4"/>
        <v/>
      </c>
      <c r="C33" s="41"/>
      <c r="D33" s="41"/>
      <c r="E33" s="41"/>
      <c r="F33" s="41"/>
      <c r="G33" s="155"/>
      <c r="H33" s="170">
        <v>28</v>
      </c>
      <c r="I33" s="171" t="str">
        <f t="shared" si="0"/>
        <v/>
      </c>
      <c r="J33" s="170">
        <f t="shared" si="5"/>
        <v>-2</v>
      </c>
      <c r="K33" s="170">
        <f t="shared" si="1"/>
        <v>-20</v>
      </c>
      <c r="L33" s="170"/>
      <c r="M33" s="172">
        <f t="shared" si="2"/>
        <v>0</v>
      </c>
    </row>
    <row r="34" spans="1:21" x14ac:dyDescent="0.25">
      <c r="A34" s="87">
        <f t="shared" si="3"/>
        <v>0</v>
      </c>
      <c r="B34" s="34" t="str">
        <f t="shared" si="4"/>
        <v/>
      </c>
      <c r="C34" s="35"/>
      <c r="D34" s="35"/>
      <c r="E34" s="35"/>
      <c r="F34" s="35"/>
      <c r="G34" s="155"/>
      <c r="H34" s="167">
        <v>29</v>
      </c>
      <c r="I34" s="168" t="str">
        <f t="shared" si="0"/>
        <v/>
      </c>
      <c r="J34" s="167">
        <f t="shared" si="5"/>
        <v>-2</v>
      </c>
      <c r="K34" s="167">
        <f t="shared" si="1"/>
        <v>-20</v>
      </c>
      <c r="L34" s="167"/>
      <c r="M34" s="169">
        <f t="shared" si="2"/>
        <v>0</v>
      </c>
    </row>
    <row r="35" spans="1:21" x14ac:dyDescent="0.25">
      <c r="A35" s="91">
        <f t="shared" si="3"/>
        <v>0</v>
      </c>
      <c r="B35" s="40" t="str">
        <f t="shared" si="4"/>
        <v/>
      </c>
      <c r="C35" s="41"/>
      <c r="D35" s="41"/>
      <c r="E35" s="41"/>
      <c r="F35" s="41"/>
      <c r="G35" s="155"/>
      <c r="H35" s="170">
        <v>30</v>
      </c>
      <c r="I35" s="171" t="str">
        <f t="shared" si="0"/>
        <v/>
      </c>
      <c r="J35" s="170">
        <f t="shared" si="5"/>
        <v>-2</v>
      </c>
      <c r="K35" s="170">
        <f t="shared" si="1"/>
        <v>-20</v>
      </c>
      <c r="L35" s="170"/>
      <c r="M35" s="172">
        <f t="shared" si="2"/>
        <v>0</v>
      </c>
    </row>
    <row r="36" spans="1:21" x14ac:dyDescent="0.25">
      <c r="A36" s="87">
        <f t="shared" si="3"/>
        <v>0</v>
      </c>
      <c r="B36" s="34" t="str">
        <f t="shared" si="4"/>
        <v/>
      </c>
      <c r="C36" s="35"/>
      <c r="D36" s="35"/>
      <c r="E36" s="35"/>
      <c r="F36" s="35"/>
      <c r="G36" s="155"/>
      <c r="H36" s="167">
        <v>31</v>
      </c>
      <c r="I36" s="168" t="str">
        <f t="shared" si="0"/>
        <v/>
      </c>
      <c r="J36" s="167">
        <f t="shared" si="5"/>
        <v>-2</v>
      </c>
      <c r="K36" s="167">
        <f t="shared" si="1"/>
        <v>-20</v>
      </c>
      <c r="L36" s="167"/>
      <c r="M36" s="169">
        <f t="shared" si="2"/>
        <v>0</v>
      </c>
      <c r="R36" s="180"/>
      <c r="S36" s="181"/>
    </row>
    <row r="37" spans="1:21" x14ac:dyDescent="0.25">
      <c r="A37" s="91">
        <f t="shared" si="3"/>
        <v>0</v>
      </c>
      <c r="B37" s="40" t="str">
        <f t="shared" si="4"/>
        <v/>
      </c>
      <c r="C37" s="41"/>
      <c r="D37" s="41"/>
      <c r="E37" s="41"/>
      <c r="F37" s="41"/>
      <c r="G37" s="155"/>
      <c r="H37" s="170">
        <v>32</v>
      </c>
      <c r="I37" s="171" t="str">
        <f t="shared" si="0"/>
        <v/>
      </c>
      <c r="J37" s="170">
        <f t="shared" si="5"/>
        <v>-2</v>
      </c>
      <c r="K37" s="170">
        <f t="shared" si="1"/>
        <v>-20</v>
      </c>
      <c r="L37" s="170"/>
      <c r="M37" s="172">
        <f t="shared" si="2"/>
        <v>0</v>
      </c>
    </row>
    <row r="38" spans="1:21" x14ac:dyDescent="0.25">
      <c r="A38" s="87"/>
      <c r="B38" s="34" t="str">
        <f t="shared" si="4"/>
        <v/>
      </c>
      <c r="C38" s="35"/>
      <c r="D38" s="35"/>
      <c r="E38" s="35"/>
      <c r="F38" s="35"/>
      <c r="G38" s="155"/>
      <c r="H38" s="167">
        <v>33</v>
      </c>
      <c r="I38" s="168" t="str">
        <f t="shared" si="0"/>
        <v/>
      </c>
      <c r="J38" s="167">
        <f t="shared" si="5"/>
        <v>-3</v>
      </c>
      <c r="K38" s="167">
        <f t="shared" si="1"/>
        <v>-30</v>
      </c>
      <c r="L38" s="167"/>
      <c r="M38" s="169">
        <f t="shared" si="2"/>
        <v>0</v>
      </c>
    </row>
    <row r="39" spans="1:21" x14ac:dyDescent="0.25">
      <c r="A39" s="91"/>
      <c r="B39" s="40" t="str">
        <f t="shared" si="4"/>
        <v/>
      </c>
      <c r="C39" s="41"/>
      <c r="D39" s="41"/>
      <c r="E39" s="41"/>
      <c r="F39" s="41"/>
      <c r="G39" s="155"/>
      <c r="H39" s="170">
        <v>34</v>
      </c>
      <c r="I39" s="171" t="str">
        <f t="shared" si="0"/>
        <v/>
      </c>
      <c r="J39" s="170">
        <f t="shared" si="5"/>
        <v>-3</v>
      </c>
      <c r="K39" s="170">
        <f t="shared" si="1"/>
        <v>-30</v>
      </c>
      <c r="L39" s="170"/>
      <c r="M39" s="172">
        <f t="shared" si="2"/>
        <v>0</v>
      </c>
    </row>
    <row r="40" spans="1:21" x14ac:dyDescent="0.25">
      <c r="A40" s="87"/>
      <c r="B40" s="34" t="str">
        <f t="shared" si="4"/>
        <v/>
      </c>
      <c r="C40" s="35"/>
      <c r="D40" s="35"/>
      <c r="E40" s="35"/>
      <c r="F40" s="35"/>
      <c r="G40" s="155"/>
      <c r="H40" s="167">
        <v>35</v>
      </c>
      <c r="I40" s="168" t="str">
        <f t="shared" si="0"/>
        <v/>
      </c>
      <c r="J40" s="167">
        <f t="shared" si="5"/>
        <v>-3</v>
      </c>
      <c r="K40" s="167">
        <f t="shared" si="1"/>
        <v>-30</v>
      </c>
      <c r="L40" s="167"/>
      <c r="M40" s="169">
        <f t="shared" si="2"/>
        <v>0</v>
      </c>
    </row>
    <row r="41" spans="1:21" x14ac:dyDescent="0.25">
      <c r="A41" s="91"/>
      <c r="B41" s="40" t="str">
        <f t="shared" si="4"/>
        <v/>
      </c>
      <c r="C41" s="41"/>
      <c r="D41" s="41"/>
      <c r="E41" s="41"/>
      <c r="F41" s="41"/>
      <c r="G41" s="155"/>
      <c r="H41" s="170">
        <v>36</v>
      </c>
      <c r="I41" s="171" t="str">
        <f t="shared" si="0"/>
        <v/>
      </c>
      <c r="J41" s="170">
        <f t="shared" si="5"/>
        <v>-3</v>
      </c>
      <c r="K41" s="170">
        <f t="shared" si="1"/>
        <v>-30</v>
      </c>
      <c r="L41" s="170"/>
      <c r="M41" s="172">
        <f t="shared" si="2"/>
        <v>0</v>
      </c>
      <c r="S41" s="182"/>
    </row>
    <row r="42" spans="1:21" x14ac:dyDescent="0.25">
      <c r="A42" s="87"/>
      <c r="B42" s="34" t="str">
        <f t="shared" si="4"/>
        <v/>
      </c>
      <c r="C42" s="35"/>
      <c r="D42" s="35"/>
      <c r="E42" s="35"/>
      <c r="F42" s="35"/>
      <c r="G42" s="155"/>
      <c r="H42" s="167">
        <v>37</v>
      </c>
      <c r="I42" s="168" t="str">
        <f t="shared" si="0"/>
        <v/>
      </c>
      <c r="J42" s="167">
        <f t="shared" si="5"/>
        <v>-3</v>
      </c>
      <c r="K42" s="167">
        <f t="shared" si="1"/>
        <v>-30</v>
      </c>
      <c r="L42" s="167"/>
      <c r="M42" s="169">
        <f t="shared" si="2"/>
        <v>0</v>
      </c>
    </row>
    <row r="43" spans="1:21" x14ac:dyDescent="0.25">
      <c r="A43" s="91"/>
      <c r="B43" s="40" t="str">
        <f t="shared" si="4"/>
        <v/>
      </c>
      <c r="C43" s="41"/>
      <c r="D43" s="41"/>
      <c r="E43" s="41"/>
      <c r="F43" s="41"/>
      <c r="G43" s="155"/>
      <c r="H43" s="170">
        <v>38</v>
      </c>
      <c r="I43" s="171" t="str">
        <f t="shared" si="0"/>
        <v/>
      </c>
      <c r="J43" s="170">
        <f t="shared" si="5"/>
        <v>-3</v>
      </c>
      <c r="K43" s="170">
        <f t="shared" si="1"/>
        <v>-30</v>
      </c>
      <c r="L43" s="170"/>
      <c r="M43" s="172">
        <f t="shared" si="2"/>
        <v>0</v>
      </c>
    </row>
    <row r="44" spans="1:21" x14ac:dyDescent="0.25">
      <c r="A44" s="87"/>
      <c r="B44" s="34" t="str">
        <f t="shared" si="4"/>
        <v/>
      </c>
      <c r="C44" s="35"/>
      <c r="D44" s="35"/>
      <c r="E44" s="35"/>
      <c r="F44" s="35"/>
      <c r="G44" s="155"/>
      <c r="H44" s="167">
        <v>39</v>
      </c>
      <c r="I44" s="168" t="str">
        <f t="shared" si="0"/>
        <v/>
      </c>
      <c r="J44" s="167">
        <f t="shared" si="5"/>
        <v>-3</v>
      </c>
      <c r="K44" s="167">
        <f t="shared" si="1"/>
        <v>-30</v>
      </c>
      <c r="L44" s="167"/>
      <c r="M44" s="169">
        <f t="shared" si="2"/>
        <v>0</v>
      </c>
    </row>
    <row r="45" spans="1:21" x14ac:dyDescent="0.25">
      <c r="A45" s="91"/>
      <c r="B45" s="40" t="str">
        <f t="shared" si="4"/>
        <v/>
      </c>
      <c r="C45" s="41"/>
      <c r="D45" s="41"/>
      <c r="E45" s="41"/>
      <c r="F45" s="41"/>
      <c r="G45" s="155"/>
      <c r="H45" s="170">
        <v>40</v>
      </c>
      <c r="I45" s="171" t="str">
        <f t="shared" si="0"/>
        <v/>
      </c>
      <c r="J45" s="170">
        <f t="shared" si="5"/>
        <v>-3</v>
      </c>
      <c r="K45" s="170">
        <f t="shared" si="1"/>
        <v>-30</v>
      </c>
      <c r="L45" s="170"/>
      <c r="M45" s="172">
        <f t="shared" si="2"/>
        <v>0</v>
      </c>
    </row>
    <row r="46" spans="1:21" x14ac:dyDescent="0.25">
      <c r="A46" s="87"/>
      <c r="B46" s="34" t="str">
        <f t="shared" si="4"/>
        <v/>
      </c>
      <c r="C46" s="35"/>
      <c r="D46" s="35"/>
      <c r="E46" s="35"/>
      <c r="F46" s="35"/>
      <c r="G46" s="155"/>
      <c r="H46" s="167">
        <v>41</v>
      </c>
      <c r="I46" s="168" t="str">
        <f t="shared" si="0"/>
        <v/>
      </c>
      <c r="J46" s="167">
        <f t="shared" si="5"/>
        <v>-3</v>
      </c>
      <c r="K46" s="167">
        <f t="shared" si="1"/>
        <v>-30</v>
      </c>
      <c r="L46" s="167"/>
      <c r="M46" s="169">
        <f t="shared" si="2"/>
        <v>0</v>
      </c>
      <c r="R46" s="155">
        <f>LOG($H$2,2)</f>
        <v>2.8073549220576042</v>
      </c>
      <c r="T46" s="160">
        <f>LOG(H38,2)</f>
        <v>5.0443941193584534</v>
      </c>
      <c r="U46" s="160">
        <f>R46-T46</f>
        <v>-2.2370391973008492</v>
      </c>
    </row>
    <row r="47" spans="1:21" x14ac:dyDescent="0.25">
      <c r="A47" s="91"/>
      <c r="B47" s="40" t="str">
        <f t="shared" si="4"/>
        <v/>
      </c>
      <c r="C47" s="41"/>
      <c r="D47" s="41"/>
      <c r="E47" s="41"/>
      <c r="F47" s="41"/>
      <c r="G47" s="155"/>
      <c r="H47" s="170">
        <v>42</v>
      </c>
      <c r="I47" s="171" t="str">
        <f t="shared" si="0"/>
        <v/>
      </c>
      <c r="J47" s="170">
        <f t="shared" si="5"/>
        <v>-3</v>
      </c>
      <c r="K47" s="170">
        <f t="shared" si="1"/>
        <v>-30</v>
      </c>
      <c r="L47" s="170"/>
      <c r="M47" s="172">
        <f t="shared" si="2"/>
        <v>0</v>
      </c>
    </row>
    <row r="48" spans="1:21" x14ac:dyDescent="0.25">
      <c r="A48" s="87"/>
      <c r="B48" s="34" t="str">
        <f t="shared" si="4"/>
        <v/>
      </c>
      <c r="C48" s="35"/>
      <c r="D48" s="35"/>
      <c r="E48" s="35"/>
      <c r="F48" s="35"/>
      <c r="G48" s="155"/>
      <c r="H48" s="167">
        <v>43</v>
      </c>
      <c r="I48" s="168" t="str">
        <f t="shared" si="0"/>
        <v/>
      </c>
      <c r="J48" s="167">
        <f t="shared" si="5"/>
        <v>-3</v>
      </c>
      <c r="K48" s="167">
        <f t="shared" si="1"/>
        <v>-30</v>
      </c>
      <c r="L48" s="167"/>
      <c r="M48" s="169">
        <f t="shared" si="2"/>
        <v>0</v>
      </c>
    </row>
    <row r="49" spans="1:13" x14ac:dyDescent="0.25">
      <c r="A49" s="91"/>
      <c r="B49" s="40" t="str">
        <f t="shared" si="4"/>
        <v/>
      </c>
      <c r="C49" s="41"/>
      <c r="D49" s="41"/>
      <c r="E49" s="41"/>
      <c r="F49" s="41"/>
      <c r="G49" s="155"/>
      <c r="H49" s="170">
        <v>44</v>
      </c>
      <c r="I49" s="171" t="str">
        <f t="shared" si="0"/>
        <v/>
      </c>
      <c r="J49" s="170">
        <f t="shared" si="5"/>
        <v>-3</v>
      </c>
      <c r="K49" s="170">
        <f t="shared" si="1"/>
        <v>-30</v>
      </c>
      <c r="L49" s="170"/>
      <c r="M49" s="172">
        <f t="shared" si="2"/>
        <v>0</v>
      </c>
    </row>
    <row r="50" spans="1:13" x14ac:dyDescent="0.25">
      <c r="A50" s="87"/>
      <c r="B50" s="34" t="str">
        <f t="shared" si="4"/>
        <v/>
      </c>
      <c r="C50" s="35"/>
      <c r="D50" s="35"/>
      <c r="E50" s="35"/>
      <c r="F50" s="35"/>
      <c r="G50" s="155"/>
      <c r="H50" s="167">
        <v>45</v>
      </c>
      <c r="I50" s="168" t="str">
        <f t="shared" si="0"/>
        <v/>
      </c>
      <c r="J50" s="167">
        <f t="shared" si="5"/>
        <v>-3</v>
      </c>
      <c r="K50" s="167">
        <f t="shared" si="1"/>
        <v>-30</v>
      </c>
      <c r="L50" s="167"/>
      <c r="M50" s="169">
        <f t="shared" si="2"/>
        <v>0</v>
      </c>
    </row>
    <row r="51" spans="1:13" x14ac:dyDescent="0.25">
      <c r="A51" s="91"/>
      <c r="B51" s="40" t="str">
        <f t="shared" si="4"/>
        <v/>
      </c>
      <c r="C51" s="41"/>
      <c r="D51" s="41"/>
      <c r="E51" s="41"/>
      <c r="F51" s="41"/>
      <c r="G51" s="155"/>
      <c r="H51" s="170">
        <v>46</v>
      </c>
      <c r="I51" s="171" t="str">
        <f t="shared" si="0"/>
        <v/>
      </c>
      <c r="J51" s="170">
        <f t="shared" si="5"/>
        <v>-3</v>
      </c>
      <c r="K51" s="170">
        <f t="shared" si="1"/>
        <v>-30</v>
      </c>
      <c r="L51" s="170"/>
      <c r="M51" s="172">
        <f t="shared" si="2"/>
        <v>0</v>
      </c>
    </row>
    <row r="52" spans="1:13" x14ac:dyDescent="0.25">
      <c r="A52" s="87"/>
      <c r="B52" s="34" t="str">
        <f t="shared" si="4"/>
        <v/>
      </c>
      <c r="C52" s="35"/>
      <c r="D52" s="35"/>
      <c r="E52" s="35"/>
      <c r="F52" s="35"/>
      <c r="G52" s="155"/>
      <c r="H52" s="167">
        <v>47</v>
      </c>
      <c r="I52" s="168" t="str">
        <f t="shared" si="0"/>
        <v/>
      </c>
      <c r="J52" s="167">
        <f t="shared" si="5"/>
        <v>-3</v>
      </c>
      <c r="K52" s="167">
        <f t="shared" si="1"/>
        <v>-30</v>
      </c>
      <c r="L52" s="167"/>
      <c r="M52" s="169">
        <f t="shared" si="2"/>
        <v>0</v>
      </c>
    </row>
    <row r="53" spans="1:13" x14ac:dyDescent="0.25">
      <c r="A53" s="91"/>
      <c r="B53" s="40" t="str">
        <f t="shared" si="4"/>
        <v/>
      </c>
      <c r="C53" s="41"/>
      <c r="D53" s="41"/>
      <c r="E53" s="41"/>
      <c r="F53" s="41"/>
      <c r="G53" s="155"/>
      <c r="H53" s="170">
        <v>48</v>
      </c>
      <c r="I53" s="171" t="str">
        <f t="shared" si="0"/>
        <v/>
      </c>
      <c r="J53" s="170">
        <f t="shared" si="5"/>
        <v>-3</v>
      </c>
      <c r="K53" s="170">
        <f t="shared" si="1"/>
        <v>-30</v>
      </c>
      <c r="L53" s="170"/>
      <c r="M53" s="172">
        <f t="shared" si="2"/>
        <v>0</v>
      </c>
    </row>
    <row r="54" spans="1:13" x14ac:dyDescent="0.25">
      <c r="A54" s="87"/>
      <c r="B54" s="34" t="str">
        <f t="shared" si="4"/>
        <v/>
      </c>
      <c r="C54" s="35"/>
      <c r="D54" s="35"/>
      <c r="E54" s="35"/>
      <c r="F54" s="35"/>
      <c r="G54" s="155"/>
      <c r="H54" s="167">
        <v>49</v>
      </c>
      <c r="I54" s="168" t="str">
        <f t="shared" si="0"/>
        <v/>
      </c>
      <c r="J54" s="167">
        <f t="shared" si="5"/>
        <v>-3</v>
      </c>
      <c r="K54" s="167">
        <f t="shared" si="1"/>
        <v>-30</v>
      </c>
      <c r="L54" s="167"/>
      <c r="M54" s="169">
        <f t="shared" si="2"/>
        <v>0</v>
      </c>
    </row>
    <row r="55" spans="1:13" x14ac:dyDescent="0.25">
      <c r="A55" s="91"/>
      <c r="B55" s="40" t="str">
        <f t="shared" si="4"/>
        <v/>
      </c>
      <c r="C55" s="41"/>
      <c r="D55" s="41"/>
      <c r="E55" s="41"/>
      <c r="F55" s="41"/>
      <c r="G55" s="155"/>
      <c r="H55" s="170">
        <v>50</v>
      </c>
      <c r="I55" s="171" t="str">
        <f t="shared" si="0"/>
        <v/>
      </c>
      <c r="J55" s="170">
        <f t="shared" si="5"/>
        <v>-3</v>
      </c>
      <c r="K55" s="170">
        <f t="shared" si="1"/>
        <v>-30</v>
      </c>
      <c r="L55" s="170"/>
      <c r="M55" s="172">
        <f t="shared" si="2"/>
        <v>0</v>
      </c>
    </row>
    <row r="56" spans="1:13" x14ac:dyDescent="0.25">
      <c r="A56" s="87"/>
      <c r="B56" s="34" t="str">
        <f t="shared" si="4"/>
        <v/>
      </c>
      <c r="C56" s="35"/>
      <c r="D56" s="35"/>
      <c r="E56" s="35"/>
      <c r="F56" s="35"/>
      <c r="G56" s="155"/>
      <c r="H56" s="167">
        <v>51</v>
      </c>
      <c r="I56" s="168" t="str">
        <f t="shared" si="0"/>
        <v/>
      </c>
      <c r="J56" s="167">
        <f t="shared" si="5"/>
        <v>-3</v>
      </c>
      <c r="K56" s="167">
        <f t="shared" si="1"/>
        <v>-30</v>
      </c>
      <c r="L56" s="167"/>
      <c r="M56" s="169">
        <f t="shared" si="2"/>
        <v>0</v>
      </c>
    </row>
    <row r="57" spans="1:13" x14ac:dyDescent="0.25">
      <c r="A57" s="91"/>
      <c r="B57" s="40" t="str">
        <f t="shared" si="4"/>
        <v/>
      </c>
      <c r="C57" s="41"/>
      <c r="D57" s="41"/>
      <c r="E57" s="41"/>
      <c r="F57" s="41"/>
      <c r="G57" s="155"/>
      <c r="H57" s="170">
        <v>52</v>
      </c>
      <c r="I57" s="171" t="str">
        <f t="shared" si="0"/>
        <v/>
      </c>
      <c r="J57" s="170">
        <f t="shared" si="5"/>
        <v>-3</v>
      </c>
      <c r="K57" s="170">
        <f t="shared" si="1"/>
        <v>-30</v>
      </c>
      <c r="L57" s="170"/>
      <c r="M57" s="172">
        <f t="shared" si="2"/>
        <v>0</v>
      </c>
    </row>
    <row r="58" spans="1:13" x14ac:dyDescent="0.25">
      <c r="A58" s="87"/>
      <c r="B58" s="34" t="str">
        <f t="shared" si="4"/>
        <v/>
      </c>
      <c r="C58" s="35"/>
      <c r="D58" s="35"/>
      <c r="E58" s="35"/>
      <c r="F58" s="35"/>
      <c r="G58" s="155"/>
      <c r="H58" s="167">
        <v>53</v>
      </c>
      <c r="I58" s="168" t="str">
        <f t="shared" si="0"/>
        <v/>
      </c>
      <c r="J58" s="167">
        <f t="shared" si="5"/>
        <v>-3</v>
      </c>
      <c r="K58" s="167">
        <f t="shared" si="1"/>
        <v>-30</v>
      </c>
      <c r="L58" s="167"/>
      <c r="M58" s="169">
        <f t="shared" si="2"/>
        <v>0</v>
      </c>
    </row>
    <row r="59" spans="1:13" x14ac:dyDescent="0.25">
      <c r="A59" s="91"/>
      <c r="B59" s="40" t="str">
        <f t="shared" si="4"/>
        <v/>
      </c>
      <c r="C59" s="41"/>
      <c r="D59" s="41"/>
      <c r="E59" s="41"/>
      <c r="F59" s="41"/>
      <c r="G59" s="155"/>
      <c r="H59" s="170">
        <v>54</v>
      </c>
      <c r="I59" s="171" t="str">
        <f t="shared" si="0"/>
        <v/>
      </c>
      <c r="J59" s="170">
        <f t="shared" si="5"/>
        <v>-3</v>
      </c>
      <c r="K59" s="170">
        <f t="shared" si="1"/>
        <v>-30</v>
      </c>
      <c r="L59" s="170"/>
      <c r="M59" s="172">
        <f t="shared" si="2"/>
        <v>0</v>
      </c>
    </row>
    <row r="60" spans="1:13" x14ac:dyDescent="0.25">
      <c r="A60" s="87"/>
      <c r="B60" s="34" t="str">
        <f t="shared" si="4"/>
        <v/>
      </c>
      <c r="C60" s="35"/>
      <c r="D60" s="35"/>
      <c r="E60" s="35"/>
      <c r="F60" s="35"/>
      <c r="G60" s="155"/>
      <c r="H60" s="167">
        <v>55</v>
      </c>
      <c r="I60" s="168" t="str">
        <f t="shared" si="0"/>
        <v/>
      </c>
      <c r="J60" s="167">
        <f t="shared" si="5"/>
        <v>-3</v>
      </c>
      <c r="K60" s="167">
        <f t="shared" si="1"/>
        <v>-30</v>
      </c>
      <c r="L60" s="167"/>
      <c r="M60" s="169">
        <f t="shared" si="2"/>
        <v>0</v>
      </c>
    </row>
    <row r="61" spans="1:13" x14ac:dyDescent="0.25">
      <c r="A61" s="91"/>
      <c r="B61" s="40" t="str">
        <f t="shared" si="4"/>
        <v/>
      </c>
      <c r="C61" s="41"/>
      <c r="D61" s="41"/>
      <c r="E61" s="41"/>
      <c r="F61" s="41"/>
      <c r="G61" s="155"/>
      <c r="H61" s="170">
        <v>56</v>
      </c>
      <c r="I61" s="171" t="str">
        <f t="shared" si="0"/>
        <v/>
      </c>
      <c r="J61" s="170">
        <f t="shared" si="5"/>
        <v>-3</v>
      </c>
      <c r="K61" s="170">
        <f t="shared" si="1"/>
        <v>-30</v>
      </c>
      <c r="L61" s="170"/>
      <c r="M61" s="172">
        <f t="shared" si="2"/>
        <v>0</v>
      </c>
    </row>
    <row r="62" spans="1:13" x14ac:dyDescent="0.25">
      <c r="A62" s="87"/>
      <c r="B62" s="34" t="str">
        <f t="shared" si="4"/>
        <v/>
      </c>
      <c r="C62" s="35"/>
      <c r="D62" s="35"/>
      <c r="E62" s="35"/>
      <c r="F62" s="35"/>
      <c r="G62" s="155"/>
      <c r="H62" s="167">
        <v>57</v>
      </c>
      <c r="I62" s="168" t="str">
        <f t="shared" si="0"/>
        <v/>
      </c>
      <c r="J62" s="167">
        <f t="shared" si="5"/>
        <v>-3</v>
      </c>
      <c r="K62" s="167">
        <f t="shared" si="1"/>
        <v>-30</v>
      </c>
      <c r="L62" s="167"/>
      <c r="M62" s="169">
        <f t="shared" si="2"/>
        <v>0</v>
      </c>
    </row>
    <row r="63" spans="1:13" x14ac:dyDescent="0.25">
      <c r="A63" s="91"/>
      <c r="B63" s="40" t="str">
        <f t="shared" si="4"/>
        <v/>
      </c>
      <c r="C63" s="41"/>
      <c r="D63" s="41"/>
      <c r="E63" s="41"/>
      <c r="F63" s="41"/>
      <c r="G63" s="155"/>
      <c r="H63" s="170">
        <v>58</v>
      </c>
      <c r="I63" s="171" t="str">
        <f t="shared" si="0"/>
        <v/>
      </c>
      <c r="J63" s="170">
        <f t="shared" si="5"/>
        <v>-3</v>
      </c>
      <c r="K63" s="170">
        <f t="shared" si="1"/>
        <v>-30</v>
      </c>
      <c r="L63" s="170"/>
      <c r="M63" s="172">
        <f t="shared" si="2"/>
        <v>0</v>
      </c>
    </row>
    <row r="64" spans="1:13" x14ac:dyDescent="0.25">
      <c r="A64" s="87"/>
      <c r="B64" s="34" t="str">
        <f t="shared" si="4"/>
        <v/>
      </c>
      <c r="C64" s="35"/>
      <c r="D64" s="35"/>
      <c r="E64" s="35"/>
      <c r="F64" s="35"/>
      <c r="G64" s="155"/>
      <c r="H64" s="167">
        <v>59</v>
      </c>
      <c r="I64" s="168" t="str">
        <f t="shared" si="0"/>
        <v/>
      </c>
      <c r="J64" s="167">
        <f t="shared" si="5"/>
        <v>-3</v>
      </c>
      <c r="K64" s="167">
        <f t="shared" si="1"/>
        <v>-30</v>
      </c>
      <c r="L64" s="167"/>
      <c r="M64" s="169">
        <f t="shared" si="2"/>
        <v>0</v>
      </c>
    </row>
    <row r="65" spans="1:13" x14ac:dyDescent="0.25">
      <c r="A65" s="91"/>
      <c r="B65" s="40" t="str">
        <f t="shared" si="4"/>
        <v/>
      </c>
      <c r="C65" s="41"/>
      <c r="D65" s="41"/>
      <c r="E65" s="41"/>
      <c r="F65" s="41"/>
      <c r="G65" s="155"/>
      <c r="H65" s="170">
        <v>60</v>
      </c>
      <c r="I65" s="171" t="str">
        <f t="shared" si="0"/>
        <v/>
      </c>
      <c r="J65" s="170">
        <f t="shared" si="5"/>
        <v>-3</v>
      </c>
      <c r="K65" s="170">
        <f t="shared" si="1"/>
        <v>-30</v>
      </c>
      <c r="L65" s="170"/>
      <c r="M65" s="172">
        <f t="shared" si="2"/>
        <v>0</v>
      </c>
    </row>
    <row r="66" spans="1:13" x14ac:dyDescent="0.25">
      <c r="A66" s="192"/>
      <c r="B66" s="34"/>
      <c r="G66" s="155"/>
      <c r="H66" s="167">
        <v>61</v>
      </c>
      <c r="I66" s="168" t="str">
        <f t="shared" si="0"/>
        <v/>
      </c>
      <c r="J66" s="167">
        <f t="shared" si="5"/>
        <v>-3</v>
      </c>
      <c r="K66" s="167">
        <f t="shared" si="1"/>
        <v>-30</v>
      </c>
      <c r="L66" s="167"/>
      <c r="M66" s="169">
        <f t="shared" si="2"/>
        <v>0</v>
      </c>
    </row>
    <row r="67" spans="1:13" x14ac:dyDescent="0.25">
      <c r="A67" s="192"/>
      <c r="B67" s="40"/>
      <c r="G67" s="155"/>
      <c r="H67" s="167">
        <v>62</v>
      </c>
      <c r="I67" s="168" t="str">
        <f t="shared" si="0"/>
        <v/>
      </c>
      <c r="J67" s="167">
        <f t="shared" si="5"/>
        <v>-3</v>
      </c>
      <c r="K67" s="167">
        <f t="shared" si="1"/>
        <v>-30</v>
      </c>
      <c r="L67" s="167"/>
      <c r="M67" s="169">
        <f t="shared" si="2"/>
        <v>0</v>
      </c>
    </row>
    <row r="68" spans="1:13" x14ac:dyDescent="0.25">
      <c r="A68" s="192"/>
      <c r="B68" s="34"/>
      <c r="G68" s="155"/>
      <c r="H68" s="167">
        <v>63</v>
      </c>
      <c r="I68" s="168" t="str">
        <f t="shared" si="0"/>
        <v/>
      </c>
      <c r="J68" s="167">
        <f t="shared" si="5"/>
        <v>-3</v>
      </c>
      <c r="K68" s="167">
        <f t="shared" si="1"/>
        <v>-30</v>
      </c>
      <c r="L68" s="167"/>
      <c r="M68" s="169">
        <f t="shared" si="2"/>
        <v>0</v>
      </c>
    </row>
    <row r="69" spans="1:13" x14ac:dyDescent="0.25">
      <c r="A69" s="192"/>
      <c r="B69" s="40"/>
      <c r="G69" s="155"/>
      <c r="H69" s="167">
        <v>64</v>
      </c>
      <c r="I69" s="168" t="str">
        <f t="shared" si="0"/>
        <v/>
      </c>
      <c r="J69" s="167">
        <f t="shared" si="5"/>
        <v>-3</v>
      </c>
      <c r="K69" s="167">
        <f t="shared" si="1"/>
        <v>-30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>
        <f t="shared" si="5"/>
        <v>-4</v>
      </c>
      <c r="K70" s="167">
        <f t="shared" ref="K70:K133" si="7">J70*$J$2</f>
        <v>-40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>
        <f t="shared" ref="J71:J134" si="9">INT(LOG($H$2,2))-ROUNDUP(LOG(H71,2),0)+IF(OR($H$2=1,$H$2=2,$H$2=4,$H$2=8,$H$2=16,$H$2=32,$H$2=64,$H$2=128,$H$2=256),0,1)</f>
        <v>-4</v>
      </c>
      <c r="K71" s="167">
        <f t="shared" si="7"/>
        <v>-40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>
        <f t="shared" si="9"/>
        <v>-4</v>
      </c>
      <c r="K72" s="167">
        <f t="shared" si="7"/>
        <v>-40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>
        <f t="shared" si="9"/>
        <v>-4</v>
      </c>
      <c r="K73" s="167">
        <f t="shared" si="7"/>
        <v>-40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>
        <f t="shared" si="9"/>
        <v>-4</v>
      </c>
      <c r="K74" s="167">
        <f t="shared" si="7"/>
        <v>-40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>
        <f t="shared" si="9"/>
        <v>-4</v>
      </c>
      <c r="K75" s="167">
        <f t="shared" si="7"/>
        <v>-40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>
        <f t="shared" si="9"/>
        <v>-4</v>
      </c>
      <c r="K76" s="167">
        <f t="shared" si="7"/>
        <v>-40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>
        <f t="shared" si="9"/>
        <v>-4</v>
      </c>
      <c r="K77" s="167">
        <f t="shared" si="7"/>
        <v>-40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>
        <f t="shared" si="9"/>
        <v>-4</v>
      </c>
      <c r="K78" s="167">
        <f t="shared" si="7"/>
        <v>-40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>
        <f t="shared" si="9"/>
        <v>-4</v>
      </c>
      <c r="K79" s="167">
        <f t="shared" si="7"/>
        <v>-40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>
        <f t="shared" si="9"/>
        <v>-4</v>
      </c>
      <c r="K80" s="167">
        <f t="shared" si="7"/>
        <v>-40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>
        <f t="shared" si="9"/>
        <v>-4</v>
      </c>
      <c r="K81" s="167">
        <f t="shared" si="7"/>
        <v>-40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>
        <f t="shared" si="9"/>
        <v>-4</v>
      </c>
      <c r="K82" s="167">
        <f t="shared" si="7"/>
        <v>-40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>
        <f t="shared" si="9"/>
        <v>-4</v>
      </c>
      <c r="K83" s="167">
        <f t="shared" si="7"/>
        <v>-40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>
        <f t="shared" si="9"/>
        <v>-4</v>
      </c>
      <c r="K84" s="167">
        <f t="shared" si="7"/>
        <v>-40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>
        <f t="shared" si="9"/>
        <v>-4</v>
      </c>
      <c r="K85" s="167">
        <f t="shared" si="7"/>
        <v>-40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>
        <f t="shared" si="9"/>
        <v>-4</v>
      </c>
      <c r="K86" s="167">
        <f t="shared" si="7"/>
        <v>-40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>
        <f t="shared" si="9"/>
        <v>-4</v>
      </c>
      <c r="K87" s="167">
        <f t="shared" si="7"/>
        <v>-40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>
        <f t="shared" si="9"/>
        <v>-4</v>
      </c>
      <c r="K88" s="167">
        <f t="shared" si="7"/>
        <v>-40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>
        <f t="shared" si="9"/>
        <v>-4</v>
      </c>
      <c r="K89" s="167">
        <f t="shared" si="7"/>
        <v>-40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>
        <f t="shared" si="9"/>
        <v>-4</v>
      </c>
      <c r="K90" s="167">
        <f t="shared" si="7"/>
        <v>-40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>
        <f t="shared" si="9"/>
        <v>-4</v>
      </c>
      <c r="K91" s="167">
        <f t="shared" si="7"/>
        <v>-40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>
        <f t="shared" si="9"/>
        <v>-4</v>
      </c>
      <c r="K92" s="167">
        <f t="shared" si="7"/>
        <v>-40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>
        <f t="shared" si="9"/>
        <v>-4</v>
      </c>
      <c r="K93" s="167">
        <f t="shared" si="7"/>
        <v>-40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>
        <f t="shared" si="9"/>
        <v>-4</v>
      </c>
      <c r="K94" s="167">
        <f t="shared" si="7"/>
        <v>-40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>
        <f t="shared" si="9"/>
        <v>-4</v>
      </c>
      <c r="K95" s="167">
        <f t="shared" si="7"/>
        <v>-40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>
        <f t="shared" si="9"/>
        <v>-4</v>
      </c>
      <c r="K96" s="167">
        <f t="shared" si="7"/>
        <v>-40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>
        <f t="shared" si="9"/>
        <v>-4</v>
      </c>
      <c r="K97" s="167">
        <f t="shared" si="7"/>
        <v>-40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>
        <f t="shared" si="9"/>
        <v>-4</v>
      </c>
      <c r="K98" s="167">
        <f t="shared" si="7"/>
        <v>-40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>
        <f t="shared" si="9"/>
        <v>-4</v>
      </c>
      <c r="K99" s="167">
        <f t="shared" si="7"/>
        <v>-40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>
        <f t="shared" si="9"/>
        <v>-4</v>
      </c>
      <c r="K100" s="167">
        <f t="shared" si="7"/>
        <v>-40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>
        <f t="shared" si="9"/>
        <v>-4</v>
      </c>
      <c r="K101" s="167">
        <f t="shared" si="7"/>
        <v>-40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>
        <f t="shared" si="9"/>
        <v>-4</v>
      </c>
      <c r="K102" s="167">
        <f t="shared" si="7"/>
        <v>-40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>
        <f t="shared" si="9"/>
        <v>-4</v>
      </c>
      <c r="K103" s="167">
        <f t="shared" si="7"/>
        <v>-40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>
        <f t="shared" si="9"/>
        <v>-4</v>
      </c>
      <c r="K104" s="167">
        <f t="shared" si="7"/>
        <v>-40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>
        <f t="shared" si="9"/>
        <v>-4</v>
      </c>
      <c r="K105" s="167">
        <f t="shared" si="7"/>
        <v>-40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>
        <f t="shared" si="9"/>
        <v>-4</v>
      </c>
      <c r="K106" s="167">
        <f t="shared" si="7"/>
        <v>-40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>
        <f t="shared" si="9"/>
        <v>-4</v>
      </c>
      <c r="K107" s="167">
        <f t="shared" si="7"/>
        <v>-40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>
        <f t="shared" si="9"/>
        <v>-4</v>
      </c>
      <c r="K108" s="167">
        <f t="shared" si="7"/>
        <v>-40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>
        <f t="shared" si="9"/>
        <v>-4</v>
      </c>
      <c r="K109" s="167">
        <f t="shared" si="7"/>
        <v>-40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>
        <f t="shared" si="9"/>
        <v>-4</v>
      </c>
      <c r="K110" s="167">
        <f t="shared" si="7"/>
        <v>-40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>
        <f t="shared" si="9"/>
        <v>-4</v>
      </c>
      <c r="K111" s="167">
        <f t="shared" si="7"/>
        <v>-40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>
        <f t="shared" si="9"/>
        <v>-4</v>
      </c>
      <c r="K112" s="167">
        <f t="shared" si="7"/>
        <v>-40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>
        <f t="shared" si="9"/>
        <v>-4</v>
      </c>
      <c r="K113" s="167">
        <f t="shared" si="7"/>
        <v>-40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>
        <f t="shared" si="9"/>
        <v>-4</v>
      </c>
      <c r="K114" s="167">
        <f t="shared" si="7"/>
        <v>-40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>
        <f t="shared" si="9"/>
        <v>-4</v>
      </c>
      <c r="K115" s="167">
        <f t="shared" si="7"/>
        <v>-40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>
        <f t="shared" si="9"/>
        <v>-4</v>
      </c>
      <c r="K116" s="167">
        <f t="shared" si="7"/>
        <v>-40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>
        <f t="shared" si="9"/>
        <v>-4</v>
      </c>
      <c r="K117" s="167">
        <f t="shared" si="7"/>
        <v>-40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>
        <f t="shared" si="9"/>
        <v>-4</v>
      </c>
      <c r="K118" s="167">
        <f t="shared" si="7"/>
        <v>-40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>
        <f t="shared" si="9"/>
        <v>-4</v>
      </c>
      <c r="K119" s="167">
        <f t="shared" si="7"/>
        <v>-40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>
        <f t="shared" si="9"/>
        <v>-4</v>
      </c>
      <c r="K120" s="167">
        <f t="shared" si="7"/>
        <v>-40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>
        <f t="shared" si="9"/>
        <v>-4</v>
      </c>
      <c r="K121" s="167">
        <f t="shared" si="7"/>
        <v>-40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>
        <f t="shared" si="9"/>
        <v>-4</v>
      </c>
      <c r="K122" s="167">
        <f t="shared" si="7"/>
        <v>-40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>
        <f t="shared" si="9"/>
        <v>-4</v>
      </c>
      <c r="K123" s="167">
        <f t="shared" si="7"/>
        <v>-40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>
        <f t="shared" si="9"/>
        <v>-4</v>
      </c>
      <c r="K124" s="167">
        <f t="shared" si="7"/>
        <v>-40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>
        <f t="shared" si="9"/>
        <v>-4</v>
      </c>
      <c r="K125" s="167">
        <f t="shared" si="7"/>
        <v>-40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>
        <f t="shared" si="9"/>
        <v>-4</v>
      </c>
      <c r="K126" s="167">
        <f t="shared" si="7"/>
        <v>-40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>
        <f t="shared" si="9"/>
        <v>-4</v>
      </c>
      <c r="K127" s="167">
        <f t="shared" si="7"/>
        <v>-40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>
        <f t="shared" si="9"/>
        <v>-4</v>
      </c>
      <c r="K128" s="167">
        <f t="shared" si="7"/>
        <v>-40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>
        <f t="shared" si="9"/>
        <v>-4</v>
      </c>
      <c r="K129" s="167">
        <f t="shared" si="7"/>
        <v>-40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>
        <f t="shared" si="9"/>
        <v>-4</v>
      </c>
      <c r="K130" s="167">
        <f t="shared" si="7"/>
        <v>-40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>
        <f t="shared" si="9"/>
        <v>-4</v>
      </c>
      <c r="K131" s="167">
        <f t="shared" si="7"/>
        <v>-40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>
        <f t="shared" si="9"/>
        <v>-4</v>
      </c>
      <c r="K132" s="167">
        <f t="shared" si="7"/>
        <v>-40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>
        <f t="shared" si="9"/>
        <v>-4</v>
      </c>
      <c r="K133" s="167">
        <f t="shared" si="7"/>
        <v>-40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>
        <f t="shared" si="9"/>
        <v>-5</v>
      </c>
      <c r="K134" s="167">
        <f t="shared" ref="K134:K197" si="11">J134*$J$2</f>
        <v>-50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>
        <f t="shared" ref="J135:J198" si="13">INT(LOG($H$2,2))-ROUNDUP(LOG(H135,2),0)+IF(OR($H$2=1,$H$2=2,$H$2=4,$H$2=8,$H$2=16,$H$2=32,$H$2=64,$H$2=128,$H$2=256),0,1)</f>
        <v>-5</v>
      </c>
      <c r="K135" s="167">
        <f t="shared" si="11"/>
        <v>-50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>
        <f t="shared" si="13"/>
        <v>-5</v>
      </c>
      <c r="K136" s="167">
        <f t="shared" si="11"/>
        <v>-50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>
        <f t="shared" si="13"/>
        <v>-5</v>
      </c>
      <c r="K137" s="167">
        <f t="shared" si="11"/>
        <v>-50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>
        <f t="shared" si="13"/>
        <v>-5</v>
      </c>
      <c r="K138" s="167">
        <f t="shared" si="11"/>
        <v>-50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>
        <f t="shared" si="13"/>
        <v>-5</v>
      </c>
      <c r="K139" s="167">
        <f t="shared" si="11"/>
        <v>-50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>
        <f t="shared" si="13"/>
        <v>-5</v>
      </c>
      <c r="K140" s="167">
        <f t="shared" si="11"/>
        <v>-50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>
        <f t="shared" si="13"/>
        <v>-5</v>
      </c>
      <c r="K141" s="167">
        <f t="shared" si="11"/>
        <v>-50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>
        <f t="shared" si="13"/>
        <v>-5</v>
      </c>
      <c r="K142" s="167">
        <f t="shared" si="11"/>
        <v>-50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>
        <f t="shared" si="13"/>
        <v>-5</v>
      </c>
      <c r="K143" s="167">
        <f t="shared" si="11"/>
        <v>-50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>
        <f t="shared" si="13"/>
        <v>-5</v>
      </c>
      <c r="K144" s="167">
        <f t="shared" si="11"/>
        <v>-50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>
        <f t="shared" si="13"/>
        <v>-5</v>
      </c>
      <c r="K145" s="167">
        <f t="shared" si="11"/>
        <v>-50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>
        <f t="shared" si="13"/>
        <v>-5</v>
      </c>
      <c r="K146" s="167">
        <f t="shared" si="11"/>
        <v>-50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>
        <f t="shared" si="13"/>
        <v>-5</v>
      </c>
      <c r="K147" s="167">
        <f t="shared" si="11"/>
        <v>-50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>
        <f t="shared" si="13"/>
        <v>-5</v>
      </c>
      <c r="K148" s="167">
        <f t="shared" si="11"/>
        <v>-50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>
        <f t="shared" si="13"/>
        <v>-5</v>
      </c>
      <c r="K149" s="167">
        <f t="shared" si="11"/>
        <v>-50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>
        <f t="shared" si="13"/>
        <v>-5</v>
      </c>
      <c r="K150" s="167">
        <f t="shared" si="11"/>
        <v>-50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>
        <f t="shared" si="13"/>
        <v>-5</v>
      </c>
      <c r="K151" s="167">
        <f t="shared" si="11"/>
        <v>-50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>
        <f t="shared" si="13"/>
        <v>-5</v>
      </c>
      <c r="K152" s="167">
        <f t="shared" si="11"/>
        <v>-50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>
        <f t="shared" si="13"/>
        <v>-5</v>
      </c>
      <c r="K153" s="167">
        <f t="shared" si="11"/>
        <v>-50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>
        <f t="shared" si="13"/>
        <v>-5</v>
      </c>
      <c r="K154" s="167">
        <f t="shared" si="11"/>
        <v>-50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>
        <f t="shared" si="13"/>
        <v>-5</v>
      </c>
      <c r="K155" s="167">
        <f t="shared" si="11"/>
        <v>-50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>
        <f t="shared" si="13"/>
        <v>-5</v>
      </c>
      <c r="K156" s="167">
        <f t="shared" si="11"/>
        <v>-50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>
        <f t="shared" si="13"/>
        <v>-5</v>
      </c>
      <c r="K157" s="167">
        <f t="shared" si="11"/>
        <v>-50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>
        <f t="shared" si="13"/>
        <v>-5</v>
      </c>
      <c r="K158" s="167">
        <f t="shared" si="11"/>
        <v>-50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>
        <f t="shared" si="13"/>
        <v>-5</v>
      </c>
      <c r="K159" s="167">
        <f t="shared" si="11"/>
        <v>-50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>
        <f t="shared" si="13"/>
        <v>-5</v>
      </c>
      <c r="K160" s="167">
        <f t="shared" si="11"/>
        <v>-50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>
        <f t="shared" si="13"/>
        <v>-5</v>
      </c>
      <c r="K161" s="167">
        <f t="shared" si="11"/>
        <v>-50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>
        <f t="shared" si="13"/>
        <v>-5</v>
      </c>
      <c r="K162" s="167">
        <f t="shared" si="11"/>
        <v>-50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>
        <f t="shared" si="13"/>
        <v>-5</v>
      </c>
      <c r="K163" s="167">
        <f t="shared" si="11"/>
        <v>-50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>
        <f t="shared" si="13"/>
        <v>-5</v>
      </c>
      <c r="K164" s="167">
        <f t="shared" si="11"/>
        <v>-50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>
        <f t="shared" si="13"/>
        <v>-5</v>
      </c>
      <c r="K165" s="167">
        <f t="shared" si="11"/>
        <v>-50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>
        <f t="shared" si="13"/>
        <v>-5</v>
      </c>
      <c r="K166" s="167">
        <f t="shared" si="11"/>
        <v>-50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>
        <f t="shared" si="13"/>
        <v>-5</v>
      </c>
      <c r="K167" s="167">
        <f t="shared" si="11"/>
        <v>-50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>
        <f t="shared" si="13"/>
        <v>-5</v>
      </c>
      <c r="K168" s="167">
        <f t="shared" si="11"/>
        <v>-50</v>
      </c>
      <c r="L168" s="167"/>
      <c r="M168" s="169">
        <f t="shared" si="12"/>
        <v>0</v>
      </c>
    </row>
    <row r="169" spans="1:13" x14ac:dyDescent="0.25">
      <c r="A169" s="184"/>
      <c r="C169" s="183" t="s">
        <v>48</v>
      </c>
      <c r="G169" s="155"/>
      <c r="H169" s="167">
        <v>164</v>
      </c>
      <c r="I169" s="168" t="str">
        <f t="shared" si="10"/>
        <v/>
      </c>
      <c r="J169" s="167">
        <f t="shared" si="13"/>
        <v>-5</v>
      </c>
      <c r="K169" s="167">
        <f t="shared" si="11"/>
        <v>-50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>
        <f t="shared" si="13"/>
        <v>-5</v>
      </c>
      <c r="K170" s="167">
        <f t="shared" si="11"/>
        <v>-50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>
        <f t="shared" si="13"/>
        <v>-5</v>
      </c>
      <c r="K171" s="167">
        <f t="shared" si="11"/>
        <v>-50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>
        <f t="shared" si="13"/>
        <v>-5</v>
      </c>
      <c r="K172" s="167">
        <f t="shared" si="11"/>
        <v>-50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>
        <f t="shared" si="13"/>
        <v>-5</v>
      </c>
      <c r="K173" s="167">
        <f t="shared" si="11"/>
        <v>-50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>
        <f t="shared" si="13"/>
        <v>-5</v>
      </c>
      <c r="K174" s="167">
        <f t="shared" si="11"/>
        <v>-50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>
        <f t="shared" si="13"/>
        <v>-5</v>
      </c>
      <c r="K175" s="167">
        <f t="shared" si="11"/>
        <v>-50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>
        <f t="shared" si="13"/>
        <v>-5</v>
      </c>
      <c r="K176" s="167">
        <f t="shared" si="11"/>
        <v>-50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>
        <f t="shared" si="13"/>
        <v>-5</v>
      </c>
      <c r="K177" s="167">
        <f t="shared" si="11"/>
        <v>-50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>
        <f t="shared" si="13"/>
        <v>-5</v>
      </c>
      <c r="K178" s="167">
        <f t="shared" si="11"/>
        <v>-50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>
        <f t="shared" si="13"/>
        <v>-5</v>
      </c>
      <c r="K179" s="167">
        <f t="shared" si="11"/>
        <v>-50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>
        <f t="shared" si="13"/>
        <v>-5</v>
      </c>
      <c r="K180" s="167">
        <f t="shared" si="11"/>
        <v>-50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>
        <f t="shared" si="13"/>
        <v>-5</v>
      </c>
      <c r="K181" s="167">
        <f t="shared" si="11"/>
        <v>-50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>
        <f t="shared" si="13"/>
        <v>-5</v>
      </c>
      <c r="K182" s="167">
        <f t="shared" si="11"/>
        <v>-50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>
        <f t="shared" si="13"/>
        <v>-5</v>
      </c>
      <c r="K183" s="167">
        <f t="shared" si="11"/>
        <v>-50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>
        <f t="shared" si="13"/>
        <v>-5</v>
      </c>
      <c r="K184" s="167">
        <f t="shared" si="11"/>
        <v>-50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>
        <f t="shared" si="13"/>
        <v>-5</v>
      </c>
      <c r="K185" s="167">
        <f t="shared" si="11"/>
        <v>-50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>
        <f t="shared" si="13"/>
        <v>-5</v>
      </c>
      <c r="K186" s="167">
        <f t="shared" si="11"/>
        <v>-50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>
        <f t="shared" si="13"/>
        <v>-5</v>
      </c>
      <c r="K187" s="167">
        <f t="shared" si="11"/>
        <v>-50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>
        <f t="shared" si="13"/>
        <v>-5</v>
      </c>
      <c r="K188" s="167">
        <f t="shared" si="11"/>
        <v>-50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>
        <f t="shared" si="13"/>
        <v>-5</v>
      </c>
      <c r="K189" s="167">
        <f t="shared" si="11"/>
        <v>-50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>
        <f t="shared" si="13"/>
        <v>-5</v>
      </c>
      <c r="K190" s="167">
        <f t="shared" si="11"/>
        <v>-50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>
        <f t="shared" si="13"/>
        <v>-5</v>
      </c>
      <c r="K191" s="167">
        <f t="shared" si="11"/>
        <v>-50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>
        <f t="shared" si="13"/>
        <v>-5</v>
      </c>
      <c r="K192" s="167">
        <f t="shared" si="11"/>
        <v>-50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>
        <f t="shared" si="13"/>
        <v>-5</v>
      </c>
      <c r="K193" s="167">
        <f t="shared" si="11"/>
        <v>-50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>
        <f t="shared" si="13"/>
        <v>-5</v>
      </c>
      <c r="K194" s="167">
        <f t="shared" si="11"/>
        <v>-50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>
        <f t="shared" si="13"/>
        <v>-5</v>
      </c>
      <c r="K195" s="167">
        <f t="shared" si="11"/>
        <v>-50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>
        <f t="shared" si="13"/>
        <v>-5</v>
      </c>
      <c r="K196" s="167">
        <f t="shared" si="11"/>
        <v>-50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>
        <f t="shared" si="13"/>
        <v>-5</v>
      </c>
      <c r="K197" s="167">
        <f t="shared" si="11"/>
        <v>-50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>
        <f t="shared" si="13"/>
        <v>-5</v>
      </c>
      <c r="K198" s="167">
        <f t="shared" ref="K198:K261" si="15">J198*$J$2</f>
        <v>-50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>
        <f t="shared" ref="J199:J262" si="17">INT(LOG($H$2,2))-ROUNDUP(LOG(H199,2),0)+IF(OR($H$2=1,$H$2=2,$H$2=4,$H$2=8,$H$2=16,$H$2=32,$H$2=64,$H$2=128,$H$2=256),0,1)</f>
        <v>-5</v>
      </c>
      <c r="K199" s="167">
        <f t="shared" si="15"/>
        <v>-50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>
        <f t="shared" si="17"/>
        <v>-5</v>
      </c>
      <c r="K200" s="167">
        <f t="shared" si="15"/>
        <v>-50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>
        <f t="shared" si="17"/>
        <v>-5</v>
      </c>
      <c r="K201" s="167">
        <f t="shared" si="15"/>
        <v>-50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>
        <f t="shared" si="17"/>
        <v>-5</v>
      </c>
      <c r="K202" s="167">
        <f t="shared" si="15"/>
        <v>-50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>
        <f t="shared" si="17"/>
        <v>-5</v>
      </c>
      <c r="K203" s="167">
        <f t="shared" si="15"/>
        <v>-50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>
        <f t="shared" si="17"/>
        <v>-5</v>
      </c>
      <c r="K204" s="167">
        <f t="shared" si="15"/>
        <v>-50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>
        <f t="shared" si="17"/>
        <v>-5</v>
      </c>
      <c r="K205" s="167">
        <f t="shared" si="15"/>
        <v>-50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>
        <f t="shared" si="17"/>
        <v>-5</v>
      </c>
      <c r="K206" s="167">
        <f t="shared" si="15"/>
        <v>-50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>
        <f t="shared" si="17"/>
        <v>-5</v>
      </c>
      <c r="K207" s="167">
        <f t="shared" si="15"/>
        <v>-50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>
        <f t="shared" si="17"/>
        <v>-5</v>
      </c>
      <c r="K208" s="167">
        <f t="shared" si="15"/>
        <v>-50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>
        <f t="shared" si="17"/>
        <v>-5</v>
      </c>
      <c r="K209" s="167">
        <f t="shared" si="15"/>
        <v>-50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>
        <f t="shared" si="17"/>
        <v>-5</v>
      </c>
      <c r="K210" s="167">
        <f t="shared" si="15"/>
        <v>-50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>
        <f t="shared" si="17"/>
        <v>-5</v>
      </c>
      <c r="K211" s="167">
        <f t="shared" si="15"/>
        <v>-50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>
        <f t="shared" si="17"/>
        <v>-5</v>
      </c>
      <c r="K212" s="167">
        <f t="shared" si="15"/>
        <v>-50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>
        <f t="shared" si="17"/>
        <v>-5</v>
      </c>
      <c r="K213" s="167">
        <f t="shared" si="15"/>
        <v>-50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>
        <f t="shared" si="17"/>
        <v>-5</v>
      </c>
      <c r="K214" s="167">
        <f t="shared" si="15"/>
        <v>-50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>
        <f t="shared" si="17"/>
        <v>-5</v>
      </c>
      <c r="K215" s="167">
        <f t="shared" si="15"/>
        <v>-50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>
        <f t="shared" si="17"/>
        <v>-5</v>
      </c>
      <c r="K216" s="167">
        <f t="shared" si="15"/>
        <v>-50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>
        <f t="shared" si="17"/>
        <v>-5</v>
      </c>
      <c r="K217" s="167">
        <f t="shared" si="15"/>
        <v>-50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>
        <f t="shared" si="17"/>
        <v>-5</v>
      </c>
      <c r="K218" s="167">
        <f t="shared" si="15"/>
        <v>-50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>
        <f t="shared" si="17"/>
        <v>-5</v>
      </c>
      <c r="K219" s="167">
        <f t="shared" si="15"/>
        <v>-50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>
        <f t="shared" si="17"/>
        <v>-5</v>
      </c>
      <c r="K220" s="167">
        <f t="shared" si="15"/>
        <v>-50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>
        <f t="shared" si="17"/>
        <v>-5</v>
      </c>
      <c r="K221" s="167">
        <f t="shared" si="15"/>
        <v>-50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>
        <f t="shared" si="17"/>
        <v>-5</v>
      </c>
      <c r="K222" s="167">
        <f t="shared" si="15"/>
        <v>-50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>
        <f t="shared" si="17"/>
        <v>-5</v>
      </c>
      <c r="K223" s="167">
        <f t="shared" si="15"/>
        <v>-50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>
        <f t="shared" si="17"/>
        <v>-5</v>
      </c>
      <c r="K224" s="167">
        <f t="shared" si="15"/>
        <v>-50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>
        <f t="shared" si="17"/>
        <v>-5</v>
      </c>
      <c r="K225" s="167">
        <f t="shared" si="15"/>
        <v>-50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>
        <f t="shared" si="17"/>
        <v>-5</v>
      </c>
      <c r="K226" s="167">
        <f t="shared" si="15"/>
        <v>-50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>
        <f t="shared" si="17"/>
        <v>-5</v>
      </c>
      <c r="K227" s="167">
        <f t="shared" si="15"/>
        <v>-50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>
        <f t="shared" si="17"/>
        <v>-5</v>
      </c>
      <c r="K228" s="167">
        <f t="shared" si="15"/>
        <v>-50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>
        <f t="shared" si="17"/>
        <v>-5</v>
      </c>
      <c r="K229" s="167">
        <f t="shared" si="15"/>
        <v>-50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>
        <f t="shared" si="17"/>
        <v>-5</v>
      </c>
      <c r="K230" s="167">
        <f t="shared" si="15"/>
        <v>-50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>
        <f t="shared" si="17"/>
        <v>-5</v>
      </c>
      <c r="K231" s="167">
        <f t="shared" si="15"/>
        <v>-50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>
        <f t="shared" si="17"/>
        <v>-5</v>
      </c>
      <c r="K232" s="167">
        <f t="shared" si="15"/>
        <v>-50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>
        <f t="shared" si="17"/>
        <v>-5</v>
      </c>
      <c r="K233" s="167">
        <f t="shared" si="15"/>
        <v>-50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>
        <f t="shared" si="17"/>
        <v>-5</v>
      </c>
      <c r="K234" s="167">
        <f t="shared" si="15"/>
        <v>-50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>
        <f t="shared" si="17"/>
        <v>-5</v>
      </c>
      <c r="K235" s="167">
        <f t="shared" si="15"/>
        <v>-50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>
        <f t="shared" si="17"/>
        <v>-5</v>
      </c>
      <c r="K236" s="167">
        <f t="shared" si="15"/>
        <v>-50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>
        <f t="shared" si="17"/>
        <v>-5</v>
      </c>
      <c r="K237" s="167">
        <f t="shared" si="15"/>
        <v>-50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>
        <f t="shared" si="17"/>
        <v>-5</v>
      </c>
      <c r="K238" s="167">
        <f t="shared" si="15"/>
        <v>-50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>
        <f t="shared" si="17"/>
        <v>-5</v>
      </c>
      <c r="K239" s="167">
        <f t="shared" si="15"/>
        <v>-50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>
        <f t="shared" si="17"/>
        <v>-5</v>
      </c>
      <c r="K240" s="167">
        <f t="shared" si="15"/>
        <v>-50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>
        <f t="shared" si="17"/>
        <v>-5</v>
      </c>
      <c r="K241" s="167">
        <f t="shared" si="15"/>
        <v>-50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>
        <f t="shared" si="17"/>
        <v>-5</v>
      </c>
      <c r="K242" s="167">
        <f t="shared" si="15"/>
        <v>-50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>
        <f t="shared" si="17"/>
        <v>-5</v>
      </c>
      <c r="K243" s="167">
        <f t="shared" si="15"/>
        <v>-50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>
        <f t="shared" si="17"/>
        <v>-5</v>
      </c>
      <c r="K244" s="167">
        <f t="shared" si="15"/>
        <v>-50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>
        <f t="shared" si="17"/>
        <v>-5</v>
      </c>
      <c r="K245" s="167">
        <f t="shared" si="15"/>
        <v>-50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>
        <f t="shared" si="17"/>
        <v>-5</v>
      </c>
      <c r="K246" s="167">
        <f t="shared" si="15"/>
        <v>-50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>
        <f t="shared" si="17"/>
        <v>-5</v>
      </c>
      <c r="K247" s="167">
        <f t="shared" si="15"/>
        <v>-50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>
        <f t="shared" si="17"/>
        <v>-5</v>
      </c>
      <c r="K248" s="167">
        <f t="shared" si="15"/>
        <v>-50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>
        <f t="shared" si="17"/>
        <v>-5</v>
      </c>
      <c r="K249" s="167">
        <f t="shared" si="15"/>
        <v>-50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>
        <f t="shared" si="17"/>
        <v>-5</v>
      </c>
      <c r="K250" s="167">
        <f t="shared" si="15"/>
        <v>-50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>
        <f t="shared" si="17"/>
        <v>-5</v>
      </c>
      <c r="K251" s="167">
        <f t="shared" si="15"/>
        <v>-50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>
        <f t="shared" si="17"/>
        <v>-5</v>
      </c>
      <c r="K252" s="167">
        <f t="shared" si="15"/>
        <v>-50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>
        <f t="shared" si="17"/>
        <v>-5</v>
      </c>
      <c r="K253" s="167">
        <f t="shared" si="15"/>
        <v>-50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>
        <f t="shared" si="17"/>
        <v>-5</v>
      </c>
      <c r="K254" s="167">
        <f t="shared" si="15"/>
        <v>-50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>
        <f t="shared" si="17"/>
        <v>-5</v>
      </c>
      <c r="K255" s="167">
        <f t="shared" si="15"/>
        <v>-50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>
        <f t="shared" si="17"/>
        <v>-5</v>
      </c>
      <c r="K256" s="167">
        <f t="shared" si="15"/>
        <v>-50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>
        <f t="shared" si="17"/>
        <v>-5</v>
      </c>
      <c r="K257" s="167">
        <f t="shared" si="15"/>
        <v>-50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>
        <f t="shared" si="17"/>
        <v>-5</v>
      </c>
      <c r="K258" s="167">
        <f t="shared" si="15"/>
        <v>-50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>
        <f t="shared" si="17"/>
        <v>-5</v>
      </c>
      <c r="K259" s="167">
        <f t="shared" si="15"/>
        <v>-50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>
        <f t="shared" si="17"/>
        <v>-5</v>
      </c>
      <c r="K260" s="167">
        <f t="shared" si="15"/>
        <v>-50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>
        <f t="shared" si="17"/>
        <v>-5</v>
      </c>
      <c r="K261" s="167">
        <f t="shared" si="15"/>
        <v>-50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>
        <f t="shared" si="17"/>
        <v>-6</v>
      </c>
      <c r="K262" s="167">
        <f t="shared" ref="K262:K305" si="19">J262*$J$2</f>
        <v>-60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>
        <f t="shared" ref="J263:J326" si="21">INT(LOG($H$2,2))-ROUNDUP(LOG(H263,2),0)+IF(OR($H$2=1,$H$2=2,$H$2=4,$H$2=8,$H$2=16,$H$2=32,$H$2=64,$H$2=128,$H$2=256),0,1)</f>
        <v>-6</v>
      </c>
      <c r="K263" s="167">
        <f t="shared" si="19"/>
        <v>-60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>
        <f t="shared" si="21"/>
        <v>-6</v>
      </c>
      <c r="K264" s="167">
        <f t="shared" si="19"/>
        <v>-60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>
        <f t="shared" si="21"/>
        <v>-6</v>
      </c>
      <c r="K265" s="167">
        <f t="shared" si="19"/>
        <v>-60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>
        <f t="shared" si="21"/>
        <v>-6</v>
      </c>
      <c r="K266" s="167">
        <f t="shared" si="19"/>
        <v>-60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>
        <f t="shared" si="21"/>
        <v>-6</v>
      </c>
      <c r="K267" s="167">
        <f t="shared" si="19"/>
        <v>-60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>
        <f t="shared" si="21"/>
        <v>-6</v>
      </c>
      <c r="K268" s="167">
        <f t="shared" si="19"/>
        <v>-60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>
        <f t="shared" si="21"/>
        <v>-6</v>
      </c>
      <c r="K269" s="167">
        <f t="shared" si="19"/>
        <v>-60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>
        <f t="shared" si="21"/>
        <v>-6</v>
      </c>
      <c r="K270" s="167">
        <f t="shared" si="19"/>
        <v>-60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>
        <f t="shared" si="21"/>
        <v>-6</v>
      </c>
      <c r="K271" s="167">
        <f t="shared" si="19"/>
        <v>-60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>
        <f t="shared" si="21"/>
        <v>-6</v>
      </c>
      <c r="K272" s="167">
        <f t="shared" si="19"/>
        <v>-60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>
        <f t="shared" si="21"/>
        <v>-6</v>
      </c>
      <c r="K273" s="167">
        <f t="shared" si="19"/>
        <v>-60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>
        <f t="shared" si="21"/>
        <v>-6</v>
      </c>
      <c r="K274" s="167">
        <f t="shared" si="19"/>
        <v>-60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>
        <f t="shared" si="21"/>
        <v>-6</v>
      </c>
      <c r="K275" s="167">
        <f t="shared" si="19"/>
        <v>-60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>
        <f t="shared" si="21"/>
        <v>-6</v>
      </c>
      <c r="K276" s="167">
        <f t="shared" si="19"/>
        <v>-60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>
        <f t="shared" si="21"/>
        <v>-6</v>
      </c>
      <c r="K277" s="167">
        <f t="shared" si="19"/>
        <v>-60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>
        <f t="shared" si="21"/>
        <v>-6</v>
      </c>
      <c r="K278" s="167">
        <f t="shared" si="19"/>
        <v>-60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>
        <f t="shared" si="21"/>
        <v>-6</v>
      </c>
      <c r="K279" s="167">
        <f t="shared" si="19"/>
        <v>-60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>
        <f t="shared" si="21"/>
        <v>-6</v>
      </c>
      <c r="K280" s="167">
        <f t="shared" si="19"/>
        <v>-60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>
        <f t="shared" si="21"/>
        <v>-6</v>
      </c>
      <c r="K281" s="167">
        <f t="shared" si="19"/>
        <v>-60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>
        <f t="shared" si="21"/>
        <v>-6</v>
      </c>
      <c r="K282" s="167">
        <f t="shared" si="19"/>
        <v>-60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>
        <f t="shared" si="21"/>
        <v>-6</v>
      </c>
      <c r="K283" s="167">
        <f t="shared" si="19"/>
        <v>-60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>
        <f t="shared" si="21"/>
        <v>-6</v>
      </c>
      <c r="K284" s="167">
        <f t="shared" si="19"/>
        <v>-60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>
        <f t="shared" si="21"/>
        <v>-6</v>
      </c>
      <c r="K285" s="167">
        <f t="shared" si="19"/>
        <v>-60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>
        <f t="shared" si="21"/>
        <v>-6</v>
      </c>
      <c r="K286" s="167">
        <f t="shared" si="19"/>
        <v>-60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>
        <f t="shared" si="21"/>
        <v>-6</v>
      </c>
      <c r="K287" s="167">
        <f t="shared" si="19"/>
        <v>-60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>
        <f t="shared" si="21"/>
        <v>-6</v>
      </c>
      <c r="K288" s="167">
        <f t="shared" si="19"/>
        <v>-60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>
        <f t="shared" si="21"/>
        <v>-6</v>
      </c>
      <c r="K289" s="167">
        <f t="shared" si="19"/>
        <v>-60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>
        <f t="shared" si="21"/>
        <v>-6</v>
      </c>
      <c r="K290" s="167">
        <f t="shared" si="19"/>
        <v>-60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>
        <f t="shared" si="21"/>
        <v>-6</v>
      </c>
      <c r="K291" s="167">
        <f t="shared" si="19"/>
        <v>-60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>
        <f t="shared" si="21"/>
        <v>-6</v>
      </c>
      <c r="K292" s="167">
        <f t="shared" si="19"/>
        <v>-60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>
        <f t="shared" si="21"/>
        <v>-6</v>
      </c>
      <c r="K293" s="167">
        <f t="shared" si="19"/>
        <v>-60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>
        <f t="shared" si="21"/>
        <v>-6</v>
      </c>
      <c r="K294" s="167">
        <f t="shared" si="19"/>
        <v>-60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>
        <f t="shared" si="21"/>
        <v>-6</v>
      </c>
      <c r="K295" s="167">
        <f t="shared" si="19"/>
        <v>-60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>
        <f t="shared" si="21"/>
        <v>-6</v>
      </c>
      <c r="K296" s="167">
        <f t="shared" si="19"/>
        <v>-60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>
        <f t="shared" si="21"/>
        <v>-6</v>
      </c>
      <c r="K297" s="167">
        <f t="shared" si="19"/>
        <v>-60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>
        <f t="shared" si="21"/>
        <v>-6</v>
      </c>
      <c r="K298" s="167">
        <f t="shared" si="19"/>
        <v>-60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>
        <f t="shared" si="21"/>
        <v>-6</v>
      </c>
      <c r="K299" s="167">
        <f t="shared" si="19"/>
        <v>-60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>
        <f t="shared" si="21"/>
        <v>-6</v>
      </c>
      <c r="K300" s="167">
        <f t="shared" si="19"/>
        <v>-60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>
        <f t="shared" si="21"/>
        <v>-6</v>
      </c>
      <c r="K301" s="167">
        <f t="shared" si="19"/>
        <v>-60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>
        <f t="shared" si="21"/>
        <v>-6</v>
      </c>
      <c r="K302" s="167">
        <f t="shared" si="19"/>
        <v>-60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>
        <f t="shared" si="21"/>
        <v>-6</v>
      </c>
      <c r="K303" s="167">
        <f t="shared" si="19"/>
        <v>-60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>
        <f t="shared" si="21"/>
        <v>-6</v>
      </c>
      <c r="K304" s="167">
        <f t="shared" si="19"/>
        <v>-60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>
        <f t="shared" si="21"/>
        <v>-6</v>
      </c>
      <c r="K305" s="167">
        <f t="shared" si="19"/>
        <v>-60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347A7A8D-B9E7-45AB-981D-97B5DCC9C359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4FD2-5544-4321-B287-080667B0B343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24</v>
      </c>
      <c r="I1" s="157" t="s">
        <v>25</v>
      </c>
      <c r="J1" s="157" t="s">
        <v>26</v>
      </c>
      <c r="K1" s="158" t="s">
        <v>113</v>
      </c>
      <c r="L1" s="159"/>
      <c r="M1" s="159"/>
    </row>
    <row r="2" spans="1:36" x14ac:dyDescent="0.25">
      <c r="A2" s="155"/>
      <c r="B2" s="20" t="s">
        <v>28</v>
      </c>
      <c r="C2" s="218" t="s">
        <v>80</v>
      </c>
      <c r="D2" s="213"/>
      <c r="E2" s="21"/>
      <c r="F2" s="21"/>
      <c r="G2" s="21"/>
      <c r="H2" s="161">
        <v>15</v>
      </c>
      <c r="I2" s="162">
        <v>50</v>
      </c>
      <c r="J2" s="162">
        <v>10</v>
      </c>
      <c r="K2" s="163">
        <f>3*H2^(1/3)</f>
        <v>7.3986362229914109</v>
      </c>
      <c r="L2" s="159"/>
      <c r="M2" s="159"/>
    </row>
    <row r="3" spans="1:36" x14ac:dyDescent="0.25">
      <c r="A3" s="155"/>
      <c r="B3" s="164" t="s">
        <v>30</v>
      </c>
      <c r="C3" s="216" t="s">
        <v>130</v>
      </c>
      <c r="D3" s="214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165" t="s">
        <v>38</v>
      </c>
      <c r="I5" s="166" t="s">
        <v>39</v>
      </c>
      <c r="J5" s="191" t="s">
        <v>40</v>
      </c>
      <c r="K5" s="166" t="s">
        <v>41</v>
      </c>
      <c r="L5" s="166" t="s">
        <v>42</v>
      </c>
      <c r="M5" s="165" t="s">
        <v>43</v>
      </c>
    </row>
    <row r="6" spans="1:36" ht="14.45" customHeight="1" x14ac:dyDescent="0.25">
      <c r="A6" s="87">
        <f>M6</f>
        <v>112.19590866897423</v>
      </c>
      <c r="B6" s="34">
        <f t="shared" ref="B6:B69" si="0">IF(H6&gt;$H$2,"",(ROW()-5))</f>
        <v>1</v>
      </c>
      <c r="C6" s="35" t="s">
        <v>16</v>
      </c>
      <c r="D6" s="35" t="s">
        <v>45</v>
      </c>
      <c r="E6" s="35"/>
      <c r="F6" s="35"/>
      <c r="G6" s="28"/>
      <c r="H6" s="167">
        <v>1</v>
      </c>
      <c r="I6" s="168">
        <f t="shared" ref="I6:I69" si="1">IF(H6&lt;$H$2+1,($I$2-($I$2-1)*(LOG(H6)/LOG($H$2))),"")</f>
        <v>50</v>
      </c>
      <c r="J6" s="167">
        <f>INT(LOG($H$2,2))-ROUNDUP(LOG(H6,2),0)+IF(OR($H$2=1,$H$2=2,$H$2=4,$H$2=8,$H$2=16,$H$2=32,$H$2=64,$H$2=128,$H$2=256),0,1)</f>
        <v>4</v>
      </c>
      <c r="K6" s="167">
        <f t="shared" ref="K6:K69" si="2">J6*$J$2</f>
        <v>40</v>
      </c>
      <c r="L6" s="169">
        <f>3*K2</f>
        <v>22.195908668974234</v>
      </c>
      <c r="M6" s="169">
        <f t="shared" ref="M6:M69" si="3">IF(I6&lt;&gt;"",K6+I6+L6,0)</f>
        <v>112.19590866897423</v>
      </c>
    </row>
    <row r="7" spans="1:36" ht="14.45" customHeight="1" x14ac:dyDescent="0.25">
      <c r="A7" s="91">
        <f t="shared" ref="A7:A70" si="4">M7</f>
        <v>82.255329230301868</v>
      </c>
      <c r="B7" s="40">
        <f t="shared" si="0"/>
        <v>2</v>
      </c>
      <c r="C7" s="41" t="s">
        <v>48</v>
      </c>
      <c r="D7" s="41"/>
      <c r="E7" s="41"/>
      <c r="F7" s="41"/>
      <c r="G7" s="28"/>
      <c r="H7" s="170">
        <v>2</v>
      </c>
      <c r="I7" s="171">
        <f t="shared" si="1"/>
        <v>37.458056784319041</v>
      </c>
      <c r="J7" s="170">
        <f t="shared" ref="J7:J70" si="5">INT(LOG($H$2,2))-ROUNDUP(LOG(H7,2),0)+IF(OR($H$2=1,$H$2=2,$H$2=4,$H$2=8,$H$2=16,$H$2=32,$H$2=64,$H$2=128,$H$2=256),0,1)</f>
        <v>3</v>
      </c>
      <c r="K7" s="170">
        <f t="shared" si="2"/>
        <v>30</v>
      </c>
      <c r="L7" s="172">
        <f>2*K2</f>
        <v>14.797272445982822</v>
      </c>
      <c r="M7" s="172">
        <f t="shared" si="3"/>
        <v>82.255329230301868</v>
      </c>
    </row>
    <row r="8" spans="1:36" ht="14.45" customHeight="1" x14ac:dyDescent="0.25">
      <c r="A8" s="87">
        <f t="shared" si="4"/>
        <v>57.520126539962988</v>
      </c>
      <c r="B8" s="34">
        <f t="shared" si="0"/>
        <v>3</v>
      </c>
      <c r="C8" s="35" t="s">
        <v>18</v>
      </c>
      <c r="D8" s="35" t="s">
        <v>45</v>
      </c>
      <c r="E8" s="35"/>
      <c r="F8" s="35"/>
      <c r="G8" s="28"/>
      <c r="H8" s="167">
        <v>3</v>
      </c>
      <c r="I8" s="168">
        <f t="shared" si="1"/>
        <v>30.12149031697157</v>
      </c>
      <c r="J8" s="167">
        <f t="shared" si="5"/>
        <v>2</v>
      </c>
      <c r="K8" s="167">
        <f t="shared" si="2"/>
        <v>20</v>
      </c>
      <c r="L8" s="169">
        <f>K2</f>
        <v>7.3986362229914109</v>
      </c>
      <c r="M8" s="169">
        <f t="shared" si="3"/>
        <v>57.520126539962988</v>
      </c>
    </row>
    <row r="9" spans="1:36" s="160" customFormat="1" ht="14.45" customHeight="1" x14ac:dyDescent="0.25">
      <c r="A9" s="91">
        <f t="shared" si="4"/>
        <v>57.520126539962988</v>
      </c>
      <c r="B9" s="40">
        <f t="shared" si="0"/>
        <v>4</v>
      </c>
      <c r="C9" s="41" t="s">
        <v>48</v>
      </c>
      <c r="D9" s="41"/>
      <c r="E9" s="41"/>
      <c r="F9" s="41"/>
      <c r="G9" s="28"/>
      <c r="H9" s="170">
        <v>3</v>
      </c>
      <c r="I9" s="171">
        <f t="shared" si="1"/>
        <v>30.12149031697157</v>
      </c>
      <c r="J9" s="170">
        <f t="shared" si="5"/>
        <v>2</v>
      </c>
      <c r="K9" s="170">
        <f t="shared" si="2"/>
        <v>20</v>
      </c>
      <c r="L9" s="172">
        <f>K2</f>
        <v>7.3986362229914109</v>
      </c>
      <c r="M9" s="172">
        <f t="shared" si="3"/>
        <v>57.520126539962988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48</v>
      </c>
      <c r="AI9" s="160">
        <v>23</v>
      </c>
    </row>
    <row r="10" spans="1:36" ht="14.45" customHeight="1" x14ac:dyDescent="0.25">
      <c r="A10" s="87">
        <f t="shared" si="4"/>
        <v>30.878509683028433</v>
      </c>
      <c r="B10" s="34">
        <f t="shared" si="0"/>
        <v>5</v>
      </c>
      <c r="C10" s="35" t="s">
        <v>48</v>
      </c>
      <c r="D10" s="35"/>
      <c r="E10" s="35"/>
      <c r="F10" s="35"/>
      <c r="G10" s="28"/>
      <c r="H10" s="167">
        <v>5</v>
      </c>
      <c r="I10" s="168">
        <f t="shared" si="1"/>
        <v>20.878509683028433</v>
      </c>
      <c r="J10" s="167">
        <f t="shared" si="5"/>
        <v>1</v>
      </c>
      <c r="K10" s="167">
        <f t="shared" si="2"/>
        <v>10</v>
      </c>
      <c r="L10" s="167"/>
      <c r="M10" s="169">
        <f t="shared" si="3"/>
        <v>30.878509683028433</v>
      </c>
      <c r="V10" s="173"/>
      <c r="Z10" s="174"/>
      <c r="AA10" s="174"/>
      <c r="AG10" s="175"/>
      <c r="AH10" s="160" t="s">
        <v>50</v>
      </c>
      <c r="AI10" s="160">
        <v>45</v>
      </c>
    </row>
    <row r="11" spans="1:36" ht="14.45" customHeight="1" x14ac:dyDescent="0.25">
      <c r="A11" s="91">
        <f t="shared" si="4"/>
        <v>27.579547101290608</v>
      </c>
      <c r="B11" s="40">
        <f t="shared" si="0"/>
        <v>6</v>
      </c>
      <c r="C11" s="41" t="s">
        <v>48</v>
      </c>
      <c r="D11" s="41"/>
      <c r="E11" s="41"/>
      <c r="F11" s="41"/>
      <c r="G11" s="28"/>
      <c r="H11" s="170">
        <v>6</v>
      </c>
      <c r="I11" s="171">
        <f t="shared" si="1"/>
        <v>17.579547101290608</v>
      </c>
      <c r="J11" s="170">
        <f t="shared" si="5"/>
        <v>1</v>
      </c>
      <c r="K11" s="170">
        <f t="shared" si="2"/>
        <v>10</v>
      </c>
      <c r="L11" s="170"/>
      <c r="M11" s="172">
        <f t="shared" si="3"/>
        <v>27.579547101290608</v>
      </c>
      <c r="V11" s="176"/>
      <c r="Z11" s="174"/>
      <c r="AA11" s="174"/>
      <c r="AG11" s="175"/>
      <c r="AH11" s="160" t="s">
        <v>52</v>
      </c>
      <c r="AI11" s="160">
        <v>50</v>
      </c>
    </row>
    <row r="12" spans="1:36" ht="14.45" customHeight="1" x14ac:dyDescent="0.25">
      <c r="A12" s="87">
        <f t="shared" si="4"/>
        <v>24.790313981291092</v>
      </c>
      <c r="B12" s="34">
        <f t="shared" si="0"/>
        <v>7</v>
      </c>
      <c r="C12" s="35" t="s">
        <v>17</v>
      </c>
      <c r="D12" s="35" t="s">
        <v>45</v>
      </c>
      <c r="E12" s="35"/>
      <c r="F12" s="35"/>
      <c r="G12" s="28"/>
      <c r="H12" s="167">
        <v>7</v>
      </c>
      <c r="I12" s="168">
        <f t="shared" si="1"/>
        <v>14.790313981291092</v>
      </c>
      <c r="J12" s="167">
        <f t="shared" si="5"/>
        <v>1</v>
      </c>
      <c r="K12" s="167">
        <f t="shared" si="2"/>
        <v>10</v>
      </c>
      <c r="L12" s="167"/>
      <c r="M12" s="169">
        <f t="shared" si="3"/>
        <v>24.790313981291092</v>
      </c>
      <c r="Z12" s="174"/>
      <c r="AA12" s="174"/>
      <c r="AG12" s="175"/>
      <c r="AH12" s="160" t="s">
        <v>53</v>
      </c>
      <c r="AI12" s="160">
        <f>AI11-1</f>
        <v>49</v>
      </c>
    </row>
    <row r="13" spans="1:36" ht="14.45" customHeight="1" x14ac:dyDescent="0.25">
      <c r="A13" s="91">
        <f t="shared" si="4"/>
        <v>22.37417035295713</v>
      </c>
      <c r="B13" s="40">
        <f t="shared" si="0"/>
        <v>8</v>
      </c>
      <c r="C13" s="41" t="s">
        <v>48</v>
      </c>
      <c r="D13" s="41"/>
      <c r="E13" s="41"/>
      <c r="F13" s="41"/>
      <c r="G13" s="28"/>
      <c r="H13" s="170">
        <v>8</v>
      </c>
      <c r="I13" s="171">
        <f t="shared" si="1"/>
        <v>12.37417035295713</v>
      </c>
      <c r="J13" s="170">
        <f t="shared" si="5"/>
        <v>1</v>
      </c>
      <c r="K13" s="170">
        <f t="shared" si="2"/>
        <v>10</v>
      </c>
      <c r="L13" s="170"/>
      <c r="M13" s="172">
        <f t="shared" si="3"/>
        <v>22.37417035295713</v>
      </c>
      <c r="X13" s="173"/>
      <c r="AG13" s="175"/>
      <c r="AH13" s="160" t="s">
        <v>54</v>
      </c>
      <c r="AI13" s="160">
        <f>LOG(AI9)</f>
        <v>1.3617278360175928</v>
      </c>
    </row>
    <row r="14" spans="1:36" x14ac:dyDescent="0.25">
      <c r="A14" s="87">
        <f t="shared" si="4"/>
        <v>10.242980633943141</v>
      </c>
      <c r="B14" s="34">
        <f t="shared" si="0"/>
        <v>9</v>
      </c>
      <c r="C14" s="35" t="s">
        <v>48</v>
      </c>
      <c r="D14" s="35"/>
      <c r="E14" s="35"/>
      <c r="F14" s="35"/>
      <c r="G14" s="28"/>
      <c r="H14" s="167">
        <v>9</v>
      </c>
      <c r="I14" s="168">
        <f t="shared" si="1"/>
        <v>10.242980633943141</v>
      </c>
      <c r="J14" s="167">
        <f t="shared" si="5"/>
        <v>0</v>
      </c>
      <c r="K14" s="167">
        <f t="shared" si="2"/>
        <v>0</v>
      </c>
      <c r="L14" s="167"/>
      <c r="M14" s="169">
        <f t="shared" si="3"/>
        <v>10.242980633943141</v>
      </c>
      <c r="X14" s="177"/>
      <c r="Z14" s="174"/>
      <c r="AA14" s="174"/>
      <c r="AG14" s="175"/>
      <c r="AH14" s="160" t="s">
        <v>55</v>
      </c>
      <c r="AI14" s="160">
        <f>LOG(AI10)</f>
        <v>1.6532125137753437</v>
      </c>
    </row>
    <row r="15" spans="1:36" x14ac:dyDescent="0.25">
      <c r="A15" s="91">
        <f t="shared" si="4"/>
        <v>8.336566467347474</v>
      </c>
      <c r="B15" s="40">
        <f t="shared" si="0"/>
        <v>10</v>
      </c>
      <c r="C15" s="41" t="s">
        <v>19</v>
      </c>
      <c r="D15" s="41" t="s">
        <v>45</v>
      </c>
      <c r="E15" s="41"/>
      <c r="F15" s="41"/>
      <c r="G15" s="28"/>
      <c r="H15" s="170">
        <v>10</v>
      </c>
      <c r="I15" s="171">
        <f t="shared" si="1"/>
        <v>8.336566467347474</v>
      </c>
      <c r="J15" s="170">
        <f t="shared" si="5"/>
        <v>0</v>
      </c>
      <c r="K15" s="170">
        <f t="shared" si="2"/>
        <v>0</v>
      </c>
      <c r="L15" s="170"/>
      <c r="M15" s="172">
        <f t="shared" si="3"/>
        <v>8.336566467347474</v>
      </c>
      <c r="X15" s="173"/>
      <c r="Z15" s="174"/>
      <c r="AA15" s="174"/>
    </row>
    <row r="16" spans="1:36" x14ac:dyDescent="0.25">
      <c r="A16" s="87">
        <f t="shared" si="4"/>
        <v>6.6120050805197508</v>
      </c>
      <c r="B16" s="34">
        <f t="shared" si="0"/>
        <v>11</v>
      </c>
      <c r="C16" s="35" t="s">
        <v>22</v>
      </c>
      <c r="D16" s="35" t="s">
        <v>45</v>
      </c>
      <c r="E16" s="35"/>
      <c r="F16" s="35"/>
      <c r="G16" s="28"/>
      <c r="H16" s="167">
        <v>11</v>
      </c>
      <c r="I16" s="168">
        <f t="shared" si="1"/>
        <v>6.6120050805197508</v>
      </c>
      <c r="J16" s="167">
        <f t="shared" si="5"/>
        <v>0</v>
      </c>
      <c r="K16" s="167">
        <f t="shared" si="2"/>
        <v>0</v>
      </c>
      <c r="L16" s="167"/>
      <c r="M16" s="169">
        <f t="shared" si="3"/>
        <v>6.6120050805197508</v>
      </c>
      <c r="R16" s="178"/>
      <c r="Z16" s="174"/>
      <c r="AA16" s="174"/>
      <c r="AH16" s="179" t="s">
        <v>56</v>
      </c>
      <c r="AI16" s="160">
        <f>AI11-AI12*AI13/AI14</f>
        <v>9.6393909380186855</v>
      </c>
      <c r="AJ16" s="160" t="s">
        <v>57</v>
      </c>
    </row>
    <row r="17" spans="1:19" x14ac:dyDescent="0.25">
      <c r="A17" s="91">
        <f t="shared" si="4"/>
        <v>5.0376038856096557</v>
      </c>
      <c r="B17" s="40">
        <f t="shared" si="0"/>
        <v>12</v>
      </c>
      <c r="C17" s="41" t="s">
        <v>21</v>
      </c>
      <c r="D17" s="41" t="s">
        <v>45</v>
      </c>
      <c r="E17" s="41"/>
      <c r="F17" s="41"/>
      <c r="G17" s="28"/>
      <c r="H17" s="170">
        <v>12</v>
      </c>
      <c r="I17" s="171">
        <f t="shared" si="1"/>
        <v>5.0376038856096557</v>
      </c>
      <c r="J17" s="170">
        <f t="shared" si="5"/>
        <v>0</v>
      </c>
      <c r="K17" s="170">
        <f t="shared" si="2"/>
        <v>0</v>
      </c>
      <c r="L17" s="170"/>
      <c r="M17" s="172">
        <f t="shared" si="3"/>
        <v>5.0376038856096557</v>
      </c>
    </row>
    <row r="18" spans="1:19" x14ac:dyDescent="0.25">
      <c r="A18" s="87">
        <f t="shared" si="4"/>
        <v>3.5892951820239745</v>
      </c>
      <c r="B18" s="34">
        <f t="shared" si="0"/>
        <v>13</v>
      </c>
      <c r="C18" s="35" t="s">
        <v>48</v>
      </c>
      <c r="D18" s="35"/>
      <c r="E18" s="35"/>
      <c r="F18" s="35"/>
      <c r="G18" s="28"/>
      <c r="H18" s="167">
        <v>13</v>
      </c>
      <c r="I18" s="168">
        <f t="shared" si="1"/>
        <v>3.5892951820239745</v>
      </c>
      <c r="J18" s="167">
        <f t="shared" si="5"/>
        <v>0</v>
      </c>
      <c r="K18" s="167">
        <f t="shared" si="2"/>
        <v>0</v>
      </c>
      <c r="L18" s="167"/>
      <c r="M18" s="169">
        <f t="shared" si="3"/>
        <v>3.5892951820239745</v>
      </c>
    </row>
    <row r="19" spans="1:19" x14ac:dyDescent="0.25">
      <c r="A19" s="91">
        <f t="shared" si="4"/>
        <v>2.248370765610133</v>
      </c>
      <c r="B19" s="40">
        <f t="shared" si="0"/>
        <v>14</v>
      </c>
      <c r="C19" s="41" t="s">
        <v>48</v>
      </c>
      <c r="D19" s="41"/>
      <c r="E19" s="41"/>
      <c r="F19" s="41"/>
      <c r="G19" s="28"/>
      <c r="H19" s="170">
        <v>14</v>
      </c>
      <c r="I19" s="171">
        <f t="shared" si="1"/>
        <v>2.248370765610133</v>
      </c>
      <c r="J19" s="170">
        <f t="shared" si="5"/>
        <v>0</v>
      </c>
      <c r="K19" s="170">
        <f t="shared" si="2"/>
        <v>0</v>
      </c>
      <c r="L19" s="170"/>
      <c r="M19" s="172">
        <f t="shared" si="3"/>
        <v>2.248370765610133</v>
      </c>
    </row>
    <row r="20" spans="1:19" x14ac:dyDescent="0.25">
      <c r="A20" s="87">
        <f t="shared" si="4"/>
        <v>1</v>
      </c>
      <c r="B20" s="34">
        <f t="shared" si="0"/>
        <v>15</v>
      </c>
      <c r="C20" s="35" t="s">
        <v>48</v>
      </c>
      <c r="D20" s="35"/>
      <c r="E20" s="35"/>
      <c r="F20" s="35"/>
      <c r="G20" s="28"/>
      <c r="H20" s="167">
        <v>15</v>
      </c>
      <c r="I20" s="168">
        <f t="shared" si="1"/>
        <v>1</v>
      </c>
      <c r="J20" s="167">
        <f t="shared" si="5"/>
        <v>0</v>
      </c>
      <c r="K20" s="167">
        <f t="shared" si="2"/>
        <v>0</v>
      </c>
      <c r="L20" s="167"/>
      <c r="M20" s="169">
        <f t="shared" si="3"/>
        <v>1</v>
      </c>
      <c r="R20" s="180"/>
      <c r="S20" s="181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0">
        <f t="shared" si="5"/>
        <v>0</v>
      </c>
      <c r="K21" s="170">
        <f t="shared" si="2"/>
        <v>0</v>
      </c>
      <c r="L21" s="170"/>
      <c r="M21" s="172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7">
        <f t="shared" si="5"/>
        <v>-1</v>
      </c>
      <c r="K22" s="167">
        <f t="shared" si="2"/>
        <v>-10</v>
      </c>
      <c r="L22" s="167"/>
      <c r="M22" s="169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0">
        <f t="shared" si="5"/>
        <v>-1</v>
      </c>
      <c r="K23" s="170">
        <f t="shared" si="2"/>
        <v>-10</v>
      </c>
      <c r="L23" s="170"/>
      <c r="M23" s="172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7">
        <f t="shared" si="5"/>
        <v>-1</v>
      </c>
      <c r="K24" s="167">
        <f t="shared" si="2"/>
        <v>-10</v>
      </c>
      <c r="L24" s="167"/>
      <c r="M24" s="169">
        <f t="shared" si="3"/>
        <v>0</v>
      </c>
      <c r="R24" s="180"/>
      <c r="S24" s="181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0">
        <f t="shared" si="5"/>
        <v>-1</v>
      </c>
      <c r="K25" s="170">
        <f t="shared" si="2"/>
        <v>-10</v>
      </c>
      <c r="L25" s="170"/>
      <c r="M25" s="172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7">
        <f t="shared" si="5"/>
        <v>-1</v>
      </c>
      <c r="K26" s="167">
        <f t="shared" si="2"/>
        <v>-10</v>
      </c>
      <c r="L26" s="167"/>
      <c r="M26" s="169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0">
        <f t="shared" si="5"/>
        <v>-1</v>
      </c>
      <c r="K27" s="170">
        <f t="shared" si="2"/>
        <v>-10</v>
      </c>
      <c r="L27" s="170"/>
      <c r="M27" s="172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7">
        <f t="shared" si="5"/>
        <v>-1</v>
      </c>
      <c r="K28" s="167">
        <f t="shared" si="2"/>
        <v>-10</v>
      </c>
      <c r="L28" s="167"/>
      <c r="M28" s="169">
        <f t="shared" si="3"/>
        <v>0</v>
      </c>
      <c r="R28" s="180"/>
      <c r="S28" s="181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0">
        <f t="shared" si="5"/>
        <v>-1</v>
      </c>
      <c r="K29" s="170">
        <f t="shared" si="2"/>
        <v>-10</v>
      </c>
      <c r="L29" s="170"/>
      <c r="M29" s="172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7">
        <f t="shared" si="5"/>
        <v>-1</v>
      </c>
      <c r="K30" s="167">
        <f t="shared" si="2"/>
        <v>-10</v>
      </c>
      <c r="L30" s="167"/>
      <c r="M30" s="169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0">
        <f t="shared" si="5"/>
        <v>-1</v>
      </c>
      <c r="K31" s="170">
        <f t="shared" si="2"/>
        <v>-10</v>
      </c>
      <c r="L31" s="170"/>
      <c r="M31" s="172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7">
        <f t="shared" si="5"/>
        <v>-1</v>
      </c>
      <c r="K32" s="167">
        <f t="shared" si="2"/>
        <v>-10</v>
      </c>
      <c r="L32" s="167"/>
      <c r="M32" s="169">
        <f t="shared" si="3"/>
        <v>0</v>
      </c>
      <c r="R32" s="180"/>
      <c r="S32" s="181"/>
    </row>
    <row r="33" spans="1:19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0">
        <f t="shared" si="5"/>
        <v>-1</v>
      </c>
      <c r="K33" s="170">
        <f t="shared" si="2"/>
        <v>-10</v>
      </c>
      <c r="L33" s="170"/>
      <c r="M33" s="172">
        <f t="shared" si="3"/>
        <v>0</v>
      </c>
    </row>
    <row r="34" spans="1:19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7">
        <f t="shared" si="5"/>
        <v>-1</v>
      </c>
      <c r="K34" s="167">
        <f t="shared" si="2"/>
        <v>-10</v>
      </c>
      <c r="L34" s="167"/>
      <c r="M34" s="169">
        <f t="shared" si="3"/>
        <v>0</v>
      </c>
    </row>
    <row r="35" spans="1:19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0">
        <f t="shared" si="5"/>
        <v>-1</v>
      </c>
      <c r="K35" s="170">
        <f t="shared" si="2"/>
        <v>-10</v>
      </c>
      <c r="L35" s="170"/>
      <c r="M35" s="172">
        <f t="shared" si="3"/>
        <v>0</v>
      </c>
    </row>
    <row r="36" spans="1:19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7">
        <f t="shared" si="5"/>
        <v>-1</v>
      </c>
      <c r="K36" s="167">
        <f t="shared" si="2"/>
        <v>-10</v>
      </c>
      <c r="L36" s="167"/>
      <c r="M36" s="169">
        <f t="shared" si="3"/>
        <v>0</v>
      </c>
      <c r="R36" s="180"/>
      <c r="S36" s="181"/>
    </row>
    <row r="37" spans="1:19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0">
        <f t="shared" si="5"/>
        <v>-1</v>
      </c>
      <c r="K37" s="170">
        <f t="shared" si="2"/>
        <v>-10</v>
      </c>
      <c r="L37" s="170"/>
      <c r="M37" s="172">
        <f t="shared" si="3"/>
        <v>0</v>
      </c>
    </row>
    <row r="38" spans="1:19" x14ac:dyDescent="0.25">
      <c r="A38" s="87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7">
        <f t="shared" si="5"/>
        <v>-2</v>
      </c>
      <c r="K38" s="167">
        <f t="shared" si="2"/>
        <v>-20</v>
      </c>
      <c r="L38" s="167"/>
      <c r="M38" s="169">
        <f t="shared" si="3"/>
        <v>0</v>
      </c>
    </row>
    <row r="39" spans="1:19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0">
        <f t="shared" si="5"/>
        <v>-2</v>
      </c>
      <c r="K39" s="170">
        <f t="shared" si="2"/>
        <v>-20</v>
      </c>
      <c r="L39" s="170"/>
      <c r="M39" s="172">
        <f t="shared" si="3"/>
        <v>0</v>
      </c>
    </row>
    <row r="40" spans="1:19" x14ac:dyDescent="0.25">
      <c r="A40" s="87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7">
        <f t="shared" si="5"/>
        <v>-2</v>
      </c>
      <c r="K40" s="167">
        <f t="shared" si="2"/>
        <v>-20</v>
      </c>
      <c r="L40" s="167"/>
      <c r="M40" s="169">
        <f t="shared" si="3"/>
        <v>0</v>
      </c>
    </row>
    <row r="41" spans="1:19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0">
        <f t="shared" si="5"/>
        <v>-2</v>
      </c>
      <c r="K41" s="170">
        <f t="shared" si="2"/>
        <v>-20</v>
      </c>
      <c r="L41" s="170"/>
      <c r="M41" s="172">
        <f t="shared" si="3"/>
        <v>0</v>
      </c>
      <c r="S41" s="182"/>
    </row>
    <row r="42" spans="1:19" x14ac:dyDescent="0.25">
      <c r="A42" s="87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7">
        <f t="shared" si="5"/>
        <v>-2</v>
      </c>
      <c r="K42" s="167">
        <f t="shared" si="2"/>
        <v>-20</v>
      </c>
      <c r="L42" s="167"/>
      <c r="M42" s="169">
        <f t="shared" si="3"/>
        <v>0</v>
      </c>
    </row>
    <row r="43" spans="1:19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0">
        <f t="shared" si="5"/>
        <v>-2</v>
      </c>
      <c r="K43" s="170">
        <f t="shared" si="2"/>
        <v>-20</v>
      </c>
      <c r="L43" s="170"/>
      <c r="M43" s="172">
        <f t="shared" si="3"/>
        <v>0</v>
      </c>
    </row>
    <row r="44" spans="1:19" x14ac:dyDescent="0.25">
      <c r="A44" s="87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7">
        <f t="shared" si="5"/>
        <v>-2</v>
      </c>
      <c r="K44" s="167">
        <f t="shared" si="2"/>
        <v>-20</v>
      </c>
      <c r="L44" s="167"/>
      <c r="M44" s="169">
        <f t="shared" si="3"/>
        <v>0</v>
      </c>
    </row>
    <row r="45" spans="1:19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0">
        <f t="shared" si="5"/>
        <v>-2</v>
      </c>
      <c r="K45" s="170">
        <f t="shared" si="2"/>
        <v>-20</v>
      </c>
      <c r="L45" s="170"/>
      <c r="M45" s="172">
        <f t="shared" si="3"/>
        <v>0</v>
      </c>
    </row>
    <row r="46" spans="1:19" x14ac:dyDescent="0.25">
      <c r="A46" s="87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7">
        <f t="shared" si="5"/>
        <v>-2</v>
      </c>
      <c r="K46" s="167">
        <f t="shared" si="2"/>
        <v>-20</v>
      </c>
      <c r="L46" s="167"/>
      <c r="M46" s="169">
        <f t="shared" si="3"/>
        <v>0</v>
      </c>
    </row>
    <row r="47" spans="1:19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0">
        <f t="shared" si="5"/>
        <v>-2</v>
      </c>
      <c r="K47" s="170">
        <f t="shared" si="2"/>
        <v>-20</v>
      </c>
      <c r="L47" s="170"/>
      <c r="M47" s="172">
        <f t="shared" si="3"/>
        <v>0</v>
      </c>
    </row>
    <row r="48" spans="1:19" x14ac:dyDescent="0.25">
      <c r="A48" s="87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7">
        <f t="shared" si="5"/>
        <v>-2</v>
      </c>
      <c r="K48" s="167">
        <f t="shared" si="2"/>
        <v>-20</v>
      </c>
      <c r="L48" s="167"/>
      <c r="M48" s="169">
        <f t="shared" si="3"/>
        <v>0</v>
      </c>
    </row>
    <row r="49" spans="1:38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0">
        <f t="shared" si="5"/>
        <v>-2</v>
      </c>
      <c r="K49" s="170">
        <f t="shared" si="2"/>
        <v>-20</v>
      </c>
      <c r="L49" s="170"/>
      <c r="M49" s="172">
        <f t="shared" si="3"/>
        <v>0</v>
      </c>
    </row>
    <row r="50" spans="1:38" x14ac:dyDescent="0.25">
      <c r="A50" s="87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7">
        <f t="shared" si="5"/>
        <v>-2</v>
      </c>
      <c r="K50" s="167">
        <f t="shared" si="2"/>
        <v>-20</v>
      </c>
      <c r="L50" s="167"/>
      <c r="M50" s="169">
        <f t="shared" si="3"/>
        <v>0</v>
      </c>
    </row>
    <row r="51" spans="1:38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0">
        <f t="shared" si="5"/>
        <v>-2</v>
      </c>
      <c r="K51" s="170">
        <f t="shared" si="2"/>
        <v>-20</v>
      </c>
      <c r="L51" s="170"/>
      <c r="M51" s="172">
        <f t="shared" si="3"/>
        <v>0</v>
      </c>
    </row>
    <row r="52" spans="1:38" x14ac:dyDescent="0.25">
      <c r="A52" s="87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7">
        <f t="shared" si="5"/>
        <v>-2</v>
      </c>
      <c r="K52" s="167">
        <f t="shared" si="2"/>
        <v>-20</v>
      </c>
      <c r="L52" s="167"/>
      <c r="M52" s="169">
        <f t="shared" si="3"/>
        <v>0</v>
      </c>
    </row>
    <row r="53" spans="1:38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0">
        <f t="shared" si="5"/>
        <v>-2</v>
      </c>
      <c r="K53" s="170">
        <f t="shared" si="2"/>
        <v>-20</v>
      </c>
      <c r="L53" s="170"/>
      <c r="M53" s="172">
        <f t="shared" si="3"/>
        <v>0</v>
      </c>
    </row>
    <row r="54" spans="1:38" x14ac:dyDescent="0.25">
      <c r="A54" s="87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7">
        <f t="shared" si="5"/>
        <v>-2</v>
      </c>
      <c r="K54" s="167">
        <f t="shared" si="2"/>
        <v>-20</v>
      </c>
      <c r="L54" s="167"/>
      <c r="M54" s="169">
        <f t="shared" si="3"/>
        <v>0</v>
      </c>
    </row>
    <row r="55" spans="1:38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0">
        <f t="shared" si="5"/>
        <v>-2</v>
      </c>
      <c r="K55" s="170">
        <f t="shared" si="2"/>
        <v>-20</v>
      </c>
      <c r="L55" s="170"/>
      <c r="M55" s="172">
        <f t="shared" si="3"/>
        <v>0</v>
      </c>
    </row>
    <row r="56" spans="1:38" x14ac:dyDescent="0.25">
      <c r="A56" s="87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7">
        <f t="shared" si="5"/>
        <v>-2</v>
      </c>
      <c r="K56" s="167">
        <f t="shared" si="2"/>
        <v>-20</v>
      </c>
      <c r="L56" s="167"/>
      <c r="M56" s="169">
        <f t="shared" si="3"/>
        <v>0</v>
      </c>
    </row>
    <row r="57" spans="1:38" s="155" customFormat="1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H57" s="170">
        <v>52</v>
      </c>
      <c r="I57" s="171" t="str">
        <f t="shared" si="1"/>
        <v/>
      </c>
      <c r="J57" s="170">
        <f t="shared" si="5"/>
        <v>-2</v>
      </c>
      <c r="K57" s="170">
        <f t="shared" si="2"/>
        <v>-20</v>
      </c>
      <c r="L57" s="170"/>
      <c r="M57" s="172">
        <f t="shared" si="3"/>
        <v>0</v>
      </c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</row>
    <row r="58" spans="1:38" s="155" customFormat="1" x14ac:dyDescent="0.25">
      <c r="A58" s="87">
        <f t="shared" si="4"/>
        <v>0</v>
      </c>
      <c r="B58" s="34" t="str">
        <f t="shared" si="0"/>
        <v/>
      </c>
      <c r="C58" s="35"/>
      <c r="D58" s="35"/>
      <c r="E58" s="35"/>
      <c r="F58" s="35"/>
      <c r="H58" s="167">
        <v>53</v>
      </c>
      <c r="I58" s="168" t="str">
        <f t="shared" si="1"/>
        <v/>
      </c>
      <c r="J58" s="167">
        <f t="shared" si="5"/>
        <v>-2</v>
      </c>
      <c r="K58" s="167">
        <f t="shared" si="2"/>
        <v>-20</v>
      </c>
      <c r="L58" s="167"/>
      <c r="M58" s="169">
        <f t="shared" si="3"/>
        <v>0</v>
      </c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</row>
    <row r="59" spans="1:38" s="155" customFormat="1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H59" s="170">
        <v>54</v>
      </c>
      <c r="I59" s="171" t="str">
        <f t="shared" si="1"/>
        <v/>
      </c>
      <c r="J59" s="170">
        <f t="shared" si="5"/>
        <v>-2</v>
      </c>
      <c r="K59" s="170">
        <f t="shared" si="2"/>
        <v>-20</v>
      </c>
      <c r="L59" s="170"/>
      <c r="M59" s="172">
        <f t="shared" si="3"/>
        <v>0</v>
      </c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</row>
    <row r="60" spans="1:38" s="155" customFormat="1" x14ac:dyDescent="0.25">
      <c r="A60" s="87">
        <f t="shared" si="4"/>
        <v>0</v>
      </c>
      <c r="B60" s="34" t="str">
        <f t="shared" si="0"/>
        <v/>
      </c>
      <c r="C60" s="35"/>
      <c r="D60" s="35"/>
      <c r="E60" s="35"/>
      <c r="F60" s="35"/>
      <c r="H60" s="167">
        <v>55</v>
      </c>
      <c r="I60" s="168" t="str">
        <f t="shared" si="1"/>
        <v/>
      </c>
      <c r="J60" s="167">
        <f t="shared" si="5"/>
        <v>-2</v>
      </c>
      <c r="K60" s="167">
        <f t="shared" si="2"/>
        <v>-20</v>
      </c>
      <c r="L60" s="167"/>
      <c r="M60" s="169">
        <f t="shared" si="3"/>
        <v>0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</row>
    <row r="61" spans="1:38" s="155" customFormat="1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H61" s="170">
        <v>56</v>
      </c>
      <c r="I61" s="171" t="str">
        <f t="shared" si="1"/>
        <v/>
      </c>
      <c r="J61" s="170">
        <f t="shared" si="5"/>
        <v>-2</v>
      </c>
      <c r="K61" s="170">
        <f t="shared" si="2"/>
        <v>-20</v>
      </c>
      <c r="L61" s="170"/>
      <c r="M61" s="172">
        <f t="shared" si="3"/>
        <v>0</v>
      </c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</row>
    <row r="62" spans="1:38" s="155" customFormat="1" x14ac:dyDescent="0.25">
      <c r="A62" s="87">
        <f t="shared" si="4"/>
        <v>0</v>
      </c>
      <c r="B62" s="34" t="str">
        <f t="shared" si="0"/>
        <v/>
      </c>
      <c r="C62" s="35"/>
      <c r="D62" s="35"/>
      <c r="E62" s="35"/>
      <c r="F62" s="35"/>
      <c r="H62" s="167">
        <v>57</v>
      </c>
      <c r="I62" s="168" t="str">
        <f t="shared" si="1"/>
        <v/>
      </c>
      <c r="J62" s="167">
        <f t="shared" si="5"/>
        <v>-2</v>
      </c>
      <c r="K62" s="167">
        <f t="shared" si="2"/>
        <v>-20</v>
      </c>
      <c r="L62" s="167"/>
      <c r="M62" s="169">
        <f t="shared" si="3"/>
        <v>0</v>
      </c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</row>
    <row r="63" spans="1:38" s="155" customFormat="1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H63" s="170">
        <v>58</v>
      </c>
      <c r="I63" s="171" t="str">
        <f t="shared" si="1"/>
        <v/>
      </c>
      <c r="J63" s="170">
        <f t="shared" si="5"/>
        <v>-2</v>
      </c>
      <c r="K63" s="170">
        <f t="shared" si="2"/>
        <v>-20</v>
      </c>
      <c r="L63" s="170"/>
      <c r="M63" s="172">
        <f t="shared" si="3"/>
        <v>0</v>
      </c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</row>
    <row r="64" spans="1:38" s="155" customFormat="1" x14ac:dyDescent="0.25">
      <c r="A64" s="87">
        <f t="shared" si="4"/>
        <v>0</v>
      </c>
      <c r="B64" s="34" t="str">
        <f t="shared" si="0"/>
        <v/>
      </c>
      <c r="C64" s="35"/>
      <c r="D64" s="35"/>
      <c r="E64" s="35"/>
      <c r="F64" s="35"/>
      <c r="H64" s="167">
        <v>59</v>
      </c>
      <c r="I64" s="168" t="str">
        <f t="shared" si="1"/>
        <v/>
      </c>
      <c r="J64" s="167">
        <f t="shared" si="5"/>
        <v>-2</v>
      </c>
      <c r="K64" s="167">
        <f t="shared" si="2"/>
        <v>-20</v>
      </c>
      <c r="L64" s="167"/>
      <c r="M64" s="169">
        <f t="shared" si="3"/>
        <v>0</v>
      </c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</row>
    <row r="65" spans="1:38" s="155" customFormat="1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H65" s="170">
        <v>60</v>
      </c>
      <c r="I65" s="171" t="str">
        <f t="shared" si="1"/>
        <v/>
      </c>
      <c r="J65" s="170">
        <f t="shared" si="5"/>
        <v>-2</v>
      </c>
      <c r="K65" s="170">
        <f t="shared" si="2"/>
        <v>-20</v>
      </c>
      <c r="L65" s="170"/>
      <c r="M65" s="172">
        <f t="shared" si="3"/>
        <v>0</v>
      </c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</row>
    <row r="66" spans="1:38" s="155" customFormat="1" x14ac:dyDescent="0.25">
      <c r="A66" s="87">
        <f t="shared" si="4"/>
        <v>0</v>
      </c>
      <c r="B66" s="34" t="str">
        <f t="shared" si="0"/>
        <v/>
      </c>
      <c r="C66" s="35"/>
      <c r="D66" s="35"/>
      <c r="E66" s="35"/>
      <c r="F66" s="35"/>
      <c r="H66" s="167">
        <v>61</v>
      </c>
      <c r="I66" s="168" t="str">
        <f t="shared" si="1"/>
        <v/>
      </c>
      <c r="J66" s="167">
        <f t="shared" si="5"/>
        <v>-2</v>
      </c>
      <c r="K66" s="167">
        <f t="shared" si="2"/>
        <v>-20</v>
      </c>
      <c r="L66" s="167"/>
      <c r="M66" s="169">
        <f t="shared" si="3"/>
        <v>0</v>
      </c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</row>
    <row r="67" spans="1:38" s="155" customFormat="1" x14ac:dyDescent="0.25">
      <c r="A67" s="91">
        <f t="shared" si="4"/>
        <v>0</v>
      </c>
      <c r="B67" s="40" t="str">
        <f t="shared" si="0"/>
        <v/>
      </c>
      <c r="C67" s="41"/>
      <c r="D67" s="41"/>
      <c r="E67" s="41"/>
      <c r="F67" s="41"/>
      <c r="H67" s="170">
        <v>62</v>
      </c>
      <c r="I67" s="171" t="str">
        <f t="shared" si="1"/>
        <v/>
      </c>
      <c r="J67" s="170">
        <f t="shared" si="5"/>
        <v>-2</v>
      </c>
      <c r="K67" s="170">
        <f t="shared" si="2"/>
        <v>-20</v>
      </c>
      <c r="L67" s="170"/>
      <c r="M67" s="172">
        <f t="shared" si="3"/>
        <v>0</v>
      </c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</row>
    <row r="68" spans="1:38" s="155" customFormat="1" x14ac:dyDescent="0.25">
      <c r="A68" s="87">
        <f t="shared" si="4"/>
        <v>0</v>
      </c>
      <c r="B68" s="34" t="str">
        <f t="shared" si="0"/>
        <v/>
      </c>
      <c r="C68" s="35"/>
      <c r="D68" s="35"/>
      <c r="E68" s="35"/>
      <c r="F68" s="35"/>
      <c r="H68" s="167">
        <v>63</v>
      </c>
      <c r="I68" s="168" t="str">
        <f t="shared" si="1"/>
        <v/>
      </c>
      <c r="J68" s="167">
        <f t="shared" si="5"/>
        <v>-2</v>
      </c>
      <c r="K68" s="167">
        <f t="shared" si="2"/>
        <v>-20</v>
      </c>
      <c r="L68" s="167"/>
      <c r="M68" s="169">
        <f t="shared" si="3"/>
        <v>0</v>
      </c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</row>
    <row r="69" spans="1:38" s="155" customFormat="1" x14ac:dyDescent="0.25">
      <c r="A69" s="91">
        <f t="shared" si="4"/>
        <v>0</v>
      </c>
      <c r="B69" s="40" t="str">
        <f t="shared" si="0"/>
        <v/>
      </c>
      <c r="C69" s="41"/>
      <c r="D69" s="41"/>
      <c r="E69" s="41"/>
      <c r="F69" s="41"/>
      <c r="H69" s="170">
        <v>64</v>
      </c>
      <c r="I69" s="171" t="str">
        <f t="shared" si="1"/>
        <v/>
      </c>
      <c r="J69" s="170">
        <f t="shared" si="5"/>
        <v>-2</v>
      </c>
      <c r="K69" s="170">
        <f t="shared" si="2"/>
        <v>-20</v>
      </c>
      <c r="L69" s="170"/>
      <c r="M69" s="172">
        <f t="shared" si="3"/>
        <v>0</v>
      </c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</row>
    <row r="70" spans="1:38" s="155" customFormat="1" x14ac:dyDescent="0.25">
      <c r="A70" s="87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67">
        <v>65</v>
      </c>
      <c r="I70" s="168" t="str">
        <f t="shared" ref="I70:I133" si="7">IF(H70&lt;$H$2+1,($I$2-($I$2-1)*(LOG(H70)/LOG($H$2))),"")</f>
        <v/>
      </c>
      <c r="J70" s="167">
        <f t="shared" si="5"/>
        <v>-3</v>
      </c>
      <c r="K70" s="167">
        <f t="shared" ref="K70:K133" si="8">J70*$J$2</f>
        <v>-30</v>
      </c>
      <c r="L70" s="167"/>
      <c r="M70" s="169">
        <f t="shared" ref="M70:M133" si="9">IF(I70&lt;&gt;"",K70+I70+L70,0)</f>
        <v>0</v>
      </c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</row>
    <row r="71" spans="1:38" s="155" customFormat="1" x14ac:dyDescent="0.25">
      <c r="A71" s="91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0">
        <v>66</v>
      </c>
      <c r="I71" s="171" t="str">
        <f t="shared" si="7"/>
        <v/>
      </c>
      <c r="J71" s="170">
        <f t="shared" ref="J71:J134" si="11">INT(LOG($H$2,2))-ROUNDUP(LOG(H71,2),0)+IF(OR($H$2=1,$H$2=2,$H$2=4,$H$2=8,$H$2=16,$H$2=32,$H$2=64,$H$2=128,$H$2=256),0,1)</f>
        <v>-3</v>
      </c>
      <c r="K71" s="170">
        <f t="shared" si="8"/>
        <v>-30</v>
      </c>
      <c r="L71" s="170"/>
      <c r="M71" s="172">
        <f t="shared" si="9"/>
        <v>0</v>
      </c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</row>
    <row r="72" spans="1:38" s="155" customFormat="1" x14ac:dyDescent="0.25">
      <c r="A72" s="87">
        <f t="shared" si="10"/>
        <v>0</v>
      </c>
      <c r="B72" s="34" t="str">
        <f t="shared" si="6"/>
        <v/>
      </c>
      <c r="C72" s="35"/>
      <c r="D72" s="35"/>
      <c r="E72" s="35"/>
      <c r="F72" s="35"/>
      <c r="H72" s="167">
        <v>67</v>
      </c>
      <c r="I72" s="168" t="str">
        <f t="shared" si="7"/>
        <v/>
      </c>
      <c r="J72" s="167">
        <f t="shared" si="11"/>
        <v>-3</v>
      </c>
      <c r="K72" s="167">
        <f t="shared" si="8"/>
        <v>-30</v>
      </c>
      <c r="L72" s="167"/>
      <c r="M72" s="169">
        <f t="shared" si="9"/>
        <v>0</v>
      </c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</row>
    <row r="73" spans="1:38" s="155" customFormat="1" x14ac:dyDescent="0.25">
      <c r="A73" s="91">
        <f t="shared" si="10"/>
        <v>0</v>
      </c>
      <c r="B73" s="40" t="str">
        <f t="shared" si="6"/>
        <v/>
      </c>
      <c r="C73" s="41"/>
      <c r="D73" s="41"/>
      <c r="E73" s="41"/>
      <c r="F73" s="41"/>
      <c r="H73" s="170">
        <v>68</v>
      </c>
      <c r="I73" s="171" t="str">
        <f t="shared" si="7"/>
        <v/>
      </c>
      <c r="J73" s="170">
        <f t="shared" si="11"/>
        <v>-3</v>
      </c>
      <c r="K73" s="170">
        <f t="shared" si="8"/>
        <v>-30</v>
      </c>
      <c r="L73" s="170"/>
      <c r="M73" s="172">
        <f t="shared" si="9"/>
        <v>0</v>
      </c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</row>
    <row r="74" spans="1:38" s="155" customFormat="1" x14ac:dyDescent="0.25">
      <c r="A74" s="87">
        <f t="shared" si="10"/>
        <v>0</v>
      </c>
      <c r="B74" s="34" t="str">
        <f t="shared" si="6"/>
        <v/>
      </c>
      <c r="C74" s="35"/>
      <c r="D74" s="35"/>
      <c r="E74" s="35"/>
      <c r="F74" s="35"/>
      <c r="H74" s="167">
        <v>69</v>
      </c>
      <c r="I74" s="168" t="str">
        <f t="shared" si="7"/>
        <v/>
      </c>
      <c r="J74" s="167">
        <f t="shared" si="11"/>
        <v>-3</v>
      </c>
      <c r="K74" s="167">
        <f t="shared" si="8"/>
        <v>-30</v>
      </c>
      <c r="L74" s="167"/>
      <c r="M74" s="169">
        <f t="shared" si="9"/>
        <v>0</v>
      </c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</row>
    <row r="75" spans="1:38" s="155" customFormat="1" x14ac:dyDescent="0.25">
      <c r="A75" s="91">
        <f t="shared" si="10"/>
        <v>0</v>
      </c>
      <c r="B75" s="40" t="str">
        <f t="shared" si="6"/>
        <v/>
      </c>
      <c r="C75" s="41"/>
      <c r="D75" s="41"/>
      <c r="E75" s="41"/>
      <c r="F75" s="41"/>
      <c r="H75" s="170">
        <v>70</v>
      </c>
      <c r="I75" s="171" t="str">
        <f t="shared" si="7"/>
        <v/>
      </c>
      <c r="J75" s="170">
        <f t="shared" si="11"/>
        <v>-3</v>
      </c>
      <c r="K75" s="170">
        <f t="shared" si="8"/>
        <v>-30</v>
      </c>
      <c r="L75" s="170"/>
      <c r="M75" s="172">
        <f t="shared" si="9"/>
        <v>0</v>
      </c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</row>
    <row r="76" spans="1:38" s="155" customFormat="1" x14ac:dyDescent="0.25">
      <c r="A76" s="87">
        <f t="shared" si="10"/>
        <v>0</v>
      </c>
      <c r="B76" s="34" t="str">
        <f t="shared" si="6"/>
        <v/>
      </c>
      <c r="C76" s="35"/>
      <c r="D76" s="35"/>
      <c r="E76" s="35"/>
      <c r="F76" s="35"/>
      <c r="H76" s="167">
        <v>71</v>
      </c>
      <c r="I76" s="168" t="str">
        <f t="shared" si="7"/>
        <v/>
      </c>
      <c r="J76" s="167">
        <f t="shared" si="11"/>
        <v>-3</v>
      </c>
      <c r="K76" s="167">
        <f t="shared" si="8"/>
        <v>-30</v>
      </c>
      <c r="L76" s="167"/>
      <c r="M76" s="169">
        <f t="shared" si="9"/>
        <v>0</v>
      </c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</row>
    <row r="77" spans="1:38" s="155" customFormat="1" x14ac:dyDescent="0.25">
      <c r="A77" s="91">
        <f t="shared" si="10"/>
        <v>0</v>
      </c>
      <c r="B77" s="40" t="str">
        <f t="shared" si="6"/>
        <v/>
      </c>
      <c r="C77" s="41"/>
      <c r="D77" s="41"/>
      <c r="E77" s="41"/>
      <c r="F77" s="41"/>
      <c r="H77" s="170">
        <v>72</v>
      </c>
      <c r="I77" s="171" t="str">
        <f t="shared" si="7"/>
        <v/>
      </c>
      <c r="J77" s="170">
        <f t="shared" si="11"/>
        <v>-3</v>
      </c>
      <c r="K77" s="170">
        <f t="shared" si="8"/>
        <v>-30</v>
      </c>
      <c r="L77" s="170"/>
      <c r="M77" s="172">
        <f t="shared" si="9"/>
        <v>0</v>
      </c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</row>
    <row r="78" spans="1:38" s="155" customFormat="1" x14ac:dyDescent="0.25">
      <c r="A78" s="87">
        <f t="shared" si="10"/>
        <v>0</v>
      </c>
      <c r="B78" s="34" t="str">
        <f t="shared" si="6"/>
        <v/>
      </c>
      <c r="C78" s="35"/>
      <c r="D78" s="35"/>
      <c r="E78" s="35"/>
      <c r="F78" s="35"/>
      <c r="H78" s="167">
        <v>73</v>
      </c>
      <c r="I78" s="168" t="str">
        <f t="shared" si="7"/>
        <v/>
      </c>
      <c r="J78" s="167">
        <f t="shared" si="11"/>
        <v>-3</v>
      </c>
      <c r="K78" s="167">
        <f t="shared" si="8"/>
        <v>-30</v>
      </c>
      <c r="L78" s="167"/>
      <c r="M78" s="169">
        <f t="shared" si="9"/>
        <v>0</v>
      </c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</row>
    <row r="79" spans="1:38" s="155" customFormat="1" x14ac:dyDescent="0.25">
      <c r="A79" s="91">
        <f t="shared" si="10"/>
        <v>0</v>
      </c>
      <c r="B79" s="40" t="str">
        <f t="shared" si="6"/>
        <v/>
      </c>
      <c r="C79" s="41"/>
      <c r="D79" s="41"/>
      <c r="E79" s="41"/>
      <c r="F79" s="41"/>
      <c r="H79" s="170">
        <v>74</v>
      </c>
      <c r="I79" s="171" t="str">
        <f t="shared" si="7"/>
        <v/>
      </c>
      <c r="J79" s="170">
        <f t="shared" si="11"/>
        <v>-3</v>
      </c>
      <c r="K79" s="170">
        <f t="shared" si="8"/>
        <v>-30</v>
      </c>
      <c r="L79" s="170"/>
      <c r="M79" s="172">
        <f t="shared" si="9"/>
        <v>0</v>
      </c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</row>
    <row r="80" spans="1:38" s="155" customFormat="1" x14ac:dyDescent="0.25">
      <c r="A80" s="87">
        <f t="shared" si="10"/>
        <v>0</v>
      </c>
      <c r="B80" s="34" t="str">
        <f t="shared" si="6"/>
        <v/>
      </c>
      <c r="C80" s="35"/>
      <c r="D80" s="35"/>
      <c r="E80" s="35"/>
      <c r="F80" s="35"/>
      <c r="H80" s="167">
        <v>75</v>
      </c>
      <c r="I80" s="168" t="str">
        <f t="shared" si="7"/>
        <v/>
      </c>
      <c r="J80" s="167">
        <f t="shared" si="11"/>
        <v>-3</v>
      </c>
      <c r="K80" s="167">
        <f t="shared" si="8"/>
        <v>-30</v>
      </c>
      <c r="L80" s="167"/>
      <c r="M80" s="169">
        <f t="shared" si="9"/>
        <v>0</v>
      </c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</row>
    <row r="81" spans="1:38" s="155" customFormat="1" x14ac:dyDescent="0.25">
      <c r="A81" s="91">
        <f t="shared" si="10"/>
        <v>0</v>
      </c>
      <c r="B81" s="40" t="str">
        <f t="shared" si="6"/>
        <v/>
      </c>
      <c r="C81" s="41"/>
      <c r="D81" s="41"/>
      <c r="E81" s="41"/>
      <c r="F81" s="41"/>
      <c r="H81" s="170">
        <v>76</v>
      </c>
      <c r="I81" s="171" t="str">
        <f t="shared" si="7"/>
        <v/>
      </c>
      <c r="J81" s="170">
        <f t="shared" si="11"/>
        <v>-3</v>
      </c>
      <c r="K81" s="170">
        <f t="shared" si="8"/>
        <v>-30</v>
      </c>
      <c r="L81" s="170"/>
      <c r="M81" s="172">
        <f t="shared" si="9"/>
        <v>0</v>
      </c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</row>
    <row r="82" spans="1:38" s="155" customFormat="1" x14ac:dyDescent="0.25">
      <c r="A82" s="87">
        <f t="shared" si="10"/>
        <v>0</v>
      </c>
      <c r="B82" s="34" t="str">
        <f t="shared" si="6"/>
        <v/>
      </c>
      <c r="C82" s="35"/>
      <c r="D82" s="35"/>
      <c r="E82" s="35"/>
      <c r="F82" s="35"/>
      <c r="H82" s="167">
        <v>77</v>
      </c>
      <c r="I82" s="168" t="str">
        <f t="shared" si="7"/>
        <v/>
      </c>
      <c r="J82" s="167">
        <f t="shared" si="11"/>
        <v>-3</v>
      </c>
      <c r="K82" s="167">
        <f t="shared" si="8"/>
        <v>-30</v>
      </c>
      <c r="L82" s="167"/>
      <c r="M82" s="169">
        <f t="shared" si="9"/>
        <v>0</v>
      </c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</row>
    <row r="83" spans="1:38" s="155" customFormat="1" x14ac:dyDescent="0.25">
      <c r="A83" s="91">
        <f t="shared" si="10"/>
        <v>0</v>
      </c>
      <c r="B83" s="40" t="str">
        <f t="shared" si="6"/>
        <v/>
      </c>
      <c r="C83" s="41"/>
      <c r="D83" s="41"/>
      <c r="E83" s="41"/>
      <c r="F83" s="41"/>
      <c r="H83" s="170">
        <v>78</v>
      </c>
      <c r="I83" s="171" t="str">
        <f t="shared" si="7"/>
        <v/>
      </c>
      <c r="J83" s="170">
        <f t="shared" si="11"/>
        <v>-3</v>
      </c>
      <c r="K83" s="170">
        <f t="shared" si="8"/>
        <v>-30</v>
      </c>
      <c r="L83" s="170"/>
      <c r="M83" s="172">
        <f t="shared" si="9"/>
        <v>0</v>
      </c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</row>
    <row r="84" spans="1:38" s="155" customFormat="1" x14ac:dyDescent="0.25">
      <c r="A84" s="87">
        <f t="shared" si="10"/>
        <v>0</v>
      </c>
      <c r="B84" s="34" t="str">
        <f t="shared" si="6"/>
        <v/>
      </c>
      <c r="C84" s="35"/>
      <c r="D84" s="35"/>
      <c r="E84" s="35"/>
      <c r="F84" s="35"/>
      <c r="H84" s="167">
        <v>79</v>
      </c>
      <c r="I84" s="168" t="str">
        <f t="shared" si="7"/>
        <v/>
      </c>
      <c r="J84" s="167">
        <f t="shared" si="11"/>
        <v>-3</v>
      </c>
      <c r="K84" s="167">
        <f t="shared" si="8"/>
        <v>-30</v>
      </c>
      <c r="L84" s="167"/>
      <c r="M84" s="169">
        <f t="shared" si="9"/>
        <v>0</v>
      </c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</row>
    <row r="85" spans="1:38" s="155" customFormat="1" x14ac:dyDescent="0.25">
      <c r="A85" s="91">
        <f t="shared" si="10"/>
        <v>0</v>
      </c>
      <c r="B85" s="40" t="str">
        <f t="shared" si="6"/>
        <v/>
      </c>
      <c r="C85" s="41"/>
      <c r="D85" s="41"/>
      <c r="E85" s="41"/>
      <c r="F85" s="41"/>
      <c r="H85" s="170">
        <v>80</v>
      </c>
      <c r="I85" s="171" t="str">
        <f t="shared" si="7"/>
        <v/>
      </c>
      <c r="J85" s="170">
        <f t="shared" si="11"/>
        <v>-3</v>
      </c>
      <c r="K85" s="170">
        <f t="shared" si="8"/>
        <v>-30</v>
      </c>
      <c r="L85" s="170"/>
      <c r="M85" s="172">
        <f t="shared" si="9"/>
        <v>0</v>
      </c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</row>
    <row r="86" spans="1:38" s="155" customFormat="1" x14ac:dyDescent="0.25">
      <c r="A86" s="87">
        <f t="shared" si="10"/>
        <v>0</v>
      </c>
      <c r="B86" s="34" t="str">
        <f t="shared" si="6"/>
        <v/>
      </c>
      <c r="C86" s="35"/>
      <c r="D86" s="35"/>
      <c r="E86" s="35"/>
      <c r="F86" s="35"/>
      <c r="H86" s="167">
        <v>81</v>
      </c>
      <c r="I86" s="168" t="str">
        <f t="shared" si="7"/>
        <v/>
      </c>
      <c r="J86" s="167">
        <f t="shared" si="11"/>
        <v>-3</v>
      </c>
      <c r="K86" s="167">
        <f t="shared" si="8"/>
        <v>-30</v>
      </c>
      <c r="L86" s="167"/>
      <c r="M86" s="169">
        <f t="shared" si="9"/>
        <v>0</v>
      </c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</row>
    <row r="87" spans="1:38" s="155" customFormat="1" x14ac:dyDescent="0.25">
      <c r="A87" s="91">
        <f t="shared" si="10"/>
        <v>0</v>
      </c>
      <c r="B87" s="40" t="str">
        <f t="shared" si="6"/>
        <v/>
      </c>
      <c r="C87" s="41"/>
      <c r="D87" s="41"/>
      <c r="E87" s="41"/>
      <c r="F87" s="41"/>
      <c r="H87" s="170">
        <v>82</v>
      </c>
      <c r="I87" s="171" t="str">
        <f t="shared" si="7"/>
        <v/>
      </c>
      <c r="J87" s="170">
        <f t="shared" si="11"/>
        <v>-3</v>
      </c>
      <c r="K87" s="170">
        <f t="shared" si="8"/>
        <v>-30</v>
      </c>
      <c r="L87" s="170"/>
      <c r="M87" s="172">
        <f t="shared" si="9"/>
        <v>0</v>
      </c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</row>
    <row r="88" spans="1:38" s="155" customFormat="1" x14ac:dyDescent="0.25">
      <c r="A88" s="87">
        <f t="shared" si="10"/>
        <v>0</v>
      </c>
      <c r="B88" s="34" t="str">
        <f t="shared" si="6"/>
        <v/>
      </c>
      <c r="C88" s="35"/>
      <c r="D88" s="35"/>
      <c r="E88" s="35"/>
      <c r="F88" s="35"/>
      <c r="H88" s="167">
        <v>83</v>
      </c>
      <c r="I88" s="168" t="str">
        <f t="shared" si="7"/>
        <v/>
      </c>
      <c r="J88" s="167">
        <f t="shared" si="11"/>
        <v>-3</v>
      </c>
      <c r="K88" s="167">
        <f t="shared" si="8"/>
        <v>-30</v>
      </c>
      <c r="L88" s="167"/>
      <c r="M88" s="169">
        <f t="shared" si="9"/>
        <v>0</v>
      </c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</row>
    <row r="89" spans="1:38" s="155" customFormat="1" x14ac:dyDescent="0.25">
      <c r="A89" s="91">
        <f t="shared" si="10"/>
        <v>0</v>
      </c>
      <c r="B89" s="40" t="str">
        <f t="shared" si="6"/>
        <v/>
      </c>
      <c r="C89" s="41"/>
      <c r="D89" s="41"/>
      <c r="E89" s="41"/>
      <c r="F89" s="41"/>
      <c r="H89" s="170">
        <v>84</v>
      </c>
      <c r="I89" s="171" t="str">
        <f t="shared" si="7"/>
        <v/>
      </c>
      <c r="J89" s="170">
        <f t="shared" si="11"/>
        <v>-3</v>
      </c>
      <c r="K89" s="170">
        <f t="shared" si="8"/>
        <v>-30</v>
      </c>
      <c r="L89" s="170"/>
      <c r="M89" s="172">
        <f t="shared" si="9"/>
        <v>0</v>
      </c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</row>
    <row r="90" spans="1:38" s="155" customFormat="1" x14ac:dyDescent="0.25">
      <c r="A90" s="87">
        <f t="shared" si="10"/>
        <v>0</v>
      </c>
      <c r="B90" s="34" t="str">
        <f t="shared" si="6"/>
        <v/>
      </c>
      <c r="C90" s="35"/>
      <c r="D90" s="35"/>
      <c r="E90" s="35"/>
      <c r="F90" s="35"/>
      <c r="H90" s="167">
        <v>85</v>
      </c>
      <c r="I90" s="168" t="str">
        <f t="shared" si="7"/>
        <v/>
      </c>
      <c r="J90" s="167">
        <f t="shared" si="11"/>
        <v>-3</v>
      </c>
      <c r="K90" s="167">
        <f t="shared" si="8"/>
        <v>-30</v>
      </c>
      <c r="L90" s="167"/>
      <c r="M90" s="169">
        <f t="shared" si="9"/>
        <v>0</v>
      </c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</row>
    <row r="91" spans="1:38" s="155" customFormat="1" x14ac:dyDescent="0.25">
      <c r="A91" s="91">
        <f t="shared" si="10"/>
        <v>0</v>
      </c>
      <c r="B91" s="40" t="str">
        <f t="shared" si="6"/>
        <v/>
      </c>
      <c r="C91" s="41"/>
      <c r="D91" s="41"/>
      <c r="E91" s="41"/>
      <c r="F91" s="41"/>
      <c r="H91" s="170">
        <v>86</v>
      </c>
      <c r="I91" s="171" t="str">
        <f t="shared" si="7"/>
        <v/>
      </c>
      <c r="J91" s="170">
        <f t="shared" si="11"/>
        <v>-3</v>
      </c>
      <c r="K91" s="170">
        <f t="shared" si="8"/>
        <v>-30</v>
      </c>
      <c r="L91" s="170"/>
      <c r="M91" s="172">
        <f t="shared" si="9"/>
        <v>0</v>
      </c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</row>
    <row r="92" spans="1:38" s="155" customFormat="1" x14ac:dyDescent="0.25">
      <c r="A92" s="87">
        <f t="shared" si="10"/>
        <v>0</v>
      </c>
      <c r="B92" s="34" t="str">
        <f t="shared" si="6"/>
        <v/>
      </c>
      <c r="C92" s="35"/>
      <c r="D92" s="35"/>
      <c r="E92" s="35"/>
      <c r="F92" s="35"/>
      <c r="H92" s="167">
        <v>87</v>
      </c>
      <c r="I92" s="168" t="str">
        <f t="shared" si="7"/>
        <v/>
      </c>
      <c r="J92" s="167">
        <f t="shared" si="11"/>
        <v>-3</v>
      </c>
      <c r="K92" s="167">
        <f t="shared" si="8"/>
        <v>-30</v>
      </c>
      <c r="L92" s="167"/>
      <c r="M92" s="169">
        <f t="shared" si="9"/>
        <v>0</v>
      </c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</row>
    <row r="93" spans="1:38" s="155" customFormat="1" x14ac:dyDescent="0.25">
      <c r="A93" s="91">
        <f t="shared" si="10"/>
        <v>0</v>
      </c>
      <c r="B93" s="40" t="str">
        <f t="shared" si="6"/>
        <v/>
      </c>
      <c r="C93" s="41"/>
      <c r="D93" s="41"/>
      <c r="E93" s="41"/>
      <c r="F93" s="41"/>
      <c r="H93" s="170">
        <v>88</v>
      </c>
      <c r="I93" s="171" t="str">
        <f t="shared" si="7"/>
        <v/>
      </c>
      <c r="J93" s="170">
        <f t="shared" si="11"/>
        <v>-3</v>
      </c>
      <c r="K93" s="170">
        <f t="shared" si="8"/>
        <v>-30</v>
      </c>
      <c r="L93" s="170"/>
      <c r="M93" s="172">
        <f t="shared" si="9"/>
        <v>0</v>
      </c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</row>
    <row r="94" spans="1:38" s="155" customFormat="1" x14ac:dyDescent="0.25">
      <c r="A94" s="87">
        <f t="shared" si="10"/>
        <v>0</v>
      </c>
      <c r="B94" s="34" t="str">
        <f t="shared" si="6"/>
        <v/>
      </c>
      <c r="C94" s="35"/>
      <c r="D94" s="35"/>
      <c r="E94" s="35"/>
      <c r="F94" s="35"/>
      <c r="H94" s="167">
        <v>89</v>
      </c>
      <c r="I94" s="168" t="str">
        <f t="shared" si="7"/>
        <v/>
      </c>
      <c r="J94" s="167">
        <f t="shared" si="11"/>
        <v>-3</v>
      </c>
      <c r="K94" s="167">
        <f t="shared" si="8"/>
        <v>-30</v>
      </c>
      <c r="L94" s="167"/>
      <c r="M94" s="169">
        <f t="shared" si="9"/>
        <v>0</v>
      </c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</row>
    <row r="95" spans="1:38" s="155" customFormat="1" x14ac:dyDescent="0.25">
      <c r="A95" s="91">
        <f t="shared" si="10"/>
        <v>0</v>
      </c>
      <c r="B95" s="40" t="str">
        <f t="shared" si="6"/>
        <v/>
      </c>
      <c r="C95" s="41"/>
      <c r="D95" s="41"/>
      <c r="E95" s="41"/>
      <c r="F95" s="41"/>
      <c r="H95" s="170">
        <v>90</v>
      </c>
      <c r="I95" s="171" t="str">
        <f t="shared" si="7"/>
        <v/>
      </c>
      <c r="J95" s="170">
        <f t="shared" si="11"/>
        <v>-3</v>
      </c>
      <c r="K95" s="170">
        <f t="shared" si="8"/>
        <v>-30</v>
      </c>
      <c r="L95" s="170"/>
      <c r="M95" s="172">
        <f t="shared" si="9"/>
        <v>0</v>
      </c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</row>
    <row r="96" spans="1:38" s="155" customFormat="1" x14ac:dyDescent="0.25">
      <c r="A96" s="87">
        <f t="shared" si="10"/>
        <v>0</v>
      </c>
      <c r="B96" s="34" t="str">
        <f t="shared" si="6"/>
        <v/>
      </c>
      <c r="C96" s="35"/>
      <c r="D96" s="35"/>
      <c r="E96" s="35"/>
      <c r="F96" s="35"/>
      <c r="H96" s="167">
        <v>91</v>
      </c>
      <c r="I96" s="168" t="str">
        <f t="shared" si="7"/>
        <v/>
      </c>
      <c r="J96" s="167">
        <f t="shared" si="11"/>
        <v>-3</v>
      </c>
      <c r="K96" s="167">
        <f t="shared" si="8"/>
        <v>-30</v>
      </c>
      <c r="L96" s="167"/>
      <c r="M96" s="169">
        <f t="shared" si="9"/>
        <v>0</v>
      </c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</row>
    <row r="97" spans="1:38" s="155" customFormat="1" x14ac:dyDescent="0.25">
      <c r="A97" s="91">
        <f t="shared" si="10"/>
        <v>0</v>
      </c>
      <c r="B97" s="40" t="str">
        <f t="shared" si="6"/>
        <v/>
      </c>
      <c r="C97" s="41"/>
      <c r="D97" s="41"/>
      <c r="E97" s="41"/>
      <c r="F97" s="41"/>
      <c r="H97" s="170">
        <v>92</v>
      </c>
      <c r="I97" s="171" t="str">
        <f t="shared" si="7"/>
        <v/>
      </c>
      <c r="J97" s="170">
        <f t="shared" si="11"/>
        <v>-3</v>
      </c>
      <c r="K97" s="170">
        <f t="shared" si="8"/>
        <v>-30</v>
      </c>
      <c r="L97" s="170"/>
      <c r="M97" s="172">
        <f t="shared" si="9"/>
        <v>0</v>
      </c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</row>
    <row r="98" spans="1:38" s="155" customFormat="1" x14ac:dyDescent="0.25">
      <c r="A98" s="87">
        <f t="shared" si="10"/>
        <v>0</v>
      </c>
      <c r="B98" s="34" t="str">
        <f t="shared" si="6"/>
        <v/>
      </c>
      <c r="C98" s="35"/>
      <c r="D98" s="35"/>
      <c r="E98" s="35"/>
      <c r="F98" s="35"/>
      <c r="H98" s="167">
        <v>93</v>
      </c>
      <c r="I98" s="168" t="str">
        <f t="shared" si="7"/>
        <v/>
      </c>
      <c r="J98" s="167">
        <f t="shared" si="11"/>
        <v>-3</v>
      </c>
      <c r="K98" s="167">
        <f t="shared" si="8"/>
        <v>-30</v>
      </c>
      <c r="L98" s="167"/>
      <c r="M98" s="169">
        <f t="shared" si="9"/>
        <v>0</v>
      </c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</row>
    <row r="99" spans="1:38" s="155" customFormat="1" x14ac:dyDescent="0.25">
      <c r="A99" s="91">
        <f t="shared" si="10"/>
        <v>0</v>
      </c>
      <c r="B99" s="40" t="str">
        <f t="shared" si="6"/>
        <v/>
      </c>
      <c r="C99" s="41"/>
      <c r="D99" s="41"/>
      <c r="E99" s="41"/>
      <c r="F99" s="41"/>
      <c r="H99" s="170">
        <v>94</v>
      </c>
      <c r="I99" s="171" t="str">
        <f t="shared" si="7"/>
        <v/>
      </c>
      <c r="J99" s="170">
        <f t="shared" si="11"/>
        <v>-3</v>
      </c>
      <c r="K99" s="170">
        <f t="shared" si="8"/>
        <v>-30</v>
      </c>
      <c r="L99" s="170"/>
      <c r="M99" s="172">
        <f t="shared" si="9"/>
        <v>0</v>
      </c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</row>
    <row r="100" spans="1:38" s="155" customFormat="1" x14ac:dyDescent="0.25">
      <c r="A100" s="87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67">
        <v>95</v>
      </c>
      <c r="I100" s="168" t="str">
        <f t="shared" si="7"/>
        <v/>
      </c>
      <c r="J100" s="167">
        <f t="shared" si="11"/>
        <v>-3</v>
      </c>
      <c r="K100" s="167">
        <f t="shared" si="8"/>
        <v>-30</v>
      </c>
      <c r="L100" s="167"/>
      <c r="M100" s="169">
        <f t="shared" si="9"/>
        <v>0</v>
      </c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</row>
    <row r="101" spans="1:38" s="155" customFormat="1" x14ac:dyDescent="0.25">
      <c r="A101" s="91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0">
        <v>96</v>
      </c>
      <c r="I101" s="171" t="str">
        <f t="shared" si="7"/>
        <v/>
      </c>
      <c r="J101" s="170">
        <f t="shared" si="11"/>
        <v>-3</v>
      </c>
      <c r="K101" s="170">
        <f t="shared" si="8"/>
        <v>-30</v>
      </c>
      <c r="L101" s="170"/>
      <c r="M101" s="172">
        <f t="shared" si="9"/>
        <v>0</v>
      </c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</row>
    <row r="102" spans="1:38" s="155" customFormat="1" x14ac:dyDescent="0.25">
      <c r="A102" s="87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67">
        <v>97</v>
      </c>
      <c r="I102" s="168" t="str">
        <f t="shared" si="7"/>
        <v/>
      </c>
      <c r="J102" s="167">
        <f t="shared" si="11"/>
        <v>-3</v>
      </c>
      <c r="K102" s="167">
        <f t="shared" si="8"/>
        <v>-30</v>
      </c>
      <c r="L102" s="167"/>
      <c r="M102" s="169">
        <f t="shared" si="9"/>
        <v>0</v>
      </c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</row>
    <row r="103" spans="1:38" s="155" customFormat="1" x14ac:dyDescent="0.25">
      <c r="A103" s="91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0">
        <v>98</v>
      </c>
      <c r="I103" s="171" t="str">
        <f t="shared" si="7"/>
        <v/>
      </c>
      <c r="J103" s="170">
        <f t="shared" si="11"/>
        <v>-3</v>
      </c>
      <c r="K103" s="170">
        <f t="shared" si="8"/>
        <v>-30</v>
      </c>
      <c r="L103" s="170"/>
      <c r="M103" s="172">
        <f t="shared" si="9"/>
        <v>0</v>
      </c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</row>
    <row r="104" spans="1:38" s="155" customFormat="1" x14ac:dyDescent="0.25">
      <c r="A104" s="87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67">
        <v>99</v>
      </c>
      <c r="I104" s="168" t="str">
        <f t="shared" si="7"/>
        <v/>
      </c>
      <c r="J104" s="167">
        <f t="shared" si="11"/>
        <v>-3</v>
      </c>
      <c r="K104" s="167">
        <f t="shared" si="8"/>
        <v>-30</v>
      </c>
      <c r="L104" s="167"/>
      <c r="M104" s="169">
        <f t="shared" si="9"/>
        <v>0</v>
      </c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</row>
    <row r="105" spans="1:38" s="155" customFormat="1" x14ac:dyDescent="0.25">
      <c r="A105" s="91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0">
        <v>100</v>
      </c>
      <c r="I105" s="171" t="str">
        <f t="shared" si="7"/>
        <v/>
      </c>
      <c r="J105" s="170">
        <f t="shared" si="11"/>
        <v>-3</v>
      </c>
      <c r="K105" s="170">
        <f t="shared" si="8"/>
        <v>-30</v>
      </c>
      <c r="L105" s="170"/>
      <c r="M105" s="172">
        <f t="shared" si="9"/>
        <v>0</v>
      </c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</row>
    <row r="106" spans="1:38" s="155" customFormat="1" x14ac:dyDescent="0.25">
      <c r="A106" s="87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67">
        <v>101</v>
      </c>
      <c r="I106" s="168" t="str">
        <f t="shared" si="7"/>
        <v/>
      </c>
      <c r="J106" s="167">
        <f t="shared" si="11"/>
        <v>-3</v>
      </c>
      <c r="K106" s="167">
        <f t="shared" si="8"/>
        <v>-30</v>
      </c>
      <c r="L106" s="167"/>
      <c r="M106" s="169">
        <f t="shared" si="9"/>
        <v>0</v>
      </c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</row>
    <row r="107" spans="1:38" s="155" customFormat="1" x14ac:dyDescent="0.25">
      <c r="A107" s="91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0">
        <v>102</v>
      </c>
      <c r="I107" s="171" t="str">
        <f t="shared" si="7"/>
        <v/>
      </c>
      <c r="J107" s="170">
        <f t="shared" si="11"/>
        <v>-3</v>
      </c>
      <c r="K107" s="170">
        <f t="shared" si="8"/>
        <v>-30</v>
      </c>
      <c r="L107" s="170"/>
      <c r="M107" s="172">
        <f t="shared" si="9"/>
        <v>0</v>
      </c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</row>
    <row r="108" spans="1:38" s="155" customFormat="1" x14ac:dyDescent="0.25">
      <c r="A108" s="87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67">
        <v>103</v>
      </c>
      <c r="I108" s="168" t="str">
        <f t="shared" si="7"/>
        <v/>
      </c>
      <c r="J108" s="167">
        <f t="shared" si="11"/>
        <v>-3</v>
      </c>
      <c r="K108" s="167">
        <f t="shared" si="8"/>
        <v>-30</v>
      </c>
      <c r="L108" s="167"/>
      <c r="M108" s="169">
        <f t="shared" si="9"/>
        <v>0</v>
      </c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</row>
    <row r="109" spans="1:38" s="155" customFormat="1" x14ac:dyDescent="0.25">
      <c r="A109" s="91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0">
        <v>104</v>
      </c>
      <c r="I109" s="171" t="str">
        <f t="shared" si="7"/>
        <v/>
      </c>
      <c r="J109" s="170">
        <f t="shared" si="11"/>
        <v>-3</v>
      </c>
      <c r="K109" s="170">
        <f t="shared" si="8"/>
        <v>-30</v>
      </c>
      <c r="L109" s="170"/>
      <c r="M109" s="172">
        <f t="shared" si="9"/>
        <v>0</v>
      </c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</row>
    <row r="110" spans="1:38" s="155" customFormat="1" x14ac:dyDescent="0.25">
      <c r="A110" s="87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67">
        <v>105</v>
      </c>
      <c r="I110" s="168" t="str">
        <f t="shared" si="7"/>
        <v/>
      </c>
      <c r="J110" s="167">
        <f t="shared" si="11"/>
        <v>-3</v>
      </c>
      <c r="K110" s="167">
        <f t="shared" si="8"/>
        <v>-30</v>
      </c>
      <c r="L110" s="167"/>
      <c r="M110" s="169">
        <f t="shared" si="9"/>
        <v>0</v>
      </c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</row>
    <row r="111" spans="1:38" s="155" customFormat="1" x14ac:dyDescent="0.25">
      <c r="A111" s="91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0">
        <v>106</v>
      </c>
      <c r="I111" s="171" t="str">
        <f t="shared" si="7"/>
        <v/>
      </c>
      <c r="J111" s="170">
        <f t="shared" si="11"/>
        <v>-3</v>
      </c>
      <c r="K111" s="170">
        <f t="shared" si="8"/>
        <v>-30</v>
      </c>
      <c r="L111" s="170"/>
      <c r="M111" s="172">
        <f t="shared" si="9"/>
        <v>0</v>
      </c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</row>
    <row r="112" spans="1:38" s="155" customFormat="1" x14ac:dyDescent="0.25">
      <c r="A112" s="87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67">
        <v>107</v>
      </c>
      <c r="I112" s="168" t="str">
        <f t="shared" si="7"/>
        <v/>
      </c>
      <c r="J112" s="167">
        <f t="shared" si="11"/>
        <v>-3</v>
      </c>
      <c r="K112" s="167">
        <f t="shared" si="8"/>
        <v>-30</v>
      </c>
      <c r="L112" s="167"/>
      <c r="M112" s="169">
        <f t="shared" si="9"/>
        <v>0</v>
      </c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</row>
    <row r="113" spans="1:38" s="155" customFormat="1" x14ac:dyDescent="0.25">
      <c r="A113" s="91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0">
        <v>108</v>
      </c>
      <c r="I113" s="171" t="str">
        <f t="shared" si="7"/>
        <v/>
      </c>
      <c r="J113" s="170">
        <f t="shared" si="11"/>
        <v>-3</v>
      </c>
      <c r="K113" s="170">
        <f t="shared" si="8"/>
        <v>-30</v>
      </c>
      <c r="L113" s="170"/>
      <c r="M113" s="172">
        <f t="shared" si="9"/>
        <v>0</v>
      </c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</row>
    <row r="114" spans="1:38" s="155" customFormat="1" x14ac:dyDescent="0.25">
      <c r="A114" s="87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67">
        <v>109</v>
      </c>
      <c r="I114" s="168" t="str">
        <f t="shared" si="7"/>
        <v/>
      </c>
      <c r="J114" s="167">
        <f t="shared" si="11"/>
        <v>-3</v>
      </c>
      <c r="K114" s="167">
        <f t="shared" si="8"/>
        <v>-30</v>
      </c>
      <c r="L114" s="167"/>
      <c r="M114" s="169">
        <f t="shared" si="9"/>
        <v>0</v>
      </c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</row>
    <row r="115" spans="1:38" s="155" customFormat="1" x14ac:dyDescent="0.25">
      <c r="A115" s="91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0">
        <v>110</v>
      </c>
      <c r="I115" s="171" t="str">
        <f t="shared" si="7"/>
        <v/>
      </c>
      <c r="J115" s="170">
        <f t="shared" si="11"/>
        <v>-3</v>
      </c>
      <c r="K115" s="170">
        <f t="shared" si="8"/>
        <v>-30</v>
      </c>
      <c r="L115" s="170"/>
      <c r="M115" s="172">
        <f t="shared" si="9"/>
        <v>0</v>
      </c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</row>
    <row r="116" spans="1:38" s="155" customFormat="1" x14ac:dyDescent="0.25">
      <c r="A116" s="87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67">
        <v>111</v>
      </c>
      <c r="I116" s="168" t="str">
        <f t="shared" si="7"/>
        <v/>
      </c>
      <c r="J116" s="167">
        <f t="shared" si="11"/>
        <v>-3</v>
      </c>
      <c r="K116" s="167">
        <f t="shared" si="8"/>
        <v>-30</v>
      </c>
      <c r="L116" s="167"/>
      <c r="M116" s="169">
        <f t="shared" si="9"/>
        <v>0</v>
      </c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</row>
    <row r="117" spans="1:38" s="155" customFormat="1" x14ac:dyDescent="0.25">
      <c r="A117" s="91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0">
        <v>112</v>
      </c>
      <c r="I117" s="171" t="str">
        <f t="shared" si="7"/>
        <v/>
      </c>
      <c r="J117" s="170">
        <f t="shared" si="11"/>
        <v>-3</v>
      </c>
      <c r="K117" s="170">
        <f t="shared" si="8"/>
        <v>-30</v>
      </c>
      <c r="L117" s="170"/>
      <c r="M117" s="172">
        <f t="shared" si="9"/>
        <v>0</v>
      </c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</row>
    <row r="118" spans="1:38" s="155" customFormat="1" x14ac:dyDescent="0.25">
      <c r="A118" s="87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67">
        <v>113</v>
      </c>
      <c r="I118" s="168" t="str">
        <f t="shared" si="7"/>
        <v/>
      </c>
      <c r="J118" s="167">
        <f t="shared" si="11"/>
        <v>-3</v>
      </c>
      <c r="K118" s="167">
        <f t="shared" si="8"/>
        <v>-30</v>
      </c>
      <c r="L118" s="167"/>
      <c r="M118" s="169">
        <f t="shared" si="9"/>
        <v>0</v>
      </c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</row>
    <row r="119" spans="1:38" s="155" customFormat="1" x14ac:dyDescent="0.25">
      <c r="A119" s="91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0">
        <v>114</v>
      </c>
      <c r="I119" s="171" t="str">
        <f t="shared" si="7"/>
        <v/>
      </c>
      <c r="J119" s="170">
        <f t="shared" si="11"/>
        <v>-3</v>
      </c>
      <c r="K119" s="170">
        <f t="shared" si="8"/>
        <v>-30</v>
      </c>
      <c r="L119" s="170"/>
      <c r="M119" s="172">
        <f t="shared" si="9"/>
        <v>0</v>
      </c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</row>
    <row r="120" spans="1:38" s="155" customFormat="1" x14ac:dyDescent="0.25">
      <c r="A120" s="87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67">
        <v>115</v>
      </c>
      <c r="I120" s="168" t="str">
        <f t="shared" si="7"/>
        <v/>
      </c>
      <c r="J120" s="167">
        <f t="shared" si="11"/>
        <v>-3</v>
      </c>
      <c r="K120" s="167">
        <f t="shared" si="8"/>
        <v>-30</v>
      </c>
      <c r="L120" s="167"/>
      <c r="M120" s="169">
        <f t="shared" si="9"/>
        <v>0</v>
      </c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</row>
    <row r="121" spans="1:38" s="155" customFormat="1" x14ac:dyDescent="0.25">
      <c r="A121" s="91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0">
        <v>116</v>
      </c>
      <c r="I121" s="171" t="str">
        <f t="shared" si="7"/>
        <v/>
      </c>
      <c r="J121" s="170">
        <f t="shared" si="11"/>
        <v>-3</v>
      </c>
      <c r="K121" s="170">
        <f t="shared" si="8"/>
        <v>-30</v>
      </c>
      <c r="L121" s="170"/>
      <c r="M121" s="172">
        <f t="shared" si="9"/>
        <v>0</v>
      </c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</row>
    <row r="122" spans="1:38" s="155" customFormat="1" x14ac:dyDescent="0.25">
      <c r="A122" s="87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67">
        <v>117</v>
      </c>
      <c r="I122" s="168" t="str">
        <f t="shared" si="7"/>
        <v/>
      </c>
      <c r="J122" s="167">
        <f t="shared" si="11"/>
        <v>-3</v>
      </c>
      <c r="K122" s="167">
        <f t="shared" si="8"/>
        <v>-30</v>
      </c>
      <c r="L122" s="167"/>
      <c r="M122" s="169">
        <f t="shared" si="9"/>
        <v>0</v>
      </c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</row>
    <row r="123" spans="1:38" s="155" customFormat="1" x14ac:dyDescent="0.25">
      <c r="A123" s="91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0">
        <v>118</v>
      </c>
      <c r="I123" s="171" t="str">
        <f t="shared" si="7"/>
        <v/>
      </c>
      <c r="J123" s="170">
        <f t="shared" si="11"/>
        <v>-3</v>
      </c>
      <c r="K123" s="170">
        <f t="shared" si="8"/>
        <v>-30</v>
      </c>
      <c r="L123" s="170"/>
      <c r="M123" s="172">
        <f t="shared" si="9"/>
        <v>0</v>
      </c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</row>
    <row r="124" spans="1:38" s="155" customFormat="1" x14ac:dyDescent="0.25">
      <c r="A124" s="87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67">
        <v>119</v>
      </c>
      <c r="I124" s="168" t="str">
        <f t="shared" si="7"/>
        <v/>
      </c>
      <c r="J124" s="167">
        <f t="shared" si="11"/>
        <v>-3</v>
      </c>
      <c r="K124" s="167">
        <f t="shared" si="8"/>
        <v>-30</v>
      </c>
      <c r="L124" s="167"/>
      <c r="M124" s="169">
        <f t="shared" si="9"/>
        <v>0</v>
      </c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</row>
    <row r="125" spans="1:38" s="155" customFormat="1" x14ac:dyDescent="0.25">
      <c r="A125" s="91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0">
        <v>120</v>
      </c>
      <c r="I125" s="171" t="str">
        <f t="shared" si="7"/>
        <v/>
      </c>
      <c r="J125" s="170">
        <f t="shared" si="11"/>
        <v>-3</v>
      </c>
      <c r="K125" s="170">
        <f t="shared" si="8"/>
        <v>-30</v>
      </c>
      <c r="L125" s="170"/>
      <c r="M125" s="172">
        <f t="shared" si="9"/>
        <v>0</v>
      </c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</row>
    <row r="126" spans="1:38" s="155" customFormat="1" x14ac:dyDescent="0.25">
      <c r="A126" s="87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67">
        <v>121</v>
      </c>
      <c r="I126" s="168" t="str">
        <f t="shared" si="7"/>
        <v/>
      </c>
      <c r="J126" s="167">
        <f t="shared" si="11"/>
        <v>-3</v>
      </c>
      <c r="K126" s="167">
        <f t="shared" si="8"/>
        <v>-30</v>
      </c>
      <c r="L126" s="167"/>
      <c r="M126" s="169">
        <f t="shared" si="9"/>
        <v>0</v>
      </c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</row>
    <row r="127" spans="1:38" s="155" customFormat="1" x14ac:dyDescent="0.25">
      <c r="A127" s="91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0">
        <v>122</v>
      </c>
      <c r="I127" s="171" t="str">
        <f t="shared" si="7"/>
        <v/>
      </c>
      <c r="J127" s="170">
        <f t="shared" si="11"/>
        <v>-3</v>
      </c>
      <c r="K127" s="170">
        <f t="shared" si="8"/>
        <v>-30</v>
      </c>
      <c r="L127" s="170"/>
      <c r="M127" s="172">
        <f t="shared" si="9"/>
        <v>0</v>
      </c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</row>
    <row r="128" spans="1:38" s="155" customFormat="1" x14ac:dyDescent="0.25">
      <c r="A128" s="87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67">
        <v>123</v>
      </c>
      <c r="I128" s="168" t="str">
        <f t="shared" si="7"/>
        <v/>
      </c>
      <c r="J128" s="167">
        <f t="shared" si="11"/>
        <v>-3</v>
      </c>
      <c r="K128" s="167">
        <f t="shared" si="8"/>
        <v>-30</v>
      </c>
      <c r="L128" s="167"/>
      <c r="M128" s="169">
        <f t="shared" si="9"/>
        <v>0</v>
      </c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</row>
    <row r="129" spans="1:38" s="155" customFormat="1" x14ac:dyDescent="0.25">
      <c r="A129" s="91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0">
        <v>124</v>
      </c>
      <c r="I129" s="171" t="str">
        <f t="shared" si="7"/>
        <v/>
      </c>
      <c r="J129" s="170">
        <f t="shared" si="11"/>
        <v>-3</v>
      </c>
      <c r="K129" s="170">
        <f t="shared" si="8"/>
        <v>-30</v>
      </c>
      <c r="L129" s="170"/>
      <c r="M129" s="172">
        <f t="shared" si="9"/>
        <v>0</v>
      </c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</row>
    <row r="130" spans="1:38" s="155" customFormat="1" x14ac:dyDescent="0.25">
      <c r="A130" s="87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67">
        <v>125</v>
      </c>
      <c r="I130" s="168" t="str">
        <f t="shared" si="7"/>
        <v/>
      </c>
      <c r="J130" s="167">
        <f t="shared" si="11"/>
        <v>-3</v>
      </c>
      <c r="K130" s="167">
        <f t="shared" si="8"/>
        <v>-30</v>
      </c>
      <c r="L130" s="167"/>
      <c r="M130" s="169">
        <f t="shared" si="9"/>
        <v>0</v>
      </c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</row>
    <row r="131" spans="1:38" s="155" customFormat="1" x14ac:dyDescent="0.25">
      <c r="A131" s="91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0">
        <v>126</v>
      </c>
      <c r="I131" s="171" t="str">
        <f t="shared" si="7"/>
        <v/>
      </c>
      <c r="J131" s="170">
        <f t="shared" si="11"/>
        <v>-3</v>
      </c>
      <c r="K131" s="170">
        <f t="shared" si="8"/>
        <v>-30</v>
      </c>
      <c r="L131" s="170"/>
      <c r="M131" s="172">
        <f t="shared" si="9"/>
        <v>0</v>
      </c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</row>
    <row r="132" spans="1:38" s="155" customFormat="1" x14ac:dyDescent="0.25">
      <c r="A132" s="87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67">
        <v>127</v>
      </c>
      <c r="I132" s="168" t="str">
        <f t="shared" si="7"/>
        <v/>
      </c>
      <c r="J132" s="167">
        <f t="shared" si="11"/>
        <v>-3</v>
      </c>
      <c r="K132" s="167">
        <f t="shared" si="8"/>
        <v>-30</v>
      </c>
      <c r="L132" s="167"/>
      <c r="M132" s="169">
        <f t="shared" si="9"/>
        <v>0</v>
      </c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</row>
    <row r="133" spans="1:38" s="155" customFormat="1" x14ac:dyDescent="0.25">
      <c r="A133" s="91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0">
        <v>128</v>
      </c>
      <c r="I133" s="171" t="str">
        <f t="shared" si="7"/>
        <v/>
      </c>
      <c r="J133" s="170">
        <f t="shared" si="11"/>
        <v>-3</v>
      </c>
      <c r="K133" s="170">
        <f t="shared" si="8"/>
        <v>-30</v>
      </c>
      <c r="L133" s="170"/>
      <c r="M133" s="172">
        <f t="shared" si="9"/>
        <v>0</v>
      </c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</row>
    <row r="134" spans="1:38" s="155" customFormat="1" x14ac:dyDescent="0.25">
      <c r="A134" s="87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67">
        <v>129</v>
      </c>
      <c r="I134" s="168" t="str">
        <f t="shared" ref="I134:I197" si="13">IF(H134&lt;$H$2+1,($I$2-($I$2-1)*(LOG(H134)/LOG($H$2))),"")</f>
        <v/>
      </c>
      <c r="J134" s="167">
        <f t="shared" si="11"/>
        <v>-4</v>
      </c>
      <c r="K134" s="167">
        <f t="shared" ref="K134:K197" si="14">J134*$J$2</f>
        <v>-40</v>
      </c>
      <c r="L134" s="167"/>
      <c r="M134" s="169">
        <f t="shared" ref="M134:M197" si="15">IF(I134&lt;&gt;"",K134+I134+L134,0)</f>
        <v>0</v>
      </c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</row>
    <row r="135" spans="1:38" s="155" customFormat="1" x14ac:dyDescent="0.25">
      <c r="A135" s="91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0">
        <v>130</v>
      </c>
      <c r="I135" s="171" t="str">
        <f t="shared" si="13"/>
        <v/>
      </c>
      <c r="J135" s="170">
        <f t="shared" ref="J135:J198" si="17">INT(LOG($H$2,2))-ROUNDUP(LOG(H135,2),0)+IF(OR($H$2=1,$H$2=2,$H$2=4,$H$2=8,$H$2=16,$H$2=32,$H$2=64,$H$2=128,$H$2=256),0,1)</f>
        <v>-4</v>
      </c>
      <c r="K135" s="170">
        <f t="shared" si="14"/>
        <v>-40</v>
      </c>
      <c r="L135" s="170"/>
      <c r="M135" s="172">
        <f t="shared" si="15"/>
        <v>0</v>
      </c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</row>
    <row r="136" spans="1:38" s="155" customFormat="1" x14ac:dyDescent="0.25">
      <c r="A136" s="87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67">
        <v>131</v>
      </c>
      <c r="I136" s="168" t="str">
        <f t="shared" si="13"/>
        <v/>
      </c>
      <c r="J136" s="167">
        <f t="shared" si="17"/>
        <v>-4</v>
      </c>
      <c r="K136" s="167">
        <f t="shared" si="14"/>
        <v>-40</v>
      </c>
      <c r="L136" s="167"/>
      <c r="M136" s="169">
        <f t="shared" si="15"/>
        <v>0</v>
      </c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</row>
    <row r="137" spans="1:38" s="155" customFormat="1" x14ac:dyDescent="0.25">
      <c r="A137" s="91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0">
        <v>132</v>
      </c>
      <c r="I137" s="171" t="str">
        <f t="shared" si="13"/>
        <v/>
      </c>
      <c r="J137" s="170">
        <f t="shared" si="17"/>
        <v>-4</v>
      </c>
      <c r="K137" s="170">
        <f t="shared" si="14"/>
        <v>-40</v>
      </c>
      <c r="L137" s="170"/>
      <c r="M137" s="172">
        <f t="shared" si="15"/>
        <v>0</v>
      </c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</row>
    <row r="138" spans="1:38" s="155" customFormat="1" x14ac:dyDescent="0.25">
      <c r="A138" s="87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67">
        <v>133</v>
      </c>
      <c r="I138" s="168" t="str">
        <f t="shared" si="13"/>
        <v/>
      </c>
      <c r="J138" s="167">
        <f t="shared" si="17"/>
        <v>-4</v>
      </c>
      <c r="K138" s="167">
        <f t="shared" si="14"/>
        <v>-40</v>
      </c>
      <c r="L138" s="167"/>
      <c r="M138" s="169">
        <f t="shared" si="15"/>
        <v>0</v>
      </c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</row>
    <row r="139" spans="1:38" s="155" customFormat="1" x14ac:dyDescent="0.25">
      <c r="A139" s="91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0">
        <v>134</v>
      </c>
      <c r="I139" s="171" t="str">
        <f t="shared" si="13"/>
        <v/>
      </c>
      <c r="J139" s="170">
        <f t="shared" si="17"/>
        <v>-4</v>
      </c>
      <c r="K139" s="170">
        <f t="shared" si="14"/>
        <v>-40</v>
      </c>
      <c r="L139" s="170"/>
      <c r="M139" s="172">
        <f t="shared" si="15"/>
        <v>0</v>
      </c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</row>
    <row r="140" spans="1:38" s="155" customFormat="1" x14ac:dyDescent="0.25">
      <c r="A140" s="87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67">
        <v>135</v>
      </c>
      <c r="I140" s="168" t="str">
        <f t="shared" si="13"/>
        <v/>
      </c>
      <c r="J140" s="167">
        <f t="shared" si="17"/>
        <v>-4</v>
      </c>
      <c r="K140" s="167">
        <f t="shared" si="14"/>
        <v>-40</v>
      </c>
      <c r="L140" s="167"/>
      <c r="M140" s="169">
        <f t="shared" si="15"/>
        <v>0</v>
      </c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</row>
    <row r="141" spans="1:38" x14ac:dyDescent="0.25">
      <c r="A141" s="184"/>
      <c r="G141" s="155"/>
      <c r="H141" s="170">
        <v>136</v>
      </c>
      <c r="I141" s="168" t="str">
        <f t="shared" si="13"/>
        <v/>
      </c>
      <c r="J141" s="167">
        <f t="shared" si="17"/>
        <v>-4</v>
      </c>
      <c r="K141" s="167">
        <f t="shared" si="14"/>
        <v>-40</v>
      </c>
      <c r="L141" s="167"/>
      <c r="M141" s="169">
        <f t="shared" si="15"/>
        <v>0</v>
      </c>
    </row>
    <row r="142" spans="1:38" x14ac:dyDescent="0.25">
      <c r="A142" s="184"/>
      <c r="G142" s="155"/>
      <c r="H142" s="167">
        <v>137</v>
      </c>
      <c r="I142" s="168" t="str">
        <f t="shared" si="13"/>
        <v/>
      </c>
      <c r="J142" s="167">
        <f t="shared" si="17"/>
        <v>-4</v>
      </c>
      <c r="K142" s="167">
        <f t="shared" si="14"/>
        <v>-40</v>
      </c>
      <c r="L142" s="167"/>
      <c r="M142" s="169">
        <f t="shared" si="15"/>
        <v>0</v>
      </c>
    </row>
    <row r="143" spans="1:38" x14ac:dyDescent="0.25">
      <c r="A143" s="184"/>
      <c r="G143" s="155"/>
      <c r="H143" s="170">
        <v>138</v>
      </c>
      <c r="I143" s="168" t="str">
        <f t="shared" si="13"/>
        <v/>
      </c>
      <c r="J143" s="167">
        <f t="shared" si="17"/>
        <v>-4</v>
      </c>
      <c r="K143" s="167">
        <f t="shared" si="14"/>
        <v>-40</v>
      </c>
      <c r="L143" s="167"/>
      <c r="M143" s="169">
        <f t="shared" si="15"/>
        <v>0</v>
      </c>
    </row>
    <row r="144" spans="1:38" x14ac:dyDescent="0.25">
      <c r="A144" s="184"/>
      <c r="G144" s="155"/>
      <c r="H144" s="167">
        <v>139</v>
      </c>
      <c r="I144" s="168" t="str">
        <f t="shared" si="13"/>
        <v/>
      </c>
      <c r="J144" s="167">
        <f t="shared" si="17"/>
        <v>-4</v>
      </c>
      <c r="K144" s="167">
        <f t="shared" si="14"/>
        <v>-40</v>
      </c>
      <c r="L144" s="167"/>
      <c r="M144" s="169">
        <f t="shared" si="15"/>
        <v>0</v>
      </c>
    </row>
    <row r="145" spans="1:13" x14ac:dyDescent="0.25">
      <c r="A145" s="184"/>
      <c r="G145" s="155"/>
      <c r="H145" s="170">
        <v>140</v>
      </c>
      <c r="I145" s="168" t="str">
        <f t="shared" si="13"/>
        <v/>
      </c>
      <c r="J145" s="167">
        <f t="shared" si="17"/>
        <v>-4</v>
      </c>
      <c r="K145" s="167">
        <f t="shared" si="14"/>
        <v>-40</v>
      </c>
      <c r="L145" s="167"/>
      <c r="M145" s="169">
        <f t="shared" si="15"/>
        <v>0</v>
      </c>
    </row>
    <row r="146" spans="1:13" x14ac:dyDescent="0.25">
      <c r="A146" s="184"/>
      <c r="G146" s="155"/>
      <c r="H146" s="167">
        <v>141</v>
      </c>
      <c r="I146" s="168" t="str">
        <f t="shared" si="13"/>
        <v/>
      </c>
      <c r="J146" s="167">
        <f t="shared" si="17"/>
        <v>-4</v>
      </c>
      <c r="K146" s="167">
        <f t="shared" si="14"/>
        <v>-40</v>
      </c>
      <c r="L146" s="167"/>
      <c r="M146" s="169">
        <f t="shared" si="15"/>
        <v>0</v>
      </c>
    </row>
    <row r="147" spans="1:13" x14ac:dyDescent="0.25">
      <c r="A147" s="184"/>
      <c r="G147" s="155"/>
      <c r="H147" s="170">
        <v>142</v>
      </c>
      <c r="I147" s="168" t="str">
        <f t="shared" si="13"/>
        <v/>
      </c>
      <c r="J147" s="167">
        <f t="shared" si="17"/>
        <v>-4</v>
      </c>
      <c r="K147" s="167">
        <f t="shared" si="14"/>
        <v>-40</v>
      </c>
      <c r="L147" s="167"/>
      <c r="M147" s="169">
        <f t="shared" si="15"/>
        <v>0</v>
      </c>
    </row>
    <row r="148" spans="1:13" x14ac:dyDescent="0.25">
      <c r="A148" s="184"/>
      <c r="G148" s="155"/>
      <c r="H148" s="167">
        <v>143</v>
      </c>
      <c r="I148" s="168" t="str">
        <f t="shared" si="13"/>
        <v/>
      </c>
      <c r="J148" s="167">
        <f t="shared" si="17"/>
        <v>-4</v>
      </c>
      <c r="K148" s="167">
        <f t="shared" si="14"/>
        <v>-40</v>
      </c>
      <c r="L148" s="167"/>
      <c r="M148" s="169">
        <f t="shared" si="15"/>
        <v>0</v>
      </c>
    </row>
    <row r="149" spans="1:13" x14ac:dyDescent="0.25">
      <c r="A149" s="184"/>
      <c r="G149" s="155"/>
      <c r="H149" s="170">
        <v>144</v>
      </c>
      <c r="I149" s="168" t="str">
        <f t="shared" si="13"/>
        <v/>
      </c>
      <c r="J149" s="167">
        <f t="shared" si="17"/>
        <v>-4</v>
      </c>
      <c r="K149" s="167">
        <f t="shared" si="14"/>
        <v>-40</v>
      </c>
      <c r="L149" s="167"/>
      <c r="M149" s="169">
        <f t="shared" si="15"/>
        <v>0</v>
      </c>
    </row>
    <row r="150" spans="1:13" x14ac:dyDescent="0.25">
      <c r="A150" s="184"/>
      <c r="G150" s="155"/>
      <c r="H150" s="167">
        <v>145</v>
      </c>
      <c r="I150" s="168" t="str">
        <f t="shared" si="13"/>
        <v/>
      </c>
      <c r="J150" s="167">
        <f t="shared" si="17"/>
        <v>-4</v>
      </c>
      <c r="K150" s="167">
        <f t="shared" si="14"/>
        <v>-40</v>
      </c>
      <c r="L150" s="167"/>
      <c r="M150" s="169">
        <f t="shared" si="15"/>
        <v>0</v>
      </c>
    </row>
    <row r="151" spans="1:13" x14ac:dyDescent="0.25">
      <c r="A151" s="184"/>
      <c r="G151" s="155"/>
      <c r="H151" s="170">
        <v>146</v>
      </c>
      <c r="I151" s="168" t="str">
        <f t="shared" si="13"/>
        <v/>
      </c>
      <c r="J151" s="167">
        <f t="shared" si="17"/>
        <v>-4</v>
      </c>
      <c r="K151" s="167">
        <f t="shared" si="14"/>
        <v>-40</v>
      </c>
      <c r="L151" s="167"/>
      <c r="M151" s="169">
        <f t="shared" si="15"/>
        <v>0</v>
      </c>
    </row>
    <row r="152" spans="1:13" x14ac:dyDescent="0.25">
      <c r="A152" s="184"/>
      <c r="G152" s="155"/>
      <c r="H152" s="167">
        <v>147</v>
      </c>
      <c r="I152" s="168" t="str">
        <f t="shared" si="13"/>
        <v/>
      </c>
      <c r="J152" s="167">
        <f t="shared" si="17"/>
        <v>-4</v>
      </c>
      <c r="K152" s="167">
        <f t="shared" si="14"/>
        <v>-40</v>
      </c>
      <c r="L152" s="167"/>
      <c r="M152" s="169">
        <f t="shared" si="15"/>
        <v>0</v>
      </c>
    </row>
    <row r="153" spans="1:13" x14ac:dyDescent="0.25">
      <c r="A153" s="184"/>
      <c r="G153" s="155"/>
      <c r="H153" s="170">
        <v>148</v>
      </c>
      <c r="I153" s="168" t="str">
        <f t="shared" si="13"/>
        <v/>
      </c>
      <c r="J153" s="167">
        <f t="shared" si="17"/>
        <v>-4</v>
      </c>
      <c r="K153" s="167">
        <f t="shared" si="14"/>
        <v>-40</v>
      </c>
      <c r="L153" s="167"/>
      <c r="M153" s="169">
        <f t="shared" si="15"/>
        <v>0</v>
      </c>
    </row>
    <row r="154" spans="1:13" x14ac:dyDescent="0.25">
      <c r="A154" s="184"/>
      <c r="G154" s="155"/>
      <c r="H154" s="167">
        <v>149</v>
      </c>
      <c r="I154" s="168" t="str">
        <f t="shared" si="13"/>
        <v/>
      </c>
      <c r="J154" s="167">
        <f t="shared" si="17"/>
        <v>-4</v>
      </c>
      <c r="K154" s="167">
        <f t="shared" si="14"/>
        <v>-40</v>
      </c>
      <c r="L154" s="167"/>
      <c r="M154" s="169">
        <f t="shared" si="15"/>
        <v>0</v>
      </c>
    </row>
    <row r="155" spans="1:13" x14ac:dyDescent="0.25">
      <c r="A155" s="184"/>
      <c r="G155" s="155"/>
      <c r="H155" s="170">
        <v>150</v>
      </c>
      <c r="I155" s="168" t="str">
        <f t="shared" si="13"/>
        <v/>
      </c>
      <c r="J155" s="167">
        <f t="shared" si="17"/>
        <v>-4</v>
      </c>
      <c r="K155" s="167">
        <f t="shared" si="14"/>
        <v>-40</v>
      </c>
      <c r="L155" s="167"/>
      <c r="M155" s="169">
        <f t="shared" si="15"/>
        <v>0</v>
      </c>
    </row>
    <row r="156" spans="1:13" x14ac:dyDescent="0.25">
      <c r="A156" s="184"/>
      <c r="G156" s="155"/>
      <c r="H156" s="167">
        <v>151</v>
      </c>
      <c r="I156" s="168" t="str">
        <f t="shared" si="13"/>
        <v/>
      </c>
      <c r="J156" s="167">
        <f t="shared" si="17"/>
        <v>-4</v>
      </c>
      <c r="K156" s="167">
        <f t="shared" si="14"/>
        <v>-40</v>
      </c>
      <c r="L156" s="167"/>
      <c r="M156" s="169">
        <f t="shared" si="15"/>
        <v>0</v>
      </c>
    </row>
    <row r="157" spans="1:13" x14ac:dyDescent="0.25">
      <c r="A157" s="184"/>
      <c r="G157" s="155"/>
      <c r="H157" s="170">
        <v>152</v>
      </c>
      <c r="I157" s="168" t="str">
        <f t="shared" si="13"/>
        <v/>
      </c>
      <c r="J157" s="167">
        <f t="shared" si="17"/>
        <v>-4</v>
      </c>
      <c r="K157" s="167">
        <f t="shared" si="14"/>
        <v>-40</v>
      </c>
      <c r="L157" s="167"/>
      <c r="M157" s="169">
        <f t="shared" si="15"/>
        <v>0</v>
      </c>
    </row>
    <row r="158" spans="1:13" x14ac:dyDescent="0.25">
      <c r="A158" s="184"/>
      <c r="G158" s="155"/>
      <c r="H158" s="167">
        <v>153</v>
      </c>
      <c r="I158" s="168" t="str">
        <f t="shared" si="13"/>
        <v/>
      </c>
      <c r="J158" s="167">
        <f t="shared" si="17"/>
        <v>-4</v>
      </c>
      <c r="K158" s="167">
        <f t="shared" si="14"/>
        <v>-40</v>
      </c>
      <c r="L158" s="167"/>
      <c r="M158" s="169">
        <f t="shared" si="15"/>
        <v>0</v>
      </c>
    </row>
    <row r="159" spans="1:13" x14ac:dyDescent="0.25">
      <c r="A159" s="184"/>
      <c r="G159" s="155"/>
      <c r="H159" s="170">
        <v>154</v>
      </c>
      <c r="I159" s="168" t="str">
        <f t="shared" si="13"/>
        <v/>
      </c>
      <c r="J159" s="167">
        <f t="shared" si="17"/>
        <v>-4</v>
      </c>
      <c r="K159" s="167">
        <f t="shared" si="14"/>
        <v>-40</v>
      </c>
      <c r="L159" s="167"/>
      <c r="M159" s="169">
        <f t="shared" si="15"/>
        <v>0</v>
      </c>
    </row>
    <row r="160" spans="1:13" x14ac:dyDescent="0.25">
      <c r="A160" s="184"/>
      <c r="G160" s="155"/>
      <c r="H160" s="167">
        <v>155</v>
      </c>
      <c r="I160" s="168" t="str">
        <f t="shared" si="13"/>
        <v/>
      </c>
      <c r="J160" s="167">
        <f t="shared" si="17"/>
        <v>-4</v>
      </c>
      <c r="K160" s="167">
        <f t="shared" si="14"/>
        <v>-40</v>
      </c>
      <c r="L160" s="167"/>
      <c r="M160" s="169">
        <f t="shared" si="15"/>
        <v>0</v>
      </c>
    </row>
    <row r="161" spans="1:13" x14ac:dyDescent="0.25">
      <c r="A161" s="184"/>
      <c r="G161" s="155"/>
      <c r="H161" s="170">
        <v>156</v>
      </c>
      <c r="I161" s="168" t="str">
        <f t="shared" si="13"/>
        <v/>
      </c>
      <c r="J161" s="167">
        <f t="shared" si="17"/>
        <v>-4</v>
      </c>
      <c r="K161" s="167">
        <f t="shared" si="14"/>
        <v>-40</v>
      </c>
      <c r="L161" s="167"/>
      <c r="M161" s="169">
        <f t="shared" si="15"/>
        <v>0</v>
      </c>
    </row>
    <row r="162" spans="1:13" x14ac:dyDescent="0.25">
      <c r="A162" s="184"/>
      <c r="G162" s="155"/>
      <c r="H162" s="167">
        <v>157</v>
      </c>
      <c r="I162" s="168" t="str">
        <f t="shared" si="13"/>
        <v/>
      </c>
      <c r="J162" s="167">
        <f t="shared" si="17"/>
        <v>-4</v>
      </c>
      <c r="K162" s="167">
        <f t="shared" si="14"/>
        <v>-40</v>
      </c>
      <c r="L162" s="167"/>
      <c r="M162" s="169">
        <f t="shared" si="15"/>
        <v>0</v>
      </c>
    </row>
    <row r="163" spans="1:13" x14ac:dyDescent="0.25">
      <c r="A163" s="184"/>
      <c r="G163" s="155"/>
      <c r="H163" s="170">
        <v>158</v>
      </c>
      <c r="I163" s="168" t="str">
        <f t="shared" si="13"/>
        <v/>
      </c>
      <c r="J163" s="167">
        <f t="shared" si="17"/>
        <v>-4</v>
      </c>
      <c r="K163" s="167">
        <f t="shared" si="14"/>
        <v>-40</v>
      </c>
      <c r="L163" s="167"/>
      <c r="M163" s="169">
        <f t="shared" si="15"/>
        <v>0</v>
      </c>
    </row>
    <row r="164" spans="1:13" x14ac:dyDescent="0.25">
      <c r="A164" s="184"/>
      <c r="G164" s="155"/>
      <c r="H164" s="167">
        <v>159</v>
      </c>
      <c r="I164" s="168" t="str">
        <f t="shared" si="13"/>
        <v/>
      </c>
      <c r="J164" s="167">
        <f t="shared" si="17"/>
        <v>-4</v>
      </c>
      <c r="K164" s="167">
        <f t="shared" si="14"/>
        <v>-40</v>
      </c>
      <c r="L164" s="167"/>
      <c r="M164" s="169">
        <f t="shared" si="15"/>
        <v>0</v>
      </c>
    </row>
    <row r="165" spans="1:13" x14ac:dyDescent="0.25">
      <c r="A165" s="184"/>
      <c r="G165" s="155"/>
      <c r="H165" s="170">
        <v>160</v>
      </c>
      <c r="I165" s="168" t="str">
        <f t="shared" si="13"/>
        <v/>
      </c>
      <c r="J165" s="167">
        <f t="shared" si="17"/>
        <v>-4</v>
      </c>
      <c r="K165" s="167">
        <f t="shared" si="14"/>
        <v>-40</v>
      </c>
      <c r="L165" s="167"/>
      <c r="M165" s="169">
        <f t="shared" si="15"/>
        <v>0</v>
      </c>
    </row>
    <row r="166" spans="1:13" x14ac:dyDescent="0.25">
      <c r="A166" s="184"/>
      <c r="G166" s="155"/>
      <c r="H166" s="167">
        <v>161</v>
      </c>
      <c r="I166" s="168" t="str">
        <f t="shared" si="13"/>
        <v/>
      </c>
      <c r="J166" s="167">
        <f t="shared" si="17"/>
        <v>-4</v>
      </c>
      <c r="K166" s="167">
        <f t="shared" si="14"/>
        <v>-40</v>
      </c>
      <c r="L166" s="167"/>
      <c r="M166" s="169">
        <f t="shared" si="15"/>
        <v>0</v>
      </c>
    </row>
    <row r="167" spans="1:13" x14ac:dyDescent="0.25">
      <c r="A167" s="184"/>
      <c r="G167" s="155"/>
      <c r="H167" s="170">
        <v>162</v>
      </c>
      <c r="I167" s="168" t="str">
        <f t="shared" si="13"/>
        <v/>
      </c>
      <c r="J167" s="167">
        <f t="shared" si="17"/>
        <v>-4</v>
      </c>
      <c r="K167" s="167">
        <f t="shared" si="14"/>
        <v>-40</v>
      </c>
      <c r="L167" s="167"/>
      <c r="M167" s="169">
        <f t="shared" si="15"/>
        <v>0</v>
      </c>
    </row>
    <row r="168" spans="1:13" x14ac:dyDescent="0.25">
      <c r="A168" s="184"/>
      <c r="G168" s="155"/>
      <c r="H168" s="167">
        <v>163</v>
      </c>
      <c r="I168" s="168" t="str">
        <f t="shared" si="13"/>
        <v/>
      </c>
      <c r="J168" s="167">
        <f t="shared" si="17"/>
        <v>-4</v>
      </c>
      <c r="K168" s="167">
        <f t="shared" si="14"/>
        <v>-40</v>
      </c>
      <c r="L168" s="167"/>
      <c r="M168" s="169">
        <f t="shared" si="15"/>
        <v>0</v>
      </c>
    </row>
    <row r="169" spans="1:13" x14ac:dyDescent="0.25">
      <c r="A169" s="184"/>
      <c r="C169" s="183" t="s">
        <v>48</v>
      </c>
      <c r="G169" s="155"/>
      <c r="H169" s="170">
        <v>164</v>
      </c>
      <c r="I169" s="168" t="str">
        <f t="shared" si="13"/>
        <v/>
      </c>
      <c r="J169" s="167">
        <f t="shared" si="17"/>
        <v>-4</v>
      </c>
      <c r="K169" s="167">
        <f t="shared" si="14"/>
        <v>-40</v>
      </c>
      <c r="L169" s="167"/>
      <c r="M169" s="169">
        <f t="shared" si="15"/>
        <v>0</v>
      </c>
    </row>
    <row r="170" spans="1:13" x14ac:dyDescent="0.25">
      <c r="A170" s="184"/>
      <c r="G170" s="155"/>
      <c r="H170" s="167">
        <v>165</v>
      </c>
      <c r="I170" s="168" t="str">
        <f t="shared" si="13"/>
        <v/>
      </c>
      <c r="J170" s="167">
        <f t="shared" si="17"/>
        <v>-4</v>
      </c>
      <c r="K170" s="167">
        <f t="shared" si="14"/>
        <v>-40</v>
      </c>
      <c r="L170" s="167"/>
      <c r="M170" s="169">
        <f t="shared" si="15"/>
        <v>0</v>
      </c>
    </row>
    <row r="171" spans="1:13" x14ac:dyDescent="0.25">
      <c r="A171" s="184"/>
      <c r="G171" s="155"/>
      <c r="H171" s="170">
        <v>166</v>
      </c>
      <c r="I171" s="168" t="str">
        <f t="shared" si="13"/>
        <v/>
      </c>
      <c r="J171" s="167">
        <f t="shared" si="17"/>
        <v>-4</v>
      </c>
      <c r="K171" s="167">
        <f t="shared" si="14"/>
        <v>-40</v>
      </c>
      <c r="L171" s="167"/>
      <c r="M171" s="169">
        <f t="shared" si="15"/>
        <v>0</v>
      </c>
    </row>
    <row r="172" spans="1:13" x14ac:dyDescent="0.25">
      <c r="A172" s="184"/>
      <c r="G172" s="155"/>
      <c r="H172" s="167">
        <v>167</v>
      </c>
      <c r="I172" s="168" t="str">
        <f t="shared" si="13"/>
        <v/>
      </c>
      <c r="J172" s="167">
        <f t="shared" si="17"/>
        <v>-4</v>
      </c>
      <c r="K172" s="167">
        <f t="shared" si="14"/>
        <v>-40</v>
      </c>
      <c r="L172" s="167"/>
      <c r="M172" s="169">
        <f t="shared" si="15"/>
        <v>0</v>
      </c>
    </row>
    <row r="173" spans="1:13" x14ac:dyDescent="0.25">
      <c r="A173" s="184"/>
      <c r="G173" s="155"/>
      <c r="H173" s="170">
        <v>168</v>
      </c>
      <c r="I173" s="168" t="str">
        <f t="shared" si="13"/>
        <v/>
      </c>
      <c r="J173" s="167">
        <f t="shared" si="17"/>
        <v>-4</v>
      </c>
      <c r="K173" s="167">
        <f t="shared" si="14"/>
        <v>-40</v>
      </c>
      <c r="L173" s="167"/>
      <c r="M173" s="169">
        <f t="shared" si="15"/>
        <v>0</v>
      </c>
    </row>
    <row r="174" spans="1:13" x14ac:dyDescent="0.25">
      <c r="A174" s="184"/>
      <c r="G174" s="155"/>
      <c r="H174" s="167">
        <v>169</v>
      </c>
      <c r="I174" s="168" t="str">
        <f t="shared" si="13"/>
        <v/>
      </c>
      <c r="J174" s="167">
        <f t="shared" si="17"/>
        <v>-4</v>
      </c>
      <c r="K174" s="167">
        <f t="shared" si="14"/>
        <v>-40</v>
      </c>
      <c r="L174" s="167"/>
      <c r="M174" s="169">
        <f t="shared" si="15"/>
        <v>0</v>
      </c>
    </row>
    <row r="175" spans="1:13" x14ac:dyDescent="0.25">
      <c r="A175" s="184"/>
      <c r="G175" s="155"/>
      <c r="H175" s="170">
        <v>170</v>
      </c>
      <c r="I175" s="168" t="str">
        <f t="shared" si="13"/>
        <v/>
      </c>
      <c r="J175" s="167">
        <f t="shared" si="17"/>
        <v>-4</v>
      </c>
      <c r="K175" s="167">
        <f t="shared" si="14"/>
        <v>-40</v>
      </c>
      <c r="L175" s="167"/>
      <c r="M175" s="169">
        <f t="shared" si="15"/>
        <v>0</v>
      </c>
    </row>
    <row r="176" spans="1:13" x14ac:dyDescent="0.25">
      <c r="A176" s="184"/>
      <c r="G176" s="155"/>
      <c r="H176" s="167">
        <v>171</v>
      </c>
      <c r="I176" s="168" t="str">
        <f t="shared" si="13"/>
        <v/>
      </c>
      <c r="J176" s="167">
        <f t="shared" si="17"/>
        <v>-4</v>
      </c>
      <c r="K176" s="167">
        <f t="shared" si="14"/>
        <v>-40</v>
      </c>
      <c r="L176" s="167"/>
      <c r="M176" s="169">
        <f t="shared" si="15"/>
        <v>0</v>
      </c>
    </row>
    <row r="177" spans="1:13" x14ac:dyDescent="0.25">
      <c r="A177" s="184"/>
      <c r="G177" s="155"/>
      <c r="H177" s="170">
        <v>172</v>
      </c>
      <c r="I177" s="168" t="str">
        <f t="shared" si="13"/>
        <v/>
      </c>
      <c r="J177" s="167">
        <f t="shared" si="17"/>
        <v>-4</v>
      </c>
      <c r="K177" s="167">
        <f t="shared" si="14"/>
        <v>-40</v>
      </c>
      <c r="L177" s="167"/>
      <c r="M177" s="169">
        <f t="shared" si="15"/>
        <v>0</v>
      </c>
    </row>
    <row r="178" spans="1:13" x14ac:dyDescent="0.25">
      <c r="A178" s="184"/>
      <c r="G178" s="155"/>
      <c r="H178" s="167">
        <v>173</v>
      </c>
      <c r="I178" s="168" t="str">
        <f t="shared" si="13"/>
        <v/>
      </c>
      <c r="J178" s="167">
        <f t="shared" si="17"/>
        <v>-4</v>
      </c>
      <c r="K178" s="167">
        <f t="shared" si="14"/>
        <v>-40</v>
      </c>
      <c r="L178" s="167"/>
      <c r="M178" s="169">
        <f t="shared" si="15"/>
        <v>0</v>
      </c>
    </row>
    <row r="179" spans="1:13" x14ac:dyDescent="0.25">
      <c r="A179" s="184"/>
      <c r="G179" s="155"/>
      <c r="H179" s="170">
        <v>174</v>
      </c>
      <c r="I179" s="168" t="str">
        <f t="shared" si="13"/>
        <v/>
      </c>
      <c r="J179" s="167">
        <f t="shared" si="17"/>
        <v>-4</v>
      </c>
      <c r="K179" s="167">
        <f t="shared" si="14"/>
        <v>-40</v>
      </c>
      <c r="L179" s="167"/>
      <c r="M179" s="169">
        <f t="shared" si="15"/>
        <v>0</v>
      </c>
    </row>
    <row r="180" spans="1:13" x14ac:dyDescent="0.25">
      <c r="A180" s="184"/>
      <c r="G180" s="155"/>
      <c r="H180" s="167">
        <v>175</v>
      </c>
      <c r="I180" s="168" t="str">
        <f t="shared" si="13"/>
        <v/>
      </c>
      <c r="J180" s="167">
        <f t="shared" si="17"/>
        <v>-4</v>
      </c>
      <c r="K180" s="167">
        <f t="shared" si="14"/>
        <v>-40</v>
      </c>
      <c r="L180" s="167"/>
      <c r="M180" s="169">
        <f t="shared" si="15"/>
        <v>0</v>
      </c>
    </row>
    <row r="181" spans="1:13" x14ac:dyDescent="0.25">
      <c r="A181" s="184"/>
      <c r="G181" s="155"/>
      <c r="H181" s="170">
        <v>176</v>
      </c>
      <c r="I181" s="168" t="str">
        <f t="shared" si="13"/>
        <v/>
      </c>
      <c r="J181" s="167">
        <f t="shared" si="17"/>
        <v>-4</v>
      </c>
      <c r="K181" s="167">
        <f t="shared" si="14"/>
        <v>-40</v>
      </c>
      <c r="L181" s="167"/>
      <c r="M181" s="169">
        <f t="shared" si="15"/>
        <v>0</v>
      </c>
    </row>
    <row r="182" spans="1:13" x14ac:dyDescent="0.25">
      <c r="A182" s="184"/>
      <c r="G182" s="155"/>
      <c r="H182" s="167">
        <v>177</v>
      </c>
      <c r="I182" s="168" t="str">
        <f t="shared" si="13"/>
        <v/>
      </c>
      <c r="J182" s="167">
        <f t="shared" si="17"/>
        <v>-4</v>
      </c>
      <c r="K182" s="167">
        <f t="shared" si="14"/>
        <v>-40</v>
      </c>
      <c r="L182" s="167"/>
      <c r="M182" s="169">
        <f t="shared" si="15"/>
        <v>0</v>
      </c>
    </row>
    <row r="183" spans="1:13" x14ac:dyDescent="0.25">
      <c r="A183" s="184"/>
      <c r="G183" s="155"/>
      <c r="H183" s="170">
        <v>178</v>
      </c>
      <c r="I183" s="168" t="str">
        <f t="shared" si="13"/>
        <v/>
      </c>
      <c r="J183" s="167">
        <f t="shared" si="17"/>
        <v>-4</v>
      </c>
      <c r="K183" s="167">
        <f t="shared" si="14"/>
        <v>-40</v>
      </c>
      <c r="L183" s="167"/>
      <c r="M183" s="169">
        <f t="shared" si="15"/>
        <v>0</v>
      </c>
    </row>
    <row r="184" spans="1:13" x14ac:dyDescent="0.25">
      <c r="A184" s="184"/>
      <c r="G184" s="155"/>
      <c r="H184" s="167">
        <v>179</v>
      </c>
      <c r="I184" s="168" t="str">
        <f t="shared" si="13"/>
        <v/>
      </c>
      <c r="J184" s="167">
        <f t="shared" si="17"/>
        <v>-4</v>
      </c>
      <c r="K184" s="167">
        <f t="shared" si="14"/>
        <v>-40</v>
      </c>
      <c r="L184" s="167"/>
      <c r="M184" s="169">
        <f t="shared" si="15"/>
        <v>0</v>
      </c>
    </row>
    <row r="185" spans="1:13" x14ac:dyDescent="0.25">
      <c r="A185" s="184"/>
      <c r="G185" s="155"/>
      <c r="H185" s="170">
        <v>180</v>
      </c>
      <c r="I185" s="168" t="str">
        <f t="shared" si="13"/>
        <v/>
      </c>
      <c r="J185" s="167">
        <f t="shared" si="17"/>
        <v>-4</v>
      </c>
      <c r="K185" s="167">
        <f t="shared" si="14"/>
        <v>-40</v>
      </c>
      <c r="L185" s="167"/>
      <c r="M185" s="169">
        <f t="shared" si="15"/>
        <v>0</v>
      </c>
    </row>
    <row r="186" spans="1:13" x14ac:dyDescent="0.25">
      <c r="A186" s="184"/>
      <c r="G186" s="155"/>
      <c r="H186" s="167">
        <v>181</v>
      </c>
      <c r="I186" s="168" t="str">
        <f t="shared" si="13"/>
        <v/>
      </c>
      <c r="J186" s="167">
        <f t="shared" si="17"/>
        <v>-4</v>
      </c>
      <c r="K186" s="167">
        <f t="shared" si="14"/>
        <v>-40</v>
      </c>
      <c r="L186" s="167"/>
      <c r="M186" s="169">
        <f t="shared" si="15"/>
        <v>0</v>
      </c>
    </row>
    <row r="187" spans="1:13" x14ac:dyDescent="0.25">
      <c r="A187" s="184"/>
      <c r="G187" s="155"/>
      <c r="H187" s="170">
        <v>182</v>
      </c>
      <c r="I187" s="168" t="str">
        <f t="shared" si="13"/>
        <v/>
      </c>
      <c r="J187" s="167">
        <f t="shared" si="17"/>
        <v>-4</v>
      </c>
      <c r="K187" s="167">
        <f t="shared" si="14"/>
        <v>-40</v>
      </c>
      <c r="L187" s="167"/>
      <c r="M187" s="169">
        <f t="shared" si="15"/>
        <v>0</v>
      </c>
    </row>
    <row r="188" spans="1:13" x14ac:dyDescent="0.25">
      <c r="A188" s="184"/>
      <c r="G188" s="155"/>
      <c r="H188" s="167">
        <v>183</v>
      </c>
      <c r="I188" s="168" t="str">
        <f t="shared" si="13"/>
        <v/>
      </c>
      <c r="J188" s="167">
        <f t="shared" si="17"/>
        <v>-4</v>
      </c>
      <c r="K188" s="167">
        <f t="shared" si="14"/>
        <v>-40</v>
      </c>
      <c r="L188" s="167"/>
      <c r="M188" s="169">
        <f t="shared" si="15"/>
        <v>0</v>
      </c>
    </row>
    <row r="189" spans="1:13" x14ac:dyDescent="0.25">
      <c r="A189" s="184"/>
      <c r="G189" s="155"/>
      <c r="H189" s="170">
        <v>184</v>
      </c>
      <c r="I189" s="168" t="str">
        <f t="shared" si="13"/>
        <v/>
      </c>
      <c r="J189" s="167">
        <f t="shared" si="17"/>
        <v>-4</v>
      </c>
      <c r="K189" s="167">
        <f t="shared" si="14"/>
        <v>-40</v>
      </c>
      <c r="L189" s="167"/>
      <c r="M189" s="169">
        <f t="shared" si="15"/>
        <v>0</v>
      </c>
    </row>
    <row r="190" spans="1:13" x14ac:dyDescent="0.25">
      <c r="A190" s="184"/>
      <c r="G190" s="155"/>
      <c r="H190" s="167">
        <v>185</v>
      </c>
      <c r="I190" s="168" t="str">
        <f t="shared" si="13"/>
        <v/>
      </c>
      <c r="J190" s="167">
        <f t="shared" si="17"/>
        <v>-4</v>
      </c>
      <c r="K190" s="167">
        <f t="shared" si="14"/>
        <v>-40</v>
      </c>
      <c r="L190" s="167"/>
      <c r="M190" s="169">
        <f t="shared" si="15"/>
        <v>0</v>
      </c>
    </row>
    <row r="191" spans="1:13" x14ac:dyDescent="0.25">
      <c r="A191" s="184"/>
      <c r="G191" s="155"/>
      <c r="H191" s="170">
        <v>186</v>
      </c>
      <c r="I191" s="168" t="str">
        <f t="shared" si="13"/>
        <v/>
      </c>
      <c r="J191" s="167">
        <f t="shared" si="17"/>
        <v>-4</v>
      </c>
      <c r="K191" s="167">
        <f t="shared" si="14"/>
        <v>-40</v>
      </c>
      <c r="L191" s="167"/>
      <c r="M191" s="169">
        <f t="shared" si="15"/>
        <v>0</v>
      </c>
    </row>
    <row r="192" spans="1:13" x14ac:dyDescent="0.25">
      <c r="A192" s="184"/>
      <c r="G192" s="155"/>
      <c r="H192" s="167">
        <v>187</v>
      </c>
      <c r="I192" s="168" t="str">
        <f t="shared" si="13"/>
        <v/>
      </c>
      <c r="J192" s="167">
        <f t="shared" si="17"/>
        <v>-4</v>
      </c>
      <c r="K192" s="167">
        <f t="shared" si="14"/>
        <v>-40</v>
      </c>
      <c r="L192" s="167"/>
      <c r="M192" s="169">
        <f t="shared" si="15"/>
        <v>0</v>
      </c>
    </row>
    <row r="193" spans="1:13" x14ac:dyDescent="0.25">
      <c r="A193" s="184"/>
      <c r="G193" s="155"/>
      <c r="H193" s="170">
        <v>188</v>
      </c>
      <c r="I193" s="168" t="str">
        <f t="shared" si="13"/>
        <v/>
      </c>
      <c r="J193" s="167">
        <f t="shared" si="17"/>
        <v>-4</v>
      </c>
      <c r="K193" s="167">
        <f t="shared" si="14"/>
        <v>-40</v>
      </c>
      <c r="L193" s="167"/>
      <c r="M193" s="169">
        <f t="shared" si="15"/>
        <v>0</v>
      </c>
    </row>
    <row r="194" spans="1:13" x14ac:dyDescent="0.25">
      <c r="A194" s="184"/>
      <c r="G194" s="155"/>
      <c r="H194" s="167">
        <v>189</v>
      </c>
      <c r="I194" s="168" t="str">
        <f t="shared" si="13"/>
        <v/>
      </c>
      <c r="J194" s="167">
        <f t="shared" si="17"/>
        <v>-4</v>
      </c>
      <c r="K194" s="167">
        <f t="shared" si="14"/>
        <v>-40</v>
      </c>
      <c r="L194" s="167"/>
      <c r="M194" s="169">
        <f t="shared" si="15"/>
        <v>0</v>
      </c>
    </row>
    <row r="195" spans="1:13" x14ac:dyDescent="0.25">
      <c r="A195" s="184"/>
      <c r="G195" s="155"/>
      <c r="H195" s="170">
        <v>190</v>
      </c>
      <c r="I195" s="168" t="str">
        <f t="shared" si="13"/>
        <v/>
      </c>
      <c r="J195" s="167">
        <f t="shared" si="17"/>
        <v>-4</v>
      </c>
      <c r="K195" s="167">
        <f t="shared" si="14"/>
        <v>-40</v>
      </c>
      <c r="L195" s="167"/>
      <c r="M195" s="169">
        <f t="shared" si="15"/>
        <v>0</v>
      </c>
    </row>
    <row r="196" spans="1:13" x14ac:dyDescent="0.25">
      <c r="A196" s="184"/>
      <c r="G196" s="155"/>
      <c r="H196" s="167">
        <v>191</v>
      </c>
      <c r="I196" s="168" t="str">
        <f t="shared" si="13"/>
        <v/>
      </c>
      <c r="J196" s="167">
        <f t="shared" si="17"/>
        <v>-4</v>
      </c>
      <c r="K196" s="167">
        <f t="shared" si="14"/>
        <v>-40</v>
      </c>
      <c r="L196" s="167"/>
      <c r="M196" s="169">
        <f t="shared" si="15"/>
        <v>0</v>
      </c>
    </row>
    <row r="197" spans="1:13" x14ac:dyDescent="0.25">
      <c r="A197" s="184"/>
      <c r="G197" s="155"/>
      <c r="H197" s="170">
        <v>192</v>
      </c>
      <c r="I197" s="168" t="str">
        <f t="shared" si="13"/>
        <v/>
      </c>
      <c r="J197" s="167">
        <f t="shared" si="17"/>
        <v>-4</v>
      </c>
      <c r="K197" s="167">
        <f t="shared" si="14"/>
        <v>-40</v>
      </c>
      <c r="L197" s="167"/>
      <c r="M197" s="169">
        <f t="shared" si="15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8">IF(H198&lt;$H$2+1,($I$2-($I$2-1)*(LOG(H198)/LOG($H$2))),"")</f>
        <v/>
      </c>
      <c r="J198" s="167">
        <f t="shared" si="17"/>
        <v>-4</v>
      </c>
      <c r="K198" s="167">
        <f t="shared" ref="K198:K261" si="19">J198*$J$2</f>
        <v>-40</v>
      </c>
      <c r="L198" s="167"/>
      <c r="M198" s="169">
        <f t="shared" ref="M198:M261" si="20">IF(I198&lt;&gt;"",K198+I198+L198,0)</f>
        <v>0</v>
      </c>
    </row>
    <row r="199" spans="1:13" x14ac:dyDescent="0.25">
      <c r="A199" s="184"/>
      <c r="G199" s="155"/>
      <c r="H199" s="170">
        <v>194</v>
      </c>
      <c r="I199" s="168" t="str">
        <f t="shared" si="18"/>
        <v/>
      </c>
      <c r="J199" s="167">
        <f t="shared" ref="J199:J262" si="21">INT(LOG($H$2,2))-ROUNDUP(LOG(H199,2),0)+IF(OR($H$2=1,$H$2=2,$H$2=4,$H$2=8,$H$2=16,$H$2=32,$H$2=64,$H$2=128,$H$2=256),0,1)</f>
        <v>-4</v>
      </c>
      <c r="K199" s="167">
        <f t="shared" si="19"/>
        <v>-40</v>
      </c>
      <c r="L199" s="167"/>
      <c r="M199" s="169">
        <f t="shared" si="20"/>
        <v>0</v>
      </c>
    </row>
    <row r="200" spans="1:13" x14ac:dyDescent="0.25">
      <c r="A200" s="184"/>
      <c r="G200" s="155"/>
      <c r="H200" s="167">
        <v>195</v>
      </c>
      <c r="I200" s="168" t="str">
        <f t="shared" si="18"/>
        <v/>
      </c>
      <c r="J200" s="167">
        <f t="shared" si="21"/>
        <v>-4</v>
      </c>
      <c r="K200" s="167">
        <f t="shared" si="19"/>
        <v>-40</v>
      </c>
      <c r="L200" s="167"/>
      <c r="M200" s="169">
        <f t="shared" si="20"/>
        <v>0</v>
      </c>
    </row>
    <row r="201" spans="1:13" x14ac:dyDescent="0.25">
      <c r="A201" s="184"/>
      <c r="G201" s="155"/>
      <c r="H201" s="170">
        <v>196</v>
      </c>
      <c r="I201" s="168" t="str">
        <f t="shared" si="18"/>
        <v/>
      </c>
      <c r="J201" s="167">
        <f t="shared" si="21"/>
        <v>-4</v>
      </c>
      <c r="K201" s="167">
        <f t="shared" si="19"/>
        <v>-40</v>
      </c>
      <c r="L201" s="167"/>
      <c r="M201" s="169">
        <f t="shared" si="20"/>
        <v>0</v>
      </c>
    </row>
    <row r="202" spans="1:13" x14ac:dyDescent="0.25">
      <c r="A202" s="184"/>
      <c r="G202" s="155"/>
      <c r="H202" s="167">
        <v>197</v>
      </c>
      <c r="I202" s="168" t="str">
        <f t="shared" si="18"/>
        <v/>
      </c>
      <c r="J202" s="167">
        <f t="shared" si="21"/>
        <v>-4</v>
      </c>
      <c r="K202" s="167">
        <f t="shared" si="19"/>
        <v>-40</v>
      </c>
      <c r="L202" s="167"/>
      <c r="M202" s="169">
        <f t="shared" si="20"/>
        <v>0</v>
      </c>
    </row>
    <row r="203" spans="1:13" x14ac:dyDescent="0.25">
      <c r="A203" s="184"/>
      <c r="G203" s="155"/>
      <c r="H203" s="170">
        <v>198</v>
      </c>
      <c r="I203" s="168" t="str">
        <f t="shared" si="18"/>
        <v/>
      </c>
      <c r="J203" s="167">
        <f t="shared" si="21"/>
        <v>-4</v>
      </c>
      <c r="K203" s="167">
        <f t="shared" si="19"/>
        <v>-40</v>
      </c>
      <c r="L203" s="167"/>
      <c r="M203" s="169">
        <f t="shared" si="20"/>
        <v>0</v>
      </c>
    </row>
    <row r="204" spans="1:13" x14ac:dyDescent="0.25">
      <c r="A204" s="184"/>
      <c r="G204" s="155"/>
      <c r="H204" s="167">
        <v>199</v>
      </c>
      <c r="I204" s="168" t="str">
        <f t="shared" si="18"/>
        <v/>
      </c>
      <c r="J204" s="167">
        <f t="shared" si="21"/>
        <v>-4</v>
      </c>
      <c r="K204" s="167">
        <f t="shared" si="19"/>
        <v>-40</v>
      </c>
      <c r="L204" s="167"/>
      <c r="M204" s="169">
        <f t="shared" si="20"/>
        <v>0</v>
      </c>
    </row>
    <row r="205" spans="1:13" x14ac:dyDescent="0.25">
      <c r="A205" s="184"/>
      <c r="G205" s="155"/>
      <c r="H205" s="170">
        <v>200</v>
      </c>
      <c r="I205" s="168" t="str">
        <f t="shared" si="18"/>
        <v/>
      </c>
      <c r="J205" s="167">
        <f t="shared" si="21"/>
        <v>-4</v>
      </c>
      <c r="K205" s="167">
        <f t="shared" si="19"/>
        <v>-40</v>
      </c>
      <c r="L205" s="167"/>
      <c r="M205" s="169">
        <f t="shared" si="20"/>
        <v>0</v>
      </c>
    </row>
    <row r="206" spans="1:13" x14ac:dyDescent="0.25">
      <c r="A206" s="184"/>
      <c r="G206" s="155"/>
      <c r="H206" s="167">
        <v>201</v>
      </c>
      <c r="I206" s="168" t="str">
        <f t="shared" si="18"/>
        <v/>
      </c>
      <c r="J206" s="167">
        <f t="shared" si="21"/>
        <v>-4</v>
      </c>
      <c r="K206" s="167">
        <f t="shared" si="19"/>
        <v>-40</v>
      </c>
      <c r="L206" s="167"/>
      <c r="M206" s="169">
        <f t="shared" si="20"/>
        <v>0</v>
      </c>
    </row>
    <row r="207" spans="1:13" x14ac:dyDescent="0.25">
      <c r="A207" s="184"/>
      <c r="G207" s="155"/>
      <c r="H207" s="170">
        <v>202</v>
      </c>
      <c r="I207" s="168" t="str">
        <f t="shared" si="18"/>
        <v/>
      </c>
      <c r="J207" s="167">
        <f t="shared" si="21"/>
        <v>-4</v>
      </c>
      <c r="K207" s="167">
        <f t="shared" si="19"/>
        <v>-40</v>
      </c>
      <c r="L207" s="167"/>
      <c r="M207" s="169">
        <f t="shared" si="20"/>
        <v>0</v>
      </c>
    </row>
    <row r="208" spans="1:13" x14ac:dyDescent="0.25">
      <c r="A208" s="184"/>
      <c r="G208" s="155"/>
      <c r="H208" s="167">
        <v>203</v>
      </c>
      <c r="I208" s="168" t="str">
        <f t="shared" si="18"/>
        <v/>
      </c>
      <c r="J208" s="167">
        <f t="shared" si="21"/>
        <v>-4</v>
      </c>
      <c r="K208" s="167">
        <f t="shared" si="19"/>
        <v>-40</v>
      </c>
      <c r="L208" s="167"/>
      <c r="M208" s="169">
        <f t="shared" si="20"/>
        <v>0</v>
      </c>
    </row>
    <row r="209" spans="1:13" x14ac:dyDescent="0.25">
      <c r="A209" s="184"/>
      <c r="G209" s="155"/>
      <c r="H209" s="170">
        <v>204</v>
      </c>
      <c r="I209" s="168" t="str">
        <f t="shared" si="18"/>
        <v/>
      </c>
      <c r="J209" s="167">
        <f t="shared" si="21"/>
        <v>-4</v>
      </c>
      <c r="K209" s="167">
        <f t="shared" si="19"/>
        <v>-40</v>
      </c>
      <c r="L209" s="167"/>
      <c r="M209" s="169">
        <f t="shared" si="20"/>
        <v>0</v>
      </c>
    </row>
    <row r="210" spans="1:13" x14ac:dyDescent="0.25">
      <c r="A210" s="184"/>
      <c r="G210" s="155"/>
      <c r="H210" s="167">
        <v>205</v>
      </c>
      <c r="I210" s="168" t="str">
        <f t="shared" si="18"/>
        <v/>
      </c>
      <c r="J210" s="167">
        <f t="shared" si="21"/>
        <v>-4</v>
      </c>
      <c r="K210" s="167">
        <f t="shared" si="19"/>
        <v>-40</v>
      </c>
      <c r="L210" s="167"/>
      <c r="M210" s="169">
        <f t="shared" si="20"/>
        <v>0</v>
      </c>
    </row>
    <row r="211" spans="1:13" x14ac:dyDescent="0.25">
      <c r="A211" s="184"/>
      <c r="G211" s="155"/>
      <c r="H211" s="170">
        <v>206</v>
      </c>
      <c r="I211" s="168" t="str">
        <f t="shared" si="18"/>
        <v/>
      </c>
      <c r="J211" s="167">
        <f t="shared" si="21"/>
        <v>-4</v>
      </c>
      <c r="K211" s="167">
        <f t="shared" si="19"/>
        <v>-40</v>
      </c>
      <c r="L211" s="167"/>
      <c r="M211" s="169">
        <f t="shared" si="20"/>
        <v>0</v>
      </c>
    </row>
    <row r="212" spans="1:13" x14ac:dyDescent="0.25">
      <c r="A212" s="184"/>
      <c r="G212" s="155"/>
      <c r="H212" s="167">
        <v>207</v>
      </c>
      <c r="I212" s="168" t="str">
        <f t="shared" si="18"/>
        <v/>
      </c>
      <c r="J212" s="167">
        <f t="shared" si="21"/>
        <v>-4</v>
      </c>
      <c r="K212" s="167">
        <f t="shared" si="19"/>
        <v>-40</v>
      </c>
      <c r="L212" s="167"/>
      <c r="M212" s="169">
        <f t="shared" si="20"/>
        <v>0</v>
      </c>
    </row>
    <row r="213" spans="1:13" x14ac:dyDescent="0.25">
      <c r="A213" s="184"/>
      <c r="G213" s="155"/>
      <c r="H213" s="170">
        <v>208</v>
      </c>
      <c r="I213" s="168" t="str">
        <f t="shared" si="18"/>
        <v/>
      </c>
      <c r="J213" s="167">
        <f t="shared" si="21"/>
        <v>-4</v>
      </c>
      <c r="K213" s="167">
        <f t="shared" si="19"/>
        <v>-40</v>
      </c>
      <c r="L213" s="167"/>
      <c r="M213" s="169">
        <f t="shared" si="20"/>
        <v>0</v>
      </c>
    </row>
    <row r="214" spans="1:13" x14ac:dyDescent="0.25">
      <c r="A214" s="184"/>
      <c r="G214" s="155"/>
      <c r="H214" s="167">
        <v>209</v>
      </c>
      <c r="I214" s="168" t="str">
        <f t="shared" si="18"/>
        <v/>
      </c>
      <c r="J214" s="167">
        <f t="shared" si="21"/>
        <v>-4</v>
      </c>
      <c r="K214" s="167">
        <f t="shared" si="19"/>
        <v>-40</v>
      </c>
      <c r="L214" s="167"/>
      <c r="M214" s="169">
        <f t="shared" si="20"/>
        <v>0</v>
      </c>
    </row>
    <row r="215" spans="1:13" x14ac:dyDescent="0.25">
      <c r="A215" s="184"/>
      <c r="G215" s="155"/>
      <c r="H215" s="170">
        <v>210</v>
      </c>
      <c r="I215" s="168" t="str">
        <f t="shared" si="18"/>
        <v/>
      </c>
      <c r="J215" s="167">
        <f t="shared" si="21"/>
        <v>-4</v>
      </c>
      <c r="K215" s="167">
        <f t="shared" si="19"/>
        <v>-40</v>
      </c>
      <c r="L215" s="167"/>
      <c r="M215" s="169">
        <f t="shared" si="20"/>
        <v>0</v>
      </c>
    </row>
    <row r="216" spans="1:13" x14ac:dyDescent="0.25">
      <c r="A216" s="184"/>
      <c r="G216" s="155"/>
      <c r="H216" s="167">
        <v>211</v>
      </c>
      <c r="I216" s="168" t="str">
        <f t="shared" si="18"/>
        <v/>
      </c>
      <c r="J216" s="167">
        <f t="shared" si="21"/>
        <v>-4</v>
      </c>
      <c r="K216" s="167">
        <f t="shared" si="19"/>
        <v>-40</v>
      </c>
      <c r="L216" s="167"/>
      <c r="M216" s="169">
        <f t="shared" si="20"/>
        <v>0</v>
      </c>
    </row>
    <row r="217" spans="1:13" x14ac:dyDescent="0.25">
      <c r="A217" s="184"/>
      <c r="G217" s="155"/>
      <c r="H217" s="170">
        <v>212</v>
      </c>
      <c r="I217" s="168" t="str">
        <f t="shared" si="18"/>
        <v/>
      </c>
      <c r="J217" s="167">
        <f t="shared" si="21"/>
        <v>-4</v>
      </c>
      <c r="K217" s="167">
        <f t="shared" si="19"/>
        <v>-40</v>
      </c>
      <c r="L217" s="167"/>
      <c r="M217" s="169">
        <f t="shared" si="20"/>
        <v>0</v>
      </c>
    </row>
    <row r="218" spans="1:13" x14ac:dyDescent="0.25">
      <c r="A218" s="184"/>
      <c r="G218" s="155"/>
      <c r="H218" s="167">
        <v>213</v>
      </c>
      <c r="I218" s="168" t="str">
        <f t="shared" si="18"/>
        <v/>
      </c>
      <c r="J218" s="167">
        <f t="shared" si="21"/>
        <v>-4</v>
      </c>
      <c r="K218" s="167">
        <f t="shared" si="19"/>
        <v>-40</v>
      </c>
      <c r="L218" s="167"/>
      <c r="M218" s="169">
        <f t="shared" si="20"/>
        <v>0</v>
      </c>
    </row>
    <row r="219" spans="1:13" x14ac:dyDescent="0.25">
      <c r="A219" s="184"/>
      <c r="G219" s="155"/>
      <c r="H219" s="170">
        <v>214</v>
      </c>
      <c r="I219" s="168" t="str">
        <f t="shared" si="18"/>
        <v/>
      </c>
      <c r="J219" s="167">
        <f t="shared" si="21"/>
        <v>-4</v>
      </c>
      <c r="K219" s="167">
        <f t="shared" si="19"/>
        <v>-40</v>
      </c>
      <c r="L219" s="167"/>
      <c r="M219" s="169">
        <f t="shared" si="20"/>
        <v>0</v>
      </c>
    </row>
    <row r="220" spans="1:13" x14ac:dyDescent="0.25">
      <c r="A220" s="184"/>
      <c r="G220" s="155"/>
      <c r="H220" s="167">
        <v>215</v>
      </c>
      <c r="I220" s="168" t="str">
        <f t="shared" si="18"/>
        <v/>
      </c>
      <c r="J220" s="167">
        <f t="shared" si="21"/>
        <v>-4</v>
      </c>
      <c r="K220" s="167">
        <f t="shared" si="19"/>
        <v>-40</v>
      </c>
      <c r="L220" s="167"/>
      <c r="M220" s="169">
        <f t="shared" si="20"/>
        <v>0</v>
      </c>
    </row>
    <row r="221" spans="1:13" x14ac:dyDescent="0.25">
      <c r="A221" s="184"/>
      <c r="G221" s="155"/>
      <c r="H221" s="170">
        <v>216</v>
      </c>
      <c r="I221" s="168" t="str">
        <f t="shared" si="18"/>
        <v/>
      </c>
      <c r="J221" s="167">
        <f t="shared" si="21"/>
        <v>-4</v>
      </c>
      <c r="K221" s="167">
        <f t="shared" si="19"/>
        <v>-40</v>
      </c>
      <c r="L221" s="167"/>
      <c r="M221" s="169">
        <f t="shared" si="20"/>
        <v>0</v>
      </c>
    </row>
    <row r="222" spans="1:13" x14ac:dyDescent="0.25">
      <c r="A222" s="184"/>
      <c r="G222" s="155"/>
      <c r="H222" s="167">
        <v>217</v>
      </c>
      <c r="I222" s="168" t="str">
        <f t="shared" si="18"/>
        <v/>
      </c>
      <c r="J222" s="167">
        <f t="shared" si="21"/>
        <v>-4</v>
      </c>
      <c r="K222" s="167">
        <f t="shared" si="19"/>
        <v>-40</v>
      </c>
      <c r="L222" s="167"/>
      <c r="M222" s="169">
        <f t="shared" si="20"/>
        <v>0</v>
      </c>
    </row>
    <row r="223" spans="1:13" x14ac:dyDescent="0.25">
      <c r="A223" s="184"/>
      <c r="G223" s="155"/>
      <c r="H223" s="170">
        <v>218</v>
      </c>
      <c r="I223" s="168" t="str">
        <f t="shared" si="18"/>
        <v/>
      </c>
      <c r="J223" s="167">
        <f t="shared" si="21"/>
        <v>-4</v>
      </c>
      <c r="K223" s="167">
        <f t="shared" si="19"/>
        <v>-40</v>
      </c>
      <c r="L223" s="167"/>
      <c r="M223" s="169">
        <f t="shared" si="20"/>
        <v>0</v>
      </c>
    </row>
    <row r="224" spans="1:13" x14ac:dyDescent="0.25">
      <c r="A224" s="184"/>
      <c r="G224" s="155"/>
      <c r="H224" s="167">
        <v>219</v>
      </c>
      <c r="I224" s="168" t="str">
        <f t="shared" si="18"/>
        <v/>
      </c>
      <c r="J224" s="167">
        <f t="shared" si="21"/>
        <v>-4</v>
      </c>
      <c r="K224" s="167">
        <f t="shared" si="19"/>
        <v>-40</v>
      </c>
      <c r="L224" s="167"/>
      <c r="M224" s="169">
        <f t="shared" si="20"/>
        <v>0</v>
      </c>
    </row>
    <row r="225" spans="1:13" x14ac:dyDescent="0.25">
      <c r="A225" s="184"/>
      <c r="G225" s="155"/>
      <c r="H225" s="170">
        <v>220</v>
      </c>
      <c r="I225" s="168" t="str">
        <f t="shared" si="18"/>
        <v/>
      </c>
      <c r="J225" s="167">
        <f t="shared" si="21"/>
        <v>-4</v>
      </c>
      <c r="K225" s="167">
        <f t="shared" si="19"/>
        <v>-40</v>
      </c>
      <c r="L225" s="167"/>
      <c r="M225" s="169">
        <f t="shared" si="20"/>
        <v>0</v>
      </c>
    </row>
    <row r="226" spans="1:13" x14ac:dyDescent="0.25">
      <c r="A226" s="184"/>
      <c r="G226" s="155"/>
      <c r="H226" s="167">
        <v>221</v>
      </c>
      <c r="I226" s="168" t="str">
        <f t="shared" si="18"/>
        <v/>
      </c>
      <c r="J226" s="167">
        <f t="shared" si="21"/>
        <v>-4</v>
      </c>
      <c r="K226" s="167">
        <f t="shared" si="19"/>
        <v>-40</v>
      </c>
      <c r="L226" s="167"/>
      <c r="M226" s="169">
        <f t="shared" si="20"/>
        <v>0</v>
      </c>
    </row>
    <row r="227" spans="1:13" x14ac:dyDescent="0.25">
      <c r="A227" s="184"/>
      <c r="G227" s="155"/>
      <c r="H227" s="170">
        <v>222</v>
      </c>
      <c r="I227" s="168" t="str">
        <f t="shared" si="18"/>
        <v/>
      </c>
      <c r="J227" s="167">
        <f t="shared" si="21"/>
        <v>-4</v>
      </c>
      <c r="K227" s="167">
        <f t="shared" si="19"/>
        <v>-40</v>
      </c>
      <c r="L227" s="167"/>
      <c r="M227" s="169">
        <f t="shared" si="20"/>
        <v>0</v>
      </c>
    </row>
    <row r="228" spans="1:13" x14ac:dyDescent="0.25">
      <c r="A228" s="184"/>
      <c r="G228" s="155"/>
      <c r="H228" s="167">
        <v>223</v>
      </c>
      <c r="I228" s="168" t="str">
        <f t="shared" si="18"/>
        <v/>
      </c>
      <c r="J228" s="167">
        <f t="shared" si="21"/>
        <v>-4</v>
      </c>
      <c r="K228" s="167">
        <f t="shared" si="19"/>
        <v>-40</v>
      </c>
      <c r="L228" s="167"/>
      <c r="M228" s="169">
        <f t="shared" si="20"/>
        <v>0</v>
      </c>
    </row>
    <row r="229" spans="1:13" x14ac:dyDescent="0.25">
      <c r="A229" s="184"/>
      <c r="G229" s="155"/>
      <c r="H229" s="170">
        <v>224</v>
      </c>
      <c r="I229" s="168" t="str">
        <f t="shared" si="18"/>
        <v/>
      </c>
      <c r="J229" s="167">
        <f t="shared" si="21"/>
        <v>-4</v>
      </c>
      <c r="K229" s="167">
        <f t="shared" si="19"/>
        <v>-40</v>
      </c>
      <c r="L229" s="167"/>
      <c r="M229" s="169">
        <f t="shared" si="20"/>
        <v>0</v>
      </c>
    </row>
    <row r="230" spans="1:13" x14ac:dyDescent="0.25">
      <c r="A230" s="184"/>
      <c r="G230" s="155"/>
      <c r="H230" s="167">
        <v>225</v>
      </c>
      <c r="I230" s="168" t="str">
        <f t="shared" si="18"/>
        <v/>
      </c>
      <c r="J230" s="167">
        <f t="shared" si="21"/>
        <v>-4</v>
      </c>
      <c r="K230" s="167">
        <f t="shared" si="19"/>
        <v>-40</v>
      </c>
      <c r="L230" s="167"/>
      <c r="M230" s="169">
        <f t="shared" si="20"/>
        <v>0</v>
      </c>
    </row>
    <row r="231" spans="1:13" x14ac:dyDescent="0.25">
      <c r="A231" s="184"/>
      <c r="G231" s="155"/>
      <c r="H231" s="170">
        <v>226</v>
      </c>
      <c r="I231" s="168" t="str">
        <f t="shared" si="18"/>
        <v/>
      </c>
      <c r="J231" s="167">
        <f t="shared" si="21"/>
        <v>-4</v>
      </c>
      <c r="K231" s="167">
        <f t="shared" si="19"/>
        <v>-40</v>
      </c>
      <c r="L231" s="167"/>
      <c r="M231" s="169">
        <f t="shared" si="20"/>
        <v>0</v>
      </c>
    </row>
    <row r="232" spans="1:13" x14ac:dyDescent="0.25">
      <c r="A232" s="184"/>
      <c r="G232" s="155"/>
      <c r="H232" s="167">
        <v>227</v>
      </c>
      <c r="I232" s="168" t="str">
        <f t="shared" si="18"/>
        <v/>
      </c>
      <c r="J232" s="167">
        <f t="shared" si="21"/>
        <v>-4</v>
      </c>
      <c r="K232" s="167">
        <f t="shared" si="19"/>
        <v>-40</v>
      </c>
      <c r="L232" s="167"/>
      <c r="M232" s="169">
        <f t="shared" si="20"/>
        <v>0</v>
      </c>
    </row>
    <row r="233" spans="1:13" x14ac:dyDescent="0.25">
      <c r="A233" s="184"/>
      <c r="G233" s="155"/>
      <c r="H233" s="170">
        <v>228</v>
      </c>
      <c r="I233" s="168" t="str">
        <f t="shared" si="18"/>
        <v/>
      </c>
      <c r="J233" s="167">
        <f t="shared" si="21"/>
        <v>-4</v>
      </c>
      <c r="K233" s="167">
        <f t="shared" si="19"/>
        <v>-40</v>
      </c>
      <c r="L233" s="167"/>
      <c r="M233" s="169">
        <f t="shared" si="20"/>
        <v>0</v>
      </c>
    </row>
    <row r="234" spans="1:13" x14ac:dyDescent="0.25">
      <c r="A234" s="184"/>
      <c r="G234" s="155"/>
      <c r="H234" s="167">
        <v>229</v>
      </c>
      <c r="I234" s="168" t="str">
        <f t="shared" si="18"/>
        <v/>
      </c>
      <c r="J234" s="167">
        <f t="shared" si="21"/>
        <v>-4</v>
      </c>
      <c r="K234" s="167">
        <f t="shared" si="19"/>
        <v>-40</v>
      </c>
      <c r="L234" s="167"/>
      <c r="M234" s="169">
        <f t="shared" si="20"/>
        <v>0</v>
      </c>
    </row>
    <row r="235" spans="1:13" x14ac:dyDescent="0.25">
      <c r="A235" s="184"/>
      <c r="G235" s="155"/>
      <c r="H235" s="170">
        <v>230</v>
      </c>
      <c r="I235" s="168" t="str">
        <f t="shared" si="18"/>
        <v/>
      </c>
      <c r="J235" s="167">
        <f t="shared" si="21"/>
        <v>-4</v>
      </c>
      <c r="K235" s="167">
        <f t="shared" si="19"/>
        <v>-40</v>
      </c>
      <c r="L235" s="167"/>
      <c r="M235" s="169">
        <f t="shared" si="20"/>
        <v>0</v>
      </c>
    </row>
    <row r="236" spans="1:13" x14ac:dyDescent="0.25">
      <c r="A236" s="184"/>
      <c r="G236" s="155"/>
      <c r="H236" s="167">
        <v>231</v>
      </c>
      <c r="I236" s="168" t="str">
        <f t="shared" si="18"/>
        <v/>
      </c>
      <c r="J236" s="167">
        <f t="shared" si="21"/>
        <v>-4</v>
      </c>
      <c r="K236" s="167">
        <f t="shared" si="19"/>
        <v>-40</v>
      </c>
      <c r="L236" s="167"/>
      <c r="M236" s="169">
        <f t="shared" si="20"/>
        <v>0</v>
      </c>
    </row>
    <row r="237" spans="1:13" x14ac:dyDescent="0.25">
      <c r="A237" s="184"/>
      <c r="G237" s="155"/>
      <c r="H237" s="170">
        <v>232</v>
      </c>
      <c r="I237" s="168" t="str">
        <f t="shared" si="18"/>
        <v/>
      </c>
      <c r="J237" s="167">
        <f t="shared" si="21"/>
        <v>-4</v>
      </c>
      <c r="K237" s="167">
        <f t="shared" si="19"/>
        <v>-40</v>
      </c>
      <c r="L237" s="167"/>
      <c r="M237" s="169">
        <f t="shared" si="20"/>
        <v>0</v>
      </c>
    </row>
    <row r="238" spans="1:13" x14ac:dyDescent="0.25">
      <c r="A238" s="184"/>
      <c r="G238" s="155"/>
      <c r="H238" s="167">
        <v>233</v>
      </c>
      <c r="I238" s="168" t="str">
        <f t="shared" si="18"/>
        <v/>
      </c>
      <c r="J238" s="167">
        <f t="shared" si="21"/>
        <v>-4</v>
      </c>
      <c r="K238" s="167">
        <f t="shared" si="19"/>
        <v>-40</v>
      </c>
      <c r="L238" s="167"/>
      <c r="M238" s="169">
        <f t="shared" si="20"/>
        <v>0</v>
      </c>
    </row>
    <row r="239" spans="1:13" x14ac:dyDescent="0.25">
      <c r="A239" s="184"/>
      <c r="G239" s="155"/>
      <c r="H239" s="170">
        <v>234</v>
      </c>
      <c r="I239" s="168" t="str">
        <f t="shared" si="18"/>
        <v/>
      </c>
      <c r="J239" s="167">
        <f t="shared" si="21"/>
        <v>-4</v>
      </c>
      <c r="K239" s="167">
        <f t="shared" si="19"/>
        <v>-40</v>
      </c>
      <c r="L239" s="167"/>
      <c r="M239" s="169">
        <f t="shared" si="20"/>
        <v>0</v>
      </c>
    </row>
    <row r="240" spans="1:13" x14ac:dyDescent="0.25">
      <c r="A240" s="184"/>
      <c r="G240" s="155"/>
      <c r="H240" s="167">
        <v>235</v>
      </c>
      <c r="I240" s="168" t="str">
        <f t="shared" si="18"/>
        <v/>
      </c>
      <c r="J240" s="167">
        <f t="shared" si="21"/>
        <v>-4</v>
      </c>
      <c r="K240" s="167">
        <f t="shared" si="19"/>
        <v>-40</v>
      </c>
      <c r="L240" s="167"/>
      <c r="M240" s="169">
        <f t="shared" si="20"/>
        <v>0</v>
      </c>
    </row>
    <row r="241" spans="1:13" x14ac:dyDescent="0.25">
      <c r="A241" s="184"/>
      <c r="G241" s="155"/>
      <c r="H241" s="170">
        <v>236</v>
      </c>
      <c r="I241" s="168" t="str">
        <f t="shared" si="18"/>
        <v/>
      </c>
      <c r="J241" s="167">
        <f t="shared" si="21"/>
        <v>-4</v>
      </c>
      <c r="K241" s="167">
        <f t="shared" si="19"/>
        <v>-40</v>
      </c>
      <c r="L241" s="167"/>
      <c r="M241" s="169">
        <f t="shared" si="20"/>
        <v>0</v>
      </c>
    </row>
    <row r="242" spans="1:13" x14ac:dyDescent="0.25">
      <c r="A242" s="184"/>
      <c r="G242" s="155"/>
      <c r="H242" s="167">
        <v>237</v>
      </c>
      <c r="I242" s="168" t="str">
        <f t="shared" si="18"/>
        <v/>
      </c>
      <c r="J242" s="167">
        <f t="shared" si="21"/>
        <v>-4</v>
      </c>
      <c r="K242" s="167">
        <f t="shared" si="19"/>
        <v>-40</v>
      </c>
      <c r="L242" s="167"/>
      <c r="M242" s="169">
        <f t="shared" si="20"/>
        <v>0</v>
      </c>
    </row>
    <row r="243" spans="1:13" x14ac:dyDescent="0.25">
      <c r="A243" s="184"/>
      <c r="G243" s="155"/>
      <c r="H243" s="170">
        <v>238</v>
      </c>
      <c r="I243" s="168" t="str">
        <f t="shared" si="18"/>
        <v/>
      </c>
      <c r="J243" s="167">
        <f t="shared" si="21"/>
        <v>-4</v>
      </c>
      <c r="K243" s="167">
        <f t="shared" si="19"/>
        <v>-40</v>
      </c>
      <c r="L243" s="167"/>
      <c r="M243" s="169">
        <f t="shared" si="20"/>
        <v>0</v>
      </c>
    </row>
    <row r="244" spans="1:13" x14ac:dyDescent="0.25">
      <c r="A244" s="184"/>
      <c r="G244" s="155"/>
      <c r="H244" s="167">
        <v>239</v>
      </c>
      <c r="I244" s="168" t="str">
        <f t="shared" si="18"/>
        <v/>
      </c>
      <c r="J244" s="167">
        <f t="shared" si="21"/>
        <v>-4</v>
      </c>
      <c r="K244" s="167">
        <f t="shared" si="19"/>
        <v>-40</v>
      </c>
      <c r="L244" s="167"/>
      <c r="M244" s="169">
        <f t="shared" si="20"/>
        <v>0</v>
      </c>
    </row>
    <row r="245" spans="1:13" x14ac:dyDescent="0.25">
      <c r="A245" s="184"/>
      <c r="G245" s="155"/>
      <c r="H245" s="170">
        <v>240</v>
      </c>
      <c r="I245" s="168" t="str">
        <f t="shared" si="18"/>
        <v/>
      </c>
      <c r="J245" s="167">
        <f t="shared" si="21"/>
        <v>-4</v>
      </c>
      <c r="K245" s="167">
        <f t="shared" si="19"/>
        <v>-40</v>
      </c>
      <c r="L245" s="167"/>
      <c r="M245" s="169">
        <f t="shared" si="20"/>
        <v>0</v>
      </c>
    </row>
    <row r="246" spans="1:13" x14ac:dyDescent="0.25">
      <c r="A246" s="184"/>
      <c r="G246" s="155"/>
      <c r="H246" s="167">
        <v>241</v>
      </c>
      <c r="I246" s="168" t="str">
        <f t="shared" si="18"/>
        <v/>
      </c>
      <c r="J246" s="167">
        <f t="shared" si="21"/>
        <v>-4</v>
      </c>
      <c r="K246" s="167">
        <f t="shared" si="19"/>
        <v>-40</v>
      </c>
      <c r="L246" s="167"/>
      <c r="M246" s="169">
        <f t="shared" si="20"/>
        <v>0</v>
      </c>
    </row>
    <row r="247" spans="1:13" x14ac:dyDescent="0.25">
      <c r="A247" s="184"/>
      <c r="G247" s="155"/>
      <c r="H247" s="170">
        <v>242</v>
      </c>
      <c r="I247" s="168" t="str">
        <f t="shared" si="18"/>
        <v/>
      </c>
      <c r="J247" s="167">
        <f t="shared" si="21"/>
        <v>-4</v>
      </c>
      <c r="K247" s="167">
        <f t="shared" si="19"/>
        <v>-40</v>
      </c>
      <c r="L247" s="167"/>
      <c r="M247" s="169">
        <f t="shared" si="20"/>
        <v>0</v>
      </c>
    </row>
    <row r="248" spans="1:13" x14ac:dyDescent="0.25">
      <c r="A248" s="184"/>
      <c r="G248" s="155"/>
      <c r="H248" s="167">
        <v>243</v>
      </c>
      <c r="I248" s="168" t="str">
        <f t="shared" si="18"/>
        <v/>
      </c>
      <c r="J248" s="167">
        <f t="shared" si="21"/>
        <v>-4</v>
      </c>
      <c r="K248" s="167">
        <f t="shared" si="19"/>
        <v>-40</v>
      </c>
      <c r="L248" s="167"/>
      <c r="M248" s="169">
        <f t="shared" si="20"/>
        <v>0</v>
      </c>
    </row>
    <row r="249" spans="1:13" x14ac:dyDescent="0.25">
      <c r="A249" s="184"/>
      <c r="G249" s="155"/>
      <c r="H249" s="170">
        <v>244</v>
      </c>
      <c r="I249" s="168" t="str">
        <f t="shared" si="18"/>
        <v/>
      </c>
      <c r="J249" s="167">
        <f t="shared" si="21"/>
        <v>-4</v>
      </c>
      <c r="K249" s="167">
        <f t="shared" si="19"/>
        <v>-40</v>
      </c>
      <c r="L249" s="167"/>
      <c r="M249" s="169">
        <f t="shared" si="20"/>
        <v>0</v>
      </c>
    </row>
    <row r="250" spans="1:13" x14ac:dyDescent="0.25">
      <c r="A250" s="184"/>
      <c r="G250" s="155"/>
      <c r="H250" s="167">
        <v>245</v>
      </c>
      <c r="I250" s="168" t="str">
        <f t="shared" si="18"/>
        <v/>
      </c>
      <c r="J250" s="167">
        <f t="shared" si="21"/>
        <v>-4</v>
      </c>
      <c r="K250" s="167">
        <f t="shared" si="19"/>
        <v>-40</v>
      </c>
      <c r="L250" s="167"/>
      <c r="M250" s="169">
        <f t="shared" si="20"/>
        <v>0</v>
      </c>
    </row>
    <row r="251" spans="1:13" x14ac:dyDescent="0.25">
      <c r="A251" s="184"/>
      <c r="G251" s="155"/>
      <c r="H251" s="170">
        <v>246</v>
      </c>
      <c r="I251" s="168" t="str">
        <f t="shared" si="18"/>
        <v/>
      </c>
      <c r="J251" s="167">
        <f t="shared" si="21"/>
        <v>-4</v>
      </c>
      <c r="K251" s="167">
        <f t="shared" si="19"/>
        <v>-40</v>
      </c>
      <c r="L251" s="167"/>
      <c r="M251" s="169">
        <f t="shared" si="20"/>
        <v>0</v>
      </c>
    </row>
    <row r="252" spans="1:13" x14ac:dyDescent="0.25">
      <c r="A252" s="184"/>
      <c r="G252" s="155"/>
      <c r="H252" s="167">
        <v>247</v>
      </c>
      <c r="I252" s="168" t="str">
        <f t="shared" si="18"/>
        <v/>
      </c>
      <c r="J252" s="167">
        <f t="shared" si="21"/>
        <v>-4</v>
      </c>
      <c r="K252" s="167">
        <f t="shared" si="19"/>
        <v>-40</v>
      </c>
      <c r="L252" s="167"/>
      <c r="M252" s="169">
        <f t="shared" si="20"/>
        <v>0</v>
      </c>
    </row>
    <row r="253" spans="1:13" x14ac:dyDescent="0.25">
      <c r="A253" s="184"/>
      <c r="G253" s="155"/>
      <c r="H253" s="170">
        <v>248</v>
      </c>
      <c r="I253" s="168" t="str">
        <f t="shared" si="18"/>
        <v/>
      </c>
      <c r="J253" s="167">
        <f t="shared" si="21"/>
        <v>-4</v>
      </c>
      <c r="K253" s="167">
        <f t="shared" si="19"/>
        <v>-40</v>
      </c>
      <c r="L253" s="167"/>
      <c r="M253" s="169">
        <f t="shared" si="20"/>
        <v>0</v>
      </c>
    </row>
    <row r="254" spans="1:13" x14ac:dyDescent="0.25">
      <c r="A254" s="184"/>
      <c r="G254" s="155"/>
      <c r="H254" s="167">
        <v>249</v>
      </c>
      <c r="I254" s="168" t="str">
        <f t="shared" si="18"/>
        <v/>
      </c>
      <c r="J254" s="167">
        <f t="shared" si="21"/>
        <v>-4</v>
      </c>
      <c r="K254" s="167">
        <f t="shared" si="19"/>
        <v>-40</v>
      </c>
      <c r="L254" s="167"/>
      <c r="M254" s="169">
        <f t="shared" si="20"/>
        <v>0</v>
      </c>
    </row>
    <row r="255" spans="1:13" x14ac:dyDescent="0.25">
      <c r="A255" s="184"/>
      <c r="G255" s="155"/>
      <c r="H255" s="170">
        <v>250</v>
      </c>
      <c r="I255" s="168" t="str">
        <f t="shared" si="18"/>
        <v/>
      </c>
      <c r="J255" s="167">
        <f t="shared" si="21"/>
        <v>-4</v>
      </c>
      <c r="K255" s="167">
        <f t="shared" si="19"/>
        <v>-40</v>
      </c>
      <c r="L255" s="167"/>
      <c r="M255" s="169">
        <f t="shared" si="20"/>
        <v>0</v>
      </c>
    </row>
    <row r="256" spans="1:13" x14ac:dyDescent="0.25">
      <c r="A256" s="184"/>
      <c r="G256" s="155"/>
      <c r="H256" s="167">
        <v>251</v>
      </c>
      <c r="I256" s="168" t="str">
        <f t="shared" si="18"/>
        <v/>
      </c>
      <c r="J256" s="167">
        <f t="shared" si="21"/>
        <v>-4</v>
      </c>
      <c r="K256" s="167">
        <f t="shared" si="19"/>
        <v>-40</v>
      </c>
      <c r="L256" s="167"/>
      <c r="M256" s="169">
        <f t="shared" si="20"/>
        <v>0</v>
      </c>
    </row>
    <row r="257" spans="1:13" x14ac:dyDescent="0.25">
      <c r="A257" s="184"/>
      <c r="G257" s="155"/>
      <c r="H257" s="170">
        <v>252</v>
      </c>
      <c r="I257" s="168" t="str">
        <f t="shared" si="18"/>
        <v/>
      </c>
      <c r="J257" s="167">
        <f t="shared" si="21"/>
        <v>-4</v>
      </c>
      <c r="K257" s="167">
        <f t="shared" si="19"/>
        <v>-40</v>
      </c>
      <c r="L257" s="167"/>
      <c r="M257" s="169">
        <f t="shared" si="20"/>
        <v>0</v>
      </c>
    </row>
    <row r="258" spans="1:13" x14ac:dyDescent="0.25">
      <c r="A258" s="184"/>
      <c r="G258" s="155"/>
      <c r="H258" s="167">
        <v>253</v>
      </c>
      <c r="I258" s="168" t="str">
        <f t="shared" si="18"/>
        <v/>
      </c>
      <c r="J258" s="167">
        <f t="shared" si="21"/>
        <v>-4</v>
      </c>
      <c r="K258" s="167">
        <f t="shared" si="19"/>
        <v>-40</v>
      </c>
      <c r="L258" s="167"/>
      <c r="M258" s="169">
        <f t="shared" si="20"/>
        <v>0</v>
      </c>
    </row>
    <row r="259" spans="1:13" x14ac:dyDescent="0.25">
      <c r="A259" s="184"/>
      <c r="G259" s="155"/>
      <c r="H259" s="170">
        <v>254</v>
      </c>
      <c r="I259" s="168" t="str">
        <f t="shared" si="18"/>
        <v/>
      </c>
      <c r="J259" s="167">
        <f t="shared" si="21"/>
        <v>-4</v>
      </c>
      <c r="K259" s="167">
        <f t="shared" si="19"/>
        <v>-40</v>
      </c>
      <c r="L259" s="167"/>
      <c r="M259" s="169">
        <f t="shared" si="20"/>
        <v>0</v>
      </c>
    </row>
    <row r="260" spans="1:13" x14ac:dyDescent="0.25">
      <c r="A260" s="184"/>
      <c r="G260" s="155"/>
      <c r="H260" s="167">
        <v>255</v>
      </c>
      <c r="I260" s="168" t="str">
        <f t="shared" si="18"/>
        <v/>
      </c>
      <c r="J260" s="167">
        <f t="shared" si="21"/>
        <v>-4</v>
      </c>
      <c r="K260" s="167">
        <f t="shared" si="19"/>
        <v>-40</v>
      </c>
      <c r="L260" s="167"/>
      <c r="M260" s="169">
        <f t="shared" si="20"/>
        <v>0</v>
      </c>
    </row>
    <row r="261" spans="1:13" x14ac:dyDescent="0.25">
      <c r="A261" s="184"/>
      <c r="G261" s="155"/>
      <c r="H261" s="170">
        <v>256</v>
      </c>
      <c r="I261" s="168" t="str">
        <f t="shared" si="18"/>
        <v/>
      </c>
      <c r="J261" s="167">
        <f t="shared" si="21"/>
        <v>-4</v>
      </c>
      <c r="K261" s="167">
        <f t="shared" si="19"/>
        <v>-40</v>
      </c>
      <c r="L261" s="167"/>
      <c r="M261" s="169">
        <f t="shared" si="20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22">IF(H262&lt;$H$2+1,($I$2-($I$2-1)*(LOG(H262)/LOG($H$2))),"")</f>
        <v/>
      </c>
      <c r="J262" s="167">
        <f t="shared" si="21"/>
        <v>-5</v>
      </c>
      <c r="K262" s="167">
        <f t="shared" ref="K262:K305" si="23">J262*$J$2</f>
        <v>-50</v>
      </c>
      <c r="L262" s="167"/>
      <c r="M262" s="169">
        <f t="shared" ref="M262:M305" si="24">IF(I262&lt;&gt;"",K262+I262+L262,0)</f>
        <v>0</v>
      </c>
    </row>
    <row r="263" spans="1:13" x14ac:dyDescent="0.25">
      <c r="A263" s="184"/>
      <c r="G263" s="155"/>
      <c r="H263" s="170">
        <v>258</v>
      </c>
      <c r="I263" s="168" t="str">
        <f t="shared" si="22"/>
        <v/>
      </c>
      <c r="J263" s="167">
        <f t="shared" ref="J263:J305" si="25">INT(LOG($H$2,2))-ROUNDUP(LOG(H263,2),0)+IF(OR($H$2=1,$H$2=2,$H$2=4,$H$2=8,$H$2=16,$H$2=32,$H$2=64,$H$2=128,$H$2=256),0,1)</f>
        <v>-5</v>
      </c>
      <c r="K263" s="167">
        <f t="shared" si="23"/>
        <v>-50</v>
      </c>
      <c r="L263" s="167"/>
      <c r="M263" s="169">
        <f t="shared" si="24"/>
        <v>0</v>
      </c>
    </row>
    <row r="264" spans="1:13" x14ac:dyDescent="0.25">
      <c r="A264" s="184"/>
      <c r="G264" s="155"/>
      <c r="H264" s="167">
        <v>259</v>
      </c>
      <c r="I264" s="168" t="str">
        <f t="shared" si="22"/>
        <v/>
      </c>
      <c r="J264" s="167">
        <f t="shared" si="25"/>
        <v>-5</v>
      </c>
      <c r="K264" s="167">
        <f t="shared" si="23"/>
        <v>-50</v>
      </c>
      <c r="L264" s="167"/>
      <c r="M264" s="169">
        <f t="shared" si="24"/>
        <v>0</v>
      </c>
    </row>
    <row r="265" spans="1:13" x14ac:dyDescent="0.25">
      <c r="A265" s="184"/>
      <c r="G265" s="155"/>
      <c r="H265" s="170">
        <v>260</v>
      </c>
      <c r="I265" s="168" t="str">
        <f t="shared" si="22"/>
        <v/>
      </c>
      <c r="J265" s="167">
        <f t="shared" si="25"/>
        <v>-5</v>
      </c>
      <c r="K265" s="167">
        <f t="shared" si="23"/>
        <v>-50</v>
      </c>
      <c r="L265" s="167"/>
      <c r="M265" s="169">
        <f t="shared" si="24"/>
        <v>0</v>
      </c>
    </row>
    <row r="266" spans="1:13" x14ac:dyDescent="0.25">
      <c r="A266" s="184"/>
      <c r="G266" s="155"/>
      <c r="H266" s="167">
        <v>261</v>
      </c>
      <c r="I266" s="168" t="str">
        <f t="shared" si="22"/>
        <v/>
      </c>
      <c r="J266" s="167">
        <f t="shared" si="25"/>
        <v>-5</v>
      </c>
      <c r="K266" s="167">
        <f t="shared" si="23"/>
        <v>-50</v>
      </c>
      <c r="L266" s="167"/>
      <c r="M266" s="169">
        <f t="shared" si="24"/>
        <v>0</v>
      </c>
    </row>
    <row r="267" spans="1:13" x14ac:dyDescent="0.25">
      <c r="A267" s="184"/>
      <c r="G267" s="155"/>
      <c r="H267" s="170">
        <v>262</v>
      </c>
      <c r="I267" s="168" t="str">
        <f t="shared" si="22"/>
        <v/>
      </c>
      <c r="J267" s="167">
        <f t="shared" si="25"/>
        <v>-5</v>
      </c>
      <c r="K267" s="167">
        <f t="shared" si="23"/>
        <v>-50</v>
      </c>
      <c r="L267" s="167"/>
      <c r="M267" s="169">
        <f t="shared" si="24"/>
        <v>0</v>
      </c>
    </row>
    <row r="268" spans="1:13" x14ac:dyDescent="0.25">
      <c r="A268" s="184"/>
      <c r="G268" s="155"/>
      <c r="H268" s="167">
        <v>263</v>
      </c>
      <c r="I268" s="168" t="str">
        <f t="shared" si="22"/>
        <v/>
      </c>
      <c r="J268" s="167">
        <f t="shared" si="25"/>
        <v>-5</v>
      </c>
      <c r="K268" s="167">
        <f t="shared" si="23"/>
        <v>-50</v>
      </c>
      <c r="L268" s="167"/>
      <c r="M268" s="169">
        <f t="shared" si="24"/>
        <v>0</v>
      </c>
    </row>
    <row r="269" spans="1:13" x14ac:dyDescent="0.25">
      <c r="A269" s="184"/>
      <c r="G269" s="155"/>
      <c r="H269" s="170">
        <v>264</v>
      </c>
      <c r="I269" s="168" t="str">
        <f t="shared" si="22"/>
        <v/>
      </c>
      <c r="J269" s="167">
        <f t="shared" si="25"/>
        <v>-5</v>
      </c>
      <c r="K269" s="167">
        <f t="shared" si="23"/>
        <v>-50</v>
      </c>
      <c r="L269" s="167"/>
      <c r="M269" s="169">
        <f t="shared" si="24"/>
        <v>0</v>
      </c>
    </row>
    <row r="270" spans="1:13" x14ac:dyDescent="0.25">
      <c r="A270" s="184"/>
      <c r="G270" s="155"/>
      <c r="H270" s="167">
        <v>265</v>
      </c>
      <c r="I270" s="168" t="str">
        <f t="shared" si="22"/>
        <v/>
      </c>
      <c r="J270" s="167">
        <f t="shared" si="25"/>
        <v>-5</v>
      </c>
      <c r="K270" s="167">
        <f t="shared" si="23"/>
        <v>-50</v>
      </c>
      <c r="L270" s="167"/>
      <c r="M270" s="169">
        <f t="shared" si="24"/>
        <v>0</v>
      </c>
    </row>
    <row r="271" spans="1:13" x14ac:dyDescent="0.25">
      <c r="A271" s="184"/>
      <c r="G271" s="155"/>
      <c r="H271" s="170">
        <v>266</v>
      </c>
      <c r="I271" s="168" t="str">
        <f t="shared" si="22"/>
        <v/>
      </c>
      <c r="J271" s="167">
        <f t="shared" si="25"/>
        <v>-5</v>
      </c>
      <c r="K271" s="167">
        <f t="shared" si="23"/>
        <v>-50</v>
      </c>
      <c r="L271" s="167"/>
      <c r="M271" s="169">
        <f t="shared" si="24"/>
        <v>0</v>
      </c>
    </row>
    <row r="272" spans="1:13" x14ac:dyDescent="0.25">
      <c r="A272" s="184"/>
      <c r="G272" s="155"/>
      <c r="H272" s="167">
        <v>267</v>
      </c>
      <c r="I272" s="168" t="str">
        <f t="shared" si="22"/>
        <v/>
      </c>
      <c r="J272" s="167">
        <f t="shared" si="25"/>
        <v>-5</v>
      </c>
      <c r="K272" s="167">
        <f t="shared" si="23"/>
        <v>-50</v>
      </c>
      <c r="L272" s="167"/>
      <c r="M272" s="169">
        <f t="shared" si="24"/>
        <v>0</v>
      </c>
    </row>
    <row r="273" spans="1:13" x14ac:dyDescent="0.25">
      <c r="A273" s="184"/>
      <c r="G273" s="155"/>
      <c r="H273" s="170">
        <v>268</v>
      </c>
      <c r="I273" s="168" t="str">
        <f t="shared" si="22"/>
        <v/>
      </c>
      <c r="J273" s="167">
        <f t="shared" si="25"/>
        <v>-5</v>
      </c>
      <c r="K273" s="167">
        <f t="shared" si="23"/>
        <v>-50</v>
      </c>
      <c r="L273" s="167"/>
      <c r="M273" s="169">
        <f t="shared" si="24"/>
        <v>0</v>
      </c>
    </row>
    <row r="274" spans="1:13" x14ac:dyDescent="0.25">
      <c r="A274" s="184"/>
      <c r="G274" s="155"/>
      <c r="H274" s="167">
        <v>269</v>
      </c>
      <c r="I274" s="168" t="str">
        <f t="shared" si="22"/>
        <v/>
      </c>
      <c r="J274" s="167">
        <f t="shared" si="25"/>
        <v>-5</v>
      </c>
      <c r="K274" s="167">
        <f t="shared" si="23"/>
        <v>-50</v>
      </c>
      <c r="L274" s="167"/>
      <c r="M274" s="169">
        <f t="shared" si="24"/>
        <v>0</v>
      </c>
    </row>
    <row r="275" spans="1:13" x14ac:dyDescent="0.25">
      <c r="A275" s="184"/>
      <c r="G275" s="155"/>
      <c r="H275" s="170">
        <v>270</v>
      </c>
      <c r="I275" s="168" t="str">
        <f t="shared" si="22"/>
        <v/>
      </c>
      <c r="J275" s="167">
        <f t="shared" si="25"/>
        <v>-5</v>
      </c>
      <c r="K275" s="167">
        <f t="shared" si="23"/>
        <v>-50</v>
      </c>
      <c r="L275" s="167"/>
      <c r="M275" s="169">
        <f t="shared" si="24"/>
        <v>0</v>
      </c>
    </row>
    <row r="276" spans="1:13" x14ac:dyDescent="0.25">
      <c r="A276" s="184"/>
      <c r="G276" s="155"/>
      <c r="H276" s="167">
        <v>271</v>
      </c>
      <c r="I276" s="168" t="str">
        <f t="shared" si="22"/>
        <v/>
      </c>
      <c r="J276" s="167">
        <f t="shared" si="25"/>
        <v>-5</v>
      </c>
      <c r="K276" s="167">
        <f t="shared" si="23"/>
        <v>-50</v>
      </c>
      <c r="L276" s="167"/>
      <c r="M276" s="169">
        <f t="shared" si="24"/>
        <v>0</v>
      </c>
    </row>
    <row r="277" spans="1:13" x14ac:dyDescent="0.25">
      <c r="A277" s="184"/>
      <c r="G277" s="155"/>
      <c r="H277" s="170">
        <v>272</v>
      </c>
      <c r="I277" s="168" t="str">
        <f t="shared" si="22"/>
        <v/>
      </c>
      <c r="J277" s="167">
        <f t="shared" si="25"/>
        <v>-5</v>
      </c>
      <c r="K277" s="167">
        <f t="shared" si="23"/>
        <v>-50</v>
      </c>
      <c r="L277" s="167"/>
      <c r="M277" s="169">
        <f t="shared" si="24"/>
        <v>0</v>
      </c>
    </row>
    <row r="278" spans="1:13" x14ac:dyDescent="0.25">
      <c r="A278" s="184"/>
      <c r="G278" s="155"/>
      <c r="H278" s="167">
        <v>273</v>
      </c>
      <c r="I278" s="168" t="str">
        <f t="shared" si="22"/>
        <v/>
      </c>
      <c r="J278" s="167">
        <f t="shared" si="25"/>
        <v>-5</v>
      </c>
      <c r="K278" s="167">
        <f t="shared" si="23"/>
        <v>-50</v>
      </c>
      <c r="L278" s="167"/>
      <c r="M278" s="169">
        <f t="shared" si="24"/>
        <v>0</v>
      </c>
    </row>
    <row r="279" spans="1:13" x14ac:dyDescent="0.25">
      <c r="A279" s="184"/>
      <c r="G279" s="155"/>
      <c r="H279" s="170">
        <v>274</v>
      </c>
      <c r="I279" s="168" t="str">
        <f t="shared" si="22"/>
        <v/>
      </c>
      <c r="J279" s="167">
        <f t="shared" si="25"/>
        <v>-5</v>
      </c>
      <c r="K279" s="167">
        <f t="shared" si="23"/>
        <v>-50</v>
      </c>
      <c r="L279" s="167"/>
      <c r="M279" s="169">
        <f t="shared" si="24"/>
        <v>0</v>
      </c>
    </row>
    <row r="280" spans="1:13" x14ac:dyDescent="0.25">
      <c r="A280" s="184"/>
      <c r="G280" s="155"/>
      <c r="H280" s="167">
        <v>275</v>
      </c>
      <c r="I280" s="168" t="str">
        <f t="shared" si="22"/>
        <v/>
      </c>
      <c r="J280" s="167">
        <f t="shared" si="25"/>
        <v>-5</v>
      </c>
      <c r="K280" s="167">
        <f t="shared" si="23"/>
        <v>-50</v>
      </c>
      <c r="L280" s="167"/>
      <c r="M280" s="169">
        <f t="shared" si="24"/>
        <v>0</v>
      </c>
    </row>
    <row r="281" spans="1:13" x14ac:dyDescent="0.25">
      <c r="A281" s="184"/>
      <c r="G281" s="155"/>
      <c r="H281" s="170">
        <v>276</v>
      </c>
      <c r="I281" s="168" t="str">
        <f t="shared" si="22"/>
        <v/>
      </c>
      <c r="J281" s="167">
        <f t="shared" si="25"/>
        <v>-5</v>
      </c>
      <c r="K281" s="167">
        <f t="shared" si="23"/>
        <v>-50</v>
      </c>
      <c r="L281" s="167"/>
      <c r="M281" s="169">
        <f t="shared" si="24"/>
        <v>0</v>
      </c>
    </row>
    <row r="282" spans="1:13" x14ac:dyDescent="0.25">
      <c r="A282" s="184"/>
      <c r="G282" s="155"/>
      <c r="H282" s="167">
        <v>277</v>
      </c>
      <c r="I282" s="168" t="str">
        <f t="shared" si="22"/>
        <v/>
      </c>
      <c r="J282" s="167">
        <f t="shared" si="25"/>
        <v>-5</v>
      </c>
      <c r="K282" s="167">
        <f t="shared" si="23"/>
        <v>-50</v>
      </c>
      <c r="L282" s="167"/>
      <c r="M282" s="169">
        <f t="shared" si="24"/>
        <v>0</v>
      </c>
    </row>
    <row r="283" spans="1:13" x14ac:dyDescent="0.25">
      <c r="A283" s="184"/>
      <c r="G283" s="155"/>
      <c r="H283" s="170">
        <v>278</v>
      </c>
      <c r="I283" s="168" t="str">
        <f t="shared" si="22"/>
        <v/>
      </c>
      <c r="J283" s="167">
        <f t="shared" si="25"/>
        <v>-5</v>
      </c>
      <c r="K283" s="167">
        <f t="shared" si="23"/>
        <v>-50</v>
      </c>
      <c r="L283" s="167"/>
      <c r="M283" s="169">
        <f t="shared" si="24"/>
        <v>0</v>
      </c>
    </row>
    <row r="284" spans="1:13" x14ac:dyDescent="0.25">
      <c r="A284" s="184"/>
      <c r="G284" s="155"/>
      <c r="H284" s="167">
        <v>279</v>
      </c>
      <c r="I284" s="168" t="str">
        <f t="shared" si="22"/>
        <v/>
      </c>
      <c r="J284" s="167">
        <f t="shared" si="25"/>
        <v>-5</v>
      </c>
      <c r="K284" s="167">
        <f t="shared" si="23"/>
        <v>-50</v>
      </c>
      <c r="L284" s="167"/>
      <c r="M284" s="169">
        <f t="shared" si="24"/>
        <v>0</v>
      </c>
    </row>
    <row r="285" spans="1:13" x14ac:dyDescent="0.25">
      <c r="A285" s="184"/>
      <c r="G285" s="155"/>
      <c r="H285" s="170">
        <v>280</v>
      </c>
      <c r="I285" s="168" t="str">
        <f t="shared" si="22"/>
        <v/>
      </c>
      <c r="J285" s="167">
        <f t="shared" si="25"/>
        <v>-5</v>
      </c>
      <c r="K285" s="167">
        <f t="shared" si="23"/>
        <v>-50</v>
      </c>
      <c r="L285" s="167"/>
      <c r="M285" s="169">
        <f t="shared" si="24"/>
        <v>0</v>
      </c>
    </row>
    <row r="286" spans="1:13" x14ac:dyDescent="0.25">
      <c r="A286" s="184"/>
      <c r="G286" s="155"/>
      <c r="H286" s="167">
        <v>281</v>
      </c>
      <c r="I286" s="168" t="str">
        <f t="shared" si="22"/>
        <v/>
      </c>
      <c r="J286" s="167">
        <f t="shared" si="25"/>
        <v>-5</v>
      </c>
      <c r="K286" s="167">
        <f t="shared" si="23"/>
        <v>-50</v>
      </c>
      <c r="L286" s="167"/>
      <c r="M286" s="169">
        <f t="shared" si="24"/>
        <v>0</v>
      </c>
    </row>
    <row r="287" spans="1:13" x14ac:dyDescent="0.25">
      <c r="A287" s="184"/>
      <c r="G287" s="155"/>
      <c r="H287" s="170">
        <v>282</v>
      </c>
      <c r="I287" s="168" t="str">
        <f t="shared" si="22"/>
        <v/>
      </c>
      <c r="J287" s="167">
        <f t="shared" si="25"/>
        <v>-5</v>
      </c>
      <c r="K287" s="167">
        <f t="shared" si="23"/>
        <v>-50</v>
      </c>
      <c r="L287" s="167"/>
      <c r="M287" s="169">
        <f t="shared" si="24"/>
        <v>0</v>
      </c>
    </row>
    <row r="288" spans="1:13" x14ac:dyDescent="0.25">
      <c r="A288" s="184"/>
      <c r="G288" s="155"/>
      <c r="H288" s="167">
        <v>283</v>
      </c>
      <c r="I288" s="168" t="str">
        <f t="shared" si="22"/>
        <v/>
      </c>
      <c r="J288" s="167">
        <f t="shared" si="25"/>
        <v>-5</v>
      </c>
      <c r="K288" s="167">
        <f t="shared" si="23"/>
        <v>-50</v>
      </c>
      <c r="L288" s="167"/>
      <c r="M288" s="169">
        <f t="shared" si="24"/>
        <v>0</v>
      </c>
    </row>
    <row r="289" spans="1:13" x14ac:dyDescent="0.25">
      <c r="A289" s="184"/>
      <c r="G289" s="155"/>
      <c r="H289" s="170">
        <v>284</v>
      </c>
      <c r="I289" s="168" t="str">
        <f t="shared" si="22"/>
        <v/>
      </c>
      <c r="J289" s="167">
        <f t="shared" si="25"/>
        <v>-5</v>
      </c>
      <c r="K289" s="167">
        <f t="shared" si="23"/>
        <v>-50</v>
      </c>
      <c r="L289" s="167"/>
      <c r="M289" s="169">
        <f t="shared" si="24"/>
        <v>0</v>
      </c>
    </row>
    <row r="290" spans="1:13" x14ac:dyDescent="0.25">
      <c r="A290" s="184"/>
      <c r="G290" s="155"/>
      <c r="H290" s="167">
        <v>285</v>
      </c>
      <c r="I290" s="168" t="str">
        <f t="shared" si="22"/>
        <v/>
      </c>
      <c r="J290" s="167">
        <f t="shared" si="25"/>
        <v>-5</v>
      </c>
      <c r="K290" s="167">
        <f t="shared" si="23"/>
        <v>-50</v>
      </c>
      <c r="L290" s="167"/>
      <c r="M290" s="169">
        <f t="shared" si="24"/>
        <v>0</v>
      </c>
    </row>
    <row r="291" spans="1:13" x14ac:dyDescent="0.25">
      <c r="A291" s="184"/>
      <c r="G291" s="155"/>
      <c r="H291" s="170">
        <v>286</v>
      </c>
      <c r="I291" s="168" t="str">
        <f t="shared" si="22"/>
        <v/>
      </c>
      <c r="J291" s="167">
        <f t="shared" si="25"/>
        <v>-5</v>
      </c>
      <c r="K291" s="167">
        <f t="shared" si="23"/>
        <v>-50</v>
      </c>
      <c r="L291" s="167"/>
      <c r="M291" s="169">
        <f t="shared" si="24"/>
        <v>0</v>
      </c>
    </row>
    <row r="292" spans="1:13" x14ac:dyDescent="0.25">
      <c r="A292" s="184"/>
      <c r="G292" s="155"/>
      <c r="H292" s="167">
        <v>287</v>
      </c>
      <c r="I292" s="168" t="str">
        <f t="shared" si="22"/>
        <v/>
      </c>
      <c r="J292" s="167">
        <f t="shared" si="25"/>
        <v>-5</v>
      </c>
      <c r="K292" s="167">
        <f t="shared" si="23"/>
        <v>-50</v>
      </c>
      <c r="L292" s="167"/>
      <c r="M292" s="169">
        <f t="shared" si="24"/>
        <v>0</v>
      </c>
    </row>
    <row r="293" spans="1:13" x14ac:dyDescent="0.25">
      <c r="A293" s="184"/>
      <c r="G293" s="155"/>
      <c r="H293" s="167">
        <v>288</v>
      </c>
      <c r="I293" s="168" t="str">
        <f t="shared" si="22"/>
        <v/>
      </c>
      <c r="J293" s="167">
        <f t="shared" si="25"/>
        <v>-5</v>
      </c>
      <c r="K293" s="167">
        <f t="shared" si="23"/>
        <v>-50</v>
      </c>
      <c r="L293" s="167"/>
      <c r="M293" s="169">
        <f t="shared" si="24"/>
        <v>0</v>
      </c>
    </row>
    <row r="294" spans="1:13" x14ac:dyDescent="0.25">
      <c r="A294" s="184"/>
      <c r="G294" s="155"/>
      <c r="H294" s="167">
        <v>289</v>
      </c>
      <c r="I294" s="168" t="str">
        <f t="shared" si="22"/>
        <v/>
      </c>
      <c r="J294" s="167">
        <f t="shared" si="25"/>
        <v>-5</v>
      </c>
      <c r="K294" s="167">
        <f t="shared" si="23"/>
        <v>-50</v>
      </c>
      <c r="L294" s="167"/>
      <c r="M294" s="169">
        <f t="shared" si="24"/>
        <v>0</v>
      </c>
    </row>
    <row r="295" spans="1:13" x14ac:dyDescent="0.25">
      <c r="A295" s="184"/>
      <c r="G295" s="155"/>
      <c r="H295" s="167">
        <v>290</v>
      </c>
      <c r="I295" s="168" t="str">
        <f t="shared" si="22"/>
        <v/>
      </c>
      <c r="J295" s="167">
        <f t="shared" si="25"/>
        <v>-5</v>
      </c>
      <c r="K295" s="167">
        <f t="shared" si="23"/>
        <v>-50</v>
      </c>
      <c r="L295" s="167"/>
      <c r="M295" s="169">
        <f t="shared" si="24"/>
        <v>0</v>
      </c>
    </row>
    <row r="296" spans="1:13" x14ac:dyDescent="0.25">
      <c r="A296" s="184"/>
      <c r="G296" s="155"/>
      <c r="H296" s="167">
        <v>291</v>
      </c>
      <c r="I296" s="168" t="str">
        <f t="shared" si="22"/>
        <v/>
      </c>
      <c r="J296" s="167">
        <f t="shared" si="25"/>
        <v>-5</v>
      </c>
      <c r="K296" s="167">
        <f t="shared" si="23"/>
        <v>-50</v>
      </c>
      <c r="L296" s="167"/>
      <c r="M296" s="169">
        <f t="shared" si="24"/>
        <v>0</v>
      </c>
    </row>
    <row r="297" spans="1:13" x14ac:dyDescent="0.25">
      <c r="A297" s="184"/>
      <c r="G297" s="155"/>
      <c r="H297" s="167">
        <v>292</v>
      </c>
      <c r="I297" s="168" t="str">
        <f t="shared" si="22"/>
        <v/>
      </c>
      <c r="J297" s="167">
        <f t="shared" si="25"/>
        <v>-5</v>
      </c>
      <c r="K297" s="167">
        <f t="shared" si="23"/>
        <v>-50</v>
      </c>
      <c r="L297" s="167"/>
      <c r="M297" s="169">
        <f t="shared" si="24"/>
        <v>0</v>
      </c>
    </row>
    <row r="298" spans="1:13" x14ac:dyDescent="0.25">
      <c r="A298" s="184"/>
      <c r="G298" s="155"/>
      <c r="H298" s="167">
        <v>293</v>
      </c>
      <c r="I298" s="168" t="str">
        <f t="shared" si="22"/>
        <v/>
      </c>
      <c r="J298" s="167">
        <f t="shared" si="25"/>
        <v>-5</v>
      </c>
      <c r="K298" s="167">
        <f t="shared" si="23"/>
        <v>-50</v>
      </c>
      <c r="L298" s="167"/>
      <c r="M298" s="169">
        <f t="shared" si="24"/>
        <v>0</v>
      </c>
    </row>
    <row r="299" spans="1:13" x14ac:dyDescent="0.25">
      <c r="A299" s="184"/>
      <c r="G299" s="155"/>
      <c r="H299" s="167">
        <v>294</v>
      </c>
      <c r="I299" s="168" t="str">
        <f t="shared" si="22"/>
        <v/>
      </c>
      <c r="J299" s="167">
        <f t="shared" si="25"/>
        <v>-5</v>
      </c>
      <c r="K299" s="167">
        <f t="shared" si="23"/>
        <v>-50</v>
      </c>
      <c r="L299" s="167"/>
      <c r="M299" s="169">
        <f t="shared" si="24"/>
        <v>0</v>
      </c>
    </row>
    <row r="300" spans="1:13" x14ac:dyDescent="0.25">
      <c r="A300" s="184"/>
      <c r="G300" s="155"/>
      <c r="H300" s="167">
        <v>295</v>
      </c>
      <c r="I300" s="168" t="str">
        <f t="shared" si="22"/>
        <v/>
      </c>
      <c r="J300" s="167">
        <f t="shared" si="25"/>
        <v>-5</v>
      </c>
      <c r="K300" s="167">
        <f t="shared" si="23"/>
        <v>-50</v>
      </c>
      <c r="L300" s="167"/>
      <c r="M300" s="169">
        <f t="shared" si="24"/>
        <v>0</v>
      </c>
    </row>
    <row r="301" spans="1:13" x14ac:dyDescent="0.25">
      <c r="A301" s="184"/>
      <c r="G301" s="155"/>
      <c r="H301" s="167">
        <v>296</v>
      </c>
      <c r="I301" s="168" t="str">
        <f t="shared" si="22"/>
        <v/>
      </c>
      <c r="J301" s="167">
        <f t="shared" si="25"/>
        <v>-5</v>
      </c>
      <c r="K301" s="167">
        <f t="shared" si="23"/>
        <v>-50</v>
      </c>
      <c r="L301" s="167"/>
      <c r="M301" s="169">
        <f t="shared" si="24"/>
        <v>0</v>
      </c>
    </row>
    <row r="302" spans="1:13" x14ac:dyDescent="0.25">
      <c r="A302" s="184"/>
      <c r="G302" s="155"/>
      <c r="H302" s="167">
        <v>297</v>
      </c>
      <c r="I302" s="168" t="str">
        <f t="shared" si="22"/>
        <v/>
      </c>
      <c r="J302" s="167">
        <f t="shared" si="25"/>
        <v>-5</v>
      </c>
      <c r="K302" s="167">
        <f t="shared" si="23"/>
        <v>-50</v>
      </c>
      <c r="L302" s="167"/>
      <c r="M302" s="169">
        <f t="shared" si="24"/>
        <v>0</v>
      </c>
    </row>
    <row r="303" spans="1:13" x14ac:dyDescent="0.25">
      <c r="A303" s="184"/>
      <c r="G303" s="155"/>
      <c r="H303" s="167">
        <v>298</v>
      </c>
      <c r="I303" s="168" t="str">
        <f t="shared" si="22"/>
        <v/>
      </c>
      <c r="J303" s="167">
        <f t="shared" si="25"/>
        <v>-5</v>
      </c>
      <c r="K303" s="167">
        <f t="shared" si="23"/>
        <v>-50</v>
      </c>
      <c r="L303" s="167"/>
      <c r="M303" s="169">
        <f t="shared" si="24"/>
        <v>0</v>
      </c>
    </row>
    <row r="304" spans="1:13" x14ac:dyDescent="0.25">
      <c r="A304" s="184"/>
      <c r="G304" s="155"/>
      <c r="H304" s="167">
        <v>299</v>
      </c>
      <c r="I304" s="168" t="str">
        <f t="shared" si="22"/>
        <v/>
      </c>
      <c r="J304" s="167">
        <f t="shared" si="25"/>
        <v>-5</v>
      </c>
      <c r="K304" s="167">
        <f t="shared" si="23"/>
        <v>-50</v>
      </c>
      <c r="L304" s="167"/>
      <c r="M304" s="169">
        <f t="shared" si="24"/>
        <v>0</v>
      </c>
    </row>
    <row r="305" spans="1:16" x14ac:dyDescent="0.25">
      <c r="A305" s="184"/>
      <c r="G305" s="155"/>
      <c r="H305" s="167">
        <v>300</v>
      </c>
      <c r="I305" s="168" t="str">
        <f t="shared" si="22"/>
        <v/>
      </c>
      <c r="J305" s="167">
        <f t="shared" si="25"/>
        <v>-5</v>
      </c>
      <c r="K305" s="167">
        <f t="shared" si="23"/>
        <v>-50</v>
      </c>
      <c r="L305" s="167"/>
      <c r="M305" s="169">
        <f t="shared" si="24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6:K305">
    <cfRule type="cellIs" dxfId="4" priority="1" operator="lessThanOrEqual">
      <formula>0</formula>
    </cfRule>
  </conditionalFormatting>
  <hyperlinks>
    <hyperlink ref="C2" r:id="rId1" xr:uid="{52C1DB17-09B3-4557-B414-BF3CF79DC703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5C09-34D9-43A5-9329-6F12C240219C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292" customWidth="1"/>
    <col min="2" max="2" width="8.25" style="292" customWidth="1"/>
    <col min="3" max="3" width="34.75" style="292" customWidth="1"/>
    <col min="4" max="4" width="11.25" style="292" customWidth="1"/>
    <col min="5" max="6" width="8.875" style="292"/>
    <col min="7" max="7" width="0.875" style="292" customWidth="1"/>
    <col min="8" max="8" width="8.875" style="295"/>
    <col min="9" max="9" width="11" style="295" customWidth="1"/>
    <col min="10" max="10" width="15.25" style="295" customWidth="1"/>
    <col min="11" max="11" width="8.75" style="295" customWidth="1"/>
    <col min="12" max="12" width="11" style="295" customWidth="1"/>
    <col min="13" max="13" width="12.25" style="296" customWidth="1"/>
    <col min="14" max="15" width="13.875" style="262" customWidth="1"/>
    <col min="16" max="18" width="8.875" style="262"/>
    <col min="19" max="20" width="8.875" style="267"/>
    <col min="21" max="21" width="12.125" style="267" customWidth="1"/>
    <col min="22" max="22" width="27.375" style="267" customWidth="1"/>
    <col min="23" max="38" width="8.875" style="267"/>
    <col min="39" max="16384" width="8.875" style="292"/>
  </cols>
  <sheetData>
    <row r="1" spans="1:36" x14ac:dyDescent="0.25">
      <c r="A1" s="262"/>
      <c r="B1" s="262"/>
      <c r="C1" s="262"/>
      <c r="D1" s="262"/>
      <c r="E1" s="262"/>
      <c r="F1" s="262"/>
      <c r="G1" s="262"/>
      <c r="H1" s="263" t="s">
        <v>24</v>
      </c>
      <c r="I1" s="264" t="s">
        <v>25</v>
      </c>
      <c r="J1" s="264" t="s">
        <v>26</v>
      </c>
      <c r="K1" s="265" t="s">
        <v>113</v>
      </c>
      <c r="L1" s="266"/>
      <c r="M1" s="266"/>
    </row>
    <row r="2" spans="1:36" x14ac:dyDescent="0.25">
      <c r="A2" s="262"/>
      <c r="B2" s="20" t="s">
        <v>28</v>
      </c>
      <c r="C2" s="202" t="s">
        <v>133</v>
      </c>
      <c r="D2" s="213"/>
      <c r="E2" s="21"/>
      <c r="F2" s="21"/>
      <c r="G2" s="21"/>
      <c r="H2" s="268">
        <v>27</v>
      </c>
      <c r="I2" s="269">
        <v>50</v>
      </c>
      <c r="J2" s="269">
        <v>10</v>
      </c>
      <c r="K2" s="270">
        <f>3*H2^(1/3)</f>
        <v>8.9999999999999982</v>
      </c>
      <c r="L2" s="266"/>
      <c r="M2" s="266"/>
    </row>
    <row r="3" spans="1:36" x14ac:dyDescent="0.25">
      <c r="A3" s="262"/>
      <c r="B3" s="271" t="s">
        <v>30</v>
      </c>
      <c r="C3" s="214" t="s">
        <v>134</v>
      </c>
      <c r="D3" s="214"/>
      <c r="E3" s="26"/>
      <c r="F3" s="26"/>
      <c r="G3" s="26"/>
      <c r="H3" s="266"/>
      <c r="I3" s="266"/>
      <c r="J3" s="272"/>
      <c r="K3" s="266"/>
      <c r="L3" s="266"/>
      <c r="M3" s="2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66"/>
      <c r="I4" s="266"/>
      <c r="J4" s="272"/>
      <c r="K4" s="266"/>
      <c r="L4" s="266"/>
      <c r="M4" s="266"/>
    </row>
    <row r="5" spans="1:36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273" t="s">
        <v>38</v>
      </c>
      <c r="I5" s="274" t="s">
        <v>39</v>
      </c>
      <c r="J5" s="275" t="s">
        <v>40</v>
      </c>
      <c r="K5" s="274" t="s">
        <v>41</v>
      </c>
      <c r="L5" s="274" t="s">
        <v>42</v>
      </c>
      <c r="M5" s="273" t="s">
        <v>43</v>
      </c>
    </row>
    <row r="6" spans="1:36" ht="14.45" customHeight="1" x14ac:dyDescent="0.25">
      <c r="A6" s="87">
        <f>M6</f>
        <v>127</v>
      </c>
      <c r="B6" s="34">
        <f t="shared" ref="B6:B69" si="0">IF(H6&gt;$H$2,"",(ROW()-5))</f>
        <v>1</v>
      </c>
      <c r="C6" s="35" t="s">
        <v>48</v>
      </c>
      <c r="D6" s="35"/>
      <c r="E6" s="35"/>
      <c r="F6" s="35"/>
      <c r="G6" s="28"/>
      <c r="H6" s="276">
        <v>1</v>
      </c>
      <c r="I6" s="277">
        <f t="shared" ref="I6:I69" si="1">IF(H6&lt;$H$2+1,($I$2-($I$2-1)*(LOG(H6)/LOG($H$2))),"")</f>
        <v>50</v>
      </c>
      <c r="J6" s="276">
        <f>INT(LOG($H$2,2))-ROUNDUP(LOG(H6,2),0)+IF(OR($H$2=1,$H$2=2,$H$2=4,$H$2=8,$H$2=16,$H$2=32,$H$2=64,$H$2=128,$H$2=256),0,1)</f>
        <v>5</v>
      </c>
      <c r="K6" s="276">
        <f t="shared" ref="K6:K69" si="2">J6*$J$2</f>
        <v>50</v>
      </c>
      <c r="L6" s="278">
        <f>3*K2</f>
        <v>26.999999999999993</v>
      </c>
      <c r="M6" s="278">
        <f t="shared" ref="M6:M69" si="3">IF(I6&lt;&gt;"",K6+I6+L6,0)</f>
        <v>127</v>
      </c>
    </row>
    <row r="7" spans="1:36" ht="14.45" customHeight="1" x14ac:dyDescent="0.25">
      <c r="A7" s="91">
        <f t="shared" ref="A7:A70" si="4">M7</f>
        <v>97.69481402499953</v>
      </c>
      <c r="B7" s="40">
        <f t="shared" si="0"/>
        <v>2</v>
      </c>
      <c r="C7" s="41" t="s">
        <v>48</v>
      </c>
      <c r="D7" s="41"/>
      <c r="E7" s="41"/>
      <c r="F7" s="41"/>
      <c r="G7" s="28"/>
      <c r="H7" s="279">
        <v>2</v>
      </c>
      <c r="I7" s="280">
        <f t="shared" si="1"/>
        <v>39.69481402499953</v>
      </c>
      <c r="J7" s="279">
        <f t="shared" ref="J7:J70" si="5">INT(LOG($H$2,2))-ROUNDUP(LOG(H7,2),0)+IF(OR($H$2=1,$H$2=2,$H$2=4,$H$2=8,$H$2=16,$H$2=32,$H$2=64,$H$2=128,$H$2=256),0,1)</f>
        <v>4</v>
      </c>
      <c r="K7" s="279">
        <f t="shared" si="2"/>
        <v>40</v>
      </c>
      <c r="L7" s="281">
        <f>2*K2</f>
        <v>17.999999999999996</v>
      </c>
      <c r="M7" s="281">
        <f t="shared" si="3"/>
        <v>97.69481402499953</v>
      </c>
    </row>
    <row r="8" spans="1:36" ht="14.45" customHeight="1" x14ac:dyDescent="0.25">
      <c r="A8" s="87">
        <f t="shared" si="4"/>
        <v>72.666666666666671</v>
      </c>
      <c r="B8" s="34">
        <f t="shared" si="0"/>
        <v>3</v>
      </c>
      <c r="C8" s="35" t="s">
        <v>48</v>
      </c>
      <c r="D8" s="35"/>
      <c r="E8" s="35"/>
      <c r="F8" s="35"/>
      <c r="G8" s="28"/>
      <c r="H8" s="276">
        <v>3</v>
      </c>
      <c r="I8" s="277">
        <f t="shared" si="1"/>
        <v>33.666666666666671</v>
      </c>
      <c r="J8" s="276">
        <f t="shared" si="5"/>
        <v>3</v>
      </c>
      <c r="K8" s="276">
        <f t="shared" si="2"/>
        <v>30</v>
      </c>
      <c r="L8" s="278">
        <f>K2</f>
        <v>8.9999999999999982</v>
      </c>
      <c r="M8" s="278">
        <f t="shared" si="3"/>
        <v>72.666666666666671</v>
      </c>
    </row>
    <row r="9" spans="1:36" s="267" customFormat="1" ht="14.45" customHeight="1" x14ac:dyDescent="0.25">
      <c r="A9" s="91">
        <f t="shared" si="4"/>
        <v>72.666666666666671</v>
      </c>
      <c r="B9" s="40">
        <f t="shared" si="0"/>
        <v>4</v>
      </c>
      <c r="C9" s="41" t="s">
        <v>48</v>
      </c>
      <c r="D9" s="41"/>
      <c r="E9" s="41"/>
      <c r="F9" s="41"/>
      <c r="G9" s="28"/>
      <c r="H9" s="279">
        <v>3</v>
      </c>
      <c r="I9" s="280">
        <f t="shared" si="1"/>
        <v>33.666666666666671</v>
      </c>
      <c r="J9" s="279">
        <f t="shared" si="5"/>
        <v>3</v>
      </c>
      <c r="K9" s="279">
        <f t="shared" si="2"/>
        <v>30</v>
      </c>
      <c r="L9" s="281">
        <f>K2</f>
        <v>8.9999999999999982</v>
      </c>
      <c r="M9" s="281">
        <f t="shared" si="3"/>
        <v>72.666666666666671</v>
      </c>
      <c r="N9" s="262"/>
      <c r="O9" s="262"/>
      <c r="P9" s="262"/>
      <c r="Q9" s="262"/>
      <c r="R9" s="262"/>
      <c r="V9" s="282"/>
      <c r="Z9" s="283"/>
      <c r="AA9" s="283"/>
      <c r="AG9" s="284"/>
      <c r="AH9" s="267" t="s">
        <v>48</v>
      </c>
      <c r="AI9" s="267">
        <v>23</v>
      </c>
    </row>
    <row r="10" spans="1:36" ht="14.45" customHeight="1" x14ac:dyDescent="0.25">
      <c r="A10" s="87">
        <f t="shared" si="4"/>
        <v>46.072099161607184</v>
      </c>
      <c r="B10" s="34">
        <f t="shared" si="0"/>
        <v>5</v>
      </c>
      <c r="C10" s="35" t="s">
        <v>48</v>
      </c>
      <c r="D10" s="35"/>
      <c r="E10" s="35"/>
      <c r="F10" s="35"/>
      <c r="G10" s="28"/>
      <c r="H10" s="276">
        <v>5</v>
      </c>
      <c r="I10" s="277">
        <f t="shared" si="1"/>
        <v>26.072099161607188</v>
      </c>
      <c r="J10" s="276">
        <f t="shared" si="5"/>
        <v>2</v>
      </c>
      <c r="K10" s="276">
        <f t="shared" si="2"/>
        <v>20</v>
      </c>
      <c r="L10" s="276"/>
      <c r="M10" s="278">
        <f t="shared" si="3"/>
        <v>46.072099161607184</v>
      </c>
      <c r="V10" s="282"/>
      <c r="Z10" s="283"/>
      <c r="AA10" s="283"/>
      <c r="AG10" s="284"/>
      <c r="AH10" s="267" t="s">
        <v>50</v>
      </c>
      <c r="AI10" s="267">
        <v>45</v>
      </c>
    </row>
    <row r="11" spans="1:36" ht="14.45" customHeight="1" x14ac:dyDescent="0.25">
      <c r="A11" s="91">
        <f t="shared" si="4"/>
        <v>43.361480691666195</v>
      </c>
      <c r="B11" s="40">
        <f t="shared" si="0"/>
        <v>6</v>
      </c>
      <c r="C11" s="41" t="s">
        <v>48</v>
      </c>
      <c r="D11" s="41"/>
      <c r="E11" s="41"/>
      <c r="F11" s="41"/>
      <c r="G11" s="28"/>
      <c r="H11" s="279">
        <v>6</v>
      </c>
      <c r="I11" s="280">
        <f t="shared" si="1"/>
        <v>23.361480691666195</v>
      </c>
      <c r="J11" s="279">
        <f t="shared" si="5"/>
        <v>2</v>
      </c>
      <c r="K11" s="279">
        <f t="shared" si="2"/>
        <v>20</v>
      </c>
      <c r="L11" s="279"/>
      <c r="M11" s="281">
        <f t="shared" si="3"/>
        <v>43.361480691666195</v>
      </c>
      <c r="V11" s="285"/>
      <c r="Z11" s="283"/>
      <c r="AA11" s="283"/>
      <c r="AG11" s="284"/>
      <c r="AH11" s="267" t="s">
        <v>52</v>
      </c>
      <c r="AI11" s="267">
        <v>50</v>
      </c>
    </row>
    <row r="12" spans="1:36" ht="14.45" customHeight="1" x14ac:dyDescent="0.25">
      <c r="A12" s="87">
        <f t="shared" si="4"/>
        <v>41.069685430363435</v>
      </c>
      <c r="B12" s="34">
        <f t="shared" si="0"/>
        <v>7</v>
      </c>
      <c r="C12" s="35" t="s">
        <v>48</v>
      </c>
      <c r="D12" s="35"/>
      <c r="E12" s="35"/>
      <c r="F12" s="35"/>
      <c r="G12" s="28"/>
      <c r="H12" s="276">
        <v>7</v>
      </c>
      <c r="I12" s="277">
        <f t="shared" si="1"/>
        <v>21.069685430363439</v>
      </c>
      <c r="J12" s="276">
        <f t="shared" si="5"/>
        <v>2</v>
      </c>
      <c r="K12" s="276">
        <f t="shared" si="2"/>
        <v>20</v>
      </c>
      <c r="L12" s="276"/>
      <c r="M12" s="278">
        <f t="shared" si="3"/>
        <v>41.069685430363435</v>
      </c>
      <c r="Z12" s="283"/>
      <c r="AA12" s="283"/>
      <c r="AG12" s="284"/>
      <c r="AH12" s="267" t="s">
        <v>53</v>
      </c>
      <c r="AI12" s="267">
        <f>AI11-1</f>
        <v>49</v>
      </c>
    </row>
    <row r="13" spans="1:36" ht="14.45" customHeight="1" x14ac:dyDescent="0.25">
      <c r="A13" s="91">
        <f t="shared" si="4"/>
        <v>39.084442074998591</v>
      </c>
      <c r="B13" s="40">
        <f t="shared" si="0"/>
        <v>8</v>
      </c>
      <c r="C13" s="41" t="s">
        <v>48</v>
      </c>
      <c r="D13" s="41"/>
      <c r="E13" s="41"/>
      <c r="F13" s="41"/>
      <c r="G13" s="28"/>
      <c r="H13" s="279">
        <v>8</v>
      </c>
      <c r="I13" s="280">
        <f t="shared" si="1"/>
        <v>19.084442074998588</v>
      </c>
      <c r="J13" s="279">
        <f t="shared" si="5"/>
        <v>2</v>
      </c>
      <c r="K13" s="279">
        <f t="shared" si="2"/>
        <v>20</v>
      </c>
      <c r="L13" s="279"/>
      <c r="M13" s="281">
        <f t="shared" si="3"/>
        <v>39.084442074998591</v>
      </c>
      <c r="X13" s="282"/>
      <c r="AG13" s="284"/>
      <c r="AH13" s="267" t="s">
        <v>54</v>
      </c>
      <c r="AI13" s="267">
        <f>LOG(AI9)</f>
        <v>1.3617278360175928</v>
      </c>
    </row>
    <row r="14" spans="1:36" x14ac:dyDescent="0.25">
      <c r="A14" s="87">
        <f t="shared" si="4"/>
        <v>27.333333333333336</v>
      </c>
      <c r="B14" s="34">
        <f t="shared" si="0"/>
        <v>9</v>
      </c>
      <c r="C14" s="35" t="s">
        <v>48</v>
      </c>
      <c r="D14" s="35"/>
      <c r="E14" s="35"/>
      <c r="F14" s="35"/>
      <c r="G14" s="28"/>
      <c r="H14" s="276">
        <v>9</v>
      </c>
      <c r="I14" s="277">
        <f t="shared" si="1"/>
        <v>17.333333333333336</v>
      </c>
      <c r="J14" s="276">
        <f t="shared" si="5"/>
        <v>1</v>
      </c>
      <c r="K14" s="276">
        <f t="shared" si="2"/>
        <v>10</v>
      </c>
      <c r="L14" s="276"/>
      <c r="M14" s="278">
        <f t="shared" si="3"/>
        <v>27.333333333333336</v>
      </c>
      <c r="X14" s="286"/>
      <c r="Z14" s="283"/>
      <c r="AA14" s="283"/>
      <c r="AG14" s="284"/>
      <c r="AH14" s="267" t="s">
        <v>55</v>
      </c>
      <c r="AI14" s="267">
        <f>LOG(AI10)</f>
        <v>1.6532125137753437</v>
      </c>
    </row>
    <row r="15" spans="1:36" x14ac:dyDescent="0.25">
      <c r="A15" s="91">
        <f t="shared" si="4"/>
        <v>25.766913186606715</v>
      </c>
      <c r="B15" s="40">
        <f t="shared" si="0"/>
        <v>10</v>
      </c>
      <c r="C15" s="41" t="s">
        <v>48</v>
      </c>
      <c r="D15" s="41"/>
      <c r="E15" s="41"/>
      <c r="F15" s="41"/>
      <c r="G15" s="28"/>
      <c r="H15" s="279">
        <v>10</v>
      </c>
      <c r="I15" s="280">
        <f t="shared" si="1"/>
        <v>15.766913186606715</v>
      </c>
      <c r="J15" s="279">
        <f t="shared" si="5"/>
        <v>1</v>
      </c>
      <c r="K15" s="279">
        <f t="shared" si="2"/>
        <v>10</v>
      </c>
      <c r="L15" s="279"/>
      <c r="M15" s="281">
        <f t="shared" si="3"/>
        <v>25.766913186606715</v>
      </c>
      <c r="X15" s="282"/>
      <c r="Z15" s="283"/>
      <c r="AA15" s="283"/>
    </row>
    <row r="16" spans="1:36" x14ac:dyDescent="0.25">
      <c r="A16" s="87">
        <f t="shared" si="4"/>
        <v>24.349913802145743</v>
      </c>
      <c r="B16" s="34">
        <f t="shared" si="0"/>
        <v>11</v>
      </c>
      <c r="C16" s="35" t="s">
        <v>16</v>
      </c>
      <c r="D16" s="35"/>
      <c r="E16" s="35"/>
      <c r="F16" s="35"/>
      <c r="G16" s="28"/>
      <c r="H16" s="276">
        <v>11</v>
      </c>
      <c r="I16" s="277">
        <f t="shared" si="1"/>
        <v>14.349913802145743</v>
      </c>
      <c r="J16" s="276">
        <f t="shared" si="5"/>
        <v>1</v>
      </c>
      <c r="K16" s="276">
        <f t="shared" si="2"/>
        <v>10</v>
      </c>
      <c r="L16" s="276"/>
      <c r="M16" s="278">
        <f t="shared" si="3"/>
        <v>24.349913802145743</v>
      </c>
      <c r="R16" s="287"/>
      <c r="Z16" s="283"/>
      <c r="AA16" s="283"/>
      <c r="AH16" s="288" t="s">
        <v>56</v>
      </c>
      <c r="AI16" s="267">
        <f>AI11-AI12*AI13/AI14</f>
        <v>9.6393909380186855</v>
      </c>
      <c r="AJ16" s="267" t="s">
        <v>57</v>
      </c>
    </row>
    <row r="17" spans="1:19" x14ac:dyDescent="0.25">
      <c r="A17" s="91">
        <f t="shared" si="4"/>
        <v>23.056294716665725</v>
      </c>
      <c r="B17" s="40">
        <f t="shared" si="0"/>
        <v>12</v>
      </c>
      <c r="C17" s="41" t="s">
        <v>48</v>
      </c>
      <c r="D17" s="41"/>
      <c r="E17" s="41"/>
      <c r="F17" s="41"/>
      <c r="G17" s="28"/>
      <c r="H17" s="279">
        <v>12</v>
      </c>
      <c r="I17" s="280">
        <f t="shared" si="1"/>
        <v>13.056294716665725</v>
      </c>
      <c r="J17" s="279">
        <f t="shared" si="5"/>
        <v>1</v>
      </c>
      <c r="K17" s="279">
        <f t="shared" si="2"/>
        <v>10</v>
      </c>
      <c r="L17" s="279"/>
      <c r="M17" s="281">
        <f t="shared" si="3"/>
        <v>23.056294716665725</v>
      </c>
    </row>
    <row r="18" spans="1:19" x14ac:dyDescent="0.25">
      <c r="A18" s="87">
        <f t="shared" si="4"/>
        <v>21.866280515277722</v>
      </c>
      <c r="B18" s="34">
        <f t="shared" si="0"/>
        <v>13</v>
      </c>
      <c r="C18" s="35" t="s">
        <v>48</v>
      </c>
      <c r="D18" s="35"/>
      <c r="E18" s="35"/>
      <c r="F18" s="35"/>
      <c r="G18" s="28"/>
      <c r="H18" s="276">
        <v>13</v>
      </c>
      <c r="I18" s="277">
        <f t="shared" si="1"/>
        <v>11.866280515277722</v>
      </c>
      <c r="J18" s="276">
        <f t="shared" si="5"/>
        <v>1</v>
      </c>
      <c r="K18" s="276">
        <f t="shared" si="2"/>
        <v>10</v>
      </c>
      <c r="L18" s="276"/>
      <c r="M18" s="278">
        <f t="shared" si="3"/>
        <v>21.866280515277722</v>
      </c>
    </row>
    <row r="19" spans="1:19" x14ac:dyDescent="0.25">
      <c r="A19" s="91">
        <f t="shared" si="4"/>
        <v>20.764499455362966</v>
      </c>
      <c r="B19" s="40">
        <f t="shared" si="0"/>
        <v>14</v>
      </c>
      <c r="C19" s="41" t="s">
        <v>48</v>
      </c>
      <c r="D19" s="41"/>
      <c r="E19" s="41"/>
      <c r="F19" s="41"/>
      <c r="G19" s="28"/>
      <c r="H19" s="279">
        <v>14</v>
      </c>
      <c r="I19" s="280">
        <f t="shared" si="1"/>
        <v>10.764499455362966</v>
      </c>
      <c r="J19" s="279">
        <f t="shared" si="5"/>
        <v>1</v>
      </c>
      <c r="K19" s="279">
        <f t="shared" si="2"/>
        <v>10</v>
      </c>
      <c r="L19" s="279"/>
      <c r="M19" s="281">
        <f t="shared" si="3"/>
        <v>20.764499455362966</v>
      </c>
    </row>
    <row r="20" spans="1:19" x14ac:dyDescent="0.25">
      <c r="A20" s="87">
        <f t="shared" si="4"/>
        <v>19.738765828273856</v>
      </c>
      <c r="B20" s="34">
        <f t="shared" si="0"/>
        <v>15</v>
      </c>
      <c r="C20" s="35" t="s">
        <v>48</v>
      </c>
      <c r="D20" s="35"/>
      <c r="E20" s="35"/>
      <c r="F20" s="35"/>
      <c r="G20" s="28"/>
      <c r="H20" s="276">
        <v>15</v>
      </c>
      <c r="I20" s="277">
        <f t="shared" si="1"/>
        <v>9.7387658282738556</v>
      </c>
      <c r="J20" s="276">
        <f t="shared" si="5"/>
        <v>1</v>
      </c>
      <c r="K20" s="276">
        <f t="shared" si="2"/>
        <v>10</v>
      </c>
      <c r="L20" s="276"/>
      <c r="M20" s="278">
        <f t="shared" si="3"/>
        <v>19.738765828273856</v>
      </c>
      <c r="R20" s="289"/>
      <c r="S20" s="290"/>
    </row>
    <row r="21" spans="1:19" x14ac:dyDescent="0.25">
      <c r="A21" s="91">
        <f t="shared" si="4"/>
        <v>18.779256099998115</v>
      </c>
      <c r="B21" s="40">
        <f t="shared" si="0"/>
        <v>16</v>
      </c>
      <c r="C21" s="41" t="s">
        <v>48</v>
      </c>
      <c r="D21" s="41"/>
      <c r="E21" s="41"/>
      <c r="F21" s="41"/>
      <c r="G21" s="28"/>
      <c r="H21" s="279">
        <v>16</v>
      </c>
      <c r="I21" s="280">
        <f t="shared" si="1"/>
        <v>8.7792560999981148</v>
      </c>
      <c r="J21" s="279">
        <f t="shared" si="5"/>
        <v>1</v>
      </c>
      <c r="K21" s="279">
        <f t="shared" si="2"/>
        <v>10</v>
      </c>
      <c r="L21" s="279"/>
      <c r="M21" s="281">
        <f t="shared" si="3"/>
        <v>18.779256099998115</v>
      </c>
    </row>
    <row r="22" spans="1:19" x14ac:dyDescent="0.25">
      <c r="A22" s="87">
        <f t="shared" si="4"/>
        <v>7.8779352550114297</v>
      </c>
      <c r="B22" s="34">
        <f t="shared" si="0"/>
        <v>17</v>
      </c>
      <c r="C22" s="35" t="s">
        <v>48</v>
      </c>
      <c r="D22" s="35"/>
      <c r="E22" s="35"/>
      <c r="F22" s="35"/>
      <c r="G22" s="28"/>
      <c r="H22" s="276">
        <v>17</v>
      </c>
      <c r="I22" s="277">
        <f t="shared" si="1"/>
        <v>7.8779352550114297</v>
      </c>
      <c r="J22" s="276">
        <f t="shared" si="5"/>
        <v>0</v>
      </c>
      <c r="K22" s="276">
        <f t="shared" si="2"/>
        <v>0</v>
      </c>
      <c r="L22" s="276"/>
      <c r="M22" s="278">
        <f t="shared" si="3"/>
        <v>7.8779352550114297</v>
      </c>
    </row>
    <row r="23" spans="1:19" x14ac:dyDescent="0.25">
      <c r="A23" s="91">
        <f t="shared" si="4"/>
        <v>7.0281473583328662</v>
      </c>
      <c r="B23" s="40">
        <f t="shared" si="0"/>
        <v>18</v>
      </c>
      <c r="C23" s="41" t="s">
        <v>48</v>
      </c>
      <c r="D23" s="41"/>
      <c r="E23" s="41"/>
      <c r="F23" s="41"/>
      <c r="G23" s="28"/>
      <c r="H23" s="279">
        <v>18</v>
      </c>
      <c r="I23" s="280">
        <f t="shared" si="1"/>
        <v>7.0281473583328662</v>
      </c>
      <c r="J23" s="279">
        <f t="shared" si="5"/>
        <v>0</v>
      </c>
      <c r="K23" s="279">
        <f t="shared" si="2"/>
        <v>0</v>
      </c>
      <c r="L23" s="279"/>
      <c r="M23" s="281">
        <f t="shared" si="3"/>
        <v>7.0281473583328662</v>
      </c>
    </row>
    <row r="24" spans="1:19" x14ac:dyDescent="0.25">
      <c r="A24" s="87">
        <f t="shared" si="4"/>
        <v>6.2243169656425437</v>
      </c>
      <c r="B24" s="34">
        <f t="shared" si="0"/>
        <v>19</v>
      </c>
      <c r="C24" s="35" t="s">
        <v>48</v>
      </c>
      <c r="D24" s="35"/>
      <c r="E24" s="35"/>
      <c r="F24" s="35"/>
      <c r="G24" s="28"/>
      <c r="H24" s="276">
        <v>19</v>
      </c>
      <c r="I24" s="277">
        <f t="shared" si="1"/>
        <v>6.2243169656425437</v>
      </c>
      <c r="J24" s="276">
        <f t="shared" si="5"/>
        <v>0</v>
      </c>
      <c r="K24" s="276">
        <f t="shared" si="2"/>
        <v>0</v>
      </c>
      <c r="L24" s="276"/>
      <c r="M24" s="278">
        <f t="shared" si="3"/>
        <v>6.2243169656425437</v>
      </c>
      <c r="R24" s="289"/>
      <c r="S24" s="290"/>
    </row>
    <row r="25" spans="1:19" x14ac:dyDescent="0.25">
      <c r="A25" s="91">
        <f t="shared" si="4"/>
        <v>5.4617272116062452</v>
      </c>
      <c r="B25" s="40">
        <f t="shared" si="0"/>
        <v>20</v>
      </c>
      <c r="C25" s="41" t="s">
        <v>48</v>
      </c>
      <c r="D25" s="41"/>
      <c r="E25" s="41"/>
      <c r="F25" s="41"/>
      <c r="G25" s="28"/>
      <c r="H25" s="279">
        <v>20</v>
      </c>
      <c r="I25" s="280">
        <f t="shared" si="1"/>
        <v>5.4617272116062452</v>
      </c>
      <c r="J25" s="279">
        <f t="shared" si="5"/>
        <v>0</v>
      </c>
      <c r="K25" s="279">
        <f t="shared" si="2"/>
        <v>0</v>
      </c>
      <c r="L25" s="279"/>
      <c r="M25" s="281">
        <f t="shared" si="3"/>
        <v>5.4617272116062452</v>
      </c>
    </row>
    <row r="26" spans="1:19" x14ac:dyDescent="0.25">
      <c r="A26" s="87">
        <f t="shared" si="4"/>
        <v>4.7363520970301067</v>
      </c>
      <c r="B26" s="34">
        <f t="shared" si="0"/>
        <v>21</v>
      </c>
      <c r="C26" s="35" t="s">
        <v>48</v>
      </c>
      <c r="D26" s="35"/>
      <c r="E26" s="35"/>
      <c r="F26" s="35"/>
      <c r="G26" s="28"/>
      <c r="H26" s="276">
        <v>21</v>
      </c>
      <c r="I26" s="277">
        <f t="shared" si="1"/>
        <v>4.7363520970301067</v>
      </c>
      <c r="J26" s="276">
        <f t="shared" si="5"/>
        <v>0</v>
      </c>
      <c r="K26" s="276">
        <f t="shared" si="2"/>
        <v>0</v>
      </c>
      <c r="L26" s="276"/>
      <c r="M26" s="278">
        <f t="shared" si="3"/>
        <v>4.7363520970301067</v>
      </c>
    </row>
    <row r="27" spans="1:19" x14ac:dyDescent="0.25">
      <c r="A27" s="91">
        <f t="shared" si="4"/>
        <v>4.0447278271452731</v>
      </c>
      <c r="B27" s="40">
        <f t="shared" si="0"/>
        <v>22</v>
      </c>
      <c r="C27" s="41" t="s">
        <v>48</v>
      </c>
      <c r="D27" s="41"/>
      <c r="E27" s="41"/>
      <c r="F27" s="41"/>
      <c r="G27" s="28"/>
      <c r="H27" s="279">
        <v>22</v>
      </c>
      <c r="I27" s="280">
        <f t="shared" si="1"/>
        <v>4.0447278271452731</v>
      </c>
      <c r="J27" s="279">
        <f t="shared" si="5"/>
        <v>0</v>
      </c>
      <c r="K27" s="279">
        <f t="shared" si="2"/>
        <v>0</v>
      </c>
      <c r="L27" s="279"/>
      <c r="M27" s="281">
        <f t="shared" si="3"/>
        <v>4.0447278271452731</v>
      </c>
    </row>
    <row r="28" spans="1:19" x14ac:dyDescent="0.25">
      <c r="A28" s="87">
        <f t="shared" si="4"/>
        <v>3.3838527733955743</v>
      </c>
      <c r="B28" s="34">
        <f t="shared" si="0"/>
        <v>23</v>
      </c>
      <c r="C28" s="35" t="s">
        <v>48</v>
      </c>
      <c r="D28" s="35"/>
      <c r="E28" s="35"/>
      <c r="F28" s="35"/>
      <c r="G28" s="28"/>
      <c r="H28" s="276">
        <v>23</v>
      </c>
      <c r="I28" s="277">
        <f t="shared" si="1"/>
        <v>3.3838527733955743</v>
      </c>
      <c r="J28" s="276">
        <f t="shared" si="5"/>
        <v>0</v>
      </c>
      <c r="K28" s="276">
        <f t="shared" si="2"/>
        <v>0</v>
      </c>
      <c r="L28" s="276"/>
      <c r="M28" s="278">
        <f t="shared" si="3"/>
        <v>3.3838527733955743</v>
      </c>
      <c r="R28" s="289"/>
      <c r="S28" s="290"/>
    </row>
    <row r="29" spans="1:19" x14ac:dyDescent="0.25">
      <c r="A29" s="91">
        <f t="shared" si="4"/>
        <v>2.7511087416652558</v>
      </c>
      <c r="B29" s="40">
        <f t="shared" si="0"/>
        <v>24</v>
      </c>
      <c r="C29" s="41" t="s">
        <v>48</v>
      </c>
      <c r="D29" s="41"/>
      <c r="E29" s="41"/>
      <c r="F29" s="41"/>
      <c r="G29" s="262"/>
      <c r="H29" s="279">
        <v>24</v>
      </c>
      <c r="I29" s="280">
        <f t="shared" si="1"/>
        <v>2.7511087416652558</v>
      </c>
      <c r="J29" s="279">
        <f t="shared" si="5"/>
        <v>0</v>
      </c>
      <c r="K29" s="279">
        <f t="shared" si="2"/>
        <v>0</v>
      </c>
      <c r="L29" s="279"/>
      <c r="M29" s="281">
        <f t="shared" si="3"/>
        <v>2.7511087416652558</v>
      </c>
    </row>
    <row r="30" spans="1:19" x14ac:dyDescent="0.25">
      <c r="A30" s="87">
        <f t="shared" si="4"/>
        <v>2.1441983232143755</v>
      </c>
      <c r="B30" s="34">
        <f t="shared" si="0"/>
        <v>25</v>
      </c>
      <c r="C30" s="35" t="s">
        <v>48</v>
      </c>
      <c r="D30" s="35"/>
      <c r="E30" s="35"/>
      <c r="F30" s="35"/>
      <c r="G30" s="262"/>
      <c r="H30" s="276">
        <v>25</v>
      </c>
      <c r="I30" s="277">
        <f t="shared" si="1"/>
        <v>2.1441983232143755</v>
      </c>
      <c r="J30" s="276">
        <f t="shared" si="5"/>
        <v>0</v>
      </c>
      <c r="K30" s="276">
        <f t="shared" si="2"/>
        <v>0</v>
      </c>
      <c r="L30" s="276"/>
      <c r="M30" s="278">
        <f t="shared" si="3"/>
        <v>2.1441983232143755</v>
      </c>
    </row>
    <row r="31" spans="1:19" x14ac:dyDescent="0.25">
      <c r="A31" s="91">
        <f t="shared" si="4"/>
        <v>1.5610945402772529</v>
      </c>
      <c r="B31" s="40">
        <f t="shared" si="0"/>
        <v>26</v>
      </c>
      <c r="C31" s="41" t="s">
        <v>48</v>
      </c>
      <c r="D31" s="41"/>
      <c r="E31" s="41"/>
      <c r="F31" s="41"/>
      <c r="G31" s="262"/>
      <c r="H31" s="279">
        <v>26</v>
      </c>
      <c r="I31" s="280">
        <f t="shared" si="1"/>
        <v>1.5610945402772529</v>
      </c>
      <c r="J31" s="279">
        <f t="shared" si="5"/>
        <v>0</v>
      </c>
      <c r="K31" s="279">
        <f t="shared" si="2"/>
        <v>0</v>
      </c>
      <c r="L31" s="279"/>
      <c r="M31" s="281">
        <f t="shared" si="3"/>
        <v>1.5610945402772529</v>
      </c>
    </row>
    <row r="32" spans="1:19" x14ac:dyDescent="0.25">
      <c r="A32" s="87">
        <f t="shared" si="4"/>
        <v>1</v>
      </c>
      <c r="B32" s="34">
        <f t="shared" si="0"/>
        <v>27</v>
      </c>
      <c r="C32" s="35" t="s">
        <v>48</v>
      </c>
      <c r="D32" s="35"/>
      <c r="E32" s="35"/>
      <c r="F32" s="35"/>
      <c r="G32" s="262"/>
      <c r="H32" s="276">
        <v>27</v>
      </c>
      <c r="I32" s="277">
        <f t="shared" si="1"/>
        <v>1</v>
      </c>
      <c r="J32" s="276">
        <f t="shared" si="5"/>
        <v>0</v>
      </c>
      <c r="K32" s="276">
        <f t="shared" si="2"/>
        <v>0</v>
      </c>
      <c r="L32" s="276"/>
      <c r="M32" s="278">
        <f t="shared" si="3"/>
        <v>1</v>
      </c>
      <c r="R32" s="289"/>
      <c r="S32" s="290"/>
    </row>
    <row r="33" spans="1:19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262"/>
      <c r="H33" s="279">
        <v>28</v>
      </c>
      <c r="I33" s="280" t="str">
        <f t="shared" si="1"/>
        <v/>
      </c>
      <c r="J33" s="279">
        <f t="shared" si="5"/>
        <v>0</v>
      </c>
      <c r="K33" s="279">
        <f t="shared" si="2"/>
        <v>0</v>
      </c>
      <c r="L33" s="279"/>
      <c r="M33" s="281">
        <f t="shared" si="3"/>
        <v>0</v>
      </c>
    </row>
    <row r="34" spans="1:19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262"/>
      <c r="H34" s="276">
        <v>29</v>
      </c>
      <c r="I34" s="277" t="str">
        <f t="shared" si="1"/>
        <v/>
      </c>
      <c r="J34" s="276">
        <f t="shared" si="5"/>
        <v>0</v>
      </c>
      <c r="K34" s="276">
        <f t="shared" si="2"/>
        <v>0</v>
      </c>
      <c r="L34" s="276"/>
      <c r="M34" s="278">
        <f t="shared" si="3"/>
        <v>0</v>
      </c>
    </row>
    <row r="35" spans="1:19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262"/>
      <c r="H35" s="279">
        <v>30</v>
      </c>
      <c r="I35" s="280" t="str">
        <f t="shared" si="1"/>
        <v/>
      </c>
      <c r="J35" s="279">
        <f t="shared" si="5"/>
        <v>0</v>
      </c>
      <c r="K35" s="279">
        <f t="shared" si="2"/>
        <v>0</v>
      </c>
      <c r="L35" s="279"/>
      <c r="M35" s="281">
        <f t="shared" si="3"/>
        <v>0</v>
      </c>
    </row>
    <row r="36" spans="1:19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262"/>
      <c r="H36" s="276">
        <v>31</v>
      </c>
      <c r="I36" s="277" t="str">
        <f t="shared" si="1"/>
        <v/>
      </c>
      <c r="J36" s="276">
        <f t="shared" si="5"/>
        <v>0</v>
      </c>
      <c r="K36" s="276">
        <f t="shared" si="2"/>
        <v>0</v>
      </c>
      <c r="L36" s="276"/>
      <c r="M36" s="278">
        <f t="shared" si="3"/>
        <v>0</v>
      </c>
      <c r="R36" s="289"/>
      <c r="S36" s="290"/>
    </row>
    <row r="37" spans="1:19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262"/>
      <c r="H37" s="279">
        <v>32</v>
      </c>
      <c r="I37" s="280" t="str">
        <f t="shared" si="1"/>
        <v/>
      </c>
      <c r="J37" s="279">
        <f t="shared" si="5"/>
        <v>0</v>
      </c>
      <c r="K37" s="279">
        <f t="shared" si="2"/>
        <v>0</v>
      </c>
      <c r="L37" s="279"/>
      <c r="M37" s="281">
        <f t="shared" si="3"/>
        <v>0</v>
      </c>
    </row>
    <row r="38" spans="1:19" x14ac:dyDescent="0.25">
      <c r="A38" s="87">
        <f t="shared" si="4"/>
        <v>0</v>
      </c>
      <c r="B38" s="34" t="str">
        <f t="shared" si="0"/>
        <v/>
      </c>
      <c r="C38" s="35"/>
      <c r="D38" s="35"/>
      <c r="E38" s="35"/>
      <c r="F38" s="35"/>
      <c r="G38" s="262"/>
      <c r="H38" s="276">
        <v>33</v>
      </c>
      <c r="I38" s="277" t="str">
        <f t="shared" si="1"/>
        <v/>
      </c>
      <c r="J38" s="276">
        <f t="shared" si="5"/>
        <v>-1</v>
      </c>
      <c r="K38" s="276">
        <f t="shared" si="2"/>
        <v>-10</v>
      </c>
      <c r="L38" s="276"/>
      <c r="M38" s="278">
        <f t="shared" si="3"/>
        <v>0</v>
      </c>
    </row>
    <row r="39" spans="1:19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262"/>
      <c r="H39" s="279">
        <v>34</v>
      </c>
      <c r="I39" s="280" t="str">
        <f t="shared" si="1"/>
        <v/>
      </c>
      <c r="J39" s="279">
        <f t="shared" si="5"/>
        <v>-1</v>
      </c>
      <c r="K39" s="279">
        <f t="shared" si="2"/>
        <v>-10</v>
      </c>
      <c r="L39" s="279"/>
      <c r="M39" s="281">
        <f t="shared" si="3"/>
        <v>0</v>
      </c>
    </row>
    <row r="40" spans="1:19" x14ac:dyDescent="0.25">
      <c r="A40" s="87">
        <f t="shared" si="4"/>
        <v>0</v>
      </c>
      <c r="B40" s="34" t="str">
        <f t="shared" si="0"/>
        <v/>
      </c>
      <c r="C40" s="35"/>
      <c r="D40" s="35"/>
      <c r="E40" s="35"/>
      <c r="F40" s="35"/>
      <c r="G40" s="262"/>
      <c r="H40" s="276">
        <v>35</v>
      </c>
      <c r="I40" s="277" t="str">
        <f t="shared" si="1"/>
        <v/>
      </c>
      <c r="J40" s="276">
        <f t="shared" si="5"/>
        <v>-1</v>
      </c>
      <c r="K40" s="276">
        <f t="shared" si="2"/>
        <v>-10</v>
      </c>
      <c r="L40" s="276"/>
      <c r="M40" s="278">
        <f t="shared" si="3"/>
        <v>0</v>
      </c>
    </row>
    <row r="41" spans="1:19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262"/>
      <c r="H41" s="279">
        <v>36</v>
      </c>
      <c r="I41" s="280" t="str">
        <f t="shared" si="1"/>
        <v/>
      </c>
      <c r="J41" s="279">
        <f t="shared" si="5"/>
        <v>-1</v>
      </c>
      <c r="K41" s="279">
        <f t="shared" si="2"/>
        <v>-10</v>
      </c>
      <c r="L41" s="279"/>
      <c r="M41" s="281">
        <f t="shared" si="3"/>
        <v>0</v>
      </c>
      <c r="S41" s="291"/>
    </row>
    <row r="42" spans="1:19" x14ac:dyDescent="0.25">
      <c r="A42" s="87">
        <f t="shared" si="4"/>
        <v>0</v>
      </c>
      <c r="B42" s="34" t="str">
        <f t="shared" si="0"/>
        <v/>
      </c>
      <c r="C42" s="35"/>
      <c r="D42" s="35"/>
      <c r="E42" s="35"/>
      <c r="F42" s="35"/>
      <c r="G42" s="262"/>
      <c r="H42" s="276">
        <v>37</v>
      </c>
      <c r="I42" s="277" t="str">
        <f t="shared" si="1"/>
        <v/>
      </c>
      <c r="J42" s="276">
        <f t="shared" si="5"/>
        <v>-1</v>
      </c>
      <c r="K42" s="276">
        <f t="shared" si="2"/>
        <v>-10</v>
      </c>
      <c r="L42" s="276"/>
      <c r="M42" s="278">
        <f t="shared" si="3"/>
        <v>0</v>
      </c>
    </row>
    <row r="43" spans="1:19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262"/>
      <c r="H43" s="279">
        <v>38</v>
      </c>
      <c r="I43" s="280" t="str">
        <f t="shared" si="1"/>
        <v/>
      </c>
      <c r="J43" s="279">
        <f t="shared" si="5"/>
        <v>-1</v>
      </c>
      <c r="K43" s="279">
        <f t="shared" si="2"/>
        <v>-10</v>
      </c>
      <c r="L43" s="279"/>
      <c r="M43" s="281">
        <f t="shared" si="3"/>
        <v>0</v>
      </c>
    </row>
    <row r="44" spans="1:19" x14ac:dyDescent="0.25">
      <c r="A44" s="87">
        <f t="shared" si="4"/>
        <v>0</v>
      </c>
      <c r="B44" s="34" t="str">
        <f t="shared" si="0"/>
        <v/>
      </c>
      <c r="C44" s="35"/>
      <c r="D44" s="35"/>
      <c r="E44" s="35"/>
      <c r="F44" s="35"/>
      <c r="G44" s="262"/>
      <c r="H44" s="276">
        <v>39</v>
      </c>
      <c r="I44" s="277" t="str">
        <f t="shared" si="1"/>
        <v/>
      </c>
      <c r="J44" s="276">
        <f t="shared" si="5"/>
        <v>-1</v>
      </c>
      <c r="K44" s="276">
        <f t="shared" si="2"/>
        <v>-10</v>
      </c>
      <c r="L44" s="276"/>
      <c r="M44" s="278">
        <f t="shared" si="3"/>
        <v>0</v>
      </c>
    </row>
    <row r="45" spans="1:19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262"/>
      <c r="H45" s="279">
        <v>40</v>
      </c>
      <c r="I45" s="280" t="str">
        <f t="shared" si="1"/>
        <v/>
      </c>
      <c r="J45" s="279">
        <f t="shared" si="5"/>
        <v>-1</v>
      </c>
      <c r="K45" s="279">
        <f t="shared" si="2"/>
        <v>-10</v>
      </c>
      <c r="L45" s="279"/>
      <c r="M45" s="281">
        <f t="shared" si="3"/>
        <v>0</v>
      </c>
    </row>
    <row r="46" spans="1:19" x14ac:dyDescent="0.25">
      <c r="A46" s="87">
        <f t="shared" si="4"/>
        <v>0</v>
      </c>
      <c r="B46" s="34" t="str">
        <f t="shared" si="0"/>
        <v/>
      </c>
      <c r="C46" s="35"/>
      <c r="D46" s="35"/>
      <c r="E46" s="35"/>
      <c r="F46" s="35"/>
      <c r="G46" s="262"/>
      <c r="H46" s="276">
        <v>41</v>
      </c>
      <c r="I46" s="277" t="str">
        <f t="shared" si="1"/>
        <v/>
      </c>
      <c r="J46" s="276">
        <f t="shared" si="5"/>
        <v>-1</v>
      </c>
      <c r="K46" s="276">
        <f t="shared" si="2"/>
        <v>-10</v>
      </c>
      <c r="L46" s="276"/>
      <c r="M46" s="278">
        <f t="shared" si="3"/>
        <v>0</v>
      </c>
    </row>
    <row r="47" spans="1:19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262"/>
      <c r="H47" s="279">
        <v>42</v>
      </c>
      <c r="I47" s="280" t="str">
        <f t="shared" si="1"/>
        <v/>
      </c>
      <c r="J47" s="279">
        <f t="shared" si="5"/>
        <v>-1</v>
      </c>
      <c r="K47" s="279">
        <f t="shared" si="2"/>
        <v>-10</v>
      </c>
      <c r="L47" s="279"/>
      <c r="M47" s="281">
        <f t="shared" si="3"/>
        <v>0</v>
      </c>
    </row>
    <row r="48" spans="1:19" x14ac:dyDescent="0.25">
      <c r="A48" s="87">
        <f t="shared" si="4"/>
        <v>0</v>
      </c>
      <c r="B48" s="34" t="str">
        <f t="shared" si="0"/>
        <v/>
      </c>
      <c r="C48" s="35"/>
      <c r="D48" s="35"/>
      <c r="E48" s="35"/>
      <c r="F48" s="35"/>
      <c r="G48" s="262"/>
      <c r="H48" s="276">
        <v>43</v>
      </c>
      <c r="I48" s="277" t="str">
        <f t="shared" si="1"/>
        <v/>
      </c>
      <c r="J48" s="276">
        <f t="shared" si="5"/>
        <v>-1</v>
      </c>
      <c r="K48" s="276">
        <f t="shared" si="2"/>
        <v>-10</v>
      </c>
      <c r="L48" s="276"/>
      <c r="M48" s="278">
        <f t="shared" si="3"/>
        <v>0</v>
      </c>
    </row>
    <row r="49" spans="1:38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262"/>
      <c r="H49" s="279">
        <v>44</v>
      </c>
      <c r="I49" s="280" t="str">
        <f t="shared" si="1"/>
        <v/>
      </c>
      <c r="J49" s="279">
        <f t="shared" si="5"/>
        <v>-1</v>
      </c>
      <c r="K49" s="279">
        <f t="shared" si="2"/>
        <v>-10</v>
      </c>
      <c r="L49" s="279"/>
      <c r="M49" s="281">
        <f t="shared" si="3"/>
        <v>0</v>
      </c>
    </row>
    <row r="50" spans="1:38" x14ac:dyDescent="0.25">
      <c r="A50" s="87">
        <f t="shared" si="4"/>
        <v>0</v>
      </c>
      <c r="B50" s="34" t="str">
        <f t="shared" si="0"/>
        <v/>
      </c>
      <c r="C50" s="35"/>
      <c r="D50" s="35"/>
      <c r="E50" s="35"/>
      <c r="F50" s="35"/>
      <c r="G50" s="262"/>
      <c r="H50" s="276">
        <v>45</v>
      </c>
      <c r="I50" s="277" t="str">
        <f t="shared" si="1"/>
        <v/>
      </c>
      <c r="J50" s="276">
        <f t="shared" si="5"/>
        <v>-1</v>
      </c>
      <c r="K50" s="276">
        <f t="shared" si="2"/>
        <v>-10</v>
      </c>
      <c r="L50" s="276"/>
      <c r="M50" s="278">
        <f t="shared" si="3"/>
        <v>0</v>
      </c>
    </row>
    <row r="51" spans="1:38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262"/>
      <c r="H51" s="279">
        <v>46</v>
      </c>
      <c r="I51" s="280" t="str">
        <f t="shared" si="1"/>
        <v/>
      </c>
      <c r="J51" s="279">
        <f t="shared" si="5"/>
        <v>-1</v>
      </c>
      <c r="K51" s="279">
        <f t="shared" si="2"/>
        <v>-10</v>
      </c>
      <c r="L51" s="279"/>
      <c r="M51" s="281">
        <f t="shared" si="3"/>
        <v>0</v>
      </c>
    </row>
    <row r="52" spans="1:38" x14ac:dyDescent="0.25">
      <c r="A52" s="87">
        <f t="shared" si="4"/>
        <v>0</v>
      </c>
      <c r="B52" s="34" t="str">
        <f t="shared" si="0"/>
        <v/>
      </c>
      <c r="C52" s="35"/>
      <c r="D52" s="35"/>
      <c r="E52" s="35"/>
      <c r="F52" s="35"/>
      <c r="G52" s="262"/>
      <c r="H52" s="276">
        <v>47</v>
      </c>
      <c r="I52" s="277" t="str">
        <f t="shared" si="1"/>
        <v/>
      </c>
      <c r="J52" s="276">
        <f t="shared" si="5"/>
        <v>-1</v>
      </c>
      <c r="K52" s="276">
        <f t="shared" si="2"/>
        <v>-10</v>
      </c>
      <c r="L52" s="276"/>
      <c r="M52" s="278">
        <f t="shared" si="3"/>
        <v>0</v>
      </c>
    </row>
    <row r="53" spans="1:38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262"/>
      <c r="H53" s="279">
        <v>48</v>
      </c>
      <c r="I53" s="280" t="str">
        <f t="shared" si="1"/>
        <v/>
      </c>
      <c r="J53" s="279">
        <f t="shared" si="5"/>
        <v>-1</v>
      </c>
      <c r="K53" s="279">
        <f t="shared" si="2"/>
        <v>-10</v>
      </c>
      <c r="L53" s="279"/>
      <c r="M53" s="281">
        <f t="shared" si="3"/>
        <v>0</v>
      </c>
    </row>
    <row r="54" spans="1:38" x14ac:dyDescent="0.25">
      <c r="A54" s="87">
        <f t="shared" si="4"/>
        <v>0</v>
      </c>
      <c r="B54" s="34" t="str">
        <f t="shared" si="0"/>
        <v/>
      </c>
      <c r="C54" s="35"/>
      <c r="D54" s="35"/>
      <c r="E54" s="35"/>
      <c r="F54" s="35"/>
      <c r="G54" s="262"/>
      <c r="H54" s="276">
        <v>49</v>
      </c>
      <c r="I54" s="277" t="str">
        <f t="shared" si="1"/>
        <v/>
      </c>
      <c r="J54" s="276">
        <f t="shared" si="5"/>
        <v>-1</v>
      </c>
      <c r="K54" s="276">
        <f t="shared" si="2"/>
        <v>-10</v>
      </c>
      <c r="L54" s="276"/>
      <c r="M54" s="278">
        <f t="shared" si="3"/>
        <v>0</v>
      </c>
    </row>
    <row r="55" spans="1:38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262"/>
      <c r="H55" s="279">
        <v>50</v>
      </c>
      <c r="I55" s="280" t="str">
        <f t="shared" si="1"/>
        <v/>
      </c>
      <c r="J55" s="279">
        <f t="shared" si="5"/>
        <v>-1</v>
      </c>
      <c r="K55" s="279">
        <f t="shared" si="2"/>
        <v>-10</v>
      </c>
      <c r="L55" s="279"/>
      <c r="M55" s="281">
        <f t="shared" si="3"/>
        <v>0</v>
      </c>
    </row>
    <row r="56" spans="1:38" x14ac:dyDescent="0.25">
      <c r="A56" s="87">
        <f t="shared" si="4"/>
        <v>0</v>
      </c>
      <c r="B56" s="34" t="str">
        <f t="shared" si="0"/>
        <v/>
      </c>
      <c r="C56" s="35"/>
      <c r="D56" s="35"/>
      <c r="E56" s="35"/>
      <c r="F56" s="35"/>
      <c r="G56" s="262"/>
      <c r="H56" s="276">
        <v>51</v>
      </c>
      <c r="I56" s="277" t="str">
        <f t="shared" si="1"/>
        <v/>
      </c>
      <c r="J56" s="276">
        <f t="shared" si="5"/>
        <v>-1</v>
      </c>
      <c r="K56" s="276">
        <f t="shared" si="2"/>
        <v>-10</v>
      </c>
      <c r="L56" s="276"/>
      <c r="M56" s="278">
        <f t="shared" si="3"/>
        <v>0</v>
      </c>
    </row>
    <row r="57" spans="1:38" s="262" customFormat="1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H57" s="279">
        <v>52</v>
      </c>
      <c r="I57" s="280" t="str">
        <f t="shared" si="1"/>
        <v/>
      </c>
      <c r="J57" s="279">
        <f t="shared" si="5"/>
        <v>-1</v>
      </c>
      <c r="K57" s="279">
        <f t="shared" si="2"/>
        <v>-10</v>
      </c>
      <c r="L57" s="279"/>
      <c r="M57" s="281">
        <f t="shared" si="3"/>
        <v>0</v>
      </c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</row>
    <row r="58" spans="1:38" s="262" customFormat="1" x14ac:dyDescent="0.25">
      <c r="A58" s="87">
        <f t="shared" si="4"/>
        <v>0</v>
      </c>
      <c r="B58" s="34" t="str">
        <f t="shared" si="0"/>
        <v/>
      </c>
      <c r="C58" s="35"/>
      <c r="D58" s="35"/>
      <c r="E58" s="35"/>
      <c r="F58" s="35"/>
      <c r="H58" s="276">
        <v>53</v>
      </c>
      <c r="I58" s="277" t="str">
        <f t="shared" si="1"/>
        <v/>
      </c>
      <c r="J58" s="276">
        <f t="shared" si="5"/>
        <v>-1</v>
      </c>
      <c r="K58" s="276">
        <f t="shared" si="2"/>
        <v>-10</v>
      </c>
      <c r="L58" s="276"/>
      <c r="M58" s="278">
        <f t="shared" si="3"/>
        <v>0</v>
      </c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</row>
    <row r="59" spans="1:38" s="262" customFormat="1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H59" s="279">
        <v>54</v>
      </c>
      <c r="I59" s="280" t="str">
        <f t="shared" si="1"/>
        <v/>
      </c>
      <c r="J59" s="279">
        <f t="shared" si="5"/>
        <v>-1</v>
      </c>
      <c r="K59" s="279">
        <f t="shared" si="2"/>
        <v>-10</v>
      </c>
      <c r="L59" s="279"/>
      <c r="M59" s="281">
        <f t="shared" si="3"/>
        <v>0</v>
      </c>
      <c r="S59" s="267"/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</row>
    <row r="60" spans="1:38" s="262" customFormat="1" x14ac:dyDescent="0.25">
      <c r="A60" s="87">
        <f t="shared" si="4"/>
        <v>0</v>
      </c>
      <c r="B60" s="34" t="str">
        <f t="shared" si="0"/>
        <v/>
      </c>
      <c r="C60" s="35"/>
      <c r="D60" s="35"/>
      <c r="E60" s="35"/>
      <c r="F60" s="35"/>
      <c r="H60" s="276">
        <v>55</v>
      </c>
      <c r="I60" s="277" t="str">
        <f t="shared" si="1"/>
        <v/>
      </c>
      <c r="J60" s="276">
        <f t="shared" si="5"/>
        <v>-1</v>
      </c>
      <c r="K60" s="276">
        <f t="shared" si="2"/>
        <v>-10</v>
      </c>
      <c r="L60" s="276"/>
      <c r="M60" s="278">
        <f t="shared" si="3"/>
        <v>0</v>
      </c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</row>
    <row r="61" spans="1:38" s="262" customFormat="1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H61" s="279">
        <v>56</v>
      </c>
      <c r="I61" s="280" t="str">
        <f t="shared" si="1"/>
        <v/>
      </c>
      <c r="J61" s="279">
        <f t="shared" si="5"/>
        <v>-1</v>
      </c>
      <c r="K61" s="279">
        <f t="shared" si="2"/>
        <v>-10</v>
      </c>
      <c r="L61" s="279"/>
      <c r="M61" s="281">
        <f t="shared" si="3"/>
        <v>0</v>
      </c>
      <c r="S61" s="267"/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</row>
    <row r="62" spans="1:38" s="262" customFormat="1" x14ac:dyDescent="0.25">
      <c r="A62" s="87">
        <f t="shared" si="4"/>
        <v>0</v>
      </c>
      <c r="B62" s="34" t="str">
        <f t="shared" si="0"/>
        <v/>
      </c>
      <c r="C62" s="35"/>
      <c r="D62" s="35"/>
      <c r="E62" s="35"/>
      <c r="F62" s="35"/>
      <c r="H62" s="276">
        <v>57</v>
      </c>
      <c r="I62" s="277" t="str">
        <f t="shared" si="1"/>
        <v/>
      </c>
      <c r="J62" s="276">
        <f t="shared" si="5"/>
        <v>-1</v>
      </c>
      <c r="K62" s="276">
        <f t="shared" si="2"/>
        <v>-10</v>
      </c>
      <c r="L62" s="276"/>
      <c r="M62" s="278">
        <f t="shared" si="3"/>
        <v>0</v>
      </c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</row>
    <row r="63" spans="1:38" s="262" customFormat="1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H63" s="279">
        <v>58</v>
      </c>
      <c r="I63" s="280" t="str">
        <f t="shared" si="1"/>
        <v/>
      </c>
      <c r="J63" s="279">
        <f t="shared" si="5"/>
        <v>-1</v>
      </c>
      <c r="K63" s="279">
        <f t="shared" si="2"/>
        <v>-10</v>
      </c>
      <c r="L63" s="279"/>
      <c r="M63" s="281">
        <f t="shared" si="3"/>
        <v>0</v>
      </c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</row>
    <row r="64" spans="1:38" s="262" customFormat="1" x14ac:dyDescent="0.25">
      <c r="A64" s="87">
        <f t="shared" si="4"/>
        <v>0</v>
      </c>
      <c r="B64" s="34" t="str">
        <f t="shared" si="0"/>
        <v/>
      </c>
      <c r="C64" s="35"/>
      <c r="D64" s="35"/>
      <c r="E64" s="35"/>
      <c r="F64" s="35"/>
      <c r="H64" s="276">
        <v>59</v>
      </c>
      <c r="I64" s="277" t="str">
        <f t="shared" si="1"/>
        <v/>
      </c>
      <c r="J64" s="276">
        <f t="shared" si="5"/>
        <v>-1</v>
      </c>
      <c r="K64" s="276">
        <f t="shared" si="2"/>
        <v>-10</v>
      </c>
      <c r="L64" s="276"/>
      <c r="M64" s="278">
        <f t="shared" si="3"/>
        <v>0</v>
      </c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</row>
    <row r="65" spans="1:38" s="262" customFormat="1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H65" s="279">
        <v>60</v>
      </c>
      <c r="I65" s="280" t="str">
        <f t="shared" si="1"/>
        <v/>
      </c>
      <c r="J65" s="279">
        <f t="shared" si="5"/>
        <v>-1</v>
      </c>
      <c r="K65" s="279">
        <f t="shared" si="2"/>
        <v>-10</v>
      </c>
      <c r="L65" s="279"/>
      <c r="M65" s="281">
        <f t="shared" si="3"/>
        <v>0</v>
      </c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</row>
    <row r="66" spans="1:38" s="262" customFormat="1" x14ac:dyDescent="0.25">
      <c r="A66" s="87">
        <f t="shared" si="4"/>
        <v>0</v>
      </c>
      <c r="B66" s="34" t="str">
        <f t="shared" si="0"/>
        <v/>
      </c>
      <c r="C66" s="35"/>
      <c r="D66" s="35"/>
      <c r="E66" s="35"/>
      <c r="F66" s="35"/>
      <c r="H66" s="276">
        <v>61</v>
      </c>
      <c r="I66" s="277" t="str">
        <f t="shared" si="1"/>
        <v/>
      </c>
      <c r="J66" s="276">
        <f t="shared" si="5"/>
        <v>-1</v>
      </c>
      <c r="K66" s="276">
        <f t="shared" si="2"/>
        <v>-10</v>
      </c>
      <c r="L66" s="276"/>
      <c r="M66" s="278">
        <f t="shared" si="3"/>
        <v>0</v>
      </c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</row>
    <row r="67" spans="1:38" s="262" customFormat="1" x14ac:dyDescent="0.25">
      <c r="A67" s="91">
        <f t="shared" si="4"/>
        <v>0</v>
      </c>
      <c r="B67" s="40" t="str">
        <f t="shared" si="0"/>
        <v/>
      </c>
      <c r="C67" s="41"/>
      <c r="D67" s="41"/>
      <c r="E67" s="41"/>
      <c r="F67" s="41"/>
      <c r="H67" s="279">
        <v>62</v>
      </c>
      <c r="I67" s="280" t="str">
        <f t="shared" si="1"/>
        <v/>
      </c>
      <c r="J67" s="279">
        <f t="shared" si="5"/>
        <v>-1</v>
      </c>
      <c r="K67" s="279">
        <f t="shared" si="2"/>
        <v>-10</v>
      </c>
      <c r="L67" s="279"/>
      <c r="M67" s="281">
        <f t="shared" si="3"/>
        <v>0</v>
      </c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</row>
    <row r="68" spans="1:38" s="262" customFormat="1" x14ac:dyDescent="0.25">
      <c r="A68" s="87">
        <f t="shared" si="4"/>
        <v>0</v>
      </c>
      <c r="B68" s="34" t="str">
        <f t="shared" si="0"/>
        <v/>
      </c>
      <c r="C68" s="35"/>
      <c r="D68" s="35"/>
      <c r="E68" s="35"/>
      <c r="F68" s="35"/>
      <c r="H68" s="276">
        <v>63</v>
      </c>
      <c r="I68" s="277" t="str">
        <f t="shared" si="1"/>
        <v/>
      </c>
      <c r="J68" s="276">
        <f t="shared" si="5"/>
        <v>-1</v>
      </c>
      <c r="K68" s="276">
        <f t="shared" si="2"/>
        <v>-10</v>
      </c>
      <c r="L68" s="276"/>
      <c r="M68" s="278">
        <f t="shared" si="3"/>
        <v>0</v>
      </c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</row>
    <row r="69" spans="1:38" s="262" customFormat="1" x14ac:dyDescent="0.25">
      <c r="A69" s="91">
        <f t="shared" si="4"/>
        <v>0</v>
      </c>
      <c r="B69" s="40" t="str">
        <f t="shared" si="0"/>
        <v/>
      </c>
      <c r="C69" s="41"/>
      <c r="D69" s="41"/>
      <c r="E69" s="41"/>
      <c r="F69" s="41"/>
      <c r="H69" s="279">
        <v>64</v>
      </c>
      <c r="I69" s="280" t="str">
        <f t="shared" si="1"/>
        <v/>
      </c>
      <c r="J69" s="279">
        <f t="shared" si="5"/>
        <v>-1</v>
      </c>
      <c r="K69" s="279">
        <f t="shared" si="2"/>
        <v>-10</v>
      </c>
      <c r="L69" s="279"/>
      <c r="M69" s="281">
        <f t="shared" si="3"/>
        <v>0</v>
      </c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</row>
    <row r="70" spans="1:38" s="262" customFormat="1" x14ac:dyDescent="0.25">
      <c r="A70" s="87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76">
        <v>65</v>
      </c>
      <c r="I70" s="277" t="str">
        <f t="shared" ref="I70:I133" si="7">IF(H70&lt;$H$2+1,($I$2-($I$2-1)*(LOG(H70)/LOG($H$2))),"")</f>
        <v/>
      </c>
      <c r="J70" s="276">
        <f t="shared" si="5"/>
        <v>-2</v>
      </c>
      <c r="K70" s="276">
        <f t="shared" ref="K70:K133" si="8">J70*$J$2</f>
        <v>-20</v>
      </c>
      <c r="L70" s="276"/>
      <c r="M70" s="278">
        <f t="shared" ref="M70:M133" si="9">IF(I70&lt;&gt;"",K70+I70+L70,0)</f>
        <v>0</v>
      </c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</row>
    <row r="71" spans="1:38" s="262" customFormat="1" x14ac:dyDescent="0.25">
      <c r="A71" s="91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79">
        <v>66</v>
      </c>
      <c r="I71" s="280" t="str">
        <f t="shared" si="7"/>
        <v/>
      </c>
      <c r="J71" s="279">
        <f t="shared" ref="J71:J134" si="11">INT(LOG($H$2,2))-ROUNDUP(LOG(H71,2),0)+IF(OR($H$2=1,$H$2=2,$H$2=4,$H$2=8,$H$2=16,$H$2=32,$H$2=64,$H$2=128,$H$2=256),0,1)</f>
        <v>-2</v>
      </c>
      <c r="K71" s="279">
        <f t="shared" si="8"/>
        <v>-20</v>
      </c>
      <c r="L71" s="279"/>
      <c r="M71" s="281">
        <f t="shared" si="9"/>
        <v>0</v>
      </c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</row>
    <row r="72" spans="1:38" s="262" customFormat="1" x14ac:dyDescent="0.25">
      <c r="A72" s="87">
        <f t="shared" si="10"/>
        <v>0</v>
      </c>
      <c r="B72" s="34" t="str">
        <f t="shared" si="6"/>
        <v/>
      </c>
      <c r="C72" s="35"/>
      <c r="D72" s="35"/>
      <c r="E72" s="35"/>
      <c r="F72" s="35"/>
      <c r="H72" s="276">
        <v>67</v>
      </c>
      <c r="I72" s="277" t="str">
        <f t="shared" si="7"/>
        <v/>
      </c>
      <c r="J72" s="276">
        <f t="shared" si="11"/>
        <v>-2</v>
      </c>
      <c r="K72" s="276">
        <f t="shared" si="8"/>
        <v>-20</v>
      </c>
      <c r="L72" s="276"/>
      <c r="M72" s="278">
        <f t="shared" si="9"/>
        <v>0</v>
      </c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</row>
    <row r="73" spans="1:38" s="262" customFormat="1" x14ac:dyDescent="0.25">
      <c r="A73" s="91">
        <f t="shared" si="10"/>
        <v>0</v>
      </c>
      <c r="B73" s="40" t="str">
        <f t="shared" si="6"/>
        <v/>
      </c>
      <c r="C73" s="41"/>
      <c r="D73" s="41"/>
      <c r="E73" s="41"/>
      <c r="F73" s="41"/>
      <c r="H73" s="279">
        <v>68</v>
      </c>
      <c r="I73" s="280" t="str">
        <f t="shared" si="7"/>
        <v/>
      </c>
      <c r="J73" s="279">
        <f t="shared" si="11"/>
        <v>-2</v>
      </c>
      <c r="K73" s="279">
        <f t="shared" si="8"/>
        <v>-20</v>
      </c>
      <c r="L73" s="279"/>
      <c r="M73" s="281">
        <f t="shared" si="9"/>
        <v>0</v>
      </c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</row>
    <row r="74" spans="1:38" s="262" customFormat="1" x14ac:dyDescent="0.25">
      <c r="A74" s="87">
        <f t="shared" si="10"/>
        <v>0</v>
      </c>
      <c r="B74" s="34" t="str">
        <f t="shared" si="6"/>
        <v/>
      </c>
      <c r="C74" s="35"/>
      <c r="D74" s="35"/>
      <c r="E74" s="35"/>
      <c r="F74" s="35"/>
      <c r="H74" s="276">
        <v>69</v>
      </c>
      <c r="I74" s="277" t="str">
        <f t="shared" si="7"/>
        <v/>
      </c>
      <c r="J74" s="276">
        <f t="shared" si="11"/>
        <v>-2</v>
      </c>
      <c r="K74" s="276">
        <f t="shared" si="8"/>
        <v>-20</v>
      </c>
      <c r="L74" s="276"/>
      <c r="M74" s="278">
        <f t="shared" si="9"/>
        <v>0</v>
      </c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</row>
    <row r="75" spans="1:38" s="262" customFormat="1" x14ac:dyDescent="0.25">
      <c r="A75" s="91">
        <f t="shared" si="10"/>
        <v>0</v>
      </c>
      <c r="B75" s="40" t="str">
        <f t="shared" si="6"/>
        <v/>
      </c>
      <c r="C75" s="41"/>
      <c r="D75" s="41"/>
      <c r="E75" s="41"/>
      <c r="F75" s="41"/>
      <c r="H75" s="279">
        <v>70</v>
      </c>
      <c r="I75" s="280" t="str">
        <f t="shared" si="7"/>
        <v/>
      </c>
      <c r="J75" s="279">
        <f t="shared" si="11"/>
        <v>-2</v>
      </c>
      <c r="K75" s="279">
        <f t="shared" si="8"/>
        <v>-20</v>
      </c>
      <c r="L75" s="279"/>
      <c r="M75" s="281">
        <f t="shared" si="9"/>
        <v>0</v>
      </c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</row>
    <row r="76" spans="1:38" s="262" customFormat="1" x14ac:dyDescent="0.25">
      <c r="A76" s="87">
        <f t="shared" si="10"/>
        <v>0</v>
      </c>
      <c r="B76" s="34" t="str">
        <f t="shared" si="6"/>
        <v/>
      </c>
      <c r="C76" s="35"/>
      <c r="D76" s="35"/>
      <c r="E76" s="35"/>
      <c r="F76" s="35"/>
      <c r="H76" s="276">
        <v>71</v>
      </c>
      <c r="I76" s="277" t="str">
        <f t="shared" si="7"/>
        <v/>
      </c>
      <c r="J76" s="276">
        <f t="shared" si="11"/>
        <v>-2</v>
      </c>
      <c r="K76" s="276">
        <f t="shared" si="8"/>
        <v>-20</v>
      </c>
      <c r="L76" s="276"/>
      <c r="M76" s="278">
        <f t="shared" si="9"/>
        <v>0</v>
      </c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</row>
    <row r="77" spans="1:38" s="262" customFormat="1" x14ac:dyDescent="0.25">
      <c r="A77" s="91">
        <f t="shared" si="10"/>
        <v>0</v>
      </c>
      <c r="B77" s="40" t="str">
        <f t="shared" si="6"/>
        <v/>
      </c>
      <c r="C77" s="41"/>
      <c r="D77" s="41"/>
      <c r="E77" s="41"/>
      <c r="F77" s="41"/>
      <c r="H77" s="279">
        <v>72</v>
      </c>
      <c r="I77" s="280" t="str">
        <f t="shared" si="7"/>
        <v/>
      </c>
      <c r="J77" s="279">
        <f t="shared" si="11"/>
        <v>-2</v>
      </c>
      <c r="K77" s="279">
        <f t="shared" si="8"/>
        <v>-20</v>
      </c>
      <c r="L77" s="279"/>
      <c r="M77" s="281">
        <f t="shared" si="9"/>
        <v>0</v>
      </c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</row>
    <row r="78" spans="1:38" s="262" customFormat="1" x14ac:dyDescent="0.25">
      <c r="A78" s="87">
        <f t="shared" si="10"/>
        <v>0</v>
      </c>
      <c r="B78" s="34" t="str">
        <f t="shared" si="6"/>
        <v/>
      </c>
      <c r="C78" s="35"/>
      <c r="D78" s="35"/>
      <c r="E78" s="35"/>
      <c r="F78" s="35"/>
      <c r="H78" s="276">
        <v>73</v>
      </c>
      <c r="I78" s="277" t="str">
        <f t="shared" si="7"/>
        <v/>
      </c>
      <c r="J78" s="276">
        <f t="shared" si="11"/>
        <v>-2</v>
      </c>
      <c r="K78" s="276">
        <f t="shared" si="8"/>
        <v>-20</v>
      </c>
      <c r="L78" s="276"/>
      <c r="M78" s="278">
        <f t="shared" si="9"/>
        <v>0</v>
      </c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</row>
    <row r="79" spans="1:38" s="262" customFormat="1" x14ac:dyDescent="0.25">
      <c r="A79" s="91">
        <f t="shared" si="10"/>
        <v>0</v>
      </c>
      <c r="B79" s="40" t="str">
        <f t="shared" si="6"/>
        <v/>
      </c>
      <c r="C79" s="41"/>
      <c r="D79" s="41"/>
      <c r="E79" s="41"/>
      <c r="F79" s="41"/>
      <c r="H79" s="279">
        <v>74</v>
      </c>
      <c r="I79" s="280" t="str">
        <f t="shared" si="7"/>
        <v/>
      </c>
      <c r="J79" s="279">
        <f t="shared" si="11"/>
        <v>-2</v>
      </c>
      <c r="K79" s="279">
        <f t="shared" si="8"/>
        <v>-20</v>
      </c>
      <c r="L79" s="279"/>
      <c r="M79" s="281">
        <f t="shared" si="9"/>
        <v>0</v>
      </c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</row>
    <row r="80" spans="1:38" s="262" customFormat="1" x14ac:dyDescent="0.25">
      <c r="A80" s="87">
        <f t="shared" si="10"/>
        <v>0</v>
      </c>
      <c r="B80" s="34" t="str">
        <f t="shared" si="6"/>
        <v/>
      </c>
      <c r="C80" s="35"/>
      <c r="D80" s="35"/>
      <c r="E80" s="35"/>
      <c r="F80" s="35"/>
      <c r="H80" s="276">
        <v>75</v>
      </c>
      <c r="I80" s="277" t="str">
        <f t="shared" si="7"/>
        <v/>
      </c>
      <c r="J80" s="276">
        <f t="shared" si="11"/>
        <v>-2</v>
      </c>
      <c r="K80" s="276">
        <f t="shared" si="8"/>
        <v>-20</v>
      </c>
      <c r="L80" s="276"/>
      <c r="M80" s="278">
        <f t="shared" si="9"/>
        <v>0</v>
      </c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</row>
    <row r="81" spans="1:38" s="262" customFormat="1" x14ac:dyDescent="0.25">
      <c r="A81" s="91">
        <f t="shared" si="10"/>
        <v>0</v>
      </c>
      <c r="B81" s="40" t="str">
        <f t="shared" si="6"/>
        <v/>
      </c>
      <c r="C81" s="41"/>
      <c r="D81" s="41"/>
      <c r="E81" s="41"/>
      <c r="F81" s="41"/>
      <c r="H81" s="279">
        <v>76</v>
      </c>
      <c r="I81" s="280" t="str">
        <f t="shared" si="7"/>
        <v/>
      </c>
      <c r="J81" s="279">
        <f t="shared" si="11"/>
        <v>-2</v>
      </c>
      <c r="K81" s="279">
        <f t="shared" si="8"/>
        <v>-20</v>
      </c>
      <c r="L81" s="279"/>
      <c r="M81" s="281">
        <f t="shared" si="9"/>
        <v>0</v>
      </c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</row>
    <row r="82" spans="1:38" s="262" customFormat="1" x14ac:dyDescent="0.25">
      <c r="A82" s="87">
        <f t="shared" si="10"/>
        <v>0</v>
      </c>
      <c r="B82" s="34" t="str">
        <f t="shared" si="6"/>
        <v/>
      </c>
      <c r="C82" s="35"/>
      <c r="D82" s="35"/>
      <c r="E82" s="35"/>
      <c r="F82" s="35"/>
      <c r="H82" s="276">
        <v>77</v>
      </c>
      <c r="I82" s="277" t="str">
        <f t="shared" si="7"/>
        <v/>
      </c>
      <c r="J82" s="276">
        <f t="shared" si="11"/>
        <v>-2</v>
      </c>
      <c r="K82" s="276">
        <f t="shared" si="8"/>
        <v>-20</v>
      </c>
      <c r="L82" s="276"/>
      <c r="M82" s="278">
        <f t="shared" si="9"/>
        <v>0</v>
      </c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</row>
    <row r="83" spans="1:38" s="262" customFormat="1" x14ac:dyDescent="0.25">
      <c r="A83" s="91">
        <f t="shared" si="10"/>
        <v>0</v>
      </c>
      <c r="B83" s="40" t="str">
        <f t="shared" si="6"/>
        <v/>
      </c>
      <c r="C83" s="41"/>
      <c r="D83" s="41"/>
      <c r="E83" s="41"/>
      <c r="F83" s="41"/>
      <c r="H83" s="279">
        <v>78</v>
      </c>
      <c r="I83" s="280" t="str">
        <f t="shared" si="7"/>
        <v/>
      </c>
      <c r="J83" s="279">
        <f t="shared" si="11"/>
        <v>-2</v>
      </c>
      <c r="K83" s="279">
        <f t="shared" si="8"/>
        <v>-20</v>
      </c>
      <c r="L83" s="279"/>
      <c r="M83" s="281">
        <f t="shared" si="9"/>
        <v>0</v>
      </c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</row>
    <row r="84" spans="1:38" s="262" customFormat="1" x14ac:dyDescent="0.25">
      <c r="A84" s="87">
        <f t="shared" si="10"/>
        <v>0</v>
      </c>
      <c r="B84" s="34" t="str">
        <f t="shared" si="6"/>
        <v/>
      </c>
      <c r="C84" s="35"/>
      <c r="D84" s="35"/>
      <c r="E84" s="35"/>
      <c r="F84" s="35"/>
      <c r="H84" s="276">
        <v>79</v>
      </c>
      <c r="I84" s="277" t="str">
        <f t="shared" si="7"/>
        <v/>
      </c>
      <c r="J84" s="276">
        <f t="shared" si="11"/>
        <v>-2</v>
      </c>
      <c r="K84" s="276">
        <f t="shared" si="8"/>
        <v>-20</v>
      </c>
      <c r="L84" s="276"/>
      <c r="M84" s="278">
        <f t="shared" si="9"/>
        <v>0</v>
      </c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</row>
    <row r="85" spans="1:38" s="262" customFormat="1" x14ac:dyDescent="0.25">
      <c r="A85" s="91">
        <f t="shared" si="10"/>
        <v>0</v>
      </c>
      <c r="B85" s="40" t="str">
        <f t="shared" si="6"/>
        <v/>
      </c>
      <c r="C85" s="41"/>
      <c r="D85" s="41"/>
      <c r="E85" s="41"/>
      <c r="F85" s="41"/>
      <c r="H85" s="279">
        <v>80</v>
      </c>
      <c r="I85" s="280" t="str">
        <f t="shared" si="7"/>
        <v/>
      </c>
      <c r="J85" s="279">
        <f t="shared" si="11"/>
        <v>-2</v>
      </c>
      <c r="K85" s="279">
        <f t="shared" si="8"/>
        <v>-20</v>
      </c>
      <c r="L85" s="279"/>
      <c r="M85" s="281">
        <f t="shared" si="9"/>
        <v>0</v>
      </c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</row>
    <row r="86" spans="1:38" s="262" customFormat="1" x14ac:dyDescent="0.25">
      <c r="A86" s="87">
        <f t="shared" si="10"/>
        <v>0</v>
      </c>
      <c r="B86" s="34" t="str">
        <f t="shared" si="6"/>
        <v/>
      </c>
      <c r="C86" s="35"/>
      <c r="D86" s="35"/>
      <c r="E86" s="35"/>
      <c r="F86" s="35"/>
      <c r="H86" s="276">
        <v>81</v>
      </c>
      <c r="I86" s="277" t="str">
        <f t="shared" si="7"/>
        <v/>
      </c>
      <c r="J86" s="276">
        <f t="shared" si="11"/>
        <v>-2</v>
      </c>
      <c r="K86" s="276">
        <f t="shared" si="8"/>
        <v>-20</v>
      </c>
      <c r="L86" s="276"/>
      <c r="M86" s="278">
        <f t="shared" si="9"/>
        <v>0</v>
      </c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</row>
    <row r="87" spans="1:38" s="262" customFormat="1" x14ac:dyDescent="0.25">
      <c r="A87" s="91">
        <f t="shared" si="10"/>
        <v>0</v>
      </c>
      <c r="B87" s="40" t="str">
        <f t="shared" si="6"/>
        <v/>
      </c>
      <c r="C87" s="41"/>
      <c r="D87" s="41"/>
      <c r="E87" s="41"/>
      <c r="F87" s="41"/>
      <c r="H87" s="279">
        <v>82</v>
      </c>
      <c r="I87" s="280" t="str">
        <f t="shared" si="7"/>
        <v/>
      </c>
      <c r="J87" s="279">
        <f t="shared" si="11"/>
        <v>-2</v>
      </c>
      <c r="K87" s="279">
        <f t="shared" si="8"/>
        <v>-20</v>
      </c>
      <c r="L87" s="279"/>
      <c r="M87" s="281">
        <f t="shared" si="9"/>
        <v>0</v>
      </c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</row>
    <row r="88" spans="1:38" s="262" customFormat="1" x14ac:dyDescent="0.25">
      <c r="A88" s="87">
        <f t="shared" si="10"/>
        <v>0</v>
      </c>
      <c r="B88" s="34" t="str">
        <f t="shared" si="6"/>
        <v/>
      </c>
      <c r="C88" s="35"/>
      <c r="D88" s="35"/>
      <c r="E88" s="35"/>
      <c r="F88" s="35"/>
      <c r="H88" s="276">
        <v>83</v>
      </c>
      <c r="I88" s="277" t="str">
        <f t="shared" si="7"/>
        <v/>
      </c>
      <c r="J88" s="276">
        <f t="shared" si="11"/>
        <v>-2</v>
      </c>
      <c r="K88" s="276">
        <f t="shared" si="8"/>
        <v>-20</v>
      </c>
      <c r="L88" s="276"/>
      <c r="M88" s="278">
        <f t="shared" si="9"/>
        <v>0</v>
      </c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</row>
    <row r="89" spans="1:38" s="262" customFormat="1" x14ac:dyDescent="0.25">
      <c r="A89" s="91">
        <f t="shared" si="10"/>
        <v>0</v>
      </c>
      <c r="B89" s="40" t="str">
        <f t="shared" si="6"/>
        <v/>
      </c>
      <c r="C89" s="41"/>
      <c r="D89" s="41"/>
      <c r="E89" s="41"/>
      <c r="F89" s="41"/>
      <c r="H89" s="279">
        <v>84</v>
      </c>
      <c r="I89" s="280" t="str">
        <f t="shared" si="7"/>
        <v/>
      </c>
      <c r="J89" s="279">
        <f t="shared" si="11"/>
        <v>-2</v>
      </c>
      <c r="K89" s="279">
        <f t="shared" si="8"/>
        <v>-20</v>
      </c>
      <c r="L89" s="279"/>
      <c r="M89" s="281">
        <f t="shared" si="9"/>
        <v>0</v>
      </c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</row>
    <row r="90" spans="1:38" s="262" customFormat="1" x14ac:dyDescent="0.25">
      <c r="A90" s="87">
        <f t="shared" si="10"/>
        <v>0</v>
      </c>
      <c r="B90" s="34" t="str">
        <f t="shared" si="6"/>
        <v/>
      </c>
      <c r="C90" s="35"/>
      <c r="D90" s="35"/>
      <c r="E90" s="35"/>
      <c r="F90" s="35"/>
      <c r="H90" s="276">
        <v>85</v>
      </c>
      <c r="I90" s="277" t="str">
        <f t="shared" si="7"/>
        <v/>
      </c>
      <c r="J90" s="276">
        <f t="shared" si="11"/>
        <v>-2</v>
      </c>
      <c r="K90" s="276">
        <f t="shared" si="8"/>
        <v>-20</v>
      </c>
      <c r="L90" s="276"/>
      <c r="M90" s="278">
        <f t="shared" si="9"/>
        <v>0</v>
      </c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</row>
    <row r="91" spans="1:38" s="262" customFormat="1" x14ac:dyDescent="0.25">
      <c r="A91" s="91">
        <f t="shared" si="10"/>
        <v>0</v>
      </c>
      <c r="B91" s="40" t="str">
        <f t="shared" si="6"/>
        <v/>
      </c>
      <c r="C91" s="41"/>
      <c r="D91" s="41"/>
      <c r="E91" s="41"/>
      <c r="F91" s="41"/>
      <c r="H91" s="279">
        <v>86</v>
      </c>
      <c r="I91" s="280" t="str">
        <f t="shared" si="7"/>
        <v/>
      </c>
      <c r="J91" s="279">
        <f t="shared" si="11"/>
        <v>-2</v>
      </c>
      <c r="K91" s="279">
        <f t="shared" si="8"/>
        <v>-20</v>
      </c>
      <c r="L91" s="279"/>
      <c r="M91" s="281">
        <f t="shared" si="9"/>
        <v>0</v>
      </c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</row>
    <row r="92" spans="1:38" s="262" customFormat="1" x14ac:dyDescent="0.25">
      <c r="A92" s="87">
        <f t="shared" si="10"/>
        <v>0</v>
      </c>
      <c r="B92" s="34" t="str">
        <f t="shared" si="6"/>
        <v/>
      </c>
      <c r="C92" s="35"/>
      <c r="D92" s="35"/>
      <c r="E92" s="35"/>
      <c r="F92" s="35"/>
      <c r="H92" s="276">
        <v>87</v>
      </c>
      <c r="I92" s="277" t="str">
        <f t="shared" si="7"/>
        <v/>
      </c>
      <c r="J92" s="276">
        <f t="shared" si="11"/>
        <v>-2</v>
      </c>
      <c r="K92" s="276">
        <f t="shared" si="8"/>
        <v>-20</v>
      </c>
      <c r="L92" s="276"/>
      <c r="M92" s="278">
        <f t="shared" si="9"/>
        <v>0</v>
      </c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</row>
    <row r="93" spans="1:38" s="262" customFormat="1" x14ac:dyDescent="0.25">
      <c r="A93" s="91">
        <f t="shared" si="10"/>
        <v>0</v>
      </c>
      <c r="B93" s="40" t="str">
        <f t="shared" si="6"/>
        <v/>
      </c>
      <c r="C93" s="41"/>
      <c r="D93" s="41"/>
      <c r="E93" s="41"/>
      <c r="F93" s="41"/>
      <c r="H93" s="279">
        <v>88</v>
      </c>
      <c r="I93" s="280" t="str">
        <f t="shared" si="7"/>
        <v/>
      </c>
      <c r="J93" s="279">
        <f t="shared" si="11"/>
        <v>-2</v>
      </c>
      <c r="K93" s="279">
        <f t="shared" si="8"/>
        <v>-20</v>
      </c>
      <c r="L93" s="279"/>
      <c r="M93" s="281">
        <f t="shared" si="9"/>
        <v>0</v>
      </c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</row>
    <row r="94" spans="1:38" s="262" customFormat="1" x14ac:dyDescent="0.25">
      <c r="A94" s="87">
        <f t="shared" si="10"/>
        <v>0</v>
      </c>
      <c r="B94" s="34" t="str">
        <f t="shared" si="6"/>
        <v/>
      </c>
      <c r="C94" s="35"/>
      <c r="D94" s="35"/>
      <c r="E94" s="35"/>
      <c r="F94" s="35"/>
      <c r="H94" s="276">
        <v>89</v>
      </c>
      <c r="I94" s="277" t="str">
        <f t="shared" si="7"/>
        <v/>
      </c>
      <c r="J94" s="276">
        <f t="shared" si="11"/>
        <v>-2</v>
      </c>
      <c r="K94" s="276">
        <f t="shared" si="8"/>
        <v>-20</v>
      </c>
      <c r="L94" s="276"/>
      <c r="M94" s="278">
        <f t="shared" si="9"/>
        <v>0</v>
      </c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</row>
    <row r="95" spans="1:38" s="262" customFormat="1" x14ac:dyDescent="0.25">
      <c r="A95" s="91">
        <f t="shared" si="10"/>
        <v>0</v>
      </c>
      <c r="B95" s="40" t="str">
        <f t="shared" si="6"/>
        <v/>
      </c>
      <c r="C95" s="41"/>
      <c r="D95" s="41"/>
      <c r="E95" s="41"/>
      <c r="F95" s="41"/>
      <c r="H95" s="279">
        <v>90</v>
      </c>
      <c r="I95" s="280" t="str">
        <f t="shared" si="7"/>
        <v/>
      </c>
      <c r="J95" s="279">
        <f t="shared" si="11"/>
        <v>-2</v>
      </c>
      <c r="K95" s="279">
        <f t="shared" si="8"/>
        <v>-20</v>
      </c>
      <c r="L95" s="279"/>
      <c r="M95" s="281">
        <f t="shared" si="9"/>
        <v>0</v>
      </c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</row>
    <row r="96" spans="1:38" s="262" customFormat="1" x14ac:dyDescent="0.25">
      <c r="A96" s="87">
        <f t="shared" si="10"/>
        <v>0</v>
      </c>
      <c r="B96" s="34" t="str">
        <f t="shared" si="6"/>
        <v/>
      </c>
      <c r="C96" s="35"/>
      <c r="D96" s="35"/>
      <c r="E96" s="35"/>
      <c r="F96" s="35"/>
      <c r="H96" s="276">
        <v>91</v>
      </c>
      <c r="I96" s="277" t="str">
        <f t="shared" si="7"/>
        <v/>
      </c>
      <c r="J96" s="276">
        <f t="shared" si="11"/>
        <v>-2</v>
      </c>
      <c r="K96" s="276">
        <f t="shared" si="8"/>
        <v>-20</v>
      </c>
      <c r="L96" s="276"/>
      <c r="M96" s="278">
        <f t="shared" si="9"/>
        <v>0</v>
      </c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</row>
    <row r="97" spans="1:38" s="262" customFormat="1" x14ac:dyDescent="0.25">
      <c r="A97" s="91">
        <f t="shared" si="10"/>
        <v>0</v>
      </c>
      <c r="B97" s="40" t="str">
        <f t="shared" si="6"/>
        <v/>
      </c>
      <c r="C97" s="41"/>
      <c r="D97" s="41"/>
      <c r="E97" s="41"/>
      <c r="F97" s="41"/>
      <c r="H97" s="279">
        <v>92</v>
      </c>
      <c r="I97" s="280" t="str">
        <f t="shared" si="7"/>
        <v/>
      </c>
      <c r="J97" s="279">
        <f t="shared" si="11"/>
        <v>-2</v>
      </c>
      <c r="K97" s="279">
        <f t="shared" si="8"/>
        <v>-20</v>
      </c>
      <c r="L97" s="279"/>
      <c r="M97" s="281">
        <f t="shared" si="9"/>
        <v>0</v>
      </c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</row>
    <row r="98" spans="1:38" s="262" customFormat="1" x14ac:dyDescent="0.25">
      <c r="A98" s="87">
        <f t="shared" si="10"/>
        <v>0</v>
      </c>
      <c r="B98" s="34" t="str">
        <f t="shared" si="6"/>
        <v/>
      </c>
      <c r="C98" s="35"/>
      <c r="D98" s="35"/>
      <c r="E98" s="35"/>
      <c r="F98" s="35"/>
      <c r="H98" s="276">
        <v>93</v>
      </c>
      <c r="I98" s="277" t="str">
        <f t="shared" si="7"/>
        <v/>
      </c>
      <c r="J98" s="276">
        <f t="shared" si="11"/>
        <v>-2</v>
      </c>
      <c r="K98" s="276">
        <f t="shared" si="8"/>
        <v>-20</v>
      </c>
      <c r="L98" s="276"/>
      <c r="M98" s="278">
        <f t="shared" si="9"/>
        <v>0</v>
      </c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</row>
    <row r="99" spans="1:38" s="262" customFormat="1" x14ac:dyDescent="0.25">
      <c r="A99" s="91">
        <f t="shared" si="10"/>
        <v>0</v>
      </c>
      <c r="B99" s="40" t="str">
        <f t="shared" si="6"/>
        <v/>
      </c>
      <c r="C99" s="41"/>
      <c r="D99" s="41"/>
      <c r="E99" s="41"/>
      <c r="F99" s="41"/>
      <c r="H99" s="279">
        <v>94</v>
      </c>
      <c r="I99" s="280" t="str">
        <f t="shared" si="7"/>
        <v/>
      </c>
      <c r="J99" s="279">
        <f t="shared" si="11"/>
        <v>-2</v>
      </c>
      <c r="K99" s="279">
        <f t="shared" si="8"/>
        <v>-20</v>
      </c>
      <c r="L99" s="279"/>
      <c r="M99" s="281">
        <f t="shared" si="9"/>
        <v>0</v>
      </c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</row>
    <row r="100" spans="1:38" s="262" customFormat="1" x14ac:dyDescent="0.25">
      <c r="A100" s="87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76">
        <v>95</v>
      </c>
      <c r="I100" s="277" t="str">
        <f t="shared" si="7"/>
        <v/>
      </c>
      <c r="J100" s="276">
        <f t="shared" si="11"/>
        <v>-2</v>
      </c>
      <c r="K100" s="276">
        <f t="shared" si="8"/>
        <v>-20</v>
      </c>
      <c r="L100" s="276"/>
      <c r="M100" s="278">
        <f t="shared" si="9"/>
        <v>0</v>
      </c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</row>
    <row r="101" spans="1:38" s="262" customFormat="1" x14ac:dyDescent="0.25">
      <c r="A101" s="91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79">
        <v>96</v>
      </c>
      <c r="I101" s="280" t="str">
        <f t="shared" si="7"/>
        <v/>
      </c>
      <c r="J101" s="279">
        <f t="shared" si="11"/>
        <v>-2</v>
      </c>
      <c r="K101" s="279">
        <f t="shared" si="8"/>
        <v>-20</v>
      </c>
      <c r="L101" s="279"/>
      <c r="M101" s="281">
        <f t="shared" si="9"/>
        <v>0</v>
      </c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</row>
    <row r="102" spans="1:38" s="262" customFormat="1" x14ac:dyDescent="0.25">
      <c r="A102" s="87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76">
        <v>97</v>
      </c>
      <c r="I102" s="277" t="str">
        <f t="shared" si="7"/>
        <v/>
      </c>
      <c r="J102" s="276">
        <f t="shared" si="11"/>
        <v>-2</v>
      </c>
      <c r="K102" s="276">
        <f t="shared" si="8"/>
        <v>-20</v>
      </c>
      <c r="L102" s="276"/>
      <c r="M102" s="278">
        <f t="shared" si="9"/>
        <v>0</v>
      </c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</row>
    <row r="103" spans="1:38" s="262" customFormat="1" x14ac:dyDescent="0.25">
      <c r="A103" s="91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79">
        <v>98</v>
      </c>
      <c r="I103" s="280" t="str">
        <f t="shared" si="7"/>
        <v/>
      </c>
      <c r="J103" s="279">
        <f t="shared" si="11"/>
        <v>-2</v>
      </c>
      <c r="K103" s="279">
        <f t="shared" si="8"/>
        <v>-20</v>
      </c>
      <c r="L103" s="279"/>
      <c r="M103" s="281">
        <f t="shared" si="9"/>
        <v>0</v>
      </c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</row>
    <row r="104" spans="1:38" s="262" customFormat="1" x14ac:dyDescent="0.25">
      <c r="A104" s="87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76">
        <v>99</v>
      </c>
      <c r="I104" s="277" t="str">
        <f t="shared" si="7"/>
        <v/>
      </c>
      <c r="J104" s="276">
        <f t="shared" si="11"/>
        <v>-2</v>
      </c>
      <c r="K104" s="276">
        <f t="shared" si="8"/>
        <v>-20</v>
      </c>
      <c r="L104" s="276"/>
      <c r="M104" s="278">
        <f t="shared" si="9"/>
        <v>0</v>
      </c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</row>
    <row r="105" spans="1:38" s="262" customFormat="1" x14ac:dyDescent="0.25">
      <c r="A105" s="91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79">
        <v>100</v>
      </c>
      <c r="I105" s="280" t="str">
        <f t="shared" si="7"/>
        <v/>
      </c>
      <c r="J105" s="279">
        <f t="shared" si="11"/>
        <v>-2</v>
      </c>
      <c r="K105" s="279">
        <f t="shared" si="8"/>
        <v>-20</v>
      </c>
      <c r="L105" s="279"/>
      <c r="M105" s="281">
        <f t="shared" si="9"/>
        <v>0</v>
      </c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</row>
    <row r="106" spans="1:38" s="262" customFormat="1" x14ac:dyDescent="0.25">
      <c r="A106" s="87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76">
        <v>101</v>
      </c>
      <c r="I106" s="277" t="str">
        <f t="shared" si="7"/>
        <v/>
      </c>
      <c r="J106" s="276">
        <f t="shared" si="11"/>
        <v>-2</v>
      </c>
      <c r="K106" s="276">
        <f t="shared" si="8"/>
        <v>-20</v>
      </c>
      <c r="L106" s="276"/>
      <c r="M106" s="278">
        <f t="shared" si="9"/>
        <v>0</v>
      </c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</row>
    <row r="107" spans="1:38" s="262" customFormat="1" x14ac:dyDescent="0.25">
      <c r="A107" s="91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79">
        <v>102</v>
      </c>
      <c r="I107" s="280" t="str">
        <f t="shared" si="7"/>
        <v/>
      </c>
      <c r="J107" s="279">
        <f t="shared" si="11"/>
        <v>-2</v>
      </c>
      <c r="K107" s="279">
        <f t="shared" si="8"/>
        <v>-20</v>
      </c>
      <c r="L107" s="279"/>
      <c r="M107" s="281">
        <f t="shared" si="9"/>
        <v>0</v>
      </c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</row>
    <row r="108" spans="1:38" s="262" customFormat="1" x14ac:dyDescent="0.25">
      <c r="A108" s="87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76">
        <v>103</v>
      </c>
      <c r="I108" s="277" t="str">
        <f t="shared" si="7"/>
        <v/>
      </c>
      <c r="J108" s="276">
        <f t="shared" si="11"/>
        <v>-2</v>
      </c>
      <c r="K108" s="276">
        <f t="shared" si="8"/>
        <v>-20</v>
      </c>
      <c r="L108" s="276"/>
      <c r="M108" s="278">
        <f t="shared" si="9"/>
        <v>0</v>
      </c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</row>
    <row r="109" spans="1:38" s="262" customFormat="1" x14ac:dyDescent="0.25">
      <c r="A109" s="91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79">
        <v>104</v>
      </c>
      <c r="I109" s="280" t="str">
        <f t="shared" si="7"/>
        <v/>
      </c>
      <c r="J109" s="279">
        <f t="shared" si="11"/>
        <v>-2</v>
      </c>
      <c r="K109" s="279">
        <f t="shared" si="8"/>
        <v>-20</v>
      </c>
      <c r="L109" s="279"/>
      <c r="M109" s="281">
        <f t="shared" si="9"/>
        <v>0</v>
      </c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</row>
    <row r="110" spans="1:38" s="262" customFormat="1" x14ac:dyDescent="0.25">
      <c r="A110" s="87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76">
        <v>105</v>
      </c>
      <c r="I110" s="277" t="str">
        <f t="shared" si="7"/>
        <v/>
      </c>
      <c r="J110" s="276">
        <f t="shared" si="11"/>
        <v>-2</v>
      </c>
      <c r="K110" s="276">
        <f t="shared" si="8"/>
        <v>-20</v>
      </c>
      <c r="L110" s="276"/>
      <c r="M110" s="278">
        <f t="shared" si="9"/>
        <v>0</v>
      </c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</row>
    <row r="111" spans="1:38" s="262" customFormat="1" x14ac:dyDescent="0.25">
      <c r="A111" s="91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79">
        <v>106</v>
      </c>
      <c r="I111" s="280" t="str">
        <f t="shared" si="7"/>
        <v/>
      </c>
      <c r="J111" s="279">
        <f t="shared" si="11"/>
        <v>-2</v>
      </c>
      <c r="K111" s="279">
        <f t="shared" si="8"/>
        <v>-20</v>
      </c>
      <c r="L111" s="279"/>
      <c r="M111" s="281">
        <f t="shared" si="9"/>
        <v>0</v>
      </c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</row>
    <row r="112" spans="1:38" s="262" customFormat="1" x14ac:dyDescent="0.25">
      <c r="A112" s="87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76">
        <v>107</v>
      </c>
      <c r="I112" s="277" t="str">
        <f t="shared" si="7"/>
        <v/>
      </c>
      <c r="J112" s="276">
        <f t="shared" si="11"/>
        <v>-2</v>
      </c>
      <c r="K112" s="276">
        <f t="shared" si="8"/>
        <v>-20</v>
      </c>
      <c r="L112" s="276"/>
      <c r="M112" s="278">
        <f t="shared" si="9"/>
        <v>0</v>
      </c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</row>
    <row r="113" spans="1:38" s="262" customFormat="1" x14ac:dyDescent="0.25">
      <c r="A113" s="91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79">
        <v>108</v>
      </c>
      <c r="I113" s="280" t="str">
        <f t="shared" si="7"/>
        <v/>
      </c>
      <c r="J113" s="279">
        <f t="shared" si="11"/>
        <v>-2</v>
      </c>
      <c r="K113" s="279">
        <f t="shared" si="8"/>
        <v>-20</v>
      </c>
      <c r="L113" s="279"/>
      <c r="M113" s="281">
        <f t="shared" si="9"/>
        <v>0</v>
      </c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</row>
    <row r="114" spans="1:38" s="262" customFormat="1" x14ac:dyDescent="0.25">
      <c r="A114" s="87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76">
        <v>109</v>
      </c>
      <c r="I114" s="277" t="str">
        <f t="shared" si="7"/>
        <v/>
      </c>
      <c r="J114" s="276">
        <f t="shared" si="11"/>
        <v>-2</v>
      </c>
      <c r="K114" s="276">
        <f t="shared" si="8"/>
        <v>-20</v>
      </c>
      <c r="L114" s="276"/>
      <c r="M114" s="278">
        <f t="shared" si="9"/>
        <v>0</v>
      </c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</row>
    <row r="115" spans="1:38" s="262" customFormat="1" x14ac:dyDescent="0.25">
      <c r="A115" s="91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79">
        <v>110</v>
      </c>
      <c r="I115" s="280" t="str">
        <f t="shared" si="7"/>
        <v/>
      </c>
      <c r="J115" s="279">
        <f t="shared" si="11"/>
        <v>-2</v>
      </c>
      <c r="K115" s="279">
        <f t="shared" si="8"/>
        <v>-20</v>
      </c>
      <c r="L115" s="279"/>
      <c r="M115" s="281">
        <f t="shared" si="9"/>
        <v>0</v>
      </c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</row>
    <row r="116" spans="1:38" s="262" customFormat="1" x14ac:dyDescent="0.25">
      <c r="A116" s="87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76">
        <v>111</v>
      </c>
      <c r="I116" s="277" t="str">
        <f t="shared" si="7"/>
        <v/>
      </c>
      <c r="J116" s="276">
        <f t="shared" si="11"/>
        <v>-2</v>
      </c>
      <c r="K116" s="276">
        <f t="shared" si="8"/>
        <v>-20</v>
      </c>
      <c r="L116" s="276"/>
      <c r="M116" s="278">
        <f t="shared" si="9"/>
        <v>0</v>
      </c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</row>
    <row r="117" spans="1:38" s="262" customFormat="1" x14ac:dyDescent="0.25">
      <c r="A117" s="91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79">
        <v>112</v>
      </c>
      <c r="I117" s="280" t="str">
        <f t="shared" si="7"/>
        <v/>
      </c>
      <c r="J117" s="279">
        <f t="shared" si="11"/>
        <v>-2</v>
      </c>
      <c r="K117" s="279">
        <f t="shared" si="8"/>
        <v>-20</v>
      </c>
      <c r="L117" s="279"/>
      <c r="M117" s="281">
        <f t="shared" si="9"/>
        <v>0</v>
      </c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</row>
    <row r="118" spans="1:38" s="262" customFormat="1" x14ac:dyDescent="0.25">
      <c r="A118" s="87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76">
        <v>113</v>
      </c>
      <c r="I118" s="277" t="str">
        <f t="shared" si="7"/>
        <v/>
      </c>
      <c r="J118" s="276">
        <f t="shared" si="11"/>
        <v>-2</v>
      </c>
      <c r="K118" s="276">
        <f t="shared" si="8"/>
        <v>-20</v>
      </c>
      <c r="L118" s="276"/>
      <c r="M118" s="278">
        <f t="shared" si="9"/>
        <v>0</v>
      </c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</row>
    <row r="119" spans="1:38" s="262" customFormat="1" x14ac:dyDescent="0.25">
      <c r="A119" s="91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79">
        <v>114</v>
      </c>
      <c r="I119" s="280" t="str">
        <f t="shared" si="7"/>
        <v/>
      </c>
      <c r="J119" s="279">
        <f t="shared" si="11"/>
        <v>-2</v>
      </c>
      <c r="K119" s="279">
        <f t="shared" si="8"/>
        <v>-20</v>
      </c>
      <c r="L119" s="279"/>
      <c r="M119" s="281">
        <f t="shared" si="9"/>
        <v>0</v>
      </c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</row>
    <row r="120" spans="1:38" s="262" customFormat="1" x14ac:dyDescent="0.25">
      <c r="A120" s="87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76">
        <v>115</v>
      </c>
      <c r="I120" s="277" t="str">
        <f t="shared" si="7"/>
        <v/>
      </c>
      <c r="J120" s="276">
        <f t="shared" si="11"/>
        <v>-2</v>
      </c>
      <c r="K120" s="276">
        <f t="shared" si="8"/>
        <v>-20</v>
      </c>
      <c r="L120" s="276"/>
      <c r="M120" s="278">
        <f t="shared" si="9"/>
        <v>0</v>
      </c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</row>
    <row r="121" spans="1:38" s="262" customFormat="1" x14ac:dyDescent="0.25">
      <c r="A121" s="91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79">
        <v>116</v>
      </c>
      <c r="I121" s="280" t="str">
        <f t="shared" si="7"/>
        <v/>
      </c>
      <c r="J121" s="279">
        <f t="shared" si="11"/>
        <v>-2</v>
      </c>
      <c r="K121" s="279">
        <f t="shared" si="8"/>
        <v>-20</v>
      </c>
      <c r="L121" s="279"/>
      <c r="M121" s="281">
        <f t="shared" si="9"/>
        <v>0</v>
      </c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</row>
    <row r="122" spans="1:38" s="262" customFormat="1" x14ac:dyDescent="0.25">
      <c r="A122" s="87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76">
        <v>117</v>
      </c>
      <c r="I122" s="277" t="str">
        <f t="shared" si="7"/>
        <v/>
      </c>
      <c r="J122" s="276">
        <f t="shared" si="11"/>
        <v>-2</v>
      </c>
      <c r="K122" s="276">
        <f t="shared" si="8"/>
        <v>-20</v>
      </c>
      <c r="L122" s="276"/>
      <c r="M122" s="278">
        <f t="shared" si="9"/>
        <v>0</v>
      </c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</row>
    <row r="123" spans="1:38" s="262" customFormat="1" x14ac:dyDescent="0.25">
      <c r="A123" s="91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79">
        <v>118</v>
      </c>
      <c r="I123" s="280" t="str">
        <f t="shared" si="7"/>
        <v/>
      </c>
      <c r="J123" s="279">
        <f t="shared" si="11"/>
        <v>-2</v>
      </c>
      <c r="K123" s="279">
        <f t="shared" si="8"/>
        <v>-20</v>
      </c>
      <c r="L123" s="279"/>
      <c r="M123" s="281">
        <f t="shared" si="9"/>
        <v>0</v>
      </c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</row>
    <row r="124" spans="1:38" s="262" customFormat="1" x14ac:dyDescent="0.25">
      <c r="A124" s="87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76">
        <v>119</v>
      </c>
      <c r="I124" s="277" t="str">
        <f t="shared" si="7"/>
        <v/>
      </c>
      <c r="J124" s="276">
        <f t="shared" si="11"/>
        <v>-2</v>
      </c>
      <c r="K124" s="276">
        <f t="shared" si="8"/>
        <v>-20</v>
      </c>
      <c r="L124" s="276"/>
      <c r="M124" s="278">
        <f t="shared" si="9"/>
        <v>0</v>
      </c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</row>
    <row r="125" spans="1:38" s="262" customFormat="1" x14ac:dyDescent="0.25">
      <c r="A125" s="91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79">
        <v>120</v>
      </c>
      <c r="I125" s="280" t="str">
        <f t="shared" si="7"/>
        <v/>
      </c>
      <c r="J125" s="279">
        <f t="shared" si="11"/>
        <v>-2</v>
      </c>
      <c r="K125" s="279">
        <f t="shared" si="8"/>
        <v>-20</v>
      </c>
      <c r="L125" s="279"/>
      <c r="M125" s="281">
        <f t="shared" si="9"/>
        <v>0</v>
      </c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</row>
    <row r="126" spans="1:38" s="262" customFormat="1" x14ac:dyDescent="0.25">
      <c r="A126" s="87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76">
        <v>121</v>
      </c>
      <c r="I126" s="277" t="str">
        <f t="shared" si="7"/>
        <v/>
      </c>
      <c r="J126" s="276">
        <f t="shared" si="11"/>
        <v>-2</v>
      </c>
      <c r="K126" s="276">
        <f t="shared" si="8"/>
        <v>-20</v>
      </c>
      <c r="L126" s="276"/>
      <c r="M126" s="278">
        <f t="shared" si="9"/>
        <v>0</v>
      </c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</row>
    <row r="127" spans="1:38" s="262" customFormat="1" x14ac:dyDescent="0.25">
      <c r="A127" s="91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79">
        <v>122</v>
      </c>
      <c r="I127" s="280" t="str">
        <f t="shared" si="7"/>
        <v/>
      </c>
      <c r="J127" s="279">
        <f t="shared" si="11"/>
        <v>-2</v>
      </c>
      <c r="K127" s="279">
        <f t="shared" si="8"/>
        <v>-20</v>
      </c>
      <c r="L127" s="279"/>
      <c r="M127" s="281">
        <f t="shared" si="9"/>
        <v>0</v>
      </c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</row>
    <row r="128" spans="1:38" s="262" customFormat="1" x14ac:dyDescent="0.25">
      <c r="A128" s="87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76">
        <v>123</v>
      </c>
      <c r="I128" s="277" t="str">
        <f t="shared" si="7"/>
        <v/>
      </c>
      <c r="J128" s="276">
        <f t="shared" si="11"/>
        <v>-2</v>
      </c>
      <c r="K128" s="276">
        <f t="shared" si="8"/>
        <v>-20</v>
      </c>
      <c r="L128" s="276"/>
      <c r="M128" s="278">
        <f t="shared" si="9"/>
        <v>0</v>
      </c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</row>
    <row r="129" spans="1:38" s="262" customFormat="1" x14ac:dyDescent="0.25">
      <c r="A129" s="91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79">
        <v>124</v>
      </c>
      <c r="I129" s="280" t="str">
        <f t="shared" si="7"/>
        <v/>
      </c>
      <c r="J129" s="279">
        <f t="shared" si="11"/>
        <v>-2</v>
      </c>
      <c r="K129" s="279">
        <f t="shared" si="8"/>
        <v>-20</v>
      </c>
      <c r="L129" s="279"/>
      <c r="M129" s="281">
        <f t="shared" si="9"/>
        <v>0</v>
      </c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</row>
    <row r="130" spans="1:38" s="262" customFormat="1" x14ac:dyDescent="0.25">
      <c r="A130" s="87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76">
        <v>125</v>
      </c>
      <c r="I130" s="277" t="str">
        <f t="shared" si="7"/>
        <v/>
      </c>
      <c r="J130" s="276">
        <f t="shared" si="11"/>
        <v>-2</v>
      </c>
      <c r="K130" s="276">
        <f t="shared" si="8"/>
        <v>-20</v>
      </c>
      <c r="L130" s="276"/>
      <c r="M130" s="278">
        <f t="shared" si="9"/>
        <v>0</v>
      </c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</row>
    <row r="131" spans="1:38" s="262" customFormat="1" x14ac:dyDescent="0.25">
      <c r="A131" s="91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79">
        <v>126</v>
      </c>
      <c r="I131" s="280" t="str">
        <f t="shared" si="7"/>
        <v/>
      </c>
      <c r="J131" s="279">
        <f t="shared" si="11"/>
        <v>-2</v>
      </c>
      <c r="K131" s="279">
        <f t="shared" si="8"/>
        <v>-20</v>
      </c>
      <c r="L131" s="279"/>
      <c r="M131" s="281">
        <f t="shared" si="9"/>
        <v>0</v>
      </c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</row>
    <row r="132" spans="1:38" s="262" customFormat="1" x14ac:dyDescent="0.25">
      <c r="A132" s="87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76">
        <v>127</v>
      </c>
      <c r="I132" s="277" t="str">
        <f t="shared" si="7"/>
        <v/>
      </c>
      <c r="J132" s="276">
        <f t="shared" si="11"/>
        <v>-2</v>
      </c>
      <c r="K132" s="276">
        <f t="shared" si="8"/>
        <v>-20</v>
      </c>
      <c r="L132" s="276"/>
      <c r="M132" s="278">
        <f t="shared" si="9"/>
        <v>0</v>
      </c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</row>
    <row r="133" spans="1:38" s="262" customFormat="1" x14ac:dyDescent="0.25">
      <c r="A133" s="91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79">
        <v>128</v>
      </c>
      <c r="I133" s="280" t="str">
        <f t="shared" si="7"/>
        <v/>
      </c>
      <c r="J133" s="279">
        <f t="shared" si="11"/>
        <v>-2</v>
      </c>
      <c r="K133" s="279">
        <f t="shared" si="8"/>
        <v>-20</v>
      </c>
      <c r="L133" s="279"/>
      <c r="M133" s="281">
        <f t="shared" si="9"/>
        <v>0</v>
      </c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</row>
    <row r="134" spans="1:38" s="262" customFormat="1" x14ac:dyDescent="0.25">
      <c r="A134" s="87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76">
        <v>129</v>
      </c>
      <c r="I134" s="277" t="str">
        <f t="shared" ref="I134:I197" si="13">IF(H134&lt;$H$2+1,($I$2-($I$2-1)*(LOG(H134)/LOG($H$2))),"")</f>
        <v/>
      </c>
      <c r="J134" s="276">
        <f t="shared" si="11"/>
        <v>-3</v>
      </c>
      <c r="K134" s="276">
        <f t="shared" ref="K134:K197" si="14">J134*$J$2</f>
        <v>-30</v>
      </c>
      <c r="L134" s="276"/>
      <c r="M134" s="278">
        <f t="shared" ref="M134:M197" si="15">IF(I134&lt;&gt;"",K134+I134+L134,0)</f>
        <v>0</v>
      </c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</row>
    <row r="135" spans="1:38" s="262" customFormat="1" x14ac:dyDescent="0.25">
      <c r="A135" s="91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79">
        <v>130</v>
      </c>
      <c r="I135" s="280" t="str">
        <f t="shared" si="13"/>
        <v/>
      </c>
      <c r="J135" s="279">
        <f t="shared" ref="J135:J198" si="17">INT(LOG($H$2,2))-ROUNDUP(LOG(H135,2),0)+IF(OR($H$2=1,$H$2=2,$H$2=4,$H$2=8,$H$2=16,$H$2=32,$H$2=64,$H$2=128,$H$2=256),0,1)</f>
        <v>-3</v>
      </c>
      <c r="K135" s="279">
        <f t="shared" si="14"/>
        <v>-30</v>
      </c>
      <c r="L135" s="279"/>
      <c r="M135" s="281">
        <f t="shared" si="15"/>
        <v>0</v>
      </c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</row>
    <row r="136" spans="1:38" s="262" customFormat="1" x14ac:dyDescent="0.25">
      <c r="A136" s="87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76">
        <v>131</v>
      </c>
      <c r="I136" s="277" t="str">
        <f t="shared" si="13"/>
        <v/>
      </c>
      <c r="J136" s="276">
        <f t="shared" si="17"/>
        <v>-3</v>
      </c>
      <c r="K136" s="276">
        <f t="shared" si="14"/>
        <v>-30</v>
      </c>
      <c r="L136" s="276"/>
      <c r="M136" s="278">
        <f t="shared" si="15"/>
        <v>0</v>
      </c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</row>
    <row r="137" spans="1:38" s="262" customFormat="1" x14ac:dyDescent="0.25">
      <c r="A137" s="91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79">
        <v>132</v>
      </c>
      <c r="I137" s="280" t="str">
        <f t="shared" si="13"/>
        <v/>
      </c>
      <c r="J137" s="279">
        <f t="shared" si="17"/>
        <v>-3</v>
      </c>
      <c r="K137" s="279">
        <f t="shared" si="14"/>
        <v>-30</v>
      </c>
      <c r="L137" s="279"/>
      <c r="M137" s="281">
        <f t="shared" si="15"/>
        <v>0</v>
      </c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</row>
    <row r="138" spans="1:38" s="262" customFormat="1" x14ac:dyDescent="0.25">
      <c r="A138" s="87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76">
        <v>133</v>
      </c>
      <c r="I138" s="277" t="str">
        <f t="shared" si="13"/>
        <v/>
      </c>
      <c r="J138" s="276">
        <f t="shared" si="17"/>
        <v>-3</v>
      </c>
      <c r="K138" s="276">
        <f t="shared" si="14"/>
        <v>-30</v>
      </c>
      <c r="L138" s="276"/>
      <c r="M138" s="278">
        <f t="shared" si="15"/>
        <v>0</v>
      </c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</row>
    <row r="139" spans="1:38" s="262" customFormat="1" x14ac:dyDescent="0.25">
      <c r="A139" s="91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79">
        <v>134</v>
      </c>
      <c r="I139" s="280" t="str">
        <f t="shared" si="13"/>
        <v/>
      </c>
      <c r="J139" s="279">
        <f t="shared" si="17"/>
        <v>-3</v>
      </c>
      <c r="K139" s="279">
        <f t="shared" si="14"/>
        <v>-30</v>
      </c>
      <c r="L139" s="279"/>
      <c r="M139" s="281">
        <f t="shared" si="15"/>
        <v>0</v>
      </c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</row>
    <row r="140" spans="1:38" s="262" customFormat="1" x14ac:dyDescent="0.25">
      <c r="A140" s="87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76">
        <v>135</v>
      </c>
      <c r="I140" s="277" t="str">
        <f t="shared" si="13"/>
        <v/>
      </c>
      <c r="J140" s="276">
        <f t="shared" si="17"/>
        <v>-3</v>
      </c>
      <c r="K140" s="276">
        <f t="shared" si="14"/>
        <v>-30</v>
      </c>
      <c r="L140" s="276"/>
      <c r="M140" s="278">
        <f t="shared" si="15"/>
        <v>0</v>
      </c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</row>
    <row r="141" spans="1:38" x14ac:dyDescent="0.25">
      <c r="A141" s="293"/>
      <c r="G141" s="262"/>
      <c r="H141" s="279">
        <v>136</v>
      </c>
      <c r="I141" s="277" t="str">
        <f t="shared" si="13"/>
        <v/>
      </c>
      <c r="J141" s="276">
        <f t="shared" si="17"/>
        <v>-3</v>
      </c>
      <c r="K141" s="276">
        <f t="shared" si="14"/>
        <v>-30</v>
      </c>
      <c r="L141" s="276"/>
      <c r="M141" s="278">
        <f t="shared" si="15"/>
        <v>0</v>
      </c>
    </row>
    <row r="142" spans="1:38" x14ac:dyDescent="0.25">
      <c r="A142" s="293"/>
      <c r="G142" s="262"/>
      <c r="H142" s="276">
        <v>137</v>
      </c>
      <c r="I142" s="277" t="str">
        <f t="shared" si="13"/>
        <v/>
      </c>
      <c r="J142" s="276">
        <f t="shared" si="17"/>
        <v>-3</v>
      </c>
      <c r="K142" s="276">
        <f t="shared" si="14"/>
        <v>-30</v>
      </c>
      <c r="L142" s="276"/>
      <c r="M142" s="278">
        <f t="shared" si="15"/>
        <v>0</v>
      </c>
    </row>
    <row r="143" spans="1:38" x14ac:dyDescent="0.25">
      <c r="A143" s="293"/>
      <c r="G143" s="262"/>
      <c r="H143" s="279">
        <v>138</v>
      </c>
      <c r="I143" s="277" t="str">
        <f t="shared" si="13"/>
        <v/>
      </c>
      <c r="J143" s="276">
        <f t="shared" si="17"/>
        <v>-3</v>
      </c>
      <c r="K143" s="276">
        <f t="shared" si="14"/>
        <v>-30</v>
      </c>
      <c r="L143" s="276"/>
      <c r="M143" s="278">
        <f t="shared" si="15"/>
        <v>0</v>
      </c>
    </row>
    <row r="144" spans="1:38" x14ac:dyDescent="0.25">
      <c r="A144" s="293"/>
      <c r="G144" s="262"/>
      <c r="H144" s="276">
        <v>139</v>
      </c>
      <c r="I144" s="277" t="str">
        <f t="shared" si="13"/>
        <v/>
      </c>
      <c r="J144" s="276">
        <f t="shared" si="17"/>
        <v>-3</v>
      </c>
      <c r="K144" s="276">
        <f t="shared" si="14"/>
        <v>-30</v>
      </c>
      <c r="L144" s="276"/>
      <c r="M144" s="278">
        <f t="shared" si="15"/>
        <v>0</v>
      </c>
    </row>
    <row r="145" spans="1:13" x14ac:dyDescent="0.25">
      <c r="A145" s="293"/>
      <c r="G145" s="262"/>
      <c r="H145" s="279">
        <v>140</v>
      </c>
      <c r="I145" s="277" t="str">
        <f t="shared" si="13"/>
        <v/>
      </c>
      <c r="J145" s="276">
        <f t="shared" si="17"/>
        <v>-3</v>
      </c>
      <c r="K145" s="276">
        <f t="shared" si="14"/>
        <v>-30</v>
      </c>
      <c r="L145" s="276"/>
      <c r="M145" s="278">
        <f t="shared" si="15"/>
        <v>0</v>
      </c>
    </row>
    <row r="146" spans="1:13" x14ac:dyDescent="0.25">
      <c r="A146" s="293"/>
      <c r="G146" s="262"/>
      <c r="H146" s="276">
        <v>141</v>
      </c>
      <c r="I146" s="277" t="str">
        <f t="shared" si="13"/>
        <v/>
      </c>
      <c r="J146" s="276">
        <f t="shared" si="17"/>
        <v>-3</v>
      </c>
      <c r="K146" s="276">
        <f t="shared" si="14"/>
        <v>-30</v>
      </c>
      <c r="L146" s="276"/>
      <c r="M146" s="278">
        <f t="shared" si="15"/>
        <v>0</v>
      </c>
    </row>
    <row r="147" spans="1:13" x14ac:dyDescent="0.25">
      <c r="A147" s="293"/>
      <c r="G147" s="262"/>
      <c r="H147" s="279">
        <v>142</v>
      </c>
      <c r="I147" s="277" t="str">
        <f t="shared" si="13"/>
        <v/>
      </c>
      <c r="J147" s="276">
        <f t="shared" si="17"/>
        <v>-3</v>
      </c>
      <c r="K147" s="276">
        <f t="shared" si="14"/>
        <v>-30</v>
      </c>
      <c r="L147" s="276"/>
      <c r="M147" s="278">
        <f t="shared" si="15"/>
        <v>0</v>
      </c>
    </row>
    <row r="148" spans="1:13" x14ac:dyDescent="0.25">
      <c r="A148" s="293"/>
      <c r="G148" s="262"/>
      <c r="H148" s="276">
        <v>143</v>
      </c>
      <c r="I148" s="277" t="str">
        <f t="shared" si="13"/>
        <v/>
      </c>
      <c r="J148" s="276">
        <f t="shared" si="17"/>
        <v>-3</v>
      </c>
      <c r="K148" s="276">
        <f t="shared" si="14"/>
        <v>-30</v>
      </c>
      <c r="L148" s="276"/>
      <c r="M148" s="278">
        <f t="shared" si="15"/>
        <v>0</v>
      </c>
    </row>
    <row r="149" spans="1:13" x14ac:dyDescent="0.25">
      <c r="A149" s="293"/>
      <c r="G149" s="262"/>
      <c r="H149" s="279">
        <v>144</v>
      </c>
      <c r="I149" s="277" t="str">
        <f t="shared" si="13"/>
        <v/>
      </c>
      <c r="J149" s="276">
        <f t="shared" si="17"/>
        <v>-3</v>
      </c>
      <c r="K149" s="276">
        <f t="shared" si="14"/>
        <v>-30</v>
      </c>
      <c r="L149" s="276"/>
      <c r="M149" s="278">
        <f t="shared" si="15"/>
        <v>0</v>
      </c>
    </row>
    <row r="150" spans="1:13" x14ac:dyDescent="0.25">
      <c r="A150" s="293"/>
      <c r="G150" s="262"/>
      <c r="H150" s="276">
        <v>145</v>
      </c>
      <c r="I150" s="277" t="str">
        <f t="shared" si="13"/>
        <v/>
      </c>
      <c r="J150" s="276">
        <f t="shared" si="17"/>
        <v>-3</v>
      </c>
      <c r="K150" s="276">
        <f t="shared" si="14"/>
        <v>-30</v>
      </c>
      <c r="L150" s="276"/>
      <c r="M150" s="278">
        <f t="shared" si="15"/>
        <v>0</v>
      </c>
    </row>
    <row r="151" spans="1:13" x14ac:dyDescent="0.25">
      <c r="A151" s="293"/>
      <c r="G151" s="262"/>
      <c r="H151" s="279">
        <v>146</v>
      </c>
      <c r="I151" s="277" t="str">
        <f t="shared" si="13"/>
        <v/>
      </c>
      <c r="J151" s="276">
        <f t="shared" si="17"/>
        <v>-3</v>
      </c>
      <c r="K151" s="276">
        <f t="shared" si="14"/>
        <v>-30</v>
      </c>
      <c r="L151" s="276"/>
      <c r="M151" s="278">
        <f t="shared" si="15"/>
        <v>0</v>
      </c>
    </row>
    <row r="152" spans="1:13" x14ac:dyDescent="0.25">
      <c r="A152" s="293"/>
      <c r="G152" s="262"/>
      <c r="H152" s="276">
        <v>147</v>
      </c>
      <c r="I152" s="277" t="str">
        <f t="shared" si="13"/>
        <v/>
      </c>
      <c r="J152" s="276">
        <f t="shared" si="17"/>
        <v>-3</v>
      </c>
      <c r="K152" s="276">
        <f t="shared" si="14"/>
        <v>-30</v>
      </c>
      <c r="L152" s="276"/>
      <c r="M152" s="278">
        <f t="shared" si="15"/>
        <v>0</v>
      </c>
    </row>
    <row r="153" spans="1:13" x14ac:dyDescent="0.25">
      <c r="A153" s="293"/>
      <c r="G153" s="262"/>
      <c r="H153" s="279">
        <v>148</v>
      </c>
      <c r="I153" s="277" t="str">
        <f t="shared" si="13"/>
        <v/>
      </c>
      <c r="J153" s="276">
        <f t="shared" si="17"/>
        <v>-3</v>
      </c>
      <c r="K153" s="276">
        <f t="shared" si="14"/>
        <v>-30</v>
      </c>
      <c r="L153" s="276"/>
      <c r="M153" s="278">
        <f t="shared" si="15"/>
        <v>0</v>
      </c>
    </row>
    <row r="154" spans="1:13" x14ac:dyDescent="0.25">
      <c r="A154" s="293"/>
      <c r="G154" s="262"/>
      <c r="H154" s="276">
        <v>149</v>
      </c>
      <c r="I154" s="277" t="str">
        <f t="shared" si="13"/>
        <v/>
      </c>
      <c r="J154" s="276">
        <f t="shared" si="17"/>
        <v>-3</v>
      </c>
      <c r="K154" s="276">
        <f t="shared" si="14"/>
        <v>-30</v>
      </c>
      <c r="L154" s="276"/>
      <c r="M154" s="278">
        <f t="shared" si="15"/>
        <v>0</v>
      </c>
    </row>
    <row r="155" spans="1:13" x14ac:dyDescent="0.25">
      <c r="A155" s="293"/>
      <c r="G155" s="262"/>
      <c r="H155" s="279">
        <v>150</v>
      </c>
      <c r="I155" s="277" t="str">
        <f t="shared" si="13"/>
        <v/>
      </c>
      <c r="J155" s="276">
        <f t="shared" si="17"/>
        <v>-3</v>
      </c>
      <c r="K155" s="276">
        <f t="shared" si="14"/>
        <v>-30</v>
      </c>
      <c r="L155" s="276"/>
      <c r="M155" s="278">
        <f t="shared" si="15"/>
        <v>0</v>
      </c>
    </row>
    <row r="156" spans="1:13" x14ac:dyDescent="0.25">
      <c r="A156" s="293"/>
      <c r="G156" s="262"/>
      <c r="H156" s="276">
        <v>151</v>
      </c>
      <c r="I156" s="277" t="str">
        <f t="shared" si="13"/>
        <v/>
      </c>
      <c r="J156" s="276">
        <f t="shared" si="17"/>
        <v>-3</v>
      </c>
      <c r="K156" s="276">
        <f t="shared" si="14"/>
        <v>-30</v>
      </c>
      <c r="L156" s="276"/>
      <c r="M156" s="278">
        <f t="shared" si="15"/>
        <v>0</v>
      </c>
    </row>
    <row r="157" spans="1:13" x14ac:dyDescent="0.25">
      <c r="A157" s="293"/>
      <c r="G157" s="262"/>
      <c r="H157" s="279">
        <v>152</v>
      </c>
      <c r="I157" s="277" t="str">
        <f t="shared" si="13"/>
        <v/>
      </c>
      <c r="J157" s="276">
        <f t="shared" si="17"/>
        <v>-3</v>
      </c>
      <c r="K157" s="276">
        <f t="shared" si="14"/>
        <v>-30</v>
      </c>
      <c r="L157" s="276"/>
      <c r="M157" s="278">
        <f t="shared" si="15"/>
        <v>0</v>
      </c>
    </row>
    <row r="158" spans="1:13" x14ac:dyDescent="0.25">
      <c r="A158" s="293"/>
      <c r="G158" s="262"/>
      <c r="H158" s="276">
        <v>153</v>
      </c>
      <c r="I158" s="277" t="str">
        <f t="shared" si="13"/>
        <v/>
      </c>
      <c r="J158" s="276">
        <f t="shared" si="17"/>
        <v>-3</v>
      </c>
      <c r="K158" s="276">
        <f t="shared" si="14"/>
        <v>-30</v>
      </c>
      <c r="L158" s="276"/>
      <c r="M158" s="278">
        <f t="shared" si="15"/>
        <v>0</v>
      </c>
    </row>
    <row r="159" spans="1:13" x14ac:dyDescent="0.25">
      <c r="A159" s="293"/>
      <c r="G159" s="262"/>
      <c r="H159" s="279">
        <v>154</v>
      </c>
      <c r="I159" s="277" t="str">
        <f t="shared" si="13"/>
        <v/>
      </c>
      <c r="J159" s="276">
        <f t="shared" si="17"/>
        <v>-3</v>
      </c>
      <c r="K159" s="276">
        <f t="shared" si="14"/>
        <v>-30</v>
      </c>
      <c r="L159" s="276"/>
      <c r="M159" s="278">
        <f t="shared" si="15"/>
        <v>0</v>
      </c>
    </row>
    <row r="160" spans="1:13" x14ac:dyDescent="0.25">
      <c r="A160" s="293"/>
      <c r="G160" s="262"/>
      <c r="H160" s="276">
        <v>155</v>
      </c>
      <c r="I160" s="277" t="str">
        <f t="shared" si="13"/>
        <v/>
      </c>
      <c r="J160" s="276">
        <f t="shared" si="17"/>
        <v>-3</v>
      </c>
      <c r="K160" s="276">
        <f t="shared" si="14"/>
        <v>-30</v>
      </c>
      <c r="L160" s="276"/>
      <c r="M160" s="278">
        <f t="shared" si="15"/>
        <v>0</v>
      </c>
    </row>
    <row r="161" spans="1:13" x14ac:dyDescent="0.25">
      <c r="A161" s="293"/>
      <c r="G161" s="262"/>
      <c r="H161" s="279">
        <v>156</v>
      </c>
      <c r="I161" s="277" t="str">
        <f t="shared" si="13"/>
        <v/>
      </c>
      <c r="J161" s="276">
        <f t="shared" si="17"/>
        <v>-3</v>
      </c>
      <c r="K161" s="276">
        <f t="shared" si="14"/>
        <v>-30</v>
      </c>
      <c r="L161" s="276"/>
      <c r="M161" s="278">
        <f t="shared" si="15"/>
        <v>0</v>
      </c>
    </row>
    <row r="162" spans="1:13" x14ac:dyDescent="0.25">
      <c r="A162" s="293"/>
      <c r="G162" s="262"/>
      <c r="H162" s="276">
        <v>157</v>
      </c>
      <c r="I162" s="277" t="str">
        <f t="shared" si="13"/>
        <v/>
      </c>
      <c r="J162" s="276">
        <f t="shared" si="17"/>
        <v>-3</v>
      </c>
      <c r="K162" s="276">
        <f t="shared" si="14"/>
        <v>-30</v>
      </c>
      <c r="L162" s="276"/>
      <c r="M162" s="278">
        <f t="shared" si="15"/>
        <v>0</v>
      </c>
    </row>
    <row r="163" spans="1:13" x14ac:dyDescent="0.25">
      <c r="A163" s="293"/>
      <c r="G163" s="262"/>
      <c r="H163" s="279">
        <v>158</v>
      </c>
      <c r="I163" s="277" t="str">
        <f t="shared" si="13"/>
        <v/>
      </c>
      <c r="J163" s="276">
        <f t="shared" si="17"/>
        <v>-3</v>
      </c>
      <c r="K163" s="276">
        <f t="shared" si="14"/>
        <v>-30</v>
      </c>
      <c r="L163" s="276"/>
      <c r="M163" s="278">
        <f t="shared" si="15"/>
        <v>0</v>
      </c>
    </row>
    <row r="164" spans="1:13" x14ac:dyDescent="0.25">
      <c r="A164" s="293"/>
      <c r="G164" s="262"/>
      <c r="H164" s="276">
        <v>159</v>
      </c>
      <c r="I164" s="277" t="str">
        <f t="shared" si="13"/>
        <v/>
      </c>
      <c r="J164" s="276">
        <f t="shared" si="17"/>
        <v>-3</v>
      </c>
      <c r="K164" s="276">
        <f t="shared" si="14"/>
        <v>-30</v>
      </c>
      <c r="L164" s="276"/>
      <c r="M164" s="278">
        <f t="shared" si="15"/>
        <v>0</v>
      </c>
    </row>
    <row r="165" spans="1:13" x14ac:dyDescent="0.25">
      <c r="A165" s="293"/>
      <c r="G165" s="262"/>
      <c r="H165" s="279">
        <v>160</v>
      </c>
      <c r="I165" s="277" t="str">
        <f t="shared" si="13"/>
        <v/>
      </c>
      <c r="J165" s="276">
        <f t="shared" si="17"/>
        <v>-3</v>
      </c>
      <c r="K165" s="276">
        <f t="shared" si="14"/>
        <v>-30</v>
      </c>
      <c r="L165" s="276"/>
      <c r="M165" s="278">
        <f t="shared" si="15"/>
        <v>0</v>
      </c>
    </row>
    <row r="166" spans="1:13" x14ac:dyDescent="0.25">
      <c r="A166" s="293"/>
      <c r="G166" s="262"/>
      <c r="H166" s="276">
        <v>161</v>
      </c>
      <c r="I166" s="277" t="str">
        <f t="shared" si="13"/>
        <v/>
      </c>
      <c r="J166" s="276">
        <f t="shared" si="17"/>
        <v>-3</v>
      </c>
      <c r="K166" s="276">
        <f t="shared" si="14"/>
        <v>-30</v>
      </c>
      <c r="L166" s="276"/>
      <c r="M166" s="278">
        <f t="shared" si="15"/>
        <v>0</v>
      </c>
    </row>
    <row r="167" spans="1:13" x14ac:dyDescent="0.25">
      <c r="A167" s="293"/>
      <c r="G167" s="262"/>
      <c r="H167" s="279">
        <v>162</v>
      </c>
      <c r="I167" s="277" t="str">
        <f t="shared" si="13"/>
        <v/>
      </c>
      <c r="J167" s="276">
        <f t="shared" si="17"/>
        <v>-3</v>
      </c>
      <c r="K167" s="276">
        <f t="shared" si="14"/>
        <v>-30</v>
      </c>
      <c r="L167" s="276"/>
      <c r="M167" s="278">
        <f t="shared" si="15"/>
        <v>0</v>
      </c>
    </row>
    <row r="168" spans="1:13" x14ac:dyDescent="0.25">
      <c r="A168" s="293"/>
      <c r="G168" s="262"/>
      <c r="H168" s="276">
        <v>163</v>
      </c>
      <c r="I168" s="277" t="str">
        <f t="shared" si="13"/>
        <v/>
      </c>
      <c r="J168" s="276">
        <f t="shared" si="17"/>
        <v>-3</v>
      </c>
      <c r="K168" s="276">
        <f t="shared" si="14"/>
        <v>-30</v>
      </c>
      <c r="L168" s="276"/>
      <c r="M168" s="278">
        <f t="shared" si="15"/>
        <v>0</v>
      </c>
    </row>
    <row r="169" spans="1:13" x14ac:dyDescent="0.25">
      <c r="A169" s="293"/>
      <c r="C169" s="292" t="s">
        <v>48</v>
      </c>
      <c r="G169" s="262"/>
      <c r="H169" s="279">
        <v>164</v>
      </c>
      <c r="I169" s="277" t="str">
        <f t="shared" si="13"/>
        <v/>
      </c>
      <c r="J169" s="276">
        <f t="shared" si="17"/>
        <v>-3</v>
      </c>
      <c r="K169" s="276">
        <f t="shared" si="14"/>
        <v>-30</v>
      </c>
      <c r="L169" s="276"/>
      <c r="M169" s="278">
        <f t="shared" si="15"/>
        <v>0</v>
      </c>
    </row>
    <row r="170" spans="1:13" x14ac:dyDescent="0.25">
      <c r="A170" s="293"/>
      <c r="G170" s="262"/>
      <c r="H170" s="276">
        <v>165</v>
      </c>
      <c r="I170" s="277" t="str">
        <f t="shared" si="13"/>
        <v/>
      </c>
      <c r="J170" s="276">
        <f t="shared" si="17"/>
        <v>-3</v>
      </c>
      <c r="K170" s="276">
        <f t="shared" si="14"/>
        <v>-30</v>
      </c>
      <c r="L170" s="276"/>
      <c r="M170" s="278">
        <f t="shared" si="15"/>
        <v>0</v>
      </c>
    </row>
    <row r="171" spans="1:13" x14ac:dyDescent="0.25">
      <c r="A171" s="293"/>
      <c r="G171" s="262"/>
      <c r="H171" s="279">
        <v>166</v>
      </c>
      <c r="I171" s="277" t="str">
        <f t="shared" si="13"/>
        <v/>
      </c>
      <c r="J171" s="276">
        <f t="shared" si="17"/>
        <v>-3</v>
      </c>
      <c r="K171" s="276">
        <f t="shared" si="14"/>
        <v>-30</v>
      </c>
      <c r="L171" s="276"/>
      <c r="M171" s="278">
        <f t="shared" si="15"/>
        <v>0</v>
      </c>
    </row>
    <row r="172" spans="1:13" x14ac:dyDescent="0.25">
      <c r="A172" s="293"/>
      <c r="G172" s="262"/>
      <c r="H172" s="276">
        <v>167</v>
      </c>
      <c r="I172" s="277" t="str">
        <f t="shared" si="13"/>
        <v/>
      </c>
      <c r="J172" s="276">
        <f t="shared" si="17"/>
        <v>-3</v>
      </c>
      <c r="K172" s="276">
        <f t="shared" si="14"/>
        <v>-30</v>
      </c>
      <c r="L172" s="276"/>
      <c r="M172" s="278">
        <f t="shared" si="15"/>
        <v>0</v>
      </c>
    </row>
    <row r="173" spans="1:13" x14ac:dyDescent="0.25">
      <c r="A173" s="293"/>
      <c r="G173" s="262"/>
      <c r="H173" s="279">
        <v>168</v>
      </c>
      <c r="I173" s="277" t="str">
        <f t="shared" si="13"/>
        <v/>
      </c>
      <c r="J173" s="276">
        <f t="shared" si="17"/>
        <v>-3</v>
      </c>
      <c r="K173" s="276">
        <f t="shared" si="14"/>
        <v>-30</v>
      </c>
      <c r="L173" s="276"/>
      <c r="M173" s="278">
        <f t="shared" si="15"/>
        <v>0</v>
      </c>
    </row>
    <row r="174" spans="1:13" x14ac:dyDescent="0.25">
      <c r="A174" s="293"/>
      <c r="G174" s="262"/>
      <c r="H174" s="276">
        <v>169</v>
      </c>
      <c r="I174" s="277" t="str">
        <f t="shared" si="13"/>
        <v/>
      </c>
      <c r="J174" s="276">
        <f t="shared" si="17"/>
        <v>-3</v>
      </c>
      <c r="K174" s="276">
        <f t="shared" si="14"/>
        <v>-30</v>
      </c>
      <c r="L174" s="276"/>
      <c r="M174" s="278">
        <f t="shared" si="15"/>
        <v>0</v>
      </c>
    </row>
    <row r="175" spans="1:13" x14ac:dyDescent="0.25">
      <c r="A175" s="293"/>
      <c r="G175" s="262"/>
      <c r="H175" s="279">
        <v>170</v>
      </c>
      <c r="I175" s="277" t="str">
        <f t="shared" si="13"/>
        <v/>
      </c>
      <c r="J175" s="276">
        <f t="shared" si="17"/>
        <v>-3</v>
      </c>
      <c r="K175" s="276">
        <f t="shared" si="14"/>
        <v>-30</v>
      </c>
      <c r="L175" s="276"/>
      <c r="M175" s="278">
        <f t="shared" si="15"/>
        <v>0</v>
      </c>
    </row>
    <row r="176" spans="1:13" x14ac:dyDescent="0.25">
      <c r="A176" s="293"/>
      <c r="G176" s="262"/>
      <c r="H176" s="276">
        <v>171</v>
      </c>
      <c r="I176" s="277" t="str">
        <f t="shared" si="13"/>
        <v/>
      </c>
      <c r="J176" s="276">
        <f t="shared" si="17"/>
        <v>-3</v>
      </c>
      <c r="K176" s="276">
        <f t="shared" si="14"/>
        <v>-30</v>
      </c>
      <c r="L176" s="276"/>
      <c r="M176" s="278">
        <f t="shared" si="15"/>
        <v>0</v>
      </c>
    </row>
    <row r="177" spans="1:13" x14ac:dyDescent="0.25">
      <c r="A177" s="293"/>
      <c r="G177" s="262"/>
      <c r="H177" s="279">
        <v>172</v>
      </c>
      <c r="I177" s="277" t="str">
        <f t="shared" si="13"/>
        <v/>
      </c>
      <c r="J177" s="276">
        <f t="shared" si="17"/>
        <v>-3</v>
      </c>
      <c r="K177" s="276">
        <f t="shared" si="14"/>
        <v>-30</v>
      </c>
      <c r="L177" s="276"/>
      <c r="M177" s="278">
        <f t="shared" si="15"/>
        <v>0</v>
      </c>
    </row>
    <row r="178" spans="1:13" x14ac:dyDescent="0.25">
      <c r="A178" s="293"/>
      <c r="G178" s="262"/>
      <c r="H178" s="276">
        <v>173</v>
      </c>
      <c r="I178" s="277" t="str">
        <f t="shared" si="13"/>
        <v/>
      </c>
      <c r="J178" s="276">
        <f t="shared" si="17"/>
        <v>-3</v>
      </c>
      <c r="K178" s="276">
        <f t="shared" si="14"/>
        <v>-30</v>
      </c>
      <c r="L178" s="276"/>
      <c r="M178" s="278">
        <f t="shared" si="15"/>
        <v>0</v>
      </c>
    </row>
    <row r="179" spans="1:13" x14ac:dyDescent="0.25">
      <c r="A179" s="293"/>
      <c r="G179" s="262"/>
      <c r="H179" s="279">
        <v>174</v>
      </c>
      <c r="I179" s="277" t="str">
        <f t="shared" si="13"/>
        <v/>
      </c>
      <c r="J179" s="276">
        <f t="shared" si="17"/>
        <v>-3</v>
      </c>
      <c r="K179" s="276">
        <f t="shared" si="14"/>
        <v>-30</v>
      </c>
      <c r="L179" s="276"/>
      <c r="M179" s="278">
        <f t="shared" si="15"/>
        <v>0</v>
      </c>
    </row>
    <row r="180" spans="1:13" x14ac:dyDescent="0.25">
      <c r="A180" s="293"/>
      <c r="G180" s="262"/>
      <c r="H180" s="276">
        <v>175</v>
      </c>
      <c r="I180" s="277" t="str">
        <f t="shared" si="13"/>
        <v/>
      </c>
      <c r="J180" s="276">
        <f t="shared" si="17"/>
        <v>-3</v>
      </c>
      <c r="K180" s="276">
        <f t="shared" si="14"/>
        <v>-30</v>
      </c>
      <c r="L180" s="276"/>
      <c r="M180" s="278">
        <f t="shared" si="15"/>
        <v>0</v>
      </c>
    </row>
    <row r="181" spans="1:13" x14ac:dyDescent="0.25">
      <c r="A181" s="293"/>
      <c r="G181" s="262"/>
      <c r="H181" s="279">
        <v>176</v>
      </c>
      <c r="I181" s="277" t="str">
        <f t="shared" si="13"/>
        <v/>
      </c>
      <c r="J181" s="276">
        <f t="shared" si="17"/>
        <v>-3</v>
      </c>
      <c r="K181" s="276">
        <f t="shared" si="14"/>
        <v>-30</v>
      </c>
      <c r="L181" s="276"/>
      <c r="M181" s="278">
        <f t="shared" si="15"/>
        <v>0</v>
      </c>
    </row>
    <row r="182" spans="1:13" x14ac:dyDescent="0.25">
      <c r="A182" s="293"/>
      <c r="G182" s="262"/>
      <c r="H182" s="276">
        <v>177</v>
      </c>
      <c r="I182" s="277" t="str">
        <f t="shared" si="13"/>
        <v/>
      </c>
      <c r="J182" s="276">
        <f t="shared" si="17"/>
        <v>-3</v>
      </c>
      <c r="K182" s="276">
        <f t="shared" si="14"/>
        <v>-30</v>
      </c>
      <c r="L182" s="276"/>
      <c r="M182" s="278">
        <f t="shared" si="15"/>
        <v>0</v>
      </c>
    </row>
    <row r="183" spans="1:13" x14ac:dyDescent="0.25">
      <c r="A183" s="293"/>
      <c r="G183" s="262"/>
      <c r="H183" s="279">
        <v>178</v>
      </c>
      <c r="I183" s="277" t="str">
        <f t="shared" si="13"/>
        <v/>
      </c>
      <c r="J183" s="276">
        <f t="shared" si="17"/>
        <v>-3</v>
      </c>
      <c r="K183" s="276">
        <f t="shared" si="14"/>
        <v>-30</v>
      </c>
      <c r="L183" s="276"/>
      <c r="M183" s="278">
        <f t="shared" si="15"/>
        <v>0</v>
      </c>
    </row>
    <row r="184" spans="1:13" x14ac:dyDescent="0.25">
      <c r="A184" s="293"/>
      <c r="G184" s="262"/>
      <c r="H184" s="276">
        <v>179</v>
      </c>
      <c r="I184" s="277" t="str">
        <f t="shared" si="13"/>
        <v/>
      </c>
      <c r="J184" s="276">
        <f t="shared" si="17"/>
        <v>-3</v>
      </c>
      <c r="K184" s="276">
        <f t="shared" si="14"/>
        <v>-30</v>
      </c>
      <c r="L184" s="276"/>
      <c r="M184" s="278">
        <f t="shared" si="15"/>
        <v>0</v>
      </c>
    </row>
    <row r="185" spans="1:13" x14ac:dyDescent="0.25">
      <c r="A185" s="293"/>
      <c r="G185" s="262"/>
      <c r="H185" s="279">
        <v>180</v>
      </c>
      <c r="I185" s="277" t="str">
        <f t="shared" si="13"/>
        <v/>
      </c>
      <c r="J185" s="276">
        <f t="shared" si="17"/>
        <v>-3</v>
      </c>
      <c r="K185" s="276">
        <f t="shared" si="14"/>
        <v>-30</v>
      </c>
      <c r="L185" s="276"/>
      <c r="M185" s="278">
        <f t="shared" si="15"/>
        <v>0</v>
      </c>
    </row>
    <row r="186" spans="1:13" x14ac:dyDescent="0.25">
      <c r="A186" s="293"/>
      <c r="G186" s="262"/>
      <c r="H186" s="276">
        <v>181</v>
      </c>
      <c r="I186" s="277" t="str">
        <f t="shared" si="13"/>
        <v/>
      </c>
      <c r="J186" s="276">
        <f t="shared" si="17"/>
        <v>-3</v>
      </c>
      <c r="K186" s="276">
        <f t="shared" si="14"/>
        <v>-30</v>
      </c>
      <c r="L186" s="276"/>
      <c r="M186" s="278">
        <f t="shared" si="15"/>
        <v>0</v>
      </c>
    </row>
    <row r="187" spans="1:13" x14ac:dyDescent="0.25">
      <c r="A187" s="293"/>
      <c r="G187" s="262"/>
      <c r="H187" s="279">
        <v>182</v>
      </c>
      <c r="I187" s="277" t="str">
        <f t="shared" si="13"/>
        <v/>
      </c>
      <c r="J187" s="276">
        <f t="shared" si="17"/>
        <v>-3</v>
      </c>
      <c r="K187" s="276">
        <f t="shared" si="14"/>
        <v>-30</v>
      </c>
      <c r="L187" s="276"/>
      <c r="M187" s="278">
        <f t="shared" si="15"/>
        <v>0</v>
      </c>
    </row>
    <row r="188" spans="1:13" x14ac:dyDescent="0.25">
      <c r="A188" s="293"/>
      <c r="G188" s="262"/>
      <c r="H188" s="276">
        <v>183</v>
      </c>
      <c r="I188" s="277" t="str">
        <f t="shared" si="13"/>
        <v/>
      </c>
      <c r="J188" s="276">
        <f t="shared" si="17"/>
        <v>-3</v>
      </c>
      <c r="K188" s="276">
        <f t="shared" si="14"/>
        <v>-30</v>
      </c>
      <c r="L188" s="276"/>
      <c r="M188" s="278">
        <f t="shared" si="15"/>
        <v>0</v>
      </c>
    </row>
    <row r="189" spans="1:13" x14ac:dyDescent="0.25">
      <c r="A189" s="293"/>
      <c r="G189" s="262"/>
      <c r="H189" s="279">
        <v>184</v>
      </c>
      <c r="I189" s="277" t="str">
        <f t="shared" si="13"/>
        <v/>
      </c>
      <c r="J189" s="276">
        <f t="shared" si="17"/>
        <v>-3</v>
      </c>
      <c r="K189" s="276">
        <f t="shared" si="14"/>
        <v>-30</v>
      </c>
      <c r="L189" s="276"/>
      <c r="M189" s="278">
        <f t="shared" si="15"/>
        <v>0</v>
      </c>
    </row>
    <row r="190" spans="1:13" x14ac:dyDescent="0.25">
      <c r="A190" s="293"/>
      <c r="G190" s="262"/>
      <c r="H190" s="276">
        <v>185</v>
      </c>
      <c r="I190" s="277" t="str">
        <f t="shared" si="13"/>
        <v/>
      </c>
      <c r="J190" s="276">
        <f t="shared" si="17"/>
        <v>-3</v>
      </c>
      <c r="K190" s="276">
        <f t="shared" si="14"/>
        <v>-30</v>
      </c>
      <c r="L190" s="276"/>
      <c r="M190" s="278">
        <f t="shared" si="15"/>
        <v>0</v>
      </c>
    </row>
    <row r="191" spans="1:13" x14ac:dyDescent="0.25">
      <c r="A191" s="293"/>
      <c r="G191" s="262"/>
      <c r="H191" s="279">
        <v>186</v>
      </c>
      <c r="I191" s="277" t="str">
        <f t="shared" si="13"/>
        <v/>
      </c>
      <c r="J191" s="276">
        <f t="shared" si="17"/>
        <v>-3</v>
      </c>
      <c r="K191" s="276">
        <f t="shared" si="14"/>
        <v>-30</v>
      </c>
      <c r="L191" s="276"/>
      <c r="M191" s="278">
        <f t="shared" si="15"/>
        <v>0</v>
      </c>
    </row>
    <row r="192" spans="1:13" x14ac:dyDescent="0.25">
      <c r="A192" s="293"/>
      <c r="G192" s="262"/>
      <c r="H192" s="276">
        <v>187</v>
      </c>
      <c r="I192" s="277" t="str">
        <f t="shared" si="13"/>
        <v/>
      </c>
      <c r="J192" s="276">
        <f t="shared" si="17"/>
        <v>-3</v>
      </c>
      <c r="K192" s="276">
        <f t="shared" si="14"/>
        <v>-30</v>
      </c>
      <c r="L192" s="276"/>
      <c r="M192" s="278">
        <f t="shared" si="15"/>
        <v>0</v>
      </c>
    </row>
    <row r="193" spans="1:13" x14ac:dyDescent="0.25">
      <c r="A193" s="293"/>
      <c r="G193" s="262"/>
      <c r="H193" s="279">
        <v>188</v>
      </c>
      <c r="I193" s="277" t="str">
        <f t="shared" si="13"/>
        <v/>
      </c>
      <c r="J193" s="276">
        <f t="shared" si="17"/>
        <v>-3</v>
      </c>
      <c r="K193" s="276">
        <f t="shared" si="14"/>
        <v>-30</v>
      </c>
      <c r="L193" s="276"/>
      <c r="M193" s="278">
        <f t="shared" si="15"/>
        <v>0</v>
      </c>
    </row>
    <row r="194" spans="1:13" x14ac:dyDescent="0.25">
      <c r="A194" s="293"/>
      <c r="G194" s="262"/>
      <c r="H194" s="276">
        <v>189</v>
      </c>
      <c r="I194" s="277" t="str">
        <f t="shared" si="13"/>
        <v/>
      </c>
      <c r="J194" s="276">
        <f t="shared" si="17"/>
        <v>-3</v>
      </c>
      <c r="K194" s="276">
        <f t="shared" si="14"/>
        <v>-30</v>
      </c>
      <c r="L194" s="276"/>
      <c r="M194" s="278">
        <f t="shared" si="15"/>
        <v>0</v>
      </c>
    </row>
    <row r="195" spans="1:13" x14ac:dyDescent="0.25">
      <c r="A195" s="293"/>
      <c r="G195" s="262"/>
      <c r="H195" s="279">
        <v>190</v>
      </c>
      <c r="I195" s="277" t="str">
        <f t="shared" si="13"/>
        <v/>
      </c>
      <c r="J195" s="276">
        <f t="shared" si="17"/>
        <v>-3</v>
      </c>
      <c r="K195" s="276">
        <f t="shared" si="14"/>
        <v>-30</v>
      </c>
      <c r="L195" s="276"/>
      <c r="M195" s="278">
        <f t="shared" si="15"/>
        <v>0</v>
      </c>
    </row>
    <row r="196" spans="1:13" x14ac:dyDescent="0.25">
      <c r="A196" s="293"/>
      <c r="G196" s="262"/>
      <c r="H196" s="276">
        <v>191</v>
      </c>
      <c r="I196" s="277" t="str">
        <f t="shared" si="13"/>
        <v/>
      </c>
      <c r="J196" s="276">
        <f t="shared" si="17"/>
        <v>-3</v>
      </c>
      <c r="K196" s="276">
        <f t="shared" si="14"/>
        <v>-30</v>
      </c>
      <c r="L196" s="276"/>
      <c r="M196" s="278">
        <f t="shared" si="15"/>
        <v>0</v>
      </c>
    </row>
    <row r="197" spans="1:13" x14ac:dyDescent="0.25">
      <c r="A197" s="293"/>
      <c r="G197" s="262"/>
      <c r="H197" s="279">
        <v>192</v>
      </c>
      <c r="I197" s="277" t="str">
        <f t="shared" si="13"/>
        <v/>
      </c>
      <c r="J197" s="276">
        <f t="shared" si="17"/>
        <v>-3</v>
      </c>
      <c r="K197" s="276">
        <f t="shared" si="14"/>
        <v>-30</v>
      </c>
      <c r="L197" s="276"/>
      <c r="M197" s="278">
        <f t="shared" si="15"/>
        <v>0</v>
      </c>
    </row>
    <row r="198" spans="1:13" x14ac:dyDescent="0.25">
      <c r="A198" s="293"/>
      <c r="G198" s="262"/>
      <c r="H198" s="276">
        <v>193</v>
      </c>
      <c r="I198" s="277" t="str">
        <f t="shared" ref="I198:I261" si="18">IF(H198&lt;$H$2+1,($I$2-($I$2-1)*(LOG(H198)/LOG($H$2))),"")</f>
        <v/>
      </c>
      <c r="J198" s="276">
        <f t="shared" si="17"/>
        <v>-3</v>
      </c>
      <c r="K198" s="276">
        <f t="shared" ref="K198:K261" si="19">J198*$J$2</f>
        <v>-30</v>
      </c>
      <c r="L198" s="276"/>
      <c r="M198" s="278">
        <f t="shared" ref="M198:M261" si="20">IF(I198&lt;&gt;"",K198+I198+L198,0)</f>
        <v>0</v>
      </c>
    </row>
    <row r="199" spans="1:13" x14ac:dyDescent="0.25">
      <c r="A199" s="293"/>
      <c r="G199" s="262"/>
      <c r="H199" s="279">
        <v>194</v>
      </c>
      <c r="I199" s="277" t="str">
        <f t="shared" si="18"/>
        <v/>
      </c>
      <c r="J199" s="276">
        <f t="shared" ref="J199:J262" si="21">INT(LOG($H$2,2))-ROUNDUP(LOG(H199,2),0)+IF(OR($H$2=1,$H$2=2,$H$2=4,$H$2=8,$H$2=16,$H$2=32,$H$2=64,$H$2=128,$H$2=256),0,1)</f>
        <v>-3</v>
      </c>
      <c r="K199" s="276">
        <f t="shared" si="19"/>
        <v>-30</v>
      </c>
      <c r="L199" s="276"/>
      <c r="M199" s="278">
        <f t="shared" si="20"/>
        <v>0</v>
      </c>
    </row>
    <row r="200" spans="1:13" x14ac:dyDescent="0.25">
      <c r="A200" s="293"/>
      <c r="G200" s="262"/>
      <c r="H200" s="276">
        <v>195</v>
      </c>
      <c r="I200" s="277" t="str">
        <f t="shared" si="18"/>
        <v/>
      </c>
      <c r="J200" s="276">
        <f t="shared" si="21"/>
        <v>-3</v>
      </c>
      <c r="K200" s="276">
        <f t="shared" si="19"/>
        <v>-30</v>
      </c>
      <c r="L200" s="276"/>
      <c r="M200" s="278">
        <f t="shared" si="20"/>
        <v>0</v>
      </c>
    </row>
    <row r="201" spans="1:13" x14ac:dyDescent="0.25">
      <c r="A201" s="293"/>
      <c r="G201" s="262"/>
      <c r="H201" s="279">
        <v>196</v>
      </c>
      <c r="I201" s="277" t="str">
        <f t="shared" si="18"/>
        <v/>
      </c>
      <c r="J201" s="276">
        <f t="shared" si="21"/>
        <v>-3</v>
      </c>
      <c r="K201" s="276">
        <f t="shared" si="19"/>
        <v>-30</v>
      </c>
      <c r="L201" s="276"/>
      <c r="M201" s="278">
        <f t="shared" si="20"/>
        <v>0</v>
      </c>
    </row>
    <row r="202" spans="1:13" x14ac:dyDescent="0.25">
      <c r="A202" s="293"/>
      <c r="G202" s="262"/>
      <c r="H202" s="276">
        <v>197</v>
      </c>
      <c r="I202" s="277" t="str">
        <f t="shared" si="18"/>
        <v/>
      </c>
      <c r="J202" s="276">
        <f t="shared" si="21"/>
        <v>-3</v>
      </c>
      <c r="K202" s="276">
        <f t="shared" si="19"/>
        <v>-30</v>
      </c>
      <c r="L202" s="276"/>
      <c r="M202" s="278">
        <f t="shared" si="20"/>
        <v>0</v>
      </c>
    </row>
    <row r="203" spans="1:13" x14ac:dyDescent="0.25">
      <c r="A203" s="293"/>
      <c r="G203" s="262"/>
      <c r="H203" s="279">
        <v>198</v>
      </c>
      <c r="I203" s="277" t="str">
        <f t="shared" si="18"/>
        <v/>
      </c>
      <c r="J203" s="276">
        <f t="shared" si="21"/>
        <v>-3</v>
      </c>
      <c r="K203" s="276">
        <f t="shared" si="19"/>
        <v>-30</v>
      </c>
      <c r="L203" s="276"/>
      <c r="M203" s="278">
        <f t="shared" si="20"/>
        <v>0</v>
      </c>
    </row>
    <row r="204" spans="1:13" x14ac:dyDescent="0.25">
      <c r="A204" s="293"/>
      <c r="G204" s="262"/>
      <c r="H204" s="276">
        <v>199</v>
      </c>
      <c r="I204" s="277" t="str">
        <f t="shared" si="18"/>
        <v/>
      </c>
      <c r="J204" s="276">
        <f t="shared" si="21"/>
        <v>-3</v>
      </c>
      <c r="K204" s="276">
        <f t="shared" si="19"/>
        <v>-30</v>
      </c>
      <c r="L204" s="276"/>
      <c r="M204" s="278">
        <f t="shared" si="20"/>
        <v>0</v>
      </c>
    </row>
    <row r="205" spans="1:13" x14ac:dyDescent="0.25">
      <c r="A205" s="293"/>
      <c r="G205" s="262"/>
      <c r="H205" s="279">
        <v>200</v>
      </c>
      <c r="I205" s="277" t="str">
        <f t="shared" si="18"/>
        <v/>
      </c>
      <c r="J205" s="276">
        <f t="shared" si="21"/>
        <v>-3</v>
      </c>
      <c r="K205" s="276">
        <f t="shared" si="19"/>
        <v>-30</v>
      </c>
      <c r="L205" s="276"/>
      <c r="M205" s="278">
        <f t="shared" si="20"/>
        <v>0</v>
      </c>
    </row>
    <row r="206" spans="1:13" x14ac:dyDescent="0.25">
      <c r="A206" s="293"/>
      <c r="G206" s="262"/>
      <c r="H206" s="276">
        <v>201</v>
      </c>
      <c r="I206" s="277" t="str">
        <f t="shared" si="18"/>
        <v/>
      </c>
      <c r="J206" s="276">
        <f t="shared" si="21"/>
        <v>-3</v>
      </c>
      <c r="K206" s="276">
        <f t="shared" si="19"/>
        <v>-30</v>
      </c>
      <c r="L206" s="276"/>
      <c r="M206" s="278">
        <f t="shared" si="20"/>
        <v>0</v>
      </c>
    </row>
    <row r="207" spans="1:13" x14ac:dyDescent="0.25">
      <c r="A207" s="293"/>
      <c r="G207" s="262"/>
      <c r="H207" s="279">
        <v>202</v>
      </c>
      <c r="I207" s="277" t="str">
        <f t="shared" si="18"/>
        <v/>
      </c>
      <c r="J207" s="276">
        <f t="shared" si="21"/>
        <v>-3</v>
      </c>
      <c r="K207" s="276">
        <f t="shared" si="19"/>
        <v>-30</v>
      </c>
      <c r="L207" s="276"/>
      <c r="M207" s="278">
        <f t="shared" si="20"/>
        <v>0</v>
      </c>
    </row>
    <row r="208" spans="1:13" x14ac:dyDescent="0.25">
      <c r="A208" s="293"/>
      <c r="G208" s="262"/>
      <c r="H208" s="276">
        <v>203</v>
      </c>
      <c r="I208" s="277" t="str">
        <f t="shared" si="18"/>
        <v/>
      </c>
      <c r="J208" s="276">
        <f t="shared" si="21"/>
        <v>-3</v>
      </c>
      <c r="K208" s="276">
        <f t="shared" si="19"/>
        <v>-30</v>
      </c>
      <c r="L208" s="276"/>
      <c r="M208" s="278">
        <f t="shared" si="20"/>
        <v>0</v>
      </c>
    </row>
    <row r="209" spans="1:13" x14ac:dyDescent="0.25">
      <c r="A209" s="293"/>
      <c r="G209" s="262"/>
      <c r="H209" s="279">
        <v>204</v>
      </c>
      <c r="I209" s="277" t="str">
        <f t="shared" si="18"/>
        <v/>
      </c>
      <c r="J209" s="276">
        <f t="shared" si="21"/>
        <v>-3</v>
      </c>
      <c r="K209" s="276">
        <f t="shared" si="19"/>
        <v>-30</v>
      </c>
      <c r="L209" s="276"/>
      <c r="M209" s="278">
        <f t="shared" si="20"/>
        <v>0</v>
      </c>
    </row>
    <row r="210" spans="1:13" x14ac:dyDescent="0.25">
      <c r="A210" s="293"/>
      <c r="G210" s="262"/>
      <c r="H210" s="276">
        <v>205</v>
      </c>
      <c r="I210" s="277" t="str">
        <f t="shared" si="18"/>
        <v/>
      </c>
      <c r="J210" s="276">
        <f t="shared" si="21"/>
        <v>-3</v>
      </c>
      <c r="K210" s="276">
        <f t="shared" si="19"/>
        <v>-30</v>
      </c>
      <c r="L210" s="276"/>
      <c r="M210" s="278">
        <f t="shared" si="20"/>
        <v>0</v>
      </c>
    </row>
    <row r="211" spans="1:13" x14ac:dyDescent="0.25">
      <c r="A211" s="293"/>
      <c r="G211" s="262"/>
      <c r="H211" s="279">
        <v>206</v>
      </c>
      <c r="I211" s="277" t="str">
        <f t="shared" si="18"/>
        <v/>
      </c>
      <c r="J211" s="276">
        <f t="shared" si="21"/>
        <v>-3</v>
      </c>
      <c r="K211" s="276">
        <f t="shared" si="19"/>
        <v>-30</v>
      </c>
      <c r="L211" s="276"/>
      <c r="M211" s="278">
        <f t="shared" si="20"/>
        <v>0</v>
      </c>
    </row>
    <row r="212" spans="1:13" x14ac:dyDescent="0.25">
      <c r="A212" s="293"/>
      <c r="G212" s="262"/>
      <c r="H212" s="276">
        <v>207</v>
      </c>
      <c r="I212" s="277" t="str">
        <f t="shared" si="18"/>
        <v/>
      </c>
      <c r="J212" s="276">
        <f t="shared" si="21"/>
        <v>-3</v>
      </c>
      <c r="K212" s="276">
        <f t="shared" si="19"/>
        <v>-30</v>
      </c>
      <c r="L212" s="276"/>
      <c r="M212" s="278">
        <f t="shared" si="20"/>
        <v>0</v>
      </c>
    </row>
    <row r="213" spans="1:13" x14ac:dyDescent="0.25">
      <c r="A213" s="293"/>
      <c r="G213" s="262"/>
      <c r="H213" s="279">
        <v>208</v>
      </c>
      <c r="I213" s="277" t="str">
        <f t="shared" si="18"/>
        <v/>
      </c>
      <c r="J213" s="276">
        <f t="shared" si="21"/>
        <v>-3</v>
      </c>
      <c r="K213" s="276">
        <f t="shared" si="19"/>
        <v>-30</v>
      </c>
      <c r="L213" s="276"/>
      <c r="M213" s="278">
        <f t="shared" si="20"/>
        <v>0</v>
      </c>
    </row>
    <row r="214" spans="1:13" x14ac:dyDescent="0.25">
      <c r="A214" s="293"/>
      <c r="G214" s="262"/>
      <c r="H214" s="276">
        <v>209</v>
      </c>
      <c r="I214" s="277" t="str">
        <f t="shared" si="18"/>
        <v/>
      </c>
      <c r="J214" s="276">
        <f t="shared" si="21"/>
        <v>-3</v>
      </c>
      <c r="K214" s="276">
        <f t="shared" si="19"/>
        <v>-30</v>
      </c>
      <c r="L214" s="276"/>
      <c r="M214" s="278">
        <f t="shared" si="20"/>
        <v>0</v>
      </c>
    </row>
    <row r="215" spans="1:13" x14ac:dyDescent="0.25">
      <c r="A215" s="293"/>
      <c r="G215" s="262"/>
      <c r="H215" s="279">
        <v>210</v>
      </c>
      <c r="I215" s="277" t="str">
        <f t="shared" si="18"/>
        <v/>
      </c>
      <c r="J215" s="276">
        <f t="shared" si="21"/>
        <v>-3</v>
      </c>
      <c r="K215" s="276">
        <f t="shared" si="19"/>
        <v>-30</v>
      </c>
      <c r="L215" s="276"/>
      <c r="M215" s="278">
        <f t="shared" si="20"/>
        <v>0</v>
      </c>
    </row>
    <row r="216" spans="1:13" x14ac:dyDescent="0.25">
      <c r="A216" s="293"/>
      <c r="G216" s="262"/>
      <c r="H216" s="276">
        <v>211</v>
      </c>
      <c r="I216" s="277" t="str">
        <f t="shared" si="18"/>
        <v/>
      </c>
      <c r="J216" s="276">
        <f t="shared" si="21"/>
        <v>-3</v>
      </c>
      <c r="K216" s="276">
        <f t="shared" si="19"/>
        <v>-30</v>
      </c>
      <c r="L216" s="276"/>
      <c r="M216" s="278">
        <f t="shared" si="20"/>
        <v>0</v>
      </c>
    </row>
    <row r="217" spans="1:13" x14ac:dyDescent="0.25">
      <c r="A217" s="293"/>
      <c r="G217" s="262"/>
      <c r="H217" s="279">
        <v>212</v>
      </c>
      <c r="I217" s="277" t="str">
        <f t="shared" si="18"/>
        <v/>
      </c>
      <c r="J217" s="276">
        <f t="shared" si="21"/>
        <v>-3</v>
      </c>
      <c r="K217" s="276">
        <f t="shared" si="19"/>
        <v>-30</v>
      </c>
      <c r="L217" s="276"/>
      <c r="M217" s="278">
        <f t="shared" si="20"/>
        <v>0</v>
      </c>
    </row>
    <row r="218" spans="1:13" x14ac:dyDescent="0.25">
      <c r="A218" s="293"/>
      <c r="G218" s="262"/>
      <c r="H218" s="276">
        <v>213</v>
      </c>
      <c r="I218" s="277" t="str">
        <f t="shared" si="18"/>
        <v/>
      </c>
      <c r="J218" s="276">
        <f t="shared" si="21"/>
        <v>-3</v>
      </c>
      <c r="K218" s="276">
        <f t="shared" si="19"/>
        <v>-30</v>
      </c>
      <c r="L218" s="276"/>
      <c r="M218" s="278">
        <f t="shared" si="20"/>
        <v>0</v>
      </c>
    </row>
    <row r="219" spans="1:13" x14ac:dyDescent="0.25">
      <c r="A219" s="293"/>
      <c r="G219" s="262"/>
      <c r="H219" s="279">
        <v>214</v>
      </c>
      <c r="I219" s="277" t="str">
        <f t="shared" si="18"/>
        <v/>
      </c>
      <c r="J219" s="276">
        <f t="shared" si="21"/>
        <v>-3</v>
      </c>
      <c r="K219" s="276">
        <f t="shared" si="19"/>
        <v>-30</v>
      </c>
      <c r="L219" s="276"/>
      <c r="M219" s="278">
        <f t="shared" si="20"/>
        <v>0</v>
      </c>
    </row>
    <row r="220" spans="1:13" x14ac:dyDescent="0.25">
      <c r="A220" s="293"/>
      <c r="G220" s="262"/>
      <c r="H220" s="276">
        <v>215</v>
      </c>
      <c r="I220" s="277" t="str">
        <f t="shared" si="18"/>
        <v/>
      </c>
      <c r="J220" s="276">
        <f t="shared" si="21"/>
        <v>-3</v>
      </c>
      <c r="K220" s="276">
        <f t="shared" si="19"/>
        <v>-30</v>
      </c>
      <c r="L220" s="276"/>
      <c r="M220" s="278">
        <f t="shared" si="20"/>
        <v>0</v>
      </c>
    </row>
    <row r="221" spans="1:13" x14ac:dyDescent="0.25">
      <c r="A221" s="293"/>
      <c r="G221" s="262"/>
      <c r="H221" s="279">
        <v>216</v>
      </c>
      <c r="I221" s="277" t="str">
        <f t="shared" si="18"/>
        <v/>
      </c>
      <c r="J221" s="276">
        <f t="shared" si="21"/>
        <v>-3</v>
      </c>
      <c r="K221" s="276">
        <f t="shared" si="19"/>
        <v>-30</v>
      </c>
      <c r="L221" s="276"/>
      <c r="M221" s="278">
        <f t="shared" si="20"/>
        <v>0</v>
      </c>
    </row>
    <row r="222" spans="1:13" x14ac:dyDescent="0.25">
      <c r="A222" s="293"/>
      <c r="G222" s="262"/>
      <c r="H222" s="276">
        <v>217</v>
      </c>
      <c r="I222" s="277" t="str">
        <f t="shared" si="18"/>
        <v/>
      </c>
      <c r="J222" s="276">
        <f t="shared" si="21"/>
        <v>-3</v>
      </c>
      <c r="K222" s="276">
        <f t="shared" si="19"/>
        <v>-30</v>
      </c>
      <c r="L222" s="276"/>
      <c r="M222" s="278">
        <f t="shared" si="20"/>
        <v>0</v>
      </c>
    </row>
    <row r="223" spans="1:13" x14ac:dyDescent="0.25">
      <c r="A223" s="293"/>
      <c r="G223" s="262"/>
      <c r="H223" s="279">
        <v>218</v>
      </c>
      <c r="I223" s="277" t="str">
        <f t="shared" si="18"/>
        <v/>
      </c>
      <c r="J223" s="276">
        <f t="shared" si="21"/>
        <v>-3</v>
      </c>
      <c r="K223" s="276">
        <f t="shared" si="19"/>
        <v>-30</v>
      </c>
      <c r="L223" s="276"/>
      <c r="M223" s="278">
        <f t="shared" si="20"/>
        <v>0</v>
      </c>
    </row>
    <row r="224" spans="1:13" x14ac:dyDescent="0.25">
      <c r="A224" s="293"/>
      <c r="G224" s="262"/>
      <c r="H224" s="276">
        <v>219</v>
      </c>
      <c r="I224" s="277" t="str">
        <f t="shared" si="18"/>
        <v/>
      </c>
      <c r="J224" s="276">
        <f t="shared" si="21"/>
        <v>-3</v>
      </c>
      <c r="K224" s="276">
        <f t="shared" si="19"/>
        <v>-30</v>
      </c>
      <c r="L224" s="276"/>
      <c r="M224" s="278">
        <f t="shared" si="20"/>
        <v>0</v>
      </c>
    </row>
    <row r="225" spans="1:13" x14ac:dyDescent="0.25">
      <c r="A225" s="293"/>
      <c r="G225" s="262"/>
      <c r="H225" s="279">
        <v>220</v>
      </c>
      <c r="I225" s="277" t="str">
        <f t="shared" si="18"/>
        <v/>
      </c>
      <c r="J225" s="276">
        <f t="shared" si="21"/>
        <v>-3</v>
      </c>
      <c r="K225" s="276">
        <f t="shared" si="19"/>
        <v>-30</v>
      </c>
      <c r="L225" s="276"/>
      <c r="M225" s="278">
        <f t="shared" si="20"/>
        <v>0</v>
      </c>
    </row>
    <row r="226" spans="1:13" x14ac:dyDescent="0.25">
      <c r="A226" s="293"/>
      <c r="G226" s="262"/>
      <c r="H226" s="276">
        <v>221</v>
      </c>
      <c r="I226" s="277" t="str">
        <f t="shared" si="18"/>
        <v/>
      </c>
      <c r="J226" s="276">
        <f t="shared" si="21"/>
        <v>-3</v>
      </c>
      <c r="K226" s="276">
        <f t="shared" si="19"/>
        <v>-30</v>
      </c>
      <c r="L226" s="276"/>
      <c r="M226" s="278">
        <f t="shared" si="20"/>
        <v>0</v>
      </c>
    </row>
    <row r="227" spans="1:13" x14ac:dyDescent="0.25">
      <c r="A227" s="293"/>
      <c r="G227" s="262"/>
      <c r="H227" s="279">
        <v>222</v>
      </c>
      <c r="I227" s="277" t="str">
        <f t="shared" si="18"/>
        <v/>
      </c>
      <c r="J227" s="276">
        <f t="shared" si="21"/>
        <v>-3</v>
      </c>
      <c r="K227" s="276">
        <f t="shared" si="19"/>
        <v>-30</v>
      </c>
      <c r="L227" s="276"/>
      <c r="M227" s="278">
        <f t="shared" si="20"/>
        <v>0</v>
      </c>
    </row>
    <row r="228" spans="1:13" x14ac:dyDescent="0.25">
      <c r="A228" s="293"/>
      <c r="G228" s="262"/>
      <c r="H228" s="276">
        <v>223</v>
      </c>
      <c r="I228" s="277" t="str">
        <f t="shared" si="18"/>
        <v/>
      </c>
      <c r="J228" s="276">
        <f t="shared" si="21"/>
        <v>-3</v>
      </c>
      <c r="K228" s="276">
        <f t="shared" si="19"/>
        <v>-30</v>
      </c>
      <c r="L228" s="276"/>
      <c r="M228" s="278">
        <f t="shared" si="20"/>
        <v>0</v>
      </c>
    </row>
    <row r="229" spans="1:13" x14ac:dyDescent="0.25">
      <c r="A229" s="293"/>
      <c r="G229" s="262"/>
      <c r="H229" s="279">
        <v>224</v>
      </c>
      <c r="I229" s="277" t="str">
        <f t="shared" si="18"/>
        <v/>
      </c>
      <c r="J229" s="276">
        <f t="shared" si="21"/>
        <v>-3</v>
      </c>
      <c r="K229" s="276">
        <f t="shared" si="19"/>
        <v>-30</v>
      </c>
      <c r="L229" s="276"/>
      <c r="M229" s="278">
        <f t="shared" si="20"/>
        <v>0</v>
      </c>
    </row>
    <row r="230" spans="1:13" x14ac:dyDescent="0.25">
      <c r="A230" s="293"/>
      <c r="G230" s="262"/>
      <c r="H230" s="276">
        <v>225</v>
      </c>
      <c r="I230" s="277" t="str">
        <f t="shared" si="18"/>
        <v/>
      </c>
      <c r="J230" s="276">
        <f t="shared" si="21"/>
        <v>-3</v>
      </c>
      <c r="K230" s="276">
        <f t="shared" si="19"/>
        <v>-30</v>
      </c>
      <c r="L230" s="276"/>
      <c r="M230" s="278">
        <f t="shared" si="20"/>
        <v>0</v>
      </c>
    </row>
    <row r="231" spans="1:13" x14ac:dyDescent="0.25">
      <c r="A231" s="293"/>
      <c r="G231" s="262"/>
      <c r="H231" s="279">
        <v>226</v>
      </c>
      <c r="I231" s="277" t="str">
        <f t="shared" si="18"/>
        <v/>
      </c>
      <c r="J231" s="276">
        <f t="shared" si="21"/>
        <v>-3</v>
      </c>
      <c r="K231" s="276">
        <f t="shared" si="19"/>
        <v>-30</v>
      </c>
      <c r="L231" s="276"/>
      <c r="M231" s="278">
        <f t="shared" si="20"/>
        <v>0</v>
      </c>
    </row>
    <row r="232" spans="1:13" x14ac:dyDescent="0.25">
      <c r="A232" s="293"/>
      <c r="G232" s="262"/>
      <c r="H232" s="276">
        <v>227</v>
      </c>
      <c r="I232" s="277" t="str">
        <f t="shared" si="18"/>
        <v/>
      </c>
      <c r="J232" s="276">
        <f t="shared" si="21"/>
        <v>-3</v>
      </c>
      <c r="K232" s="276">
        <f t="shared" si="19"/>
        <v>-30</v>
      </c>
      <c r="L232" s="276"/>
      <c r="M232" s="278">
        <f t="shared" si="20"/>
        <v>0</v>
      </c>
    </row>
    <row r="233" spans="1:13" x14ac:dyDescent="0.25">
      <c r="A233" s="293"/>
      <c r="G233" s="262"/>
      <c r="H233" s="279">
        <v>228</v>
      </c>
      <c r="I233" s="277" t="str">
        <f t="shared" si="18"/>
        <v/>
      </c>
      <c r="J233" s="276">
        <f t="shared" si="21"/>
        <v>-3</v>
      </c>
      <c r="K233" s="276">
        <f t="shared" si="19"/>
        <v>-30</v>
      </c>
      <c r="L233" s="276"/>
      <c r="M233" s="278">
        <f t="shared" si="20"/>
        <v>0</v>
      </c>
    </row>
    <row r="234" spans="1:13" x14ac:dyDescent="0.25">
      <c r="A234" s="293"/>
      <c r="G234" s="262"/>
      <c r="H234" s="276">
        <v>229</v>
      </c>
      <c r="I234" s="277" t="str">
        <f t="shared" si="18"/>
        <v/>
      </c>
      <c r="J234" s="276">
        <f t="shared" si="21"/>
        <v>-3</v>
      </c>
      <c r="K234" s="276">
        <f t="shared" si="19"/>
        <v>-30</v>
      </c>
      <c r="L234" s="276"/>
      <c r="M234" s="278">
        <f t="shared" si="20"/>
        <v>0</v>
      </c>
    </row>
    <row r="235" spans="1:13" x14ac:dyDescent="0.25">
      <c r="A235" s="293"/>
      <c r="G235" s="262"/>
      <c r="H235" s="279">
        <v>230</v>
      </c>
      <c r="I235" s="277" t="str">
        <f t="shared" si="18"/>
        <v/>
      </c>
      <c r="J235" s="276">
        <f t="shared" si="21"/>
        <v>-3</v>
      </c>
      <c r="K235" s="276">
        <f t="shared" si="19"/>
        <v>-30</v>
      </c>
      <c r="L235" s="276"/>
      <c r="M235" s="278">
        <f t="shared" si="20"/>
        <v>0</v>
      </c>
    </row>
    <row r="236" spans="1:13" x14ac:dyDescent="0.25">
      <c r="A236" s="293"/>
      <c r="G236" s="262"/>
      <c r="H236" s="276">
        <v>231</v>
      </c>
      <c r="I236" s="277" t="str">
        <f t="shared" si="18"/>
        <v/>
      </c>
      <c r="J236" s="276">
        <f t="shared" si="21"/>
        <v>-3</v>
      </c>
      <c r="K236" s="276">
        <f t="shared" si="19"/>
        <v>-30</v>
      </c>
      <c r="L236" s="276"/>
      <c r="M236" s="278">
        <f t="shared" si="20"/>
        <v>0</v>
      </c>
    </row>
    <row r="237" spans="1:13" x14ac:dyDescent="0.25">
      <c r="A237" s="293"/>
      <c r="G237" s="262"/>
      <c r="H237" s="279">
        <v>232</v>
      </c>
      <c r="I237" s="277" t="str">
        <f t="shared" si="18"/>
        <v/>
      </c>
      <c r="J237" s="276">
        <f t="shared" si="21"/>
        <v>-3</v>
      </c>
      <c r="K237" s="276">
        <f t="shared" si="19"/>
        <v>-30</v>
      </c>
      <c r="L237" s="276"/>
      <c r="M237" s="278">
        <f t="shared" si="20"/>
        <v>0</v>
      </c>
    </row>
    <row r="238" spans="1:13" x14ac:dyDescent="0.25">
      <c r="A238" s="293"/>
      <c r="G238" s="262"/>
      <c r="H238" s="276">
        <v>233</v>
      </c>
      <c r="I238" s="277" t="str">
        <f t="shared" si="18"/>
        <v/>
      </c>
      <c r="J238" s="276">
        <f t="shared" si="21"/>
        <v>-3</v>
      </c>
      <c r="K238" s="276">
        <f t="shared" si="19"/>
        <v>-30</v>
      </c>
      <c r="L238" s="276"/>
      <c r="M238" s="278">
        <f t="shared" si="20"/>
        <v>0</v>
      </c>
    </row>
    <row r="239" spans="1:13" x14ac:dyDescent="0.25">
      <c r="A239" s="293"/>
      <c r="G239" s="262"/>
      <c r="H239" s="279">
        <v>234</v>
      </c>
      <c r="I239" s="277" t="str">
        <f t="shared" si="18"/>
        <v/>
      </c>
      <c r="J239" s="276">
        <f t="shared" si="21"/>
        <v>-3</v>
      </c>
      <c r="K239" s="276">
        <f t="shared" si="19"/>
        <v>-30</v>
      </c>
      <c r="L239" s="276"/>
      <c r="M239" s="278">
        <f t="shared" si="20"/>
        <v>0</v>
      </c>
    </row>
    <row r="240" spans="1:13" x14ac:dyDescent="0.25">
      <c r="A240" s="293"/>
      <c r="G240" s="262"/>
      <c r="H240" s="276">
        <v>235</v>
      </c>
      <c r="I240" s="277" t="str">
        <f t="shared" si="18"/>
        <v/>
      </c>
      <c r="J240" s="276">
        <f t="shared" si="21"/>
        <v>-3</v>
      </c>
      <c r="K240" s="276">
        <f t="shared" si="19"/>
        <v>-30</v>
      </c>
      <c r="L240" s="276"/>
      <c r="M240" s="278">
        <f t="shared" si="20"/>
        <v>0</v>
      </c>
    </row>
    <row r="241" spans="1:13" x14ac:dyDescent="0.25">
      <c r="A241" s="293"/>
      <c r="G241" s="262"/>
      <c r="H241" s="279">
        <v>236</v>
      </c>
      <c r="I241" s="277" t="str">
        <f t="shared" si="18"/>
        <v/>
      </c>
      <c r="J241" s="276">
        <f t="shared" si="21"/>
        <v>-3</v>
      </c>
      <c r="K241" s="276">
        <f t="shared" si="19"/>
        <v>-30</v>
      </c>
      <c r="L241" s="276"/>
      <c r="M241" s="278">
        <f t="shared" si="20"/>
        <v>0</v>
      </c>
    </row>
    <row r="242" spans="1:13" x14ac:dyDescent="0.25">
      <c r="A242" s="293"/>
      <c r="G242" s="262"/>
      <c r="H242" s="276">
        <v>237</v>
      </c>
      <c r="I242" s="277" t="str">
        <f t="shared" si="18"/>
        <v/>
      </c>
      <c r="J242" s="276">
        <f t="shared" si="21"/>
        <v>-3</v>
      </c>
      <c r="K242" s="276">
        <f t="shared" si="19"/>
        <v>-30</v>
      </c>
      <c r="L242" s="276"/>
      <c r="M242" s="278">
        <f t="shared" si="20"/>
        <v>0</v>
      </c>
    </row>
    <row r="243" spans="1:13" x14ac:dyDescent="0.25">
      <c r="A243" s="293"/>
      <c r="G243" s="262"/>
      <c r="H243" s="279">
        <v>238</v>
      </c>
      <c r="I243" s="277" t="str">
        <f t="shared" si="18"/>
        <v/>
      </c>
      <c r="J243" s="276">
        <f t="shared" si="21"/>
        <v>-3</v>
      </c>
      <c r="K243" s="276">
        <f t="shared" si="19"/>
        <v>-30</v>
      </c>
      <c r="L243" s="276"/>
      <c r="M243" s="278">
        <f t="shared" si="20"/>
        <v>0</v>
      </c>
    </row>
    <row r="244" spans="1:13" x14ac:dyDescent="0.25">
      <c r="A244" s="293"/>
      <c r="G244" s="262"/>
      <c r="H244" s="276">
        <v>239</v>
      </c>
      <c r="I244" s="277" t="str">
        <f t="shared" si="18"/>
        <v/>
      </c>
      <c r="J244" s="276">
        <f t="shared" si="21"/>
        <v>-3</v>
      </c>
      <c r="K244" s="276">
        <f t="shared" si="19"/>
        <v>-30</v>
      </c>
      <c r="L244" s="276"/>
      <c r="M244" s="278">
        <f t="shared" si="20"/>
        <v>0</v>
      </c>
    </row>
    <row r="245" spans="1:13" x14ac:dyDescent="0.25">
      <c r="A245" s="293"/>
      <c r="G245" s="262"/>
      <c r="H245" s="279">
        <v>240</v>
      </c>
      <c r="I245" s="277" t="str">
        <f t="shared" si="18"/>
        <v/>
      </c>
      <c r="J245" s="276">
        <f t="shared" si="21"/>
        <v>-3</v>
      </c>
      <c r="K245" s="276">
        <f t="shared" si="19"/>
        <v>-30</v>
      </c>
      <c r="L245" s="276"/>
      <c r="M245" s="278">
        <f t="shared" si="20"/>
        <v>0</v>
      </c>
    </row>
    <row r="246" spans="1:13" x14ac:dyDescent="0.25">
      <c r="A246" s="293"/>
      <c r="G246" s="262"/>
      <c r="H246" s="276">
        <v>241</v>
      </c>
      <c r="I246" s="277" t="str">
        <f t="shared" si="18"/>
        <v/>
      </c>
      <c r="J246" s="276">
        <f t="shared" si="21"/>
        <v>-3</v>
      </c>
      <c r="K246" s="276">
        <f t="shared" si="19"/>
        <v>-30</v>
      </c>
      <c r="L246" s="276"/>
      <c r="M246" s="278">
        <f t="shared" si="20"/>
        <v>0</v>
      </c>
    </row>
    <row r="247" spans="1:13" x14ac:dyDescent="0.25">
      <c r="A247" s="293"/>
      <c r="G247" s="262"/>
      <c r="H247" s="279">
        <v>242</v>
      </c>
      <c r="I247" s="277" t="str">
        <f t="shared" si="18"/>
        <v/>
      </c>
      <c r="J247" s="276">
        <f t="shared" si="21"/>
        <v>-3</v>
      </c>
      <c r="K247" s="276">
        <f t="shared" si="19"/>
        <v>-30</v>
      </c>
      <c r="L247" s="276"/>
      <c r="M247" s="278">
        <f t="shared" si="20"/>
        <v>0</v>
      </c>
    </row>
    <row r="248" spans="1:13" x14ac:dyDescent="0.25">
      <c r="A248" s="293"/>
      <c r="G248" s="262"/>
      <c r="H248" s="276">
        <v>243</v>
      </c>
      <c r="I248" s="277" t="str">
        <f t="shared" si="18"/>
        <v/>
      </c>
      <c r="J248" s="276">
        <f t="shared" si="21"/>
        <v>-3</v>
      </c>
      <c r="K248" s="276">
        <f t="shared" si="19"/>
        <v>-30</v>
      </c>
      <c r="L248" s="276"/>
      <c r="M248" s="278">
        <f t="shared" si="20"/>
        <v>0</v>
      </c>
    </row>
    <row r="249" spans="1:13" x14ac:dyDescent="0.25">
      <c r="A249" s="293"/>
      <c r="G249" s="262"/>
      <c r="H249" s="279">
        <v>244</v>
      </c>
      <c r="I249" s="277" t="str">
        <f t="shared" si="18"/>
        <v/>
      </c>
      <c r="J249" s="276">
        <f t="shared" si="21"/>
        <v>-3</v>
      </c>
      <c r="K249" s="276">
        <f t="shared" si="19"/>
        <v>-30</v>
      </c>
      <c r="L249" s="276"/>
      <c r="M249" s="278">
        <f t="shared" si="20"/>
        <v>0</v>
      </c>
    </row>
    <row r="250" spans="1:13" x14ac:dyDescent="0.25">
      <c r="A250" s="293"/>
      <c r="G250" s="262"/>
      <c r="H250" s="276">
        <v>245</v>
      </c>
      <c r="I250" s="277" t="str">
        <f t="shared" si="18"/>
        <v/>
      </c>
      <c r="J250" s="276">
        <f t="shared" si="21"/>
        <v>-3</v>
      </c>
      <c r="K250" s="276">
        <f t="shared" si="19"/>
        <v>-30</v>
      </c>
      <c r="L250" s="276"/>
      <c r="M250" s="278">
        <f t="shared" si="20"/>
        <v>0</v>
      </c>
    </row>
    <row r="251" spans="1:13" x14ac:dyDescent="0.25">
      <c r="A251" s="293"/>
      <c r="G251" s="262"/>
      <c r="H251" s="279">
        <v>246</v>
      </c>
      <c r="I251" s="277" t="str">
        <f t="shared" si="18"/>
        <v/>
      </c>
      <c r="J251" s="276">
        <f t="shared" si="21"/>
        <v>-3</v>
      </c>
      <c r="K251" s="276">
        <f t="shared" si="19"/>
        <v>-30</v>
      </c>
      <c r="L251" s="276"/>
      <c r="M251" s="278">
        <f t="shared" si="20"/>
        <v>0</v>
      </c>
    </row>
    <row r="252" spans="1:13" x14ac:dyDescent="0.25">
      <c r="A252" s="293"/>
      <c r="G252" s="262"/>
      <c r="H252" s="276">
        <v>247</v>
      </c>
      <c r="I252" s="277" t="str">
        <f t="shared" si="18"/>
        <v/>
      </c>
      <c r="J252" s="276">
        <f t="shared" si="21"/>
        <v>-3</v>
      </c>
      <c r="K252" s="276">
        <f t="shared" si="19"/>
        <v>-30</v>
      </c>
      <c r="L252" s="276"/>
      <c r="M252" s="278">
        <f t="shared" si="20"/>
        <v>0</v>
      </c>
    </row>
    <row r="253" spans="1:13" x14ac:dyDescent="0.25">
      <c r="A253" s="293"/>
      <c r="G253" s="262"/>
      <c r="H253" s="279">
        <v>248</v>
      </c>
      <c r="I253" s="277" t="str">
        <f t="shared" si="18"/>
        <v/>
      </c>
      <c r="J253" s="276">
        <f t="shared" si="21"/>
        <v>-3</v>
      </c>
      <c r="K253" s="276">
        <f t="shared" si="19"/>
        <v>-30</v>
      </c>
      <c r="L253" s="276"/>
      <c r="M253" s="278">
        <f t="shared" si="20"/>
        <v>0</v>
      </c>
    </row>
    <row r="254" spans="1:13" x14ac:dyDescent="0.25">
      <c r="A254" s="293"/>
      <c r="G254" s="262"/>
      <c r="H254" s="276">
        <v>249</v>
      </c>
      <c r="I254" s="277" t="str">
        <f t="shared" si="18"/>
        <v/>
      </c>
      <c r="J254" s="276">
        <f t="shared" si="21"/>
        <v>-3</v>
      </c>
      <c r="K254" s="276">
        <f t="shared" si="19"/>
        <v>-30</v>
      </c>
      <c r="L254" s="276"/>
      <c r="M254" s="278">
        <f t="shared" si="20"/>
        <v>0</v>
      </c>
    </row>
    <row r="255" spans="1:13" x14ac:dyDescent="0.25">
      <c r="A255" s="293"/>
      <c r="G255" s="262"/>
      <c r="H255" s="279">
        <v>250</v>
      </c>
      <c r="I255" s="277" t="str">
        <f t="shared" si="18"/>
        <v/>
      </c>
      <c r="J255" s="276">
        <f t="shared" si="21"/>
        <v>-3</v>
      </c>
      <c r="K255" s="276">
        <f t="shared" si="19"/>
        <v>-30</v>
      </c>
      <c r="L255" s="276"/>
      <c r="M255" s="278">
        <f t="shared" si="20"/>
        <v>0</v>
      </c>
    </row>
    <row r="256" spans="1:13" x14ac:dyDescent="0.25">
      <c r="A256" s="293"/>
      <c r="G256" s="262"/>
      <c r="H256" s="276">
        <v>251</v>
      </c>
      <c r="I256" s="277" t="str">
        <f t="shared" si="18"/>
        <v/>
      </c>
      <c r="J256" s="276">
        <f t="shared" si="21"/>
        <v>-3</v>
      </c>
      <c r="K256" s="276">
        <f t="shared" si="19"/>
        <v>-30</v>
      </c>
      <c r="L256" s="276"/>
      <c r="M256" s="278">
        <f t="shared" si="20"/>
        <v>0</v>
      </c>
    </row>
    <row r="257" spans="1:13" x14ac:dyDescent="0.25">
      <c r="A257" s="293"/>
      <c r="G257" s="262"/>
      <c r="H257" s="279">
        <v>252</v>
      </c>
      <c r="I257" s="277" t="str">
        <f t="shared" si="18"/>
        <v/>
      </c>
      <c r="J257" s="276">
        <f t="shared" si="21"/>
        <v>-3</v>
      </c>
      <c r="K257" s="276">
        <f t="shared" si="19"/>
        <v>-30</v>
      </c>
      <c r="L257" s="276"/>
      <c r="M257" s="278">
        <f t="shared" si="20"/>
        <v>0</v>
      </c>
    </row>
    <row r="258" spans="1:13" x14ac:dyDescent="0.25">
      <c r="A258" s="293"/>
      <c r="G258" s="262"/>
      <c r="H258" s="276">
        <v>253</v>
      </c>
      <c r="I258" s="277" t="str">
        <f t="shared" si="18"/>
        <v/>
      </c>
      <c r="J258" s="276">
        <f t="shared" si="21"/>
        <v>-3</v>
      </c>
      <c r="K258" s="276">
        <f t="shared" si="19"/>
        <v>-30</v>
      </c>
      <c r="L258" s="276"/>
      <c r="M258" s="278">
        <f t="shared" si="20"/>
        <v>0</v>
      </c>
    </row>
    <row r="259" spans="1:13" x14ac:dyDescent="0.25">
      <c r="A259" s="293"/>
      <c r="G259" s="262"/>
      <c r="H259" s="279">
        <v>254</v>
      </c>
      <c r="I259" s="277" t="str">
        <f t="shared" si="18"/>
        <v/>
      </c>
      <c r="J259" s="276">
        <f t="shared" si="21"/>
        <v>-3</v>
      </c>
      <c r="K259" s="276">
        <f t="shared" si="19"/>
        <v>-30</v>
      </c>
      <c r="L259" s="276"/>
      <c r="M259" s="278">
        <f t="shared" si="20"/>
        <v>0</v>
      </c>
    </row>
    <row r="260" spans="1:13" x14ac:dyDescent="0.25">
      <c r="A260" s="293"/>
      <c r="G260" s="262"/>
      <c r="H260" s="276">
        <v>255</v>
      </c>
      <c r="I260" s="277" t="str">
        <f t="shared" si="18"/>
        <v/>
      </c>
      <c r="J260" s="276">
        <f t="shared" si="21"/>
        <v>-3</v>
      </c>
      <c r="K260" s="276">
        <f t="shared" si="19"/>
        <v>-30</v>
      </c>
      <c r="L260" s="276"/>
      <c r="M260" s="278">
        <f t="shared" si="20"/>
        <v>0</v>
      </c>
    </row>
    <row r="261" spans="1:13" x14ac:dyDescent="0.25">
      <c r="A261" s="293"/>
      <c r="G261" s="262"/>
      <c r="H261" s="279">
        <v>256</v>
      </c>
      <c r="I261" s="277" t="str">
        <f t="shared" si="18"/>
        <v/>
      </c>
      <c r="J261" s="276">
        <f t="shared" si="21"/>
        <v>-3</v>
      </c>
      <c r="K261" s="276">
        <f t="shared" si="19"/>
        <v>-30</v>
      </c>
      <c r="L261" s="276"/>
      <c r="M261" s="278">
        <f t="shared" si="20"/>
        <v>0</v>
      </c>
    </row>
    <row r="262" spans="1:13" x14ac:dyDescent="0.25">
      <c r="A262" s="293"/>
      <c r="G262" s="262"/>
      <c r="H262" s="276">
        <v>257</v>
      </c>
      <c r="I262" s="277" t="str">
        <f t="shared" ref="I262:I305" si="22">IF(H262&lt;$H$2+1,($I$2-($I$2-1)*(LOG(H262)/LOG($H$2))),"")</f>
        <v/>
      </c>
      <c r="J262" s="276">
        <f t="shared" si="21"/>
        <v>-4</v>
      </c>
      <c r="K262" s="276">
        <f t="shared" ref="K262:K305" si="23">J262*$J$2</f>
        <v>-40</v>
      </c>
      <c r="L262" s="276"/>
      <c r="M262" s="278">
        <f t="shared" ref="M262:M305" si="24">IF(I262&lt;&gt;"",K262+I262+L262,0)</f>
        <v>0</v>
      </c>
    </row>
    <row r="263" spans="1:13" x14ac:dyDescent="0.25">
      <c r="A263" s="293"/>
      <c r="G263" s="262"/>
      <c r="H263" s="279">
        <v>258</v>
      </c>
      <c r="I263" s="277" t="str">
        <f t="shared" si="22"/>
        <v/>
      </c>
      <c r="J263" s="276">
        <f t="shared" ref="J263:J305" si="25">INT(LOG($H$2,2))-ROUNDUP(LOG(H263,2),0)+IF(OR($H$2=1,$H$2=2,$H$2=4,$H$2=8,$H$2=16,$H$2=32,$H$2=64,$H$2=128,$H$2=256),0,1)</f>
        <v>-4</v>
      </c>
      <c r="K263" s="276">
        <f t="shared" si="23"/>
        <v>-40</v>
      </c>
      <c r="L263" s="276"/>
      <c r="M263" s="278">
        <f t="shared" si="24"/>
        <v>0</v>
      </c>
    </row>
    <row r="264" spans="1:13" x14ac:dyDescent="0.25">
      <c r="A264" s="293"/>
      <c r="G264" s="262"/>
      <c r="H264" s="276">
        <v>259</v>
      </c>
      <c r="I264" s="277" t="str">
        <f t="shared" si="22"/>
        <v/>
      </c>
      <c r="J264" s="276">
        <f t="shared" si="25"/>
        <v>-4</v>
      </c>
      <c r="K264" s="276">
        <f t="shared" si="23"/>
        <v>-40</v>
      </c>
      <c r="L264" s="276"/>
      <c r="M264" s="278">
        <f t="shared" si="24"/>
        <v>0</v>
      </c>
    </row>
    <row r="265" spans="1:13" x14ac:dyDescent="0.25">
      <c r="A265" s="293"/>
      <c r="G265" s="262"/>
      <c r="H265" s="279">
        <v>260</v>
      </c>
      <c r="I265" s="277" t="str">
        <f t="shared" si="22"/>
        <v/>
      </c>
      <c r="J265" s="276">
        <f t="shared" si="25"/>
        <v>-4</v>
      </c>
      <c r="K265" s="276">
        <f t="shared" si="23"/>
        <v>-40</v>
      </c>
      <c r="L265" s="276"/>
      <c r="M265" s="278">
        <f t="shared" si="24"/>
        <v>0</v>
      </c>
    </row>
    <row r="266" spans="1:13" x14ac:dyDescent="0.25">
      <c r="A266" s="293"/>
      <c r="G266" s="262"/>
      <c r="H266" s="276">
        <v>261</v>
      </c>
      <c r="I266" s="277" t="str">
        <f t="shared" si="22"/>
        <v/>
      </c>
      <c r="J266" s="276">
        <f t="shared" si="25"/>
        <v>-4</v>
      </c>
      <c r="K266" s="276">
        <f t="shared" si="23"/>
        <v>-40</v>
      </c>
      <c r="L266" s="276"/>
      <c r="M266" s="278">
        <f t="shared" si="24"/>
        <v>0</v>
      </c>
    </row>
    <row r="267" spans="1:13" x14ac:dyDescent="0.25">
      <c r="A267" s="293"/>
      <c r="G267" s="262"/>
      <c r="H267" s="279">
        <v>262</v>
      </c>
      <c r="I267" s="277" t="str">
        <f t="shared" si="22"/>
        <v/>
      </c>
      <c r="J267" s="276">
        <f t="shared" si="25"/>
        <v>-4</v>
      </c>
      <c r="K267" s="276">
        <f t="shared" si="23"/>
        <v>-40</v>
      </c>
      <c r="L267" s="276"/>
      <c r="M267" s="278">
        <f t="shared" si="24"/>
        <v>0</v>
      </c>
    </row>
    <row r="268" spans="1:13" x14ac:dyDescent="0.25">
      <c r="A268" s="293"/>
      <c r="G268" s="262"/>
      <c r="H268" s="276">
        <v>263</v>
      </c>
      <c r="I268" s="277" t="str">
        <f t="shared" si="22"/>
        <v/>
      </c>
      <c r="J268" s="276">
        <f t="shared" si="25"/>
        <v>-4</v>
      </c>
      <c r="K268" s="276">
        <f t="shared" si="23"/>
        <v>-40</v>
      </c>
      <c r="L268" s="276"/>
      <c r="M268" s="278">
        <f t="shared" si="24"/>
        <v>0</v>
      </c>
    </row>
    <row r="269" spans="1:13" x14ac:dyDescent="0.25">
      <c r="A269" s="293"/>
      <c r="G269" s="262"/>
      <c r="H269" s="279">
        <v>264</v>
      </c>
      <c r="I269" s="277" t="str">
        <f t="shared" si="22"/>
        <v/>
      </c>
      <c r="J269" s="276">
        <f t="shared" si="25"/>
        <v>-4</v>
      </c>
      <c r="K269" s="276">
        <f t="shared" si="23"/>
        <v>-40</v>
      </c>
      <c r="L269" s="276"/>
      <c r="M269" s="278">
        <f t="shared" si="24"/>
        <v>0</v>
      </c>
    </row>
    <row r="270" spans="1:13" x14ac:dyDescent="0.25">
      <c r="A270" s="293"/>
      <c r="G270" s="262"/>
      <c r="H270" s="276">
        <v>265</v>
      </c>
      <c r="I270" s="277" t="str">
        <f t="shared" si="22"/>
        <v/>
      </c>
      <c r="J270" s="276">
        <f t="shared" si="25"/>
        <v>-4</v>
      </c>
      <c r="K270" s="276">
        <f t="shared" si="23"/>
        <v>-40</v>
      </c>
      <c r="L270" s="276"/>
      <c r="M270" s="278">
        <f t="shared" si="24"/>
        <v>0</v>
      </c>
    </row>
    <row r="271" spans="1:13" x14ac:dyDescent="0.25">
      <c r="A271" s="293"/>
      <c r="G271" s="262"/>
      <c r="H271" s="279">
        <v>266</v>
      </c>
      <c r="I271" s="277" t="str">
        <f t="shared" si="22"/>
        <v/>
      </c>
      <c r="J271" s="276">
        <f t="shared" si="25"/>
        <v>-4</v>
      </c>
      <c r="K271" s="276">
        <f t="shared" si="23"/>
        <v>-40</v>
      </c>
      <c r="L271" s="276"/>
      <c r="M271" s="278">
        <f t="shared" si="24"/>
        <v>0</v>
      </c>
    </row>
    <row r="272" spans="1:13" x14ac:dyDescent="0.25">
      <c r="A272" s="293"/>
      <c r="G272" s="262"/>
      <c r="H272" s="276">
        <v>267</v>
      </c>
      <c r="I272" s="277" t="str">
        <f t="shared" si="22"/>
        <v/>
      </c>
      <c r="J272" s="276">
        <f t="shared" si="25"/>
        <v>-4</v>
      </c>
      <c r="K272" s="276">
        <f t="shared" si="23"/>
        <v>-40</v>
      </c>
      <c r="L272" s="276"/>
      <c r="M272" s="278">
        <f t="shared" si="24"/>
        <v>0</v>
      </c>
    </row>
    <row r="273" spans="1:13" x14ac:dyDescent="0.25">
      <c r="A273" s="293"/>
      <c r="G273" s="262"/>
      <c r="H273" s="279">
        <v>268</v>
      </c>
      <c r="I273" s="277" t="str">
        <f t="shared" si="22"/>
        <v/>
      </c>
      <c r="J273" s="276">
        <f t="shared" si="25"/>
        <v>-4</v>
      </c>
      <c r="K273" s="276">
        <f t="shared" si="23"/>
        <v>-40</v>
      </c>
      <c r="L273" s="276"/>
      <c r="M273" s="278">
        <f t="shared" si="24"/>
        <v>0</v>
      </c>
    </row>
    <row r="274" spans="1:13" x14ac:dyDescent="0.25">
      <c r="A274" s="293"/>
      <c r="G274" s="262"/>
      <c r="H274" s="276">
        <v>269</v>
      </c>
      <c r="I274" s="277" t="str">
        <f t="shared" si="22"/>
        <v/>
      </c>
      <c r="J274" s="276">
        <f t="shared" si="25"/>
        <v>-4</v>
      </c>
      <c r="K274" s="276">
        <f t="shared" si="23"/>
        <v>-40</v>
      </c>
      <c r="L274" s="276"/>
      <c r="M274" s="278">
        <f t="shared" si="24"/>
        <v>0</v>
      </c>
    </row>
    <row r="275" spans="1:13" x14ac:dyDescent="0.25">
      <c r="A275" s="293"/>
      <c r="G275" s="262"/>
      <c r="H275" s="279">
        <v>270</v>
      </c>
      <c r="I275" s="277" t="str">
        <f t="shared" si="22"/>
        <v/>
      </c>
      <c r="J275" s="276">
        <f t="shared" si="25"/>
        <v>-4</v>
      </c>
      <c r="K275" s="276">
        <f t="shared" si="23"/>
        <v>-40</v>
      </c>
      <c r="L275" s="276"/>
      <c r="M275" s="278">
        <f t="shared" si="24"/>
        <v>0</v>
      </c>
    </row>
    <row r="276" spans="1:13" x14ac:dyDescent="0.25">
      <c r="A276" s="293"/>
      <c r="G276" s="262"/>
      <c r="H276" s="276">
        <v>271</v>
      </c>
      <c r="I276" s="277" t="str">
        <f t="shared" si="22"/>
        <v/>
      </c>
      <c r="J276" s="276">
        <f t="shared" si="25"/>
        <v>-4</v>
      </c>
      <c r="K276" s="276">
        <f t="shared" si="23"/>
        <v>-40</v>
      </c>
      <c r="L276" s="276"/>
      <c r="M276" s="278">
        <f t="shared" si="24"/>
        <v>0</v>
      </c>
    </row>
    <row r="277" spans="1:13" x14ac:dyDescent="0.25">
      <c r="A277" s="293"/>
      <c r="G277" s="262"/>
      <c r="H277" s="279">
        <v>272</v>
      </c>
      <c r="I277" s="277" t="str">
        <f t="shared" si="22"/>
        <v/>
      </c>
      <c r="J277" s="276">
        <f t="shared" si="25"/>
        <v>-4</v>
      </c>
      <c r="K277" s="276">
        <f t="shared" si="23"/>
        <v>-40</v>
      </c>
      <c r="L277" s="276"/>
      <c r="M277" s="278">
        <f t="shared" si="24"/>
        <v>0</v>
      </c>
    </row>
    <row r="278" spans="1:13" x14ac:dyDescent="0.25">
      <c r="A278" s="293"/>
      <c r="G278" s="262"/>
      <c r="H278" s="276">
        <v>273</v>
      </c>
      <c r="I278" s="277" t="str">
        <f t="shared" si="22"/>
        <v/>
      </c>
      <c r="J278" s="276">
        <f t="shared" si="25"/>
        <v>-4</v>
      </c>
      <c r="K278" s="276">
        <f t="shared" si="23"/>
        <v>-40</v>
      </c>
      <c r="L278" s="276"/>
      <c r="M278" s="278">
        <f t="shared" si="24"/>
        <v>0</v>
      </c>
    </row>
    <row r="279" spans="1:13" x14ac:dyDescent="0.25">
      <c r="A279" s="293"/>
      <c r="G279" s="262"/>
      <c r="H279" s="279">
        <v>274</v>
      </c>
      <c r="I279" s="277" t="str">
        <f t="shared" si="22"/>
        <v/>
      </c>
      <c r="J279" s="276">
        <f t="shared" si="25"/>
        <v>-4</v>
      </c>
      <c r="K279" s="276">
        <f t="shared" si="23"/>
        <v>-40</v>
      </c>
      <c r="L279" s="276"/>
      <c r="M279" s="278">
        <f t="shared" si="24"/>
        <v>0</v>
      </c>
    </row>
    <row r="280" spans="1:13" x14ac:dyDescent="0.25">
      <c r="A280" s="293"/>
      <c r="G280" s="262"/>
      <c r="H280" s="276">
        <v>275</v>
      </c>
      <c r="I280" s="277" t="str">
        <f t="shared" si="22"/>
        <v/>
      </c>
      <c r="J280" s="276">
        <f t="shared" si="25"/>
        <v>-4</v>
      </c>
      <c r="K280" s="276">
        <f t="shared" si="23"/>
        <v>-40</v>
      </c>
      <c r="L280" s="276"/>
      <c r="M280" s="278">
        <f t="shared" si="24"/>
        <v>0</v>
      </c>
    </row>
    <row r="281" spans="1:13" x14ac:dyDescent="0.25">
      <c r="A281" s="293"/>
      <c r="G281" s="262"/>
      <c r="H281" s="279">
        <v>276</v>
      </c>
      <c r="I281" s="277" t="str">
        <f t="shared" si="22"/>
        <v/>
      </c>
      <c r="J281" s="276">
        <f t="shared" si="25"/>
        <v>-4</v>
      </c>
      <c r="K281" s="276">
        <f t="shared" si="23"/>
        <v>-40</v>
      </c>
      <c r="L281" s="276"/>
      <c r="M281" s="278">
        <f t="shared" si="24"/>
        <v>0</v>
      </c>
    </row>
    <row r="282" spans="1:13" x14ac:dyDescent="0.25">
      <c r="A282" s="293"/>
      <c r="G282" s="262"/>
      <c r="H282" s="276">
        <v>277</v>
      </c>
      <c r="I282" s="277" t="str">
        <f t="shared" si="22"/>
        <v/>
      </c>
      <c r="J282" s="276">
        <f t="shared" si="25"/>
        <v>-4</v>
      </c>
      <c r="K282" s="276">
        <f t="shared" si="23"/>
        <v>-40</v>
      </c>
      <c r="L282" s="276"/>
      <c r="M282" s="278">
        <f t="shared" si="24"/>
        <v>0</v>
      </c>
    </row>
    <row r="283" spans="1:13" x14ac:dyDescent="0.25">
      <c r="A283" s="293"/>
      <c r="G283" s="262"/>
      <c r="H283" s="279">
        <v>278</v>
      </c>
      <c r="I283" s="277" t="str">
        <f t="shared" si="22"/>
        <v/>
      </c>
      <c r="J283" s="276">
        <f t="shared" si="25"/>
        <v>-4</v>
      </c>
      <c r="K283" s="276">
        <f t="shared" si="23"/>
        <v>-40</v>
      </c>
      <c r="L283" s="276"/>
      <c r="M283" s="278">
        <f t="shared" si="24"/>
        <v>0</v>
      </c>
    </row>
    <row r="284" spans="1:13" x14ac:dyDescent="0.25">
      <c r="A284" s="293"/>
      <c r="G284" s="262"/>
      <c r="H284" s="276">
        <v>279</v>
      </c>
      <c r="I284" s="277" t="str">
        <f t="shared" si="22"/>
        <v/>
      </c>
      <c r="J284" s="276">
        <f t="shared" si="25"/>
        <v>-4</v>
      </c>
      <c r="K284" s="276">
        <f t="shared" si="23"/>
        <v>-40</v>
      </c>
      <c r="L284" s="276"/>
      <c r="M284" s="278">
        <f t="shared" si="24"/>
        <v>0</v>
      </c>
    </row>
    <row r="285" spans="1:13" x14ac:dyDescent="0.25">
      <c r="A285" s="293"/>
      <c r="G285" s="262"/>
      <c r="H285" s="279">
        <v>280</v>
      </c>
      <c r="I285" s="277" t="str">
        <f t="shared" si="22"/>
        <v/>
      </c>
      <c r="J285" s="276">
        <f t="shared" si="25"/>
        <v>-4</v>
      </c>
      <c r="K285" s="276">
        <f t="shared" si="23"/>
        <v>-40</v>
      </c>
      <c r="L285" s="276"/>
      <c r="M285" s="278">
        <f t="shared" si="24"/>
        <v>0</v>
      </c>
    </row>
    <row r="286" spans="1:13" x14ac:dyDescent="0.25">
      <c r="A286" s="293"/>
      <c r="G286" s="262"/>
      <c r="H286" s="276">
        <v>281</v>
      </c>
      <c r="I286" s="277" t="str">
        <f t="shared" si="22"/>
        <v/>
      </c>
      <c r="J286" s="276">
        <f t="shared" si="25"/>
        <v>-4</v>
      </c>
      <c r="K286" s="276">
        <f t="shared" si="23"/>
        <v>-40</v>
      </c>
      <c r="L286" s="276"/>
      <c r="M286" s="278">
        <f t="shared" si="24"/>
        <v>0</v>
      </c>
    </row>
    <row r="287" spans="1:13" x14ac:dyDescent="0.25">
      <c r="A287" s="293"/>
      <c r="G287" s="262"/>
      <c r="H287" s="279">
        <v>282</v>
      </c>
      <c r="I287" s="277" t="str">
        <f t="shared" si="22"/>
        <v/>
      </c>
      <c r="J287" s="276">
        <f t="shared" si="25"/>
        <v>-4</v>
      </c>
      <c r="K287" s="276">
        <f t="shared" si="23"/>
        <v>-40</v>
      </c>
      <c r="L287" s="276"/>
      <c r="M287" s="278">
        <f t="shared" si="24"/>
        <v>0</v>
      </c>
    </row>
    <row r="288" spans="1:13" x14ac:dyDescent="0.25">
      <c r="A288" s="293"/>
      <c r="G288" s="262"/>
      <c r="H288" s="276">
        <v>283</v>
      </c>
      <c r="I288" s="277" t="str">
        <f t="shared" si="22"/>
        <v/>
      </c>
      <c r="J288" s="276">
        <f t="shared" si="25"/>
        <v>-4</v>
      </c>
      <c r="K288" s="276">
        <f t="shared" si="23"/>
        <v>-40</v>
      </c>
      <c r="L288" s="276"/>
      <c r="M288" s="278">
        <f t="shared" si="24"/>
        <v>0</v>
      </c>
    </row>
    <row r="289" spans="1:13" x14ac:dyDescent="0.25">
      <c r="A289" s="293"/>
      <c r="G289" s="262"/>
      <c r="H289" s="279">
        <v>284</v>
      </c>
      <c r="I289" s="277" t="str">
        <f t="shared" si="22"/>
        <v/>
      </c>
      <c r="J289" s="276">
        <f t="shared" si="25"/>
        <v>-4</v>
      </c>
      <c r="K289" s="276">
        <f t="shared" si="23"/>
        <v>-40</v>
      </c>
      <c r="L289" s="276"/>
      <c r="M289" s="278">
        <f t="shared" si="24"/>
        <v>0</v>
      </c>
    </row>
    <row r="290" spans="1:13" x14ac:dyDescent="0.25">
      <c r="A290" s="293"/>
      <c r="G290" s="262"/>
      <c r="H290" s="276">
        <v>285</v>
      </c>
      <c r="I290" s="277" t="str">
        <f t="shared" si="22"/>
        <v/>
      </c>
      <c r="J290" s="276">
        <f t="shared" si="25"/>
        <v>-4</v>
      </c>
      <c r="K290" s="276">
        <f t="shared" si="23"/>
        <v>-40</v>
      </c>
      <c r="L290" s="276"/>
      <c r="M290" s="278">
        <f t="shared" si="24"/>
        <v>0</v>
      </c>
    </row>
    <row r="291" spans="1:13" x14ac:dyDescent="0.25">
      <c r="A291" s="293"/>
      <c r="G291" s="262"/>
      <c r="H291" s="279">
        <v>286</v>
      </c>
      <c r="I291" s="277" t="str">
        <f t="shared" si="22"/>
        <v/>
      </c>
      <c r="J291" s="276">
        <f t="shared" si="25"/>
        <v>-4</v>
      </c>
      <c r="K291" s="276">
        <f t="shared" si="23"/>
        <v>-40</v>
      </c>
      <c r="L291" s="276"/>
      <c r="M291" s="278">
        <f t="shared" si="24"/>
        <v>0</v>
      </c>
    </row>
    <row r="292" spans="1:13" x14ac:dyDescent="0.25">
      <c r="A292" s="293"/>
      <c r="G292" s="262"/>
      <c r="H292" s="276">
        <v>287</v>
      </c>
      <c r="I292" s="277" t="str">
        <f t="shared" si="22"/>
        <v/>
      </c>
      <c r="J292" s="276">
        <f t="shared" si="25"/>
        <v>-4</v>
      </c>
      <c r="K292" s="276">
        <f t="shared" si="23"/>
        <v>-40</v>
      </c>
      <c r="L292" s="276"/>
      <c r="M292" s="278">
        <f t="shared" si="24"/>
        <v>0</v>
      </c>
    </row>
    <row r="293" spans="1:13" x14ac:dyDescent="0.25">
      <c r="A293" s="293"/>
      <c r="G293" s="262"/>
      <c r="H293" s="276">
        <v>288</v>
      </c>
      <c r="I293" s="277" t="str">
        <f t="shared" si="22"/>
        <v/>
      </c>
      <c r="J293" s="276">
        <f t="shared" si="25"/>
        <v>-4</v>
      </c>
      <c r="K293" s="276">
        <f t="shared" si="23"/>
        <v>-40</v>
      </c>
      <c r="L293" s="276"/>
      <c r="M293" s="278">
        <f t="shared" si="24"/>
        <v>0</v>
      </c>
    </row>
    <row r="294" spans="1:13" x14ac:dyDescent="0.25">
      <c r="A294" s="293"/>
      <c r="G294" s="262"/>
      <c r="H294" s="276">
        <v>289</v>
      </c>
      <c r="I294" s="277" t="str">
        <f t="shared" si="22"/>
        <v/>
      </c>
      <c r="J294" s="276">
        <f t="shared" si="25"/>
        <v>-4</v>
      </c>
      <c r="K294" s="276">
        <f t="shared" si="23"/>
        <v>-40</v>
      </c>
      <c r="L294" s="276"/>
      <c r="M294" s="278">
        <f t="shared" si="24"/>
        <v>0</v>
      </c>
    </row>
    <row r="295" spans="1:13" x14ac:dyDescent="0.25">
      <c r="A295" s="293"/>
      <c r="G295" s="262"/>
      <c r="H295" s="276">
        <v>290</v>
      </c>
      <c r="I295" s="277" t="str">
        <f t="shared" si="22"/>
        <v/>
      </c>
      <c r="J295" s="276">
        <f t="shared" si="25"/>
        <v>-4</v>
      </c>
      <c r="K295" s="276">
        <f t="shared" si="23"/>
        <v>-40</v>
      </c>
      <c r="L295" s="276"/>
      <c r="M295" s="278">
        <f t="shared" si="24"/>
        <v>0</v>
      </c>
    </row>
    <row r="296" spans="1:13" x14ac:dyDescent="0.25">
      <c r="A296" s="293"/>
      <c r="G296" s="262"/>
      <c r="H296" s="276">
        <v>291</v>
      </c>
      <c r="I296" s="277" t="str">
        <f t="shared" si="22"/>
        <v/>
      </c>
      <c r="J296" s="276">
        <f t="shared" si="25"/>
        <v>-4</v>
      </c>
      <c r="K296" s="276">
        <f t="shared" si="23"/>
        <v>-40</v>
      </c>
      <c r="L296" s="276"/>
      <c r="M296" s="278">
        <f t="shared" si="24"/>
        <v>0</v>
      </c>
    </row>
    <row r="297" spans="1:13" x14ac:dyDescent="0.25">
      <c r="A297" s="293"/>
      <c r="G297" s="262"/>
      <c r="H297" s="276">
        <v>292</v>
      </c>
      <c r="I297" s="277" t="str">
        <f t="shared" si="22"/>
        <v/>
      </c>
      <c r="J297" s="276">
        <f t="shared" si="25"/>
        <v>-4</v>
      </c>
      <c r="K297" s="276">
        <f t="shared" si="23"/>
        <v>-40</v>
      </c>
      <c r="L297" s="276"/>
      <c r="M297" s="278">
        <f t="shared" si="24"/>
        <v>0</v>
      </c>
    </row>
    <row r="298" spans="1:13" x14ac:dyDescent="0.25">
      <c r="A298" s="293"/>
      <c r="G298" s="262"/>
      <c r="H298" s="276">
        <v>293</v>
      </c>
      <c r="I298" s="277" t="str">
        <f t="shared" si="22"/>
        <v/>
      </c>
      <c r="J298" s="276">
        <f t="shared" si="25"/>
        <v>-4</v>
      </c>
      <c r="K298" s="276">
        <f t="shared" si="23"/>
        <v>-40</v>
      </c>
      <c r="L298" s="276"/>
      <c r="M298" s="278">
        <f t="shared" si="24"/>
        <v>0</v>
      </c>
    </row>
    <row r="299" spans="1:13" x14ac:dyDescent="0.25">
      <c r="A299" s="293"/>
      <c r="G299" s="262"/>
      <c r="H299" s="276">
        <v>294</v>
      </c>
      <c r="I299" s="277" t="str">
        <f t="shared" si="22"/>
        <v/>
      </c>
      <c r="J299" s="276">
        <f t="shared" si="25"/>
        <v>-4</v>
      </c>
      <c r="K299" s="276">
        <f t="shared" si="23"/>
        <v>-40</v>
      </c>
      <c r="L299" s="276"/>
      <c r="M299" s="278">
        <f t="shared" si="24"/>
        <v>0</v>
      </c>
    </row>
    <row r="300" spans="1:13" x14ac:dyDescent="0.25">
      <c r="A300" s="293"/>
      <c r="G300" s="262"/>
      <c r="H300" s="276">
        <v>295</v>
      </c>
      <c r="I300" s="277" t="str">
        <f t="shared" si="22"/>
        <v/>
      </c>
      <c r="J300" s="276">
        <f t="shared" si="25"/>
        <v>-4</v>
      </c>
      <c r="K300" s="276">
        <f t="shared" si="23"/>
        <v>-40</v>
      </c>
      <c r="L300" s="276"/>
      <c r="M300" s="278">
        <f t="shared" si="24"/>
        <v>0</v>
      </c>
    </row>
    <row r="301" spans="1:13" x14ac:dyDescent="0.25">
      <c r="A301" s="293"/>
      <c r="G301" s="262"/>
      <c r="H301" s="276">
        <v>296</v>
      </c>
      <c r="I301" s="277" t="str">
        <f t="shared" si="22"/>
        <v/>
      </c>
      <c r="J301" s="276">
        <f t="shared" si="25"/>
        <v>-4</v>
      </c>
      <c r="K301" s="276">
        <f t="shared" si="23"/>
        <v>-40</v>
      </c>
      <c r="L301" s="276"/>
      <c r="M301" s="278">
        <f t="shared" si="24"/>
        <v>0</v>
      </c>
    </row>
    <row r="302" spans="1:13" x14ac:dyDescent="0.25">
      <c r="A302" s="293"/>
      <c r="G302" s="262"/>
      <c r="H302" s="276">
        <v>297</v>
      </c>
      <c r="I302" s="277" t="str">
        <f t="shared" si="22"/>
        <v/>
      </c>
      <c r="J302" s="276">
        <f t="shared" si="25"/>
        <v>-4</v>
      </c>
      <c r="K302" s="276">
        <f t="shared" si="23"/>
        <v>-40</v>
      </c>
      <c r="L302" s="276"/>
      <c r="M302" s="278">
        <f t="shared" si="24"/>
        <v>0</v>
      </c>
    </row>
    <row r="303" spans="1:13" x14ac:dyDescent="0.25">
      <c r="A303" s="293"/>
      <c r="G303" s="262"/>
      <c r="H303" s="276">
        <v>298</v>
      </c>
      <c r="I303" s="277" t="str">
        <f t="shared" si="22"/>
        <v/>
      </c>
      <c r="J303" s="276">
        <f t="shared" si="25"/>
        <v>-4</v>
      </c>
      <c r="K303" s="276">
        <f t="shared" si="23"/>
        <v>-40</v>
      </c>
      <c r="L303" s="276"/>
      <c r="M303" s="278">
        <f t="shared" si="24"/>
        <v>0</v>
      </c>
    </row>
    <row r="304" spans="1:13" x14ac:dyDescent="0.25">
      <c r="A304" s="293"/>
      <c r="G304" s="262"/>
      <c r="H304" s="276">
        <v>299</v>
      </c>
      <c r="I304" s="277" t="str">
        <f t="shared" si="22"/>
        <v/>
      </c>
      <c r="J304" s="276">
        <f t="shared" si="25"/>
        <v>-4</v>
      </c>
      <c r="K304" s="276">
        <f t="shared" si="23"/>
        <v>-40</v>
      </c>
      <c r="L304" s="276"/>
      <c r="M304" s="278">
        <f t="shared" si="24"/>
        <v>0</v>
      </c>
    </row>
    <row r="305" spans="1:16" x14ac:dyDescent="0.25">
      <c r="A305" s="293"/>
      <c r="G305" s="262"/>
      <c r="H305" s="276">
        <v>300</v>
      </c>
      <c r="I305" s="277" t="str">
        <f t="shared" si="22"/>
        <v/>
      </c>
      <c r="J305" s="276">
        <f t="shared" si="25"/>
        <v>-4</v>
      </c>
      <c r="K305" s="276">
        <f t="shared" si="23"/>
        <v>-40</v>
      </c>
      <c r="L305" s="276"/>
      <c r="M305" s="278">
        <f t="shared" si="24"/>
        <v>0</v>
      </c>
    </row>
    <row r="306" spans="1:16" x14ac:dyDescent="0.25">
      <c r="A306" s="294"/>
    </row>
    <row r="314" spans="1:16" x14ac:dyDescent="0.25">
      <c r="L314" s="297"/>
      <c r="P314" s="287"/>
    </row>
    <row r="315" spans="1:16" x14ac:dyDescent="0.25">
      <c r="L315" s="297"/>
      <c r="P315" s="287"/>
    </row>
    <row r="316" spans="1:16" x14ac:dyDescent="0.25">
      <c r="L316" s="297"/>
      <c r="P316" s="287"/>
    </row>
    <row r="317" spans="1:16" x14ac:dyDescent="0.25">
      <c r="L317" s="297"/>
      <c r="P317" s="287"/>
    </row>
  </sheetData>
  <conditionalFormatting sqref="J6:K305">
    <cfRule type="cellIs" dxfId="3" priority="1" operator="lessThanOrEqual">
      <formula>0</formula>
    </cfRule>
  </conditionalFormatting>
  <hyperlinks>
    <hyperlink ref="C2" r:id="rId1" xr:uid="{38EE9E81-D5E0-4AB5-BBA8-A2055FB90EC7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32B3-9F73-4390-AAE7-5B250A113C90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1.75" style="108" customWidth="1"/>
    <col min="14" max="14" width="11.75" style="109" customWidth="1"/>
    <col min="15" max="16" width="13.875" style="74" customWidth="1"/>
    <col min="17" max="19" width="8.875" style="74"/>
    <col min="20" max="21" width="8.875" style="79"/>
    <col min="22" max="22" width="12.125" style="79" customWidth="1"/>
    <col min="23" max="23" width="27.375" style="79" customWidth="1"/>
    <col min="24" max="39" width="8.875" style="79"/>
    <col min="40" max="16384" width="8.875" style="105"/>
  </cols>
  <sheetData>
    <row r="1" spans="1:37" x14ac:dyDescent="0.25">
      <c r="A1" s="74"/>
      <c r="B1" s="74"/>
      <c r="C1" s="74"/>
      <c r="D1" s="74"/>
      <c r="E1" s="74"/>
      <c r="F1" s="74"/>
      <c r="G1" s="74"/>
      <c r="H1" s="75" t="s">
        <v>24</v>
      </c>
      <c r="I1" s="76" t="s">
        <v>25</v>
      </c>
      <c r="J1" s="76" t="s">
        <v>26</v>
      </c>
      <c r="K1" s="77" t="s">
        <v>87</v>
      </c>
      <c r="L1" s="112" t="s">
        <v>88</v>
      </c>
      <c r="M1" s="113"/>
      <c r="N1" s="78"/>
    </row>
    <row r="2" spans="1:37" ht="14.3" customHeight="1" x14ac:dyDescent="0.25">
      <c r="A2" s="74"/>
      <c r="B2" s="20" t="s">
        <v>28</v>
      </c>
      <c r="C2" s="237" t="s">
        <v>131</v>
      </c>
      <c r="D2" s="237"/>
      <c r="E2" s="21"/>
      <c r="F2" s="21"/>
      <c r="G2" s="21"/>
      <c r="H2" s="80">
        <v>0</v>
      </c>
      <c r="I2" s="81">
        <v>50</v>
      </c>
      <c r="J2" s="81">
        <v>10</v>
      </c>
      <c r="K2" s="111">
        <f>3*H2^(1/3)</f>
        <v>0</v>
      </c>
      <c r="L2" s="114">
        <v>1.2</v>
      </c>
      <c r="M2" s="78"/>
      <c r="N2" s="78"/>
    </row>
    <row r="3" spans="1:37" ht="14.3" customHeight="1" x14ac:dyDescent="0.25">
      <c r="A3" s="74"/>
      <c r="B3" s="82" t="s">
        <v>30</v>
      </c>
      <c r="C3" s="261" t="s">
        <v>132</v>
      </c>
      <c r="D3" s="261"/>
      <c r="E3" s="26"/>
      <c r="F3" s="26"/>
      <c r="G3" s="26"/>
      <c r="H3" s="78"/>
      <c r="I3" s="78"/>
      <c r="J3" s="83"/>
      <c r="K3" s="78"/>
      <c r="L3" s="78"/>
      <c r="M3" s="78"/>
      <c r="N3" s="7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83"/>
      <c r="K4" s="78"/>
      <c r="L4" s="78"/>
      <c r="M4" s="78"/>
      <c r="N4" s="78"/>
    </row>
    <row r="5" spans="1:37" ht="34.65" x14ac:dyDescent="0.25">
      <c r="A5" s="1" t="s">
        <v>32</v>
      </c>
      <c r="B5" s="29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8"/>
      <c r="H5" s="84" t="s">
        <v>38</v>
      </c>
      <c r="I5" s="85" t="s">
        <v>39</v>
      </c>
      <c r="J5" s="86" t="s">
        <v>40</v>
      </c>
      <c r="K5" s="85" t="s">
        <v>41</v>
      </c>
      <c r="L5" s="85" t="s">
        <v>42</v>
      </c>
      <c r="M5" s="84" t="s">
        <v>43</v>
      </c>
      <c r="N5" s="84" t="s">
        <v>91</v>
      </c>
    </row>
    <row r="6" spans="1:37" ht="14.45" customHeight="1" x14ac:dyDescent="0.25">
      <c r="A6" s="87">
        <f>N6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88">
        <v>1</v>
      </c>
      <c r="I6" s="89" t="str">
        <f t="shared" ref="I6:I69" si="1">IF(H6&lt;$H$2+1,($I$2-($I$2-1)*(LOG(H6)/LOG($H$2))),"")</f>
        <v/>
      </c>
      <c r="J6" s="88" t="e">
        <f>INT(LOG($H$2,2))-ROUNDUP(LOG(H6,2),0)+IF(OR($H$2=1,$H$2=2,$H$2=4,$H$2=8,$H$2=16,$H$2=32,$H$2=64,$H$2=128,$H$2=256),0,1)</f>
        <v>#NUM!</v>
      </c>
      <c r="K6" s="88" t="e">
        <f t="shared" ref="K6:K69" si="2">J6*$J$2</f>
        <v>#NUM!</v>
      </c>
      <c r="L6" s="90">
        <f>3*K2</f>
        <v>0</v>
      </c>
      <c r="M6" s="90">
        <f t="shared" ref="M6:M69" si="3">IF(I6&lt;&gt;"",K6+I6+L6,0)</f>
        <v>0</v>
      </c>
      <c r="N6" s="90">
        <f t="shared" ref="N6:N69" si="4">IF(I6&lt;&gt;"",M6*L$2,0)</f>
        <v>0</v>
      </c>
    </row>
    <row r="7" spans="1:37" ht="14.45" customHeight="1" x14ac:dyDescent="0.25">
      <c r="A7" s="91">
        <f t="shared" ref="A7:A70" si="5">N7</f>
        <v>0</v>
      </c>
      <c r="B7" s="40" t="str">
        <f t="shared" si="0"/>
        <v/>
      </c>
      <c r="C7" s="41"/>
      <c r="D7" s="41"/>
      <c r="E7" s="41"/>
      <c r="F7" s="41"/>
      <c r="G7" s="28"/>
      <c r="H7" s="92">
        <v>2</v>
      </c>
      <c r="I7" s="93" t="str">
        <f t="shared" si="1"/>
        <v/>
      </c>
      <c r="J7" s="92" t="e">
        <f t="shared" ref="J7:J70" si="6">INT(LOG($H$2,2))-ROUNDUP(LOG(H7,2),0)+IF(OR($H$2=1,$H$2=2,$H$2=4,$H$2=8,$H$2=16,$H$2=32,$H$2=64,$H$2=128,$H$2=256),0,1)</f>
        <v>#NUM!</v>
      </c>
      <c r="K7" s="92" t="e">
        <f t="shared" si="2"/>
        <v>#NUM!</v>
      </c>
      <c r="L7" s="94">
        <f>2*K2</f>
        <v>0</v>
      </c>
      <c r="M7" s="94">
        <f t="shared" si="3"/>
        <v>0</v>
      </c>
      <c r="N7" s="94">
        <f t="shared" si="4"/>
        <v>0</v>
      </c>
    </row>
    <row r="8" spans="1:37" ht="14.45" customHeight="1" x14ac:dyDescent="0.25">
      <c r="A8" s="87">
        <f t="shared" si="5"/>
        <v>0</v>
      </c>
      <c r="B8" s="34" t="str">
        <f t="shared" si="0"/>
        <v/>
      </c>
      <c r="C8" s="35"/>
      <c r="D8" s="35"/>
      <c r="E8" s="35"/>
      <c r="F8" s="35"/>
      <c r="G8" s="28"/>
      <c r="H8" s="88">
        <v>3</v>
      </c>
      <c r="I8" s="89" t="str">
        <f t="shared" si="1"/>
        <v/>
      </c>
      <c r="J8" s="88" t="e">
        <f t="shared" si="6"/>
        <v>#NUM!</v>
      </c>
      <c r="K8" s="88" t="e">
        <f t="shared" si="2"/>
        <v>#NUM!</v>
      </c>
      <c r="L8" s="90">
        <f>K2</f>
        <v>0</v>
      </c>
      <c r="M8" s="90">
        <f t="shared" si="3"/>
        <v>0</v>
      </c>
      <c r="N8" s="90">
        <f t="shared" si="4"/>
        <v>0</v>
      </c>
    </row>
    <row r="9" spans="1:37" s="79" customFormat="1" ht="14.45" customHeight="1" x14ac:dyDescent="0.25">
      <c r="A9" s="91">
        <f>N9</f>
        <v>0</v>
      </c>
      <c r="B9" s="40" t="str">
        <f t="shared" si="0"/>
        <v/>
      </c>
      <c r="C9" s="41"/>
      <c r="D9" s="41"/>
      <c r="E9" s="41"/>
      <c r="F9" s="41"/>
      <c r="G9" s="28"/>
      <c r="H9" s="92">
        <v>3</v>
      </c>
      <c r="I9" s="93" t="str">
        <f t="shared" si="1"/>
        <v/>
      </c>
      <c r="J9" s="92" t="e">
        <f t="shared" si="6"/>
        <v>#NUM!</v>
      </c>
      <c r="K9" s="92" t="e">
        <f t="shared" si="2"/>
        <v>#NUM!</v>
      </c>
      <c r="L9" s="94">
        <f>K2</f>
        <v>0</v>
      </c>
      <c r="M9" s="94">
        <f t="shared" si="3"/>
        <v>0</v>
      </c>
      <c r="N9" s="94">
        <f t="shared" si="4"/>
        <v>0</v>
      </c>
      <c r="O9" s="74"/>
      <c r="P9" s="74"/>
      <c r="Q9" s="74"/>
      <c r="R9" s="74"/>
      <c r="S9" s="74"/>
      <c r="V9" s="95"/>
      <c r="Z9" s="96"/>
      <c r="AA9" s="96"/>
      <c r="AG9" s="97"/>
      <c r="AH9" s="79" t="s">
        <v>48</v>
      </c>
      <c r="AI9" s="79">
        <v>23</v>
      </c>
    </row>
    <row r="10" spans="1:37" ht="14.45" customHeight="1" x14ac:dyDescent="0.25">
      <c r="A10" s="87">
        <f t="shared" si="5"/>
        <v>0</v>
      </c>
      <c r="B10" s="34" t="str">
        <f t="shared" si="0"/>
        <v/>
      </c>
      <c r="C10" s="35"/>
      <c r="D10" s="35"/>
      <c r="E10" s="35"/>
      <c r="F10" s="35"/>
      <c r="G10" s="28"/>
      <c r="H10" s="88">
        <v>5</v>
      </c>
      <c r="I10" s="89" t="str">
        <f t="shared" si="1"/>
        <v/>
      </c>
      <c r="J10" s="88" t="e">
        <f t="shared" si="6"/>
        <v>#NUM!</v>
      </c>
      <c r="K10" s="88" t="e">
        <f t="shared" si="2"/>
        <v>#NUM!</v>
      </c>
      <c r="L10" s="88"/>
      <c r="M10" s="90">
        <f t="shared" si="3"/>
        <v>0</v>
      </c>
      <c r="N10" s="90">
        <f t="shared" si="4"/>
        <v>0</v>
      </c>
      <c r="W10" s="95"/>
      <c r="AA10" s="96"/>
      <c r="AB10" s="96"/>
      <c r="AH10" s="97"/>
      <c r="AI10" s="79" t="s">
        <v>50</v>
      </c>
      <c r="AJ10" s="79">
        <v>45</v>
      </c>
    </row>
    <row r="11" spans="1:37" ht="14.45" customHeight="1" x14ac:dyDescent="0.25">
      <c r="A11" s="91">
        <f t="shared" si="5"/>
        <v>0</v>
      </c>
      <c r="B11" s="40" t="str">
        <f t="shared" si="0"/>
        <v/>
      </c>
      <c r="C11" s="41"/>
      <c r="D11" s="41"/>
      <c r="E11" s="41"/>
      <c r="F11" s="41"/>
      <c r="G11" s="28"/>
      <c r="H11" s="92">
        <v>6</v>
      </c>
      <c r="I11" s="93" t="str">
        <f t="shared" si="1"/>
        <v/>
      </c>
      <c r="J11" s="92" t="e">
        <f t="shared" si="6"/>
        <v>#NUM!</v>
      </c>
      <c r="K11" s="92" t="e">
        <f t="shared" si="2"/>
        <v>#NUM!</v>
      </c>
      <c r="L11" s="92"/>
      <c r="M11" s="94">
        <f t="shared" si="3"/>
        <v>0</v>
      </c>
      <c r="N11" s="94">
        <f t="shared" si="4"/>
        <v>0</v>
      </c>
      <c r="W11" s="98"/>
      <c r="AA11" s="96"/>
      <c r="AB11" s="96"/>
      <c r="AH11" s="97"/>
      <c r="AI11" s="79" t="s">
        <v>52</v>
      </c>
      <c r="AJ11" s="79">
        <v>50</v>
      </c>
    </row>
    <row r="12" spans="1:37" ht="14.45" customHeight="1" x14ac:dyDescent="0.25">
      <c r="A12" s="87">
        <f t="shared" si="5"/>
        <v>0</v>
      </c>
      <c r="B12" s="34" t="str">
        <f t="shared" si="0"/>
        <v/>
      </c>
      <c r="C12" s="35"/>
      <c r="D12" s="35"/>
      <c r="E12" s="35"/>
      <c r="F12" s="35"/>
      <c r="G12" s="28"/>
      <c r="H12" s="88">
        <v>7</v>
      </c>
      <c r="I12" s="89" t="str">
        <f t="shared" si="1"/>
        <v/>
      </c>
      <c r="J12" s="88" t="e">
        <f t="shared" si="6"/>
        <v>#NUM!</v>
      </c>
      <c r="K12" s="88" t="e">
        <f t="shared" si="2"/>
        <v>#NUM!</v>
      </c>
      <c r="L12" s="88"/>
      <c r="M12" s="90">
        <f t="shared" si="3"/>
        <v>0</v>
      </c>
      <c r="N12" s="90">
        <f t="shared" si="4"/>
        <v>0</v>
      </c>
      <c r="AA12" s="96"/>
      <c r="AB12" s="96"/>
      <c r="AH12" s="97"/>
      <c r="AI12" s="79" t="s">
        <v>53</v>
      </c>
      <c r="AJ12" s="79">
        <f>AJ11-1</f>
        <v>49</v>
      </c>
    </row>
    <row r="13" spans="1:37" ht="14.45" customHeight="1" x14ac:dyDescent="0.25">
      <c r="A13" s="91">
        <f t="shared" si="5"/>
        <v>0</v>
      </c>
      <c r="B13" s="40" t="str">
        <f t="shared" si="0"/>
        <v/>
      </c>
      <c r="C13" s="41"/>
      <c r="D13" s="41"/>
      <c r="E13" s="41"/>
      <c r="F13" s="41"/>
      <c r="G13" s="28"/>
      <c r="H13" s="92">
        <v>8</v>
      </c>
      <c r="I13" s="93" t="str">
        <f t="shared" si="1"/>
        <v/>
      </c>
      <c r="J13" s="92" t="e">
        <f t="shared" si="6"/>
        <v>#NUM!</v>
      </c>
      <c r="K13" s="92" t="e">
        <f t="shared" si="2"/>
        <v>#NUM!</v>
      </c>
      <c r="L13" s="92"/>
      <c r="M13" s="94">
        <f t="shared" si="3"/>
        <v>0</v>
      </c>
      <c r="N13" s="94">
        <f t="shared" si="4"/>
        <v>0</v>
      </c>
      <c r="Y13" s="95"/>
      <c r="AH13" s="97"/>
      <c r="AI13" s="79" t="s">
        <v>54</v>
      </c>
      <c r="AJ13" s="79" t="e">
        <f>LOG(AJ9)</f>
        <v>#NUM!</v>
      </c>
    </row>
    <row r="14" spans="1:37" x14ac:dyDescent="0.25">
      <c r="A14" s="87">
        <f t="shared" si="5"/>
        <v>0</v>
      </c>
      <c r="B14" s="34" t="str">
        <f t="shared" si="0"/>
        <v/>
      </c>
      <c r="C14" s="35"/>
      <c r="D14" s="35"/>
      <c r="E14" s="35"/>
      <c r="F14" s="35"/>
      <c r="G14" s="28"/>
      <c r="H14" s="88">
        <v>9</v>
      </c>
      <c r="I14" s="89" t="str">
        <f t="shared" si="1"/>
        <v/>
      </c>
      <c r="J14" s="88" t="e">
        <f t="shared" si="6"/>
        <v>#NUM!</v>
      </c>
      <c r="K14" s="88" t="e">
        <f t="shared" si="2"/>
        <v>#NUM!</v>
      </c>
      <c r="L14" s="88"/>
      <c r="M14" s="90">
        <f t="shared" si="3"/>
        <v>0</v>
      </c>
      <c r="N14" s="90">
        <f t="shared" si="4"/>
        <v>0</v>
      </c>
      <c r="Y14" s="99"/>
      <c r="AA14" s="96"/>
      <c r="AB14" s="96"/>
      <c r="AH14" s="97"/>
      <c r="AI14" s="79" t="s">
        <v>55</v>
      </c>
      <c r="AJ14" s="79">
        <f>LOG(AJ10)</f>
        <v>1.6532125137753437</v>
      </c>
    </row>
    <row r="15" spans="1:37" x14ac:dyDescent="0.25">
      <c r="A15" s="91">
        <f t="shared" si="5"/>
        <v>0</v>
      </c>
      <c r="B15" s="40" t="str">
        <f t="shared" si="0"/>
        <v/>
      </c>
      <c r="C15" s="41"/>
      <c r="D15" s="41"/>
      <c r="E15" s="41"/>
      <c r="F15" s="41"/>
      <c r="G15" s="28"/>
      <c r="H15" s="92">
        <v>10</v>
      </c>
      <c r="I15" s="93" t="str">
        <f t="shared" si="1"/>
        <v/>
      </c>
      <c r="J15" s="92" t="e">
        <f t="shared" si="6"/>
        <v>#NUM!</v>
      </c>
      <c r="K15" s="92" t="e">
        <f t="shared" si="2"/>
        <v>#NUM!</v>
      </c>
      <c r="L15" s="92"/>
      <c r="M15" s="94">
        <f t="shared" si="3"/>
        <v>0</v>
      </c>
      <c r="N15" s="94">
        <f t="shared" si="4"/>
        <v>0</v>
      </c>
      <c r="Y15" s="95"/>
      <c r="AA15" s="96"/>
      <c r="AB15" s="96"/>
    </row>
    <row r="16" spans="1:37" x14ac:dyDescent="0.25">
      <c r="A16" s="87">
        <f t="shared" si="5"/>
        <v>0</v>
      </c>
      <c r="B16" s="34" t="str">
        <f t="shared" si="0"/>
        <v/>
      </c>
      <c r="C16" s="35"/>
      <c r="D16" s="35"/>
      <c r="E16" s="35"/>
      <c r="F16" s="35"/>
      <c r="G16" s="28"/>
      <c r="H16" s="88">
        <v>11</v>
      </c>
      <c r="I16" s="89" t="str">
        <f t="shared" si="1"/>
        <v/>
      </c>
      <c r="J16" s="88" t="e">
        <f t="shared" si="6"/>
        <v>#NUM!</v>
      </c>
      <c r="K16" s="88" t="e">
        <f t="shared" si="2"/>
        <v>#NUM!</v>
      </c>
      <c r="L16" s="88"/>
      <c r="M16" s="90">
        <f t="shared" si="3"/>
        <v>0</v>
      </c>
      <c r="N16" s="90">
        <f t="shared" si="4"/>
        <v>0</v>
      </c>
      <c r="S16" s="100"/>
      <c r="AA16" s="96"/>
      <c r="AB16" s="96"/>
      <c r="AI16" s="101" t="s">
        <v>56</v>
      </c>
      <c r="AJ16" s="79" t="e">
        <f>AJ11-AJ12*AJ13/AJ14</f>
        <v>#NUM!</v>
      </c>
      <c r="AK16" s="79" t="s">
        <v>57</v>
      </c>
    </row>
    <row r="17" spans="1:20" x14ac:dyDescent="0.25">
      <c r="A17" s="91">
        <f t="shared" si="5"/>
        <v>0</v>
      </c>
      <c r="B17" s="40" t="str">
        <f t="shared" si="0"/>
        <v/>
      </c>
      <c r="C17" s="41"/>
      <c r="D17" s="41"/>
      <c r="E17" s="41"/>
      <c r="F17" s="41"/>
      <c r="G17" s="28"/>
      <c r="H17" s="92">
        <v>12</v>
      </c>
      <c r="I17" s="93" t="str">
        <f t="shared" si="1"/>
        <v/>
      </c>
      <c r="J17" s="92" t="e">
        <f t="shared" si="6"/>
        <v>#NUM!</v>
      </c>
      <c r="K17" s="92" t="e">
        <f t="shared" si="2"/>
        <v>#NUM!</v>
      </c>
      <c r="L17" s="92"/>
      <c r="M17" s="94">
        <f t="shared" si="3"/>
        <v>0</v>
      </c>
      <c r="N17" s="94">
        <f t="shared" si="4"/>
        <v>0</v>
      </c>
    </row>
    <row r="18" spans="1:20" x14ac:dyDescent="0.25">
      <c r="A18" s="87">
        <f t="shared" si="5"/>
        <v>0</v>
      </c>
      <c r="B18" s="34" t="str">
        <f t="shared" si="0"/>
        <v/>
      </c>
      <c r="C18" s="35"/>
      <c r="D18" s="35"/>
      <c r="E18" s="35"/>
      <c r="F18" s="35"/>
      <c r="G18" s="28"/>
      <c r="H18" s="88">
        <v>13</v>
      </c>
      <c r="I18" s="89" t="str">
        <f t="shared" si="1"/>
        <v/>
      </c>
      <c r="J18" s="88" t="e">
        <f t="shared" si="6"/>
        <v>#NUM!</v>
      </c>
      <c r="K18" s="88" t="e">
        <f t="shared" si="2"/>
        <v>#NUM!</v>
      </c>
      <c r="L18" s="88"/>
      <c r="M18" s="90">
        <f t="shared" si="3"/>
        <v>0</v>
      </c>
      <c r="N18" s="90">
        <f t="shared" si="4"/>
        <v>0</v>
      </c>
    </row>
    <row r="19" spans="1:20" x14ac:dyDescent="0.25">
      <c r="A19" s="91">
        <f t="shared" si="5"/>
        <v>0</v>
      </c>
      <c r="B19" s="40" t="str">
        <f t="shared" si="0"/>
        <v/>
      </c>
      <c r="C19" s="41"/>
      <c r="D19" s="41"/>
      <c r="E19" s="41"/>
      <c r="F19" s="41"/>
      <c r="G19" s="28"/>
      <c r="H19" s="92">
        <v>14</v>
      </c>
      <c r="I19" s="93" t="str">
        <f t="shared" si="1"/>
        <v/>
      </c>
      <c r="J19" s="92" t="e">
        <f t="shared" si="6"/>
        <v>#NUM!</v>
      </c>
      <c r="K19" s="92" t="e">
        <f t="shared" si="2"/>
        <v>#NUM!</v>
      </c>
      <c r="L19" s="92"/>
      <c r="M19" s="94">
        <f t="shared" si="3"/>
        <v>0</v>
      </c>
      <c r="N19" s="94">
        <f t="shared" si="4"/>
        <v>0</v>
      </c>
    </row>
    <row r="20" spans="1:20" x14ac:dyDescent="0.25">
      <c r="A20" s="87">
        <f t="shared" si="5"/>
        <v>0</v>
      </c>
      <c r="B20" s="34" t="str">
        <f t="shared" si="0"/>
        <v/>
      </c>
      <c r="C20" s="35"/>
      <c r="D20" s="35"/>
      <c r="E20" s="35"/>
      <c r="F20" s="35"/>
      <c r="G20" s="28"/>
      <c r="H20" s="88">
        <v>15</v>
      </c>
      <c r="I20" s="89" t="str">
        <f t="shared" si="1"/>
        <v/>
      </c>
      <c r="J20" s="88" t="e">
        <f t="shared" si="6"/>
        <v>#NUM!</v>
      </c>
      <c r="K20" s="88" t="e">
        <f t="shared" si="2"/>
        <v>#NUM!</v>
      </c>
      <c r="L20" s="88"/>
      <c r="M20" s="90">
        <f t="shared" si="3"/>
        <v>0</v>
      </c>
      <c r="N20" s="90">
        <f t="shared" si="4"/>
        <v>0</v>
      </c>
      <c r="S20" s="102"/>
      <c r="T20" s="103"/>
    </row>
    <row r="21" spans="1:20" x14ac:dyDescent="0.25">
      <c r="A21" s="91">
        <f t="shared" si="5"/>
        <v>0</v>
      </c>
      <c r="B21" s="40" t="str">
        <f t="shared" si="0"/>
        <v/>
      </c>
      <c r="C21" s="41"/>
      <c r="D21" s="41"/>
      <c r="E21" s="41"/>
      <c r="F21" s="41"/>
      <c r="G21" s="28"/>
      <c r="H21" s="92">
        <v>16</v>
      </c>
      <c r="I21" s="93" t="str">
        <f t="shared" si="1"/>
        <v/>
      </c>
      <c r="J21" s="92" t="e">
        <f t="shared" si="6"/>
        <v>#NUM!</v>
      </c>
      <c r="K21" s="92" t="e">
        <f t="shared" si="2"/>
        <v>#NUM!</v>
      </c>
      <c r="L21" s="92"/>
      <c r="M21" s="94">
        <f t="shared" si="3"/>
        <v>0</v>
      </c>
      <c r="N21" s="94">
        <f t="shared" si="4"/>
        <v>0</v>
      </c>
    </row>
    <row r="22" spans="1:20" x14ac:dyDescent="0.25">
      <c r="A22" s="87">
        <f t="shared" si="5"/>
        <v>0</v>
      </c>
      <c r="B22" s="34" t="str">
        <f t="shared" si="0"/>
        <v/>
      </c>
      <c r="C22" s="35"/>
      <c r="D22" s="35"/>
      <c r="E22" s="35"/>
      <c r="F22" s="35"/>
      <c r="G22" s="28"/>
      <c r="H22" s="88">
        <v>17</v>
      </c>
      <c r="I22" s="89" t="str">
        <f t="shared" si="1"/>
        <v/>
      </c>
      <c r="J22" s="88" t="e">
        <f t="shared" si="6"/>
        <v>#NUM!</v>
      </c>
      <c r="K22" s="88" t="e">
        <f t="shared" si="2"/>
        <v>#NUM!</v>
      </c>
      <c r="L22" s="88"/>
      <c r="M22" s="90">
        <f t="shared" si="3"/>
        <v>0</v>
      </c>
      <c r="N22" s="90">
        <f t="shared" si="4"/>
        <v>0</v>
      </c>
    </row>
    <row r="23" spans="1:20" x14ac:dyDescent="0.25">
      <c r="A23" s="91">
        <f t="shared" si="5"/>
        <v>0</v>
      </c>
      <c r="B23" s="40" t="str">
        <f t="shared" si="0"/>
        <v/>
      </c>
      <c r="C23" s="41"/>
      <c r="D23" s="41"/>
      <c r="E23" s="41"/>
      <c r="F23" s="41"/>
      <c r="G23" s="28"/>
      <c r="H23" s="92">
        <v>18</v>
      </c>
      <c r="I23" s="93" t="str">
        <f t="shared" si="1"/>
        <v/>
      </c>
      <c r="J23" s="92" t="e">
        <f t="shared" si="6"/>
        <v>#NUM!</v>
      </c>
      <c r="K23" s="92" t="e">
        <f t="shared" si="2"/>
        <v>#NUM!</v>
      </c>
      <c r="L23" s="92"/>
      <c r="M23" s="94">
        <f t="shared" si="3"/>
        <v>0</v>
      </c>
      <c r="N23" s="94">
        <f t="shared" si="4"/>
        <v>0</v>
      </c>
    </row>
    <row r="24" spans="1:20" x14ac:dyDescent="0.25">
      <c r="A24" s="87">
        <f t="shared" si="5"/>
        <v>0</v>
      </c>
      <c r="B24" s="34" t="str">
        <f t="shared" si="0"/>
        <v/>
      </c>
      <c r="C24" s="35"/>
      <c r="D24" s="35"/>
      <c r="E24" s="35"/>
      <c r="F24" s="35"/>
      <c r="G24" s="28"/>
      <c r="H24" s="88">
        <v>19</v>
      </c>
      <c r="I24" s="89" t="str">
        <f t="shared" si="1"/>
        <v/>
      </c>
      <c r="J24" s="88" t="e">
        <f t="shared" si="6"/>
        <v>#NUM!</v>
      </c>
      <c r="K24" s="88" t="e">
        <f t="shared" si="2"/>
        <v>#NUM!</v>
      </c>
      <c r="L24" s="88"/>
      <c r="M24" s="90">
        <f t="shared" si="3"/>
        <v>0</v>
      </c>
      <c r="N24" s="90">
        <f t="shared" si="4"/>
        <v>0</v>
      </c>
      <c r="S24" s="102"/>
      <c r="T24" s="103"/>
    </row>
    <row r="25" spans="1:20" x14ac:dyDescent="0.25">
      <c r="A25" s="91">
        <f t="shared" si="5"/>
        <v>0</v>
      </c>
      <c r="B25" s="40" t="str">
        <f t="shared" si="0"/>
        <v/>
      </c>
      <c r="C25" s="41"/>
      <c r="D25" s="41"/>
      <c r="E25" s="41"/>
      <c r="F25" s="41"/>
      <c r="G25" s="28"/>
      <c r="H25" s="92">
        <v>20</v>
      </c>
      <c r="I25" s="93" t="str">
        <f t="shared" si="1"/>
        <v/>
      </c>
      <c r="J25" s="92" t="e">
        <f t="shared" si="6"/>
        <v>#NUM!</v>
      </c>
      <c r="K25" s="92" t="e">
        <f t="shared" si="2"/>
        <v>#NUM!</v>
      </c>
      <c r="L25" s="92"/>
      <c r="M25" s="94">
        <f t="shared" si="3"/>
        <v>0</v>
      </c>
      <c r="N25" s="94">
        <f t="shared" si="4"/>
        <v>0</v>
      </c>
    </row>
    <row r="26" spans="1:20" x14ac:dyDescent="0.25">
      <c r="A26" s="87">
        <f t="shared" si="5"/>
        <v>0</v>
      </c>
      <c r="B26" s="34" t="str">
        <f t="shared" si="0"/>
        <v/>
      </c>
      <c r="C26" s="35"/>
      <c r="D26" s="35"/>
      <c r="E26" s="35"/>
      <c r="F26" s="35"/>
      <c r="G26" s="28"/>
      <c r="H26" s="88">
        <v>21</v>
      </c>
      <c r="I26" s="89" t="str">
        <f t="shared" si="1"/>
        <v/>
      </c>
      <c r="J26" s="88" t="e">
        <f t="shared" si="6"/>
        <v>#NUM!</v>
      </c>
      <c r="K26" s="88" t="e">
        <f t="shared" si="2"/>
        <v>#NUM!</v>
      </c>
      <c r="L26" s="88"/>
      <c r="M26" s="90">
        <f t="shared" si="3"/>
        <v>0</v>
      </c>
      <c r="N26" s="90">
        <f t="shared" si="4"/>
        <v>0</v>
      </c>
    </row>
    <row r="27" spans="1:20" x14ac:dyDescent="0.25">
      <c r="A27" s="91">
        <f t="shared" si="5"/>
        <v>0</v>
      </c>
      <c r="B27" s="40" t="str">
        <f t="shared" si="0"/>
        <v/>
      </c>
      <c r="C27" s="41"/>
      <c r="D27" s="41"/>
      <c r="E27" s="41"/>
      <c r="F27" s="41"/>
      <c r="G27" s="28"/>
      <c r="H27" s="92">
        <v>22</v>
      </c>
      <c r="I27" s="93" t="str">
        <f t="shared" si="1"/>
        <v/>
      </c>
      <c r="J27" s="92" t="e">
        <f t="shared" si="6"/>
        <v>#NUM!</v>
      </c>
      <c r="K27" s="92" t="e">
        <f t="shared" si="2"/>
        <v>#NUM!</v>
      </c>
      <c r="L27" s="92"/>
      <c r="M27" s="94">
        <f t="shared" si="3"/>
        <v>0</v>
      </c>
      <c r="N27" s="94">
        <f t="shared" si="4"/>
        <v>0</v>
      </c>
    </row>
    <row r="28" spans="1:20" x14ac:dyDescent="0.25">
      <c r="A28" s="87">
        <f t="shared" si="5"/>
        <v>0</v>
      </c>
      <c r="B28" s="34" t="str">
        <f t="shared" si="0"/>
        <v/>
      </c>
      <c r="C28" s="35"/>
      <c r="D28" s="35"/>
      <c r="E28" s="35"/>
      <c r="F28" s="35"/>
      <c r="G28" s="28"/>
      <c r="H28" s="88">
        <v>23</v>
      </c>
      <c r="I28" s="89" t="str">
        <f t="shared" si="1"/>
        <v/>
      </c>
      <c r="J28" s="88" t="e">
        <f t="shared" si="6"/>
        <v>#NUM!</v>
      </c>
      <c r="K28" s="88" t="e">
        <f t="shared" si="2"/>
        <v>#NUM!</v>
      </c>
      <c r="L28" s="88"/>
      <c r="M28" s="90">
        <f t="shared" si="3"/>
        <v>0</v>
      </c>
      <c r="N28" s="90">
        <f t="shared" si="4"/>
        <v>0</v>
      </c>
      <c r="S28" s="102"/>
      <c r="T28" s="103"/>
    </row>
    <row r="29" spans="1:20" x14ac:dyDescent="0.25">
      <c r="A29" s="91">
        <f t="shared" si="5"/>
        <v>0</v>
      </c>
      <c r="B29" s="40" t="str">
        <f t="shared" si="0"/>
        <v/>
      </c>
      <c r="C29" s="41"/>
      <c r="D29" s="41"/>
      <c r="E29" s="41"/>
      <c r="F29" s="41"/>
      <c r="G29" s="74"/>
      <c r="H29" s="92">
        <v>24</v>
      </c>
      <c r="I29" s="93" t="str">
        <f t="shared" si="1"/>
        <v/>
      </c>
      <c r="J29" s="92" t="e">
        <f t="shared" si="6"/>
        <v>#NUM!</v>
      </c>
      <c r="K29" s="92" t="e">
        <f t="shared" si="2"/>
        <v>#NUM!</v>
      </c>
      <c r="L29" s="92"/>
      <c r="M29" s="94">
        <f t="shared" si="3"/>
        <v>0</v>
      </c>
      <c r="N29" s="94">
        <f t="shared" si="4"/>
        <v>0</v>
      </c>
    </row>
    <row r="30" spans="1:20" x14ac:dyDescent="0.25">
      <c r="A30" s="87">
        <f t="shared" si="5"/>
        <v>0</v>
      </c>
      <c r="B30" s="34" t="str">
        <f t="shared" si="0"/>
        <v/>
      </c>
      <c r="C30" s="35"/>
      <c r="D30" s="35"/>
      <c r="E30" s="35"/>
      <c r="F30" s="35"/>
      <c r="G30" s="74"/>
      <c r="H30" s="88">
        <v>25</v>
      </c>
      <c r="I30" s="89" t="str">
        <f t="shared" si="1"/>
        <v/>
      </c>
      <c r="J30" s="88" t="e">
        <f t="shared" si="6"/>
        <v>#NUM!</v>
      </c>
      <c r="K30" s="88" t="e">
        <f t="shared" si="2"/>
        <v>#NUM!</v>
      </c>
      <c r="L30" s="88"/>
      <c r="M30" s="90">
        <f t="shared" si="3"/>
        <v>0</v>
      </c>
      <c r="N30" s="90">
        <f t="shared" si="4"/>
        <v>0</v>
      </c>
    </row>
    <row r="31" spans="1:20" x14ac:dyDescent="0.25">
      <c r="A31" s="91">
        <f t="shared" si="5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2" t="e">
        <f t="shared" si="6"/>
        <v>#NUM!</v>
      </c>
      <c r="K31" s="92" t="e">
        <f t="shared" si="2"/>
        <v>#NUM!</v>
      </c>
      <c r="L31" s="92"/>
      <c r="M31" s="94">
        <f t="shared" si="3"/>
        <v>0</v>
      </c>
      <c r="N31" s="94">
        <f t="shared" si="4"/>
        <v>0</v>
      </c>
    </row>
    <row r="32" spans="1:20" x14ac:dyDescent="0.25">
      <c r="A32" s="87">
        <f t="shared" si="5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8" t="e">
        <f t="shared" si="6"/>
        <v>#NUM!</v>
      </c>
      <c r="K32" s="88" t="e">
        <f t="shared" si="2"/>
        <v>#NUM!</v>
      </c>
      <c r="L32" s="88"/>
      <c r="M32" s="90">
        <f t="shared" si="3"/>
        <v>0</v>
      </c>
      <c r="N32" s="90">
        <f t="shared" si="4"/>
        <v>0</v>
      </c>
      <c r="S32" s="102"/>
      <c r="T32" s="103"/>
    </row>
    <row r="33" spans="1:20" x14ac:dyDescent="0.25">
      <c r="A33" s="91">
        <f t="shared" si="5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2" t="e">
        <f t="shared" si="6"/>
        <v>#NUM!</v>
      </c>
      <c r="K33" s="92" t="e">
        <f t="shared" si="2"/>
        <v>#NUM!</v>
      </c>
      <c r="L33" s="92"/>
      <c r="M33" s="94">
        <f t="shared" si="3"/>
        <v>0</v>
      </c>
      <c r="N33" s="94">
        <f t="shared" si="4"/>
        <v>0</v>
      </c>
    </row>
    <row r="34" spans="1:20" x14ac:dyDescent="0.25">
      <c r="A34" s="87">
        <f t="shared" si="5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8" t="e">
        <f t="shared" si="6"/>
        <v>#NUM!</v>
      </c>
      <c r="K34" s="88" t="e">
        <f t="shared" si="2"/>
        <v>#NUM!</v>
      </c>
      <c r="L34" s="88"/>
      <c r="M34" s="90">
        <f t="shared" si="3"/>
        <v>0</v>
      </c>
      <c r="N34" s="90">
        <f t="shared" si="4"/>
        <v>0</v>
      </c>
    </row>
    <row r="35" spans="1:20" s="79" customFormat="1" x14ac:dyDescent="0.25">
      <c r="A35" s="91">
        <f t="shared" si="5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2" t="e">
        <f t="shared" si="6"/>
        <v>#NUM!</v>
      </c>
      <c r="K35" s="92" t="e">
        <f t="shared" si="2"/>
        <v>#NUM!</v>
      </c>
      <c r="L35" s="92"/>
      <c r="M35" s="94">
        <f t="shared" si="3"/>
        <v>0</v>
      </c>
      <c r="N35" s="94">
        <f t="shared" si="4"/>
        <v>0</v>
      </c>
      <c r="O35" s="74"/>
      <c r="P35" s="74"/>
      <c r="Q35" s="74"/>
      <c r="R35" s="74"/>
      <c r="S35" s="74"/>
    </row>
    <row r="36" spans="1:20" s="79" customFormat="1" x14ac:dyDescent="0.25">
      <c r="A36" s="87">
        <f t="shared" si="5"/>
        <v>0</v>
      </c>
      <c r="B36" s="34" t="str">
        <f t="shared" si="0"/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8" t="e">
        <f t="shared" si="6"/>
        <v>#NUM!</v>
      </c>
      <c r="K36" s="88" t="e">
        <f t="shared" si="2"/>
        <v>#NUM!</v>
      </c>
      <c r="L36" s="88"/>
      <c r="M36" s="90">
        <f t="shared" si="3"/>
        <v>0</v>
      </c>
      <c r="N36" s="90">
        <f t="shared" si="4"/>
        <v>0</v>
      </c>
      <c r="O36" s="74"/>
      <c r="P36" s="74"/>
      <c r="Q36" s="74"/>
      <c r="R36" s="74"/>
      <c r="S36" s="102"/>
      <c r="T36" s="103"/>
    </row>
    <row r="37" spans="1:20" s="79" customFormat="1" x14ac:dyDescent="0.25">
      <c r="A37" s="91">
        <f t="shared" si="5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2" t="e">
        <f t="shared" si="6"/>
        <v>#NUM!</v>
      </c>
      <c r="K37" s="92" t="e">
        <f t="shared" si="2"/>
        <v>#NUM!</v>
      </c>
      <c r="L37" s="92"/>
      <c r="M37" s="94">
        <f t="shared" si="3"/>
        <v>0</v>
      </c>
      <c r="N37" s="94">
        <f t="shared" si="4"/>
        <v>0</v>
      </c>
      <c r="O37" s="74"/>
      <c r="P37" s="74"/>
      <c r="Q37" s="74"/>
      <c r="R37" s="74"/>
      <c r="S37" s="74"/>
    </row>
    <row r="38" spans="1:20" s="79" customFormat="1" x14ac:dyDescent="0.25">
      <c r="A38" s="87">
        <f t="shared" si="5"/>
        <v>0</v>
      </c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8" t="e">
        <f t="shared" si="6"/>
        <v>#NUM!</v>
      </c>
      <c r="K38" s="88" t="e">
        <f t="shared" si="2"/>
        <v>#NUM!</v>
      </c>
      <c r="L38" s="88"/>
      <c r="M38" s="90">
        <f t="shared" si="3"/>
        <v>0</v>
      </c>
      <c r="N38" s="90">
        <f t="shared" si="4"/>
        <v>0</v>
      </c>
      <c r="O38" s="74"/>
      <c r="P38" s="74"/>
      <c r="Q38" s="74"/>
      <c r="R38" s="74"/>
      <c r="S38" s="102"/>
      <c r="T38" s="103"/>
    </row>
    <row r="39" spans="1:20" s="79" customFormat="1" x14ac:dyDescent="0.25">
      <c r="A39" s="91">
        <f t="shared" si="5"/>
        <v>0</v>
      </c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2" t="e">
        <f t="shared" si="6"/>
        <v>#NUM!</v>
      </c>
      <c r="K39" s="92" t="e">
        <f t="shared" si="2"/>
        <v>#NUM!</v>
      </c>
      <c r="L39" s="92"/>
      <c r="M39" s="94">
        <f t="shared" si="3"/>
        <v>0</v>
      </c>
      <c r="N39" s="94">
        <f t="shared" si="4"/>
        <v>0</v>
      </c>
      <c r="O39" s="74"/>
      <c r="P39" s="74"/>
      <c r="Q39" s="74"/>
      <c r="R39" s="74"/>
      <c r="S39" s="74"/>
    </row>
    <row r="40" spans="1:20" s="79" customFormat="1" x14ac:dyDescent="0.25">
      <c r="A40" s="87">
        <f t="shared" si="5"/>
        <v>0</v>
      </c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8" t="e">
        <f t="shared" si="6"/>
        <v>#NUM!</v>
      </c>
      <c r="K40" s="88" t="e">
        <f t="shared" si="2"/>
        <v>#NUM!</v>
      </c>
      <c r="L40" s="88"/>
      <c r="M40" s="90">
        <f t="shared" si="3"/>
        <v>0</v>
      </c>
      <c r="N40" s="90">
        <f t="shared" si="4"/>
        <v>0</v>
      </c>
      <c r="O40" s="74"/>
      <c r="P40" s="74"/>
      <c r="Q40" s="74"/>
      <c r="R40" s="74"/>
      <c r="S40" s="102"/>
      <c r="T40" s="103"/>
    </row>
    <row r="41" spans="1:20" s="79" customFormat="1" x14ac:dyDescent="0.25">
      <c r="A41" s="91">
        <f t="shared" si="5"/>
        <v>0</v>
      </c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2" t="e">
        <f t="shared" si="6"/>
        <v>#NUM!</v>
      </c>
      <c r="K41" s="92" t="e">
        <f t="shared" si="2"/>
        <v>#NUM!</v>
      </c>
      <c r="L41" s="92"/>
      <c r="M41" s="94">
        <f t="shared" si="3"/>
        <v>0</v>
      </c>
      <c r="N41" s="94">
        <f t="shared" si="4"/>
        <v>0</v>
      </c>
      <c r="O41" s="74"/>
      <c r="P41" s="74"/>
      <c r="Q41" s="74"/>
      <c r="R41" s="74"/>
      <c r="S41" s="74"/>
    </row>
    <row r="42" spans="1:20" s="79" customFormat="1" x14ac:dyDescent="0.25">
      <c r="A42" s="87">
        <f t="shared" si="5"/>
        <v>0</v>
      </c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8" t="e">
        <f t="shared" si="6"/>
        <v>#NUM!</v>
      </c>
      <c r="K42" s="88" t="e">
        <f t="shared" si="2"/>
        <v>#NUM!</v>
      </c>
      <c r="L42" s="88"/>
      <c r="M42" s="90">
        <f t="shared" si="3"/>
        <v>0</v>
      </c>
      <c r="N42" s="90">
        <f t="shared" si="4"/>
        <v>0</v>
      </c>
      <c r="O42" s="74"/>
      <c r="P42" s="74"/>
      <c r="Q42" s="74"/>
      <c r="R42" s="74"/>
      <c r="S42" s="102"/>
      <c r="T42" s="103"/>
    </row>
    <row r="43" spans="1:20" s="79" customFormat="1" x14ac:dyDescent="0.25">
      <c r="A43" s="91">
        <f t="shared" si="5"/>
        <v>0</v>
      </c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2" t="e">
        <f t="shared" si="6"/>
        <v>#NUM!</v>
      </c>
      <c r="K43" s="92" t="e">
        <f t="shared" si="2"/>
        <v>#NUM!</v>
      </c>
      <c r="L43" s="92"/>
      <c r="M43" s="94">
        <f t="shared" si="3"/>
        <v>0</v>
      </c>
      <c r="N43" s="94">
        <f t="shared" si="4"/>
        <v>0</v>
      </c>
      <c r="O43" s="74"/>
      <c r="P43" s="74"/>
      <c r="Q43" s="74"/>
      <c r="R43" s="74"/>
      <c r="S43" s="74"/>
    </row>
    <row r="44" spans="1:20" s="79" customFormat="1" x14ac:dyDescent="0.25">
      <c r="A44" s="87">
        <f t="shared" si="5"/>
        <v>0</v>
      </c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8" t="e">
        <f t="shared" si="6"/>
        <v>#NUM!</v>
      </c>
      <c r="K44" s="88" t="e">
        <f t="shared" si="2"/>
        <v>#NUM!</v>
      </c>
      <c r="L44" s="88"/>
      <c r="M44" s="90">
        <f t="shared" si="3"/>
        <v>0</v>
      </c>
      <c r="N44" s="90">
        <f t="shared" si="4"/>
        <v>0</v>
      </c>
      <c r="O44" s="74"/>
      <c r="P44" s="74"/>
      <c r="Q44" s="74"/>
      <c r="R44" s="74"/>
      <c r="S44" s="102"/>
      <c r="T44" s="103"/>
    </row>
    <row r="45" spans="1:20" s="79" customFormat="1" x14ac:dyDescent="0.25">
      <c r="A45" s="91">
        <f t="shared" si="5"/>
        <v>0</v>
      </c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2" t="e">
        <f t="shared" si="6"/>
        <v>#NUM!</v>
      </c>
      <c r="K45" s="92" t="e">
        <f t="shared" si="2"/>
        <v>#NUM!</v>
      </c>
      <c r="L45" s="92"/>
      <c r="M45" s="94">
        <f t="shared" si="3"/>
        <v>0</v>
      </c>
      <c r="N45" s="94">
        <f t="shared" si="4"/>
        <v>0</v>
      </c>
      <c r="O45" s="74"/>
      <c r="P45" s="74"/>
      <c r="Q45" s="74"/>
      <c r="R45" s="74"/>
      <c r="S45" s="74"/>
    </row>
    <row r="46" spans="1:20" s="79" customFormat="1" x14ac:dyDescent="0.25">
      <c r="A46" s="87">
        <f t="shared" si="5"/>
        <v>0</v>
      </c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8" t="e">
        <f t="shared" si="6"/>
        <v>#NUM!</v>
      </c>
      <c r="K46" s="88" t="e">
        <f t="shared" si="2"/>
        <v>#NUM!</v>
      </c>
      <c r="L46" s="88"/>
      <c r="M46" s="90">
        <f t="shared" si="3"/>
        <v>0</v>
      </c>
      <c r="N46" s="90">
        <f t="shared" si="4"/>
        <v>0</v>
      </c>
      <c r="O46" s="74"/>
      <c r="P46" s="74"/>
      <c r="Q46" s="74"/>
      <c r="R46" s="74"/>
      <c r="S46" s="102"/>
      <c r="T46" s="103"/>
    </row>
    <row r="47" spans="1:20" s="79" customFormat="1" x14ac:dyDescent="0.25">
      <c r="A47" s="91">
        <f t="shared" si="5"/>
        <v>0</v>
      </c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2" t="e">
        <f t="shared" si="6"/>
        <v>#NUM!</v>
      </c>
      <c r="K47" s="92" t="e">
        <f t="shared" si="2"/>
        <v>#NUM!</v>
      </c>
      <c r="L47" s="92"/>
      <c r="M47" s="94">
        <f t="shared" si="3"/>
        <v>0</v>
      </c>
      <c r="N47" s="94">
        <f t="shared" si="4"/>
        <v>0</v>
      </c>
      <c r="O47" s="74"/>
      <c r="P47" s="74"/>
      <c r="Q47" s="74"/>
      <c r="R47" s="74"/>
      <c r="S47" s="74"/>
    </row>
    <row r="48" spans="1:20" s="79" customFormat="1" x14ac:dyDescent="0.25">
      <c r="A48" s="87">
        <f t="shared" si="5"/>
        <v>0</v>
      </c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8" t="e">
        <f t="shared" si="6"/>
        <v>#NUM!</v>
      </c>
      <c r="K48" s="88" t="e">
        <f t="shared" si="2"/>
        <v>#NUM!</v>
      </c>
      <c r="L48" s="88"/>
      <c r="M48" s="90">
        <f t="shared" si="3"/>
        <v>0</v>
      </c>
      <c r="N48" s="90">
        <f t="shared" si="4"/>
        <v>0</v>
      </c>
      <c r="O48" s="74"/>
      <c r="P48" s="74"/>
      <c r="Q48" s="74"/>
      <c r="R48" s="74"/>
      <c r="S48" s="102"/>
      <c r="T48" s="103"/>
    </row>
    <row r="49" spans="1:20" s="79" customFormat="1" x14ac:dyDescent="0.25">
      <c r="A49" s="91">
        <f t="shared" si="5"/>
        <v>0</v>
      </c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2" t="e">
        <f t="shared" si="6"/>
        <v>#NUM!</v>
      </c>
      <c r="K49" s="92" t="e">
        <f t="shared" si="2"/>
        <v>#NUM!</v>
      </c>
      <c r="L49" s="92"/>
      <c r="M49" s="94">
        <f t="shared" si="3"/>
        <v>0</v>
      </c>
      <c r="N49" s="94">
        <f t="shared" si="4"/>
        <v>0</v>
      </c>
      <c r="O49" s="74"/>
      <c r="P49" s="74"/>
      <c r="Q49" s="74"/>
      <c r="R49" s="74"/>
      <c r="S49" s="74"/>
    </row>
    <row r="50" spans="1:20" s="79" customFormat="1" x14ac:dyDescent="0.25">
      <c r="A50" s="87">
        <f t="shared" si="5"/>
        <v>0</v>
      </c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8" t="e">
        <f t="shared" si="6"/>
        <v>#NUM!</v>
      </c>
      <c r="K50" s="88" t="e">
        <f t="shared" si="2"/>
        <v>#NUM!</v>
      </c>
      <c r="L50" s="88"/>
      <c r="M50" s="90">
        <f t="shared" si="3"/>
        <v>0</v>
      </c>
      <c r="N50" s="90">
        <f t="shared" si="4"/>
        <v>0</v>
      </c>
      <c r="O50" s="74"/>
      <c r="P50" s="74"/>
      <c r="Q50" s="74"/>
      <c r="R50" s="74"/>
      <c r="S50" s="102"/>
      <c r="T50" s="103"/>
    </row>
    <row r="51" spans="1:20" s="79" customFormat="1" x14ac:dyDescent="0.25">
      <c r="A51" s="91">
        <f t="shared" si="5"/>
        <v>0</v>
      </c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2" t="e">
        <f t="shared" si="6"/>
        <v>#NUM!</v>
      </c>
      <c r="K51" s="92" t="e">
        <f t="shared" si="2"/>
        <v>#NUM!</v>
      </c>
      <c r="L51" s="92"/>
      <c r="M51" s="94">
        <f t="shared" si="3"/>
        <v>0</v>
      </c>
      <c r="N51" s="94">
        <f t="shared" si="4"/>
        <v>0</v>
      </c>
      <c r="O51" s="74"/>
      <c r="P51" s="74"/>
      <c r="Q51" s="74"/>
      <c r="R51" s="74"/>
      <c r="S51" s="74"/>
    </row>
    <row r="52" spans="1:20" s="79" customFormat="1" x14ac:dyDescent="0.25">
      <c r="A52" s="87">
        <f t="shared" si="5"/>
        <v>0</v>
      </c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8" t="e">
        <f t="shared" si="6"/>
        <v>#NUM!</v>
      </c>
      <c r="K52" s="88" t="e">
        <f t="shared" si="2"/>
        <v>#NUM!</v>
      </c>
      <c r="L52" s="88"/>
      <c r="M52" s="90">
        <f t="shared" si="3"/>
        <v>0</v>
      </c>
      <c r="N52" s="90">
        <f t="shared" si="4"/>
        <v>0</v>
      </c>
      <c r="O52" s="74"/>
      <c r="P52" s="74"/>
      <c r="Q52" s="74"/>
      <c r="R52" s="74"/>
      <c r="S52" s="102"/>
      <c r="T52" s="103"/>
    </row>
    <row r="53" spans="1:20" s="79" customFormat="1" x14ac:dyDescent="0.25">
      <c r="A53" s="91">
        <f t="shared" si="5"/>
        <v>0</v>
      </c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2" t="e">
        <f t="shared" si="6"/>
        <v>#NUM!</v>
      </c>
      <c r="K53" s="92" t="e">
        <f t="shared" si="2"/>
        <v>#NUM!</v>
      </c>
      <c r="L53" s="92"/>
      <c r="M53" s="94">
        <f t="shared" si="3"/>
        <v>0</v>
      </c>
      <c r="N53" s="94">
        <f t="shared" si="4"/>
        <v>0</v>
      </c>
      <c r="O53" s="74"/>
      <c r="P53" s="74"/>
      <c r="Q53" s="74"/>
      <c r="R53" s="74"/>
      <c r="S53" s="74"/>
    </row>
    <row r="54" spans="1:20" s="79" customFormat="1" x14ac:dyDescent="0.25">
      <c r="A54" s="87">
        <f t="shared" si="5"/>
        <v>0</v>
      </c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8" t="e">
        <f t="shared" si="6"/>
        <v>#NUM!</v>
      </c>
      <c r="K54" s="88" t="e">
        <f t="shared" si="2"/>
        <v>#NUM!</v>
      </c>
      <c r="L54" s="88"/>
      <c r="M54" s="90">
        <f t="shared" si="3"/>
        <v>0</v>
      </c>
      <c r="N54" s="90">
        <f t="shared" si="4"/>
        <v>0</v>
      </c>
      <c r="O54" s="74"/>
      <c r="P54" s="74"/>
      <c r="Q54" s="74"/>
      <c r="R54" s="74"/>
      <c r="S54" s="102"/>
      <c r="T54" s="103"/>
    </row>
    <row r="55" spans="1:20" s="79" customFormat="1" x14ac:dyDescent="0.25">
      <c r="A55" s="91">
        <f t="shared" si="5"/>
        <v>0</v>
      </c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2" t="e">
        <f t="shared" si="6"/>
        <v>#NUM!</v>
      </c>
      <c r="K55" s="92" t="e">
        <f t="shared" si="2"/>
        <v>#NUM!</v>
      </c>
      <c r="L55" s="92"/>
      <c r="M55" s="94">
        <f t="shared" si="3"/>
        <v>0</v>
      </c>
      <c r="N55" s="94">
        <f t="shared" si="4"/>
        <v>0</v>
      </c>
      <c r="O55" s="74"/>
      <c r="P55" s="74"/>
      <c r="Q55" s="74"/>
      <c r="R55" s="74"/>
      <c r="S55" s="74"/>
    </row>
    <row r="56" spans="1:20" s="79" customFormat="1" x14ac:dyDescent="0.25">
      <c r="A56" s="87">
        <f t="shared" si="5"/>
        <v>0</v>
      </c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8" t="e">
        <f t="shared" si="6"/>
        <v>#NUM!</v>
      </c>
      <c r="K56" s="88" t="e">
        <f t="shared" si="2"/>
        <v>#NUM!</v>
      </c>
      <c r="L56" s="88"/>
      <c r="M56" s="90">
        <f t="shared" si="3"/>
        <v>0</v>
      </c>
      <c r="N56" s="90">
        <f t="shared" si="4"/>
        <v>0</v>
      </c>
      <c r="O56" s="74"/>
      <c r="P56" s="74"/>
      <c r="Q56" s="74"/>
      <c r="R56" s="74"/>
      <c r="S56" s="102"/>
      <c r="T56" s="103"/>
    </row>
    <row r="57" spans="1:20" s="79" customFormat="1" x14ac:dyDescent="0.25">
      <c r="A57" s="91">
        <f t="shared" si="5"/>
        <v>0</v>
      </c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2" t="e">
        <f t="shared" si="6"/>
        <v>#NUM!</v>
      </c>
      <c r="K57" s="92" t="e">
        <f t="shared" si="2"/>
        <v>#NUM!</v>
      </c>
      <c r="L57" s="92"/>
      <c r="M57" s="94">
        <f t="shared" si="3"/>
        <v>0</v>
      </c>
      <c r="N57" s="94">
        <f t="shared" si="4"/>
        <v>0</v>
      </c>
      <c r="O57" s="74"/>
      <c r="P57" s="74"/>
      <c r="Q57" s="74"/>
      <c r="R57" s="74"/>
      <c r="S57" s="74"/>
    </row>
    <row r="58" spans="1:20" s="79" customFormat="1" x14ac:dyDescent="0.25">
      <c r="A58" s="87">
        <f t="shared" si="5"/>
        <v>0</v>
      </c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8" t="e">
        <f t="shared" si="6"/>
        <v>#NUM!</v>
      </c>
      <c r="K58" s="88" t="e">
        <f t="shared" si="2"/>
        <v>#NUM!</v>
      </c>
      <c r="L58" s="88"/>
      <c r="M58" s="90">
        <f t="shared" si="3"/>
        <v>0</v>
      </c>
      <c r="N58" s="90">
        <f t="shared" si="4"/>
        <v>0</v>
      </c>
      <c r="O58" s="74"/>
      <c r="P58" s="74"/>
      <c r="Q58" s="74"/>
      <c r="R58" s="74"/>
      <c r="S58" s="102"/>
      <c r="T58" s="103"/>
    </row>
    <row r="59" spans="1:20" s="79" customFormat="1" x14ac:dyDescent="0.25">
      <c r="A59" s="91">
        <f t="shared" si="5"/>
        <v>0</v>
      </c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2" t="e">
        <f t="shared" si="6"/>
        <v>#NUM!</v>
      </c>
      <c r="K59" s="92" t="e">
        <f t="shared" si="2"/>
        <v>#NUM!</v>
      </c>
      <c r="L59" s="92"/>
      <c r="M59" s="94">
        <f t="shared" si="3"/>
        <v>0</v>
      </c>
      <c r="N59" s="94">
        <f t="shared" si="4"/>
        <v>0</v>
      </c>
      <c r="O59" s="74"/>
      <c r="P59" s="74"/>
      <c r="Q59" s="74"/>
      <c r="R59" s="74"/>
      <c r="S59" s="74"/>
    </row>
    <row r="60" spans="1:20" s="79" customFormat="1" x14ac:dyDescent="0.25">
      <c r="A60" s="87">
        <f t="shared" si="5"/>
        <v>0</v>
      </c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8" t="e">
        <f t="shared" si="6"/>
        <v>#NUM!</v>
      </c>
      <c r="K60" s="88" t="e">
        <f t="shared" si="2"/>
        <v>#NUM!</v>
      </c>
      <c r="L60" s="88"/>
      <c r="M60" s="90">
        <f t="shared" si="3"/>
        <v>0</v>
      </c>
      <c r="N60" s="90">
        <f t="shared" si="4"/>
        <v>0</v>
      </c>
      <c r="O60" s="74"/>
      <c r="P60" s="74"/>
      <c r="Q60" s="74"/>
      <c r="R60" s="74"/>
      <c r="S60" s="102"/>
      <c r="T60" s="103"/>
    </row>
    <row r="61" spans="1:20" s="79" customFormat="1" x14ac:dyDescent="0.25">
      <c r="A61" s="91">
        <f t="shared" si="5"/>
        <v>0</v>
      </c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2" t="e">
        <f t="shared" si="6"/>
        <v>#NUM!</v>
      </c>
      <c r="K61" s="92" t="e">
        <f t="shared" si="2"/>
        <v>#NUM!</v>
      </c>
      <c r="L61" s="92"/>
      <c r="M61" s="94">
        <f t="shared" si="3"/>
        <v>0</v>
      </c>
      <c r="N61" s="94">
        <f t="shared" si="4"/>
        <v>0</v>
      </c>
      <c r="O61" s="74"/>
      <c r="P61" s="74"/>
      <c r="Q61" s="74"/>
      <c r="R61" s="74"/>
      <c r="S61" s="74"/>
    </row>
    <row r="62" spans="1:20" s="79" customFormat="1" x14ac:dyDescent="0.25">
      <c r="A62" s="87">
        <f t="shared" si="5"/>
        <v>0</v>
      </c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8" t="e">
        <f t="shared" si="6"/>
        <v>#NUM!</v>
      </c>
      <c r="K62" s="88" t="e">
        <f t="shared" si="2"/>
        <v>#NUM!</v>
      </c>
      <c r="L62" s="88"/>
      <c r="M62" s="90">
        <f t="shared" si="3"/>
        <v>0</v>
      </c>
      <c r="N62" s="90">
        <f t="shared" si="4"/>
        <v>0</v>
      </c>
      <c r="O62" s="74"/>
      <c r="P62" s="74"/>
      <c r="Q62" s="74"/>
      <c r="R62" s="74"/>
      <c r="S62" s="102"/>
      <c r="T62" s="103"/>
    </row>
    <row r="63" spans="1:20" s="79" customFormat="1" x14ac:dyDescent="0.25">
      <c r="A63" s="91">
        <f t="shared" si="5"/>
        <v>0</v>
      </c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2" t="e">
        <f t="shared" si="6"/>
        <v>#NUM!</v>
      </c>
      <c r="K63" s="92" t="e">
        <f t="shared" si="2"/>
        <v>#NUM!</v>
      </c>
      <c r="L63" s="92"/>
      <c r="M63" s="94">
        <f t="shared" si="3"/>
        <v>0</v>
      </c>
      <c r="N63" s="94">
        <f t="shared" si="4"/>
        <v>0</v>
      </c>
      <c r="O63" s="74"/>
      <c r="P63" s="74"/>
      <c r="Q63" s="74"/>
      <c r="R63" s="74"/>
      <c r="S63" s="74"/>
    </row>
    <row r="64" spans="1:20" s="79" customFormat="1" x14ac:dyDescent="0.25">
      <c r="A64" s="87">
        <f t="shared" si="5"/>
        <v>0</v>
      </c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8" t="e">
        <f t="shared" si="6"/>
        <v>#NUM!</v>
      </c>
      <c r="K64" s="88" t="e">
        <f t="shared" si="2"/>
        <v>#NUM!</v>
      </c>
      <c r="L64" s="88"/>
      <c r="M64" s="90">
        <f t="shared" si="3"/>
        <v>0</v>
      </c>
      <c r="N64" s="90">
        <f t="shared" si="4"/>
        <v>0</v>
      </c>
      <c r="O64" s="74"/>
      <c r="P64" s="74"/>
      <c r="Q64" s="74"/>
      <c r="R64" s="74"/>
      <c r="S64" s="102"/>
      <c r="T64" s="103"/>
    </row>
    <row r="65" spans="1:20" s="79" customFormat="1" x14ac:dyDescent="0.25">
      <c r="A65" s="91">
        <f t="shared" si="5"/>
        <v>0</v>
      </c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2" t="e">
        <f t="shared" si="6"/>
        <v>#NUM!</v>
      </c>
      <c r="K65" s="92" t="e">
        <f t="shared" si="2"/>
        <v>#NUM!</v>
      </c>
      <c r="L65" s="92"/>
      <c r="M65" s="94">
        <f t="shared" si="3"/>
        <v>0</v>
      </c>
      <c r="N65" s="94">
        <f t="shared" si="4"/>
        <v>0</v>
      </c>
      <c r="O65" s="74"/>
      <c r="P65" s="74"/>
      <c r="Q65" s="74"/>
      <c r="R65" s="74"/>
      <c r="S65" s="74"/>
    </row>
    <row r="66" spans="1:20" s="79" customFormat="1" x14ac:dyDescent="0.25">
      <c r="A66" s="87">
        <f t="shared" si="5"/>
        <v>0</v>
      </c>
      <c r="B66" s="34" t="str">
        <f t="shared" si="0"/>
        <v/>
      </c>
      <c r="C66" s="35"/>
      <c r="D66" s="35"/>
      <c r="E66" s="35"/>
      <c r="F66" s="35"/>
      <c r="G66" s="74"/>
      <c r="H66" s="88">
        <v>61</v>
      </c>
      <c r="I66" s="89" t="str">
        <f t="shared" si="1"/>
        <v/>
      </c>
      <c r="J66" s="88" t="e">
        <f t="shared" si="6"/>
        <v>#NUM!</v>
      </c>
      <c r="K66" s="88" t="e">
        <f t="shared" si="2"/>
        <v>#NUM!</v>
      </c>
      <c r="L66" s="88"/>
      <c r="M66" s="90">
        <f t="shared" si="3"/>
        <v>0</v>
      </c>
      <c r="N66" s="90">
        <f t="shared" si="4"/>
        <v>0</v>
      </c>
      <c r="O66" s="74"/>
      <c r="P66" s="74"/>
      <c r="Q66" s="74"/>
      <c r="R66" s="74"/>
      <c r="S66" s="102"/>
      <c r="T66" s="103"/>
    </row>
    <row r="67" spans="1:20" s="79" customFormat="1" x14ac:dyDescent="0.25">
      <c r="A67" s="91">
        <f t="shared" si="5"/>
        <v>0</v>
      </c>
      <c r="B67" s="40" t="str">
        <f t="shared" si="0"/>
        <v/>
      </c>
      <c r="C67" s="41"/>
      <c r="D67" s="41"/>
      <c r="E67" s="41"/>
      <c r="F67" s="41"/>
      <c r="G67" s="74"/>
      <c r="H67" s="92">
        <v>62</v>
      </c>
      <c r="I67" s="93" t="str">
        <f t="shared" si="1"/>
        <v/>
      </c>
      <c r="J67" s="92" t="e">
        <f t="shared" si="6"/>
        <v>#NUM!</v>
      </c>
      <c r="K67" s="92" t="e">
        <f t="shared" si="2"/>
        <v>#NUM!</v>
      </c>
      <c r="L67" s="92"/>
      <c r="M67" s="94">
        <f t="shared" si="3"/>
        <v>0</v>
      </c>
      <c r="N67" s="94">
        <f t="shared" si="4"/>
        <v>0</v>
      </c>
      <c r="O67" s="74"/>
      <c r="P67" s="74"/>
      <c r="Q67" s="74"/>
      <c r="R67" s="74"/>
      <c r="S67" s="74"/>
    </row>
    <row r="68" spans="1:20" s="79" customFormat="1" x14ac:dyDescent="0.25">
      <c r="A68" s="87">
        <f t="shared" si="5"/>
        <v>0</v>
      </c>
      <c r="B68" s="34" t="str">
        <f t="shared" si="0"/>
        <v/>
      </c>
      <c r="C68" s="35"/>
      <c r="D68" s="35"/>
      <c r="E68" s="35"/>
      <c r="F68" s="35"/>
      <c r="G68" s="74"/>
      <c r="H68" s="88">
        <v>63</v>
      </c>
      <c r="I68" s="89" t="str">
        <f t="shared" si="1"/>
        <v/>
      </c>
      <c r="J68" s="88" t="e">
        <f t="shared" si="6"/>
        <v>#NUM!</v>
      </c>
      <c r="K68" s="88" t="e">
        <f t="shared" si="2"/>
        <v>#NUM!</v>
      </c>
      <c r="L68" s="88"/>
      <c r="M68" s="90">
        <f t="shared" si="3"/>
        <v>0</v>
      </c>
      <c r="N68" s="90">
        <f t="shared" si="4"/>
        <v>0</v>
      </c>
      <c r="O68" s="74"/>
      <c r="P68" s="74"/>
      <c r="Q68" s="74"/>
      <c r="R68" s="74"/>
      <c r="S68" s="102"/>
      <c r="T68" s="103"/>
    </row>
    <row r="69" spans="1:20" s="79" customFormat="1" x14ac:dyDescent="0.25">
      <c r="A69" s="91">
        <f t="shared" si="5"/>
        <v>0</v>
      </c>
      <c r="B69" s="40" t="str">
        <f t="shared" si="0"/>
        <v/>
      </c>
      <c r="C69" s="41"/>
      <c r="D69" s="41"/>
      <c r="E69" s="41"/>
      <c r="F69" s="41"/>
      <c r="G69" s="74"/>
      <c r="H69" s="92">
        <v>64</v>
      </c>
      <c r="I69" s="93" t="str">
        <f t="shared" si="1"/>
        <v/>
      </c>
      <c r="J69" s="92" t="e">
        <f t="shared" si="6"/>
        <v>#NUM!</v>
      </c>
      <c r="K69" s="92" t="e">
        <f t="shared" si="2"/>
        <v>#NUM!</v>
      </c>
      <c r="L69" s="92"/>
      <c r="M69" s="94">
        <f t="shared" si="3"/>
        <v>0</v>
      </c>
      <c r="N69" s="94">
        <f t="shared" si="4"/>
        <v>0</v>
      </c>
      <c r="O69" s="74"/>
      <c r="P69" s="74"/>
      <c r="Q69" s="74"/>
      <c r="R69" s="74"/>
      <c r="S69" s="74"/>
    </row>
    <row r="70" spans="1:20" s="79" customFormat="1" x14ac:dyDescent="0.25">
      <c r="A70" s="87">
        <f t="shared" si="5"/>
        <v>0</v>
      </c>
      <c r="B70" s="34" t="str">
        <f t="shared" ref="B70:B82" si="7">IF(H70&gt;$H$2,"",(ROW()-5))</f>
        <v/>
      </c>
      <c r="C70" s="35"/>
      <c r="D70" s="35"/>
      <c r="E70" s="35"/>
      <c r="F70" s="35"/>
      <c r="G70" s="74"/>
      <c r="H70" s="88">
        <v>65</v>
      </c>
      <c r="I70" s="89" t="str">
        <f t="shared" ref="I70:I133" si="8">IF(H70&lt;$H$2+1,($I$2-($I$2-1)*(LOG(H70)/LOG($H$2))),"")</f>
        <v/>
      </c>
      <c r="J70" s="88" t="e">
        <f t="shared" si="6"/>
        <v>#NUM!</v>
      </c>
      <c r="K70" s="88" t="e">
        <f t="shared" ref="K70:K133" si="9">J70*$J$2</f>
        <v>#NUM!</v>
      </c>
      <c r="L70" s="88"/>
      <c r="M70" s="90">
        <f t="shared" ref="M70:M133" si="10">IF(I70&lt;&gt;"",K70+I70+L70,0)</f>
        <v>0</v>
      </c>
      <c r="N70" s="90">
        <f t="shared" ref="N70:N133" si="11">IF(I70&lt;&gt;"",M70*L$2,0)</f>
        <v>0</v>
      </c>
      <c r="O70" s="74"/>
      <c r="P70" s="74"/>
      <c r="Q70" s="74"/>
      <c r="R70" s="74"/>
      <c r="S70" s="102"/>
      <c r="T70" s="103"/>
    </row>
    <row r="71" spans="1:20" s="79" customFormat="1" x14ac:dyDescent="0.25">
      <c r="A71" s="91">
        <f t="shared" ref="A71:A134" si="12">N71</f>
        <v>0</v>
      </c>
      <c r="B71" s="40" t="str">
        <f t="shared" si="7"/>
        <v/>
      </c>
      <c r="C71" s="41"/>
      <c r="D71" s="41"/>
      <c r="E71" s="41"/>
      <c r="F71" s="41"/>
      <c r="G71" s="74"/>
      <c r="H71" s="92">
        <v>66</v>
      </c>
      <c r="I71" s="93" t="str">
        <f t="shared" si="8"/>
        <v/>
      </c>
      <c r="J71" s="92" t="e">
        <f t="shared" ref="J71:J134" si="13">INT(LOG($H$2,2))-ROUNDUP(LOG(H71,2),0)+IF(OR($H$2=1,$H$2=2,$H$2=4,$H$2=8,$H$2=16,$H$2=32,$H$2=64,$H$2=128,$H$2=256),0,1)</f>
        <v>#NUM!</v>
      </c>
      <c r="K71" s="92" t="e">
        <f t="shared" si="9"/>
        <v>#NUM!</v>
      </c>
      <c r="L71" s="92"/>
      <c r="M71" s="94">
        <f t="shared" si="10"/>
        <v>0</v>
      </c>
      <c r="N71" s="94">
        <f t="shared" si="11"/>
        <v>0</v>
      </c>
      <c r="O71" s="74"/>
      <c r="P71" s="74"/>
      <c r="Q71" s="74"/>
      <c r="R71" s="74"/>
      <c r="S71" s="74"/>
    </row>
    <row r="72" spans="1:20" s="79" customFormat="1" x14ac:dyDescent="0.25">
      <c r="A72" s="87">
        <f t="shared" si="12"/>
        <v>0</v>
      </c>
      <c r="B72" s="34" t="str">
        <f t="shared" si="7"/>
        <v/>
      </c>
      <c r="C72" s="35"/>
      <c r="D72" s="35"/>
      <c r="E72" s="35"/>
      <c r="F72" s="35"/>
      <c r="G72" s="74"/>
      <c r="H72" s="88">
        <v>67</v>
      </c>
      <c r="I72" s="89" t="str">
        <f t="shared" si="8"/>
        <v/>
      </c>
      <c r="J72" s="88" t="e">
        <f t="shared" si="13"/>
        <v>#NUM!</v>
      </c>
      <c r="K72" s="88" t="e">
        <f t="shared" si="9"/>
        <v>#NUM!</v>
      </c>
      <c r="L72" s="88"/>
      <c r="M72" s="90">
        <f t="shared" si="10"/>
        <v>0</v>
      </c>
      <c r="N72" s="90">
        <f t="shared" si="11"/>
        <v>0</v>
      </c>
      <c r="O72" s="74"/>
      <c r="P72" s="74"/>
      <c r="Q72" s="74"/>
      <c r="R72" s="74"/>
      <c r="S72" s="102"/>
      <c r="T72" s="103"/>
    </row>
    <row r="73" spans="1:20" s="79" customFormat="1" x14ac:dyDescent="0.25">
      <c r="A73" s="91">
        <f t="shared" si="12"/>
        <v>0</v>
      </c>
      <c r="B73" s="40" t="str">
        <f t="shared" si="7"/>
        <v/>
      </c>
      <c r="C73" s="41"/>
      <c r="D73" s="41"/>
      <c r="E73" s="41"/>
      <c r="F73" s="41"/>
      <c r="G73" s="74"/>
      <c r="H73" s="92">
        <v>68</v>
      </c>
      <c r="I73" s="93" t="str">
        <f t="shared" si="8"/>
        <v/>
      </c>
      <c r="J73" s="92" t="e">
        <f t="shared" si="13"/>
        <v>#NUM!</v>
      </c>
      <c r="K73" s="92" t="e">
        <f t="shared" si="9"/>
        <v>#NUM!</v>
      </c>
      <c r="L73" s="92"/>
      <c r="M73" s="94">
        <f t="shared" si="10"/>
        <v>0</v>
      </c>
      <c r="N73" s="94">
        <f t="shared" si="11"/>
        <v>0</v>
      </c>
      <c r="O73" s="74"/>
      <c r="P73" s="74"/>
      <c r="Q73" s="74"/>
      <c r="R73" s="74"/>
      <c r="S73" s="74"/>
    </row>
    <row r="74" spans="1:20" s="79" customFormat="1" x14ac:dyDescent="0.25">
      <c r="A74" s="87">
        <f t="shared" si="12"/>
        <v>0</v>
      </c>
      <c r="B74" s="34" t="str">
        <f t="shared" si="7"/>
        <v/>
      </c>
      <c r="C74" s="35"/>
      <c r="D74" s="35"/>
      <c r="E74" s="35"/>
      <c r="F74" s="35"/>
      <c r="G74" s="74"/>
      <c r="H74" s="88">
        <v>69</v>
      </c>
      <c r="I74" s="89" t="str">
        <f t="shared" si="8"/>
        <v/>
      </c>
      <c r="J74" s="88" t="e">
        <f t="shared" si="13"/>
        <v>#NUM!</v>
      </c>
      <c r="K74" s="88" t="e">
        <f t="shared" si="9"/>
        <v>#NUM!</v>
      </c>
      <c r="L74" s="88"/>
      <c r="M74" s="90">
        <f t="shared" si="10"/>
        <v>0</v>
      </c>
      <c r="N74" s="90">
        <f t="shared" si="11"/>
        <v>0</v>
      </c>
      <c r="O74" s="74"/>
      <c r="P74" s="74"/>
      <c r="Q74" s="74"/>
      <c r="R74" s="74"/>
      <c r="S74" s="102"/>
      <c r="T74" s="103"/>
    </row>
    <row r="75" spans="1:20" s="79" customFormat="1" x14ac:dyDescent="0.25">
      <c r="A75" s="91">
        <f t="shared" si="12"/>
        <v>0</v>
      </c>
      <c r="B75" s="40" t="str">
        <f t="shared" si="7"/>
        <v/>
      </c>
      <c r="C75" s="41"/>
      <c r="D75" s="41"/>
      <c r="E75" s="41"/>
      <c r="F75" s="41"/>
      <c r="G75" s="74"/>
      <c r="H75" s="92">
        <v>70</v>
      </c>
      <c r="I75" s="93" t="str">
        <f t="shared" si="8"/>
        <v/>
      </c>
      <c r="J75" s="92" t="e">
        <f t="shared" si="13"/>
        <v>#NUM!</v>
      </c>
      <c r="K75" s="92" t="e">
        <f t="shared" si="9"/>
        <v>#NUM!</v>
      </c>
      <c r="L75" s="92"/>
      <c r="M75" s="94">
        <f t="shared" si="10"/>
        <v>0</v>
      </c>
      <c r="N75" s="94">
        <f t="shared" si="11"/>
        <v>0</v>
      </c>
      <c r="O75" s="74"/>
      <c r="P75" s="74"/>
      <c r="Q75" s="74"/>
      <c r="R75" s="74"/>
      <c r="S75" s="74"/>
    </row>
    <row r="76" spans="1:20" s="79" customFormat="1" x14ac:dyDescent="0.25">
      <c r="A76" s="87">
        <f t="shared" si="12"/>
        <v>0</v>
      </c>
      <c r="B76" s="34" t="str">
        <f t="shared" si="7"/>
        <v/>
      </c>
      <c r="C76" s="35"/>
      <c r="D76" s="35"/>
      <c r="E76" s="35"/>
      <c r="F76" s="35"/>
      <c r="G76" s="74"/>
      <c r="H76" s="88">
        <v>71</v>
      </c>
      <c r="I76" s="89" t="str">
        <f t="shared" si="8"/>
        <v/>
      </c>
      <c r="J76" s="88" t="e">
        <f t="shared" si="13"/>
        <v>#NUM!</v>
      </c>
      <c r="K76" s="88" t="e">
        <f t="shared" si="9"/>
        <v>#NUM!</v>
      </c>
      <c r="L76" s="88"/>
      <c r="M76" s="90">
        <f t="shared" si="10"/>
        <v>0</v>
      </c>
      <c r="N76" s="90">
        <f t="shared" si="11"/>
        <v>0</v>
      </c>
      <c r="O76" s="74"/>
      <c r="P76" s="74"/>
      <c r="Q76" s="74"/>
      <c r="R76" s="74"/>
      <c r="S76" s="102"/>
      <c r="T76" s="103"/>
    </row>
    <row r="77" spans="1:20" s="79" customFormat="1" x14ac:dyDescent="0.25">
      <c r="A77" s="91">
        <f t="shared" si="12"/>
        <v>0</v>
      </c>
      <c r="B77" s="40" t="str">
        <f t="shared" si="7"/>
        <v/>
      </c>
      <c r="C77" s="41"/>
      <c r="D77" s="41"/>
      <c r="E77" s="41"/>
      <c r="F77" s="41"/>
      <c r="G77" s="74"/>
      <c r="H77" s="92">
        <v>72</v>
      </c>
      <c r="I77" s="93" t="str">
        <f t="shared" si="8"/>
        <v/>
      </c>
      <c r="J77" s="92" t="e">
        <f t="shared" si="13"/>
        <v>#NUM!</v>
      </c>
      <c r="K77" s="92" t="e">
        <f t="shared" si="9"/>
        <v>#NUM!</v>
      </c>
      <c r="L77" s="92"/>
      <c r="M77" s="94">
        <f t="shared" si="10"/>
        <v>0</v>
      </c>
      <c r="N77" s="94">
        <f t="shared" si="11"/>
        <v>0</v>
      </c>
      <c r="O77" s="74"/>
      <c r="P77" s="74"/>
      <c r="Q77" s="74"/>
      <c r="R77" s="74"/>
      <c r="S77" s="74"/>
    </row>
    <row r="78" spans="1:20" s="79" customFormat="1" x14ac:dyDescent="0.25">
      <c r="A78" s="87">
        <f t="shared" si="12"/>
        <v>0</v>
      </c>
      <c r="B78" s="34" t="str">
        <f t="shared" si="7"/>
        <v/>
      </c>
      <c r="C78" s="35"/>
      <c r="D78" s="35"/>
      <c r="E78" s="35"/>
      <c r="F78" s="35"/>
      <c r="G78" s="74"/>
      <c r="H78" s="88">
        <v>73</v>
      </c>
      <c r="I78" s="89" t="str">
        <f t="shared" si="8"/>
        <v/>
      </c>
      <c r="J78" s="88" t="e">
        <f t="shared" si="13"/>
        <v>#NUM!</v>
      </c>
      <c r="K78" s="88" t="e">
        <f t="shared" si="9"/>
        <v>#NUM!</v>
      </c>
      <c r="L78" s="88"/>
      <c r="M78" s="90">
        <f t="shared" si="10"/>
        <v>0</v>
      </c>
      <c r="N78" s="90">
        <f t="shared" si="11"/>
        <v>0</v>
      </c>
      <c r="O78" s="74"/>
      <c r="P78" s="74"/>
      <c r="Q78" s="74"/>
      <c r="R78" s="74"/>
      <c r="S78" s="102"/>
      <c r="T78" s="103"/>
    </row>
    <row r="79" spans="1:20" s="79" customFormat="1" x14ac:dyDescent="0.25">
      <c r="A79" s="91">
        <f t="shared" si="12"/>
        <v>0</v>
      </c>
      <c r="B79" s="40" t="str">
        <f t="shared" si="7"/>
        <v/>
      </c>
      <c r="C79" s="41"/>
      <c r="D79" s="41"/>
      <c r="E79" s="41"/>
      <c r="F79" s="41"/>
      <c r="G79" s="74"/>
      <c r="H79" s="92">
        <v>74</v>
      </c>
      <c r="I79" s="93" t="str">
        <f t="shared" si="8"/>
        <v/>
      </c>
      <c r="J79" s="92" t="e">
        <f t="shared" si="13"/>
        <v>#NUM!</v>
      </c>
      <c r="K79" s="92" t="e">
        <f t="shared" si="9"/>
        <v>#NUM!</v>
      </c>
      <c r="L79" s="92"/>
      <c r="M79" s="94">
        <f t="shared" si="10"/>
        <v>0</v>
      </c>
      <c r="N79" s="94">
        <f t="shared" si="11"/>
        <v>0</v>
      </c>
      <c r="O79" s="74"/>
      <c r="P79" s="74"/>
      <c r="Q79" s="74"/>
      <c r="R79" s="74"/>
      <c r="S79" s="74"/>
    </row>
    <row r="80" spans="1:20" s="79" customFormat="1" x14ac:dyDescent="0.25">
      <c r="A80" s="87">
        <f t="shared" si="12"/>
        <v>0</v>
      </c>
      <c r="B80" s="34" t="str">
        <f t="shared" si="7"/>
        <v/>
      </c>
      <c r="C80" s="35"/>
      <c r="D80" s="35"/>
      <c r="E80" s="35"/>
      <c r="F80" s="35"/>
      <c r="G80" s="74"/>
      <c r="H80" s="88">
        <v>75</v>
      </c>
      <c r="I80" s="89" t="str">
        <f t="shared" si="8"/>
        <v/>
      </c>
      <c r="J80" s="88" t="e">
        <f t="shared" si="13"/>
        <v>#NUM!</v>
      </c>
      <c r="K80" s="88" t="e">
        <f t="shared" si="9"/>
        <v>#NUM!</v>
      </c>
      <c r="L80" s="88"/>
      <c r="M80" s="90">
        <f t="shared" si="10"/>
        <v>0</v>
      </c>
      <c r="N80" s="90">
        <f t="shared" si="11"/>
        <v>0</v>
      </c>
      <c r="O80" s="74"/>
      <c r="P80" s="74"/>
      <c r="Q80" s="74"/>
      <c r="R80" s="74"/>
      <c r="S80" s="102"/>
      <c r="T80" s="103"/>
    </row>
    <row r="81" spans="1:20" s="79" customFormat="1" x14ac:dyDescent="0.25">
      <c r="A81" s="91">
        <f t="shared" si="12"/>
        <v>0</v>
      </c>
      <c r="B81" s="40" t="str">
        <f t="shared" si="7"/>
        <v/>
      </c>
      <c r="C81" s="41"/>
      <c r="D81" s="41"/>
      <c r="E81" s="41"/>
      <c r="F81" s="41"/>
      <c r="G81" s="74"/>
      <c r="H81" s="92">
        <v>76</v>
      </c>
      <c r="I81" s="93" t="str">
        <f t="shared" si="8"/>
        <v/>
      </c>
      <c r="J81" s="92" t="e">
        <f t="shared" si="13"/>
        <v>#NUM!</v>
      </c>
      <c r="K81" s="92" t="e">
        <f t="shared" si="9"/>
        <v>#NUM!</v>
      </c>
      <c r="L81" s="92"/>
      <c r="M81" s="94">
        <f t="shared" si="10"/>
        <v>0</v>
      </c>
      <c r="N81" s="94">
        <f t="shared" si="11"/>
        <v>0</v>
      </c>
      <c r="O81" s="74"/>
      <c r="P81" s="74"/>
      <c r="Q81" s="74"/>
      <c r="R81" s="74"/>
      <c r="S81" s="74"/>
    </row>
    <row r="82" spans="1:20" s="79" customFormat="1" x14ac:dyDescent="0.25">
      <c r="A82" s="87">
        <f t="shared" si="12"/>
        <v>0</v>
      </c>
      <c r="B82" s="34" t="str">
        <f t="shared" si="7"/>
        <v/>
      </c>
      <c r="C82" s="35"/>
      <c r="D82" s="35"/>
      <c r="E82" s="35"/>
      <c r="F82" s="35"/>
      <c r="G82" s="74"/>
      <c r="H82" s="88">
        <v>77</v>
      </c>
      <c r="I82" s="89" t="str">
        <f t="shared" si="8"/>
        <v/>
      </c>
      <c r="J82" s="88" t="e">
        <f t="shared" si="13"/>
        <v>#NUM!</v>
      </c>
      <c r="K82" s="88" t="e">
        <f t="shared" si="9"/>
        <v>#NUM!</v>
      </c>
      <c r="L82" s="88"/>
      <c r="M82" s="90">
        <f t="shared" si="10"/>
        <v>0</v>
      </c>
      <c r="N82" s="90">
        <f t="shared" si="11"/>
        <v>0</v>
      </c>
      <c r="O82" s="74"/>
      <c r="P82" s="74"/>
      <c r="Q82" s="74"/>
      <c r="R82" s="74"/>
      <c r="S82" s="102"/>
      <c r="T82" s="103"/>
    </row>
    <row r="83" spans="1:20" s="79" customFormat="1" x14ac:dyDescent="0.25">
      <c r="A83" s="91">
        <f t="shared" si="12"/>
        <v>0</v>
      </c>
      <c r="B83" s="40" t="str">
        <f t="shared" ref="B83:B133" si="14">IF(H83&gt;$H$2,"",(ROW()-5))</f>
        <v/>
      </c>
      <c r="C83" s="41"/>
      <c r="D83" s="41"/>
      <c r="E83" s="41"/>
      <c r="F83" s="41"/>
      <c r="G83" s="74"/>
      <c r="H83" s="92">
        <v>78</v>
      </c>
      <c r="I83" s="93" t="str">
        <f t="shared" si="8"/>
        <v/>
      </c>
      <c r="J83" s="92" t="e">
        <f t="shared" si="13"/>
        <v>#NUM!</v>
      </c>
      <c r="K83" s="92" t="e">
        <f t="shared" si="9"/>
        <v>#NUM!</v>
      </c>
      <c r="L83" s="92"/>
      <c r="M83" s="94">
        <f t="shared" si="10"/>
        <v>0</v>
      </c>
      <c r="N83" s="94">
        <f t="shared" si="11"/>
        <v>0</v>
      </c>
      <c r="O83" s="74"/>
      <c r="P83" s="74"/>
      <c r="Q83" s="74"/>
      <c r="R83" s="74"/>
      <c r="S83" s="74"/>
    </row>
    <row r="84" spans="1:20" s="79" customFormat="1" x14ac:dyDescent="0.25">
      <c r="A84" s="87">
        <f t="shared" si="12"/>
        <v>0</v>
      </c>
      <c r="B84" s="34" t="str">
        <f t="shared" si="14"/>
        <v/>
      </c>
      <c r="C84" s="35"/>
      <c r="D84" s="35"/>
      <c r="E84" s="35"/>
      <c r="F84" s="35"/>
      <c r="G84" s="74"/>
      <c r="H84" s="88">
        <v>79</v>
      </c>
      <c r="I84" s="89" t="str">
        <f t="shared" si="8"/>
        <v/>
      </c>
      <c r="J84" s="88" t="e">
        <f t="shared" si="13"/>
        <v>#NUM!</v>
      </c>
      <c r="K84" s="88" t="e">
        <f t="shared" si="9"/>
        <v>#NUM!</v>
      </c>
      <c r="L84" s="88"/>
      <c r="M84" s="90">
        <f t="shared" si="10"/>
        <v>0</v>
      </c>
      <c r="N84" s="90">
        <f t="shared" si="11"/>
        <v>0</v>
      </c>
      <c r="O84" s="74"/>
      <c r="P84" s="74"/>
      <c r="Q84" s="74"/>
      <c r="R84" s="74"/>
      <c r="S84" s="102"/>
      <c r="T84" s="103"/>
    </row>
    <row r="85" spans="1:20" s="79" customFormat="1" x14ac:dyDescent="0.25">
      <c r="A85" s="91">
        <f t="shared" si="12"/>
        <v>0</v>
      </c>
      <c r="B85" s="40" t="str">
        <f t="shared" si="14"/>
        <v/>
      </c>
      <c r="C85" s="41"/>
      <c r="D85" s="41"/>
      <c r="E85" s="41"/>
      <c r="F85" s="41"/>
      <c r="G85" s="74"/>
      <c r="H85" s="92">
        <v>80</v>
      </c>
      <c r="I85" s="93" t="str">
        <f t="shared" si="8"/>
        <v/>
      </c>
      <c r="J85" s="92" t="e">
        <f t="shared" si="13"/>
        <v>#NUM!</v>
      </c>
      <c r="K85" s="92" t="e">
        <f t="shared" si="9"/>
        <v>#NUM!</v>
      </c>
      <c r="L85" s="92"/>
      <c r="M85" s="94">
        <f t="shared" si="10"/>
        <v>0</v>
      </c>
      <c r="N85" s="94">
        <f t="shared" si="11"/>
        <v>0</v>
      </c>
      <c r="O85" s="74"/>
      <c r="P85" s="74"/>
      <c r="Q85" s="74"/>
      <c r="R85" s="74"/>
      <c r="S85" s="74"/>
    </row>
    <row r="86" spans="1:20" s="79" customFormat="1" x14ac:dyDescent="0.25">
      <c r="A86" s="87">
        <f t="shared" si="12"/>
        <v>0</v>
      </c>
      <c r="B86" s="34" t="str">
        <f t="shared" si="14"/>
        <v/>
      </c>
      <c r="C86" s="35"/>
      <c r="D86" s="35"/>
      <c r="E86" s="35"/>
      <c r="F86" s="35"/>
      <c r="G86" s="74"/>
      <c r="H86" s="88">
        <v>81</v>
      </c>
      <c r="I86" s="89" t="str">
        <f t="shared" si="8"/>
        <v/>
      </c>
      <c r="J86" s="88" t="e">
        <f t="shared" si="13"/>
        <v>#NUM!</v>
      </c>
      <c r="K86" s="88" t="e">
        <f t="shared" si="9"/>
        <v>#NUM!</v>
      </c>
      <c r="L86" s="88"/>
      <c r="M86" s="90">
        <f t="shared" si="10"/>
        <v>0</v>
      </c>
      <c r="N86" s="90">
        <f t="shared" si="11"/>
        <v>0</v>
      </c>
      <c r="O86" s="74"/>
      <c r="P86" s="74"/>
      <c r="Q86" s="74"/>
      <c r="R86" s="74"/>
      <c r="S86" s="102"/>
      <c r="T86" s="103"/>
    </row>
    <row r="87" spans="1:20" s="79" customFormat="1" x14ac:dyDescent="0.25">
      <c r="A87" s="91">
        <f t="shared" si="12"/>
        <v>0</v>
      </c>
      <c r="B87" s="40" t="str">
        <f t="shared" si="14"/>
        <v/>
      </c>
      <c r="C87" s="41"/>
      <c r="D87" s="41"/>
      <c r="E87" s="41"/>
      <c r="F87" s="41"/>
      <c r="G87" s="74"/>
      <c r="H87" s="92">
        <v>82</v>
      </c>
      <c r="I87" s="93" t="str">
        <f t="shared" si="8"/>
        <v/>
      </c>
      <c r="J87" s="92" t="e">
        <f t="shared" si="13"/>
        <v>#NUM!</v>
      </c>
      <c r="K87" s="92" t="e">
        <f t="shared" si="9"/>
        <v>#NUM!</v>
      </c>
      <c r="L87" s="92"/>
      <c r="M87" s="94">
        <f t="shared" si="10"/>
        <v>0</v>
      </c>
      <c r="N87" s="94">
        <f t="shared" si="11"/>
        <v>0</v>
      </c>
      <c r="O87" s="74"/>
      <c r="P87" s="74"/>
      <c r="Q87" s="74"/>
      <c r="R87" s="74"/>
      <c r="S87" s="74"/>
    </row>
    <row r="88" spans="1:20" s="79" customFormat="1" x14ac:dyDescent="0.25">
      <c r="A88" s="87">
        <f t="shared" si="12"/>
        <v>0</v>
      </c>
      <c r="B88" s="34" t="str">
        <f t="shared" si="14"/>
        <v/>
      </c>
      <c r="C88" s="35"/>
      <c r="D88" s="35"/>
      <c r="E88" s="35"/>
      <c r="F88" s="35"/>
      <c r="G88" s="74"/>
      <c r="H88" s="88">
        <v>83</v>
      </c>
      <c r="I88" s="89" t="str">
        <f t="shared" si="8"/>
        <v/>
      </c>
      <c r="J88" s="88" t="e">
        <f t="shared" si="13"/>
        <v>#NUM!</v>
      </c>
      <c r="K88" s="88" t="e">
        <f t="shared" si="9"/>
        <v>#NUM!</v>
      </c>
      <c r="L88" s="88"/>
      <c r="M88" s="90">
        <f t="shared" si="10"/>
        <v>0</v>
      </c>
      <c r="N88" s="90">
        <f t="shared" si="11"/>
        <v>0</v>
      </c>
      <c r="O88" s="74"/>
      <c r="P88" s="74"/>
      <c r="Q88" s="74"/>
      <c r="R88" s="74"/>
      <c r="S88" s="102"/>
      <c r="T88" s="103"/>
    </row>
    <row r="89" spans="1:20" s="79" customFormat="1" x14ac:dyDescent="0.25">
      <c r="A89" s="91">
        <f t="shared" si="12"/>
        <v>0</v>
      </c>
      <c r="B89" s="40" t="str">
        <f t="shared" si="14"/>
        <v/>
      </c>
      <c r="C89" s="41"/>
      <c r="D89" s="41"/>
      <c r="E89" s="41"/>
      <c r="F89" s="41"/>
      <c r="G89" s="74"/>
      <c r="H89" s="92">
        <v>84</v>
      </c>
      <c r="I89" s="93" t="str">
        <f t="shared" si="8"/>
        <v/>
      </c>
      <c r="J89" s="92" t="e">
        <f t="shared" si="13"/>
        <v>#NUM!</v>
      </c>
      <c r="K89" s="92" t="e">
        <f t="shared" si="9"/>
        <v>#NUM!</v>
      </c>
      <c r="L89" s="92"/>
      <c r="M89" s="94">
        <f t="shared" si="10"/>
        <v>0</v>
      </c>
      <c r="N89" s="94">
        <f t="shared" si="11"/>
        <v>0</v>
      </c>
      <c r="O89" s="74"/>
      <c r="P89" s="74"/>
      <c r="Q89" s="74"/>
      <c r="R89" s="74"/>
      <c r="S89" s="74"/>
    </row>
    <row r="90" spans="1:20" s="79" customFormat="1" x14ac:dyDescent="0.25">
      <c r="A90" s="87">
        <f t="shared" si="12"/>
        <v>0</v>
      </c>
      <c r="B90" s="34" t="str">
        <f t="shared" si="14"/>
        <v/>
      </c>
      <c r="C90" s="35"/>
      <c r="D90" s="35"/>
      <c r="E90" s="35"/>
      <c r="F90" s="35"/>
      <c r="G90" s="74"/>
      <c r="H90" s="88">
        <v>85</v>
      </c>
      <c r="I90" s="89" t="str">
        <f t="shared" si="8"/>
        <v/>
      </c>
      <c r="J90" s="88" t="e">
        <f t="shared" si="13"/>
        <v>#NUM!</v>
      </c>
      <c r="K90" s="88" t="e">
        <f t="shared" si="9"/>
        <v>#NUM!</v>
      </c>
      <c r="L90" s="88"/>
      <c r="M90" s="90">
        <f t="shared" si="10"/>
        <v>0</v>
      </c>
      <c r="N90" s="90">
        <f t="shared" si="11"/>
        <v>0</v>
      </c>
      <c r="O90" s="74"/>
      <c r="P90" s="74"/>
      <c r="Q90" s="74"/>
      <c r="R90" s="74"/>
      <c r="S90" s="102"/>
      <c r="T90" s="103"/>
    </row>
    <row r="91" spans="1:20" s="79" customFormat="1" x14ac:dyDescent="0.25">
      <c r="A91" s="91">
        <f t="shared" si="12"/>
        <v>0</v>
      </c>
      <c r="B91" s="40" t="str">
        <f t="shared" si="14"/>
        <v/>
      </c>
      <c r="C91" s="41"/>
      <c r="D91" s="41"/>
      <c r="E91" s="41"/>
      <c r="F91" s="41"/>
      <c r="G91" s="74"/>
      <c r="H91" s="92">
        <v>86</v>
      </c>
      <c r="I91" s="93" t="str">
        <f t="shared" si="8"/>
        <v/>
      </c>
      <c r="J91" s="92" t="e">
        <f t="shared" si="13"/>
        <v>#NUM!</v>
      </c>
      <c r="K91" s="92" t="e">
        <f t="shared" si="9"/>
        <v>#NUM!</v>
      </c>
      <c r="L91" s="92"/>
      <c r="M91" s="94">
        <f t="shared" si="10"/>
        <v>0</v>
      </c>
      <c r="N91" s="94">
        <f t="shared" si="11"/>
        <v>0</v>
      </c>
      <c r="O91" s="74"/>
      <c r="P91" s="74"/>
      <c r="Q91" s="74"/>
      <c r="R91" s="74"/>
      <c r="S91" s="74"/>
    </row>
    <row r="92" spans="1:20" s="79" customFormat="1" x14ac:dyDescent="0.25">
      <c r="A92" s="87">
        <f t="shared" si="12"/>
        <v>0</v>
      </c>
      <c r="B92" s="34" t="str">
        <f t="shared" si="14"/>
        <v/>
      </c>
      <c r="C92" s="35"/>
      <c r="D92" s="35"/>
      <c r="E92" s="35"/>
      <c r="F92" s="35"/>
      <c r="G92" s="74"/>
      <c r="H92" s="88">
        <v>87</v>
      </c>
      <c r="I92" s="89" t="str">
        <f t="shared" si="8"/>
        <v/>
      </c>
      <c r="J92" s="88" t="e">
        <f t="shared" si="13"/>
        <v>#NUM!</v>
      </c>
      <c r="K92" s="88" t="e">
        <f t="shared" si="9"/>
        <v>#NUM!</v>
      </c>
      <c r="L92" s="88"/>
      <c r="M92" s="90">
        <f t="shared" si="10"/>
        <v>0</v>
      </c>
      <c r="N92" s="90">
        <f t="shared" si="11"/>
        <v>0</v>
      </c>
      <c r="O92" s="74"/>
      <c r="P92" s="74"/>
      <c r="Q92" s="74"/>
      <c r="R92" s="74"/>
      <c r="S92" s="102"/>
      <c r="T92" s="103"/>
    </row>
    <row r="93" spans="1:20" s="79" customFormat="1" x14ac:dyDescent="0.25">
      <c r="A93" s="91">
        <f t="shared" si="12"/>
        <v>0</v>
      </c>
      <c r="B93" s="40" t="str">
        <f t="shared" si="14"/>
        <v/>
      </c>
      <c r="C93" s="41"/>
      <c r="D93" s="41"/>
      <c r="E93" s="41"/>
      <c r="F93" s="41"/>
      <c r="G93" s="74"/>
      <c r="H93" s="92">
        <v>88</v>
      </c>
      <c r="I93" s="93" t="str">
        <f t="shared" si="8"/>
        <v/>
      </c>
      <c r="J93" s="92" t="e">
        <f t="shared" si="13"/>
        <v>#NUM!</v>
      </c>
      <c r="K93" s="92" t="e">
        <f t="shared" si="9"/>
        <v>#NUM!</v>
      </c>
      <c r="L93" s="92"/>
      <c r="M93" s="94">
        <f t="shared" si="10"/>
        <v>0</v>
      </c>
      <c r="N93" s="94">
        <f t="shared" si="11"/>
        <v>0</v>
      </c>
      <c r="O93" s="74"/>
      <c r="P93" s="74"/>
      <c r="Q93" s="74"/>
      <c r="R93" s="74"/>
      <c r="S93" s="74"/>
    </row>
    <row r="94" spans="1:20" s="79" customFormat="1" x14ac:dyDescent="0.25">
      <c r="A94" s="87">
        <f t="shared" si="12"/>
        <v>0</v>
      </c>
      <c r="B94" s="34" t="str">
        <f t="shared" si="14"/>
        <v/>
      </c>
      <c r="C94" s="35"/>
      <c r="D94" s="35"/>
      <c r="E94" s="35"/>
      <c r="F94" s="35"/>
      <c r="G94" s="74"/>
      <c r="H94" s="88">
        <v>89</v>
      </c>
      <c r="I94" s="89" t="str">
        <f t="shared" si="8"/>
        <v/>
      </c>
      <c r="J94" s="88" t="e">
        <f t="shared" si="13"/>
        <v>#NUM!</v>
      </c>
      <c r="K94" s="88" t="e">
        <f t="shared" si="9"/>
        <v>#NUM!</v>
      </c>
      <c r="L94" s="88"/>
      <c r="M94" s="90">
        <f t="shared" si="10"/>
        <v>0</v>
      </c>
      <c r="N94" s="90">
        <f t="shared" si="11"/>
        <v>0</v>
      </c>
      <c r="O94" s="74"/>
      <c r="P94" s="74"/>
      <c r="Q94" s="74"/>
      <c r="R94" s="74"/>
      <c r="S94" s="102"/>
      <c r="T94" s="103"/>
    </row>
    <row r="95" spans="1:20" s="79" customFormat="1" x14ac:dyDescent="0.25">
      <c r="A95" s="91">
        <f t="shared" si="12"/>
        <v>0</v>
      </c>
      <c r="B95" s="40" t="str">
        <f t="shared" si="14"/>
        <v/>
      </c>
      <c r="C95" s="41"/>
      <c r="D95" s="41"/>
      <c r="E95" s="41"/>
      <c r="F95" s="41"/>
      <c r="G95" s="74"/>
      <c r="H95" s="92">
        <v>90</v>
      </c>
      <c r="I95" s="93" t="str">
        <f t="shared" si="8"/>
        <v/>
      </c>
      <c r="J95" s="92" t="e">
        <f t="shared" si="13"/>
        <v>#NUM!</v>
      </c>
      <c r="K95" s="92" t="e">
        <f t="shared" si="9"/>
        <v>#NUM!</v>
      </c>
      <c r="L95" s="92"/>
      <c r="M95" s="94">
        <f t="shared" si="10"/>
        <v>0</v>
      </c>
      <c r="N95" s="94">
        <f t="shared" si="11"/>
        <v>0</v>
      </c>
      <c r="O95" s="74"/>
      <c r="P95" s="74"/>
      <c r="Q95" s="74"/>
      <c r="R95" s="74"/>
      <c r="S95" s="74"/>
    </row>
    <row r="96" spans="1:20" s="79" customFormat="1" x14ac:dyDescent="0.25">
      <c r="A96" s="87">
        <f t="shared" si="12"/>
        <v>0</v>
      </c>
      <c r="B96" s="34" t="str">
        <f t="shared" si="14"/>
        <v/>
      </c>
      <c r="C96" s="35"/>
      <c r="D96" s="35"/>
      <c r="E96" s="35"/>
      <c r="F96" s="35"/>
      <c r="G96" s="74"/>
      <c r="H96" s="88">
        <v>91</v>
      </c>
      <c r="I96" s="89" t="str">
        <f t="shared" si="8"/>
        <v/>
      </c>
      <c r="J96" s="88" t="e">
        <f t="shared" si="13"/>
        <v>#NUM!</v>
      </c>
      <c r="K96" s="88" t="e">
        <f t="shared" si="9"/>
        <v>#NUM!</v>
      </c>
      <c r="L96" s="88"/>
      <c r="M96" s="90">
        <f t="shared" si="10"/>
        <v>0</v>
      </c>
      <c r="N96" s="90">
        <f t="shared" si="11"/>
        <v>0</v>
      </c>
      <c r="O96" s="74"/>
      <c r="P96" s="74"/>
      <c r="Q96" s="74"/>
      <c r="R96" s="74"/>
      <c r="S96" s="102"/>
      <c r="T96" s="103"/>
    </row>
    <row r="97" spans="1:20" s="79" customFormat="1" x14ac:dyDescent="0.25">
      <c r="A97" s="91">
        <f t="shared" si="12"/>
        <v>0</v>
      </c>
      <c r="B97" s="40" t="str">
        <f t="shared" si="14"/>
        <v/>
      </c>
      <c r="C97" s="41"/>
      <c r="D97" s="41"/>
      <c r="E97" s="41"/>
      <c r="F97" s="41"/>
      <c r="G97" s="74"/>
      <c r="H97" s="92">
        <v>92</v>
      </c>
      <c r="I97" s="93" t="str">
        <f t="shared" si="8"/>
        <v/>
      </c>
      <c r="J97" s="92" t="e">
        <f t="shared" si="13"/>
        <v>#NUM!</v>
      </c>
      <c r="K97" s="92" t="e">
        <f t="shared" si="9"/>
        <v>#NUM!</v>
      </c>
      <c r="L97" s="92"/>
      <c r="M97" s="94">
        <f t="shared" si="10"/>
        <v>0</v>
      </c>
      <c r="N97" s="94">
        <f t="shared" si="11"/>
        <v>0</v>
      </c>
      <c r="O97" s="74"/>
      <c r="P97" s="74"/>
      <c r="Q97" s="74"/>
      <c r="R97" s="74"/>
      <c r="S97" s="74"/>
    </row>
    <row r="98" spans="1:20" s="79" customFormat="1" x14ac:dyDescent="0.25">
      <c r="A98" s="87">
        <f t="shared" si="12"/>
        <v>0</v>
      </c>
      <c r="B98" s="34" t="str">
        <f t="shared" si="14"/>
        <v/>
      </c>
      <c r="C98" s="35"/>
      <c r="D98" s="35"/>
      <c r="E98" s="35"/>
      <c r="F98" s="35"/>
      <c r="G98" s="74"/>
      <c r="H98" s="88">
        <v>93</v>
      </c>
      <c r="I98" s="89" t="str">
        <f t="shared" si="8"/>
        <v/>
      </c>
      <c r="J98" s="88" t="e">
        <f t="shared" si="13"/>
        <v>#NUM!</v>
      </c>
      <c r="K98" s="88" t="e">
        <f t="shared" si="9"/>
        <v>#NUM!</v>
      </c>
      <c r="L98" s="88"/>
      <c r="M98" s="90">
        <f t="shared" si="10"/>
        <v>0</v>
      </c>
      <c r="N98" s="90">
        <f t="shared" si="11"/>
        <v>0</v>
      </c>
      <c r="O98" s="74"/>
      <c r="P98" s="74"/>
      <c r="Q98" s="74"/>
      <c r="R98" s="74"/>
      <c r="S98" s="102"/>
      <c r="T98" s="103"/>
    </row>
    <row r="99" spans="1:20" s="79" customFormat="1" x14ac:dyDescent="0.25">
      <c r="A99" s="91">
        <f t="shared" si="12"/>
        <v>0</v>
      </c>
      <c r="B99" s="40" t="str">
        <f t="shared" si="14"/>
        <v/>
      </c>
      <c r="C99" s="41"/>
      <c r="D99" s="41"/>
      <c r="E99" s="41"/>
      <c r="F99" s="41"/>
      <c r="G99" s="74"/>
      <c r="H99" s="92">
        <v>94</v>
      </c>
      <c r="I99" s="93" t="str">
        <f t="shared" si="8"/>
        <v/>
      </c>
      <c r="J99" s="92" t="e">
        <f t="shared" si="13"/>
        <v>#NUM!</v>
      </c>
      <c r="K99" s="92" t="e">
        <f t="shared" si="9"/>
        <v>#NUM!</v>
      </c>
      <c r="L99" s="92"/>
      <c r="M99" s="94">
        <f t="shared" si="10"/>
        <v>0</v>
      </c>
      <c r="N99" s="94">
        <f t="shared" si="11"/>
        <v>0</v>
      </c>
      <c r="O99" s="74"/>
      <c r="P99" s="74"/>
      <c r="Q99" s="74"/>
      <c r="R99" s="74"/>
      <c r="S99" s="74"/>
    </row>
    <row r="100" spans="1:20" s="79" customFormat="1" x14ac:dyDescent="0.25">
      <c r="A100" s="87">
        <f t="shared" si="12"/>
        <v>0</v>
      </c>
      <c r="B100" s="34" t="str">
        <f t="shared" si="14"/>
        <v/>
      </c>
      <c r="C100" s="35"/>
      <c r="D100" s="35"/>
      <c r="E100" s="35"/>
      <c r="F100" s="35"/>
      <c r="G100" s="74"/>
      <c r="H100" s="88">
        <v>95</v>
      </c>
      <c r="I100" s="89" t="str">
        <f t="shared" si="8"/>
        <v/>
      </c>
      <c r="J100" s="88" t="e">
        <f t="shared" si="13"/>
        <v>#NUM!</v>
      </c>
      <c r="K100" s="88" t="e">
        <f t="shared" si="9"/>
        <v>#NUM!</v>
      </c>
      <c r="L100" s="88"/>
      <c r="M100" s="90">
        <f t="shared" si="10"/>
        <v>0</v>
      </c>
      <c r="N100" s="90">
        <f t="shared" si="11"/>
        <v>0</v>
      </c>
      <c r="O100" s="74"/>
      <c r="P100" s="74"/>
      <c r="Q100" s="74"/>
      <c r="R100" s="74"/>
      <c r="S100" s="102"/>
      <c r="T100" s="103"/>
    </row>
    <row r="101" spans="1:20" s="79" customFormat="1" x14ac:dyDescent="0.25">
      <c r="A101" s="91">
        <f t="shared" si="12"/>
        <v>0</v>
      </c>
      <c r="B101" s="40" t="str">
        <f t="shared" si="14"/>
        <v/>
      </c>
      <c r="C101" s="41"/>
      <c r="D101" s="41"/>
      <c r="E101" s="41"/>
      <c r="F101" s="41"/>
      <c r="G101" s="74"/>
      <c r="H101" s="92">
        <v>96</v>
      </c>
      <c r="I101" s="93" t="str">
        <f t="shared" si="8"/>
        <v/>
      </c>
      <c r="J101" s="92" t="e">
        <f t="shared" si="13"/>
        <v>#NUM!</v>
      </c>
      <c r="K101" s="92" t="e">
        <f t="shared" si="9"/>
        <v>#NUM!</v>
      </c>
      <c r="L101" s="92"/>
      <c r="M101" s="94">
        <f t="shared" si="10"/>
        <v>0</v>
      </c>
      <c r="N101" s="94">
        <f t="shared" si="11"/>
        <v>0</v>
      </c>
      <c r="O101" s="74"/>
      <c r="P101" s="74"/>
      <c r="Q101" s="74"/>
      <c r="R101" s="74"/>
      <c r="S101" s="74"/>
    </row>
    <row r="102" spans="1:20" s="79" customFormat="1" x14ac:dyDescent="0.25">
      <c r="A102" s="87">
        <f t="shared" si="12"/>
        <v>0</v>
      </c>
      <c r="B102" s="34" t="str">
        <f t="shared" si="14"/>
        <v/>
      </c>
      <c r="C102" s="35"/>
      <c r="D102" s="35"/>
      <c r="E102" s="35"/>
      <c r="F102" s="35"/>
      <c r="G102" s="74"/>
      <c r="H102" s="88">
        <v>97</v>
      </c>
      <c r="I102" s="89" t="str">
        <f t="shared" si="8"/>
        <v/>
      </c>
      <c r="J102" s="88" t="e">
        <f t="shared" si="13"/>
        <v>#NUM!</v>
      </c>
      <c r="K102" s="88" t="e">
        <f t="shared" si="9"/>
        <v>#NUM!</v>
      </c>
      <c r="L102" s="88"/>
      <c r="M102" s="90">
        <f t="shared" si="10"/>
        <v>0</v>
      </c>
      <c r="N102" s="90">
        <f t="shared" si="11"/>
        <v>0</v>
      </c>
      <c r="O102" s="74"/>
      <c r="P102" s="74"/>
      <c r="Q102" s="74"/>
      <c r="R102" s="74"/>
      <c r="S102" s="102"/>
      <c r="T102" s="103"/>
    </row>
    <row r="103" spans="1:20" s="79" customFormat="1" x14ac:dyDescent="0.25">
      <c r="A103" s="91">
        <f t="shared" si="12"/>
        <v>0</v>
      </c>
      <c r="B103" s="40" t="str">
        <f t="shared" si="14"/>
        <v/>
      </c>
      <c r="C103" s="41"/>
      <c r="D103" s="41"/>
      <c r="E103" s="41"/>
      <c r="F103" s="41"/>
      <c r="G103" s="74"/>
      <c r="H103" s="92">
        <v>98</v>
      </c>
      <c r="I103" s="93" t="str">
        <f t="shared" si="8"/>
        <v/>
      </c>
      <c r="J103" s="92" t="e">
        <f t="shared" si="13"/>
        <v>#NUM!</v>
      </c>
      <c r="K103" s="92" t="e">
        <f t="shared" si="9"/>
        <v>#NUM!</v>
      </c>
      <c r="L103" s="92"/>
      <c r="M103" s="94">
        <f t="shared" si="10"/>
        <v>0</v>
      </c>
      <c r="N103" s="94">
        <f t="shared" si="11"/>
        <v>0</v>
      </c>
      <c r="O103" s="74"/>
      <c r="P103" s="74"/>
      <c r="Q103" s="74"/>
      <c r="R103" s="74"/>
      <c r="S103" s="74"/>
    </row>
    <row r="104" spans="1:20" s="79" customFormat="1" x14ac:dyDescent="0.25">
      <c r="A104" s="87">
        <f t="shared" si="12"/>
        <v>0</v>
      </c>
      <c r="B104" s="34" t="str">
        <f t="shared" si="14"/>
        <v/>
      </c>
      <c r="C104" s="35"/>
      <c r="D104" s="35"/>
      <c r="E104" s="35"/>
      <c r="F104" s="35"/>
      <c r="G104" s="74"/>
      <c r="H104" s="88">
        <v>99</v>
      </c>
      <c r="I104" s="89" t="str">
        <f t="shared" si="8"/>
        <v/>
      </c>
      <c r="J104" s="88" t="e">
        <f t="shared" si="13"/>
        <v>#NUM!</v>
      </c>
      <c r="K104" s="88" t="e">
        <f t="shared" si="9"/>
        <v>#NUM!</v>
      </c>
      <c r="L104" s="88"/>
      <c r="M104" s="90">
        <f t="shared" si="10"/>
        <v>0</v>
      </c>
      <c r="N104" s="90">
        <f t="shared" si="11"/>
        <v>0</v>
      </c>
      <c r="O104" s="74"/>
      <c r="P104" s="74"/>
      <c r="Q104" s="74"/>
      <c r="R104" s="74"/>
      <c r="S104" s="102"/>
      <c r="T104" s="103"/>
    </row>
    <row r="105" spans="1:20" s="79" customFormat="1" x14ac:dyDescent="0.25">
      <c r="A105" s="91">
        <f t="shared" si="12"/>
        <v>0</v>
      </c>
      <c r="B105" s="40" t="str">
        <f t="shared" si="14"/>
        <v/>
      </c>
      <c r="C105" s="41"/>
      <c r="D105" s="41"/>
      <c r="E105" s="41"/>
      <c r="F105" s="41"/>
      <c r="G105" s="74"/>
      <c r="H105" s="92">
        <v>100</v>
      </c>
      <c r="I105" s="93" t="str">
        <f t="shared" si="8"/>
        <v/>
      </c>
      <c r="J105" s="92" t="e">
        <f t="shared" si="13"/>
        <v>#NUM!</v>
      </c>
      <c r="K105" s="92" t="e">
        <f t="shared" si="9"/>
        <v>#NUM!</v>
      </c>
      <c r="L105" s="92"/>
      <c r="M105" s="94">
        <f t="shared" si="10"/>
        <v>0</v>
      </c>
      <c r="N105" s="94">
        <f t="shared" si="11"/>
        <v>0</v>
      </c>
      <c r="O105" s="74"/>
      <c r="P105" s="74"/>
      <c r="Q105" s="74"/>
      <c r="R105" s="74"/>
      <c r="S105" s="74"/>
    </row>
    <row r="106" spans="1:20" s="79" customFormat="1" x14ac:dyDescent="0.25">
      <c r="A106" s="87">
        <f t="shared" si="12"/>
        <v>0</v>
      </c>
      <c r="B106" s="34" t="str">
        <f t="shared" si="14"/>
        <v/>
      </c>
      <c r="C106" s="35"/>
      <c r="D106" s="35"/>
      <c r="E106" s="35"/>
      <c r="F106" s="35"/>
      <c r="G106" s="74"/>
      <c r="H106" s="88">
        <v>101</v>
      </c>
      <c r="I106" s="89" t="str">
        <f t="shared" si="8"/>
        <v/>
      </c>
      <c r="J106" s="88" t="e">
        <f t="shared" si="13"/>
        <v>#NUM!</v>
      </c>
      <c r="K106" s="88" t="e">
        <f t="shared" si="9"/>
        <v>#NUM!</v>
      </c>
      <c r="L106" s="88"/>
      <c r="M106" s="90">
        <f t="shared" si="10"/>
        <v>0</v>
      </c>
      <c r="N106" s="90">
        <f t="shared" si="11"/>
        <v>0</v>
      </c>
      <c r="O106" s="74"/>
      <c r="P106" s="74"/>
      <c r="Q106" s="74"/>
      <c r="R106" s="74"/>
      <c r="S106" s="102"/>
      <c r="T106" s="103"/>
    </row>
    <row r="107" spans="1:20" s="79" customFormat="1" x14ac:dyDescent="0.25">
      <c r="A107" s="91">
        <f t="shared" si="12"/>
        <v>0</v>
      </c>
      <c r="B107" s="40" t="str">
        <f t="shared" si="14"/>
        <v/>
      </c>
      <c r="C107" s="41"/>
      <c r="D107" s="41"/>
      <c r="E107" s="41"/>
      <c r="F107" s="41"/>
      <c r="G107" s="74"/>
      <c r="H107" s="92">
        <v>102</v>
      </c>
      <c r="I107" s="93" t="str">
        <f t="shared" si="8"/>
        <v/>
      </c>
      <c r="J107" s="92" t="e">
        <f t="shared" si="13"/>
        <v>#NUM!</v>
      </c>
      <c r="K107" s="92" t="e">
        <f t="shared" si="9"/>
        <v>#NUM!</v>
      </c>
      <c r="L107" s="92"/>
      <c r="M107" s="94">
        <f t="shared" si="10"/>
        <v>0</v>
      </c>
      <c r="N107" s="94">
        <f t="shared" si="11"/>
        <v>0</v>
      </c>
      <c r="O107" s="74"/>
      <c r="P107" s="74"/>
      <c r="Q107" s="74"/>
      <c r="R107" s="74"/>
      <c r="S107" s="74"/>
    </row>
    <row r="108" spans="1:20" s="79" customFormat="1" x14ac:dyDescent="0.25">
      <c r="A108" s="87">
        <f t="shared" si="12"/>
        <v>0</v>
      </c>
      <c r="B108" s="34" t="str">
        <f t="shared" si="14"/>
        <v/>
      </c>
      <c r="C108" s="35"/>
      <c r="D108" s="35"/>
      <c r="E108" s="35"/>
      <c r="F108" s="35"/>
      <c r="G108" s="74"/>
      <c r="H108" s="88">
        <v>103</v>
      </c>
      <c r="I108" s="89" t="str">
        <f t="shared" si="8"/>
        <v/>
      </c>
      <c r="J108" s="88" t="e">
        <f t="shared" si="13"/>
        <v>#NUM!</v>
      </c>
      <c r="K108" s="88" t="e">
        <f t="shared" si="9"/>
        <v>#NUM!</v>
      </c>
      <c r="L108" s="88"/>
      <c r="M108" s="90">
        <f t="shared" si="10"/>
        <v>0</v>
      </c>
      <c r="N108" s="90">
        <f t="shared" si="11"/>
        <v>0</v>
      </c>
      <c r="O108" s="74"/>
      <c r="P108" s="74"/>
      <c r="Q108" s="74"/>
      <c r="R108" s="74"/>
      <c r="S108" s="102"/>
      <c r="T108" s="103"/>
    </row>
    <row r="109" spans="1:20" s="79" customFormat="1" x14ac:dyDescent="0.25">
      <c r="A109" s="91">
        <f t="shared" si="12"/>
        <v>0</v>
      </c>
      <c r="B109" s="40" t="str">
        <f t="shared" si="14"/>
        <v/>
      </c>
      <c r="C109" s="41"/>
      <c r="D109" s="41"/>
      <c r="E109" s="41"/>
      <c r="F109" s="41"/>
      <c r="G109" s="74"/>
      <c r="H109" s="92">
        <v>104</v>
      </c>
      <c r="I109" s="93" t="str">
        <f t="shared" si="8"/>
        <v/>
      </c>
      <c r="J109" s="92" t="e">
        <f t="shared" si="13"/>
        <v>#NUM!</v>
      </c>
      <c r="K109" s="92" t="e">
        <f t="shared" si="9"/>
        <v>#NUM!</v>
      </c>
      <c r="L109" s="92"/>
      <c r="M109" s="94">
        <f t="shared" si="10"/>
        <v>0</v>
      </c>
      <c r="N109" s="94">
        <f t="shared" si="11"/>
        <v>0</v>
      </c>
      <c r="O109" s="74"/>
      <c r="P109" s="74"/>
      <c r="Q109" s="74"/>
      <c r="R109" s="74"/>
      <c r="S109" s="74"/>
    </row>
    <row r="110" spans="1:20" s="79" customFormat="1" x14ac:dyDescent="0.25">
      <c r="A110" s="87">
        <f t="shared" si="12"/>
        <v>0</v>
      </c>
      <c r="B110" s="34" t="str">
        <f t="shared" si="14"/>
        <v/>
      </c>
      <c r="C110" s="35"/>
      <c r="D110" s="35"/>
      <c r="E110" s="35"/>
      <c r="F110" s="35"/>
      <c r="G110" s="74"/>
      <c r="H110" s="88">
        <v>105</v>
      </c>
      <c r="I110" s="89" t="str">
        <f t="shared" si="8"/>
        <v/>
      </c>
      <c r="J110" s="88" t="e">
        <f t="shared" si="13"/>
        <v>#NUM!</v>
      </c>
      <c r="K110" s="88" t="e">
        <f t="shared" si="9"/>
        <v>#NUM!</v>
      </c>
      <c r="L110" s="88"/>
      <c r="M110" s="90">
        <f t="shared" si="10"/>
        <v>0</v>
      </c>
      <c r="N110" s="90">
        <f t="shared" si="11"/>
        <v>0</v>
      </c>
      <c r="O110" s="74"/>
      <c r="P110" s="74"/>
      <c r="Q110" s="74"/>
      <c r="R110" s="74"/>
      <c r="S110" s="102"/>
      <c r="T110" s="103"/>
    </row>
    <row r="111" spans="1:20" s="79" customFormat="1" x14ac:dyDescent="0.25">
      <c r="A111" s="91">
        <f t="shared" si="12"/>
        <v>0</v>
      </c>
      <c r="B111" s="40" t="str">
        <f t="shared" si="14"/>
        <v/>
      </c>
      <c r="C111" s="41"/>
      <c r="D111" s="41"/>
      <c r="E111" s="41"/>
      <c r="F111" s="41"/>
      <c r="G111" s="74"/>
      <c r="H111" s="92">
        <v>106</v>
      </c>
      <c r="I111" s="93" t="str">
        <f t="shared" si="8"/>
        <v/>
      </c>
      <c r="J111" s="92" t="e">
        <f t="shared" si="13"/>
        <v>#NUM!</v>
      </c>
      <c r="K111" s="92" t="e">
        <f t="shared" si="9"/>
        <v>#NUM!</v>
      </c>
      <c r="L111" s="92"/>
      <c r="M111" s="94">
        <f t="shared" si="10"/>
        <v>0</v>
      </c>
      <c r="N111" s="94">
        <f t="shared" si="11"/>
        <v>0</v>
      </c>
      <c r="O111" s="74"/>
      <c r="P111" s="74"/>
      <c r="Q111" s="74"/>
      <c r="R111" s="74"/>
      <c r="S111" s="74"/>
    </row>
    <row r="112" spans="1:20" s="79" customFormat="1" x14ac:dyDescent="0.25">
      <c r="A112" s="87">
        <f t="shared" si="12"/>
        <v>0</v>
      </c>
      <c r="B112" s="34" t="str">
        <f t="shared" si="14"/>
        <v/>
      </c>
      <c r="C112" s="35"/>
      <c r="D112" s="35"/>
      <c r="E112" s="35"/>
      <c r="F112" s="35"/>
      <c r="G112" s="74"/>
      <c r="H112" s="88">
        <v>107</v>
      </c>
      <c r="I112" s="89" t="str">
        <f t="shared" si="8"/>
        <v/>
      </c>
      <c r="J112" s="88" t="e">
        <f t="shared" si="13"/>
        <v>#NUM!</v>
      </c>
      <c r="K112" s="88" t="e">
        <f t="shared" si="9"/>
        <v>#NUM!</v>
      </c>
      <c r="L112" s="88"/>
      <c r="M112" s="90">
        <f t="shared" si="10"/>
        <v>0</v>
      </c>
      <c r="N112" s="90">
        <f t="shared" si="11"/>
        <v>0</v>
      </c>
      <c r="O112" s="74"/>
      <c r="P112" s="74"/>
      <c r="Q112" s="74"/>
      <c r="R112" s="74"/>
      <c r="S112" s="102"/>
      <c r="T112" s="103"/>
    </row>
    <row r="113" spans="1:20" s="79" customFormat="1" x14ac:dyDescent="0.25">
      <c r="A113" s="91">
        <f t="shared" si="12"/>
        <v>0</v>
      </c>
      <c r="B113" s="40" t="str">
        <f t="shared" si="14"/>
        <v/>
      </c>
      <c r="C113" s="41"/>
      <c r="D113" s="41"/>
      <c r="E113" s="41"/>
      <c r="F113" s="41"/>
      <c r="G113" s="74"/>
      <c r="H113" s="92">
        <v>108</v>
      </c>
      <c r="I113" s="93" t="str">
        <f t="shared" si="8"/>
        <v/>
      </c>
      <c r="J113" s="92" t="e">
        <f t="shared" si="13"/>
        <v>#NUM!</v>
      </c>
      <c r="K113" s="92" t="e">
        <f t="shared" si="9"/>
        <v>#NUM!</v>
      </c>
      <c r="L113" s="92"/>
      <c r="M113" s="94">
        <f t="shared" si="10"/>
        <v>0</v>
      </c>
      <c r="N113" s="94">
        <f t="shared" si="11"/>
        <v>0</v>
      </c>
      <c r="O113" s="74"/>
      <c r="P113" s="74"/>
      <c r="Q113" s="74"/>
      <c r="R113" s="74"/>
      <c r="S113" s="74"/>
    </row>
    <row r="114" spans="1:20" s="79" customFormat="1" x14ac:dyDescent="0.25">
      <c r="A114" s="87">
        <f t="shared" si="12"/>
        <v>0</v>
      </c>
      <c r="B114" s="34" t="str">
        <f t="shared" si="14"/>
        <v/>
      </c>
      <c r="C114" s="35"/>
      <c r="D114" s="35"/>
      <c r="E114" s="35"/>
      <c r="F114" s="35"/>
      <c r="G114" s="74"/>
      <c r="H114" s="88">
        <v>109</v>
      </c>
      <c r="I114" s="89" t="str">
        <f t="shared" si="8"/>
        <v/>
      </c>
      <c r="J114" s="88" t="e">
        <f t="shared" si="13"/>
        <v>#NUM!</v>
      </c>
      <c r="K114" s="88" t="e">
        <f t="shared" si="9"/>
        <v>#NUM!</v>
      </c>
      <c r="L114" s="88"/>
      <c r="M114" s="90">
        <f t="shared" si="10"/>
        <v>0</v>
      </c>
      <c r="N114" s="90">
        <f t="shared" si="11"/>
        <v>0</v>
      </c>
      <c r="O114" s="74"/>
      <c r="P114" s="74"/>
      <c r="Q114" s="74"/>
      <c r="R114" s="74"/>
      <c r="S114" s="102"/>
      <c r="T114" s="103"/>
    </row>
    <row r="115" spans="1:20" s="79" customFormat="1" x14ac:dyDescent="0.25">
      <c r="A115" s="91">
        <f t="shared" si="12"/>
        <v>0</v>
      </c>
      <c r="B115" s="40" t="str">
        <f t="shared" si="14"/>
        <v/>
      </c>
      <c r="C115" s="41"/>
      <c r="D115" s="41"/>
      <c r="E115" s="41"/>
      <c r="F115" s="41"/>
      <c r="G115" s="74"/>
      <c r="H115" s="92">
        <v>110</v>
      </c>
      <c r="I115" s="93" t="str">
        <f t="shared" si="8"/>
        <v/>
      </c>
      <c r="J115" s="92" t="e">
        <f t="shared" si="13"/>
        <v>#NUM!</v>
      </c>
      <c r="K115" s="92" t="e">
        <f t="shared" si="9"/>
        <v>#NUM!</v>
      </c>
      <c r="L115" s="92"/>
      <c r="M115" s="94">
        <f t="shared" si="10"/>
        <v>0</v>
      </c>
      <c r="N115" s="94">
        <f t="shared" si="11"/>
        <v>0</v>
      </c>
      <c r="O115" s="74"/>
      <c r="P115" s="74"/>
      <c r="Q115" s="74"/>
      <c r="R115" s="74"/>
      <c r="S115" s="74"/>
    </row>
    <row r="116" spans="1:20" s="79" customFormat="1" x14ac:dyDescent="0.25">
      <c r="A116" s="87">
        <f t="shared" si="12"/>
        <v>0</v>
      </c>
      <c r="B116" s="34" t="str">
        <f t="shared" si="14"/>
        <v/>
      </c>
      <c r="C116" s="35"/>
      <c r="D116" s="35"/>
      <c r="E116" s="35"/>
      <c r="F116" s="35"/>
      <c r="G116" s="74"/>
      <c r="H116" s="88">
        <v>111</v>
      </c>
      <c r="I116" s="89" t="str">
        <f t="shared" si="8"/>
        <v/>
      </c>
      <c r="J116" s="88" t="e">
        <f t="shared" si="13"/>
        <v>#NUM!</v>
      </c>
      <c r="K116" s="88" t="e">
        <f t="shared" si="9"/>
        <v>#NUM!</v>
      </c>
      <c r="L116" s="88"/>
      <c r="M116" s="90">
        <f t="shared" si="10"/>
        <v>0</v>
      </c>
      <c r="N116" s="90">
        <f t="shared" si="11"/>
        <v>0</v>
      </c>
      <c r="O116" s="74"/>
      <c r="P116" s="74"/>
      <c r="Q116" s="74"/>
      <c r="R116" s="74"/>
      <c r="S116" s="102"/>
      <c r="T116" s="103"/>
    </row>
    <row r="117" spans="1:20" s="79" customFormat="1" x14ac:dyDescent="0.25">
      <c r="A117" s="91">
        <f t="shared" si="12"/>
        <v>0</v>
      </c>
      <c r="B117" s="40" t="str">
        <f t="shared" si="14"/>
        <v/>
      </c>
      <c r="C117" s="41"/>
      <c r="D117" s="41"/>
      <c r="E117" s="41"/>
      <c r="F117" s="41"/>
      <c r="G117" s="74"/>
      <c r="H117" s="92">
        <v>112</v>
      </c>
      <c r="I117" s="93" t="str">
        <f t="shared" si="8"/>
        <v/>
      </c>
      <c r="J117" s="92" t="e">
        <f t="shared" si="13"/>
        <v>#NUM!</v>
      </c>
      <c r="K117" s="92" t="e">
        <f t="shared" si="9"/>
        <v>#NUM!</v>
      </c>
      <c r="L117" s="92"/>
      <c r="M117" s="94">
        <f t="shared" si="10"/>
        <v>0</v>
      </c>
      <c r="N117" s="94">
        <f t="shared" si="11"/>
        <v>0</v>
      </c>
      <c r="O117" s="74"/>
      <c r="P117" s="74"/>
      <c r="Q117" s="74"/>
      <c r="R117" s="74"/>
      <c r="S117" s="74"/>
    </row>
    <row r="118" spans="1:20" s="79" customFormat="1" x14ac:dyDescent="0.25">
      <c r="A118" s="87">
        <f t="shared" si="12"/>
        <v>0</v>
      </c>
      <c r="B118" s="34" t="str">
        <f t="shared" si="14"/>
        <v/>
      </c>
      <c r="C118" s="35"/>
      <c r="D118" s="35"/>
      <c r="E118" s="35"/>
      <c r="F118" s="35"/>
      <c r="G118" s="74"/>
      <c r="H118" s="88">
        <v>113</v>
      </c>
      <c r="I118" s="89" t="str">
        <f t="shared" si="8"/>
        <v/>
      </c>
      <c r="J118" s="88" t="e">
        <f t="shared" si="13"/>
        <v>#NUM!</v>
      </c>
      <c r="K118" s="88" t="e">
        <f t="shared" si="9"/>
        <v>#NUM!</v>
      </c>
      <c r="L118" s="88"/>
      <c r="M118" s="90">
        <f t="shared" si="10"/>
        <v>0</v>
      </c>
      <c r="N118" s="90">
        <f t="shared" si="11"/>
        <v>0</v>
      </c>
      <c r="O118" s="74"/>
      <c r="P118" s="74"/>
      <c r="Q118" s="74"/>
      <c r="R118" s="74"/>
      <c r="S118" s="102"/>
      <c r="T118" s="103"/>
    </row>
    <row r="119" spans="1:20" s="79" customFormat="1" x14ac:dyDescent="0.25">
      <c r="A119" s="91">
        <f t="shared" si="12"/>
        <v>0</v>
      </c>
      <c r="B119" s="40" t="str">
        <f t="shared" si="14"/>
        <v/>
      </c>
      <c r="C119" s="41"/>
      <c r="D119" s="41"/>
      <c r="E119" s="41"/>
      <c r="F119" s="41"/>
      <c r="G119" s="74"/>
      <c r="H119" s="92">
        <v>114</v>
      </c>
      <c r="I119" s="93" t="str">
        <f t="shared" si="8"/>
        <v/>
      </c>
      <c r="J119" s="92" t="e">
        <f t="shared" si="13"/>
        <v>#NUM!</v>
      </c>
      <c r="K119" s="92" t="e">
        <f t="shared" si="9"/>
        <v>#NUM!</v>
      </c>
      <c r="L119" s="92"/>
      <c r="M119" s="94">
        <f t="shared" si="10"/>
        <v>0</v>
      </c>
      <c r="N119" s="94">
        <f t="shared" si="11"/>
        <v>0</v>
      </c>
      <c r="O119" s="74"/>
      <c r="P119" s="74"/>
      <c r="Q119" s="74"/>
      <c r="R119" s="74"/>
      <c r="S119" s="74"/>
    </row>
    <row r="120" spans="1:20" s="79" customFormat="1" x14ac:dyDescent="0.25">
      <c r="A120" s="87">
        <f t="shared" si="12"/>
        <v>0</v>
      </c>
      <c r="B120" s="34" t="str">
        <f t="shared" si="14"/>
        <v/>
      </c>
      <c r="C120" s="35"/>
      <c r="D120" s="35"/>
      <c r="E120" s="35"/>
      <c r="F120" s="35"/>
      <c r="G120" s="74"/>
      <c r="H120" s="88">
        <v>115</v>
      </c>
      <c r="I120" s="89" t="str">
        <f t="shared" si="8"/>
        <v/>
      </c>
      <c r="J120" s="88" t="e">
        <f t="shared" si="13"/>
        <v>#NUM!</v>
      </c>
      <c r="K120" s="88" t="e">
        <f t="shared" si="9"/>
        <v>#NUM!</v>
      </c>
      <c r="L120" s="88"/>
      <c r="M120" s="90">
        <f t="shared" si="10"/>
        <v>0</v>
      </c>
      <c r="N120" s="90">
        <f t="shared" si="11"/>
        <v>0</v>
      </c>
      <c r="O120" s="74"/>
      <c r="P120" s="74"/>
      <c r="Q120" s="74"/>
      <c r="R120" s="74"/>
      <c r="S120" s="102"/>
      <c r="T120" s="103"/>
    </row>
    <row r="121" spans="1:20" s="79" customFormat="1" x14ac:dyDescent="0.25">
      <c r="A121" s="91">
        <f t="shared" si="12"/>
        <v>0</v>
      </c>
      <c r="B121" s="40" t="str">
        <f t="shared" si="14"/>
        <v/>
      </c>
      <c r="C121" s="41"/>
      <c r="D121" s="41"/>
      <c r="E121" s="41"/>
      <c r="F121" s="41"/>
      <c r="G121" s="74"/>
      <c r="H121" s="92">
        <v>116</v>
      </c>
      <c r="I121" s="93" t="str">
        <f t="shared" si="8"/>
        <v/>
      </c>
      <c r="J121" s="92" t="e">
        <f t="shared" si="13"/>
        <v>#NUM!</v>
      </c>
      <c r="K121" s="92" t="e">
        <f t="shared" si="9"/>
        <v>#NUM!</v>
      </c>
      <c r="L121" s="92"/>
      <c r="M121" s="94">
        <f t="shared" si="10"/>
        <v>0</v>
      </c>
      <c r="N121" s="94">
        <f t="shared" si="11"/>
        <v>0</v>
      </c>
      <c r="O121" s="74"/>
      <c r="P121" s="74"/>
      <c r="Q121" s="74"/>
      <c r="R121" s="74"/>
      <c r="S121" s="74"/>
    </row>
    <row r="122" spans="1:20" s="79" customFormat="1" x14ac:dyDescent="0.25">
      <c r="A122" s="87">
        <f t="shared" si="12"/>
        <v>0</v>
      </c>
      <c r="B122" s="34" t="str">
        <f t="shared" si="14"/>
        <v/>
      </c>
      <c r="C122" s="35"/>
      <c r="D122" s="35"/>
      <c r="E122" s="35"/>
      <c r="F122" s="35"/>
      <c r="G122" s="74"/>
      <c r="H122" s="88">
        <v>117</v>
      </c>
      <c r="I122" s="89" t="str">
        <f t="shared" si="8"/>
        <v/>
      </c>
      <c r="J122" s="88" t="e">
        <f t="shared" si="13"/>
        <v>#NUM!</v>
      </c>
      <c r="K122" s="88" t="e">
        <f t="shared" si="9"/>
        <v>#NUM!</v>
      </c>
      <c r="L122" s="88"/>
      <c r="M122" s="90">
        <f t="shared" si="10"/>
        <v>0</v>
      </c>
      <c r="N122" s="90">
        <f t="shared" si="11"/>
        <v>0</v>
      </c>
      <c r="O122" s="74"/>
      <c r="P122" s="74"/>
      <c r="Q122" s="74"/>
      <c r="R122" s="74"/>
      <c r="S122" s="102"/>
      <c r="T122" s="103"/>
    </row>
    <row r="123" spans="1:20" s="79" customFormat="1" x14ac:dyDescent="0.25">
      <c r="A123" s="91">
        <f t="shared" si="12"/>
        <v>0</v>
      </c>
      <c r="B123" s="40" t="str">
        <f t="shared" si="14"/>
        <v/>
      </c>
      <c r="C123" s="41"/>
      <c r="D123" s="41"/>
      <c r="E123" s="41"/>
      <c r="F123" s="41"/>
      <c r="G123" s="74"/>
      <c r="H123" s="92">
        <v>118</v>
      </c>
      <c r="I123" s="93" t="str">
        <f t="shared" si="8"/>
        <v/>
      </c>
      <c r="J123" s="92" t="e">
        <f t="shared" si="13"/>
        <v>#NUM!</v>
      </c>
      <c r="K123" s="92" t="e">
        <f t="shared" si="9"/>
        <v>#NUM!</v>
      </c>
      <c r="L123" s="92"/>
      <c r="M123" s="94">
        <f t="shared" si="10"/>
        <v>0</v>
      </c>
      <c r="N123" s="94">
        <f t="shared" si="11"/>
        <v>0</v>
      </c>
      <c r="O123" s="74"/>
      <c r="P123" s="74"/>
      <c r="Q123" s="74"/>
      <c r="R123" s="74"/>
      <c r="S123" s="74"/>
    </row>
    <row r="124" spans="1:20" s="79" customFormat="1" x14ac:dyDescent="0.25">
      <c r="A124" s="87">
        <f t="shared" si="12"/>
        <v>0</v>
      </c>
      <c r="B124" s="34" t="str">
        <f t="shared" si="14"/>
        <v/>
      </c>
      <c r="C124" s="35"/>
      <c r="D124" s="35"/>
      <c r="E124" s="35"/>
      <c r="F124" s="35"/>
      <c r="G124" s="74"/>
      <c r="H124" s="88">
        <v>119</v>
      </c>
      <c r="I124" s="89" t="str">
        <f t="shared" si="8"/>
        <v/>
      </c>
      <c r="J124" s="88" t="e">
        <f t="shared" si="13"/>
        <v>#NUM!</v>
      </c>
      <c r="K124" s="88" t="e">
        <f t="shared" si="9"/>
        <v>#NUM!</v>
      </c>
      <c r="L124" s="88"/>
      <c r="M124" s="90">
        <f t="shared" si="10"/>
        <v>0</v>
      </c>
      <c r="N124" s="90">
        <f t="shared" si="11"/>
        <v>0</v>
      </c>
      <c r="O124" s="74"/>
      <c r="P124" s="74"/>
      <c r="Q124" s="74"/>
      <c r="R124" s="74"/>
      <c r="S124" s="102"/>
      <c r="T124" s="103"/>
    </row>
    <row r="125" spans="1:20" s="79" customFormat="1" x14ac:dyDescent="0.25">
      <c r="A125" s="91">
        <f t="shared" si="12"/>
        <v>0</v>
      </c>
      <c r="B125" s="40" t="str">
        <f t="shared" si="14"/>
        <v/>
      </c>
      <c r="C125" s="41"/>
      <c r="D125" s="41"/>
      <c r="E125" s="41"/>
      <c r="F125" s="41"/>
      <c r="G125" s="74"/>
      <c r="H125" s="92">
        <v>120</v>
      </c>
      <c r="I125" s="93" t="str">
        <f t="shared" si="8"/>
        <v/>
      </c>
      <c r="J125" s="92" t="e">
        <f t="shared" si="13"/>
        <v>#NUM!</v>
      </c>
      <c r="K125" s="92" t="e">
        <f t="shared" si="9"/>
        <v>#NUM!</v>
      </c>
      <c r="L125" s="92"/>
      <c r="M125" s="94">
        <f t="shared" si="10"/>
        <v>0</v>
      </c>
      <c r="N125" s="94">
        <f t="shared" si="11"/>
        <v>0</v>
      </c>
      <c r="O125" s="74"/>
      <c r="P125" s="74"/>
      <c r="Q125" s="74"/>
      <c r="R125" s="74"/>
      <c r="S125" s="74"/>
    </row>
    <row r="126" spans="1:20" s="79" customFormat="1" x14ac:dyDescent="0.25">
      <c r="A126" s="87">
        <f t="shared" si="12"/>
        <v>0</v>
      </c>
      <c r="B126" s="34" t="str">
        <f t="shared" si="14"/>
        <v/>
      </c>
      <c r="C126" s="35"/>
      <c r="D126" s="35"/>
      <c r="E126" s="35"/>
      <c r="F126" s="35"/>
      <c r="G126" s="74"/>
      <c r="H126" s="88">
        <v>121</v>
      </c>
      <c r="I126" s="89" t="str">
        <f t="shared" si="8"/>
        <v/>
      </c>
      <c r="J126" s="88" t="e">
        <f t="shared" si="13"/>
        <v>#NUM!</v>
      </c>
      <c r="K126" s="88" t="e">
        <f t="shared" si="9"/>
        <v>#NUM!</v>
      </c>
      <c r="L126" s="88"/>
      <c r="M126" s="90">
        <f t="shared" si="10"/>
        <v>0</v>
      </c>
      <c r="N126" s="90">
        <f t="shared" si="11"/>
        <v>0</v>
      </c>
      <c r="O126" s="74"/>
      <c r="P126" s="74"/>
      <c r="Q126" s="74"/>
      <c r="R126" s="74"/>
      <c r="S126" s="102"/>
      <c r="T126" s="103"/>
    </row>
    <row r="127" spans="1:20" s="79" customFormat="1" x14ac:dyDescent="0.25">
      <c r="A127" s="91">
        <f t="shared" si="12"/>
        <v>0</v>
      </c>
      <c r="B127" s="40" t="str">
        <f t="shared" si="14"/>
        <v/>
      </c>
      <c r="C127" s="41"/>
      <c r="D127" s="41"/>
      <c r="E127" s="41"/>
      <c r="F127" s="41"/>
      <c r="G127" s="74"/>
      <c r="H127" s="92">
        <v>122</v>
      </c>
      <c r="I127" s="93" t="str">
        <f t="shared" si="8"/>
        <v/>
      </c>
      <c r="J127" s="92" t="e">
        <f t="shared" si="13"/>
        <v>#NUM!</v>
      </c>
      <c r="K127" s="92" t="e">
        <f t="shared" si="9"/>
        <v>#NUM!</v>
      </c>
      <c r="L127" s="92"/>
      <c r="M127" s="94">
        <f t="shared" si="10"/>
        <v>0</v>
      </c>
      <c r="N127" s="94">
        <f t="shared" si="11"/>
        <v>0</v>
      </c>
      <c r="O127" s="74"/>
      <c r="P127" s="74"/>
      <c r="Q127" s="74"/>
      <c r="R127" s="74"/>
      <c r="S127" s="74"/>
    </row>
    <row r="128" spans="1:20" s="79" customFormat="1" x14ac:dyDescent="0.25">
      <c r="A128" s="87">
        <f t="shared" si="12"/>
        <v>0</v>
      </c>
      <c r="B128" s="34" t="str">
        <f t="shared" si="14"/>
        <v/>
      </c>
      <c r="C128" s="35"/>
      <c r="D128" s="35"/>
      <c r="E128" s="35"/>
      <c r="F128" s="35"/>
      <c r="G128" s="74"/>
      <c r="H128" s="88">
        <v>123</v>
      </c>
      <c r="I128" s="89" t="str">
        <f t="shared" si="8"/>
        <v/>
      </c>
      <c r="J128" s="88" t="e">
        <f t="shared" si="13"/>
        <v>#NUM!</v>
      </c>
      <c r="K128" s="88" t="e">
        <f t="shared" si="9"/>
        <v>#NUM!</v>
      </c>
      <c r="L128" s="88"/>
      <c r="M128" s="90">
        <f t="shared" si="10"/>
        <v>0</v>
      </c>
      <c r="N128" s="90">
        <f t="shared" si="11"/>
        <v>0</v>
      </c>
      <c r="O128" s="74"/>
      <c r="P128" s="74"/>
      <c r="Q128" s="74"/>
      <c r="R128" s="74"/>
      <c r="S128" s="102"/>
      <c r="T128" s="103"/>
    </row>
    <row r="129" spans="1:20" s="79" customFormat="1" x14ac:dyDescent="0.25">
      <c r="A129" s="91">
        <f t="shared" si="12"/>
        <v>0</v>
      </c>
      <c r="B129" s="40" t="str">
        <f t="shared" si="14"/>
        <v/>
      </c>
      <c r="C129" s="41"/>
      <c r="D129" s="41"/>
      <c r="E129" s="41"/>
      <c r="F129" s="41"/>
      <c r="G129" s="74"/>
      <c r="H129" s="92">
        <v>124</v>
      </c>
      <c r="I129" s="93" t="str">
        <f t="shared" si="8"/>
        <v/>
      </c>
      <c r="J129" s="92" t="e">
        <f t="shared" si="13"/>
        <v>#NUM!</v>
      </c>
      <c r="K129" s="92" t="e">
        <f t="shared" si="9"/>
        <v>#NUM!</v>
      </c>
      <c r="L129" s="92"/>
      <c r="M129" s="94">
        <f t="shared" si="10"/>
        <v>0</v>
      </c>
      <c r="N129" s="94">
        <f t="shared" si="11"/>
        <v>0</v>
      </c>
      <c r="O129" s="74"/>
      <c r="P129" s="74"/>
      <c r="Q129" s="74"/>
      <c r="R129" s="74"/>
      <c r="S129" s="74"/>
    </row>
    <row r="130" spans="1:20" s="79" customFormat="1" x14ac:dyDescent="0.25">
      <c r="A130" s="87">
        <f t="shared" si="12"/>
        <v>0</v>
      </c>
      <c r="B130" s="34" t="str">
        <f t="shared" si="14"/>
        <v/>
      </c>
      <c r="C130" s="35"/>
      <c r="D130" s="35"/>
      <c r="E130" s="35"/>
      <c r="F130" s="35"/>
      <c r="G130" s="74"/>
      <c r="H130" s="88">
        <v>125</v>
      </c>
      <c r="I130" s="89" t="str">
        <f t="shared" si="8"/>
        <v/>
      </c>
      <c r="J130" s="88" t="e">
        <f t="shared" si="13"/>
        <v>#NUM!</v>
      </c>
      <c r="K130" s="88" t="e">
        <f t="shared" si="9"/>
        <v>#NUM!</v>
      </c>
      <c r="L130" s="88"/>
      <c r="M130" s="90">
        <f t="shared" si="10"/>
        <v>0</v>
      </c>
      <c r="N130" s="90">
        <f t="shared" si="11"/>
        <v>0</v>
      </c>
      <c r="O130" s="74"/>
      <c r="P130" s="74"/>
      <c r="Q130" s="74"/>
      <c r="R130" s="74"/>
      <c r="S130" s="102"/>
      <c r="T130" s="103"/>
    </row>
    <row r="131" spans="1:20" s="79" customFormat="1" x14ac:dyDescent="0.25">
      <c r="A131" s="91">
        <f t="shared" si="12"/>
        <v>0</v>
      </c>
      <c r="B131" s="40" t="str">
        <f t="shared" si="14"/>
        <v/>
      </c>
      <c r="C131" s="41"/>
      <c r="D131" s="41"/>
      <c r="E131" s="41"/>
      <c r="F131" s="41"/>
      <c r="G131" s="74"/>
      <c r="H131" s="92">
        <v>126</v>
      </c>
      <c r="I131" s="93" t="str">
        <f t="shared" si="8"/>
        <v/>
      </c>
      <c r="J131" s="92" t="e">
        <f t="shared" si="13"/>
        <v>#NUM!</v>
      </c>
      <c r="K131" s="92" t="e">
        <f t="shared" si="9"/>
        <v>#NUM!</v>
      </c>
      <c r="L131" s="92"/>
      <c r="M131" s="94">
        <f t="shared" si="10"/>
        <v>0</v>
      </c>
      <c r="N131" s="94">
        <f t="shared" si="11"/>
        <v>0</v>
      </c>
      <c r="O131" s="74"/>
      <c r="P131" s="74"/>
      <c r="Q131" s="74"/>
      <c r="R131" s="74"/>
      <c r="S131" s="74"/>
    </row>
    <row r="132" spans="1:20" s="79" customFormat="1" x14ac:dyDescent="0.25">
      <c r="A132" s="87">
        <f t="shared" si="12"/>
        <v>0</v>
      </c>
      <c r="B132" s="34" t="str">
        <f t="shared" si="14"/>
        <v/>
      </c>
      <c r="C132" s="35"/>
      <c r="D132" s="35"/>
      <c r="E132" s="35"/>
      <c r="F132" s="35"/>
      <c r="G132" s="74"/>
      <c r="H132" s="88">
        <v>127</v>
      </c>
      <c r="I132" s="89" t="str">
        <f t="shared" si="8"/>
        <v/>
      </c>
      <c r="J132" s="88" t="e">
        <f t="shared" si="13"/>
        <v>#NUM!</v>
      </c>
      <c r="K132" s="88" t="e">
        <f t="shared" si="9"/>
        <v>#NUM!</v>
      </c>
      <c r="L132" s="88"/>
      <c r="M132" s="90">
        <f t="shared" si="10"/>
        <v>0</v>
      </c>
      <c r="N132" s="90">
        <f t="shared" si="11"/>
        <v>0</v>
      </c>
      <c r="O132" s="74"/>
      <c r="P132" s="74"/>
      <c r="Q132" s="74"/>
      <c r="R132" s="74"/>
      <c r="S132" s="102"/>
      <c r="T132" s="103"/>
    </row>
    <row r="133" spans="1:20" s="79" customFormat="1" x14ac:dyDescent="0.25">
      <c r="A133" s="91">
        <f t="shared" si="12"/>
        <v>0</v>
      </c>
      <c r="B133" s="40" t="str">
        <f t="shared" si="14"/>
        <v/>
      </c>
      <c r="C133" s="41"/>
      <c r="D133" s="41"/>
      <c r="E133" s="41"/>
      <c r="F133" s="41"/>
      <c r="G133" s="74"/>
      <c r="H133" s="92">
        <v>128</v>
      </c>
      <c r="I133" s="93" t="str">
        <f t="shared" si="8"/>
        <v/>
      </c>
      <c r="J133" s="92" t="e">
        <f t="shared" si="13"/>
        <v>#NUM!</v>
      </c>
      <c r="K133" s="92" t="e">
        <f t="shared" si="9"/>
        <v>#NUM!</v>
      </c>
      <c r="L133" s="92"/>
      <c r="M133" s="94">
        <f t="shared" si="10"/>
        <v>0</v>
      </c>
      <c r="N133" s="94">
        <f t="shared" si="11"/>
        <v>0</v>
      </c>
      <c r="O133" s="74"/>
      <c r="P133" s="74"/>
      <c r="Q133" s="74"/>
      <c r="R133" s="74"/>
      <c r="S133" s="74"/>
    </row>
    <row r="134" spans="1:20" s="79" customFormat="1" x14ac:dyDescent="0.25">
      <c r="A134" s="87">
        <f t="shared" si="12"/>
        <v>0</v>
      </c>
      <c r="B134" s="34" t="str">
        <f t="shared" ref="B134:B197" si="15">IF(H134&gt;$H$2,"",(ROW()-5))</f>
        <v/>
      </c>
      <c r="C134" s="35"/>
      <c r="D134" s="35"/>
      <c r="E134" s="35"/>
      <c r="F134" s="35"/>
      <c r="G134" s="74"/>
      <c r="H134" s="88">
        <v>129</v>
      </c>
      <c r="I134" s="89" t="str">
        <f t="shared" ref="I134:I197" si="16">IF(H134&lt;$H$2+1,($I$2-($I$2-1)*(LOG(H134)/LOG($H$2))),"")</f>
        <v/>
      </c>
      <c r="J134" s="88" t="e">
        <f t="shared" si="13"/>
        <v>#NUM!</v>
      </c>
      <c r="K134" s="88" t="e">
        <f t="shared" ref="K134:K197" si="17">J134*$J$2</f>
        <v>#NUM!</v>
      </c>
      <c r="L134" s="88"/>
      <c r="M134" s="90">
        <f t="shared" ref="M134:M197" si="18">IF(I134&lt;&gt;"",K134+I134+L134,0)</f>
        <v>0</v>
      </c>
      <c r="N134" s="90">
        <f t="shared" ref="N134:N197" si="19">IF(I134&lt;&gt;"",M134*L$2,0)</f>
        <v>0</v>
      </c>
      <c r="O134" s="74"/>
      <c r="P134" s="74"/>
      <c r="Q134" s="74"/>
      <c r="R134" s="74"/>
      <c r="S134" s="102"/>
      <c r="T134" s="103"/>
    </row>
    <row r="135" spans="1:20" s="79" customFormat="1" x14ac:dyDescent="0.25">
      <c r="A135" s="91">
        <f t="shared" ref="A135:A198" si="20">N135</f>
        <v>0</v>
      </c>
      <c r="B135" s="40" t="str">
        <f t="shared" si="15"/>
        <v/>
      </c>
      <c r="C135" s="41"/>
      <c r="D135" s="41"/>
      <c r="E135" s="41"/>
      <c r="F135" s="41"/>
      <c r="G135" s="74"/>
      <c r="H135" s="92">
        <v>130</v>
      </c>
      <c r="I135" s="93" t="str">
        <f t="shared" si="16"/>
        <v/>
      </c>
      <c r="J135" s="92" t="e">
        <f t="shared" ref="J135:J198" si="21">INT(LOG($H$2,2))-ROUNDUP(LOG(H135,2),0)+IF(OR($H$2=1,$H$2=2,$H$2=4,$H$2=8,$H$2=16,$H$2=32,$H$2=64,$H$2=128,$H$2=256),0,1)</f>
        <v>#NUM!</v>
      </c>
      <c r="K135" s="92" t="e">
        <f t="shared" si="17"/>
        <v>#NUM!</v>
      </c>
      <c r="L135" s="92"/>
      <c r="M135" s="94">
        <f t="shared" si="18"/>
        <v>0</v>
      </c>
      <c r="N135" s="94">
        <f t="shared" si="19"/>
        <v>0</v>
      </c>
      <c r="O135" s="74"/>
      <c r="P135" s="74"/>
      <c r="Q135" s="74"/>
      <c r="R135" s="74"/>
      <c r="S135" s="74"/>
    </row>
    <row r="136" spans="1:20" s="79" customFormat="1" x14ac:dyDescent="0.25">
      <c r="A136" s="87">
        <f t="shared" si="20"/>
        <v>0</v>
      </c>
      <c r="B136" s="34" t="str">
        <f t="shared" si="15"/>
        <v/>
      </c>
      <c r="C136" s="35"/>
      <c r="D136" s="35"/>
      <c r="E136" s="35"/>
      <c r="F136" s="35"/>
      <c r="G136" s="74"/>
      <c r="H136" s="88">
        <v>131</v>
      </c>
      <c r="I136" s="89" t="str">
        <f t="shared" si="16"/>
        <v/>
      </c>
      <c r="J136" s="88" t="e">
        <f t="shared" si="21"/>
        <v>#NUM!</v>
      </c>
      <c r="K136" s="88" t="e">
        <f t="shared" si="17"/>
        <v>#NUM!</v>
      </c>
      <c r="L136" s="88"/>
      <c r="M136" s="90">
        <f t="shared" si="18"/>
        <v>0</v>
      </c>
      <c r="N136" s="90">
        <f t="shared" si="19"/>
        <v>0</v>
      </c>
      <c r="O136" s="74"/>
      <c r="P136" s="74"/>
      <c r="Q136" s="74"/>
      <c r="R136" s="74"/>
      <c r="S136" s="102"/>
      <c r="T136" s="103"/>
    </row>
    <row r="137" spans="1:20" s="79" customFormat="1" x14ac:dyDescent="0.25">
      <c r="A137" s="91">
        <f t="shared" si="20"/>
        <v>0</v>
      </c>
      <c r="B137" s="40" t="str">
        <f t="shared" si="15"/>
        <v/>
      </c>
      <c r="C137" s="41"/>
      <c r="D137" s="41"/>
      <c r="E137" s="41"/>
      <c r="F137" s="41"/>
      <c r="G137" s="74"/>
      <c r="H137" s="92">
        <v>132</v>
      </c>
      <c r="I137" s="93" t="str">
        <f t="shared" si="16"/>
        <v/>
      </c>
      <c r="J137" s="92" t="e">
        <f t="shared" si="21"/>
        <v>#NUM!</v>
      </c>
      <c r="K137" s="92" t="e">
        <f t="shared" si="17"/>
        <v>#NUM!</v>
      </c>
      <c r="L137" s="92"/>
      <c r="M137" s="94">
        <f t="shared" si="18"/>
        <v>0</v>
      </c>
      <c r="N137" s="94">
        <f t="shared" si="19"/>
        <v>0</v>
      </c>
      <c r="O137" s="74"/>
      <c r="P137" s="74"/>
      <c r="Q137" s="74"/>
      <c r="R137" s="74"/>
      <c r="S137" s="74"/>
    </row>
    <row r="138" spans="1:20" s="79" customFormat="1" x14ac:dyDescent="0.25">
      <c r="A138" s="87">
        <f t="shared" si="20"/>
        <v>0</v>
      </c>
      <c r="B138" s="34" t="str">
        <f t="shared" si="15"/>
        <v/>
      </c>
      <c r="C138" s="35"/>
      <c r="D138" s="35"/>
      <c r="E138" s="35"/>
      <c r="F138" s="35"/>
      <c r="G138" s="74"/>
      <c r="H138" s="88">
        <v>133</v>
      </c>
      <c r="I138" s="89" t="str">
        <f t="shared" si="16"/>
        <v/>
      </c>
      <c r="J138" s="88" t="e">
        <f t="shared" si="21"/>
        <v>#NUM!</v>
      </c>
      <c r="K138" s="88" t="e">
        <f t="shared" si="17"/>
        <v>#NUM!</v>
      </c>
      <c r="L138" s="88"/>
      <c r="M138" s="90">
        <f t="shared" si="18"/>
        <v>0</v>
      </c>
      <c r="N138" s="90">
        <f t="shared" si="19"/>
        <v>0</v>
      </c>
      <c r="O138" s="74"/>
      <c r="P138" s="74"/>
      <c r="Q138" s="74"/>
      <c r="R138" s="74"/>
      <c r="S138" s="102"/>
      <c r="T138" s="103"/>
    </row>
    <row r="139" spans="1:20" s="79" customFormat="1" x14ac:dyDescent="0.25">
      <c r="A139" s="91">
        <f t="shared" si="20"/>
        <v>0</v>
      </c>
      <c r="B139" s="40" t="str">
        <f t="shared" si="15"/>
        <v/>
      </c>
      <c r="C139" s="41"/>
      <c r="D139" s="41"/>
      <c r="E139" s="41"/>
      <c r="F139" s="41"/>
      <c r="G139" s="74"/>
      <c r="H139" s="92">
        <v>134</v>
      </c>
      <c r="I139" s="93" t="str">
        <f t="shared" si="16"/>
        <v/>
      </c>
      <c r="J139" s="92" t="e">
        <f t="shared" si="21"/>
        <v>#NUM!</v>
      </c>
      <c r="K139" s="92" t="e">
        <f t="shared" si="17"/>
        <v>#NUM!</v>
      </c>
      <c r="L139" s="92"/>
      <c r="M139" s="94">
        <f t="shared" si="18"/>
        <v>0</v>
      </c>
      <c r="N139" s="94">
        <f t="shared" si="19"/>
        <v>0</v>
      </c>
      <c r="O139" s="74"/>
      <c r="P139" s="74"/>
      <c r="Q139" s="74"/>
      <c r="R139" s="74"/>
      <c r="S139" s="74"/>
    </row>
    <row r="140" spans="1:20" s="79" customFormat="1" x14ac:dyDescent="0.25">
      <c r="A140" s="87">
        <f t="shared" si="20"/>
        <v>0</v>
      </c>
      <c r="B140" s="34" t="str">
        <f t="shared" si="15"/>
        <v/>
      </c>
      <c r="C140" s="35"/>
      <c r="D140" s="35"/>
      <c r="E140" s="35"/>
      <c r="F140" s="35"/>
      <c r="G140" s="74"/>
      <c r="H140" s="88">
        <v>135</v>
      </c>
      <c r="I140" s="89" t="str">
        <f t="shared" si="16"/>
        <v/>
      </c>
      <c r="J140" s="88" t="e">
        <f t="shared" si="21"/>
        <v>#NUM!</v>
      </c>
      <c r="K140" s="88" t="e">
        <f t="shared" si="17"/>
        <v>#NUM!</v>
      </c>
      <c r="L140" s="88"/>
      <c r="M140" s="90">
        <f t="shared" si="18"/>
        <v>0</v>
      </c>
      <c r="N140" s="90">
        <f t="shared" si="19"/>
        <v>0</v>
      </c>
      <c r="O140" s="74"/>
      <c r="P140" s="74"/>
      <c r="Q140" s="74"/>
      <c r="R140" s="74"/>
      <c r="S140" s="102"/>
      <c r="T140" s="103"/>
    </row>
    <row r="141" spans="1:20" s="79" customFormat="1" x14ac:dyDescent="0.25">
      <c r="A141" s="91">
        <f t="shared" si="20"/>
        <v>0</v>
      </c>
      <c r="B141" s="40" t="str">
        <f t="shared" si="15"/>
        <v/>
      </c>
      <c r="C141" s="41"/>
      <c r="D141" s="41"/>
      <c r="E141" s="41"/>
      <c r="F141" s="41"/>
      <c r="G141" s="74"/>
      <c r="H141" s="92">
        <v>136</v>
      </c>
      <c r="I141" s="93" t="str">
        <f t="shared" si="16"/>
        <v/>
      </c>
      <c r="J141" s="92" t="e">
        <f t="shared" si="21"/>
        <v>#NUM!</v>
      </c>
      <c r="K141" s="92" t="e">
        <f t="shared" si="17"/>
        <v>#NUM!</v>
      </c>
      <c r="L141" s="92"/>
      <c r="M141" s="94">
        <f t="shared" si="18"/>
        <v>0</v>
      </c>
      <c r="N141" s="94">
        <f t="shared" si="19"/>
        <v>0</v>
      </c>
      <c r="O141" s="74"/>
      <c r="P141" s="74"/>
      <c r="Q141" s="74"/>
      <c r="R141" s="74"/>
      <c r="S141" s="74"/>
    </row>
    <row r="142" spans="1:20" s="79" customFormat="1" x14ac:dyDescent="0.25">
      <c r="A142" s="87">
        <f t="shared" si="20"/>
        <v>0</v>
      </c>
      <c r="B142" s="34" t="str">
        <f t="shared" si="15"/>
        <v/>
      </c>
      <c r="C142" s="35"/>
      <c r="D142" s="35"/>
      <c r="E142" s="35"/>
      <c r="F142" s="35"/>
      <c r="G142" s="74"/>
      <c r="H142" s="88">
        <v>137</v>
      </c>
      <c r="I142" s="89" t="str">
        <f t="shared" si="16"/>
        <v/>
      </c>
      <c r="J142" s="88" t="e">
        <f t="shared" si="21"/>
        <v>#NUM!</v>
      </c>
      <c r="K142" s="88" t="e">
        <f t="shared" si="17"/>
        <v>#NUM!</v>
      </c>
      <c r="L142" s="88"/>
      <c r="M142" s="90">
        <f t="shared" si="18"/>
        <v>0</v>
      </c>
      <c r="N142" s="90">
        <f t="shared" si="19"/>
        <v>0</v>
      </c>
      <c r="O142" s="74"/>
      <c r="P142" s="74"/>
      <c r="Q142" s="74"/>
      <c r="R142" s="74"/>
      <c r="S142" s="102"/>
      <c r="T142" s="103"/>
    </row>
    <row r="143" spans="1:20" s="79" customFormat="1" x14ac:dyDescent="0.25">
      <c r="A143" s="91">
        <f t="shared" si="20"/>
        <v>0</v>
      </c>
      <c r="B143" s="40" t="str">
        <f t="shared" si="15"/>
        <v/>
      </c>
      <c r="C143" s="41"/>
      <c r="D143" s="41"/>
      <c r="E143" s="41"/>
      <c r="F143" s="41"/>
      <c r="G143" s="74"/>
      <c r="H143" s="92">
        <v>138</v>
      </c>
      <c r="I143" s="93" t="str">
        <f t="shared" si="16"/>
        <v/>
      </c>
      <c r="J143" s="92" t="e">
        <f t="shared" si="21"/>
        <v>#NUM!</v>
      </c>
      <c r="K143" s="92" t="e">
        <f t="shared" si="17"/>
        <v>#NUM!</v>
      </c>
      <c r="L143" s="92"/>
      <c r="M143" s="94">
        <f t="shared" si="18"/>
        <v>0</v>
      </c>
      <c r="N143" s="94">
        <f t="shared" si="19"/>
        <v>0</v>
      </c>
      <c r="O143" s="74"/>
      <c r="P143" s="74"/>
      <c r="Q143" s="74"/>
      <c r="R143" s="74"/>
      <c r="S143" s="74"/>
    </row>
    <row r="144" spans="1:20" s="79" customFormat="1" x14ac:dyDescent="0.25">
      <c r="A144" s="87">
        <f t="shared" si="20"/>
        <v>0</v>
      </c>
      <c r="B144" s="34" t="str">
        <f t="shared" si="15"/>
        <v/>
      </c>
      <c r="C144" s="35"/>
      <c r="D144" s="35"/>
      <c r="E144" s="35"/>
      <c r="F144" s="35"/>
      <c r="G144" s="74"/>
      <c r="H144" s="88">
        <v>139</v>
      </c>
      <c r="I144" s="89" t="str">
        <f t="shared" si="16"/>
        <v/>
      </c>
      <c r="J144" s="88" t="e">
        <f t="shared" si="21"/>
        <v>#NUM!</v>
      </c>
      <c r="K144" s="88" t="e">
        <f t="shared" si="17"/>
        <v>#NUM!</v>
      </c>
      <c r="L144" s="88"/>
      <c r="M144" s="90">
        <f t="shared" si="18"/>
        <v>0</v>
      </c>
      <c r="N144" s="90">
        <f t="shared" si="19"/>
        <v>0</v>
      </c>
      <c r="O144" s="74"/>
      <c r="P144" s="74"/>
      <c r="Q144" s="74"/>
      <c r="R144" s="74"/>
      <c r="S144" s="102"/>
      <c r="T144" s="103"/>
    </row>
    <row r="145" spans="1:20" s="79" customFormat="1" x14ac:dyDescent="0.25">
      <c r="A145" s="91">
        <f t="shared" si="20"/>
        <v>0</v>
      </c>
      <c r="B145" s="40" t="str">
        <f t="shared" si="15"/>
        <v/>
      </c>
      <c r="C145" s="41"/>
      <c r="D145" s="41"/>
      <c r="E145" s="41"/>
      <c r="F145" s="41"/>
      <c r="G145" s="74"/>
      <c r="H145" s="92">
        <v>140</v>
      </c>
      <c r="I145" s="93" t="str">
        <f t="shared" si="16"/>
        <v/>
      </c>
      <c r="J145" s="92" t="e">
        <f t="shared" si="21"/>
        <v>#NUM!</v>
      </c>
      <c r="K145" s="92" t="e">
        <f t="shared" si="17"/>
        <v>#NUM!</v>
      </c>
      <c r="L145" s="92"/>
      <c r="M145" s="94">
        <f t="shared" si="18"/>
        <v>0</v>
      </c>
      <c r="N145" s="94">
        <f t="shared" si="19"/>
        <v>0</v>
      </c>
      <c r="O145" s="74"/>
      <c r="P145" s="74"/>
      <c r="Q145" s="74"/>
      <c r="R145" s="74"/>
      <c r="S145" s="74"/>
    </row>
    <row r="146" spans="1:20" s="79" customFormat="1" x14ac:dyDescent="0.25">
      <c r="A146" s="87">
        <f t="shared" si="20"/>
        <v>0</v>
      </c>
      <c r="B146" s="34" t="str">
        <f t="shared" si="15"/>
        <v/>
      </c>
      <c r="C146" s="35"/>
      <c r="D146" s="35"/>
      <c r="E146" s="35"/>
      <c r="F146" s="35"/>
      <c r="G146" s="74"/>
      <c r="H146" s="88">
        <v>141</v>
      </c>
      <c r="I146" s="89" t="str">
        <f t="shared" si="16"/>
        <v/>
      </c>
      <c r="J146" s="88" t="e">
        <f t="shared" si="21"/>
        <v>#NUM!</v>
      </c>
      <c r="K146" s="88" t="e">
        <f t="shared" si="17"/>
        <v>#NUM!</v>
      </c>
      <c r="L146" s="88"/>
      <c r="M146" s="90">
        <f t="shared" si="18"/>
        <v>0</v>
      </c>
      <c r="N146" s="90">
        <f t="shared" si="19"/>
        <v>0</v>
      </c>
      <c r="O146" s="74"/>
      <c r="P146" s="74"/>
      <c r="Q146" s="74"/>
      <c r="R146" s="74"/>
      <c r="S146" s="102"/>
      <c r="T146" s="103"/>
    </row>
    <row r="147" spans="1:20" s="79" customFormat="1" x14ac:dyDescent="0.25">
      <c r="A147" s="91">
        <f t="shared" si="20"/>
        <v>0</v>
      </c>
      <c r="B147" s="40" t="str">
        <f t="shared" si="15"/>
        <v/>
      </c>
      <c r="C147" s="41"/>
      <c r="D147" s="41"/>
      <c r="E147" s="41"/>
      <c r="F147" s="41"/>
      <c r="G147" s="74"/>
      <c r="H147" s="92">
        <v>142</v>
      </c>
      <c r="I147" s="93" t="str">
        <f t="shared" si="16"/>
        <v/>
      </c>
      <c r="J147" s="92" t="e">
        <f t="shared" si="21"/>
        <v>#NUM!</v>
      </c>
      <c r="K147" s="92" t="e">
        <f t="shared" si="17"/>
        <v>#NUM!</v>
      </c>
      <c r="L147" s="92"/>
      <c r="M147" s="94">
        <f t="shared" si="18"/>
        <v>0</v>
      </c>
      <c r="N147" s="94">
        <f t="shared" si="19"/>
        <v>0</v>
      </c>
      <c r="O147" s="74"/>
      <c r="P147" s="74"/>
      <c r="Q147" s="74"/>
      <c r="R147" s="74"/>
      <c r="S147" s="74"/>
    </row>
    <row r="148" spans="1:20" s="79" customFormat="1" x14ac:dyDescent="0.25">
      <c r="A148" s="87">
        <f t="shared" si="20"/>
        <v>0</v>
      </c>
      <c r="B148" s="34" t="str">
        <f t="shared" si="15"/>
        <v/>
      </c>
      <c r="C148" s="35"/>
      <c r="D148" s="35"/>
      <c r="E148" s="35"/>
      <c r="F148" s="35"/>
      <c r="G148" s="74"/>
      <c r="H148" s="88">
        <v>143</v>
      </c>
      <c r="I148" s="89" t="str">
        <f t="shared" si="16"/>
        <v/>
      </c>
      <c r="J148" s="88" t="e">
        <f t="shared" si="21"/>
        <v>#NUM!</v>
      </c>
      <c r="K148" s="88" t="e">
        <f t="shared" si="17"/>
        <v>#NUM!</v>
      </c>
      <c r="L148" s="88"/>
      <c r="M148" s="90">
        <f t="shared" si="18"/>
        <v>0</v>
      </c>
      <c r="N148" s="90">
        <f t="shared" si="19"/>
        <v>0</v>
      </c>
      <c r="O148" s="74"/>
      <c r="P148" s="74"/>
      <c r="Q148" s="74"/>
      <c r="R148" s="74"/>
      <c r="S148" s="102"/>
      <c r="T148" s="103"/>
    </row>
    <row r="149" spans="1:20" s="79" customFormat="1" x14ac:dyDescent="0.25">
      <c r="A149" s="91">
        <f t="shared" si="20"/>
        <v>0</v>
      </c>
      <c r="B149" s="40" t="str">
        <f t="shared" si="15"/>
        <v/>
      </c>
      <c r="C149" s="41"/>
      <c r="D149" s="41"/>
      <c r="E149" s="41"/>
      <c r="F149" s="41"/>
      <c r="G149" s="74"/>
      <c r="H149" s="92">
        <v>144</v>
      </c>
      <c r="I149" s="93" t="str">
        <f t="shared" si="16"/>
        <v/>
      </c>
      <c r="J149" s="92" t="e">
        <f t="shared" si="21"/>
        <v>#NUM!</v>
      </c>
      <c r="K149" s="92" t="e">
        <f t="shared" si="17"/>
        <v>#NUM!</v>
      </c>
      <c r="L149" s="92"/>
      <c r="M149" s="94">
        <f t="shared" si="18"/>
        <v>0</v>
      </c>
      <c r="N149" s="94">
        <f t="shared" si="19"/>
        <v>0</v>
      </c>
      <c r="O149" s="74"/>
      <c r="P149" s="74"/>
      <c r="Q149" s="74"/>
      <c r="R149" s="74"/>
      <c r="S149" s="74"/>
    </row>
    <row r="150" spans="1:20" s="79" customFormat="1" x14ac:dyDescent="0.25">
      <c r="A150" s="87">
        <f t="shared" si="20"/>
        <v>0</v>
      </c>
      <c r="B150" s="34" t="str">
        <f t="shared" si="15"/>
        <v/>
      </c>
      <c r="C150" s="35"/>
      <c r="D150" s="35"/>
      <c r="E150" s="35"/>
      <c r="F150" s="35"/>
      <c r="G150" s="74"/>
      <c r="H150" s="88">
        <v>145</v>
      </c>
      <c r="I150" s="89" t="str">
        <f t="shared" si="16"/>
        <v/>
      </c>
      <c r="J150" s="88" t="e">
        <f t="shared" si="21"/>
        <v>#NUM!</v>
      </c>
      <c r="K150" s="88" t="e">
        <f t="shared" si="17"/>
        <v>#NUM!</v>
      </c>
      <c r="L150" s="88"/>
      <c r="M150" s="90">
        <f t="shared" si="18"/>
        <v>0</v>
      </c>
      <c r="N150" s="90">
        <f t="shared" si="19"/>
        <v>0</v>
      </c>
      <c r="O150" s="74"/>
      <c r="P150" s="74"/>
      <c r="Q150" s="74"/>
      <c r="R150" s="74"/>
      <c r="S150" s="102"/>
      <c r="T150" s="103"/>
    </row>
    <row r="151" spans="1:20" s="79" customFormat="1" x14ac:dyDescent="0.25">
      <c r="A151" s="91">
        <f t="shared" si="20"/>
        <v>0</v>
      </c>
      <c r="B151" s="40" t="str">
        <f t="shared" si="15"/>
        <v/>
      </c>
      <c r="C151" s="41"/>
      <c r="D151" s="41"/>
      <c r="E151" s="41"/>
      <c r="F151" s="41"/>
      <c r="G151" s="74"/>
      <c r="H151" s="92">
        <v>146</v>
      </c>
      <c r="I151" s="93" t="str">
        <f t="shared" si="16"/>
        <v/>
      </c>
      <c r="J151" s="92" t="e">
        <f t="shared" si="21"/>
        <v>#NUM!</v>
      </c>
      <c r="K151" s="92" t="e">
        <f t="shared" si="17"/>
        <v>#NUM!</v>
      </c>
      <c r="L151" s="92"/>
      <c r="M151" s="94">
        <f t="shared" si="18"/>
        <v>0</v>
      </c>
      <c r="N151" s="94">
        <f t="shared" si="19"/>
        <v>0</v>
      </c>
      <c r="O151" s="74"/>
      <c r="P151" s="74"/>
      <c r="Q151" s="74"/>
      <c r="R151" s="74"/>
      <c r="S151" s="74"/>
    </row>
    <row r="152" spans="1:20" s="79" customFormat="1" x14ac:dyDescent="0.25">
      <c r="A152" s="87">
        <f t="shared" si="20"/>
        <v>0</v>
      </c>
      <c r="B152" s="34" t="str">
        <f t="shared" si="15"/>
        <v/>
      </c>
      <c r="C152" s="35"/>
      <c r="D152" s="35"/>
      <c r="E152" s="35"/>
      <c r="F152" s="35"/>
      <c r="G152" s="74"/>
      <c r="H152" s="88">
        <v>147</v>
      </c>
      <c r="I152" s="89" t="str">
        <f t="shared" si="16"/>
        <v/>
      </c>
      <c r="J152" s="88" t="e">
        <f t="shared" si="21"/>
        <v>#NUM!</v>
      </c>
      <c r="K152" s="88" t="e">
        <f t="shared" si="17"/>
        <v>#NUM!</v>
      </c>
      <c r="L152" s="88"/>
      <c r="M152" s="90">
        <f t="shared" si="18"/>
        <v>0</v>
      </c>
      <c r="N152" s="90">
        <f t="shared" si="19"/>
        <v>0</v>
      </c>
      <c r="O152" s="74"/>
      <c r="P152" s="74"/>
      <c r="Q152" s="74"/>
      <c r="R152" s="74"/>
      <c r="S152" s="102"/>
      <c r="T152" s="103"/>
    </row>
    <row r="153" spans="1:20" s="79" customFormat="1" x14ac:dyDescent="0.25">
      <c r="A153" s="91">
        <f t="shared" si="20"/>
        <v>0</v>
      </c>
      <c r="B153" s="40" t="str">
        <f t="shared" si="15"/>
        <v/>
      </c>
      <c r="C153" s="41"/>
      <c r="D153" s="41"/>
      <c r="E153" s="41"/>
      <c r="F153" s="41"/>
      <c r="G153" s="74"/>
      <c r="H153" s="92">
        <v>148</v>
      </c>
      <c r="I153" s="93" t="str">
        <f t="shared" si="16"/>
        <v/>
      </c>
      <c r="J153" s="92" t="e">
        <f t="shared" si="21"/>
        <v>#NUM!</v>
      </c>
      <c r="K153" s="92" t="e">
        <f t="shared" si="17"/>
        <v>#NUM!</v>
      </c>
      <c r="L153" s="92"/>
      <c r="M153" s="94">
        <f t="shared" si="18"/>
        <v>0</v>
      </c>
      <c r="N153" s="94">
        <f t="shared" si="19"/>
        <v>0</v>
      </c>
      <c r="O153" s="74"/>
      <c r="P153" s="74"/>
      <c r="Q153" s="74"/>
      <c r="R153" s="74"/>
      <c r="S153" s="74"/>
    </row>
    <row r="154" spans="1:20" s="79" customFormat="1" x14ac:dyDescent="0.25">
      <c r="A154" s="87">
        <f t="shared" si="20"/>
        <v>0</v>
      </c>
      <c r="B154" s="34" t="str">
        <f t="shared" si="15"/>
        <v/>
      </c>
      <c r="C154" s="35"/>
      <c r="D154" s="35"/>
      <c r="E154" s="35"/>
      <c r="F154" s="35"/>
      <c r="G154" s="74"/>
      <c r="H154" s="88">
        <v>149</v>
      </c>
      <c r="I154" s="89" t="str">
        <f t="shared" si="16"/>
        <v/>
      </c>
      <c r="J154" s="88" t="e">
        <f t="shared" si="21"/>
        <v>#NUM!</v>
      </c>
      <c r="K154" s="88" t="e">
        <f t="shared" si="17"/>
        <v>#NUM!</v>
      </c>
      <c r="L154" s="88"/>
      <c r="M154" s="90">
        <f t="shared" si="18"/>
        <v>0</v>
      </c>
      <c r="N154" s="90">
        <f t="shared" si="19"/>
        <v>0</v>
      </c>
      <c r="O154" s="74"/>
      <c r="P154" s="74"/>
      <c r="Q154" s="74"/>
      <c r="R154" s="74"/>
      <c r="S154" s="102"/>
      <c r="T154" s="103"/>
    </row>
    <row r="155" spans="1:20" s="79" customFormat="1" x14ac:dyDescent="0.25">
      <c r="A155" s="91">
        <f t="shared" si="20"/>
        <v>0</v>
      </c>
      <c r="B155" s="40" t="str">
        <f t="shared" si="15"/>
        <v/>
      </c>
      <c r="C155" s="41"/>
      <c r="D155" s="41"/>
      <c r="E155" s="41"/>
      <c r="F155" s="41"/>
      <c r="G155" s="74"/>
      <c r="H155" s="92">
        <v>150</v>
      </c>
      <c r="I155" s="93" t="str">
        <f t="shared" si="16"/>
        <v/>
      </c>
      <c r="J155" s="92" t="e">
        <f t="shared" si="21"/>
        <v>#NUM!</v>
      </c>
      <c r="K155" s="92" t="e">
        <f t="shared" si="17"/>
        <v>#NUM!</v>
      </c>
      <c r="L155" s="92"/>
      <c r="M155" s="94">
        <f t="shared" si="18"/>
        <v>0</v>
      </c>
      <c r="N155" s="94">
        <f t="shared" si="19"/>
        <v>0</v>
      </c>
      <c r="O155" s="74"/>
      <c r="P155" s="74"/>
      <c r="Q155" s="74"/>
      <c r="R155" s="74"/>
      <c r="S155" s="74"/>
    </row>
    <row r="156" spans="1:20" s="79" customFormat="1" x14ac:dyDescent="0.25">
      <c r="A156" s="87">
        <f t="shared" si="20"/>
        <v>0</v>
      </c>
      <c r="B156" s="34" t="str">
        <f t="shared" si="15"/>
        <v/>
      </c>
      <c r="C156" s="35"/>
      <c r="D156" s="35"/>
      <c r="E156" s="35"/>
      <c r="F156" s="35"/>
      <c r="G156" s="74"/>
      <c r="H156" s="88">
        <v>151</v>
      </c>
      <c r="I156" s="89" t="str">
        <f t="shared" si="16"/>
        <v/>
      </c>
      <c r="J156" s="88" t="e">
        <f t="shared" si="21"/>
        <v>#NUM!</v>
      </c>
      <c r="K156" s="88" t="e">
        <f t="shared" si="17"/>
        <v>#NUM!</v>
      </c>
      <c r="L156" s="88"/>
      <c r="M156" s="90">
        <f t="shared" si="18"/>
        <v>0</v>
      </c>
      <c r="N156" s="90">
        <f t="shared" si="19"/>
        <v>0</v>
      </c>
      <c r="O156" s="74"/>
      <c r="P156" s="74"/>
      <c r="Q156" s="74"/>
      <c r="R156" s="74"/>
      <c r="S156" s="102"/>
      <c r="T156" s="103"/>
    </row>
    <row r="157" spans="1:20" s="79" customFormat="1" x14ac:dyDescent="0.25">
      <c r="A157" s="91">
        <f t="shared" si="20"/>
        <v>0</v>
      </c>
      <c r="B157" s="40" t="str">
        <f t="shared" si="15"/>
        <v/>
      </c>
      <c r="C157" s="41"/>
      <c r="D157" s="41"/>
      <c r="E157" s="41"/>
      <c r="F157" s="41"/>
      <c r="G157" s="74"/>
      <c r="H157" s="92">
        <v>152</v>
      </c>
      <c r="I157" s="93" t="str">
        <f t="shared" si="16"/>
        <v/>
      </c>
      <c r="J157" s="92" t="e">
        <f t="shared" si="21"/>
        <v>#NUM!</v>
      </c>
      <c r="K157" s="92" t="e">
        <f t="shared" si="17"/>
        <v>#NUM!</v>
      </c>
      <c r="L157" s="92"/>
      <c r="M157" s="94">
        <f t="shared" si="18"/>
        <v>0</v>
      </c>
      <c r="N157" s="94">
        <f t="shared" si="19"/>
        <v>0</v>
      </c>
      <c r="O157" s="74"/>
      <c r="P157" s="74"/>
      <c r="Q157" s="74"/>
      <c r="R157" s="74"/>
      <c r="S157" s="74"/>
    </row>
    <row r="158" spans="1:20" s="79" customFormat="1" x14ac:dyDescent="0.25">
      <c r="A158" s="87">
        <f t="shared" si="20"/>
        <v>0</v>
      </c>
      <c r="B158" s="34" t="str">
        <f t="shared" si="15"/>
        <v/>
      </c>
      <c r="C158" s="35"/>
      <c r="D158" s="35"/>
      <c r="E158" s="35"/>
      <c r="F158" s="35"/>
      <c r="G158" s="74"/>
      <c r="H158" s="88">
        <v>153</v>
      </c>
      <c r="I158" s="89" t="str">
        <f t="shared" si="16"/>
        <v/>
      </c>
      <c r="J158" s="88" t="e">
        <f t="shared" si="21"/>
        <v>#NUM!</v>
      </c>
      <c r="K158" s="88" t="e">
        <f t="shared" si="17"/>
        <v>#NUM!</v>
      </c>
      <c r="L158" s="88"/>
      <c r="M158" s="90">
        <f t="shared" si="18"/>
        <v>0</v>
      </c>
      <c r="N158" s="90">
        <f t="shared" si="19"/>
        <v>0</v>
      </c>
      <c r="O158" s="74"/>
      <c r="P158" s="74"/>
      <c r="Q158" s="74"/>
      <c r="R158" s="74"/>
      <c r="S158" s="102"/>
      <c r="T158" s="103"/>
    </row>
    <row r="159" spans="1:20" s="79" customFormat="1" x14ac:dyDescent="0.25">
      <c r="A159" s="91">
        <f t="shared" si="20"/>
        <v>0</v>
      </c>
      <c r="B159" s="40" t="str">
        <f t="shared" si="15"/>
        <v/>
      </c>
      <c r="C159" s="41"/>
      <c r="D159" s="41"/>
      <c r="E159" s="41"/>
      <c r="F159" s="41"/>
      <c r="G159" s="74"/>
      <c r="H159" s="92">
        <v>154</v>
      </c>
      <c r="I159" s="93" t="str">
        <f t="shared" si="16"/>
        <v/>
      </c>
      <c r="J159" s="92" t="e">
        <f t="shared" si="21"/>
        <v>#NUM!</v>
      </c>
      <c r="K159" s="92" t="e">
        <f t="shared" si="17"/>
        <v>#NUM!</v>
      </c>
      <c r="L159" s="92"/>
      <c r="M159" s="94">
        <f t="shared" si="18"/>
        <v>0</v>
      </c>
      <c r="N159" s="94">
        <f t="shared" si="19"/>
        <v>0</v>
      </c>
      <c r="O159" s="74"/>
      <c r="P159" s="74"/>
      <c r="Q159" s="74"/>
      <c r="R159" s="74"/>
      <c r="S159" s="74"/>
    </row>
    <row r="160" spans="1:20" s="79" customFormat="1" x14ac:dyDescent="0.25">
      <c r="A160" s="87">
        <f t="shared" si="20"/>
        <v>0</v>
      </c>
      <c r="B160" s="34" t="str">
        <f t="shared" si="15"/>
        <v/>
      </c>
      <c r="C160" s="35"/>
      <c r="D160" s="35"/>
      <c r="E160" s="35"/>
      <c r="F160" s="35"/>
      <c r="G160" s="74"/>
      <c r="H160" s="88">
        <v>155</v>
      </c>
      <c r="I160" s="89" t="str">
        <f t="shared" si="16"/>
        <v/>
      </c>
      <c r="J160" s="88" t="e">
        <f t="shared" si="21"/>
        <v>#NUM!</v>
      </c>
      <c r="K160" s="88" t="e">
        <f t="shared" si="17"/>
        <v>#NUM!</v>
      </c>
      <c r="L160" s="88"/>
      <c r="M160" s="90">
        <f t="shared" si="18"/>
        <v>0</v>
      </c>
      <c r="N160" s="90">
        <f t="shared" si="19"/>
        <v>0</v>
      </c>
      <c r="O160" s="74"/>
      <c r="P160" s="74"/>
      <c r="Q160" s="74"/>
      <c r="R160" s="74"/>
      <c r="S160" s="102"/>
      <c r="T160" s="103"/>
    </row>
    <row r="161" spans="1:20" s="79" customFormat="1" x14ac:dyDescent="0.25">
      <c r="A161" s="91">
        <f t="shared" si="20"/>
        <v>0</v>
      </c>
      <c r="B161" s="40" t="str">
        <f t="shared" si="15"/>
        <v/>
      </c>
      <c r="C161" s="41"/>
      <c r="D161" s="41"/>
      <c r="E161" s="41"/>
      <c r="F161" s="41"/>
      <c r="G161" s="74"/>
      <c r="H161" s="92">
        <v>156</v>
      </c>
      <c r="I161" s="93" t="str">
        <f t="shared" si="16"/>
        <v/>
      </c>
      <c r="J161" s="92" t="e">
        <f t="shared" si="21"/>
        <v>#NUM!</v>
      </c>
      <c r="K161" s="92" t="e">
        <f t="shared" si="17"/>
        <v>#NUM!</v>
      </c>
      <c r="L161" s="92"/>
      <c r="M161" s="94">
        <f t="shared" si="18"/>
        <v>0</v>
      </c>
      <c r="N161" s="94">
        <f t="shared" si="19"/>
        <v>0</v>
      </c>
      <c r="O161" s="74"/>
      <c r="P161" s="74"/>
      <c r="Q161" s="74"/>
      <c r="R161" s="74"/>
      <c r="S161" s="74"/>
    </row>
    <row r="162" spans="1:20" s="79" customFormat="1" x14ac:dyDescent="0.25">
      <c r="A162" s="87">
        <f t="shared" si="20"/>
        <v>0</v>
      </c>
      <c r="B162" s="34" t="str">
        <f t="shared" si="15"/>
        <v/>
      </c>
      <c r="C162" s="35"/>
      <c r="D162" s="35"/>
      <c r="E162" s="35"/>
      <c r="F162" s="35"/>
      <c r="G162" s="74"/>
      <c r="H162" s="88">
        <v>157</v>
      </c>
      <c r="I162" s="89" t="str">
        <f t="shared" si="16"/>
        <v/>
      </c>
      <c r="J162" s="88" t="e">
        <f t="shared" si="21"/>
        <v>#NUM!</v>
      </c>
      <c r="K162" s="88" t="e">
        <f t="shared" si="17"/>
        <v>#NUM!</v>
      </c>
      <c r="L162" s="88"/>
      <c r="M162" s="90">
        <f t="shared" si="18"/>
        <v>0</v>
      </c>
      <c r="N162" s="90">
        <f t="shared" si="19"/>
        <v>0</v>
      </c>
      <c r="O162" s="74"/>
      <c r="P162" s="74"/>
      <c r="Q162" s="74"/>
      <c r="R162" s="74"/>
      <c r="S162" s="102"/>
      <c r="T162" s="103"/>
    </row>
    <row r="163" spans="1:20" s="79" customFormat="1" x14ac:dyDescent="0.25">
      <c r="A163" s="91">
        <f t="shared" si="20"/>
        <v>0</v>
      </c>
      <c r="B163" s="40" t="str">
        <f t="shared" si="15"/>
        <v/>
      </c>
      <c r="C163" s="41"/>
      <c r="D163" s="41"/>
      <c r="E163" s="41"/>
      <c r="F163" s="41"/>
      <c r="G163" s="74"/>
      <c r="H163" s="92">
        <v>158</v>
      </c>
      <c r="I163" s="93" t="str">
        <f t="shared" si="16"/>
        <v/>
      </c>
      <c r="J163" s="92" t="e">
        <f t="shared" si="21"/>
        <v>#NUM!</v>
      </c>
      <c r="K163" s="92" t="e">
        <f t="shared" si="17"/>
        <v>#NUM!</v>
      </c>
      <c r="L163" s="92"/>
      <c r="M163" s="94">
        <f t="shared" si="18"/>
        <v>0</v>
      </c>
      <c r="N163" s="94">
        <f t="shared" si="19"/>
        <v>0</v>
      </c>
      <c r="O163" s="74"/>
      <c r="P163" s="74"/>
      <c r="Q163" s="74"/>
      <c r="R163" s="74"/>
      <c r="S163" s="74"/>
    </row>
    <row r="164" spans="1:20" s="79" customFormat="1" x14ac:dyDescent="0.25">
      <c r="A164" s="87">
        <f t="shared" si="20"/>
        <v>0</v>
      </c>
      <c r="B164" s="34" t="str">
        <f t="shared" si="15"/>
        <v/>
      </c>
      <c r="C164" s="35"/>
      <c r="D164" s="35"/>
      <c r="E164" s="35"/>
      <c r="F164" s="35"/>
      <c r="G164" s="74"/>
      <c r="H164" s="88">
        <v>159</v>
      </c>
      <c r="I164" s="89" t="str">
        <f t="shared" si="16"/>
        <v/>
      </c>
      <c r="J164" s="88" t="e">
        <f t="shared" si="21"/>
        <v>#NUM!</v>
      </c>
      <c r="K164" s="88" t="e">
        <f t="shared" si="17"/>
        <v>#NUM!</v>
      </c>
      <c r="L164" s="88"/>
      <c r="M164" s="90">
        <f t="shared" si="18"/>
        <v>0</v>
      </c>
      <c r="N164" s="90">
        <f t="shared" si="19"/>
        <v>0</v>
      </c>
      <c r="O164" s="74"/>
      <c r="P164" s="74"/>
      <c r="Q164" s="74"/>
      <c r="R164" s="74"/>
      <c r="S164" s="102"/>
      <c r="T164" s="103"/>
    </row>
    <row r="165" spans="1:20" s="79" customFormat="1" x14ac:dyDescent="0.25">
      <c r="A165" s="91">
        <f t="shared" si="20"/>
        <v>0</v>
      </c>
      <c r="B165" s="40" t="str">
        <f t="shared" si="15"/>
        <v/>
      </c>
      <c r="C165" s="41"/>
      <c r="D165" s="41"/>
      <c r="E165" s="41"/>
      <c r="F165" s="41"/>
      <c r="G165" s="74"/>
      <c r="H165" s="92">
        <v>160</v>
      </c>
      <c r="I165" s="93" t="str">
        <f t="shared" si="16"/>
        <v/>
      </c>
      <c r="J165" s="92" t="e">
        <f t="shared" si="21"/>
        <v>#NUM!</v>
      </c>
      <c r="K165" s="92" t="e">
        <f t="shared" si="17"/>
        <v>#NUM!</v>
      </c>
      <c r="L165" s="92"/>
      <c r="M165" s="94">
        <f t="shared" si="18"/>
        <v>0</v>
      </c>
      <c r="N165" s="94">
        <f t="shared" si="19"/>
        <v>0</v>
      </c>
      <c r="O165" s="74"/>
      <c r="P165" s="74"/>
      <c r="Q165" s="74"/>
      <c r="R165" s="74"/>
      <c r="S165" s="74"/>
    </row>
    <row r="166" spans="1:20" s="79" customFormat="1" x14ac:dyDescent="0.25">
      <c r="A166" s="87">
        <f t="shared" si="20"/>
        <v>0</v>
      </c>
      <c r="B166" s="34" t="str">
        <f t="shared" si="15"/>
        <v/>
      </c>
      <c r="C166" s="35"/>
      <c r="D166" s="35"/>
      <c r="E166" s="35"/>
      <c r="F166" s="35"/>
      <c r="G166" s="74"/>
      <c r="H166" s="88">
        <v>161</v>
      </c>
      <c r="I166" s="89" t="str">
        <f t="shared" si="16"/>
        <v/>
      </c>
      <c r="J166" s="88" t="e">
        <f t="shared" si="21"/>
        <v>#NUM!</v>
      </c>
      <c r="K166" s="88" t="e">
        <f t="shared" si="17"/>
        <v>#NUM!</v>
      </c>
      <c r="L166" s="88"/>
      <c r="M166" s="90">
        <f t="shared" si="18"/>
        <v>0</v>
      </c>
      <c r="N166" s="90">
        <f t="shared" si="19"/>
        <v>0</v>
      </c>
      <c r="O166" s="74"/>
      <c r="P166" s="74"/>
      <c r="Q166" s="74"/>
      <c r="R166" s="74"/>
      <c r="S166" s="102"/>
      <c r="T166" s="103"/>
    </row>
    <row r="167" spans="1:20" s="79" customFormat="1" x14ac:dyDescent="0.25">
      <c r="A167" s="91">
        <f t="shared" si="20"/>
        <v>0</v>
      </c>
      <c r="B167" s="40" t="str">
        <f t="shared" si="15"/>
        <v/>
      </c>
      <c r="C167" s="41"/>
      <c r="D167" s="41"/>
      <c r="E167" s="41"/>
      <c r="F167" s="41"/>
      <c r="G167" s="74"/>
      <c r="H167" s="92">
        <v>162</v>
      </c>
      <c r="I167" s="93" t="str">
        <f t="shared" si="16"/>
        <v/>
      </c>
      <c r="J167" s="92" t="e">
        <f t="shared" si="21"/>
        <v>#NUM!</v>
      </c>
      <c r="K167" s="92" t="e">
        <f t="shared" si="17"/>
        <v>#NUM!</v>
      </c>
      <c r="L167" s="92"/>
      <c r="M167" s="94">
        <f t="shared" si="18"/>
        <v>0</v>
      </c>
      <c r="N167" s="94">
        <f t="shared" si="19"/>
        <v>0</v>
      </c>
      <c r="O167" s="74"/>
      <c r="P167" s="74"/>
      <c r="Q167" s="74"/>
      <c r="R167" s="74"/>
      <c r="S167" s="74"/>
    </row>
    <row r="168" spans="1:20" s="79" customFormat="1" x14ac:dyDescent="0.25">
      <c r="A168" s="87">
        <f t="shared" si="20"/>
        <v>0</v>
      </c>
      <c r="B168" s="34" t="str">
        <f t="shared" si="15"/>
        <v/>
      </c>
      <c r="C168" s="35"/>
      <c r="D168" s="35"/>
      <c r="E168" s="35"/>
      <c r="F168" s="35"/>
      <c r="G168" s="74"/>
      <c r="H168" s="88">
        <v>163</v>
      </c>
      <c r="I168" s="89" t="str">
        <f t="shared" si="16"/>
        <v/>
      </c>
      <c r="J168" s="88" t="e">
        <f t="shared" si="21"/>
        <v>#NUM!</v>
      </c>
      <c r="K168" s="88" t="e">
        <f t="shared" si="17"/>
        <v>#NUM!</v>
      </c>
      <c r="L168" s="88"/>
      <c r="M168" s="90">
        <f t="shared" si="18"/>
        <v>0</v>
      </c>
      <c r="N168" s="90">
        <f t="shared" si="19"/>
        <v>0</v>
      </c>
      <c r="O168" s="74"/>
      <c r="P168" s="74"/>
      <c r="Q168" s="74"/>
      <c r="R168" s="74"/>
      <c r="S168" s="102"/>
      <c r="T168" s="103"/>
    </row>
    <row r="169" spans="1:20" s="79" customFormat="1" x14ac:dyDescent="0.25">
      <c r="A169" s="91">
        <f t="shared" si="20"/>
        <v>0</v>
      </c>
      <c r="B169" s="40" t="str">
        <f t="shared" si="15"/>
        <v/>
      </c>
      <c r="C169" s="41"/>
      <c r="D169" s="41"/>
      <c r="E169" s="41"/>
      <c r="F169" s="41"/>
      <c r="G169" s="74"/>
      <c r="H169" s="92">
        <v>164</v>
      </c>
      <c r="I169" s="93" t="str">
        <f t="shared" si="16"/>
        <v/>
      </c>
      <c r="J169" s="92" t="e">
        <f t="shared" si="21"/>
        <v>#NUM!</v>
      </c>
      <c r="K169" s="92" t="e">
        <f t="shared" si="17"/>
        <v>#NUM!</v>
      </c>
      <c r="L169" s="92"/>
      <c r="M169" s="94">
        <f t="shared" si="18"/>
        <v>0</v>
      </c>
      <c r="N169" s="94">
        <f t="shared" si="19"/>
        <v>0</v>
      </c>
      <c r="O169" s="74"/>
      <c r="P169" s="74"/>
      <c r="Q169" s="74"/>
      <c r="R169" s="74"/>
      <c r="S169" s="74"/>
    </row>
    <row r="170" spans="1:20" s="79" customFormat="1" x14ac:dyDescent="0.25">
      <c r="A170" s="87">
        <f t="shared" si="20"/>
        <v>0</v>
      </c>
      <c r="B170" s="34" t="str">
        <f t="shared" si="15"/>
        <v/>
      </c>
      <c r="C170" s="35"/>
      <c r="D170" s="35"/>
      <c r="E170" s="35"/>
      <c r="F170" s="35"/>
      <c r="G170" s="74"/>
      <c r="H170" s="88">
        <v>165</v>
      </c>
      <c r="I170" s="89" t="str">
        <f t="shared" si="16"/>
        <v/>
      </c>
      <c r="J170" s="88" t="e">
        <f t="shared" si="21"/>
        <v>#NUM!</v>
      </c>
      <c r="K170" s="88" t="e">
        <f t="shared" si="17"/>
        <v>#NUM!</v>
      </c>
      <c r="L170" s="88"/>
      <c r="M170" s="90">
        <f t="shared" si="18"/>
        <v>0</v>
      </c>
      <c r="N170" s="90">
        <f t="shared" si="19"/>
        <v>0</v>
      </c>
      <c r="O170" s="74"/>
      <c r="P170" s="74"/>
      <c r="Q170" s="74"/>
      <c r="R170" s="74"/>
      <c r="S170" s="102"/>
      <c r="T170" s="103"/>
    </row>
    <row r="171" spans="1:20" s="79" customFormat="1" x14ac:dyDescent="0.25">
      <c r="A171" s="91">
        <f t="shared" si="20"/>
        <v>0</v>
      </c>
      <c r="B171" s="40" t="str">
        <f t="shared" si="15"/>
        <v/>
      </c>
      <c r="C171" s="41"/>
      <c r="D171" s="41"/>
      <c r="E171" s="41"/>
      <c r="F171" s="41"/>
      <c r="G171" s="74"/>
      <c r="H171" s="92">
        <v>166</v>
      </c>
      <c r="I171" s="93" t="str">
        <f t="shared" si="16"/>
        <v/>
      </c>
      <c r="J171" s="92" t="e">
        <f t="shared" si="21"/>
        <v>#NUM!</v>
      </c>
      <c r="K171" s="92" t="e">
        <f t="shared" si="17"/>
        <v>#NUM!</v>
      </c>
      <c r="L171" s="92"/>
      <c r="M171" s="94">
        <f t="shared" si="18"/>
        <v>0</v>
      </c>
      <c r="N171" s="94">
        <f t="shared" si="19"/>
        <v>0</v>
      </c>
      <c r="O171" s="74"/>
      <c r="P171" s="74"/>
      <c r="Q171" s="74"/>
      <c r="R171" s="74"/>
      <c r="S171" s="74"/>
    </row>
    <row r="172" spans="1:20" s="79" customFormat="1" x14ac:dyDescent="0.25">
      <c r="A172" s="87">
        <f t="shared" si="20"/>
        <v>0</v>
      </c>
      <c r="B172" s="34" t="str">
        <f t="shared" si="15"/>
        <v/>
      </c>
      <c r="C172" s="35"/>
      <c r="D172" s="35"/>
      <c r="E172" s="35"/>
      <c r="F172" s="35"/>
      <c r="G172" s="74"/>
      <c r="H172" s="88">
        <v>167</v>
      </c>
      <c r="I172" s="89" t="str">
        <f t="shared" si="16"/>
        <v/>
      </c>
      <c r="J172" s="88" t="e">
        <f t="shared" si="21"/>
        <v>#NUM!</v>
      </c>
      <c r="K172" s="88" t="e">
        <f t="shared" si="17"/>
        <v>#NUM!</v>
      </c>
      <c r="L172" s="88"/>
      <c r="M172" s="90">
        <f t="shared" si="18"/>
        <v>0</v>
      </c>
      <c r="N172" s="90">
        <f t="shared" si="19"/>
        <v>0</v>
      </c>
      <c r="O172" s="74"/>
      <c r="P172" s="74"/>
      <c r="Q172" s="74"/>
      <c r="R172" s="74"/>
      <c r="S172" s="102"/>
      <c r="T172" s="103"/>
    </row>
    <row r="173" spans="1:20" s="79" customFormat="1" x14ac:dyDescent="0.25">
      <c r="A173" s="91">
        <f t="shared" si="20"/>
        <v>0</v>
      </c>
      <c r="B173" s="40" t="str">
        <f t="shared" si="15"/>
        <v/>
      </c>
      <c r="C173" s="41"/>
      <c r="D173" s="41"/>
      <c r="E173" s="41"/>
      <c r="F173" s="41"/>
      <c r="G173" s="74"/>
      <c r="H173" s="92">
        <v>168</v>
      </c>
      <c r="I173" s="93" t="str">
        <f t="shared" si="16"/>
        <v/>
      </c>
      <c r="J173" s="92" t="e">
        <f t="shared" si="21"/>
        <v>#NUM!</v>
      </c>
      <c r="K173" s="92" t="e">
        <f t="shared" si="17"/>
        <v>#NUM!</v>
      </c>
      <c r="L173" s="92"/>
      <c r="M173" s="94">
        <f t="shared" si="18"/>
        <v>0</v>
      </c>
      <c r="N173" s="94">
        <f t="shared" si="19"/>
        <v>0</v>
      </c>
      <c r="O173" s="74"/>
      <c r="P173" s="74"/>
      <c r="Q173" s="74"/>
      <c r="R173" s="74"/>
      <c r="S173" s="74"/>
    </row>
    <row r="174" spans="1:20" s="79" customFormat="1" x14ac:dyDescent="0.25">
      <c r="A174" s="87">
        <f t="shared" si="20"/>
        <v>0</v>
      </c>
      <c r="B174" s="34" t="str">
        <f t="shared" si="15"/>
        <v/>
      </c>
      <c r="C174" s="35"/>
      <c r="D174" s="35"/>
      <c r="E174" s="35"/>
      <c r="F174" s="35"/>
      <c r="G174" s="74"/>
      <c r="H174" s="88">
        <v>169</v>
      </c>
      <c r="I174" s="89" t="str">
        <f t="shared" si="16"/>
        <v/>
      </c>
      <c r="J174" s="88" t="e">
        <f t="shared" si="21"/>
        <v>#NUM!</v>
      </c>
      <c r="K174" s="88" t="e">
        <f t="shared" si="17"/>
        <v>#NUM!</v>
      </c>
      <c r="L174" s="88"/>
      <c r="M174" s="90">
        <f t="shared" si="18"/>
        <v>0</v>
      </c>
      <c r="N174" s="90">
        <f t="shared" si="19"/>
        <v>0</v>
      </c>
      <c r="O174" s="74"/>
      <c r="P174" s="74"/>
      <c r="Q174" s="74"/>
      <c r="R174" s="74"/>
      <c r="S174" s="102"/>
      <c r="T174" s="103"/>
    </row>
    <row r="175" spans="1:20" s="79" customFormat="1" x14ac:dyDescent="0.25">
      <c r="A175" s="91">
        <f t="shared" si="20"/>
        <v>0</v>
      </c>
      <c r="B175" s="40" t="str">
        <f t="shared" si="15"/>
        <v/>
      </c>
      <c r="C175" s="41"/>
      <c r="D175" s="41"/>
      <c r="E175" s="41"/>
      <c r="F175" s="41"/>
      <c r="G175" s="74"/>
      <c r="H175" s="92">
        <v>170</v>
      </c>
      <c r="I175" s="93" t="str">
        <f t="shared" si="16"/>
        <v/>
      </c>
      <c r="J175" s="92" t="e">
        <f t="shared" si="21"/>
        <v>#NUM!</v>
      </c>
      <c r="K175" s="92" t="e">
        <f t="shared" si="17"/>
        <v>#NUM!</v>
      </c>
      <c r="L175" s="92"/>
      <c r="M175" s="94">
        <f t="shared" si="18"/>
        <v>0</v>
      </c>
      <c r="N175" s="94">
        <f t="shared" si="19"/>
        <v>0</v>
      </c>
      <c r="O175" s="74"/>
      <c r="P175" s="74"/>
      <c r="Q175" s="74"/>
      <c r="R175" s="74"/>
      <c r="S175" s="74"/>
    </row>
    <row r="176" spans="1:20" s="79" customFormat="1" x14ac:dyDescent="0.25">
      <c r="A176" s="87">
        <f t="shared" si="20"/>
        <v>0</v>
      </c>
      <c r="B176" s="34" t="str">
        <f t="shared" si="15"/>
        <v/>
      </c>
      <c r="C176" s="35"/>
      <c r="D176" s="35"/>
      <c r="E176" s="35"/>
      <c r="F176" s="35"/>
      <c r="G176" s="74"/>
      <c r="H176" s="88">
        <v>171</v>
      </c>
      <c r="I176" s="89" t="str">
        <f t="shared" si="16"/>
        <v/>
      </c>
      <c r="J176" s="88" t="e">
        <f t="shared" si="21"/>
        <v>#NUM!</v>
      </c>
      <c r="K176" s="88" t="e">
        <f t="shared" si="17"/>
        <v>#NUM!</v>
      </c>
      <c r="L176" s="88"/>
      <c r="M176" s="90">
        <f t="shared" si="18"/>
        <v>0</v>
      </c>
      <c r="N176" s="90">
        <f t="shared" si="19"/>
        <v>0</v>
      </c>
      <c r="O176" s="74"/>
      <c r="P176" s="74"/>
      <c r="Q176" s="74"/>
      <c r="R176" s="74"/>
      <c r="S176" s="102"/>
      <c r="T176" s="103"/>
    </row>
    <row r="177" spans="1:20" s="79" customFormat="1" x14ac:dyDescent="0.25">
      <c r="A177" s="91">
        <f t="shared" si="20"/>
        <v>0</v>
      </c>
      <c r="B177" s="40" t="str">
        <f t="shared" si="15"/>
        <v/>
      </c>
      <c r="C177" s="41"/>
      <c r="D177" s="41"/>
      <c r="E177" s="41"/>
      <c r="F177" s="41"/>
      <c r="G177" s="74"/>
      <c r="H177" s="92">
        <v>172</v>
      </c>
      <c r="I177" s="93" t="str">
        <f t="shared" si="16"/>
        <v/>
      </c>
      <c r="J177" s="92" t="e">
        <f t="shared" si="21"/>
        <v>#NUM!</v>
      </c>
      <c r="K177" s="92" t="e">
        <f t="shared" si="17"/>
        <v>#NUM!</v>
      </c>
      <c r="L177" s="92"/>
      <c r="M177" s="94">
        <f t="shared" si="18"/>
        <v>0</v>
      </c>
      <c r="N177" s="94">
        <f t="shared" si="19"/>
        <v>0</v>
      </c>
      <c r="O177" s="74"/>
      <c r="P177" s="74"/>
      <c r="Q177" s="74"/>
      <c r="R177" s="74"/>
      <c r="S177" s="74"/>
    </row>
    <row r="178" spans="1:20" s="79" customFormat="1" x14ac:dyDescent="0.25">
      <c r="A178" s="87">
        <f t="shared" si="20"/>
        <v>0</v>
      </c>
      <c r="B178" s="34" t="str">
        <f t="shared" si="15"/>
        <v/>
      </c>
      <c r="C178" s="35"/>
      <c r="D178" s="35"/>
      <c r="E178" s="35"/>
      <c r="F178" s="35"/>
      <c r="G178" s="74"/>
      <c r="H178" s="88">
        <v>173</v>
      </c>
      <c r="I178" s="89" t="str">
        <f t="shared" si="16"/>
        <v/>
      </c>
      <c r="J178" s="88" t="e">
        <f t="shared" si="21"/>
        <v>#NUM!</v>
      </c>
      <c r="K178" s="88" t="e">
        <f t="shared" si="17"/>
        <v>#NUM!</v>
      </c>
      <c r="L178" s="88"/>
      <c r="M178" s="90">
        <f t="shared" si="18"/>
        <v>0</v>
      </c>
      <c r="N178" s="90">
        <f t="shared" si="19"/>
        <v>0</v>
      </c>
      <c r="O178" s="74"/>
      <c r="P178" s="74"/>
      <c r="Q178" s="74"/>
      <c r="R178" s="74"/>
      <c r="S178" s="102"/>
      <c r="T178" s="103"/>
    </row>
    <row r="179" spans="1:20" s="79" customFormat="1" x14ac:dyDescent="0.25">
      <c r="A179" s="91">
        <f t="shared" si="20"/>
        <v>0</v>
      </c>
      <c r="B179" s="40" t="str">
        <f t="shared" si="15"/>
        <v/>
      </c>
      <c r="C179" s="41"/>
      <c r="D179" s="41"/>
      <c r="E179" s="41"/>
      <c r="F179" s="41"/>
      <c r="G179" s="74"/>
      <c r="H179" s="92">
        <v>174</v>
      </c>
      <c r="I179" s="93" t="str">
        <f t="shared" si="16"/>
        <v/>
      </c>
      <c r="J179" s="92" t="e">
        <f t="shared" si="21"/>
        <v>#NUM!</v>
      </c>
      <c r="K179" s="92" t="e">
        <f t="shared" si="17"/>
        <v>#NUM!</v>
      </c>
      <c r="L179" s="92"/>
      <c r="M179" s="94">
        <f t="shared" si="18"/>
        <v>0</v>
      </c>
      <c r="N179" s="94">
        <f t="shared" si="19"/>
        <v>0</v>
      </c>
      <c r="O179" s="74"/>
      <c r="P179" s="74"/>
      <c r="Q179" s="74"/>
      <c r="R179" s="74"/>
      <c r="S179" s="74"/>
    </row>
    <row r="180" spans="1:20" s="79" customFormat="1" x14ac:dyDescent="0.25">
      <c r="A180" s="87">
        <f t="shared" si="20"/>
        <v>0</v>
      </c>
      <c r="B180" s="34" t="str">
        <f t="shared" si="15"/>
        <v/>
      </c>
      <c r="C180" s="35"/>
      <c r="D180" s="35"/>
      <c r="E180" s="35"/>
      <c r="F180" s="35"/>
      <c r="G180" s="74"/>
      <c r="H180" s="88">
        <v>175</v>
      </c>
      <c r="I180" s="89" t="str">
        <f t="shared" si="16"/>
        <v/>
      </c>
      <c r="J180" s="88" t="e">
        <f t="shared" si="21"/>
        <v>#NUM!</v>
      </c>
      <c r="K180" s="88" t="e">
        <f t="shared" si="17"/>
        <v>#NUM!</v>
      </c>
      <c r="L180" s="88"/>
      <c r="M180" s="90">
        <f t="shared" si="18"/>
        <v>0</v>
      </c>
      <c r="N180" s="90">
        <f t="shared" si="19"/>
        <v>0</v>
      </c>
      <c r="O180" s="74"/>
      <c r="P180" s="74"/>
      <c r="Q180" s="74"/>
      <c r="R180" s="74"/>
      <c r="S180" s="102"/>
      <c r="T180" s="103"/>
    </row>
    <row r="181" spans="1:20" s="79" customFormat="1" x14ac:dyDescent="0.25">
      <c r="A181" s="91">
        <f t="shared" si="20"/>
        <v>0</v>
      </c>
      <c r="B181" s="40" t="str">
        <f t="shared" si="15"/>
        <v/>
      </c>
      <c r="C181" s="41"/>
      <c r="D181" s="41"/>
      <c r="E181" s="41"/>
      <c r="F181" s="41"/>
      <c r="G181" s="74"/>
      <c r="H181" s="92">
        <v>176</v>
      </c>
      <c r="I181" s="93" t="str">
        <f t="shared" si="16"/>
        <v/>
      </c>
      <c r="J181" s="92" t="e">
        <f t="shared" si="21"/>
        <v>#NUM!</v>
      </c>
      <c r="K181" s="92" t="e">
        <f t="shared" si="17"/>
        <v>#NUM!</v>
      </c>
      <c r="L181" s="92"/>
      <c r="M181" s="94">
        <f t="shared" si="18"/>
        <v>0</v>
      </c>
      <c r="N181" s="94">
        <f t="shared" si="19"/>
        <v>0</v>
      </c>
      <c r="O181" s="74"/>
      <c r="P181" s="74"/>
      <c r="Q181" s="74"/>
      <c r="R181" s="74"/>
      <c r="S181" s="74"/>
    </row>
    <row r="182" spans="1:20" s="79" customFormat="1" x14ac:dyDescent="0.25">
      <c r="A182" s="87">
        <f t="shared" si="20"/>
        <v>0</v>
      </c>
      <c r="B182" s="34" t="str">
        <f t="shared" si="15"/>
        <v/>
      </c>
      <c r="C182" s="35"/>
      <c r="D182" s="35"/>
      <c r="E182" s="35"/>
      <c r="F182" s="35"/>
      <c r="G182" s="74"/>
      <c r="H182" s="88">
        <v>177</v>
      </c>
      <c r="I182" s="89" t="str">
        <f t="shared" si="16"/>
        <v/>
      </c>
      <c r="J182" s="88" t="e">
        <f t="shared" si="21"/>
        <v>#NUM!</v>
      </c>
      <c r="K182" s="88" t="e">
        <f t="shared" si="17"/>
        <v>#NUM!</v>
      </c>
      <c r="L182" s="88"/>
      <c r="M182" s="90">
        <f t="shared" si="18"/>
        <v>0</v>
      </c>
      <c r="N182" s="90">
        <f t="shared" si="19"/>
        <v>0</v>
      </c>
      <c r="O182" s="74"/>
      <c r="P182" s="74"/>
      <c r="Q182" s="74"/>
      <c r="R182" s="74"/>
      <c r="S182" s="102"/>
      <c r="T182" s="103"/>
    </row>
    <row r="183" spans="1:20" s="79" customFormat="1" x14ac:dyDescent="0.25">
      <c r="A183" s="91">
        <f t="shared" si="20"/>
        <v>0</v>
      </c>
      <c r="B183" s="40" t="str">
        <f t="shared" si="15"/>
        <v/>
      </c>
      <c r="C183" s="41"/>
      <c r="D183" s="41"/>
      <c r="E183" s="41"/>
      <c r="F183" s="41"/>
      <c r="G183" s="74"/>
      <c r="H183" s="92">
        <v>178</v>
      </c>
      <c r="I183" s="93" t="str">
        <f t="shared" si="16"/>
        <v/>
      </c>
      <c r="J183" s="92" t="e">
        <f t="shared" si="21"/>
        <v>#NUM!</v>
      </c>
      <c r="K183" s="92" t="e">
        <f t="shared" si="17"/>
        <v>#NUM!</v>
      </c>
      <c r="L183" s="92"/>
      <c r="M183" s="94">
        <f t="shared" si="18"/>
        <v>0</v>
      </c>
      <c r="N183" s="94">
        <f t="shared" si="19"/>
        <v>0</v>
      </c>
      <c r="O183" s="74"/>
      <c r="P183" s="74"/>
      <c r="Q183" s="74"/>
      <c r="R183" s="74"/>
      <c r="S183" s="74"/>
    </row>
    <row r="184" spans="1:20" s="79" customFormat="1" x14ac:dyDescent="0.25">
      <c r="A184" s="87">
        <f t="shared" si="20"/>
        <v>0</v>
      </c>
      <c r="B184" s="34" t="str">
        <f t="shared" si="15"/>
        <v/>
      </c>
      <c r="C184" s="35"/>
      <c r="D184" s="35"/>
      <c r="E184" s="35"/>
      <c r="F184" s="35"/>
      <c r="G184" s="74"/>
      <c r="H184" s="88">
        <v>179</v>
      </c>
      <c r="I184" s="89" t="str">
        <f t="shared" si="16"/>
        <v/>
      </c>
      <c r="J184" s="88" t="e">
        <f t="shared" si="21"/>
        <v>#NUM!</v>
      </c>
      <c r="K184" s="88" t="e">
        <f t="shared" si="17"/>
        <v>#NUM!</v>
      </c>
      <c r="L184" s="88"/>
      <c r="M184" s="90">
        <f t="shared" si="18"/>
        <v>0</v>
      </c>
      <c r="N184" s="90">
        <f t="shared" si="19"/>
        <v>0</v>
      </c>
      <c r="O184" s="74"/>
      <c r="P184" s="74"/>
      <c r="Q184" s="74"/>
      <c r="R184" s="74"/>
      <c r="S184" s="102"/>
      <c r="T184" s="103"/>
    </row>
    <row r="185" spans="1:20" s="79" customFormat="1" x14ac:dyDescent="0.25">
      <c r="A185" s="91">
        <f t="shared" si="20"/>
        <v>0</v>
      </c>
      <c r="B185" s="40" t="str">
        <f t="shared" si="15"/>
        <v/>
      </c>
      <c r="C185" s="41"/>
      <c r="D185" s="41"/>
      <c r="E185" s="41"/>
      <c r="F185" s="41"/>
      <c r="G185" s="74"/>
      <c r="H185" s="92">
        <v>180</v>
      </c>
      <c r="I185" s="93" t="str">
        <f t="shared" si="16"/>
        <v/>
      </c>
      <c r="J185" s="92" t="e">
        <f t="shared" si="21"/>
        <v>#NUM!</v>
      </c>
      <c r="K185" s="92" t="e">
        <f t="shared" si="17"/>
        <v>#NUM!</v>
      </c>
      <c r="L185" s="92"/>
      <c r="M185" s="94">
        <f t="shared" si="18"/>
        <v>0</v>
      </c>
      <c r="N185" s="94">
        <f t="shared" si="19"/>
        <v>0</v>
      </c>
      <c r="O185" s="74"/>
      <c r="P185" s="74"/>
      <c r="Q185" s="74"/>
      <c r="R185" s="74"/>
      <c r="S185" s="74"/>
    </row>
    <row r="186" spans="1:20" s="79" customFormat="1" x14ac:dyDescent="0.25">
      <c r="A186" s="87">
        <f t="shared" si="20"/>
        <v>0</v>
      </c>
      <c r="B186" s="34" t="str">
        <f t="shared" si="15"/>
        <v/>
      </c>
      <c r="C186" s="35"/>
      <c r="D186" s="35"/>
      <c r="E186" s="35"/>
      <c r="F186" s="35"/>
      <c r="G186" s="74"/>
      <c r="H186" s="88">
        <v>181</v>
      </c>
      <c r="I186" s="89" t="str">
        <f t="shared" si="16"/>
        <v/>
      </c>
      <c r="J186" s="88" t="e">
        <f t="shared" si="21"/>
        <v>#NUM!</v>
      </c>
      <c r="K186" s="88" t="e">
        <f t="shared" si="17"/>
        <v>#NUM!</v>
      </c>
      <c r="L186" s="88"/>
      <c r="M186" s="90">
        <f t="shared" si="18"/>
        <v>0</v>
      </c>
      <c r="N186" s="90">
        <f t="shared" si="19"/>
        <v>0</v>
      </c>
      <c r="O186" s="74"/>
      <c r="P186" s="74"/>
      <c r="Q186" s="74"/>
      <c r="R186" s="74"/>
      <c r="S186" s="102"/>
      <c r="T186" s="103"/>
    </row>
    <row r="187" spans="1:20" s="79" customFormat="1" x14ac:dyDescent="0.25">
      <c r="A187" s="91">
        <f t="shared" si="20"/>
        <v>0</v>
      </c>
      <c r="B187" s="40" t="str">
        <f t="shared" si="15"/>
        <v/>
      </c>
      <c r="C187" s="41"/>
      <c r="D187" s="41"/>
      <c r="E187" s="41"/>
      <c r="F187" s="41"/>
      <c r="G187" s="74"/>
      <c r="H187" s="92">
        <v>182</v>
      </c>
      <c r="I187" s="93" t="str">
        <f t="shared" si="16"/>
        <v/>
      </c>
      <c r="J187" s="92" t="e">
        <f t="shared" si="21"/>
        <v>#NUM!</v>
      </c>
      <c r="K187" s="92" t="e">
        <f t="shared" si="17"/>
        <v>#NUM!</v>
      </c>
      <c r="L187" s="92"/>
      <c r="M187" s="94">
        <f t="shared" si="18"/>
        <v>0</v>
      </c>
      <c r="N187" s="94">
        <f t="shared" si="19"/>
        <v>0</v>
      </c>
      <c r="O187" s="74"/>
      <c r="P187" s="74"/>
      <c r="Q187" s="74"/>
      <c r="R187" s="74"/>
      <c r="S187" s="74"/>
    </row>
    <row r="188" spans="1:20" s="79" customFormat="1" x14ac:dyDescent="0.25">
      <c r="A188" s="87">
        <f t="shared" si="20"/>
        <v>0</v>
      </c>
      <c r="B188" s="34" t="str">
        <f t="shared" si="15"/>
        <v/>
      </c>
      <c r="C188" s="35"/>
      <c r="D188" s="35"/>
      <c r="E188" s="35"/>
      <c r="F188" s="35"/>
      <c r="G188" s="74"/>
      <c r="H188" s="88">
        <v>183</v>
      </c>
      <c r="I188" s="89" t="str">
        <f t="shared" si="16"/>
        <v/>
      </c>
      <c r="J188" s="88" t="e">
        <f t="shared" si="21"/>
        <v>#NUM!</v>
      </c>
      <c r="K188" s="88" t="e">
        <f t="shared" si="17"/>
        <v>#NUM!</v>
      </c>
      <c r="L188" s="88"/>
      <c r="M188" s="90">
        <f t="shared" si="18"/>
        <v>0</v>
      </c>
      <c r="N188" s="90">
        <f t="shared" si="19"/>
        <v>0</v>
      </c>
      <c r="O188" s="74"/>
      <c r="P188" s="74"/>
      <c r="Q188" s="74"/>
      <c r="R188" s="74"/>
      <c r="S188" s="102"/>
      <c r="T188" s="103"/>
    </row>
    <row r="189" spans="1:20" s="79" customFormat="1" x14ac:dyDescent="0.25">
      <c r="A189" s="91">
        <f t="shared" si="20"/>
        <v>0</v>
      </c>
      <c r="B189" s="40" t="str">
        <f t="shared" si="15"/>
        <v/>
      </c>
      <c r="C189" s="41"/>
      <c r="D189" s="41"/>
      <c r="E189" s="41"/>
      <c r="F189" s="41"/>
      <c r="G189" s="74"/>
      <c r="H189" s="92">
        <v>184</v>
      </c>
      <c r="I189" s="93" t="str">
        <f t="shared" si="16"/>
        <v/>
      </c>
      <c r="J189" s="92" t="e">
        <f t="shared" si="21"/>
        <v>#NUM!</v>
      </c>
      <c r="K189" s="92" t="e">
        <f t="shared" si="17"/>
        <v>#NUM!</v>
      </c>
      <c r="L189" s="92"/>
      <c r="M189" s="94">
        <f t="shared" si="18"/>
        <v>0</v>
      </c>
      <c r="N189" s="94">
        <f t="shared" si="19"/>
        <v>0</v>
      </c>
      <c r="O189" s="74"/>
      <c r="P189" s="74"/>
      <c r="Q189" s="74"/>
      <c r="R189" s="74"/>
      <c r="S189" s="74"/>
    </row>
    <row r="190" spans="1:20" s="79" customFormat="1" x14ac:dyDescent="0.25">
      <c r="A190" s="87">
        <f t="shared" si="20"/>
        <v>0</v>
      </c>
      <c r="B190" s="34" t="str">
        <f t="shared" si="15"/>
        <v/>
      </c>
      <c r="C190" s="35"/>
      <c r="D190" s="35"/>
      <c r="E190" s="35"/>
      <c r="F190" s="35"/>
      <c r="G190" s="74"/>
      <c r="H190" s="88">
        <v>185</v>
      </c>
      <c r="I190" s="89" t="str">
        <f t="shared" si="16"/>
        <v/>
      </c>
      <c r="J190" s="88" t="e">
        <f t="shared" si="21"/>
        <v>#NUM!</v>
      </c>
      <c r="K190" s="88" t="e">
        <f t="shared" si="17"/>
        <v>#NUM!</v>
      </c>
      <c r="L190" s="88"/>
      <c r="M190" s="90">
        <f t="shared" si="18"/>
        <v>0</v>
      </c>
      <c r="N190" s="90">
        <f t="shared" si="19"/>
        <v>0</v>
      </c>
      <c r="O190" s="74"/>
      <c r="P190" s="74"/>
      <c r="Q190" s="74"/>
      <c r="R190" s="74"/>
      <c r="S190" s="102"/>
      <c r="T190" s="103"/>
    </row>
    <row r="191" spans="1:20" s="79" customFormat="1" x14ac:dyDescent="0.25">
      <c r="A191" s="91">
        <f t="shared" si="20"/>
        <v>0</v>
      </c>
      <c r="B191" s="40" t="str">
        <f t="shared" si="15"/>
        <v/>
      </c>
      <c r="C191" s="41"/>
      <c r="D191" s="41"/>
      <c r="E191" s="41"/>
      <c r="F191" s="41"/>
      <c r="G191" s="74"/>
      <c r="H191" s="92">
        <v>186</v>
      </c>
      <c r="I191" s="93" t="str">
        <f t="shared" si="16"/>
        <v/>
      </c>
      <c r="J191" s="92" t="e">
        <f t="shared" si="21"/>
        <v>#NUM!</v>
      </c>
      <c r="K191" s="92" t="e">
        <f t="shared" si="17"/>
        <v>#NUM!</v>
      </c>
      <c r="L191" s="92"/>
      <c r="M191" s="94">
        <f t="shared" si="18"/>
        <v>0</v>
      </c>
      <c r="N191" s="94">
        <f t="shared" si="19"/>
        <v>0</v>
      </c>
      <c r="O191" s="74"/>
      <c r="P191" s="74"/>
      <c r="Q191" s="74"/>
      <c r="R191" s="74"/>
      <c r="S191" s="74"/>
    </row>
    <row r="192" spans="1:20" s="79" customFormat="1" x14ac:dyDescent="0.25">
      <c r="A192" s="87">
        <f t="shared" si="20"/>
        <v>0</v>
      </c>
      <c r="B192" s="34" t="str">
        <f t="shared" si="15"/>
        <v/>
      </c>
      <c r="C192" s="35"/>
      <c r="D192" s="35"/>
      <c r="E192" s="35"/>
      <c r="F192" s="35"/>
      <c r="G192" s="74"/>
      <c r="H192" s="88">
        <v>187</v>
      </c>
      <c r="I192" s="89" t="str">
        <f t="shared" si="16"/>
        <v/>
      </c>
      <c r="J192" s="88" t="e">
        <f t="shared" si="21"/>
        <v>#NUM!</v>
      </c>
      <c r="K192" s="88" t="e">
        <f t="shared" si="17"/>
        <v>#NUM!</v>
      </c>
      <c r="L192" s="88"/>
      <c r="M192" s="90">
        <f t="shared" si="18"/>
        <v>0</v>
      </c>
      <c r="N192" s="90">
        <f t="shared" si="19"/>
        <v>0</v>
      </c>
      <c r="O192" s="74"/>
      <c r="P192" s="74"/>
      <c r="Q192" s="74"/>
      <c r="R192" s="74"/>
      <c r="S192" s="102"/>
      <c r="T192" s="103"/>
    </row>
    <row r="193" spans="1:20" s="79" customFormat="1" x14ac:dyDescent="0.25">
      <c r="A193" s="91">
        <f t="shared" si="20"/>
        <v>0</v>
      </c>
      <c r="B193" s="40" t="str">
        <f t="shared" si="15"/>
        <v/>
      </c>
      <c r="C193" s="41"/>
      <c r="D193" s="41"/>
      <c r="E193" s="41"/>
      <c r="F193" s="41"/>
      <c r="G193" s="74"/>
      <c r="H193" s="92">
        <v>188</v>
      </c>
      <c r="I193" s="93" t="str">
        <f t="shared" si="16"/>
        <v/>
      </c>
      <c r="J193" s="92" t="e">
        <f t="shared" si="21"/>
        <v>#NUM!</v>
      </c>
      <c r="K193" s="92" t="e">
        <f t="shared" si="17"/>
        <v>#NUM!</v>
      </c>
      <c r="L193" s="92"/>
      <c r="M193" s="94">
        <f t="shared" si="18"/>
        <v>0</v>
      </c>
      <c r="N193" s="94">
        <f t="shared" si="19"/>
        <v>0</v>
      </c>
      <c r="O193" s="74"/>
      <c r="P193" s="74"/>
      <c r="Q193" s="74"/>
      <c r="R193" s="74"/>
      <c r="S193" s="74"/>
    </row>
    <row r="194" spans="1:20" s="79" customFormat="1" x14ac:dyDescent="0.25">
      <c r="A194" s="87">
        <f t="shared" si="20"/>
        <v>0</v>
      </c>
      <c r="B194" s="34" t="str">
        <f t="shared" si="15"/>
        <v/>
      </c>
      <c r="C194" s="35"/>
      <c r="D194" s="35"/>
      <c r="E194" s="35"/>
      <c r="F194" s="35"/>
      <c r="G194" s="74"/>
      <c r="H194" s="88">
        <v>189</v>
      </c>
      <c r="I194" s="89" t="str">
        <f t="shared" si="16"/>
        <v/>
      </c>
      <c r="J194" s="88" t="e">
        <f t="shared" si="21"/>
        <v>#NUM!</v>
      </c>
      <c r="K194" s="88" t="e">
        <f t="shared" si="17"/>
        <v>#NUM!</v>
      </c>
      <c r="L194" s="88"/>
      <c r="M194" s="90">
        <f t="shared" si="18"/>
        <v>0</v>
      </c>
      <c r="N194" s="90">
        <f t="shared" si="19"/>
        <v>0</v>
      </c>
      <c r="O194" s="74"/>
      <c r="P194" s="74"/>
      <c r="Q194" s="74"/>
      <c r="R194" s="74"/>
      <c r="S194" s="102"/>
      <c r="T194" s="103"/>
    </row>
    <row r="195" spans="1:20" s="79" customFormat="1" x14ac:dyDescent="0.25">
      <c r="A195" s="91">
        <f t="shared" si="20"/>
        <v>0</v>
      </c>
      <c r="B195" s="40" t="str">
        <f t="shared" si="15"/>
        <v/>
      </c>
      <c r="C195" s="41"/>
      <c r="D195" s="41"/>
      <c r="E195" s="41"/>
      <c r="F195" s="41"/>
      <c r="G195" s="74"/>
      <c r="H195" s="92">
        <v>190</v>
      </c>
      <c r="I195" s="93" t="str">
        <f t="shared" si="16"/>
        <v/>
      </c>
      <c r="J195" s="92" t="e">
        <f t="shared" si="21"/>
        <v>#NUM!</v>
      </c>
      <c r="K195" s="92" t="e">
        <f t="shared" si="17"/>
        <v>#NUM!</v>
      </c>
      <c r="L195" s="92"/>
      <c r="M195" s="94">
        <f t="shared" si="18"/>
        <v>0</v>
      </c>
      <c r="N195" s="94">
        <f t="shared" si="19"/>
        <v>0</v>
      </c>
      <c r="O195" s="74"/>
      <c r="P195" s="74"/>
      <c r="Q195" s="74"/>
      <c r="R195" s="74"/>
      <c r="S195" s="74"/>
    </row>
    <row r="196" spans="1:20" s="79" customFormat="1" x14ac:dyDescent="0.25">
      <c r="A196" s="87">
        <f t="shared" si="20"/>
        <v>0</v>
      </c>
      <c r="B196" s="34" t="str">
        <f t="shared" si="15"/>
        <v/>
      </c>
      <c r="C196" s="35"/>
      <c r="D196" s="35"/>
      <c r="E196" s="35"/>
      <c r="F196" s="35"/>
      <c r="G196" s="74"/>
      <c r="H196" s="88">
        <v>191</v>
      </c>
      <c r="I196" s="89" t="str">
        <f t="shared" si="16"/>
        <v/>
      </c>
      <c r="J196" s="88" t="e">
        <f t="shared" si="21"/>
        <v>#NUM!</v>
      </c>
      <c r="K196" s="88" t="e">
        <f t="shared" si="17"/>
        <v>#NUM!</v>
      </c>
      <c r="L196" s="88"/>
      <c r="M196" s="90">
        <f t="shared" si="18"/>
        <v>0</v>
      </c>
      <c r="N196" s="90">
        <f t="shared" si="19"/>
        <v>0</v>
      </c>
      <c r="O196" s="74"/>
      <c r="P196" s="74"/>
      <c r="Q196" s="74"/>
      <c r="R196" s="74"/>
      <c r="S196" s="102"/>
      <c r="T196" s="103"/>
    </row>
    <row r="197" spans="1:20" s="79" customFormat="1" x14ac:dyDescent="0.25">
      <c r="A197" s="91">
        <f t="shared" si="20"/>
        <v>0</v>
      </c>
      <c r="B197" s="40" t="str">
        <f t="shared" si="15"/>
        <v/>
      </c>
      <c r="C197" s="41"/>
      <c r="D197" s="41"/>
      <c r="E197" s="41"/>
      <c r="F197" s="41"/>
      <c r="G197" s="74"/>
      <c r="H197" s="92">
        <v>192</v>
      </c>
      <c r="I197" s="93" t="str">
        <f t="shared" si="16"/>
        <v/>
      </c>
      <c r="J197" s="92" t="e">
        <f t="shared" si="21"/>
        <v>#NUM!</v>
      </c>
      <c r="K197" s="92" t="e">
        <f t="shared" si="17"/>
        <v>#NUM!</v>
      </c>
      <c r="L197" s="92"/>
      <c r="M197" s="94">
        <f t="shared" si="18"/>
        <v>0</v>
      </c>
      <c r="N197" s="94">
        <f t="shared" si="19"/>
        <v>0</v>
      </c>
      <c r="O197" s="74"/>
      <c r="P197" s="74"/>
      <c r="Q197" s="74"/>
      <c r="R197" s="74"/>
      <c r="S197" s="74"/>
    </row>
    <row r="198" spans="1:20" s="79" customFormat="1" x14ac:dyDescent="0.25">
      <c r="A198" s="87">
        <f t="shared" si="20"/>
        <v>0</v>
      </c>
      <c r="B198" s="34" t="str">
        <f t="shared" ref="B198:B250" si="22">IF(H198&gt;$H$2,"",(ROW()-5))</f>
        <v/>
      </c>
      <c r="C198" s="35"/>
      <c r="D198" s="35"/>
      <c r="E198" s="35"/>
      <c r="F198" s="35"/>
      <c r="G198" s="74"/>
      <c r="H198" s="88">
        <v>193</v>
      </c>
      <c r="I198" s="89" t="str">
        <f t="shared" ref="I198:I261" si="23">IF(H198&lt;$H$2+1,($I$2-($I$2-1)*(LOG(H198)/LOG($H$2))),"")</f>
        <v/>
      </c>
      <c r="J198" s="88" t="e">
        <f t="shared" si="21"/>
        <v>#NUM!</v>
      </c>
      <c r="K198" s="88" t="e">
        <f t="shared" ref="K198:K261" si="24">J198*$J$2</f>
        <v>#NUM!</v>
      </c>
      <c r="L198" s="88"/>
      <c r="M198" s="90">
        <f t="shared" ref="M198:M261" si="25">IF(I198&lt;&gt;"",K198+I198+L198,0)</f>
        <v>0</v>
      </c>
      <c r="N198" s="90">
        <f t="shared" ref="N198:N261" si="26">IF(I198&lt;&gt;"",M198*L$2,0)</f>
        <v>0</v>
      </c>
      <c r="O198" s="74"/>
      <c r="P198" s="74"/>
      <c r="Q198" s="74"/>
      <c r="R198" s="74"/>
      <c r="S198" s="102"/>
      <c r="T198" s="103"/>
    </row>
    <row r="199" spans="1:20" s="79" customFormat="1" x14ac:dyDescent="0.25">
      <c r="A199" s="91">
        <f t="shared" ref="A199:A262" si="27">N199</f>
        <v>0</v>
      </c>
      <c r="B199" s="40" t="str">
        <f t="shared" si="22"/>
        <v/>
      </c>
      <c r="C199" s="41"/>
      <c r="D199" s="41"/>
      <c r="E199" s="41"/>
      <c r="F199" s="41"/>
      <c r="G199" s="74"/>
      <c r="H199" s="92">
        <v>194</v>
      </c>
      <c r="I199" s="93" t="str">
        <f t="shared" si="23"/>
        <v/>
      </c>
      <c r="J199" s="92" t="e">
        <f t="shared" ref="J199:J262" si="28">INT(LOG($H$2,2))-ROUNDUP(LOG(H199,2),0)+IF(OR($H$2=1,$H$2=2,$H$2=4,$H$2=8,$H$2=16,$H$2=32,$H$2=64,$H$2=128,$H$2=256),0,1)</f>
        <v>#NUM!</v>
      </c>
      <c r="K199" s="92" t="e">
        <f t="shared" si="24"/>
        <v>#NUM!</v>
      </c>
      <c r="L199" s="92"/>
      <c r="M199" s="94">
        <f t="shared" si="25"/>
        <v>0</v>
      </c>
      <c r="N199" s="94">
        <f t="shared" si="26"/>
        <v>0</v>
      </c>
      <c r="O199" s="74"/>
      <c r="P199" s="74"/>
      <c r="Q199" s="74"/>
      <c r="R199" s="74"/>
      <c r="S199" s="74"/>
    </row>
    <row r="200" spans="1:20" s="79" customFormat="1" x14ac:dyDescent="0.25">
      <c r="A200" s="87">
        <f t="shared" si="27"/>
        <v>0</v>
      </c>
      <c r="B200" s="34" t="str">
        <f t="shared" si="22"/>
        <v/>
      </c>
      <c r="C200" s="35"/>
      <c r="D200" s="35"/>
      <c r="E200" s="35"/>
      <c r="F200" s="35"/>
      <c r="G200" s="74"/>
      <c r="H200" s="88">
        <v>195</v>
      </c>
      <c r="I200" s="89" t="str">
        <f t="shared" si="23"/>
        <v/>
      </c>
      <c r="J200" s="88" t="e">
        <f t="shared" si="28"/>
        <v>#NUM!</v>
      </c>
      <c r="K200" s="88" t="e">
        <f t="shared" si="24"/>
        <v>#NUM!</v>
      </c>
      <c r="L200" s="88"/>
      <c r="M200" s="90">
        <f t="shared" si="25"/>
        <v>0</v>
      </c>
      <c r="N200" s="90">
        <f t="shared" si="26"/>
        <v>0</v>
      </c>
      <c r="O200" s="74"/>
      <c r="P200" s="74"/>
      <c r="Q200" s="74"/>
      <c r="R200" s="74"/>
      <c r="S200" s="102"/>
      <c r="T200" s="103"/>
    </row>
    <row r="201" spans="1:20" s="79" customFormat="1" x14ac:dyDescent="0.25">
      <c r="A201" s="91">
        <f t="shared" si="27"/>
        <v>0</v>
      </c>
      <c r="B201" s="40" t="str">
        <f t="shared" si="22"/>
        <v/>
      </c>
      <c r="C201" s="41"/>
      <c r="D201" s="41"/>
      <c r="E201" s="41"/>
      <c r="F201" s="41"/>
      <c r="G201" s="74"/>
      <c r="H201" s="92">
        <v>196</v>
      </c>
      <c r="I201" s="93" t="str">
        <f t="shared" si="23"/>
        <v/>
      </c>
      <c r="J201" s="92" t="e">
        <f t="shared" si="28"/>
        <v>#NUM!</v>
      </c>
      <c r="K201" s="92" t="e">
        <f t="shared" si="24"/>
        <v>#NUM!</v>
      </c>
      <c r="L201" s="92"/>
      <c r="M201" s="94">
        <f t="shared" si="25"/>
        <v>0</v>
      </c>
      <c r="N201" s="94">
        <f t="shared" si="26"/>
        <v>0</v>
      </c>
      <c r="O201" s="74"/>
      <c r="P201" s="74"/>
      <c r="Q201" s="74"/>
      <c r="R201" s="74"/>
      <c r="S201" s="74"/>
    </row>
    <row r="202" spans="1:20" s="79" customFormat="1" x14ac:dyDescent="0.25">
      <c r="A202" s="87">
        <f t="shared" si="27"/>
        <v>0</v>
      </c>
      <c r="B202" s="34" t="str">
        <f t="shared" si="22"/>
        <v/>
      </c>
      <c r="C202" s="35"/>
      <c r="D202" s="35"/>
      <c r="E202" s="35"/>
      <c r="F202" s="35"/>
      <c r="G202" s="74"/>
      <c r="H202" s="88">
        <v>197</v>
      </c>
      <c r="I202" s="89" t="str">
        <f t="shared" si="23"/>
        <v/>
      </c>
      <c r="J202" s="88" t="e">
        <f t="shared" si="28"/>
        <v>#NUM!</v>
      </c>
      <c r="K202" s="88" t="e">
        <f t="shared" si="24"/>
        <v>#NUM!</v>
      </c>
      <c r="L202" s="88"/>
      <c r="M202" s="90">
        <f t="shared" si="25"/>
        <v>0</v>
      </c>
      <c r="N202" s="90">
        <f t="shared" si="26"/>
        <v>0</v>
      </c>
      <c r="O202" s="74"/>
      <c r="P202" s="74"/>
      <c r="Q202" s="74"/>
      <c r="R202" s="74"/>
      <c r="S202" s="102"/>
      <c r="T202" s="103"/>
    </row>
    <row r="203" spans="1:20" s="79" customFormat="1" x14ac:dyDescent="0.25">
      <c r="A203" s="91">
        <f t="shared" si="27"/>
        <v>0</v>
      </c>
      <c r="B203" s="40" t="str">
        <f t="shared" si="22"/>
        <v/>
      </c>
      <c r="C203" s="41"/>
      <c r="D203" s="41"/>
      <c r="E203" s="41"/>
      <c r="F203" s="41"/>
      <c r="G203" s="74"/>
      <c r="H203" s="92">
        <v>198</v>
      </c>
      <c r="I203" s="93" t="str">
        <f t="shared" si="23"/>
        <v/>
      </c>
      <c r="J203" s="92" t="e">
        <f t="shared" si="28"/>
        <v>#NUM!</v>
      </c>
      <c r="K203" s="92" t="e">
        <f t="shared" si="24"/>
        <v>#NUM!</v>
      </c>
      <c r="L203" s="92"/>
      <c r="M203" s="94">
        <f t="shared" si="25"/>
        <v>0</v>
      </c>
      <c r="N203" s="94">
        <f t="shared" si="26"/>
        <v>0</v>
      </c>
      <c r="O203" s="74"/>
      <c r="P203" s="74"/>
      <c r="Q203" s="74"/>
      <c r="R203" s="74"/>
      <c r="S203" s="74"/>
    </row>
    <row r="204" spans="1:20" s="79" customFormat="1" x14ac:dyDescent="0.25">
      <c r="A204" s="87">
        <f t="shared" si="27"/>
        <v>0</v>
      </c>
      <c r="B204" s="34" t="str">
        <f t="shared" si="22"/>
        <v/>
      </c>
      <c r="C204" s="35"/>
      <c r="D204" s="35"/>
      <c r="E204" s="35"/>
      <c r="F204" s="35"/>
      <c r="G204" s="74"/>
      <c r="H204" s="88">
        <v>199</v>
      </c>
      <c r="I204" s="89" t="str">
        <f t="shared" si="23"/>
        <v/>
      </c>
      <c r="J204" s="88" t="e">
        <f t="shared" si="28"/>
        <v>#NUM!</v>
      </c>
      <c r="K204" s="88" t="e">
        <f t="shared" si="24"/>
        <v>#NUM!</v>
      </c>
      <c r="L204" s="88"/>
      <c r="M204" s="90">
        <f t="shared" si="25"/>
        <v>0</v>
      </c>
      <c r="N204" s="90">
        <f t="shared" si="26"/>
        <v>0</v>
      </c>
      <c r="O204" s="74"/>
      <c r="P204" s="74"/>
      <c r="Q204" s="74"/>
      <c r="R204" s="74"/>
      <c r="S204" s="102"/>
      <c r="T204" s="103"/>
    </row>
    <row r="205" spans="1:20" s="79" customFormat="1" x14ac:dyDescent="0.25">
      <c r="A205" s="91">
        <f t="shared" si="27"/>
        <v>0</v>
      </c>
      <c r="B205" s="40" t="str">
        <f t="shared" si="22"/>
        <v/>
      </c>
      <c r="C205" s="41"/>
      <c r="D205" s="41"/>
      <c r="E205" s="41"/>
      <c r="F205" s="41"/>
      <c r="G205" s="74"/>
      <c r="H205" s="92">
        <v>200</v>
      </c>
      <c r="I205" s="93" t="str">
        <f t="shared" si="23"/>
        <v/>
      </c>
      <c r="J205" s="92" t="e">
        <f t="shared" si="28"/>
        <v>#NUM!</v>
      </c>
      <c r="K205" s="92" t="e">
        <f t="shared" si="24"/>
        <v>#NUM!</v>
      </c>
      <c r="L205" s="92"/>
      <c r="M205" s="94">
        <f t="shared" si="25"/>
        <v>0</v>
      </c>
      <c r="N205" s="94">
        <f t="shared" si="26"/>
        <v>0</v>
      </c>
      <c r="O205" s="74"/>
      <c r="P205" s="74"/>
      <c r="Q205" s="74"/>
      <c r="R205" s="74"/>
      <c r="S205" s="74"/>
    </row>
    <row r="206" spans="1:20" s="79" customFormat="1" x14ac:dyDescent="0.25">
      <c r="A206" s="87">
        <f t="shared" si="27"/>
        <v>0</v>
      </c>
      <c r="B206" s="34" t="str">
        <f t="shared" si="22"/>
        <v/>
      </c>
      <c r="C206" s="35"/>
      <c r="D206" s="35"/>
      <c r="E206" s="35"/>
      <c r="F206" s="35"/>
      <c r="G206" s="74"/>
      <c r="H206" s="88">
        <v>201</v>
      </c>
      <c r="I206" s="89" t="str">
        <f t="shared" si="23"/>
        <v/>
      </c>
      <c r="J206" s="88" t="e">
        <f t="shared" si="28"/>
        <v>#NUM!</v>
      </c>
      <c r="K206" s="88" t="e">
        <f t="shared" si="24"/>
        <v>#NUM!</v>
      </c>
      <c r="L206" s="88"/>
      <c r="M206" s="90">
        <f t="shared" si="25"/>
        <v>0</v>
      </c>
      <c r="N206" s="90">
        <f t="shared" si="26"/>
        <v>0</v>
      </c>
      <c r="O206" s="74"/>
      <c r="P206" s="74"/>
      <c r="Q206" s="74"/>
      <c r="R206" s="74"/>
      <c r="S206" s="102"/>
      <c r="T206" s="103"/>
    </row>
    <row r="207" spans="1:20" s="79" customFormat="1" x14ac:dyDescent="0.25">
      <c r="A207" s="91">
        <f t="shared" si="27"/>
        <v>0</v>
      </c>
      <c r="B207" s="40" t="str">
        <f t="shared" si="22"/>
        <v/>
      </c>
      <c r="C207" s="41"/>
      <c r="D207" s="41"/>
      <c r="E207" s="41"/>
      <c r="F207" s="41"/>
      <c r="G207" s="74"/>
      <c r="H207" s="92">
        <v>202</v>
      </c>
      <c r="I207" s="93" t="str">
        <f t="shared" si="23"/>
        <v/>
      </c>
      <c r="J207" s="92" t="e">
        <f t="shared" si="28"/>
        <v>#NUM!</v>
      </c>
      <c r="K207" s="92" t="e">
        <f t="shared" si="24"/>
        <v>#NUM!</v>
      </c>
      <c r="L207" s="92"/>
      <c r="M207" s="94">
        <f t="shared" si="25"/>
        <v>0</v>
      </c>
      <c r="N207" s="94">
        <f t="shared" si="26"/>
        <v>0</v>
      </c>
      <c r="O207" s="74"/>
      <c r="P207" s="74"/>
      <c r="Q207" s="74"/>
      <c r="R207" s="74"/>
      <c r="S207" s="74"/>
    </row>
    <row r="208" spans="1:20" s="79" customFormat="1" x14ac:dyDescent="0.25">
      <c r="A208" s="87">
        <f t="shared" si="27"/>
        <v>0</v>
      </c>
      <c r="B208" s="34" t="str">
        <f t="shared" si="22"/>
        <v/>
      </c>
      <c r="C208" s="35"/>
      <c r="D208" s="35"/>
      <c r="E208" s="35"/>
      <c r="F208" s="35"/>
      <c r="G208" s="74"/>
      <c r="H208" s="88">
        <v>203</v>
      </c>
      <c r="I208" s="89" t="str">
        <f t="shared" si="23"/>
        <v/>
      </c>
      <c r="J208" s="88" t="e">
        <f t="shared" si="28"/>
        <v>#NUM!</v>
      </c>
      <c r="K208" s="88" t="e">
        <f t="shared" si="24"/>
        <v>#NUM!</v>
      </c>
      <c r="L208" s="88"/>
      <c r="M208" s="90">
        <f t="shared" si="25"/>
        <v>0</v>
      </c>
      <c r="N208" s="90">
        <f t="shared" si="26"/>
        <v>0</v>
      </c>
      <c r="O208" s="74"/>
      <c r="P208" s="74"/>
      <c r="Q208" s="74"/>
      <c r="R208" s="74"/>
      <c r="S208" s="102"/>
      <c r="T208" s="103"/>
    </row>
    <row r="209" spans="1:20" s="79" customFormat="1" x14ac:dyDescent="0.25">
      <c r="A209" s="91">
        <f t="shared" si="27"/>
        <v>0</v>
      </c>
      <c r="B209" s="40" t="str">
        <f t="shared" si="22"/>
        <v/>
      </c>
      <c r="C209" s="41"/>
      <c r="D209" s="41"/>
      <c r="E209" s="41"/>
      <c r="F209" s="41"/>
      <c r="G209" s="74"/>
      <c r="H209" s="92">
        <v>204</v>
      </c>
      <c r="I209" s="93" t="str">
        <f t="shared" si="23"/>
        <v/>
      </c>
      <c r="J209" s="92" t="e">
        <f t="shared" si="28"/>
        <v>#NUM!</v>
      </c>
      <c r="K209" s="92" t="e">
        <f t="shared" si="24"/>
        <v>#NUM!</v>
      </c>
      <c r="L209" s="92"/>
      <c r="M209" s="94">
        <f t="shared" si="25"/>
        <v>0</v>
      </c>
      <c r="N209" s="94">
        <f t="shared" si="26"/>
        <v>0</v>
      </c>
      <c r="O209" s="74"/>
      <c r="P209" s="74"/>
      <c r="Q209" s="74"/>
      <c r="R209" s="74"/>
      <c r="S209" s="74"/>
    </row>
    <row r="210" spans="1:20" s="79" customFormat="1" x14ac:dyDescent="0.25">
      <c r="A210" s="87">
        <f t="shared" si="27"/>
        <v>0</v>
      </c>
      <c r="B210" s="34" t="str">
        <f t="shared" si="22"/>
        <v/>
      </c>
      <c r="C210" s="35"/>
      <c r="D210" s="35"/>
      <c r="E210" s="35"/>
      <c r="F210" s="35"/>
      <c r="G210" s="74"/>
      <c r="H210" s="88">
        <v>205</v>
      </c>
      <c r="I210" s="89" t="str">
        <f t="shared" si="23"/>
        <v/>
      </c>
      <c r="J210" s="88" t="e">
        <f t="shared" si="28"/>
        <v>#NUM!</v>
      </c>
      <c r="K210" s="88" t="e">
        <f t="shared" si="24"/>
        <v>#NUM!</v>
      </c>
      <c r="L210" s="88"/>
      <c r="M210" s="90">
        <f t="shared" si="25"/>
        <v>0</v>
      </c>
      <c r="N210" s="90">
        <f t="shared" si="26"/>
        <v>0</v>
      </c>
      <c r="O210" s="74"/>
      <c r="P210" s="74"/>
      <c r="Q210" s="74"/>
      <c r="R210" s="74"/>
      <c r="S210" s="102"/>
      <c r="T210" s="103"/>
    </row>
    <row r="211" spans="1:20" s="79" customFormat="1" x14ac:dyDescent="0.25">
      <c r="A211" s="91">
        <f t="shared" si="27"/>
        <v>0</v>
      </c>
      <c r="B211" s="40" t="str">
        <f t="shared" si="22"/>
        <v/>
      </c>
      <c r="C211" s="41"/>
      <c r="D211" s="41"/>
      <c r="E211" s="41"/>
      <c r="F211" s="41"/>
      <c r="G211" s="74"/>
      <c r="H211" s="92">
        <v>206</v>
      </c>
      <c r="I211" s="93" t="str">
        <f t="shared" si="23"/>
        <v/>
      </c>
      <c r="J211" s="92" t="e">
        <f t="shared" si="28"/>
        <v>#NUM!</v>
      </c>
      <c r="K211" s="92" t="e">
        <f t="shared" si="24"/>
        <v>#NUM!</v>
      </c>
      <c r="L211" s="92"/>
      <c r="M211" s="94">
        <f t="shared" si="25"/>
        <v>0</v>
      </c>
      <c r="N211" s="94">
        <f t="shared" si="26"/>
        <v>0</v>
      </c>
      <c r="O211" s="74"/>
      <c r="P211" s="74"/>
      <c r="Q211" s="74"/>
      <c r="R211" s="74"/>
      <c r="S211" s="74"/>
    </row>
    <row r="212" spans="1:20" s="79" customFormat="1" x14ac:dyDescent="0.25">
      <c r="A212" s="87">
        <f t="shared" si="27"/>
        <v>0</v>
      </c>
      <c r="B212" s="34" t="str">
        <f t="shared" si="22"/>
        <v/>
      </c>
      <c r="C212" s="35"/>
      <c r="D212" s="35"/>
      <c r="E212" s="35"/>
      <c r="F212" s="35"/>
      <c r="G212" s="74"/>
      <c r="H212" s="88">
        <v>207</v>
      </c>
      <c r="I212" s="89" t="str">
        <f t="shared" si="23"/>
        <v/>
      </c>
      <c r="J212" s="88" t="e">
        <f t="shared" si="28"/>
        <v>#NUM!</v>
      </c>
      <c r="K212" s="88" t="e">
        <f t="shared" si="24"/>
        <v>#NUM!</v>
      </c>
      <c r="L212" s="88"/>
      <c r="M212" s="90">
        <f t="shared" si="25"/>
        <v>0</v>
      </c>
      <c r="N212" s="90">
        <f t="shared" si="26"/>
        <v>0</v>
      </c>
      <c r="O212" s="74"/>
      <c r="P212" s="74"/>
      <c r="Q212" s="74"/>
      <c r="R212" s="74"/>
      <c r="S212" s="102"/>
      <c r="T212" s="103"/>
    </row>
    <row r="213" spans="1:20" s="79" customFormat="1" x14ac:dyDescent="0.25">
      <c r="A213" s="91">
        <f t="shared" si="27"/>
        <v>0</v>
      </c>
      <c r="B213" s="40" t="str">
        <f t="shared" si="22"/>
        <v/>
      </c>
      <c r="C213" s="41"/>
      <c r="D213" s="41"/>
      <c r="E213" s="41"/>
      <c r="F213" s="41"/>
      <c r="G213" s="74"/>
      <c r="H213" s="92">
        <v>208</v>
      </c>
      <c r="I213" s="93" t="str">
        <f t="shared" si="23"/>
        <v/>
      </c>
      <c r="J213" s="92" t="e">
        <f t="shared" si="28"/>
        <v>#NUM!</v>
      </c>
      <c r="K213" s="92" t="e">
        <f t="shared" si="24"/>
        <v>#NUM!</v>
      </c>
      <c r="L213" s="92"/>
      <c r="M213" s="94">
        <f t="shared" si="25"/>
        <v>0</v>
      </c>
      <c r="N213" s="94">
        <f t="shared" si="26"/>
        <v>0</v>
      </c>
      <c r="O213" s="74"/>
      <c r="P213" s="74"/>
      <c r="Q213" s="74"/>
      <c r="R213" s="74"/>
      <c r="S213" s="74"/>
    </row>
    <row r="214" spans="1:20" s="79" customFormat="1" x14ac:dyDescent="0.25">
      <c r="A214" s="87">
        <f t="shared" si="27"/>
        <v>0</v>
      </c>
      <c r="B214" s="34" t="str">
        <f t="shared" si="22"/>
        <v/>
      </c>
      <c r="C214" s="35"/>
      <c r="D214" s="35"/>
      <c r="E214" s="35"/>
      <c r="F214" s="35"/>
      <c r="G214" s="74"/>
      <c r="H214" s="88">
        <v>209</v>
      </c>
      <c r="I214" s="89" t="str">
        <f t="shared" si="23"/>
        <v/>
      </c>
      <c r="J214" s="88" t="e">
        <f t="shared" si="28"/>
        <v>#NUM!</v>
      </c>
      <c r="K214" s="88" t="e">
        <f t="shared" si="24"/>
        <v>#NUM!</v>
      </c>
      <c r="L214" s="88"/>
      <c r="M214" s="90">
        <f t="shared" si="25"/>
        <v>0</v>
      </c>
      <c r="N214" s="90">
        <f t="shared" si="26"/>
        <v>0</v>
      </c>
      <c r="O214" s="74"/>
      <c r="P214" s="74"/>
      <c r="Q214" s="74"/>
      <c r="R214" s="74"/>
      <c r="S214" s="102"/>
      <c r="T214" s="103"/>
    </row>
    <row r="215" spans="1:20" s="79" customFormat="1" x14ac:dyDescent="0.25">
      <c r="A215" s="91">
        <f t="shared" si="27"/>
        <v>0</v>
      </c>
      <c r="B215" s="40" t="str">
        <f t="shared" si="22"/>
        <v/>
      </c>
      <c r="C215" s="41"/>
      <c r="D215" s="41"/>
      <c r="E215" s="41"/>
      <c r="F215" s="41"/>
      <c r="G215" s="74"/>
      <c r="H215" s="92">
        <v>210</v>
      </c>
      <c r="I215" s="93" t="str">
        <f t="shared" si="23"/>
        <v/>
      </c>
      <c r="J215" s="92" t="e">
        <f t="shared" si="28"/>
        <v>#NUM!</v>
      </c>
      <c r="K215" s="92" t="e">
        <f t="shared" si="24"/>
        <v>#NUM!</v>
      </c>
      <c r="L215" s="92"/>
      <c r="M215" s="94">
        <f t="shared" si="25"/>
        <v>0</v>
      </c>
      <c r="N215" s="94">
        <f t="shared" si="26"/>
        <v>0</v>
      </c>
      <c r="O215" s="74"/>
      <c r="P215" s="74"/>
      <c r="Q215" s="74"/>
      <c r="R215" s="74"/>
      <c r="S215" s="74"/>
    </row>
    <row r="216" spans="1:20" s="79" customFormat="1" x14ac:dyDescent="0.25">
      <c r="A216" s="87">
        <f t="shared" si="27"/>
        <v>0</v>
      </c>
      <c r="B216" s="34" t="str">
        <f t="shared" si="22"/>
        <v/>
      </c>
      <c r="C216" s="35"/>
      <c r="D216" s="35"/>
      <c r="E216" s="35"/>
      <c r="F216" s="35"/>
      <c r="G216" s="74"/>
      <c r="H216" s="88">
        <v>211</v>
      </c>
      <c r="I216" s="89" t="str">
        <f t="shared" si="23"/>
        <v/>
      </c>
      <c r="J216" s="88" t="e">
        <f t="shared" si="28"/>
        <v>#NUM!</v>
      </c>
      <c r="K216" s="88" t="e">
        <f t="shared" si="24"/>
        <v>#NUM!</v>
      </c>
      <c r="L216" s="88"/>
      <c r="M216" s="90">
        <f t="shared" si="25"/>
        <v>0</v>
      </c>
      <c r="N216" s="90">
        <f t="shared" si="26"/>
        <v>0</v>
      </c>
      <c r="O216" s="74"/>
      <c r="P216" s="74"/>
      <c r="Q216" s="74"/>
      <c r="R216" s="74"/>
      <c r="S216" s="102"/>
      <c r="T216" s="103"/>
    </row>
    <row r="217" spans="1:20" s="79" customFormat="1" x14ac:dyDescent="0.25">
      <c r="A217" s="91">
        <f t="shared" si="27"/>
        <v>0</v>
      </c>
      <c r="B217" s="40" t="str">
        <f t="shared" si="22"/>
        <v/>
      </c>
      <c r="C217" s="41"/>
      <c r="D217" s="41"/>
      <c r="E217" s="41"/>
      <c r="F217" s="41"/>
      <c r="G217" s="74"/>
      <c r="H217" s="92">
        <v>212</v>
      </c>
      <c r="I217" s="93" t="str">
        <f t="shared" si="23"/>
        <v/>
      </c>
      <c r="J217" s="92" t="e">
        <f t="shared" si="28"/>
        <v>#NUM!</v>
      </c>
      <c r="K217" s="92" t="e">
        <f t="shared" si="24"/>
        <v>#NUM!</v>
      </c>
      <c r="L217" s="92"/>
      <c r="M217" s="94">
        <f t="shared" si="25"/>
        <v>0</v>
      </c>
      <c r="N217" s="94">
        <f t="shared" si="26"/>
        <v>0</v>
      </c>
      <c r="O217" s="74"/>
      <c r="P217" s="74"/>
      <c r="Q217" s="74"/>
      <c r="R217" s="74"/>
      <c r="S217" s="74"/>
    </row>
    <row r="218" spans="1:20" s="79" customFormat="1" x14ac:dyDescent="0.25">
      <c r="A218" s="87">
        <f t="shared" si="27"/>
        <v>0</v>
      </c>
      <c r="B218" s="34" t="str">
        <f t="shared" si="22"/>
        <v/>
      </c>
      <c r="C218" s="35"/>
      <c r="D218" s="35"/>
      <c r="E218" s="35"/>
      <c r="F218" s="35"/>
      <c r="G218" s="74"/>
      <c r="H218" s="88">
        <v>213</v>
      </c>
      <c r="I218" s="89" t="str">
        <f t="shared" si="23"/>
        <v/>
      </c>
      <c r="J218" s="88" t="e">
        <f t="shared" si="28"/>
        <v>#NUM!</v>
      </c>
      <c r="K218" s="88" t="e">
        <f t="shared" si="24"/>
        <v>#NUM!</v>
      </c>
      <c r="L218" s="88"/>
      <c r="M218" s="90">
        <f t="shared" si="25"/>
        <v>0</v>
      </c>
      <c r="N218" s="90">
        <f t="shared" si="26"/>
        <v>0</v>
      </c>
      <c r="O218" s="74"/>
      <c r="P218" s="74"/>
      <c r="Q218" s="74"/>
      <c r="R218" s="74"/>
      <c r="S218" s="102"/>
      <c r="T218" s="103"/>
    </row>
    <row r="219" spans="1:20" s="79" customFormat="1" x14ac:dyDescent="0.25">
      <c r="A219" s="91">
        <f t="shared" si="27"/>
        <v>0</v>
      </c>
      <c r="B219" s="40" t="str">
        <f t="shared" si="22"/>
        <v/>
      </c>
      <c r="C219" s="41"/>
      <c r="D219" s="41"/>
      <c r="E219" s="41"/>
      <c r="F219" s="41"/>
      <c r="G219" s="74"/>
      <c r="H219" s="92">
        <v>214</v>
      </c>
      <c r="I219" s="93" t="str">
        <f t="shared" si="23"/>
        <v/>
      </c>
      <c r="J219" s="92" t="e">
        <f t="shared" si="28"/>
        <v>#NUM!</v>
      </c>
      <c r="K219" s="92" t="e">
        <f t="shared" si="24"/>
        <v>#NUM!</v>
      </c>
      <c r="L219" s="92"/>
      <c r="M219" s="94">
        <f t="shared" si="25"/>
        <v>0</v>
      </c>
      <c r="N219" s="94">
        <f t="shared" si="26"/>
        <v>0</v>
      </c>
      <c r="O219" s="74"/>
      <c r="P219" s="74"/>
      <c r="Q219" s="74"/>
      <c r="R219" s="74"/>
      <c r="S219" s="74"/>
    </row>
    <row r="220" spans="1:20" s="79" customFormat="1" x14ac:dyDescent="0.25">
      <c r="A220" s="87">
        <f t="shared" si="27"/>
        <v>0</v>
      </c>
      <c r="B220" s="34" t="str">
        <f t="shared" si="22"/>
        <v/>
      </c>
      <c r="C220" s="35"/>
      <c r="D220" s="35"/>
      <c r="E220" s="35"/>
      <c r="F220" s="35"/>
      <c r="G220" s="74"/>
      <c r="H220" s="88">
        <v>215</v>
      </c>
      <c r="I220" s="89" t="str">
        <f t="shared" si="23"/>
        <v/>
      </c>
      <c r="J220" s="88" t="e">
        <f t="shared" si="28"/>
        <v>#NUM!</v>
      </c>
      <c r="K220" s="88" t="e">
        <f t="shared" si="24"/>
        <v>#NUM!</v>
      </c>
      <c r="L220" s="88"/>
      <c r="M220" s="90">
        <f t="shared" si="25"/>
        <v>0</v>
      </c>
      <c r="N220" s="90">
        <f t="shared" si="26"/>
        <v>0</v>
      </c>
      <c r="O220" s="74"/>
      <c r="P220" s="74"/>
      <c r="Q220" s="74"/>
      <c r="R220" s="74"/>
      <c r="S220" s="102"/>
      <c r="T220" s="103"/>
    </row>
    <row r="221" spans="1:20" s="79" customFormat="1" x14ac:dyDescent="0.25">
      <c r="A221" s="91">
        <f t="shared" si="27"/>
        <v>0</v>
      </c>
      <c r="B221" s="40" t="str">
        <f t="shared" si="22"/>
        <v/>
      </c>
      <c r="C221" s="41"/>
      <c r="D221" s="41"/>
      <c r="E221" s="41"/>
      <c r="F221" s="41"/>
      <c r="G221" s="74"/>
      <c r="H221" s="92">
        <v>216</v>
      </c>
      <c r="I221" s="93" t="str">
        <f t="shared" si="23"/>
        <v/>
      </c>
      <c r="J221" s="92" t="e">
        <f t="shared" si="28"/>
        <v>#NUM!</v>
      </c>
      <c r="K221" s="92" t="e">
        <f t="shared" si="24"/>
        <v>#NUM!</v>
      </c>
      <c r="L221" s="92"/>
      <c r="M221" s="94">
        <f t="shared" si="25"/>
        <v>0</v>
      </c>
      <c r="N221" s="94">
        <f t="shared" si="26"/>
        <v>0</v>
      </c>
      <c r="O221" s="74"/>
      <c r="P221" s="74"/>
      <c r="Q221" s="74"/>
      <c r="R221" s="74"/>
      <c r="S221" s="74"/>
    </row>
    <row r="222" spans="1:20" s="79" customFormat="1" x14ac:dyDescent="0.25">
      <c r="A222" s="87">
        <f t="shared" si="27"/>
        <v>0</v>
      </c>
      <c r="B222" s="34" t="str">
        <f t="shared" si="22"/>
        <v/>
      </c>
      <c r="C222" s="35"/>
      <c r="D222" s="35"/>
      <c r="E222" s="35"/>
      <c r="F222" s="35"/>
      <c r="G222" s="74"/>
      <c r="H222" s="88">
        <v>217</v>
      </c>
      <c r="I222" s="89" t="str">
        <f t="shared" si="23"/>
        <v/>
      </c>
      <c r="J222" s="88" t="e">
        <f t="shared" si="28"/>
        <v>#NUM!</v>
      </c>
      <c r="K222" s="88" t="e">
        <f t="shared" si="24"/>
        <v>#NUM!</v>
      </c>
      <c r="L222" s="88"/>
      <c r="M222" s="90">
        <f t="shared" si="25"/>
        <v>0</v>
      </c>
      <c r="N222" s="90">
        <f t="shared" si="26"/>
        <v>0</v>
      </c>
      <c r="O222" s="74"/>
      <c r="P222" s="74"/>
      <c r="Q222" s="74"/>
      <c r="R222" s="74"/>
      <c r="S222" s="102"/>
      <c r="T222" s="103"/>
    </row>
    <row r="223" spans="1:20" s="79" customFormat="1" x14ac:dyDescent="0.25">
      <c r="A223" s="91">
        <f t="shared" si="27"/>
        <v>0</v>
      </c>
      <c r="B223" s="40" t="str">
        <f t="shared" si="22"/>
        <v/>
      </c>
      <c r="C223" s="41"/>
      <c r="D223" s="41"/>
      <c r="E223" s="41"/>
      <c r="F223" s="41"/>
      <c r="G223" s="74"/>
      <c r="H223" s="92">
        <v>218</v>
      </c>
      <c r="I223" s="93" t="str">
        <f t="shared" si="23"/>
        <v/>
      </c>
      <c r="J223" s="92" t="e">
        <f t="shared" si="28"/>
        <v>#NUM!</v>
      </c>
      <c r="K223" s="92" t="e">
        <f t="shared" si="24"/>
        <v>#NUM!</v>
      </c>
      <c r="L223" s="92"/>
      <c r="M223" s="94">
        <f t="shared" si="25"/>
        <v>0</v>
      </c>
      <c r="N223" s="94">
        <f t="shared" si="26"/>
        <v>0</v>
      </c>
      <c r="O223" s="74"/>
      <c r="P223" s="74"/>
      <c r="Q223" s="74"/>
      <c r="R223" s="74"/>
      <c r="S223" s="74"/>
    </row>
    <row r="224" spans="1:20" s="79" customFormat="1" x14ac:dyDescent="0.25">
      <c r="A224" s="87">
        <f t="shared" si="27"/>
        <v>0</v>
      </c>
      <c r="B224" s="34" t="str">
        <f t="shared" si="22"/>
        <v/>
      </c>
      <c r="C224" s="35"/>
      <c r="D224" s="35"/>
      <c r="E224" s="35"/>
      <c r="F224" s="35"/>
      <c r="G224" s="74"/>
      <c r="H224" s="88">
        <v>219</v>
      </c>
      <c r="I224" s="89" t="str">
        <f t="shared" si="23"/>
        <v/>
      </c>
      <c r="J224" s="88" t="e">
        <f t="shared" si="28"/>
        <v>#NUM!</v>
      </c>
      <c r="K224" s="88" t="e">
        <f t="shared" si="24"/>
        <v>#NUM!</v>
      </c>
      <c r="L224" s="88"/>
      <c r="M224" s="90">
        <f t="shared" si="25"/>
        <v>0</v>
      </c>
      <c r="N224" s="90">
        <f t="shared" si="26"/>
        <v>0</v>
      </c>
      <c r="O224" s="74"/>
      <c r="P224" s="74"/>
      <c r="Q224" s="74"/>
      <c r="R224" s="74"/>
      <c r="S224" s="102"/>
      <c r="T224" s="103"/>
    </row>
    <row r="225" spans="1:20" s="79" customFormat="1" x14ac:dyDescent="0.25">
      <c r="A225" s="91">
        <f t="shared" si="27"/>
        <v>0</v>
      </c>
      <c r="B225" s="40" t="str">
        <f t="shared" si="22"/>
        <v/>
      </c>
      <c r="C225" s="41"/>
      <c r="D225" s="41"/>
      <c r="E225" s="41"/>
      <c r="F225" s="41"/>
      <c r="G225" s="74"/>
      <c r="H225" s="92">
        <v>220</v>
      </c>
      <c r="I225" s="93" t="str">
        <f t="shared" si="23"/>
        <v/>
      </c>
      <c r="J225" s="92" t="e">
        <f t="shared" si="28"/>
        <v>#NUM!</v>
      </c>
      <c r="K225" s="92" t="e">
        <f t="shared" si="24"/>
        <v>#NUM!</v>
      </c>
      <c r="L225" s="92"/>
      <c r="M225" s="94">
        <f t="shared" si="25"/>
        <v>0</v>
      </c>
      <c r="N225" s="94">
        <f t="shared" si="26"/>
        <v>0</v>
      </c>
      <c r="O225" s="74"/>
      <c r="P225" s="74"/>
      <c r="Q225" s="74"/>
      <c r="R225" s="74"/>
      <c r="S225" s="74"/>
    </row>
    <row r="226" spans="1:20" s="79" customFormat="1" x14ac:dyDescent="0.25">
      <c r="A226" s="87">
        <f t="shared" si="27"/>
        <v>0</v>
      </c>
      <c r="B226" s="34" t="str">
        <f t="shared" si="22"/>
        <v/>
      </c>
      <c r="C226" s="35"/>
      <c r="D226" s="35"/>
      <c r="E226" s="35"/>
      <c r="F226" s="35"/>
      <c r="G226" s="74"/>
      <c r="H226" s="88">
        <v>221</v>
      </c>
      <c r="I226" s="89" t="str">
        <f t="shared" si="23"/>
        <v/>
      </c>
      <c r="J226" s="88" t="e">
        <f t="shared" si="28"/>
        <v>#NUM!</v>
      </c>
      <c r="K226" s="88" t="e">
        <f t="shared" si="24"/>
        <v>#NUM!</v>
      </c>
      <c r="L226" s="88"/>
      <c r="M226" s="90">
        <f t="shared" si="25"/>
        <v>0</v>
      </c>
      <c r="N226" s="90">
        <f t="shared" si="26"/>
        <v>0</v>
      </c>
      <c r="O226" s="74"/>
      <c r="P226" s="74"/>
      <c r="Q226" s="74"/>
      <c r="R226" s="74"/>
      <c r="S226" s="102"/>
      <c r="T226" s="103"/>
    </row>
    <row r="227" spans="1:20" s="79" customFormat="1" x14ac:dyDescent="0.25">
      <c r="A227" s="91">
        <f t="shared" si="27"/>
        <v>0</v>
      </c>
      <c r="B227" s="40" t="str">
        <f t="shared" si="22"/>
        <v/>
      </c>
      <c r="C227" s="41"/>
      <c r="D227" s="41"/>
      <c r="E227" s="41"/>
      <c r="F227" s="41"/>
      <c r="G227" s="74"/>
      <c r="H227" s="92">
        <v>222</v>
      </c>
      <c r="I227" s="93" t="str">
        <f t="shared" si="23"/>
        <v/>
      </c>
      <c r="J227" s="92" t="e">
        <f t="shared" si="28"/>
        <v>#NUM!</v>
      </c>
      <c r="K227" s="92" t="e">
        <f t="shared" si="24"/>
        <v>#NUM!</v>
      </c>
      <c r="L227" s="92"/>
      <c r="M227" s="94">
        <f t="shared" si="25"/>
        <v>0</v>
      </c>
      <c r="N227" s="94">
        <f t="shared" si="26"/>
        <v>0</v>
      </c>
      <c r="O227" s="74"/>
      <c r="P227" s="74"/>
      <c r="Q227" s="74"/>
      <c r="R227" s="74"/>
      <c r="S227" s="74"/>
    </row>
    <row r="228" spans="1:20" s="79" customFormat="1" x14ac:dyDescent="0.25">
      <c r="A228" s="87">
        <f t="shared" si="27"/>
        <v>0</v>
      </c>
      <c r="B228" s="34" t="str">
        <f t="shared" si="22"/>
        <v/>
      </c>
      <c r="C228" s="35"/>
      <c r="D228" s="35"/>
      <c r="E228" s="35"/>
      <c r="F228" s="35"/>
      <c r="G228" s="74"/>
      <c r="H228" s="88">
        <v>223</v>
      </c>
      <c r="I228" s="89" t="str">
        <f t="shared" si="23"/>
        <v/>
      </c>
      <c r="J228" s="88" t="e">
        <f t="shared" si="28"/>
        <v>#NUM!</v>
      </c>
      <c r="K228" s="88" t="e">
        <f t="shared" si="24"/>
        <v>#NUM!</v>
      </c>
      <c r="L228" s="88"/>
      <c r="M228" s="90">
        <f t="shared" si="25"/>
        <v>0</v>
      </c>
      <c r="N228" s="90">
        <f t="shared" si="26"/>
        <v>0</v>
      </c>
      <c r="O228" s="74"/>
      <c r="P228" s="74"/>
      <c r="Q228" s="74"/>
      <c r="R228" s="74"/>
      <c r="S228" s="102"/>
      <c r="T228" s="103"/>
    </row>
    <row r="229" spans="1:20" s="79" customFormat="1" x14ac:dyDescent="0.25">
      <c r="A229" s="91">
        <f t="shared" si="27"/>
        <v>0</v>
      </c>
      <c r="B229" s="40" t="str">
        <f t="shared" si="22"/>
        <v/>
      </c>
      <c r="C229" s="41"/>
      <c r="D229" s="41"/>
      <c r="E229" s="41"/>
      <c r="F229" s="41"/>
      <c r="G229" s="74"/>
      <c r="H229" s="92">
        <v>224</v>
      </c>
      <c r="I229" s="93" t="str">
        <f t="shared" si="23"/>
        <v/>
      </c>
      <c r="J229" s="92" t="e">
        <f t="shared" si="28"/>
        <v>#NUM!</v>
      </c>
      <c r="K229" s="92" t="e">
        <f t="shared" si="24"/>
        <v>#NUM!</v>
      </c>
      <c r="L229" s="92"/>
      <c r="M229" s="94">
        <f t="shared" si="25"/>
        <v>0</v>
      </c>
      <c r="N229" s="94">
        <f t="shared" si="26"/>
        <v>0</v>
      </c>
      <c r="O229" s="74"/>
      <c r="P229" s="74"/>
      <c r="Q229" s="74"/>
      <c r="R229" s="74"/>
      <c r="S229" s="74"/>
    </row>
    <row r="230" spans="1:20" s="79" customFormat="1" x14ac:dyDescent="0.25">
      <c r="A230" s="87">
        <f t="shared" si="27"/>
        <v>0</v>
      </c>
      <c r="B230" s="34" t="str">
        <f t="shared" si="22"/>
        <v/>
      </c>
      <c r="C230" s="35"/>
      <c r="D230" s="35"/>
      <c r="E230" s="35"/>
      <c r="F230" s="35"/>
      <c r="G230" s="74"/>
      <c r="H230" s="88">
        <v>225</v>
      </c>
      <c r="I230" s="89" t="str">
        <f t="shared" si="23"/>
        <v/>
      </c>
      <c r="J230" s="88" t="e">
        <f t="shared" si="28"/>
        <v>#NUM!</v>
      </c>
      <c r="K230" s="88" t="e">
        <f t="shared" si="24"/>
        <v>#NUM!</v>
      </c>
      <c r="L230" s="88"/>
      <c r="M230" s="90">
        <f t="shared" si="25"/>
        <v>0</v>
      </c>
      <c r="N230" s="90">
        <f t="shared" si="26"/>
        <v>0</v>
      </c>
      <c r="O230" s="74"/>
      <c r="P230" s="74"/>
      <c r="Q230" s="74"/>
      <c r="R230" s="74"/>
      <c r="S230" s="102"/>
      <c r="T230" s="103"/>
    </row>
    <row r="231" spans="1:20" s="79" customFormat="1" x14ac:dyDescent="0.25">
      <c r="A231" s="91">
        <f t="shared" si="27"/>
        <v>0</v>
      </c>
      <c r="B231" s="40" t="str">
        <f t="shared" si="22"/>
        <v/>
      </c>
      <c r="C231" s="41"/>
      <c r="D231" s="41"/>
      <c r="E231" s="41"/>
      <c r="F231" s="41"/>
      <c r="G231" s="74"/>
      <c r="H231" s="92">
        <v>226</v>
      </c>
      <c r="I231" s="93" t="str">
        <f t="shared" si="23"/>
        <v/>
      </c>
      <c r="J231" s="92" t="e">
        <f t="shared" si="28"/>
        <v>#NUM!</v>
      </c>
      <c r="K231" s="92" t="e">
        <f t="shared" si="24"/>
        <v>#NUM!</v>
      </c>
      <c r="L231" s="92"/>
      <c r="M231" s="94">
        <f t="shared" si="25"/>
        <v>0</v>
      </c>
      <c r="N231" s="94">
        <f t="shared" si="26"/>
        <v>0</v>
      </c>
      <c r="O231" s="74"/>
      <c r="P231" s="74"/>
      <c r="Q231" s="74"/>
      <c r="R231" s="74"/>
      <c r="S231" s="74"/>
    </row>
    <row r="232" spans="1:20" s="79" customFormat="1" x14ac:dyDescent="0.25">
      <c r="A232" s="87">
        <f t="shared" si="27"/>
        <v>0</v>
      </c>
      <c r="B232" s="34" t="str">
        <f t="shared" si="22"/>
        <v/>
      </c>
      <c r="C232" s="35"/>
      <c r="D232" s="35"/>
      <c r="E232" s="35"/>
      <c r="F232" s="35"/>
      <c r="G232" s="74"/>
      <c r="H232" s="88">
        <v>227</v>
      </c>
      <c r="I232" s="89" t="str">
        <f t="shared" si="23"/>
        <v/>
      </c>
      <c r="J232" s="88" t="e">
        <f t="shared" si="28"/>
        <v>#NUM!</v>
      </c>
      <c r="K232" s="88" t="e">
        <f t="shared" si="24"/>
        <v>#NUM!</v>
      </c>
      <c r="L232" s="88"/>
      <c r="M232" s="90">
        <f t="shared" si="25"/>
        <v>0</v>
      </c>
      <c r="N232" s="90">
        <f t="shared" si="26"/>
        <v>0</v>
      </c>
      <c r="O232" s="74"/>
      <c r="P232" s="74"/>
      <c r="Q232" s="74"/>
      <c r="R232" s="74"/>
      <c r="S232" s="102"/>
      <c r="T232" s="103"/>
    </row>
    <row r="233" spans="1:20" s="79" customFormat="1" x14ac:dyDescent="0.25">
      <c r="A233" s="91">
        <f t="shared" si="27"/>
        <v>0</v>
      </c>
      <c r="B233" s="40" t="str">
        <f t="shared" si="22"/>
        <v/>
      </c>
      <c r="C233" s="41"/>
      <c r="D233" s="41"/>
      <c r="E233" s="41"/>
      <c r="F233" s="41"/>
      <c r="G233" s="74"/>
      <c r="H233" s="92">
        <v>228</v>
      </c>
      <c r="I233" s="93" t="str">
        <f t="shared" si="23"/>
        <v/>
      </c>
      <c r="J233" s="92" t="e">
        <f t="shared" si="28"/>
        <v>#NUM!</v>
      </c>
      <c r="K233" s="92" t="e">
        <f t="shared" si="24"/>
        <v>#NUM!</v>
      </c>
      <c r="L233" s="92"/>
      <c r="M233" s="94">
        <f t="shared" si="25"/>
        <v>0</v>
      </c>
      <c r="N233" s="94">
        <f t="shared" si="26"/>
        <v>0</v>
      </c>
      <c r="O233" s="74"/>
      <c r="P233" s="74"/>
      <c r="Q233" s="74"/>
      <c r="R233" s="74"/>
      <c r="S233" s="74"/>
    </row>
    <row r="234" spans="1:20" s="79" customFormat="1" x14ac:dyDescent="0.25">
      <c r="A234" s="87">
        <f t="shared" si="27"/>
        <v>0</v>
      </c>
      <c r="B234" s="34" t="str">
        <f t="shared" si="22"/>
        <v/>
      </c>
      <c r="C234" s="35"/>
      <c r="D234" s="35"/>
      <c r="E234" s="35"/>
      <c r="F234" s="35"/>
      <c r="G234" s="74"/>
      <c r="H234" s="88">
        <v>229</v>
      </c>
      <c r="I234" s="89" t="str">
        <f t="shared" si="23"/>
        <v/>
      </c>
      <c r="J234" s="88" t="e">
        <f t="shared" si="28"/>
        <v>#NUM!</v>
      </c>
      <c r="K234" s="88" t="e">
        <f t="shared" si="24"/>
        <v>#NUM!</v>
      </c>
      <c r="L234" s="88"/>
      <c r="M234" s="90">
        <f t="shared" si="25"/>
        <v>0</v>
      </c>
      <c r="N234" s="90">
        <f t="shared" si="26"/>
        <v>0</v>
      </c>
      <c r="O234" s="74"/>
      <c r="P234" s="74"/>
      <c r="Q234" s="74"/>
      <c r="R234" s="74"/>
      <c r="S234" s="102"/>
      <c r="T234" s="103"/>
    </row>
    <row r="235" spans="1:20" s="79" customFormat="1" x14ac:dyDescent="0.25">
      <c r="A235" s="91">
        <f t="shared" si="27"/>
        <v>0</v>
      </c>
      <c r="B235" s="40" t="str">
        <f t="shared" si="22"/>
        <v/>
      </c>
      <c r="C235" s="41"/>
      <c r="D235" s="41"/>
      <c r="E235" s="41"/>
      <c r="F235" s="41"/>
      <c r="G235" s="74"/>
      <c r="H235" s="92">
        <v>230</v>
      </c>
      <c r="I235" s="93" t="str">
        <f t="shared" si="23"/>
        <v/>
      </c>
      <c r="J235" s="92" t="e">
        <f t="shared" si="28"/>
        <v>#NUM!</v>
      </c>
      <c r="K235" s="92" t="e">
        <f t="shared" si="24"/>
        <v>#NUM!</v>
      </c>
      <c r="L235" s="92"/>
      <c r="M235" s="94">
        <f t="shared" si="25"/>
        <v>0</v>
      </c>
      <c r="N235" s="94">
        <f t="shared" si="26"/>
        <v>0</v>
      </c>
      <c r="O235" s="74"/>
      <c r="P235" s="74"/>
      <c r="Q235" s="74"/>
      <c r="R235" s="74"/>
      <c r="S235" s="74"/>
    </row>
    <row r="236" spans="1:20" s="79" customFormat="1" x14ac:dyDescent="0.25">
      <c r="A236" s="87">
        <f t="shared" si="27"/>
        <v>0</v>
      </c>
      <c r="B236" s="34" t="str">
        <f t="shared" si="22"/>
        <v/>
      </c>
      <c r="C236" s="35"/>
      <c r="D236" s="35"/>
      <c r="E236" s="35"/>
      <c r="F236" s="35"/>
      <c r="G236" s="74"/>
      <c r="H236" s="88">
        <v>231</v>
      </c>
      <c r="I236" s="89" t="str">
        <f t="shared" si="23"/>
        <v/>
      </c>
      <c r="J236" s="88" t="e">
        <f t="shared" si="28"/>
        <v>#NUM!</v>
      </c>
      <c r="K236" s="88" t="e">
        <f t="shared" si="24"/>
        <v>#NUM!</v>
      </c>
      <c r="L236" s="88"/>
      <c r="M236" s="90">
        <f t="shared" si="25"/>
        <v>0</v>
      </c>
      <c r="N236" s="90">
        <f t="shared" si="26"/>
        <v>0</v>
      </c>
      <c r="O236" s="74"/>
      <c r="P236" s="74"/>
      <c r="Q236" s="74"/>
      <c r="R236" s="74"/>
      <c r="S236" s="102"/>
      <c r="T236" s="103"/>
    </row>
    <row r="237" spans="1:20" s="79" customFormat="1" x14ac:dyDescent="0.25">
      <c r="A237" s="91">
        <f t="shared" si="27"/>
        <v>0</v>
      </c>
      <c r="B237" s="40" t="str">
        <f t="shared" si="22"/>
        <v/>
      </c>
      <c r="C237" s="41"/>
      <c r="D237" s="41"/>
      <c r="E237" s="41"/>
      <c r="F237" s="41"/>
      <c r="G237" s="74"/>
      <c r="H237" s="92">
        <v>232</v>
      </c>
      <c r="I237" s="93" t="str">
        <f t="shared" si="23"/>
        <v/>
      </c>
      <c r="J237" s="92" t="e">
        <f t="shared" si="28"/>
        <v>#NUM!</v>
      </c>
      <c r="K237" s="92" t="e">
        <f t="shared" si="24"/>
        <v>#NUM!</v>
      </c>
      <c r="L237" s="92"/>
      <c r="M237" s="94">
        <f t="shared" si="25"/>
        <v>0</v>
      </c>
      <c r="N237" s="94">
        <f t="shared" si="26"/>
        <v>0</v>
      </c>
      <c r="O237" s="74"/>
      <c r="P237" s="74"/>
      <c r="Q237" s="74"/>
      <c r="R237" s="74"/>
      <c r="S237" s="74"/>
    </row>
    <row r="238" spans="1:20" s="79" customFormat="1" x14ac:dyDescent="0.25">
      <c r="A238" s="87">
        <f t="shared" si="27"/>
        <v>0</v>
      </c>
      <c r="B238" s="34" t="str">
        <f t="shared" si="22"/>
        <v/>
      </c>
      <c r="C238" s="35"/>
      <c r="D238" s="35"/>
      <c r="E238" s="35"/>
      <c r="F238" s="35"/>
      <c r="G238" s="74"/>
      <c r="H238" s="88">
        <v>233</v>
      </c>
      <c r="I238" s="89" t="str">
        <f t="shared" si="23"/>
        <v/>
      </c>
      <c r="J238" s="88" t="e">
        <f t="shared" si="28"/>
        <v>#NUM!</v>
      </c>
      <c r="K238" s="88" t="e">
        <f t="shared" si="24"/>
        <v>#NUM!</v>
      </c>
      <c r="L238" s="88"/>
      <c r="M238" s="90">
        <f t="shared" si="25"/>
        <v>0</v>
      </c>
      <c r="N238" s="90">
        <f t="shared" si="26"/>
        <v>0</v>
      </c>
      <c r="O238" s="74"/>
      <c r="P238" s="74"/>
      <c r="Q238" s="74"/>
      <c r="R238" s="74"/>
      <c r="S238" s="102"/>
      <c r="T238" s="103"/>
    </row>
    <row r="239" spans="1:20" s="79" customFormat="1" x14ac:dyDescent="0.25">
      <c r="A239" s="91">
        <f t="shared" si="27"/>
        <v>0</v>
      </c>
      <c r="B239" s="40" t="str">
        <f t="shared" si="22"/>
        <v/>
      </c>
      <c r="C239" s="41"/>
      <c r="D239" s="41"/>
      <c r="E239" s="41"/>
      <c r="F239" s="41"/>
      <c r="G239" s="74"/>
      <c r="H239" s="92">
        <v>234</v>
      </c>
      <c r="I239" s="93" t="str">
        <f t="shared" si="23"/>
        <v/>
      </c>
      <c r="J239" s="92" t="e">
        <f t="shared" si="28"/>
        <v>#NUM!</v>
      </c>
      <c r="K239" s="92" t="e">
        <f t="shared" si="24"/>
        <v>#NUM!</v>
      </c>
      <c r="L239" s="92"/>
      <c r="M239" s="94">
        <f t="shared" si="25"/>
        <v>0</v>
      </c>
      <c r="N239" s="94">
        <f t="shared" si="26"/>
        <v>0</v>
      </c>
      <c r="O239" s="74"/>
      <c r="P239" s="74"/>
      <c r="Q239" s="74"/>
      <c r="R239" s="74"/>
      <c r="S239" s="74"/>
    </row>
    <row r="240" spans="1:20" s="79" customFormat="1" x14ac:dyDescent="0.25">
      <c r="A240" s="87">
        <f t="shared" si="27"/>
        <v>0</v>
      </c>
      <c r="B240" s="34" t="str">
        <f t="shared" si="22"/>
        <v/>
      </c>
      <c r="C240" s="35"/>
      <c r="D240" s="35"/>
      <c r="E240" s="35"/>
      <c r="F240" s="35"/>
      <c r="G240" s="74"/>
      <c r="H240" s="88">
        <v>235</v>
      </c>
      <c r="I240" s="89" t="str">
        <f t="shared" si="23"/>
        <v/>
      </c>
      <c r="J240" s="88" t="e">
        <f t="shared" si="28"/>
        <v>#NUM!</v>
      </c>
      <c r="K240" s="88" t="e">
        <f t="shared" si="24"/>
        <v>#NUM!</v>
      </c>
      <c r="L240" s="88"/>
      <c r="M240" s="90">
        <f t="shared" si="25"/>
        <v>0</v>
      </c>
      <c r="N240" s="90">
        <f t="shared" si="26"/>
        <v>0</v>
      </c>
      <c r="O240" s="74"/>
      <c r="P240" s="74"/>
      <c r="Q240" s="74"/>
      <c r="R240" s="74"/>
      <c r="S240" s="102"/>
      <c r="T240" s="103"/>
    </row>
    <row r="241" spans="1:20" s="79" customFormat="1" x14ac:dyDescent="0.25">
      <c r="A241" s="91">
        <f t="shared" si="27"/>
        <v>0</v>
      </c>
      <c r="B241" s="40" t="str">
        <f t="shared" si="22"/>
        <v/>
      </c>
      <c r="C241" s="41"/>
      <c r="D241" s="41"/>
      <c r="E241" s="41"/>
      <c r="F241" s="41"/>
      <c r="G241" s="74"/>
      <c r="H241" s="92">
        <v>236</v>
      </c>
      <c r="I241" s="93" t="str">
        <f t="shared" si="23"/>
        <v/>
      </c>
      <c r="J241" s="92" t="e">
        <f t="shared" si="28"/>
        <v>#NUM!</v>
      </c>
      <c r="K241" s="92" t="e">
        <f t="shared" si="24"/>
        <v>#NUM!</v>
      </c>
      <c r="L241" s="92"/>
      <c r="M241" s="94">
        <f t="shared" si="25"/>
        <v>0</v>
      </c>
      <c r="N241" s="94">
        <f t="shared" si="26"/>
        <v>0</v>
      </c>
      <c r="O241" s="74"/>
      <c r="P241" s="74"/>
      <c r="Q241" s="74"/>
      <c r="R241" s="74"/>
      <c r="S241" s="74"/>
    </row>
    <row r="242" spans="1:20" s="79" customFormat="1" x14ac:dyDescent="0.25">
      <c r="A242" s="87">
        <f t="shared" si="27"/>
        <v>0</v>
      </c>
      <c r="B242" s="34" t="str">
        <f t="shared" si="22"/>
        <v/>
      </c>
      <c r="C242" s="35"/>
      <c r="D242" s="35"/>
      <c r="E242" s="35"/>
      <c r="F242" s="35"/>
      <c r="G242" s="74"/>
      <c r="H242" s="88">
        <v>237</v>
      </c>
      <c r="I242" s="89" t="str">
        <f t="shared" si="23"/>
        <v/>
      </c>
      <c r="J242" s="88" t="e">
        <f t="shared" si="28"/>
        <v>#NUM!</v>
      </c>
      <c r="K242" s="88" t="e">
        <f t="shared" si="24"/>
        <v>#NUM!</v>
      </c>
      <c r="L242" s="88"/>
      <c r="M242" s="90">
        <f t="shared" si="25"/>
        <v>0</v>
      </c>
      <c r="N242" s="90">
        <f t="shared" si="26"/>
        <v>0</v>
      </c>
      <c r="O242" s="74"/>
      <c r="P242" s="74"/>
      <c r="Q242" s="74"/>
      <c r="R242" s="74"/>
      <c r="S242" s="102"/>
      <c r="T242" s="103"/>
    </row>
    <row r="243" spans="1:20" s="79" customFormat="1" x14ac:dyDescent="0.25">
      <c r="A243" s="91">
        <f t="shared" si="27"/>
        <v>0</v>
      </c>
      <c r="B243" s="40" t="str">
        <f t="shared" si="22"/>
        <v/>
      </c>
      <c r="C243" s="41"/>
      <c r="D243" s="41"/>
      <c r="E243" s="41"/>
      <c r="F243" s="41"/>
      <c r="G243" s="74"/>
      <c r="H243" s="92">
        <v>238</v>
      </c>
      <c r="I243" s="93" t="str">
        <f t="shared" si="23"/>
        <v/>
      </c>
      <c r="J243" s="92" t="e">
        <f t="shared" si="28"/>
        <v>#NUM!</v>
      </c>
      <c r="K243" s="92" t="e">
        <f t="shared" si="24"/>
        <v>#NUM!</v>
      </c>
      <c r="L243" s="92"/>
      <c r="M243" s="94">
        <f t="shared" si="25"/>
        <v>0</v>
      </c>
      <c r="N243" s="94">
        <f t="shared" si="26"/>
        <v>0</v>
      </c>
      <c r="O243" s="74"/>
      <c r="P243" s="74"/>
      <c r="Q243" s="74"/>
      <c r="R243" s="74"/>
      <c r="S243" s="74"/>
    </row>
    <row r="244" spans="1:20" s="79" customFormat="1" x14ac:dyDescent="0.25">
      <c r="A244" s="87">
        <f t="shared" si="27"/>
        <v>0</v>
      </c>
      <c r="B244" s="34" t="str">
        <f t="shared" si="22"/>
        <v/>
      </c>
      <c r="C244" s="35"/>
      <c r="D244" s="35"/>
      <c r="E244" s="35"/>
      <c r="F244" s="35"/>
      <c r="G244" s="74"/>
      <c r="H244" s="88">
        <v>239</v>
      </c>
      <c r="I244" s="89" t="str">
        <f t="shared" si="23"/>
        <v/>
      </c>
      <c r="J244" s="88" t="e">
        <f t="shared" si="28"/>
        <v>#NUM!</v>
      </c>
      <c r="K244" s="88" t="e">
        <f t="shared" si="24"/>
        <v>#NUM!</v>
      </c>
      <c r="L244" s="88"/>
      <c r="M244" s="90">
        <f t="shared" si="25"/>
        <v>0</v>
      </c>
      <c r="N244" s="90">
        <f t="shared" si="26"/>
        <v>0</v>
      </c>
      <c r="O244" s="74"/>
      <c r="P244" s="74"/>
      <c r="Q244" s="74"/>
      <c r="R244" s="74"/>
      <c r="S244" s="102"/>
      <c r="T244" s="103"/>
    </row>
    <row r="245" spans="1:20" s="79" customFormat="1" x14ac:dyDescent="0.25">
      <c r="A245" s="91">
        <f t="shared" si="27"/>
        <v>0</v>
      </c>
      <c r="B245" s="40" t="str">
        <f t="shared" si="22"/>
        <v/>
      </c>
      <c r="C245" s="41"/>
      <c r="D245" s="41"/>
      <c r="E245" s="41"/>
      <c r="F245" s="41"/>
      <c r="G245" s="74"/>
      <c r="H245" s="92">
        <v>240</v>
      </c>
      <c r="I245" s="93" t="str">
        <f t="shared" si="23"/>
        <v/>
      </c>
      <c r="J245" s="92" t="e">
        <f t="shared" si="28"/>
        <v>#NUM!</v>
      </c>
      <c r="K245" s="92" t="e">
        <f t="shared" si="24"/>
        <v>#NUM!</v>
      </c>
      <c r="L245" s="92"/>
      <c r="M245" s="94">
        <f t="shared" si="25"/>
        <v>0</v>
      </c>
      <c r="N245" s="94">
        <f t="shared" si="26"/>
        <v>0</v>
      </c>
      <c r="O245" s="74"/>
      <c r="P245" s="74"/>
      <c r="Q245" s="74"/>
      <c r="R245" s="74"/>
      <c r="S245" s="74"/>
    </row>
    <row r="246" spans="1:20" s="79" customFormat="1" x14ac:dyDescent="0.25">
      <c r="A246" s="87">
        <f t="shared" si="27"/>
        <v>0</v>
      </c>
      <c r="B246" s="34" t="str">
        <f t="shared" si="22"/>
        <v/>
      </c>
      <c r="C246" s="35"/>
      <c r="D246" s="35"/>
      <c r="E246" s="35"/>
      <c r="F246" s="35"/>
      <c r="G246" s="74"/>
      <c r="H246" s="88">
        <v>241</v>
      </c>
      <c r="I246" s="89" t="str">
        <f t="shared" si="23"/>
        <v/>
      </c>
      <c r="J246" s="88" t="e">
        <f t="shared" si="28"/>
        <v>#NUM!</v>
      </c>
      <c r="K246" s="88" t="e">
        <f t="shared" si="24"/>
        <v>#NUM!</v>
      </c>
      <c r="L246" s="88"/>
      <c r="M246" s="90">
        <f t="shared" si="25"/>
        <v>0</v>
      </c>
      <c r="N246" s="90">
        <f t="shared" si="26"/>
        <v>0</v>
      </c>
      <c r="O246" s="74"/>
      <c r="P246" s="74"/>
      <c r="Q246" s="74"/>
      <c r="R246" s="74"/>
      <c r="S246" s="102"/>
      <c r="T246" s="103"/>
    </row>
    <row r="247" spans="1:20" s="79" customFormat="1" x14ac:dyDescent="0.25">
      <c r="A247" s="91">
        <f t="shared" si="27"/>
        <v>0</v>
      </c>
      <c r="B247" s="40" t="str">
        <f t="shared" si="22"/>
        <v/>
      </c>
      <c r="C247" s="41"/>
      <c r="D247" s="41"/>
      <c r="E247" s="41"/>
      <c r="F247" s="41"/>
      <c r="G247" s="74"/>
      <c r="H247" s="92">
        <v>242</v>
      </c>
      <c r="I247" s="93" t="str">
        <f t="shared" si="23"/>
        <v/>
      </c>
      <c r="J247" s="92" t="e">
        <f t="shared" si="28"/>
        <v>#NUM!</v>
      </c>
      <c r="K247" s="92" t="e">
        <f t="shared" si="24"/>
        <v>#NUM!</v>
      </c>
      <c r="L247" s="92"/>
      <c r="M247" s="94">
        <f t="shared" si="25"/>
        <v>0</v>
      </c>
      <c r="N247" s="94">
        <f t="shared" si="26"/>
        <v>0</v>
      </c>
      <c r="O247" s="74"/>
      <c r="P247" s="74"/>
      <c r="Q247" s="74"/>
      <c r="R247" s="74"/>
      <c r="S247" s="74"/>
    </row>
    <row r="248" spans="1:20" s="79" customFormat="1" x14ac:dyDescent="0.25">
      <c r="A248" s="87">
        <f t="shared" si="27"/>
        <v>0</v>
      </c>
      <c r="B248" s="34" t="str">
        <f t="shared" si="22"/>
        <v/>
      </c>
      <c r="C248" s="35"/>
      <c r="D248" s="35"/>
      <c r="E248" s="35"/>
      <c r="F248" s="35"/>
      <c r="G248" s="74"/>
      <c r="H248" s="88">
        <v>243</v>
      </c>
      <c r="I248" s="89" t="str">
        <f t="shared" si="23"/>
        <v/>
      </c>
      <c r="J248" s="88" t="e">
        <f t="shared" si="28"/>
        <v>#NUM!</v>
      </c>
      <c r="K248" s="88" t="e">
        <f t="shared" si="24"/>
        <v>#NUM!</v>
      </c>
      <c r="L248" s="88"/>
      <c r="M248" s="90">
        <f t="shared" si="25"/>
        <v>0</v>
      </c>
      <c r="N248" s="90">
        <f t="shared" si="26"/>
        <v>0</v>
      </c>
      <c r="O248" s="74"/>
      <c r="P248" s="74"/>
      <c r="Q248" s="74"/>
      <c r="R248" s="74"/>
      <c r="S248" s="102"/>
      <c r="T248" s="103"/>
    </row>
    <row r="249" spans="1:20" s="79" customFormat="1" x14ac:dyDescent="0.25">
      <c r="A249" s="91">
        <f t="shared" si="27"/>
        <v>0</v>
      </c>
      <c r="B249" s="40" t="str">
        <f t="shared" si="22"/>
        <v/>
      </c>
      <c r="C249" s="41"/>
      <c r="D249" s="41"/>
      <c r="E249" s="41"/>
      <c r="F249" s="41"/>
      <c r="G249" s="74"/>
      <c r="H249" s="92">
        <v>244</v>
      </c>
      <c r="I249" s="93" t="str">
        <f t="shared" si="23"/>
        <v/>
      </c>
      <c r="J249" s="92" t="e">
        <f t="shared" si="28"/>
        <v>#NUM!</v>
      </c>
      <c r="K249" s="92" t="e">
        <f t="shared" si="24"/>
        <v>#NUM!</v>
      </c>
      <c r="L249" s="92"/>
      <c r="M249" s="94">
        <f t="shared" si="25"/>
        <v>0</v>
      </c>
      <c r="N249" s="94">
        <f t="shared" si="26"/>
        <v>0</v>
      </c>
      <c r="O249" s="74"/>
      <c r="P249" s="74"/>
      <c r="Q249" s="74"/>
      <c r="R249" s="74"/>
      <c r="S249" s="74"/>
    </row>
    <row r="250" spans="1:20" s="79" customFormat="1" x14ac:dyDescent="0.25">
      <c r="A250" s="87">
        <f t="shared" si="27"/>
        <v>0</v>
      </c>
      <c r="B250" s="34" t="str">
        <f t="shared" si="22"/>
        <v/>
      </c>
      <c r="C250" s="35"/>
      <c r="D250" s="35"/>
      <c r="E250" s="35"/>
      <c r="F250" s="35"/>
      <c r="G250" s="74"/>
      <c r="H250" s="88">
        <v>245</v>
      </c>
      <c r="I250" s="89" t="str">
        <f t="shared" si="23"/>
        <v/>
      </c>
      <c r="J250" s="88" t="e">
        <f t="shared" si="28"/>
        <v>#NUM!</v>
      </c>
      <c r="K250" s="88" t="e">
        <f t="shared" si="24"/>
        <v>#NUM!</v>
      </c>
      <c r="L250" s="88"/>
      <c r="M250" s="90">
        <f t="shared" si="25"/>
        <v>0</v>
      </c>
      <c r="N250" s="90">
        <f t="shared" si="26"/>
        <v>0</v>
      </c>
      <c r="O250" s="74"/>
      <c r="P250" s="74"/>
      <c r="Q250" s="74"/>
      <c r="R250" s="74"/>
      <c r="S250" s="102"/>
      <c r="T250" s="103"/>
    </row>
    <row r="251" spans="1:20" x14ac:dyDescent="0.25">
      <c r="A251" s="91">
        <f t="shared" si="27"/>
        <v>0</v>
      </c>
      <c r="G251" s="74"/>
      <c r="H251" s="88">
        <v>246</v>
      </c>
      <c r="I251" s="89" t="str">
        <f t="shared" si="23"/>
        <v/>
      </c>
      <c r="J251" s="88" t="e">
        <f t="shared" si="28"/>
        <v>#NUM!</v>
      </c>
      <c r="K251" s="88" t="e">
        <f t="shared" si="24"/>
        <v>#NUM!</v>
      </c>
      <c r="L251" s="88"/>
      <c r="M251" s="90">
        <f t="shared" si="25"/>
        <v>0</v>
      </c>
      <c r="N251" s="90">
        <f t="shared" si="26"/>
        <v>0</v>
      </c>
    </row>
    <row r="252" spans="1:20" x14ac:dyDescent="0.25">
      <c r="A252" s="87">
        <f t="shared" si="27"/>
        <v>0</v>
      </c>
      <c r="G252" s="74"/>
      <c r="H252" s="88">
        <v>247</v>
      </c>
      <c r="I252" s="89" t="str">
        <f t="shared" si="23"/>
        <v/>
      </c>
      <c r="J252" s="88" t="e">
        <f t="shared" si="28"/>
        <v>#NUM!</v>
      </c>
      <c r="K252" s="88" t="e">
        <f t="shared" si="24"/>
        <v>#NUM!</v>
      </c>
      <c r="L252" s="88"/>
      <c r="M252" s="90">
        <f t="shared" si="25"/>
        <v>0</v>
      </c>
      <c r="N252" s="90">
        <f t="shared" si="26"/>
        <v>0</v>
      </c>
    </row>
    <row r="253" spans="1:20" x14ac:dyDescent="0.25">
      <c r="A253" s="91">
        <f t="shared" si="27"/>
        <v>0</v>
      </c>
      <c r="G253" s="74"/>
      <c r="H253" s="88">
        <v>248</v>
      </c>
      <c r="I253" s="89" t="str">
        <f t="shared" si="23"/>
        <v/>
      </c>
      <c r="J253" s="88" t="e">
        <f t="shared" si="28"/>
        <v>#NUM!</v>
      </c>
      <c r="K253" s="88" t="e">
        <f t="shared" si="24"/>
        <v>#NUM!</v>
      </c>
      <c r="L253" s="88"/>
      <c r="M253" s="90">
        <f t="shared" si="25"/>
        <v>0</v>
      </c>
      <c r="N253" s="90">
        <f t="shared" si="26"/>
        <v>0</v>
      </c>
    </row>
    <row r="254" spans="1:20" x14ac:dyDescent="0.25">
      <c r="A254" s="87">
        <f t="shared" si="27"/>
        <v>0</v>
      </c>
      <c r="G254" s="74"/>
      <c r="H254" s="88">
        <v>249</v>
      </c>
      <c r="I254" s="89" t="str">
        <f t="shared" si="23"/>
        <v/>
      </c>
      <c r="J254" s="88" t="e">
        <f t="shared" si="28"/>
        <v>#NUM!</v>
      </c>
      <c r="K254" s="88" t="e">
        <f t="shared" si="24"/>
        <v>#NUM!</v>
      </c>
      <c r="L254" s="88"/>
      <c r="M254" s="90">
        <f t="shared" si="25"/>
        <v>0</v>
      </c>
      <c r="N254" s="90">
        <f t="shared" si="26"/>
        <v>0</v>
      </c>
    </row>
    <row r="255" spans="1:20" x14ac:dyDescent="0.25">
      <c r="A255" s="91">
        <f t="shared" si="27"/>
        <v>0</v>
      </c>
      <c r="G255" s="74"/>
      <c r="H255" s="88">
        <v>250</v>
      </c>
      <c r="I255" s="89" t="str">
        <f t="shared" si="23"/>
        <v/>
      </c>
      <c r="J255" s="88" t="e">
        <f t="shared" si="28"/>
        <v>#NUM!</v>
      </c>
      <c r="K255" s="88" t="e">
        <f t="shared" si="24"/>
        <v>#NUM!</v>
      </c>
      <c r="L255" s="88"/>
      <c r="M255" s="90">
        <f t="shared" si="25"/>
        <v>0</v>
      </c>
      <c r="N255" s="90">
        <f t="shared" si="26"/>
        <v>0</v>
      </c>
    </row>
    <row r="256" spans="1:20" x14ac:dyDescent="0.25">
      <c r="A256" s="87">
        <f t="shared" si="27"/>
        <v>0</v>
      </c>
      <c r="G256" s="74"/>
      <c r="H256" s="88">
        <v>251</v>
      </c>
      <c r="I256" s="89" t="str">
        <f t="shared" si="23"/>
        <v/>
      </c>
      <c r="J256" s="88" t="e">
        <f t="shared" si="28"/>
        <v>#NUM!</v>
      </c>
      <c r="K256" s="88" t="e">
        <f t="shared" si="24"/>
        <v>#NUM!</v>
      </c>
      <c r="L256" s="88"/>
      <c r="M256" s="90">
        <f t="shared" si="25"/>
        <v>0</v>
      </c>
      <c r="N256" s="90">
        <f t="shared" si="26"/>
        <v>0</v>
      </c>
    </row>
    <row r="257" spans="1:14" x14ac:dyDescent="0.25">
      <c r="A257" s="91">
        <f t="shared" si="27"/>
        <v>0</v>
      </c>
      <c r="G257" s="74"/>
      <c r="H257" s="88">
        <v>252</v>
      </c>
      <c r="I257" s="89" t="str">
        <f t="shared" si="23"/>
        <v/>
      </c>
      <c r="J257" s="88" t="e">
        <f t="shared" si="28"/>
        <v>#NUM!</v>
      </c>
      <c r="K257" s="88" t="e">
        <f t="shared" si="24"/>
        <v>#NUM!</v>
      </c>
      <c r="L257" s="88"/>
      <c r="M257" s="90">
        <f t="shared" si="25"/>
        <v>0</v>
      </c>
      <c r="N257" s="90">
        <f t="shared" si="26"/>
        <v>0</v>
      </c>
    </row>
    <row r="258" spans="1:14" x14ac:dyDescent="0.25">
      <c r="A258" s="87">
        <f t="shared" si="27"/>
        <v>0</v>
      </c>
      <c r="G258" s="74"/>
      <c r="H258" s="88">
        <v>253</v>
      </c>
      <c r="I258" s="89" t="str">
        <f t="shared" si="23"/>
        <v/>
      </c>
      <c r="J258" s="88" t="e">
        <f t="shared" si="28"/>
        <v>#NUM!</v>
      </c>
      <c r="K258" s="88" t="e">
        <f t="shared" si="24"/>
        <v>#NUM!</v>
      </c>
      <c r="L258" s="88"/>
      <c r="M258" s="90">
        <f t="shared" si="25"/>
        <v>0</v>
      </c>
      <c r="N258" s="90">
        <f t="shared" si="26"/>
        <v>0</v>
      </c>
    </row>
    <row r="259" spans="1:14" x14ac:dyDescent="0.25">
      <c r="A259" s="91">
        <f t="shared" si="27"/>
        <v>0</v>
      </c>
      <c r="G259" s="74"/>
      <c r="H259" s="88">
        <v>254</v>
      </c>
      <c r="I259" s="89" t="str">
        <f t="shared" si="23"/>
        <v/>
      </c>
      <c r="J259" s="88" t="e">
        <f t="shared" si="28"/>
        <v>#NUM!</v>
      </c>
      <c r="K259" s="88" t="e">
        <f t="shared" si="24"/>
        <v>#NUM!</v>
      </c>
      <c r="L259" s="88"/>
      <c r="M259" s="90">
        <f t="shared" si="25"/>
        <v>0</v>
      </c>
      <c r="N259" s="90">
        <f t="shared" si="26"/>
        <v>0</v>
      </c>
    </row>
    <row r="260" spans="1:14" x14ac:dyDescent="0.25">
      <c r="A260" s="87">
        <f t="shared" si="27"/>
        <v>0</v>
      </c>
      <c r="G260" s="74"/>
      <c r="H260" s="88">
        <v>255</v>
      </c>
      <c r="I260" s="89" t="str">
        <f t="shared" si="23"/>
        <v/>
      </c>
      <c r="J260" s="88" t="e">
        <f t="shared" si="28"/>
        <v>#NUM!</v>
      </c>
      <c r="K260" s="88" t="e">
        <f t="shared" si="24"/>
        <v>#NUM!</v>
      </c>
      <c r="L260" s="88"/>
      <c r="M260" s="90">
        <f t="shared" si="25"/>
        <v>0</v>
      </c>
      <c r="N260" s="90">
        <f t="shared" si="26"/>
        <v>0</v>
      </c>
    </row>
    <row r="261" spans="1:14" x14ac:dyDescent="0.25">
      <c r="A261" s="91">
        <f t="shared" si="27"/>
        <v>0</v>
      </c>
      <c r="G261" s="74"/>
      <c r="H261" s="88">
        <v>256</v>
      </c>
      <c r="I261" s="89" t="str">
        <f t="shared" si="23"/>
        <v/>
      </c>
      <c r="J261" s="88" t="e">
        <f t="shared" si="28"/>
        <v>#NUM!</v>
      </c>
      <c r="K261" s="88" t="e">
        <f t="shared" si="24"/>
        <v>#NUM!</v>
      </c>
      <c r="L261" s="88"/>
      <c r="M261" s="90">
        <f t="shared" si="25"/>
        <v>0</v>
      </c>
      <c r="N261" s="90">
        <f t="shared" si="26"/>
        <v>0</v>
      </c>
    </row>
    <row r="262" spans="1:14" x14ac:dyDescent="0.25">
      <c r="A262" s="87">
        <f t="shared" si="27"/>
        <v>0</v>
      </c>
      <c r="G262" s="74"/>
      <c r="H262" s="88">
        <v>257</v>
      </c>
      <c r="I262" s="89" t="str">
        <f t="shared" ref="I262:I305" si="29">IF(H262&lt;$H$2+1,($I$2-($I$2-1)*(LOG(H262)/LOG($H$2))),"")</f>
        <v/>
      </c>
      <c r="J262" s="88" t="e">
        <f t="shared" si="28"/>
        <v>#NUM!</v>
      </c>
      <c r="K262" s="88" t="e">
        <f t="shared" ref="K262:K305" si="30">J262*$J$2</f>
        <v>#NUM!</v>
      </c>
      <c r="L262" s="88"/>
      <c r="M262" s="90">
        <f t="shared" ref="M262:M305" si="31">IF(I262&lt;&gt;"",K262+I262+L262,0)</f>
        <v>0</v>
      </c>
      <c r="N262" s="90">
        <f t="shared" ref="N262:N305" si="32">IF(I262&lt;&gt;"",M262*L$2,0)</f>
        <v>0</v>
      </c>
    </row>
    <row r="263" spans="1:14" x14ac:dyDescent="0.25">
      <c r="A263" s="91">
        <f t="shared" ref="A263:A305" si="33">N263</f>
        <v>0</v>
      </c>
      <c r="G263" s="74"/>
      <c r="H263" s="88">
        <v>258</v>
      </c>
      <c r="I263" s="89" t="str">
        <f t="shared" si="29"/>
        <v/>
      </c>
      <c r="J263" s="88" t="e">
        <f t="shared" ref="J263:J305" si="34">INT(LOG($H$2,2))-ROUNDUP(LOG(H263,2),0)+IF(OR($H$2=1,$H$2=2,$H$2=4,$H$2=8,$H$2=16,$H$2=32,$H$2=64,$H$2=128,$H$2=256),0,1)</f>
        <v>#NUM!</v>
      </c>
      <c r="K263" s="88" t="e">
        <f t="shared" si="30"/>
        <v>#NUM!</v>
      </c>
      <c r="L263" s="88"/>
      <c r="M263" s="90">
        <f t="shared" si="31"/>
        <v>0</v>
      </c>
      <c r="N263" s="90">
        <f t="shared" si="32"/>
        <v>0</v>
      </c>
    </row>
    <row r="264" spans="1:14" x14ac:dyDescent="0.25">
      <c r="A264" s="87">
        <f t="shared" si="33"/>
        <v>0</v>
      </c>
      <c r="G264" s="74"/>
      <c r="H264" s="88">
        <v>259</v>
      </c>
      <c r="I264" s="89" t="str">
        <f t="shared" si="29"/>
        <v/>
      </c>
      <c r="J264" s="88" t="e">
        <f t="shared" si="34"/>
        <v>#NUM!</v>
      </c>
      <c r="K264" s="88" t="e">
        <f t="shared" si="30"/>
        <v>#NUM!</v>
      </c>
      <c r="L264" s="88"/>
      <c r="M264" s="90">
        <f t="shared" si="31"/>
        <v>0</v>
      </c>
      <c r="N264" s="90">
        <f t="shared" si="32"/>
        <v>0</v>
      </c>
    </row>
    <row r="265" spans="1:14" x14ac:dyDescent="0.25">
      <c r="A265" s="91">
        <f t="shared" si="33"/>
        <v>0</v>
      </c>
      <c r="G265" s="74"/>
      <c r="H265" s="88">
        <v>260</v>
      </c>
      <c r="I265" s="89" t="str">
        <f t="shared" si="29"/>
        <v/>
      </c>
      <c r="J265" s="88" t="e">
        <f t="shared" si="34"/>
        <v>#NUM!</v>
      </c>
      <c r="K265" s="88" t="e">
        <f t="shared" si="30"/>
        <v>#NUM!</v>
      </c>
      <c r="L265" s="88"/>
      <c r="M265" s="90">
        <f t="shared" si="31"/>
        <v>0</v>
      </c>
      <c r="N265" s="90">
        <f t="shared" si="32"/>
        <v>0</v>
      </c>
    </row>
    <row r="266" spans="1:14" x14ac:dyDescent="0.25">
      <c r="A266" s="87">
        <f t="shared" si="33"/>
        <v>0</v>
      </c>
      <c r="G266" s="74"/>
      <c r="H266" s="88">
        <v>261</v>
      </c>
      <c r="I266" s="89" t="str">
        <f t="shared" si="29"/>
        <v/>
      </c>
      <c r="J266" s="88" t="e">
        <f t="shared" si="34"/>
        <v>#NUM!</v>
      </c>
      <c r="K266" s="88" t="e">
        <f t="shared" si="30"/>
        <v>#NUM!</v>
      </c>
      <c r="L266" s="88"/>
      <c r="M266" s="90">
        <f t="shared" si="31"/>
        <v>0</v>
      </c>
      <c r="N266" s="90">
        <f t="shared" si="32"/>
        <v>0</v>
      </c>
    </row>
    <row r="267" spans="1:14" x14ac:dyDescent="0.25">
      <c r="A267" s="91">
        <f t="shared" si="33"/>
        <v>0</v>
      </c>
      <c r="G267" s="74"/>
      <c r="H267" s="88">
        <v>262</v>
      </c>
      <c r="I267" s="89" t="str">
        <f t="shared" si="29"/>
        <v/>
      </c>
      <c r="J267" s="88" t="e">
        <f t="shared" si="34"/>
        <v>#NUM!</v>
      </c>
      <c r="K267" s="88" t="e">
        <f t="shared" si="30"/>
        <v>#NUM!</v>
      </c>
      <c r="L267" s="88"/>
      <c r="M267" s="90">
        <f t="shared" si="31"/>
        <v>0</v>
      </c>
      <c r="N267" s="90">
        <f t="shared" si="32"/>
        <v>0</v>
      </c>
    </row>
    <row r="268" spans="1:14" x14ac:dyDescent="0.25">
      <c r="A268" s="87">
        <f t="shared" si="33"/>
        <v>0</v>
      </c>
      <c r="G268" s="74"/>
      <c r="H268" s="88">
        <v>263</v>
      </c>
      <c r="I268" s="89" t="str">
        <f t="shared" si="29"/>
        <v/>
      </c>
      <c r="J268" s="88" t="e">
        <f t="shared" si="34"/>
        <v>#NUM!</v>
      </c>
      <c r="K268" s="88" t="e">
        <f t="shared" si="30"/>
        <v>#NUM!</v>
      </c>
      <c r="L268" s="88"/>
      <c r="M268" s="90">
        <f t="shared" si="31"/>
        <v>0</v>
      </c>
      <c r="N268" s="90">
        <f t="shared" si="32"/>
        <v>0</v>
      </c>
    </row>
    <row r="269" spans="1:14" x14ac:dyDescent="0.25">
      <c r="A269" s="91">
        <f t="shared" si="33"/>
        <v>0</v>
      </c>
      <c r="G269" s="74"/>
      <c r="H269" s="88">
        <v>264</v>
      </c>
      <c r="I269" s="89" t="str">
        <f t="shared" si="29"/>
        <v/>
      </c>
      <c r="J269" s="88" t="e">
        <f t="shared" si="34"/>
        <v>#NUM!</v>
      </c>
      <c r="K269" s="88" t="e">
        <f t="shared" si="30"/>
        <v>#NUM!</v>
      </c>
      <c r="L269" s="88"/>
      <c r="M269" s="90">
        <f t="shared" si="31"/>
        <v>0</v>
      </c>
      <c r="N269" s="90">
        <f t="shared" si="32"/>
        <v>0</v>
      </c>
    </row>
    <row r="270" spans="1:14" x14ac:dyDescent="0.25">
      <c r="A270" s="87">
        <f t="shared" si="33"/>
        <v>0</v>
      </c>
      <c r="G270" s="74"/>
      <c r="H270" s="88">
        <v>265</v>
      </c>
      <c r="I270" s="89" t="str">
        <f t="shared" si="29"/>
        <v/>
      </c>
      <c r="J270" s="88" t="e">
        <f t="shared" si="34"/>
        <v>#NUM!</v>
      </c>
      <c r="K270" s="88" t="e">
        <f t="shared" si="30"/>
        <v>#NUM!</v>
      </c>
      <c r="L270" s="88"/>
      <c r="M270" s="90">
        <f t="shared" si="31"/>
        <v>0</v>
      </c>
      <c r="N270" s="90">
        <f t="shared" si="32"/>
        <v>0</v>
      </c>
    </row>
    <row r="271" spans="1:14" x14ac:dyDescent="0.25">
      <c r="A271" s="91">
        <f t="shared" si="33"/>
        <v>0</v>
      </c>
      <c r="G271" s="74"/>
      <c r="H271" s="88">
        <v>266</v>
      </c>
      <c r="I271" s="89" t="str">
        <f t="shared" si="29"/>
        <v/>
      </c>
      <c r="J271" s="88" t="e">
        <f t="shared" si="34"/>
        <v>#NUM!</v>
      </c>
      <c r="K271" s="88" t="e">
        <f t="shared" si="30"/>
        <v>#NUM!</v>
      </c>
      <c r="L271" s="88"/>
      <c r="M271" s="90">
        <f t="shared" si="31"/>
        <v>0</v>
      </c>
      <c r="N271" s="90">
        <f t="shared" si="32"/>
        <v>0</v>
      </c>
    </row>
    <row r="272" spans="1:14" x14ac:dyDescent="0.25">
      <c r="A272" s="87">
        <f t="shared" si="33"/>
        <v>0</v>
      </c>
      <c r="G272" s="74"/>
      <c r="H272" s="88">
        <v>267</v>
      </c>
      <c r="I272" s="89" t="str">
        <f t="shared" si="29"/>
        <v/>
      </c>
      <c r="J272" s="88" t="e">
        <f t="shared" si="34"/>
        <v>#NUM!</v>
      </c>
      <c r="K272" s="88" t="e">
        <f t="shared" si="30"/>
        <v>#NUM!</v>
      </c>
      <c r="L272" s="88"/>
      <c r="M272" s="90">
        <f t="shared" si="31"/>
        <v>0</v>
      </c>
      <c r="N272" s="90">
        <f t="shared" si="32"/>
        <v>0</v>
      </c>
    </row>
    <row r="273" spans="1:14" x14ac:dyDescent="0.25">
      <c r="A273" s="91">
        <f t="shared" si="33"/>
        <v>0</v>
      </c>
      <c r="G273" s="74"/>
      <c r="H273" s="88">
        <v>268</v>
      </c>
      <c r="I273" s="89" t="str">
        <f t="shared" si="29"/>
        <v/>
      </c>
      <c r="J273" s="88" t="e">
        <f t="shared" si="34"/>
        <v>#NUM!</v>
      </c>
      <c r="K273" s="88" t="e">
        <f t="shared" si="30"/>
        <v>#NUM!</v>
      </c>
      <c r="L273" s="88"/>
      <c r="M273" s="90">
        <f t="shared" si="31"/>
        <v>0</v>
      </c>
      <c r="N273" s="90">
        <f t="shared" si="32"/>
        <v>0</v>
      </c>
    </row>
    <row r="274" spans="1:14" x14ac:dyDescent="0.25">
      <c r="A274" s="87">
        <f t="shared" si="33"/>
        <v>0</v>
      </c>
      <c r="G274" s="74"/>
      <c r="H274" s="88">
        <v>269</v>
      </c>
      <c r="I274" s="89" t="str">
        <f t="shared" si="29"/>
        <v/>
      </c>
      <c r="J274" s="88" t="e">
        <f t="shared" si="34"/>
        <v>#NUM!</v>
      </c>
      <c r="K274" s="88" t="e">
        <f t="shared" si="30"/>
        <v>#NUM!</v>
      </c>
      <c r="L274" s="88"/>
      <c r="M274" s="90">
        <f t="shared" si="31"/>
        <v>0</v>
      </c>
      <c r="N274" s="90">
        <f t="shared" si="32"/>
        <v>0</v>
      </c>
    </row>
    <row r="275" spans="1:14" x14ac:dyDescent="0.25">
      <c r="A275" s="91">
        <f t="shared" si="33"/>
        <v>0</v>
      </c>
      <c r="G275" s="74"/>
      <c r="H275" s="88">
        <v>270</v>
      </c>
      <c r="I275" s="89" t="str">
        <f t="shared" si="29"/>
        <v/>
      </c>
      <c r="J275" s="88" t="e">
        <f t="shared" si="34"/>
        <v>#NUM!</v>
      </c>
      <c r="K275" s="88" t="e">
        <f t="shared" si="30"/>
        <v>#NUM!</v>
      </c>
      <c r="L275" s="88"/>
      <c r="M275" s="90">
        <f t="shared" si="31"/>
        <v>0</v>
      </c>
      <c r="N275" s="90">
        <f t="shared" si="32"/>
        <v>0</v>
      </c>
    </row>
    <row r="276" spans="1:14" x14ac:dyDescent="0.25">
      <c r="A276" s="87">
        <f t="shared" si="33"/>
        <v>0</v>
      </c>
      <c r="G276" s="74"/>
      <c r="H276" s="88">
        <v>271</v>
      </c>
      <c r="I276" s="89" t="str">
        <f t="shared" si="29"/>
        <v/>
      </c>
      <c r="J276" s="88" t="e">
        <f t="shared" si="34"/>
        <v>#NUM!</v>
      </c>
      <c r="K276" s="88" t="e">
        <f t="shared" si="30"/>
        <v>#NUM!</v>
      </c>
      <c r="L276" s="88"/>
      <c r="M276" s="90">
        <f t="shared" si="31"/>
        <v>0</v>
      </c>
      <c r="N276" s="90">
        <f t="shared" si="32"/>
        <v>0</v>
      </c>
    </row>
    <row r="277" spans="1:14" x14ac:dyDescent="0.25">
      <c r="A277" s="91">
        <f t="shared" si="33"/>
        <v>0</v>
      </c>
      <c r="G277" s="74"/>
      <c r="H277" s="88">
        <v>272</v>
      </c>
      <c r="I277" s="89" t="str">
        <f t="shared" si="29"/>
        <v/>
      </c>
      <c r="J277" s="88" t="e">
        <f t="shared" si="34"/>
        <v>#NUM!</v>
      </c>
      <c r="K277" s="88" t="e">
        <f t="shared" si="30"/>
        <v>#NUM!</v>
      </c>
      <c r="L277" s="88"/>
      <c r="M277" s="90">
        <f t="shared" si="31"/>
        <v>0</v>
      </c>
      <c r="N277" s="90">
        <f t="shared" si="32"/>
        <v>0</v>
      </c>
    </row>
    <row r="278" spans="1:14" x14ac:dyDescent="0.25">
      <c r="A278" s="87">
        <f t="shared" si="33"/>
        <v>0</v>
      </c>
      <c r="G278" s="74"/>
      <c r="H278" s="88">
        <v>273</v>
      </c>
      <c r="I278" s="89" t="str">
        <f t="shared" si="29"/>
        <v/>
      </c>
      <c r="J278" s="88" t="e">
        <f t="shared" si="34"/>
        <v>#NUM!</v>
      </c>
      <c r="K278" s="88" t="e">
        <f t="shared" si="30"/>
        <v>#NUM!</v>
      </c>
      <c r="L278" s="88"/>
      <c r="M278" s="90">
        <f t="shared" si="31"/>
        <v>0</v>
      </c>
      <c r="N278" s="90">
        <f t="shared" si="32"/>
        <v>0</v>
      </c>
    </row>
    <row r="279" spans="1:14" x14ac:dyDescent="0.25">
      <c r="A279" s="91">
        <f t="shared" si="33"/>
        <v>0</v>
      </c>
      <c r="G279" s="74"/>
      <c r="H279" s="88">
        <v>274</v>
      </c>
      <c r="I279" s="89" t="str">
        <f t="shared" si="29"/>
        <v/>
      </c>
      <c r="J279" s="88" t="e">
        <f t="shared" si="34"/>
        <v>#NUM!</v>
      </c>
      <c r="K279" s="88" t="e">
        <f t="shared" si="30"/>
        <v>#NUM!</v>
      </c>
      <c r="L279" s="88"/>
      <c r="M279" s="90">
        <f t="shared" si="31"/>
        <v>0</v>
      </c>
      <c r="N279" s="90">
        <f t="shared" si="32"/>
        <v>0</v>
      </c>
    </row>
    <row r="280" spans="1:14" x14ac:dyDescent="0.25">
      <c r="A280" s="87">
        <f t="shared" si="33"/>
        <v>0</v>
      </c>
      <c r="G280" s="74"/>
      <c r="H280" s="88">
        <v>275</v>
      </c>
      <c r="I280" s="89" t="str">
        <f t="shared" si="29"/>
        <v/>
      </c>
      <c r="J280" s="88" t="e">
        <f t="shared" si="34"/>
        <v>#NUM!</v>
      </c>
      <c r="K280" s="88" t="e">
        <f t="shared" si="30"/>
        <v>#NUM!</v>
      </c>
      <c r="L280" s="88"/>
      <c r="M280" s="90">
        <f t="shared" si="31"/>
        <v>0</v>
      </c>
      <c r="N280" s="90">
        <f t="shared" si="32"/>
        <v>0</v>
      </c>
    </row>
    <row r="281" spans="1:14" x14ac:dyDescent="0.25">
      <c r="A281" s="91">
        <f t="shared" si="33"/>
        <v>0</v>
      </c>
      <c r="G281" s="74"/>
      <c r="H281" s="88">
        <v>276</v>
      </c>
      <c r="I281" s="89" t="str">
        <f t="shared" si="29"/>
        <v/>
      </c>
      <c r="J281" s="88" t="e">
        <f t="shared" si="34"/>
        <v>#NUM!</v>
      </c>
      <c r="K281" s="88" t="e">
        <f t="shared" si="30"/>
        <v>#NUM!</v>
      </c>
      <c r="L281" s="88"/>
      <c r="M281" s="90">
        <f t="shared" si="31"/>
        <v>0</v>
      </c>
      <c r="N281" s="90">
        <f t="shared" si="32"/>
        <v>0</v>
      </c>
    </row>
    <row r="282" spans="1:14" x14ac:dyDescent="0.25">
      <c r="A282" s="87">
        <f t="shared" si="33"/>
        <v>0</v>
      </c>
      <c r="G282" s="74"/>
      <c r="H282" s="88">
        <v>277</v>
      </c>
      <c r="I282" s="89" t="str">
        <f t="shared" si="29"/>
        <v/>
      </c>
      <c r="J282" s="88" t="e">
        <f t="shared" si="34"/>
        <v>#NUM!</v>
      </c>
      <c r="K282" s="88" t="e">
        <f t="shared" si="30"/>
        <v>#NUM!</v>
      </c>
      <c r="L282" s="88"/>
      <c r="M282" s="90">
        <f t="shared" si="31"/>
        <v>0</v>
      </c>
      <c r="N282" s="90">
        <f t="shared" si="32"/>
        <v>0</v>
      </c>
    </row>
    <row r="283" spans="1:14" x14ac:dyDescent="0.25">
      <c r="A283" s="91">
        <f t="shared" si="33"/>
        <v>0</v>
      </c>
      <c r="G283" s="74"/>
      <c r="H283" s="88">
        <v>278</v>
      </c>
      <c r="I283" s="89" t="str">
        <f t="shared" si="29"/>
        <v/>
      </c>
      <c r="J283" s="88" t="e">
        <f t="shared" si="34"/>
        <v>#NUM!</v>
      </c>
      <c r="K283" s="88" t="e">
        <f t="shared" si="30"/>
        <v>#NUM!</v>
      </c>
      <c r="L283" s="88"/>
      <c r="M283" s="90">
        <f t="shared" si="31"/>
        <v>0</v>
      </c>
      <c r="N283" s="90">
        <f t="shared" si="32"/>
        <v>0</v>
      </c>
    </row>
    <row r="284" spans="1:14" x14ac:dyDescent="0.25">
      <c r="A284" s="87">
        <f t="shared" si="33"/>
        <v>0</v>
      </c>
      <c r="G284" s="74"/>
      <c r="H284" s="88">
        <v>279</v>
      </c>
      <c r="I284" s="89" t="str">
        <f t="shared" si="29"/>
        <v/>
      </c>
      <c r="J284" s="88" t="e">
        <f t="shared" si="34"/>
        <v>#NUM!</v>
      </c>
      <c r="K284" s="88" t="e">
        <f t="shared" si="30"/>
        <v>#NUM!</v>
      </c>
      <c r="L284" s="88"/>
      <c r="M284" s="90">
        <f t="shared" si="31"/>
        <v>0</v>
      </c>
      <c r="N284" s="90">
        <f t="shared" si="32"/>
        <v>0</v>
      </c>
    </row>
    <row r="285" spans="1:14" x14ac:dyDescent="0.25">
      <c r="A285" s="91">
        <f t="shared" si="33"/>
        <v>0</v>
      </c>
      <c r="G285" s="74"/>
      <c r="H285" s="88">
        <v>280</v>
      </c>
      <c r="I285" s="89" t="str">
        <f t="shared" si="29"/>
        <v/>
      </c>
      <c r="J285" s="88" t="e">
        <f t="shared" si="34"/>
        <v>#NUM!</v>
      </c>
      <c r="K285" s="88" t="e">
        <f t="shared" si="30"/>
        <v>#NUM!</v>
      </c>
      <c r="L285" s="88"/>
      <c r="M285" s="90">
        <f t="shared" si="31"/>
        <v>0</v>
      </c>
      <c r="N285" s="90">
        <f t="shared" si="32"/>
        <v>0</v>
      </c>
    </row>
    <row r="286" spans="1:14" x14ac:dyDescent="0.25">
      <c r="A286" s="87">
        <f t="shared" si="33"/>
        <v>0</v>
      </c>
      <c r="G286" s="74"/>
      <c r="H286" s="88">
        <v>281</v>
      </c>
      <c r="I286" s="89" t="str">
        <f t="shared" si="29"/>
        <v/>
      </c>
      <c r="J286" s="88" t="e">
        <f t="shared" si="34"/>
        <v>#NUM!</v>
      </c>
      <c r="K286" s="88" t="e">
        <f t="shared" si="30"/>
        <v>#NUM!</v>
      </c>
      <c r="L286" s="88"/>
      <c r="M286" s="90">
        <f t="shared" si="31"/>
        <v>0</v>
      </c>
      <c r="N286" s="90">
        <f t="shared" si="32"/>
        <v>0</v>
      </c>
    </row>
    <row r="287" spans="1:14" x14ac:dyDescent="0.25">
      <c r="A287" s="91">
        <f t="shared" si="33"/>
        <v>0</v>
      </c>
      <c r="G287" s="74"/>
      <c r="H287" s="88">
        <v>282</v>
      </c>
      <c r="I287" s="89" t="str">
        <f t="shared" si="29"/>
        <v/>
      </c>
      <c r="J287" s="88" t="e">
        <f t="shared" si="34"/>
        <v>#NUM!</v>
      </c>
      <c r="K287" s="88" t="e">
        <f t="shared" si="30"/>
        <v>#NUM!</v>
      </c>
      <c r="L287" s="88"/>
      <c r="M287" s="90">
        <f t="shared" si="31"/>
        <v>0</v>
      </c>
      <c r="N287" s="90">
        <f t="shared" si="32"/>
        <v>0</v>
      </c>
    </row>
    <row r="288" spans="1:14" x14ac:dyDescent="0.25">
      <c r="A288" s="87">
        <f t="shared" si="33"/>
        <v>0</v>
      </c>
      <c r="G288" s="74"/>
      <c r="H288" s="88">
        <v>283</v>
      </c>
      <c r="I288" s="89" t="str">
        <f t="shared" si="29"/>
        <v/>
      </c>
      <c r="J288" s="88" t="e">
        <f t="shared" si="34"/>
        <v>#NUM!</v>
      </c>
      <c r="K288" s="88" t="e">
        <f t="shared" si="30"/>
        <v>#NUM!</v>
      </c>
      <c r="L288" s="88"/>
      <c r="M288" s="90">
        <f t="shared" si="31"/>
        <v>0</v>
      </c>
      <c r="N288" s="90">
        <f t="shared" si="32"/>
        <v>0</v>
      </c>
    </row>
    <row r="289" spans="1:14" x14ac:dyDescent="0.25">
      <c r="A289" s="91">
        <f t="shared" si="33"/>
        <v>0</v>
      </c>
      <c r="G289" s="74"/>
      <c r="H289" s="88">
        <v>284</v>
      </c>
      <c r="I289" s="89" t="str">
        <f t="shared" si="29"/>
        <v/>
      </c>
      <c r="J289" s="88" t="e">
        <f t="shared" si="34"/>
        <v>#NUM!</v>
      </c>
      <c r="K289" s="88" t="e">
        <f t="shared" si="30"/>
        <v>#NUM!</v>
      </c>
      <c r="L289" s="88"/>
      <c r="M289" s="90">
        <f t="shared" si="31"/>
        <v>0</v>
      </c>
      <c r="N289" s="90">
        <f t="shared" si="32"/>
        <v>0</v>
      </c>
    </row>
    <row r="290" spans="1:14" x14ac:dyDescent="0.25">
      <c r="A290" s="87">
        <f t="shared" si="33"/>
        <v>0</v>
      </c>
      <c r="G290" s="74"/>
      <c r="H290" s="88">
        <v>285</v>
      </c>
      <c r="I290" s="89" t="str">
        <f t="shared" si="29"/>
        <v/>
      </c>
      <c r="J290" s="88" t="e">
        <f t="shared" si="34"/>
        <v>#NUM!</v>
      </c>
      <c r="K290" s="88" t="e">
        <f t="shared" si="30"/>
        <v>#NUM!</v>
      </c>
      <c r="L290" s="88"/>
      <c r="M290" s="90">
        <f t="shared" si="31"/>
        <v>0</v>
      </c>
      <c r="N290" s="90">
        <f t="shared" si="32"/>
        <v>0</v>
      </c>
    </row>
    <row r="291" spans="1:14" x14ac:dyDescent="0.25">
      <c r="A291" s="91">
        <f t="shared" si="33"/>
        <v>0</v>
      </c>
      <c r="G291" s="74"/>
      <c r="H291" s="88">
        <v>286</v>
      </c>
      <c r="I291" s="89" t="str">
        <f t="shared" si="29"/>
        <v/>
      </c>
      <c r="J291" s="88" t="e">
        <f t="shared" si="34"/>
        <v>#NUM!</v>
      </c>
      <c r="K291" s="88" t="e">
        <f t="shared" si="30"/>
        <v>#NUM!</v>
      </c>
      <c r="L291" s="88"/>
      <c r="M291" s="90">
        <f t="shared" si="31"/>
        <v>0</v>
      </c>
      <c r="N291" s="90">
        <f t="shared" si="32"/>
        <v>0</v>
      </c>
    </row>
    <row r="292" spans="1:14" x14ac:dyDescent="0.25">
      <c r="A292" s="87">
        <f t="shared" si="33"/>
        <v>0</v>
      </c>
      <c r="G292" s="74"/>
      <c r="H292" s="88">
        <v>287</v>
      </c>
      <c r="I292" s="89" t="str">
        <f t="shared" si="29"/>
        <v/>
      </c>
      <c r="J292" s="88" t="e">
        <f t="shared" si="34"/>
        <v>#NUM!</v>
      </c>
      <c r="K292" s="88" t="e">
        <f t="shared" si="30"/>
        <v>#NUM!</v>
      </c>
      <c r="L292" s="88"/>
      <c r="M292" s="90">
        <f t="shared" si="31"/>
        <v>0</v>
      </c>
      <c r="N292" s="90">
        <f t="shared" si="32"/>
        <v>0</v>
      </c>
    </row>
    <row r="293" spans="1:14" x14ac:dyDescent="0.25">
      <c r="A293" s="91">
        <f t="shared" si="33"/>
        <v>0</v>
      </c>
      <c r="G293" s="74"/>
      <c r="H293" s="88">
        <v>288</v>
      </c>
      <c r="I293" s="89" t="str">
        <f t="shared" si="29"/>
        <v/>
      </c>
      <c r="J293" s="88" t="e">
        <f t="shared" si="34"/>
        <v>#NUM!</v>
      </c>
      <c r="K293" s="88" t="e">
        <f t="shared" si="30"/>
        <v>#NUM!</v>
      </c>
      <c r="L293" s="88"/>
      <c r="M293" s="90">
        <f t="shared" si="31"/>
        <v>0</v>
      </c>
      <c r="N293" s="90">
        <f t="shared" si="32"/>
        <v>0</v>
      </c>
    </row>
    <row r="294" spans="1:14" x14ac:dyDescent="0.25">
      <c r="A294" s="87">
        <f t="shared" si="33"/>
        <v>0</v>
      </c>
      <c r="G294" s="74"/>
      <c r="H294" s="88">
        <v>289</v>
      </c>
      <c r="I294" s="89" t="str">
        <f t="shared" si="29"/>
        <v/>
      </c>
      <c r="J294" s="88" t="e">
        <f t="shared" si="34"/>
        <v>#NUM!</v>
      </c>
      <c r="K294" s="88" t="e">
        <f t="shared" si="30"/>
        <v>#NUM!</v>
      </c>
      <c r="L294" s="88"/>
      <c r="M294" s="90">
        <f t="shared" si="31"/>
        <v>0</v>
      </c>
      <c r="N294" s="90">
        <f t="shared" si="32"/>
        <v>0</v>
      </c>
    </row>
    <row r="295" spans="1:14" x14ac:dyDescent="0.25">
      <c r="A295" s="91">
        <f t="shared" si="33"/>
        <v>0</v>
      </c>
      <c r="G295" s="74"/>
      <c r="H295" s="88">
        <v>290</v>
      </c>
      <c r="I295" s="89" t="str">
        <f t="shared" si="29"/>
        <v/>
      </c>
      <c r="J295" s="88" t="e">
        <f t="shared" si="34"/>
        <v>#NUM!</v>
      </c>
      <c r="K295" s="88" t="e">
        <f t="shared" si="30"/>
        <v>#NUM!</v>
      </c>
      <c r="L295" s="88"/>
      <c r="M295" s="90">
        <f t="shared" si="31"/>
        <v>0</v>
      </c>
      <c r="N295" s="90">
        <f t="shared" si="32"/>
        <v>0</v>
      </c>
    </row>
    <row r="296" spans="1:14" x14ac:dyDescent="0.25">
      <c r="A296" s="87">
        <f t="shared" si="33"/>
        <v>0</v>
      </c>
      <c r="G296" s="74"/>
      <c r="H296" s="88">
        <v>291</v>
      </c>
      <c r="I296" s="89" t="str">
        <f t="shared" si="29"/>
        <v/>
      </c>
      <c r="J296" s="88" t="e">
        <f t="shared" si="34"/>
        <v>#NUM!</v>
      </c>
      <c r="K296" s="88" t="e">
        <f t="shared" si="30"/>
        <v>#NUM!</v>
      </c>
      <c r="L296" s="88"/>
      <c r="M296" s="90">
        <f t="shared" si="31"/>
        <v>0</v>
      </c>
      <c r="N296" s="90">
        <f t="shared" si="32"/>
        <v>0</v>
      </c>
    </row>
    <row r="297" spans="1:14" x14ac:dyDescent="0.25">
      <c r="A297" s="91">
        <f t="shared" si="33"/>
        <v>0</v>
      </c>
      <c r="G297" s="74"/>
      <c r="H297" s="88">
        <v>292</v>
      </c>
      <c r="I297" s="89" t="str">
        <f t="shared" si="29"/>
        <v/>
      </c>
      <c r="J297" s="88" t="e">
        <f t="shared" si="34"/>
        <v>#NUM!</v>
      </c>
      <c r="K297" s="88" t="e">
        <f t="shared" si="30"/>
        <v>#NUM!</v>
      </c>
      <c r="L297" s="88"/>
      <c r="M297" s="90">
        <f t="shared" si="31"/>
        <v>0</v>
      </c>
      <c r="N297" s="90">
        <f t="shared" si="32"/>
        <v>0</v>
      </c>
    </row>
    <row r="298" spans="1:14" x14ac:dyDescent="0.25">
      <c r="A298" s="87">
        <f t="shared" si="33"/>
        <v>0</v>
      </c>
      <c r="G298" s="74"/>
      <c r="H298" s="88">
        <v>293</v>
      </c>
      <c r="I298" s="89" t="str">
        <f t="shared" si="29"/>
        <v/>
      </c>
      <c r="J298" s="88" t="e">
        <f t="shared" si="34"/>
        <v>#NUM!</v>
      </c>
      <c r="K298" s="88" t="e">
        <f t="shared" si="30"/>
        <v>#NUM!</v>
      </c>
      <c r="L298" s="88"/>
      <c r="M298" s="90">
        <f t="shared" si="31"/>
        <v>0</v>
      </c>
      <c r="N298" s="90">
        <f t="shared" si="32"/>
        <v>0</v>
      </c>
    </row>
    <row r="299" spans="1:14" x14ac:dyDescent="0.25">
      <c r="A299" s="91">
        <f t="shared" si="33"/>
        <v>0</v>
      </c>
      <c r="G299" s="74"/>
      <c r="H299" s="88">
        <v>294</v>
      </c>
      <c r="I299" s="89" t="str">
        <f t="shared" si="29"/>
        <v/>
      </c>
      <c r="J299" s="88" t="e">
        <f t="shared" si="34"/>
        <v>#NUM!</v>
      </c>
      <c r="K299" s="88" t="e">
        <f t="shared" si="30"/>
        <v>#NUM!</v>
      </c>
      <c r="L299" s="88"/>
      <c r="M299" s="90">
        <f t="shared" si="31"/>
        <v>0</v>
      </c>
      <c r="N299" s="90">
        <f t="shared" si="32"/>
        <v>0</v>
      </c>
    </row>
    <row r="300" spans="1:14" x14ac:dyDescent="0.25">
      <c r="A300" s="87">
        <f t="shared" si="33"/>
        <v>0</v>
      </c>
      <c r="G300" s="74"/>
      <c r="H300" s="88">
        <v>295</v>
      </c>
      <c r="I300" s="89" t="str">
        <f t="shared" si="29"/>
        <v/>
      </c>
      <c r="J300" s="88" t="e">
        <f t="shared" si="34"/>
        <v>#NUM!</v>
      </c>
      <c r="K300" s="88" t="e">
        <f t="shared" si="30"/>
        <v>#NUM!</v>
      </c>
      <c r="L300" s="88"/>
      <c r="M300" s="90">
        <f t="shared" si="31"/>
        <v>0</v>
      </c>
      <c r="N300" s="90">
        <f t="shared" si="32"/>
        <v>0</v>
      </c>
    </row>
    <row r="301" spans="1:14" x14ac:dyDescent="0.25">
      <c r="A301" s="91">
        <f t="shared" si="33"/>
        <v>0</v>
      </c>
      <c r="G301" s="74"/>
      <c r="H301" s="88">
        <v>296</v>
      </c>
      <c r="I301" s="89" t="str">
        <f t="shared" si="29"/>
        <v/>
      </c>
      <c r="J301" s="88" t="e">
        <f t="shared" si="34"/>
        <v>#NUM!</v>
      </c>
      <c r="K301" s="88" t="e">
        <f t="shared" si="30"/>
        <v>#NUM!</v>
      </c>
      <c r="L301" s="88"/>
      <c r="M301" s="90">
        <f t="shared" si="31"/>
        <v>0</v>
      </c>
      <c r="N301" s="90">
        <f t="shared" si="32"/>
        <v>0</v>
      </c>
    </row>
    <row r="302" spans="1:14" x14ac:dyDescent="0.25">
      <c r="A302" s="87">
        <f t="shared" si="33"/>
        <v>0</v>
      </c>
      <c r="G302" s="74"/>
      <c r="H302" s="88">
        <v>297</v>
      </c>
      <c r="I302" s="89" t="str">
        <f t="shared" si="29"/>
        <v/>
      </c>
      <c r="J302" s="88" t="e">
        <f t="shared" si="34"/>
        <v>#NUM!</v>
      </c>
      <c r="K302" s="88" t="e">
        <f t="shared" si="30"/>
        <v>#NUM!</v>
      </c>
      <c r="L302" s="88"/>
      <c r="M302" s="90">
        <f t="shared" si="31"/>
        <v>0</v>
      </c>
      <c r="N302" s="90">
        <f t="shared" si="32"/>
        <v>0</v>
      </c>
    </row>
    <row r="303" spans="1:14" x14ac:dyDescent="0.25">
      <c r="A303" s="91">
        <f t="shared" si="33"/>
        <v>0</v>
      </c>
      <c r="G303" s="74"/>
      <c r="H303" s="88">
        <v>298</v>
      </c>
      <c r="I303" s="89" t="str">
        <f t="shared" si="29"/>
        <v/>
      </c>
      <c r="J303" s="88" t="e">
        <f t="shared" si="34"/>
        <v>#NUM!</v>
      </c>
      <c r="K303" s="88" t="e">
        <f t="shared" si="30"/>
        <v>#NUM!</v>
      </c>
      <c r="L303" s="88"/>
      <c r="M303" s="90">
        <f t="shared" si="31"/>
        <v>0</v>
      </c>
      <c r="N303" s="90">
        <f t="shared" si="32"/>
        <v>0</v>
      </c>
    </row>
    <row r="304" spans="1:14" x14ac:dyDescent="0.25">
      <c r="A304" s="87">
        <f t="shared" si="33"/>
        <v>0</v>
      </c>
      <c r="G304" s="74"/>
      <c r="H304" s="88">
        <v>299</v>
      </c>
      <c r="I304" s="89" t="str">
        <f t="shared" si="29"/>
        <v/>
      </c>
      <c r="J304" s="88" t="e">
        <f t="shared" si="34"/>
        <v>#NUM!</v>
      </c>
      <c r="K304" s="88" t="e">
        <f t="shared" si="30"/>
        <v>#NUM!</v>
      </c>
      <c r="L304" s="88"/>
      <c r="M304" s="90">
        <f t="shared" si="31"/>
        <v>0</v>
      </c>
      <c r="N304" s="90">
        <f t="shared" si="32"/>
        <v>0</v>
      </c>
    </row>
    <row r="305" spans="1:17" x14ac:dyDescent="0.25">
      <c r="A305" s="91">
        <f t="shared" si="33"/>
        <v>0</v>
      </c>
      <c r="G305" s="74"/>
      <c r="H305" s="88">
        <v>300</v>
      </c>
      <c r="I305" s="89" t="str">
        <f t="shared" si="29"/>
        <v/>
      </c>
      <c r="J305" s="88" t="e">
        <f t="shared" si="34"/>
        <v>#NUM!</v>
      </c>
      <c r="K305" s="88" t="e">
        <f t="shared" si="30"/>
        <v>#NUM!</v>
      </c>
      <c r="L305" s="88"/>
      <c r="M305" s="90">
        <f t="shared" si="31"/>
        <v>0</v>
      </c>
      <c r="N305" s="90">
        <f t="shared" si="32"/>
        <v>0</v>
      </c>
    </row>
    <row r="306" spans="1:17" x14ac:dyDescent="0.25">
      <c r="A306" s="107"/>
    </row>
    <row r="314" spans="1:17" x14ac:dyDescent="0.25">
      <c r="L314" s="110"/>
      <c r="M314" s="110"/>
      <c r="Q314" s="100"/>
    </row>
    <row r="315" spans="1:17" x14ac:dyDescent="0.25">
      <c r="L315" s="110"/>
      <c r="M315" s="110"/>
      <c r="Q315" s="100"/>
    </row>
    <row r="316" spans="1:17" x14ac:dyDescent="0.25">
      <c r="L316" s="110"/>
      <c r="M316" s="110"/>
      <c r="Q316" s="100"/>
    </row>
    <row r="317" spans="1:17" x14ac:dyDescent="0.25">
      <c r="L317" s="110"/>
      <c r="M317" s="110"/>
      <c r="Q317" s="100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C8A0CC61-34E7-421E-9CD7-77695B0C7483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E43BB-A22F-4C74-B51E-F4FEA215D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2025-07-16T22:31:45Z</dcterms:modified>
  <cp:category/>
  <cp:contentStatus/>
</cp:coreProperties>
</file>